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1" autoFilterDateGrouping="1"/>
  </bookViews>
  <sheets>
    <sheet xmlns:r="http://schemas.openxmlformats.org/officeDocument/2006/relationships" name="#summury" sheetId="1" state="visible" r:id="rId1"/>
    <sheet xmlns:r="http://schemas.openxmlformats.org/officeDocument/2006/relationships" name="Detail&lt;Child&gt;" sheetId="2" state="visible" r:id="rId2"/>
    <sheet xmlns:r="http://schemas.openxmlformats.org/officeDocument/2006/relationships" name="Detail&lt;Monster&gt;" sheetId="3" state="visible" r:id="rId3"/>
    <sheet xmlns:r="http://schemas.openxmlformats.org/officeDocument/2006/relationships" name="Skin" sheetId="4" state="visible" r:id="rId4"/>
    <sheet xmlns:r="http://schemas.openxmlformats.org/officeDocument/2006/relationships" name="Timeline" sheetId="5" state="visible" r:id="rId5"/>
    <sheet xmlns:r="http://schemas.openxmlformats.org/officeDocument/2006/relationships" name="Level" sheetId="6" state="visible" r:id="rId6"/>
    <sheet xmlns:r="http://schemas.openxmlformats.org/officeDocument/2006/relationships" name="LevelUp" sheetId="7" state="visible" r:id="rId7"/>
    <sheet xmlns:r="http://schemas.openxmlformats.org/officeDocument/2006/relationships" name="GradeUp" sheetId="8" state="visible" r:id="rId8"/>
    <sheet xmlns:r="http://schemas.openxmlformats.org/officeDocument/2006/relationships" name="Info" sheetId="9" state="visible" r:id="rId9"/>
    <sheet xmlns:r="http://schemas.openxmlformats.org/officeDocument/2006/relationships" name="#Base" sheetId="10" state="visible" r:id="rId10"/>
    <sheet xmlns:r="http://schemas.openxmlformats.org/officeDocument/2006/relationships" name="#Skin" sheetId="11" state="visible" r:id="rId11"/>
    <sheet xmlns:r="http://schemas.openxmlformats.org/officeDocument/2006/relationships" name="#등급업 재료 개수" sheetId="12" state="visible" r:id="rId12"/>
    <sheet xmlns:r="http://schemas.openxmlformats.org/officeDocument/2006/relationships" name="#Level 계산" sheetId="13" state="visible" r:id="rId13"/>
  </sheets>
  <externalReferences>
    <externalReference xmlns:r="http://schemas.openxmlformats.org/officeDocument/2006/relationships" r:id="rId14"/>
  </externalReferences>
  <definedNames>
    <definedName name="_xlnm._FilterDatabase" localSheetId="1" hidden="1">'Detail&lt;Child&gt;'!$A$3:$AT$37</definedName>
    <definedName name="_xlnm._FilterDatabase" localSheetId="2" hidden="1">'Detail&lt;Monster&gt;'!$A$3:$AV$157</definedName>
    <definedName name="_xlnm._FilterDatabase" localSheetId="3" hidden="1">'Skin'!$A$3:$V$3</definedName>
    <definedName name="_xlnm._FilterDatabase" localSheetId="4" hidden="1">'Timeline'!$A$3:$G$3</definedName>
    <definedName name="_xlnm._FilterDatabase" localSheetId="7" hidden="1">'GradeUp'!$A$3:$R$253</definedName>
    <definedName name="_xlnm._FilterDatabase" localSheetId="9" hidden="1">'#Base'!$A$3:$F$3</definedName>
    <definedName name="_xlnm._FilterDatabase" localSheetId="10" hidden="1">'#Skin'!$A$3:$N$3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3"/>
      <b val="1"/>
      <color theme="1"/>
      <sz val="9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rgb="FFFF0000"/>
      <sz val="9"/>
      <scheme val="minor"/>
    </font>
  </fonts>
  <fills count="1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6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3" fillId="2" borderId="3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2" fillId="3" borderId="4" applyAlignment="1" pivotButton="0" quotePrefix="0" xfId="0">
      <alignment vertical="center"/>
    </xf>
    <xf numFmtId="0" fontId="2" fillId="3" borderId="5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5" fillId="3" borderId="4" applyAlignment="1" pivotButton="0" quotePrefix="0" xfId="0">
      <alignment vertical="center"/>
    </xf>
    <xf numFmtId="0" fontId="5" fillId="3" borderId="5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6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2" fillId="8" borderId="0" applyAlignment="1" pivotButton="0" quotePrefix="0" xfId="0">
      <alignment vertical="center"/>
    </xf>
    <xf numFmtId="0" fontId="2" fillId="9" borderId="0" applyAlignment="1" pivotButton="0" quotePrefix="0" xfId="0">
      <alignment vertical="center"/>
    </xf>
    <xf numFmtId="0" fontId="5" fillId="0" borderId="6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5" fillId="4" borderId="6" applyAlignment="1" pivotButton="0" quotePrefix="0" xfId="0">
      <alignment vertical="center"/>
    </xf>
    <xf numFmtId="0" fontId="5" fillId="4" borderId="6" applyAlignment="1" pivotButton="0" quotePrefix="0" xfId="0">
      <alignment horizontal="center" vertical="center"/>
    </xf>
    <xf numFmtId="0" fontId="5" fillId="10" borderId="1" applyAlignment="1" pivotButton="0" quotePrefix="0" xfId="0">
      <alignment vertical="center"/>
    </xf>
    <xf numFmtId="0" fontId="4" fillId="11" borderId="0" applyAlignment="1" pivotButton="0" quotePrefix="0" xfId="0">
      <alignment vertical="center"/>
    </xf>
    <xf numFmtId="0" fontId="0" fillId="11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12" borderId="7" applyAlignment="1" pivotButton="0" quotePrefix="0" xfId="0">
      <alignment horizontal="center" vertical="center"/>
    </xf>
    <xf numFmtId="0" fontId="0" fillId="13" borderId="0" applyAlignment="1" pivotButton="0" quotePrefix="0" xfId="0">
      <alignment vertical="center"/>
    </xf>
    <xf numFmtId="1" fontId="0" fillId="0" borderId="7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5" fillId="3" borderId="3" applyAlignment="1" pivotButton="0" quotePrefix="0" xfId="0">
      <alignment vertical="center"/>
    </xf>
    <xf numFmtId="0" fontId="5" fillId="3" borderId="3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/>
    </xf>
    <xf numFmtId="0" fontId="0" fillId="0" borderId="0" pivotButton="0" quotePrefix="0" xfId="0"/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</cellXfs>
  <cellStyles count="1">
    <cellStyle name="표준" xfId="0" builtinId="0"/>
  </cellStyles>
  <dxfs count="53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"/>
        </patternFill>
      </fill>
    </dxf>
    <dxf>
      <fill>
        <patternFill>
          <bgColor theme="4" tint="0.3999450666829432"/>
        </patternFill>
      </fill>
    </dxf>
    <dxf>
      <fill>
        <patternFill>
          <bgColor theme="9" tint="0.3999450666829432"/>
        </patternFill>
      </fill>
    </dxf>
    <dxf>
      <fill>
        <patternFill>
          <bgColor rgb="FFFFCC00"/>
        </patternFill>
      </fill>
    </dxf>
    <dxf>
      <fill>
        <patternFill>
          <bgColor theme="8" tint="0.5999633777886288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externalLink" Target="/xl/externalLinks/externalLink1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#Outline"/>
      <sheetName val="Skill&lt;Child&gt;"/>
      <sheetName val="BuffValue&lt;Child&gt;"/>
      <sheetName val="Skill&lt;Moster&gt;"/>
      <sheetName val="BuffValue&lt;Monster&gt;"/>
      <sheetName val="Skill&lt;Talent&gt;"/>
      <sheetName val="BuffValue&lt;Talent&gt;"/>
      <sheetName val="Skill&lt;Soulcarta&gt;"/>
      <sheetName val="BuffValue&lt;Soulcarta&gt;"/>
      <sheetName val="Skill&lt;Etc&gt;"/>
      <sheetName val="Skill&lt;Devil&gt;"/>
      <sheetName val="BuffValue&lt;Base&gt;"/>
      <sheetName val="Target"/>
      <sheetName val="Area"/>
      <sheetName val="Trigger"/>
      <sheetName val="BuffValueLevelUp"/>
      <sheetName val="LevelUp"/>
      <sheetName val="#참조"/>
    </sheetNames>
    <sheetDataSet>
      <sheetData sheetId="0"/>
      <sheetData sheetId="1">
        <row r="1">
          <cell r="A1" t="str">
            <v>id</v>
          </cell>
        </row>
        <row r="2">
          <cell r="A2" t="str">
            <v>int</v>
          </cell>
        </row>
        <row r="4">
          <cell r="A4">
            <v>1313121</v>
          </cell>
        </row>
        <row r="5">
          <cell r="A5">
            <v>2313121</v>
          </cell>
        </row>
        <row r="6">
          <cell r="A6">
            <v>2313122</v>
          </cell>
        </row>
        <row r="7">
          <cell r="A7">
            <v>3313121</v>
          </cell>
        </row>
        <row r="8">
          <cell r="A8">
            <v>3313122</v>
          </cell>
        </row>
        <row r="9">
          <cell r="A9">
            <v>3313123</v>
          </cell>
        </row>
        <row r="10">
          <cell r="A10">
            <v>4313121</v>
          </cell>
        </row>
        <row r="11">
          <cell r="A11">
            <v>4313122</v>
          </cell>
        </row>
        <row r="12">
          <cell r="A12">
            <v>1334211</v>
          </cell>
        </row>
        <row r="13">
          <cell r="A13">
            <v>2334211</v>
          </cell>
        </row>
        <row r="14">
          <cell r="A14">
            <v>2334212</v>
          </cell>
        </row>
        <row r="15">
          <cell r="A15">
            <v>3334211</v>
          </cell>
        </row>
        <row r="16">
          <cell r="A16">
            <v>3334212</v>
          </cell>
        </row>
        <row r="17">
          <cell r="A17">
            <v>3334213</v>
          </cell>
        </row>
        <row r="18">
          <cell r="A18">
            <v>4334211</v>
          </cell>
        </row>
        <row r="19">
          <cell r="A19">
            <v>4334212</v>
          </cell>
        </row>
        <row r="20">
          <cell r="A20">
            <v>1321221</v>
          </cell>
        </row>
        <row r="21">
          <cell r="A21">
            <v>2321221</v>
          </cell>
        </row>
        <row r="22">
          <cell r="A22">
            <v>2321222</v>
          </cell>
        </row>
        <row r="23">
          <cell r="A23">
            <v>3321221</v>
          </cell>
        </row>
        <row r="24">
          <cell r="A24">
            <v>3321222</v>
          </cell>
        </row>
        <row r="25">
          <cell r="A25">
            <v>3321223</v>
          </cell>
        </row>
        <row r="26">
          <cell r="A26">
            <v>4321221</v>
          </cell>
        </row>
        <row r="27">
          <cell r="A27">
            <v>4321222</v>
          </cell>
        </row>
        <row r="28">
          <cell r="A28">
            <v>1555081</v>
          </cell>
        </row>
        <row r="29">
          <cell r="A29">
            <v>2555081</v>
          </cell>
        </row>
        <row r="30">
          <cell r="A30">
            <v>2555082</v>
          </cell>
        </row>
        <row r="31">
          <cell r="A31">
            <v>3555081</v>
          </cell>
        </row>
        <row r="32">
          <cell r="A32">
            <v>3555082</v>
          </cell>
        </row>
        <row r="33">
          <cell r="A33">
            <v>3555083</v>
          </cell>
        </row>
        <row r="34">
          <cell r="A34">
            <v>4555081</v>
          </cell>
        </row>
        <row r="35">
          <cell r="A35">
            <v>4555082</v>
          </cell>
        </row>
        <row r="36">
          <cell r="A36">
            <v>1511031</v>
          </cell>
        </row>
        <row r="37">
          <cell r="A37">
            <v>2511031</v>
          </cell>
        </row>
        <row r="38">
          <cell r="A38">
            <v>2511032</v>
          </cell>
        </row>
        <row r="39">
          <cell r="A39">
            <v>3511031</v>
          </cell>
        </row>
        <row r="40">
          <cell r="A40">
            <v>3511032</v>
          </cell>
        </row>
        <row r="41">
          <cell r="A41">
            <v>3511033</v>
          </cell>
        </row>
        <row r="42">
          <cell r="A42">
            <v>4511031</v>
          </cell>
        </row>
        <row r="43">
          <cell r="A43">
            <v>4511032</v>
          </cell>
        </row>
        <row r="44">
          <cell r="A44">
            <v>1321171</v>
          </cell>
        </row>
        <row r="45">
          <cell r="A45">
            <v>2321171</v>
          </cell>
        </row>
        <row r="46">
          <cell r="A46">
            <v>2321172</v>
          </cell>
        </row>
        <row r="47">
          <cell r="A47">
            <v>3321171</v>
          </cell>
        </row>
        <row r="48">
          <cell r="A48">
            <v>3321172</v>
          </cell>
        </row>
        <row r="49">
          <cell r="A49">
            <v>3321173</v>
          </cell>
        </row>
        <row r="50">
          <cell r="A50">
            <v>4321171</v>
          </cell>
        </row>
        <row r="51">
          <cell r="A51">
            <v>4321172</v>
          </cell>
        </row>
        <row r="52">
          <cell r="A52">
            <v>1513011</v>
          </cell>
        </row>
        <row r="53">
          <cell r="A53">
            <v>2513011</v>
          </cell>
        </row>
        <row r="54">
          <cell r="A54">
            <v>2513012</v>
          </cell>
        </row>
        <row r="55">
          <cell r="A55">
            <v>3513011</v>
          </cell>
        </row>
        <row r="56">
          <cell r="A56">
            <v>3513012</v>
          </cell>
        </row>
        <row r="57">
          <cell r="A57">
            <v>3513013</v>
          </cell>
        </row>
        <row r="58">
          <cell r="A58">
            <v>4513011</v>
          </cell>
        </row>
        <row r="59">
          <cell r="A59">
            <v>4513012</v>
          </cell>
        </row>
        <row r="60">
          <cell r="A60">
            <v>1311151</v>
          </cell>
        </row>
        <row r="61">
          <cell r="A61">
            <v>2311151</v>
          </cell>
        </row>
        <row r="62">
          <cell r="A62">
            <v>2311152</v>
          </cell>
        </row>
        <row r="63">
          <cell r="A63">
            <v>3311151</v>
          </cell>
        </row>
        <row r="64">
          <cell r="A64">
            <v>3311152</v>
          </cell>
        </row>
        <row r="65">
          <cell r="A65">
            <v>3311153</v>
          </cell>
        </row>
        <row r="66">
          <cell r="A66">
            <v>4311151</v>
          </cell>
        </row>
        <row r="67">
          <cell r="A67">
            <v>4311152</v>
          </cell>
        </row>
        <row r="68">
          <cell r="A68">
            <v>1325111</v>
          </cell>
        </row>
        <row r="69">
          <cell r="A69">
            <v>2325111</v>
          </cell>
        </row>
        <row r="70">
          <cell r="A70">
            <v>2325112</v>
          </cell>
        </row>
        <row r="71">
          <cell r="A71">
            <v>3325111</v>
          </cell>
        </row>
        <row r="72">
          <cell r="A72">
            <v>3325112</v>
          </cell>
        </row>
        <row r="73">
          <cell r="A73">
            <v>3325113</v>
          </cell>
        </row>
        <row r="74">
          <cell r="A74">
            <v>4325111</v>
          </cell>
        </row>
        <row r="75">
          <cell r="A75">
            <v>4325112</v>
          </cell>
        </row>
        <row r="76">
          <cell r="A76">
            <v>1532071</v>
          </cell>
        </row>
        <row r="77">
          <cell r="A77">
            <v>2532071</v>
          </cell>
        </row>
        <row r="78">
          <cell r="A78">
            <v>2532072</v>
          </cell>
        </row>
        <row r="79">
          <cell r="A79">
            <v>3532071</v>
          </cell>
        </row>
        <row r="80">
          <cell r="A80">
            <v>3532072</v>
          </cell>
        </row>
        <row r="81">
          <cell r="A81">
            <v>3532073</v>
          </cell>
        </row>
        <row r="82">
          <cell r="A82">
            <v>4532071</v>
          </cell>
        </row>
        <row r="83">
          <cell r="A83">
            <v>4532072</v>
          </cell>
        </row>
        <row r="84">
          <cell r="A84">
            <v>1552111</v>
          </cell>
        </row>
        <row r="85">
          <cell r="A85">
            <v>2552111</v>
          </cell>
        </row>
        <row r="86">
          <cell r="A86">
            <v>2552112</v>
          </cell>
        </row>
        <row r="87">
          <cell r="A87">
            <v>3552111</v>
          </cell>
        </row>
        <row r="88">
          <cell r="A88">
            <v>3552112</v>
          </cell>
        </row>
        <row r="89">
          <cell r="A89">
            <v>3552113</v>
          </cell>
        </row>
        <row r="90">
          <cell r="A90">
            <v>4552111</v>
          </cell>
        </row>
        <row r="91">
          <cell r="A91">
            <v>4552112</v>
          </cell>
        </row>
        <row r="92">
          <cell r="A92">
            <v>1321201</v>
          </cell>
        </row>
        <row r="93">
          <cell r="A93">
            <v>2321201</v>
          </cell>
        </row>
        <row r="94">
          <cell r="A94">
            <v>2321202</v>
          </cell>
        </row>
        <row r="95">
          <cell r="A95">
            <v>3321201</v>
          </cell>
        </row>
        <row r="96">
          <cell r="A96">
            <v>3321202</v>
          </cell>
        </row>
        <row r="97">
          <cell r="A97">
            <v>3321203</v>
          </cell>
        </row>
        <row r="98">
          <cell r="A98">
            <v>4321201</v>
          </cell>
        </row>
        <row r="99">
          <cell r="A99">
            <v>4321202</v>
          </cell>
        </row>
        <row r="100">
          <cell r="A100">
            <v>1333131</v>
          </cell>
        </row>
        <row r="101">
          <cell r="A101">
            <v>2333131</v>
          </cell>
        </row>
        <row r="102">
          <cell r="A102">
            <v>2333132</v>
          </cell>
        </row>
        <row r="103">
          <cell r="A103">
            <v>3333131</v>
          </cell>
        </row>
        <row r="104">
          <cell r="A104">
            <v>3333132</v>
          </cell>
        </row>
        <row r="105">
          <cell r="A105">
            <v>3333133</v>
          </cell>
        </row>
        <row r="106">
          <cell r="A106">
            <v>4333131</v>
          </cell>
        </row>
        <row r="107">
          <cell r="A107">
            <v>4333132</v>
          </cell>
        </row>
        <row r="108">
          <cell r="A108">
            <v>1534061</v>
          </cell>
        </row>
        <row r="109">
          <cell r="A109">
            <v>2534061</v>
          </cell>
        </row>
        <row r="110">
          <cell r="A110">
            <v>2534062</v>
          </cell>
        </row>
        <row r="111">
          <cell r="A111">
            <v>3534061</v>
          </cell>
        </row>
        <row r="112">
          <cell r="A112">
            <v>3534062</v>
          </cell>
        </row>
        <row r="113">
          <cell r="A113">
            <v>3534063</v>
          </cell>
        </row>
        <row r="114">
          <cell r="A114">
            <v>4534061</v>
          </cell>
        </row>
        <row r="115">
          <cell r="A115">
            <v>4534062</v>
          </cell>
        </row>
        <row r="116">
          <cell r="A116">
            <v>1542051</v>
          </cell>
        </row>
        <row r="117">
          <cell r="A117">
            <v>2542051</v>
          </cell>
        </row>
        <row r="118">
          <cell r="A118">
            <v>2542052</v>
          </cell>
        </row>
        <row r="119">
          <cell r="A119">
            <v>3542051</v>
          </cell>
        </row>
        <row r="120">
          <cell r="A120">
            <v>3542052</v>
          </cell>
        </row>
        <row r="121">
          <cell r="A121">
            <v>3542053</v>
          </cell>
        </row>
        <row r="122">
          <cell r="A122">
            <v>4542051</v>
          </cell>
        </row>
        <row r="123">
          <cell r="A123">
            <v>4542052</v>
          </cell>
        </row>
        <row r="124">
          <cell r="A124">
            <v>1554101</v>
          </cell>
        </row>
        <row r="125">
          <cell r="A125">
            <v>2554101</v>
          </cell>
        </row>
        <row r="126">
          <cell r="A126">
            <v>2554102</v>
          </cell>
        </row>
        <row r="127">
          <cell r="A127">
            <v>3554101</v>
          </cell>
        </row>
        <row r="128">
          <cell r="A128">
            <v>3554102</v>
          </cell>
        </row>
        <row r="129">
          <cell r="A129">
            <v>3554103</v>
          </cell>
        </row>
        <row r="130">
          <cell r="A130">
            <v>4554101</v>
          </cell>
        </row>
        <row r="131">
          <cell r="A131">
            <v>4554102</v>
          </cell>
        </row>
        <row r="132">
          <cell r="A132">
            <v>1524041</v>
          </cell>
        </row>
        <row r="133">
          <cell r="A133">
            <v>2524041</v>
          </cell>
        </row>
        <row r="134">
          <cell r="A134">
            <v>2524042</v>
          </cell>
        </row>
        <row r="135">
          <cell r="A135">
            <v>3524041</v>
          </cell>
        </row>
        <row r="136">
          <cell r="A136">
            <v>3524042</v>
          </cell>
        </row>
        <row r="137">
          <cell r="A137">
            <v>3524043</v>
          </cell>
        </row>
        <row r="138">
          <cell r="A138">
            <v>4524041</v>
          </cell>
        </row>
        <row r="139">
          <cell r="A139">
            <v>4524042</v>
          </cell>
        </row>
        <row r="140">
          <cell r="A140">
            <v>1351161</v>
          </cell>
        </row>
        <row r="141">
          <cell r="A141">
            <v>2351161</v>
          </cell>
        </row>
        <row r="142">
          <cell r="A142">
            <v>2351162</v>
          </cell>
        </row>
        <row r="143">
          <cell r="A143">
            <v>3351161</v>
          </cell>
        </row>
        <row r="144">
          <cell r="A144">
            <v>3351162</v>
          </cell>
        </row>
        <row r="145">
          <cell r="A145">
            <v>3351163</v>
          </cell>
        </row>
        <row r="146">
          <cell r="A146">
            <v>4351161</v>
          </cell>
        </row>
        <row r="147">
          <cell r="A147">
            <v>4351162</v>
          </cell>
        </row>
        <row r="148">
          <cell r="A148">
            <v>1341231</v>
          </cell>
        </row>
        <row r="149">
          <cell r="A149">
            <v>2341231</v>
          </cell>
        </row>
        <row r="150">
          <cell r="A150">
            <v>2341232</v>
          </cell>
        </row>
        <row r="151">
          <cell r="A151">
            <v>3341231</v>
          </cell>
        </row>
        <row r="152">
          <cell r="A152">
            <v>3341232</v>
          </cell>
        </row>
        <row r="153">
          <cell r="A153">
            <v>3341233</v>
          </cell>
        </row>
        <row r="154">
          <cell r="A154">
            <v>4341231</v>
          </cell>
        </row>
        <row r="155">
          <cell r="A155">
            <v>4341232</v>
          </cell>
        </row>
        <row r="156">
          <cell r="A156">
            <v>1351191</v>
          </cell>
        </row>
        <row r="157">
          <cell r="A157">
            <v>2351191</v>
          </cell>
        </row>
        <row r="158">
          <cell r="A158">
            <v>2351192</v>
          </cell>
        </row>
        <row r="159">
          <cell r="A159">
            <v>3351191</v>
          </cell>
        </row>
        <row r="160">
          <cell r="A160">
            <v>3351192</v>
          </cell>
        </row>
        <row r="161">
          <cell r="A161">
            <v>3351193</v>
          </cell>
        </row>
        <row r="162">
          <cell r="A162">
            <v>4351191</v>
          </cell>
        </row>
        <row r="163">
          <cell r="A163">
            <v>4351192</v>
          </cell>
        </row>
        <row r="164">
          <cell r="A164">
            <v>1321241</v>
          </cell>
        </row>
        <row r="165">
          <cell r="A165">
            <v>2321241</v>
          </cell>
        </row>
        <row r="166">
          <cell r="A166">
            <v>2321242</v>
          </cell>
        </row>
        <row r="167">
          <cell r="A167">
            <v>3321241</v>
          </cell>
        </row>
        <row r="168">
          <cell r="A168">
            <v>3321242</v>
          </cell>
        </row>
        <row r="169">
          <cell r="A169">
            <v>3321243</v>
          </cell>
        </row>
        <row r="170">
          <cell r="A170">
            <v>4321241</v>
          </cell>
        </row>
        <row r="171">
          <cell r="A171">
            <v>4321242</v>
          </cell>
        </row>
        <row r="172">
          <cell r="A172">
            <v>1311181</v>
          </cell>
        </row>
        <row r="173">
          <cell r="A173">
            <v>2311181</v>
          </cell>
        </row>
        <row r="174">
          <cell r="A174">
            <v>2311182</v>
          </cell>
        </row>
        <row r="175">
          <cell r="A175">
            <v>3311181</v>
          </cell>
        </row>
        <row r="176">
          <cell r="A176">
            <v>3311182</v>
          </cell>
        </row>
        <row r="177">
          <cell r="A177">
            <v>3311183</v>
          </cell>
        </row>
        <row r="178">
          <cell r="A178">
            <v>4311181</v>
          </cell>
        </row>
        <row r="179">
          <cell r="A179">
            <v>4311182</v>
          </cell>
        </row>
        <row r="180">
          <cell r="A180">
            <v>1353141</v>
          </cell>
        </row>
        <row r="181">
          <cell r="A181">
            <v>2353141</v>
          </cell>
        </row>
        <row r="182">
          <cell r="A182">
            <v>2353142</v>
          </cell>
        </row>
        <row r="183">
          <cell r="A183">
            <v>3353141</v>
          </cell>
        </row>
        <row r="184">
          <cell r="A184">
            <v>3353142</v>
          </cell>
        </row>
        <row r="185">
          <cell r="A185">
            <v>3353143</v>
          </cell>
        </row>
        <row r="186">
          <cell r="A186">
            <v>4353141</v>
          </cell>
        </row>
        <row r="187">
          <cell r="A187">
            <v>4353142</v>
          </cell>
        </row>
        <row r="188">
          <cell r="A188">
            <v>1551091</v>
          </cell>
        </row>
        <row r="189">
          <cell r="A189">
            <v>2551091</v>
          </cell>
        </row>
        <row r="190">
          <cell r="A190">
            <v>2551092</v>
          </cell>
        </row>
        <row r="191">
          <cell r="A191">
            <v>3551091</v>
          </cell>
        </row>
        <row r="192">
          <cell r="A192">
            <v>3551092</v>
          </cell>
        </row>
        <row r="193">
          <cell r="A193">
            <v>3551093</v>
          </cell>
        </row>
        <row r="194">
          <cell r="A194">
            <v>4551091</v>
          </cell>
        </row>
        <row r="195">
          <cell r="A195">
            <v>4551092</v>
          </cell>
        </row>
        <row r="196">
          <cell r="A196">
            <v>1541021</v>
          </cell>
        </row>
        <row r="197">
          <cell r="A197">
            <v>2541021</v>
          </cell>
        </row>
        <row r="198">
          <cell r="A198">
            <v>2541022</v>
          </cell>
        </row>
        <row r="199">
          <cell r="A199">
            <v>3541021</v>
          </cell>
        </row>
        <row r="200">
          <cell r="A200">
            <v>3541022</v>
          </cell>
        </row>
        <row r="201">
          <cell r="A201">
            <v>3541023</v>
          </cell>
        </row>
        <row r="202">
          <cell r="A202">
            <v>4541021</v>
          </cell>
        </row>
        <row r="203">
          <cell r="A203">
            <v>4541022</v>
          </cell>
        </row>
        <row r="204">
          <cell r="A204">
            <v>1535261</v>
          </cell>
        </row>
        <row r="205">
          <cell r="A205">
            <v>2535261</v>
          </cell>
        </row>
        <row r="206">
          <cell r="A206">
            <v>2535262</v>
          </cell>
        </row>
        <row r="207">
          <cell r="A207">
            <v>3535261</v>
          </cell>
        </row>
        <row r="208">
          <cell r="A208">
            <v>3535262</v>
          </cell>
        </row>
        <row r="209">
          <cell r="A209">
            <v>3535263</v>
          </cell>
        </row>
        <row r="210">
          <cell r="A210">
            <v>4535261</v>
          </cell>
        </row>
        <row r="211">
          <cell r="A211">
            <v>4535262</v>
          </cell>
        </row>
        <row r="212">
          <cell r="A212">
            <v>1513271</v>
          </cell>
        </row>
        <row r="213">
          <cell r="A213">
            <v>2513271</v>
          </cell>
        </row>
        <row r="214">
          <cell r="A214">
            <v>2513272</v>
          </cell>
        </row>
        <row r="215">
          <cell r="A215">
            <v>3513271</v>
          </cell>
        </row>
        <row r="216">
          <cell r="A216">
            <v>3513272</v>
          </cell>
        </row>
        <row r="217">
          <cell r="A217">
            <v>3513273</v>
          </cell>
        </row>
        <row r="218">
          <cell r="A218">
            <v>4513271</v>
          </cell>
        </row>
        <row r="219">
          <cell r="A219">
            <v>4513272</v>
          </cell>
        </row>
        <row r="220">
          <cell r="A220">
            <v>1534281</v>
          </cell>
        </row>
        <row r="221">
          <cell r="A221">
            <v>2534281</v>
          </cell>
        </row>
        <row r="222">
          <cell r="A222">
            <v>2534282</v>
          </cell>
        </row>
        <row r="223">
          <cell r="A223">
            <v>3534281</v>
          </cell>
        </row>
        <row r="224">
          <cell r="A224">
            <v>3534282</v>
          </cell>
        </row>
        <row r="225">
          <cell r="A225">
            <v>3534283</v>
          </cell>
        </row>
        <row r="226">
          <cell r="A226">
            <v>4534281</v>
          </cell>
        </row>
        <row r="227">
          <cell r="A227">
            <v>4534282</v>
          </cell>
        </row>
        <row r="228">
          <cell r="A228">
            <v>1511291</v>
          </cell>
        </row>
        <row r="229">
          <cell r="A229">
            <v>2511291</v>
          </cell>
        </row>
        <row r="230">
          <cell r="A230">
            <v>2511292</v>
          </cell>
        </row>
        <row r="231">
          <cell r="A231">
            <v>3511291</v>
          </cell>
        </row>
        <row r="232">
          <cell r="A232">
            <v>3511292</v>
          </cell>
        </row>
        <row r="233">
          <cell r="A233">
            <v>3511293</v>
          </cell>
        </row>
        <row r="234">
          <cell r="A234">
            <v>4511291</v>
          </cell>
        </row>
        <row r="235">
          <cell r="A235">
            <v>4511292</v>
          </cell>
        </row>
        <row r="236">
          <cell r="A236">
            <v>1551301</v>
          </cell>
        </row>
        <row r="237">
          <cell r="A237">
            <v>2551301</v>
          </cell>
        </row>
        <row r="238">
          <cell r="A238">
            <v>2551302</v>
          </cell>
        </row>
        <row r="239">
          <cell r="A239">
            <v>3551301</v>
          </cell>
        </row>
        <row r="240">
          <cell r="A240">
            <v>3551302</v>
          </cell>
        </row>
        <row r="241">
          <cell r="A241">
            <v>3551303</v>
          </cell>
        </row>
        <row r="242">
          <cell r="A242">
            <v>4551301</v>
          </cell>
        </row>
        <row r="243">
          <cell r="A243">
            <v>4551302</v>
          </cell>
        </row>
        <row r="244">
          <cell r="A244">
            <v>1531311</v>
          </cell>
        </row>
        <row r="245">
          <cell r="A245">
            <v>2531311</v>
          </cell>
        </row>
        <row r="246">
          <cell r="A246">
            <v>2531312</v>
          </cell>
        </row>
        <row r="247">
          <cell r="A247">
            <v>3531311</v>
          </cell>
        </row>
        <row r="248">
          <cell r="A248">
            <v>3531312</v>
          </cell>
        </row>
        <row r="249">
          <cell r="A249">
            <v>3531313</v>
          </cell>
        </row>
        <row r="250">
          <cell r="A250">
            <v>4531311</v>
          </cell>
        </row>
        <row r="251">
          <cell r="A251">
            <v>4531312</v>
          </cell>
        </row>
        <row r="252">
          <cell r="A252">
            <v>1512321</v>
          </cell>
        </row>
        <row r="253">
          <cell r="A253">
            <v>2512321</v>
          </cell>
        </row>
        <row r="254">
          <cell r="A254">
            <v>2512322</v>
          </cell>
        </row>
        <row r="255">
          <cell r="A255">
            <v>3512321</v>
          </cell>
        </row>
        <row r="256">
          <cell r="A256">
            <v>3512322</v>
          </cell>
        </row>
        <row r="257">
          <cell r="A257">
            <v>3512323</v>
          </cell>
        </row>
        <row r="258">
          <cell r="A258">
            <v>4512321</v>
          </cell>
        </row>
        <row r="259">
          <cell r="A259">
            <v>4512322</v>
          </cell>
        </row>
        <row r="260">
          <cell r="A260">
            <v>1524331</v>
          </cell>
        </row>
        <row r="261">
          <cell r="A261">
            <v>2524331</v>
          </cell>
        </row>
        <row r="262">
          <cell r="A262">
            <v>2524332</v>
          </cell>
        </row>
        <row r="263">
          <cell r="A263">
            <v>3524331</v>
          </cell>
        </row>
        <row r="264">
          <cell r="A264">
            <v>3524332</v>
          </cell>
        </row>
        <row r="265">
          <cell r="A265">
            <v>3524333</v>
          </cell>
        </row>
        <row r="266">
          <cell r="A266">
            <v>4524331</v>
          </cell>
        </row>
        <row r="267">
          <cell r="A267">
            <v>4524332</v>
          </cell>
        </row>
        <row r="268">
          <cell r="A268">
            <v>1451341</v>
          </cell>
        </row>
        <row r="269">
          <cell r="A269">
            <v>2451341</v>
          </cell>
        </row>
        <row r="270">
          <cell r="A270">
            <v>2451342</v>
          </cell>
        </row>
        <row r="271">
          <cell r="A271">
            <v>3451341</v>
          </cell>
        </row>
        <row r="272">
          <cell r="A272">
            <v>3451342</v>
          </cell>
        </row>
        <row r="273">
          <cell r="A273">
            <v>3451343</v>
          </cell>
        </row>
        <row r="274">
          <cell r="A274">
            <v>4451341</v>
          </cell>
        </row>
        <row r="275">
          <cell r="A275">
            <v>4451342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4"/>
  <sheetViews>
    <sheetView workbookViewId="0">
      <selection activeCell="C9" sqref="C9"/>
    </sheetView>
  </sheetViews>
  <sheetFormatPr baseColWidth="8" defaultRowHeight="16.5"/>
  <cols>
    <col width="10.625" customWidth="1" style="68" min="1" max="1"/>
    <col width="15.125" customWidth="1" style="68" min="2" max="2"/>
    <col width="72.25" customWidth="1" style="68" min="3" max="3"/>
  </cols>
  <sheetData>
    <row r="2">
      <c r="A2" s="4" t="inlineStr">
        <is>
          <t>Base 테이블</t>
        </is>
      </c>
      <c r="B2" s="20" t="n"/>
      <c r="C2" s="20" t="n"/>
    </row>
    <row r="3">
      <c r="A3" s="18" t="inlineStr">
        <is>
          <t>DATA</t>
        </is>
      </c>
      <c r="B3" s="18" t="inlineStr">
        <is>
          <t>Type</t>
        </is>
      </c>
      <c r="C3" s="18" t="inlineStr">
        <is>
          <t>Desc</t>
        </is>
      </c>
    </row>
    <row r="4">
      <c r="A4" s="67" t="inlineStr">
        <is>
          <t>Id</t>
        </is>
      </c>
      <c r="B4" s="67" t="inlineStr">
        <is>
          <t>int</t>
        </is>
      </c>
      <c r="C4" s="67" t="inlineStr">
        <is>
          <t>id</t>
        </is>
      </c>
    </row>
    <row r="5">
      <c r="A5" s="67" t="inlineStr">
        <is>
          <t>Name</t>
        </is>
      </c>
      <c r="B5" s="67" t="inlineStr">
        <is>
          <t>string</t>
        </is>
      </c>
      <c r="C5" s="67" t="inlineStr">
        <is>
          <t>이름</t>
        </is>
      </c>
    </row>
    <row r="6">
      <c r="C6" s="67" t="inlineStr">
        <is>
          <t>- Localization 테이블의 키 값을 입력한다.</t>
        </is>
      </c>
    </row>
    <row r="7">
      <c r="A7" s="67" t="inlineStr">
        <is>
          <t>Spine</t>
        </is>
      </c>
      <c r="B7" s="67" t="inlineStr">
        <is>
          <t>string</t>
        </is>
      </c>
      <c r="C7" s="67" t="inlineStr">
        <is>
          <t>스파인 리소스 파일명.</t>
        </is>
      </c>
    </row>
    <row r="8">
      <c r="C8" s="67" t="inlineStr">
        <is>
          <t>- 스파인 리소스는 Front와 Back 2개의 세트로 구성된다.</t>
        </is>
      </c>
    </row>
    <row r="9">
      <c r="C9" s="67" t="inlineStr">
        <is>
          <t>- 스파인 리소스 파일명 규칙 확정 필요. (ex. Spine_Eve_Front)</t>
        </is>
      </c>
    </row>
    <row r="10">
      <c r="A10" s="67" t="inlineStr">
        <is>
          <t>Illust</t>
        </is>
      </c>
      <c r="B10" s="67" t="inlineStr">
        <is>
          <t>string</t>
        </is>
      </c>
      <c r="C10" s="67" t="inlineStr">
        <is>
          <t>일러스트 리소스 파일명.</t>
        </is>
      </c>
    </row>
    <row r="11">
      <c r="A11" s="67" t="inlineStr">
        <is>
          <t>Icon</t>
        </is>
      </c>
      <c r="B11" s="67" t="inlineStr">
        <is>
          <t>string</t>
        </is>
      </c>
      <c r="C11" s="67" t="inlineStr">
        <is>
          <t>캐릭터 아이콘 파일명</t>
        </is>
      </c>
    </row>
    <row r="12">
      <c r="A12" s="67" t="n"/>
      <c r="B12" s="67" t="n"/>
      <c r="C12" s="67" t="n"/>
    </row>
    <row r="13">
      <c r="A13" s="67" t="n"/>
      <c r="B13" s="67" t="n"/>
      <c r="C13" s="67" t="n"/>
    </row>
    <row r="15">
      <c r="A15" s="4" t="inlineStr">
        <is>
          <t>Child 테이블</t>
        </is>
      </c>
      <c r="B15" s="4" t="n"/>
      <c r="C15" s="4" t="n"/>
    </row>
    <row r="16">
      <c r="A16" s="18" t="inlineStr">
        <is>
          <t>DATA</t>
        </is>
      </c>
      <c r="B16" s="18" t="inlineStr">
        <is>
          <t>Type</t>
        </is>
      </c>
      <c r="C16" s="18" t="inlineStr">
        <is>
          <t>Desc</t>
        </is>
      </c>
    </row>
    <row r="17">
      <c r="A17" s="67" t="inlineStr">
        <is>
          <t>Id</t>
        </is>
      </c>
      <c r="B17" s="67" t="inlineStr">
        <is>
          <t>int</t>
        </is>
      </c>
      <c r="C17" s="67" t="inlineStr">
        <is>
          <t>id</t>
        </is>
      </c>
    </row>
    <row r="18">
      <c r="A18" s="67" t="inlineStr">
        <is>
          <t>BaseId</t>
        </is>
      </c>
      <c r="B18" s="67" t="inlineStr">
        <is>
          <t>int</t>
        </is>
      </c>
      <c r="C18" s="67" t="inlineStr">
        <is>
          <t>사용할 캐릭터의 Base 테이블의 id를 입력한다.</t>
        </is>
      </c>
    </row>
    <row r="19">
      <c r="A19" s="67" t="inlineStr">
        <is>
          <t>Name</t>
        </is>
      </c>
      <c r="B19" s="67" t="inlineStr">
        <is>
          <t>string</t>
        </is>
      </c>
      <c r="C19" s="67" t="inlineStr">
        <is>
          <t>이름</t>
        </is>
      </c>
    </row>
    <row r="20">
      <c r="C20" s="67" t="inlineStr">
        <is>
          <t>- Localization 테이블의 키 값을 입력한다.</t>
        </is>
      </c>
    </row>
    <row r="21">
      <c r="A21" s="67" t="inlineStr">
        <is>
          <t>Grade</t>
        </is>
      </c>
      <c r="B21" s="67" t="inlineStr">
        <is>
          <t>Enum.Grade</t>
        </is>
      </c>
      <c r="C21" s="67" t="inlineStr">
        <is>
          <t>캐릭터의 등급을 지정한다.</t>
        </is>
      </c>
    </row>
    <row r="22">
      <c r="C22" s="67" t="inlineStr">
        <is>
          <t>0: NONE</t>
        </is>
      </c>
    </row>
    <row r="23">
      <c r="C23" s="67" t="inlineStr">
        <is>
          <t>1: 1성</t>
        </is>
      </c>
    </row>
    <row r="24">
      <c r="C24" s="67" t="inlineStr">
        <is>
          <t>2: 2성</t>
        </is>
      </c>
    </row>
    <row r="25">
      <c r="C25" s="67" t="inlineStr">
        <is>
          <t>3: 3성</t>
        </is>
      </c>
    </row>
    <row r="26">
      <c r="A26" s="67" t="inlineStr">
        <is>
          <t>Element</t>
        </is>
      </c>
      <c r="B26" s="67" t="inlineStr">
        <is>
          <t>Enum.Element</t>
        </is>
      </c>
      <c r="C26" s="67" t="inlineStr">
        <is>
          <t>캐릭터의 속성을 지정한다.</t>
        </is>
      </c>
    </row>
    <row r="27">
      <c r="C27" s="67" t="inlineStr">
        <is>
          <t>0: NONE</t>
        </is>
      </c>
    </row>
    <row r="28">
      <c r="C28" s="67" t="inlineStr">
        <is>
          <t>1: 수속성</t>
        </is>
      </c>
    </row>
    <row r="29">
      <c r="C29" s="67" t="inlineStr">
        <is>
          <t>2: 화속성</t>
        </is>
      </c>
    </row>
    <row r="30">
      <c r="C30" s="67" t="inlineStr">
        <is>
          <t>3: 목속성</t>
        </is>
      </c>
    </row>
    <row r="31">
      <c r="C31" s="67" t="inlineStr">
        <is>
          <t>4: 광속성</t>
        </is>
      </c>
    </row>
    <row r="32">
      <c r="C32" s="67" t="inlineStr">
        <is>
          <t>5: 암속성</t>
        </is>
      </c>
    </row>
    <row r="33">
      <c r="A33" s="67" t="inlineStr">
        <is>
          <t>Role</t>
        </is>
      </c>
      <c r="B33" s="67" t="inlineStr">
        <is>
          <t>Enum.Role</t>
        </is>
      </c>
      <c r="C33" s="67" t="inlineStr">
        <is>
          <t>캐릭터의 직업을 지정한다.</t>
        </is>
      </c>
    </row>
    <row r="34">
      <c r="C34" s="67" t="inlineStr">
        <is>
          <t>0: NONE</t>
        </is>
      </c>
    </row>
    <row r="35">
      <c r="C35" s="67" t="inlineStr">
        <is>
          <t>1: 공격형</t>
        </is>
      </c>
    </row>
    <row r="36">
      <c r="C36" s="67" t="inlineStr">
        <is>
          <t>2: 방어형</t>
        </is>
      </c>
    </row>
    <row r="37">
      <c r="C37" s="67" t="inlineStr">
        <is>
          <t>3: 마법형</t>
        </is>
      </c>
    </row>
    <row r="38">
      <c r="C38" s="67" t="inlineStr">
        <is>
          <t>4: 보조형</t>
        </is>
      </c>
    </row>
    <row r="39" ht="16.5" customHeight="1" s="66">
      <c r="A39" s="67" t="inlineStr">
        <is>
          <t>StatParam</t>
        </is>
      </c>
      <c r="B39" s="67" t="inlineStr">
        <is>
          <t>Enum.StatParam</t>
        </is>
      </c>
      <c r="C39" s="67" t="inlineStr">
        <is>
          <t>스탯 종류</t>
        </is>
      </c>
    </row>
    <row r="40">
      <c r="C40" s="67" t="inlineStr">
        <is>
          <t>- 스탯 종류를 설정한다.</t>
        </is>
      </c>
    </row>
    <row r="41">
      <c r="A41" s="67" t="inlineStr">
        <is>
          <t>StatValue</t>
        </is>
      </c>
      <c r="B41" s="67" t="inlineStr">
        <is>
          <t>int</t>
        </is>
      </c>
      <c r="C41" s="67" t="inlineStr">
        <is>
          <t>스탯 초기 값</t>
        </is>
      </c>
    </row>
    <row r="42">
      <c r="C42" s="67" t="inlineStr">
        <is>
          <t>- 캐릭터의 1레벨의 성장되지 않은 초기 값이다.</t>
        </is>
      </c>
    </row>
    <row r="43">
      <c r="C43" s="67" t="inlineStr">
        <is>
          <t>- 확장 가능</t>
        </is>
      </c>
    </row>
    <row r="44">
      <c r="A44" s="67" t="inlineStr">
        <is>
          <t>SkillId</t>
        </is>
      </c>
      <c r="B44" s="67" t="inlineStr">
        <is>
          <t>int</t>
        </is>
      </c>
      <c r="C44" s="67" t="inlineStr">
        <is>
          <t>스킬 id</t>
        </is>
      </c>
    </row>
    <row r="45">
      <c r="C45" s="67" t="inlineStr">
        <is>
          <t>- 스킬 테이블의 id를 입력한다.</t>
        </is>
      </c>
    </row>
    <row r="46">
      <c r="C46" s="67" t="inlineStr">
        <is>
          <t>- 한 캐릭터에 같은 스킬 id 값은 사용 불가</t>
        </is>
      </c>
    </row>
    <row r="47">
      <c r="C47" s="67" t="inlineStr">
        <is>
          <t>- 확장 가능</t>
        </is>
      </c>
    </row>
    <row r="51">
      <c r="A51" s="4" t="inlineStr">
        <is>
          <t>Monster 테이블</t>
        </is>
      </c>
      <c r="B51" s="4" t="n"/>
      <c r="C51" s="4" t="n"/>
    </row>
    <row r="52">
      <c r="A52" s="18" t="inlineStr">
        <is>
          <t>DATA</t>
        </is>
      </c>
      <c r="B52" s="18" t="inlineStr">
        <is>
          <t>Type</t>
        </is>
      </c>
      <c r="C52" s="18" t="inlineStr">
        <is>
          <t>Desc</t>
        </is>
      </c>
    </row>
    <row r="53">
      <c r="A53" s="67" t="inlineStr">
        <is>
          <t>Id</t>
        </is>
      </c>
      <c r="B53" s="67" t="inlineStr">
        <is>
          <t>int</t>
        </is>
      </c>
      <c r="C53" s="67" t="inlineStr">
        <is>
          <t>id</t>
        </is>
      </c>
    </row>
    <row r="54">
      <c r="A54" s="67" t="inlineStr">
        <is>
          <t>BaseId</t>
        </is>
      </c>
      <c r="B54" s="67" t="inlineStr">
        <is>
          <t>int</t>
        </is>
      </c>
      <c r="C54" s="67" t="inlineStr">
        <is>
          <t>사용할 캐릭터의 Base 테이블의 id를 입력한다.</t>
        </is>
      </c>
    </row>
    <row r="55">
      <c r="A55" s="67" t="inlineStr">
        <is>
          <t>Name</t>
        </is>
      </c>
      <c r="B55" s="67" t="inlineStr">
        <is>
          <t>string</t>
        </is>
      </c>
      <c r="C55" s="67" t="inlineStr">
        <is>
          <t>이름</t>
        </is>
      </c>
    </row>
    <row r="56">
      <c r="C56" s="67" t="inlineStr">
        <is>
          <t>- Localization 테이블의 키 값을 입력한다.</t>
        </is>
      </c>
    </row>
    <row r="57">
      <c r="A57" s="67" t="inlineStr">
        <is>
          <t>Size</t>
        </is>
      </c>
      <c r="B57" s="67" t="inlineStr">
        <is>
          <t>Enum.Size</t>
        </is>
      </c>
      <c r="C57" s="67" t="inlineStr">
        <is>
          <t>몬스터의 크기</t>
        </is>
      </c>
    </row>
    <row r="58">
      <c r="C58" s="67" t="inlineStr">
        <is>
          <t>0: NONE</t>
        </is>
      </c>
    </row>
    <row r="59">
      <c r="C59" s="67" t="inlineStr">
        <is>
          <t>1: 1칸 크기</t>
        </is>
      </c>
    </row>
    <row r="60">
      <c r="C60" s="67" t="inlineStr">
        <is>
          <t>2: 3x3 크기</t>
        </is>
      </c>
    </row>
    <row r="61">
      <c r="A61" s="67" t="inlineStr">
        <is>
          <t>MonsterType</t>
        </is>
      </c>
      <c r="B61" s="67" t="inlineStr">
        <is>
          <t>Enum.MonsterType</t>
        </is>
      </c>
      <c r="C61" s="67" t="inlineStr">
        <is>
          <t>몬스터의 종류를 입력한다.</t>
        </is>
      </c>
    </row>
    <row r="62">
      <c r="C62" s="67" t="inlineStr">
        <is>
          <t>0: NONE</t>
        </is>
      </c>
    </row>
    <row r="63">
      <c r="C63" s="67" t="inlineStr">
        <is>
          <t>1: 일반</t>
        </is>
      </c>
    </row>
    <row r="64">
      <c r="C64" s="67" t="inlineStr">
        <is>
          <t>10: 보스</t>
        </is>
      </c>
    </row>
    <row r="65">
      <c r="A65" s="67" t="inlineStr">
        <is>
          <t>Element</t>
        </is>
      </c>
      <c r="B65" s="67" t="inlineStr">
        <is>
          <t>Enum.Element</t>
        </is>
      </c>
      <c r="C65" s="67" t="inlineStr">
        <is>
          <t>캐릭터의 속성을 지정한다.</t>
        </is>
      </c>
    </row>
    <row r="66">
      <c r="C66" s="67" t="inlineStr">
        <is>
          <t>0: NONE</t>
        </is>
      </c>
    </row>
    <row r="67">
      <c r="C67" s="67" t="inlineStr">
        <is>
          <t>1: 수속성</t>
        </is>
      </c>
    </row>
    <row r="68">
      <c r="C68" s="67" t="inlineStr">
        <is>
          <t>2: 화속성</t>
        </is>
      </c>
    </row>
    <row r="69">
      <c r="C69" s="67" t="inlineStr">
        <is>
          <t>3: 목속성</t>
        </is>
      </c>
    </row>
    <row r="70">
      <c r="C70" s="67" t="inlineStr">
        <is>
          <t>4: 광속성</t>
        </is>
      </c>
    </row>
    <row r="71">
      <c r="C71" s="67" t="inlineStr">
        <is>
          <t>5: 암속성</t>
        </is>
      </c>
    </row>
    <row r="72">
      <c r="A72" s="67" t="inlineStr">
        <is>
          <t>Role</t>
        </is>
      </c>
      <c r="B72" s="67" t="inlineStr">
        <is>
          <t>Enum.Role</t>
        </is>
      </c>
      <c r="C72" s="67" t="inlineStr">
        <is>
          <t>캐릭터의 직업을 지정한다.</t>
        </is>
      </c>
    </row>
    <row r="73">
      <c r="C73" s="67" t="inlineStr">
        <is>
          <t>0: NONE</t>
        </is>
      </c>
    </row>
    <row r="74">
      <c r="C74" s="67" t="inlineStr">
        <is>
          <t>1: 공격형</t>
        </is>
      </c>
    </row>
    <row r="75">
      <c r="C75" s="67" t="inlineStr">
        <is>
          <t>2: 방어형</t>
        </is>
      </c>
    </row>
    <row r="76">
      <c r="C76" s="67" t="inlineStr">
        <is>
          <t>3: 마법형</t>
        </is>
      </c>
    </row>
    <row r="77">
      <c r="C77" s="67" t="inlineStr">
        <is>
          <t>4: 보조형</t>
        </is>
      </c>
    </row>
    <row r="78" ht="16.5" customHeight="1" s="66">
      <c r="A78" s="67" t="inlineStr">
        <is>
          <t>StatParam</t>
        </is>
      </c>
      <c r="B78" s="67" t="inlineStr">
        <is>
          <t>Enum.StatParam</t>
        </is>
      </c>
      <c r="C78" s="67" t="inlineStr">
        <is>
          <t>스탯 종류</t>
        </is>
      </c>
    </row>
    <row r="79">
      <c r="C79" s="67" t="inlineStr">
        <is>
          <t>- 스탯 종류를 설정한다.</t>
        </is>
      </c>
    </row>
    <row r="80">
      <c r="A80" s="67" t="inlineStr">
        <is>
          <t>StatValue</t>
        </is>
      </c>
      <c r="B80" s="67" t="inlineStr">
        <is>
          <t>int</t>
        </is>
      </c>
      <c r="C80" s="67" t="inlineStr">
        <is>
          <t>스탯 초기 값</t>
        </is>
      </c>
    </row>
    <row r="81">
      <c r="C81" s="67" t="inlineStr">
        <is>
          <t>- 캐릭터의 1레벨의 성장되지 않은 초기 값이다.</t>
        </is>
      </c>
    </row>
    <row r="82">
      <c r="C82" s="67" t="inlineStr">
        <is>
          <t>- 확장 가능</t>
        </is>
      </c>
    </row>
    <row r="83">
      <c r="A83" s="67" t="inlineStr">
        <is>
          <t>SkillId</t>
        </is>
      </c>
      <c r="B83" s="67" t="inlineStr">
        <is>
          <t>int</t>
        </is>
      </c>
      <c r="C83" s="67" t="inlineStr">
        <is>
          <t>스킬 id</t>
        </is>
      </c>
    </row>
    <row r="84">
      <c r="C84" s="67" t="inlineStr">
        <is>
          <t>- 스킬 테이블의 id를 입력한다.</t>
        </is>
      </c>
    </row>
    <row r="85">
      <c r="C85" s="67" t="inlineStr">
        <is>
          <t>- 한 캐릭터에 같은 스킬 id 값은 사용 불가</t>
        </is>
      </c>
    </row>
    <row r="86">
      <c r="C86" s="67" t="inlineStr">
        <is>
          <t>- 확장 가능</t>
        </is>
      </c>
    </row>
    <row r="90">
      <c r="A90" s="4" t="inlineStr">
        <is>
          <t>LevelupStat 테이블</t>
        </is>
      </c>
      <c r="B90" s="4" t="n"/>
      <c r="C90" s="4" t="n"/>
    </row>
    <row r="91">
      <c r="A91" s="18" t="inlineStr">
        <is>
          <t>DATA</t>
        </is>
      </c>
      <c r="B91" s="18" t="inlineStr">
        <is>
          <t>Type</t>
        </is>
      </c>
      <c r="C91" s="18" t="inlineStr">
        <is>
          <t>Desc</t>
        </is>
      </c>
    </row>
    <row r="92">
      <c r="A92" s="67" t="inlineStr">
        <is>
          <t>Id</t>
        </is>
      </c>
      <c r="B92" s="67" t="inlineStr">
        <is>
          <t>int</t>
        </is>
      </c>
      <c r="C92" s="67" t="inlineStr">
        <is>
          <t>id (캐릭터 레벨과 동일하다.)</t>
        </is>
      </c>
    </row>
    <row r="93">
      <c r="A93" s="67" t="inlineStr">
        <is>
          <t>StatParam</t>
        </is>
      </c>
      <c r="B93" s="67" t="inlineStr">
        <is>
          <t>Enum.StatParam</t>
        </is>
      </c>
      <c r="C93" s="67" t="inlineStr">
        <is>
          <t>레벨업 시 증가할 스탯을 입력한다.</t>
        </is>
      </c>
    </row>
    <row r="94">
      <c r="A94" s="67" t="inlineStr">
        <is>
          <t>LevelValue</t>
        </is>
      </c>
      <c r="B94" s="67" t="inlineStr">
        <is>
          <t>int</t>
        </is>
      </c>
      <c r="C94" s="67" t="inlineStr">
        <is>
          <t>해당 레벨에서 곱해질 스탯 배율을 입력한다.</t>
        </is>
      </c>
    </row>
    <row r="95">
      <c r="C95" s="67" t="inlineStr">
        <is>
          <t>- 값은 1/100,000 단위이다.</t>
        </is>
      </c>
    </row>
    <row r="96">
      <c r="C96" s="67" t="inlineStr">
        <is>
          <t>- ex) 126,000 값일 경우 실제 적용되는 값은 126%이다.</t>
        </is>
      </c>
    </row>
    <row r="101">
      <c r="A101" s="4" t="inlineStr">
        <is>
          <t>LevelupExp 테이블</t>
        </is>
      </c>
      <c r="B101" s="22" t="n"/>
      <c r="C101" s="22" t="n"/>
    </row>
    <row r="102">
      <c r="A102" s="18" t="inlineStr">
        <is>
          <t>DATA</t>
        </is>
      </c>
      <c r="B102" s="18" t="inlineStr">
        <is>
          <t>Type</t>
        </is>
      </c>
      <c r="C102" s="18" t="inlineStr">
        <is>
          <t>Desc</t>
        </is>
      </c>
    </row>
    <row r="103">
      <c r="A103" s="67" t="inlineStr">
        <is>
          <t>Id</t>
        </is>
      </c>
      <c r="B103" s="67" t="inlineStr">
        <is>
          <t>int</t>
        </is>
      </c>
      <c r="C103" s="67" t="inlineStr">
        <is>
          <t>id (캐릭터 레벨과 동일하다.)</t>
        </is>
      </c>
    </row>
    <row r="104">
      <c r="A104" s="67" t="inlineStr">
        <is>
          <t>NeedExp</t>
        </is>
      </c>
      <c r="B104" s="67" t="inlineStr">
        <is>
          <t>int</t>
        </is>
      </c>
      <c r="C104" s="67" t="inlineStr">
        <is>
          <t>레벨업에 필요한 경험치를 입력한다.</t>
        </is>
      </c>
    </row>
  </sheetData>
  <mergeCells count="36">
    <mergeCell ref="A21:A25"/>
    <mergeCell ref="A61:A64"/>
    <mergeCell ref="A78:A79"/>
    <mergeCell ref="B72:B77"/>
    <mergeCell ref="B80:B82"/>
    <mergeCell ref="B39:B40"/>
    <mergeCell ref="A26:A32"/>
    <mergeCell ref="B65:B71"/>
    <mergeCell ref="B61:B64"/>
    <mergeCell ref="A55:A56"/>
    <mergeCell ref="B78:B79"/>
    <mergeCell ref="B94:B96"/>
    <mergeCell ref="B7:B9"/>
    <mergeCell ref="B41:B43"/>
    <mergeCell ref="B57:B60"/>
    <mergeCell ref="B19:B20"/>
    <mergeCell ref="A5:A6"/>
    <mergeCell ref="B44:B47"/>
    <mergeCell ref="B26:B32"/>
    <mergeCell ref="B83:B86"/>
    <mergeCell ref="B55:B56"/>
    <mergeCell ref="A94:A96"/>
    <mergeCell ref="A41:A43"/>
    <mergeCell ref="A33:A38"/>
    <mergeCell ref="A57:A60"/>
    <mergeCell ref="B5:B6"/>
    <mergeCell ref="B33:B38"/>
    <mergeCell ref="A19:A20"/>
    <mergeCell ref="A44:A47"/>
    <mergeCell ref="A7:A9"/>
    <mergeCell ref="B21:B25"/>
    <mergeCell ref="A83:A86"/>
    <mergeCell ref="A39:A40"/>
    <mergeCell ref="A65:A71"/>
    <mergeCell ref="A72:A77"/>
    <mergeCell ref="A80:A8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73"/>
  <sheetViews>
    <sheetView tabSelected="1" topLeftCell="A25" workbookViewId="0">
      <selection activeCell="J57" sqref="J57"/>
    </sheetView>
  </sheetViews>
  <sheetFormatPr baseColWidth="8" defaultRowHeight="16.5"/>
  <cols>
    <col width="9" customWidth="1" style="1" min="1" max="1"/>
    <col width="12.75" bestFit="1" customWidth="1" style="1" min="2" max="2"/>
    <col width="6.75" customWidth="1" style="1" min="3" max="3"/>
    <col width="9.75" customWidth="1" style="1" min="4" max="4"/>
    <col width="20.625" customWidth="1" style="1" min="5" max="5"/>
    <col width="19.875" customWidth="1" style="1" min="6" max="6"/>
    <col width="10.625" customWidth="1" style="68" min="7" max="7"/>
    <col width="9" customWidth="1" style="68" min="8" max="8"/>
    <col width="11.375" customWidth="1" style="68" min="9" max="11"/>
    <col width="9" customWidth="1" style="1" min="12" max="14"/>
    <col width="11.875" customWidth="1" style="1" min="15" max="15"/>
    <col width="6.5" customWidth="1" style="1" min="16" max="16"/>
    <col width="6.125" customWidth="1" style="1" min="17" max="20"/>
    <col outlineLevel="1" width="9.125" bestFit="1" customWidth="1" style="1" min="21" max="21"/>
    <col outlineLevel="1" width="8.5" bestFit="1" customWidth="1" style="1" min="22" max="22"/>
    <col outlineLevel="1" width="9.125" bestFit="1" customWidth="1" style="1" min="23" max="23"/>
    <col outlineLevel="1" width="8.5" bestFit="1" customWidth="1" style="1" min="24" max="24"/>
    <col outlineLevel="1" width="9.125" bestFit="1" customWidth="1" style="1" min="25" max="25"/>
    <col outlineLevel="1" width="8.5" bestFit="1" customWidth="1" style="1" min="26" max="26"/>
    <col outlineLevel="1" width="9.125" bestFit="1" customWidth="1" style="1" min="27" max="27"/>
    <col outlineLevel="1" width="8.5" bestFit="1" customWidth="1" style="1" min="28" max="28"/>
    <col outlineLevel="1" width="10" bestFit="1" customWidth="1" style="1" min="29" max="29"/>
    <col outlineLevel="1" width="8.5" bestFit="1" customWidth="1" style="1" min="30" max="30"/>
    <col outlineLevel="1" width="9.125" bestFit="1" customWidth="1" style="1" min="31" max="31"/>
    <col outlineLevel="1" width="8.5" bestFit="1" customWidth="1" style="1" min="32" max="32"/>
    <col outlineLevel="1" width="9.125" bestFit="1" customWidth="1" style="1" min="33" max="33"/>
    <col outlineLevel="1" width="8.5" bestFit="1" customWidth="1" style="1" min="34" max="34"/>
    <col outlineLevel="1" width="9.125" bestFit="1" customWidth="1" style="1" min="35" max="35"/>
    <col outlineLevel="1" width="8.5" bestFit="1" customWidth="1" style="1" min="36" max="36"/>
    <col outlineLevel="1" width="10.125" bestFit="1" customWidth="1" style="1" min="37" max="37"/>
    <col outlineLevel="1" width="8.5" bestFit="1" customWidth="1" style="1" min="38" max="38"/>
    <col width="9" customWidth="1" style="1" min="39" max="45"/>
  </cols>
  <sheetData>
    <row r="1" customFormat="1" s="12">
      <c r="A1" s="5" t="inlineStr">
        <is>
          <t>Id</t>
        </is>
      </c>
      <c r="B1" s="6" t="inlineStr">
        <is>
          <t>#이름</t>
        </is>
      </c>
      <c r="C1" s="6" t="inlineStr">
        <is>
          <t>Skin</t>
        </is>
      </c>
      <c r="D1" s="6" t="inlineStr">
        <is>
          <t>#DefaultSoul</t>
        </is>
      </c>
      <c r="E1" s="6" t="inlineStr">
        <is>
          <t>Name</t>
        </is>
      </c>
      <c r="F1" s="6" t="inlineStr">
        <is>
          <t>Profile</t>
        </is>
      </c>
      <c r="G1" s="6" t="inlineStr">
        <is>
          <t>MonsterType</t>
        </is>
      </c>
      <c r="H1" s="6" t="inlineStr">
        <is>
          <t>Size</t>
        </is>
      </c>
      <c r="I1" s="6" t="inlineStr">
        <is>
          <t>Scale</t>
        </is>
      </c>
      <c r="J1" s="6" t="inlineStr">
        <is>
          <t>UseHud</t>
        </is>
      </c>
      <c r="K1" s="6" t="inlineStr">
        <is>
          <t>StatusOffset</t>
        </is>
      </c>
      <c r="L1" s="6" t="inlineStr">
        <is>
          <t>StarGrade</t>
        </is>
      </c>
      <c r="M1" s="6" t="inlineStr">
        <is>
          <t>Element</t>
        </is>
      </c>
      <c r="N1" s="6" t="inlineStr">
        <is>
          <t>Role</t>
        </is>
      </c>
      <c r="O1" s="6" t="inlineStr">
        <is>
          <t>LevelUpGroup</t>
        </is>
      </c>
      <c r="P1" s="6" t="inlineStr">
        <is>
          <t>MaxSp</t>
        </is>
      </c>
      <c r="Q1" s="6" t="inlineStr">
        <is>
          <t>UseSp</t>
        </is>
      </c>
      <c r="R1" s="6" t="inlineStr">
        <is>
          <t>TurnSp</t>
        </is>
      </c>
      <c r="S1" s="6" t="inlineStr">
        <is>
          <t>AtkSp</t>
        </is>
      </c>
      <c r="T1" s="6" t="inlineStr">
        <is>
          <t>HitSp</t>
        </is>
      </c>
      <c r="U1" s="6" t="inlineStr">
        <is>
          <t>StatParam</t>
        </is>
      </c>
      <c r="V1" s="6" t="inlineStr">
        <is>
          <t>StatValue</t>
        </is>
      </c>
      <c r="W1" s="6" t="inlineStr">
        <is>
          <t>StatParam</t>
        </is>
      </c>
      <c r="X1" s="6" t="inlineStr">
        <is>
          <t>StatValue</t>
        </is>
      </c>
      <c r="Y1" s="6" t="inlineStr">
        <is>
          <t>StatParam</t>
        </is>
      </c>
      <c r="Z1" s="6" t="inlineStr">
        <is>
          <t>StatValue</t>
        </is>
      </c>
      <c r="AA1" s="6" t="inlineStr">
        <is>
          <t>StatParam</t>
        </is>
      </c>
      <c r="AB1" s="6" t="inlineStr">
        <is>
          <t>StatValue</t>
        </is>
      </c>
      <c r="AC1" s="6" t="inlineStr">
        <is>
          <t>StatParam</t>
        </is>
      </c>
      <c r="AD1" s="6" t="inlineStr">
        <is>
          <t>StatValue</t>
        </is>
      </c>
      <c r="AE1" s="6" t="inlineStr">
        <is>
          <t>StatParam</t>
        </is>
      </c>
      <c r="AF1" s="6" t="inlineStr">
        <is>
          <t>StatValue</t>
        </is>
      </c>
      <c r="AG1" s="6" t="inlineStr">
        <is>
          <t>StatParam</t>
        </is>
      </c>
      <c r="AH1" s="6" t="inlineStr">
        <is>
          <t>StatValue</t>
        </is>
      </c>
      <c r="AI1" s="6" t="inlineStr">
        <is>
          <t>StatParam</t>
        </is>
      </c>
      <c r="AJ1" s="6" t="inlineStr">
        <is>
          <t>StatValue</t>
        </is>
      </c>
      <c r="AK1" s="6" t="inlineStr">
        <is>
          <t>StatParam</t>
        </is>
      </c>
      <c r="AL1" s="6" t="inlineStr">
        <is>
          <t>StatValue</t>
        </is>
      </c>
      <c r="AM1" s="6" t="inlineStr">
        <is>
          <t>SkillId</t>
        </is>
      </c>
      <c r="AN1" s="6" t="inlineStr">
        <is>
          <t>DefaultCheck</t>
        </is>
      </c>
      <c r="AO1" s="6" t="inlineStr">
        <is>
          <t>SkillId</t>
        </is>
      </c>
      <c r="AP1" s="6" t="inlineStr">
        <is>
          <t>DefaultCheck</t>
        </is>
      </c>
      <c r="AQ1" s="6" t="inlineStr">
        <is>
          <t>SkillId</t>
        </is>
      </c>
      <c r="AR1" s="6" t="inlineStr">
        <is>
          <t>DefaultCheck</t>
        </is>
      </c>
      <c r="AS1" s="6" t="inlineStr">
        <is>
          <t>SkillId</t>
        </is>
      </c>
      <c r="AT1" s="6" t="inlineStr">
        <is>
          <t>DefaultCheck</t>
        </is>
      </c>
      <c r="AU1" s="12" t="inlineStr">
        <is>
          <t>#check</t>
        </is>
      </c>
      <c r="AV1" s="12" t="inlineStr">
        <is>
          <t>#check</t>
        </is>
      </c>
      <c r="AW1" s="12" t="inlineStr">
        <is>
          <t>#check</t>
        </is>
      </c>
      <c r="AX1" s="12" t="inlineStr">
        <is>
          <t>#check</t>
        </is>
      </c>
    </row>
    <row r="2" customFormat="1" s="3">
      <c r="A2" s="8" t="n"/>
      <c r="B2" s="2" t="n"/>
      <c r="C2" s="2" t="n"/>
      <c r="D2" s="2" t="n"/>
      <c r="E2" s="2" t="n"/>
      <c r="F2" s="2" t="n"/>
      <c r="K2" s="23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</row>
    <row r="3" customFormat="1" s="13">
      <c r="A3" s="15" t="n"/>
      <c r="B3" s="16" t="n"/>
      <c r="C3" s="16" t="n"/>
      <c r="D3" s="16" t="n"/>
      <c r="E3" s="16" t="n"/>
      <c r="F3" s="16" t="n"/>
      <c r="G3" s="16" t="inlineStr">
        <is>
          <t>몬스터 타입</t>
        </is>
      </c>
      <c r="H3" s="16" t="inlineStr">
        <is>
          <t>크기</t>
        </is>
      </c>
      <c r="I3" s="16" t="n"/>
      <c r="J3" s="16" t="n"/>
      <c r="K3" s="16" t="n"/>
      <c r="L3" s="16" t="inlineStr">
        <is>
          <t>등급</t>
        </is>
      </c>
      <c r="M3" s="16" t="inlineStr">
        <is>
          <t>속성</t>
        </is>
      </c>
      <c r="N3" s="16" t="inlineStr">
        <is>
          <t>직업</t>
        </is>
      </c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  <c r="AH3" s="16" t="n"/>
      <c r="AI3" s="16" t="n"/>
      <c r="AJ3" s="16" t="n"/>
      <c r="AK3" s="16" t="n"/>
      <c r="AL3" s="16" t="n"/>
      <c r="AM3" s="16" t="inlineStr">
        <is>
          <t>Normal</t>
        </is>
      </c>
      <c r="AN3" s="16" t="n"/>
      <c r="AO3" s="16" t="inlineStr">
        <is>
          <t>Active</t>
        </is>
      </c>
      <c r="AP3" s="16" t="n"/>
      <c r="AQ3" s="16" t="inlineStr">
        <is>
          <t>Ultimate</t>
        </is>
      </c>
      <c r="AR3" s="16" t="n"/>
      <c r="AS3" s="16" t="inlineStr">
        <is>
          <t>Passive</t>
        </is>
      </c>
      <c r="AT3" s="16" t="n"/>
      <c r="AU3" s="16" t="n"/>
      <c r="AV3" s="16" t="n"/>
      <c r="AW3" s="16" t="n"/>
      <c r="AX3" s="16" t="n"/>
    </row>
    <row r="4" ht="16.5" customHeight="1" s="66">
      <c r="A4" s="68" t="n">
        <v>10000035</v>
      </c>
      <c r="B4" s="68" t="inlineStr">
        <is>
          <t>페르세포네</t>
        </is>
      </c>
      <c r="C4" s="68" t="n">
        <v>1003501</v>
      </c>
      <c r="D4" s="68" t="inlineStr">
        <is>
          <t>c035</t>
        </is>
      </c>
      <c r="E4" s="68" t="inlineStr">
        <is>
          <t>character_name_10000035</t>
        </is>
      </c>
      <c r="F4" s="68">
        <f>D4&amp;"_profile"</f>
        <v/>
      </c>
      <c r="G4" s="68" t="inlineStr">
        <is>
          <t>None</t>
        </is>
      </c>
      <c r="H4" s="68" t="inlineStr">
        <is>
          <t>Normal</t>
        </is>
      </c>
      <c r="I4" s="68" t="inlineStr">
        <is>
          <t>0.95,0.95,0.95</t>
        </is>
      </c>
      <c r="J4" s="68" t="b">
        <v>1</v>
      </c>
      <c r="K4" s="40" t="inlineStr">
        <is>
          <t>0,0,0</t>
        </is>
      </c>
      <c r="L4" s="68" t="n">
        <v>1</v>
      </c>
      <c r="M4" s="68" t="inlineStr">
        <is>
          <t>Dark</t>
        </is>
      </c>
      <c r="N4" s="68" t="inlineStr">
        <is>
          <t>Supporter</t>
        </is>
      </c>
      <c r="O4" s="68">
        <f>100+L4</f>
        <v/>
      </c>
      <c r="P4" s="68" t="n">
        <v>4</v>
      </c>
      <c r="Q4" s="68" t="n">
        <v>4</v>
      </c>
      <c r="R4" s="68" t="n">
        <v>1</v>
      </c>
      <c r="S4" s="68" t="n">
        <v>0</v>
      </c>
      <c r="T4" s="68" t="n">
        <v>0</v>
      </c>
      <c r="U4" s="68" t="inlineStr">
        <is>
          <t>Spd</t>
        </is>
      </c>
      <c r="V4" s="68" t="n">
        <v>120</v>
      </c>
      <c r="W4" s="68" t="inlineStr">
        <is>
          <t>Hp</t>
        </is>
      </c>
      <c r="X4" s="68" t="n">
        <v>5909</v>
      </c>
      <c r="Y4" s="68" t="inlineStr">
        <is>
          <t>Atk</t>
        </is>
      </c>
      <c r="Z4" s="68" t="n">
        <v>198</v>
      </c>
      <c r="AA4" s="68" t="inlineStr">
        <is>
          <t>Def</t>
        </is>
      </c>
      <c r="AB4" s="68" t="n">
        <v>142</v>
      </c>
      <c r="AC4" s="68" t="inlineStr">
        <is>
          <t>Penetration</t>
        </is>
      </c>
      <c r="AD4" s="68" t="n">
        <v>142</v>
      </c>
      <c r="AE4" s="68" t="inlineStr">
        <is>
          <t>Hit</t>
        </is>
      </c>
      <c r="AF4" s="68" t="n">
        <v>100</v>
      </c>
      <c r="AG4" s="68" t="inlineStr">
        <is>
          <t>Dodge</t>
        </is>
      </c>
      <c r="AH4" s="68" t="n">
        <v>100</v>
      </c>
      <c r="AI4" s="68" t="inlineStr">
        <is>
          <t>CriRatio</t>
        </is>
      </c>
      <c r="AJ4" s="68" t="n">
        <v>5000</v>
      </c>
      <c r="AK4" s="68" t="inlineStr">
        <is>
          <t>CriDmgRatio</t>
        </is>
      </c>
      <c r="AL4" s="68" t="n">
        <v>150000</v>
      </c>
      <c r="AM4" s="68" t="n"/>
      <c r="AN4" s="68" t="n"/>
      <c r="AO4" s="68" t="n"/>
      <c r="AP4" s="68" t="n"/>
      <c r="AQ4" s="68" t="n"/>
      <c r="AR4" s="68" t="n"/>
      <c r="AS4" s="68" t="n"/>
      <c r="AT4" s="68" t="n"/>
      <c r="AU4" s="68">
        <f>_xlfn.XLOOKUP(AM4,'[1]Skill&lt;Child&gt;'!$A:$A,'[1]Skill&lt;Child&gt;'!$A:$A)</f>
        <v/>
      </c>
      <c r="AV4" s="68">
        <f>_xlfn.XLOOKUP(AO4,'[1]Skill&lt;Child&gt;'!$A:$A,'[1]Skill&lt;Child&gt;'!$A:$A)</f>
        <v/>
      </c>
      <c r="AW4" s="68">
        <f>_xlfn.XLOOKUP(AQ4,'[1]Skill&lt;Child&gt;'!$A:$A,'[1]Skill&lt;Child&gt;'!$A:$A)</f>
        <v/>
      </c>
      <c r="AX4" s="68">
        <f>_xlfn.XLOOKUP(AS4,'[1]Skill&lt;Child&gt;'!$A:$A,'[1]Skill&lt;Child&gt;'!$A:$A)</f>
        <v/>
      </c>
    </row>
    <row r="5" ht="16.5" customHeight="1" s="66">
      <c r="A5" s="68" t="n">
        <v>10000048</v>
      </c>
      <c r="B5" s="68" t="inlineStr">
        <is>
          <t>네반</t>
        </is>
      </c>
      <c r="C5" s="68" t="n">
        <v>1004801</v>
      </c>
      <c r="D5" s="68" t="inlineStr">
        <is>
          <t>c048</t>
        </is>
      </c>
      <c r="E5" s="68" t="inlineStr">
        <is>
          <t>character_name_10000048</t>
        </is>
      </c>
      <c r="F5" s="68">
        <f>D5&amp;"_profile"</f>
        <v/>
      </c>
      <c r="G5" s="68" t="inlineStr">
        <is>
          <t>None</t>
        </is>
      </c>
      <c r="H5" s="68" t="inlineStr">
        <is>
          <t>Normal</t>
        </is>
      </c>
      <c r="I5" s="68" t="inlineStr">
        <is>
          <t>0.95,0.95,0.95</t>
        </is>
      </c>
      <c r="J5" s="68" t="b">
        <v>1</v>
      </c>
      <c r="K5" s="24" t="inlineStr">
        <is>
          <t>0,0,0</t>
        </is>
      </c>
      <c r="L5" s="68" t="n">
        <v>1</v>
      </c>
      <c r="M5" s="68" t="inlineStr">
        <is>
          <t>Dark</t>
        </is>
      </c>
      <c r="N5" s="68" t="inlineStr">
        <is>
          <t>Healer</t>
        </is>
      </c>
      <c r="O5" s="68">
        <f>100+L5</f>
        <v/>
      </c>
      <c r="P5" s="68" t="n">
        <v>3</v>
      </c>
      <c r="Q5" s="68" t="n">
        <v>3</v>
      </c>
      <c r="R5" s="68" t="n">
        <v>1</v>
      </c>
      <c r="S5" s="68" t="n">
        <v>0</v>
      </c>
      <c r="T5" s="68" t="n">
        <v>0</v>
      </c>
      <c r="U5" s="68" t="inlineStr">
        <is>
          <t>Spd</t>
        </is>
      </c>
      <c r="V5" s="68" t="n">
        <v>90</v>
      </c>
      <c r="W5" s="68" t="inlineStr">
        <is>
          <t>Hp</t>
        </is>
      </c>
      <c r="X5" s="68" t="n">
        <v>6475</v>
      </c>
      <c r="Y5" s="68" t="inlineStr">
        <is>
          <t>Atk</t>
        </is>
      </c>
      <c r="Z5" s="68" t="n">
        <v>168</v>
      </c>
      <c r="AA5" s="68" t="inlineStr">
        <is>
          <t>Def</t>
        </is>
      </c>
      <c r="AB5" s="68" t="n">
        <v>151</v>
      </c>
      <c r="AC5" s="68" t="inlineStr">
        <is>
          <t>Penetration</t>
        </is>
      </c>
      <c r="AD5" s="68" t="n">
        <v>151</v>
      </c>
      <c r="AE5" s="68" t="inlineStr">
        <is>
          <t>Hit</t>
        </is>
      </c>
      <c r="AF5" s="68" t="n">
        <v>100</v>
      </c>
      <c r="AG5" s="68" t="inlineStr">
        <is>
          <t>Dodge</t>
        </is>
      </c>
      <c r="AH5" s="68" t="n">
        <v>100</v>
      </c>
      <c r="AI5" s="68" t="inlineStr">
        <is>
          <t>CriRatio</t>
        </is>
      </c>
      <c r="AJ5" s="68" t="n">
        <v>5000</v>
      </c>
      <c r="AK5" s="68" t="inlineStr">
        <is>
          <t>CriDmgRatio</t>
        </is>
      </c>
      <c r="AL5" s="68" t="n">
        <v>150000</v>
      </c>
      <c r="AM5" s="68" t="n"/>
      <c r="AN5" s="68" t="n"/>
      <c r="AO5" s="68" t="n"/>
      <c r="AP5" s="68" t="n"/>
      <c r="AQ5" s="68" t="n"/>
      <c r="AR5" s="68" t="n"/>
      <c r="AS5" s="68" t="n"/>
      <c r="AT5" s="68" t="n"/>
      <c r="AU5" s="68">
        <f>_xlfn.XLOOKUP(AM5,'[1]Skill&lt;Child&gt;'!$A:$A,'[1]Skill&lt;Child&gt;'!$A:$A)</f>
        <v/>
      </c>
      <c r="AV5" s="68">
        <f>_xlfn.XLOOKUP(AO5,'[1]Skill&lt;Child&gt;'!$A:$A,'[1]Skill&lt;Child&gt;'!$A:$A)</f>
        <v/>
      </c>
      <c r="AW5" s="68">
        <f>_xlfn.XLOOKUP(AQ5,'[1]Skill&lt;Child&gt;'!$A:$A,'[1]Skill&lt;Child&gt;'!$A:$A)</f>
        <v/>
      </c>
      <c r="AX5" s="68">
        <f>_xlfn.XLOOKUP(AS5,'[1]Skill&lt;Child&gt;'!$A:$A,'[1]Skill&lt;Child&gt;'!$A:$A)</f>
        <v/>
      </c>
    </row>
    <row r="6" ht="16.5" customHeight="1" s="66">
      <c r="A6" s="68" t="n">
        <v>10000064</v>
      </c>
      <c r="B6" s="68" t="inlineStr">
        <is>
          <t>메두사</t>
        </is>
      </c>
      <c r="C6" s="68" t="n">
        <v>1006401</v>
      </c>
      <c r="D6" s="68" t="inlineStr">
        <is>
          <t>c064</t>
        </is>
      </c>
      <c r="E6" s="68" t="inlineStr">
        <is>
          <t>character_name_10000064</t>
        </is>
      </c>
      <c r="F6" s="68">
        <f>D6&amp;"_profile"</f>
        <v/>
      </c>
      <c r="G6" s="68" t="inlineStr">
        <is>
          <t>None</t>
        </is>
      </c>
      <c r="H6" s="68" t="inlineStr">
        <is>
          <t>Normal</t>
        </is>
      </c>
      <c r="I6" s="68" t="inlineStr">
        <is>
          <t>0.95,0.95,0.95</t>
        </is>
      </c>
      <c r="J6" s="68" t="b">
        <v>1</v>
      </c>
      <c r="K6" s="24" t="inlineStr">
        <is>
          <t>0,0,0</t>
        </is>
      </c>
      <c r="L6" s="68" t="n">
        <v>1</v>
      </c>
      <c r="M6" s="68" t="inlineStr">
        <is>
          <t>Dark</t>
        </is>
      </c>
      <c r="N6" s="68" t="inlineStr">
        <is>
          <t>Attacker</t>
        </is>
      </c>
      <c r="O6" s="68">
        <f>100+L6</f>
        <v/>
      </c>
      <c r="P6" s="68" t="n">
        <v>6</v>
      </c>
      <c r="Q6" s="68" t="n">
        <v>6</v>
      </c>
      <c r="R6" s="68" t="n">
        <v>1</v>
      </c>
      <c r="S6" s="68" t="n">
        <v>0</v>
      </c>
      <c r="T6" s="68" t="n">
        <v>0</v>
      </c>
      <c r="U6" s="68" t="inlineStr">
        <is>
          <t>Spd</t>
        </is>
      </c>
      <c r="V6" s="68" t="n">
        <v>80</v>
      </c>
      <c r="W6" s="68" t="inlineStr">
        <is>
          <t>Hp</t>
        </is>
      </c>
      <c r="X6" s="68" t="n">
        <v>5100</v>
      </c>
      <c r="Y6" s="68" t="inlineStr">
        <is>
          <t>Atk</t>
        </is>
      </c>
      <c r="Z6" s="68" t="n">
        <v>420</v>
      </c>
      <c r="AA6" s="68" t="inlineStr">
        <is>
          <t>Def</t>
        </is>
      </c>
      <c r="AB6" s="68" t="n">
        <v>120</v>
      </c>
      <c r="AC6" s="68" t="inlineStr">
        <is>
          <t>Penetration</t>
        </is>
      </c>
      <c r="AD6" s="68" t="n">
        <v>120</v>
      </c>
      <c r="AE6" s="68" t="inlineStr">
        <is>
          <t>Hit</t>
        </is>
      </c>
      <c r="AF6" s="68" t="n">
        <v>100</v>
      </c>
      <c r="AG6" s="68" t="inlineStr">
        <is>
          <t>Dodge</t>
        </is>
      </c>
      <c r="AH6" s="68" t="n">
        <v>100</v>
      </c>
      <c r="AI6" s="68" t="inlineStr">
        <is>
          <t>CriRatio</t>
        </is>
      </c>
      <c r="AJ6" s="68" t="n">
        <v>5000</v>
      </c>
      <c r="AK6" s="68" t="inlineStr">
        <is>
          <t>CriDmgRatio</t>
        </is>
      </c>
      <c r="AL6" s="68" t="n">
        <v>150000</v>
      </c>
      <c r="AM6" s="68" t="n"/>
      <c r="AN6" s="68" t="n"/>
      <c r="AO6" s="68" t="n"/>
      <c r="AP6" s="68" t="n"/>
      <c r="AQ6" s="68" t="n"/>
      <c r="AR6" s="68" t="n"/>
      <c r="AS6" s="68" t="n"/>
      <c r="AT6" s="68" t="n"/>
      <c r="AU6" s="68">
        <f>_xlfn.XLOOKUP(AM6,'[1]Skill&lt;Child&gt;'!$A:$A,'[1]Skill&lt;Child&gt;'!$A:$A)</f>
        <v/>
      </c>
      <c r="AV6" s="68">
        <f>_xlfn.XLOOKUP(AO6,'[1]Skill&lt;Child&gt;'!$A:$A,'[1]Skill&lt;Child&gt;'!$A:$A)</f>
        <v/>
      </c>
      <c r="AW6" s="68">
        <f>_xlfn.XLOOKUP(AQ6,'[1]Skill&lt;Child&gt;'!$A:$A,'[1]Skill&lt;Child&gt;'!$A:$A)</f>
        <v/>
      </c>
      <c r="AX6" s="68">
        <f>_xlfn.XLOOKUP(AS6,'[1]Skill&lt;Child&gt;'!$A:$A,'[1]Skill&lt;Child&gt;'!$A:$A)</f>
        <v/>
      </c>
    </row>
    <row r="7" ht="16.5" customHeight="1" s="66">
      <c r="A7" s="68" t="n">
        <v>10000037</v>
      </c>
      <c r="B7" s="68" t="inlineStr">
        <is>
          <t>유다</t>
        </is>
      </c>
      <c r="C7" s="68" t="n">
        <v>1003701</v>
      </c>
      <c r="D7" s="68" t="inlineStr">
        <is>
          <t>c037</t>
        </is>
      </c>
      <c r="E7" s="68" t="inlineStr">
        <is>
          <t>character_name_10000037</t>
        </is>
      </c>
      <c r="F7" s="68">
        <f>D7&amp;"_profile"</f>
        <v/>
      </c>
      <c r="G7" s="68" t="inlineStr">
        <is>
          <t>None</t>
        </is>
      </c>
      <c r="H7" s="68" t="inlineStr">
        <is>
          <t>Normal</t>
        </is>
      </c>
      <c r="I7" s="68" t="inlineStr">
        <is>
          <t>0.95,0.95,0.95</t>
        </is>
      </c>
      <c r="J7" s="68" t="b">
        <v>1</v>
      </c>
      <c r="K7" s="24" t="inlineStr">
        <is>
          <t>0,0,0</t>
        </is>
      </c>
      <c r="L7" s="68" t="n">
        <v>1</v>
      </c>
      <c r="M7" s="68" t="inlineStr">
        <is>
          <t>Fire</t>
        </is>
      </c>
      <c r="N7" s="68" t="inlineStr">
        <is>
          <t>Defender</t>
        </is>
      </c>
      <c r="O7" s="68">
        <f>100+L7</f>
        <v/>
      </c>
      <c r="P7" s="68" t="n">
        <v>3</v>
      </c>
      <c r="Q7" s="68" t="n">
        <v>3</v>
      </c>
      <c r="R7" s="68" t="n">
        <v>1</v>
      </c>
      <c r="S7" s="68" t="n">
        <v>0</v>
      </c>
      <c r="T7" s="68" t="n">
        <v>0</v>
      </c>
      <c r="U7" s="68" t="inlineStr">
        <is>
          <t>Spd</t>
        </is>
      </c>
      <c r="V7" s="68" t="n">
        <v>110</v>
      </c>
      <c r="W7" s="68" t="inlineStr">
        <is>
          <t>Hp</t>
        </is>
      </c>
      <c r="X7" s="68" t="n">
        <v>8650</v>
      </c>
      <c r="Y7" s="68" t="inlineStr">
        <is>
          <t>Atk</t>
        </is>
      </c>
      <c r="Z7" s="68" t="n">
        <v>252</v>
      </c>
      <c r="AA7" s="68" t="inlineStr">
        <is>
          <t>Def</t>
        </is>
      </c>
      <c r="AB7" s="68" t="n">
        <v>240</v>
      </c>
      <c r="AC7" s="68" t="inlineStr">
        <is>
          <t>Penetration</t>
        </is>
      </c>
      <c r="AD7" s="68" t="n">
        <v>240</v>
      </c>
      <c r="AE7" s="68" t="inlineStr">
        <is>
          <t>Hit</t>
        </is>
      </c>
      <c r="AF7" s="68" t="n">
        <v>100</v>
      </c>
      <c r="AG7" s="68" t="inlineStr">
        <is>
          <t>Dodge</t>
        </is>
      </c>
      <c r="AH7" s="68" t="n">
        <v>100</v>
      </c>
      <c r="AI7" s="68" t="inlineStr">
        <is>
          <t>CriRatio</t>
        </is>
      </c>
      <c r="AJ7" s="68" t="n">
        <v>5000</v>
      </c>
      <c r="AK7" s="68" t="inlineStr">
        <is>
          <t>CriDmgRatio</t>
        </is>
      </c>
      <c r="AL7" s="68" t="n">
        <v>150000</v>
      </c>
      <c r="AM7" s="68" t="n"/>
      <c r="AN7" s="68" t="n"/>
      <c r="AO7" s="68" t="n"/>
      <c r="AP7" s="68" t="n"/>
      <c r="AQ7" s="68" t="n"/>
      <c r="AR7" s="68" t="n"/>
      <c r="AS7" s="68" t="n"/>
      <c r="AT7" s="68" t="n"/>
      <c r="AU7" s="68">
        <f>_xlfn.XLOOKUP(AM7,'[1]Skill&lt;Child&gt;'!$A:$A,'[1]Skill&lt;Child&gt;'!$A:$A)</f>
        <v/>
      </c>
      <c r="AV7" s="68">
        <f>_xlfn.XLOOKUP(AO7,'[1]Skill&lt;Child&gt;'!$A:$A,'[1]Skill&lt;Child&gt;'!$A:$A)</f>
        <v/>
      </c>
      <c r="AW7" s="68">
        <f>_xlfn.XLOOKUP(AQ7,'[1]Skill&lt;Child&gt;'!$A:$A,'[1]Skill&lt;Child&gt;'!$A:$A)</f>
        <v/>
      </c>
      <c r="AX7" s="68">
        <f>_xlfn.XLOOKUP(AS7,'[1]Skill&lt;Child&gt;'!$A:$A,'[1]Skill&lt;Child&gt;'!$A:$A)</f>
        <v/>
      </c>
    </row>
    <row r="8" ht="16.5" customHeight="1" s="66">
      <c r="A8" s="68" t="n">
        <v>10000083</v>
      </c>
      <c r="B8" s="68" t="inlineStr">
        <is>
          <t>네이드</t>
        </is>
      </c>
      <c r="C8" s="68" t="n">
        <v>1008301</v>
      </c>
      <c r="D8" s="68" t="inlineStr">
        <is>
          <t>c083</t>
        </is>
      </c>
      <c r="E8" s="68" t="inlineStr">
        <is>
          <t>character_name_10000083</t>
        </is>
      </c>
      <c r="F8" s="68">
        <f>D8&amp;"_profile"</f>
        <v/>
      </c>
      <c r="G8" s="68" t="inlineStr">
        <is>
          <t>None</t>
        </is>
      </c>
      <c r="H8" s="68" t="inlineStr">
        <is>
          <t>Normal</t>
        </is>
      </c>
      <c r="I8" s="68" t="inlineStr">
        <is>
          <t>0.95,0.95,0.95</t>
        </is>
      </c>
      <c r="J8" s="68" t="b">
        <v>1</v>
      </c>
      <c r="K8" s="24" t="inlineStr">
        <is>
          <t>0,0,0</t>
        </is>
      </c>
      <c r="L8" s="68" t="n">
        <v>1</v>
      </c>
      <c r="M8" s="68" t="inlineStr">
        <is>
          <t>Fire</t>
        </is>
      </c>
      <c r="N8" s="68" t="inlineStr">
        <is>
          <t>Attacker</t>
        </is>
      </c>
      <c r="O8" s="68">
        <f>100+L8</f>
        <v/>
      </c>
      <c r="P8" s="68" t="n">
        <v>6</v>
      </c>
      <c r="Q8" s="68" t="n">
        <v>6</v>
      </c>
      <c r="R8" s="68" t="n">
        <v>1</v>
      </c>
      <c r="S8" s="68" t="n">
        <v>0</v>
      </c>
      <c r="T8" s="68" t="n">
        <v>0</v>
      </c>
      <c r="U8" s="68" t="inlineStr">
        <is>
          <t>Spd</t>
        </is>
      </c>
      <c r="V8" s="68" t="n">
        <v>80</v>
      </c>
      <c r="W8" s="68" t="inlineStr">
        <is>
          <t>Hp</t>
        </is>
      </c>
      <c r="X8" s="68" t="n">
        <v>5100</v>
      </c>
      <c r="Y8" s="68" t="inlineStr">
        <is>
          <t>Atk</t>
        </is>
      </c>
      <c r="Z8" s="68" t="n">
        <v>420</v>
      </c>
      <c r="AA8" s="68" t="inlineStr">
        <is>
          <t>Def</t>
        </is>
      </c>
      <c r="AB8" s="68" t="n">
        <v>120</v>
      </c>
      <c r="AC8" s="68" t="inlineStr">
        <is>
          <t>Penetration</t>
        </is>
      </c>
      <c r="AD8" s="68" t="n">
        <v>120</v>
      </c>
      <c r="AE8" s="68" t="inlineStr">
        <is>
          <t>Hit</t>
        </is>
      </c>
      <c r="AF8" s="68" t="n">
        <v>100</v>
      </c>
      <c r="AG8" s="68" t="inlineStr">
        <is>
          <t>Dodge</t>
        </is>
      </c>
      <c r="AH8" s="68" t="n">
        <v>100</v>
      </c>
      <c r="AI8" s="68" t="inlineStr">
        <is>
          <t>CriRatio</t>
        </is>
      </c>
      <c r="AJ8" s="68" t="n">
        <v>5000</v>
      </c>
      <c r="AK8" s="68" t="inlineStr">
        <is>
          <t>CriDmgRatio</t>
        </is>
      </c>
      <c r="AL8" s="68" t="n">
        <v>150000</v>
      </c>
      <c r="AM8" s="68" t="n"/>
      <c r="AN8" s="68" t="n"/>
      <c r="AO8" s="68" t="n"/>
      <c r="AP8" s="68" t="n"/>
      <c r="AQ8" s="68" t="n"/>
      <c r="AR8" s="68" t="n"/>
      <c r="AS8" s="68" t="n"/>
      <c r="AT8" s="68" t="n"/>
      <c r="AU8" s="68">
        <f>_xlfn.XLOOKUP(AM8,'[1]Skill&lt;Child&gt;'!$A:$A,'[1]Skill&lt;Child&gt;'!$A:$A)</f>
        <v/>
      </c>
      <c r="AV8" s="68">
        <f>_xlfn.XLOOKUP(AO8,'[1]Skill&lt;Child&gt;'!$A:$A,'[1]Skill&lt;Child&gt;'!$A:$A)</f>
        <v/>
      </c>
      <c r="AW8" s="68">
        <f>_xlfn.XLOOKUP(AQ8,'[1]Skill&lt;Child&gt;'!$A:$A,'[1]Skill&lt;Child&gt;'!$A:$A)</f>
        <v/>
      </c>
      <c r="AX8" s="68">
        <f>_xlfn.XLOOKUP(AS8,'[1]Skill&lt;Child&gt;'!$A:$A,'[1]Skill&lt;Child&gt;'!$A:$A)</f>
        <v/>
      </c>
    </row>
    <row r="9" ht="16.5" customHeight="1" s="66">
      <c r="A9" s="68" t="n">
        <v>10000286</v>
      </c>
      <c r="B9" s="68" t="inlineStr">
        <is>
          <t>베르들레</t>
        </is>
      </c>
      <c r="C9" s="68" t="n">
        <v>1028601</v>
      </c>
      <c r="D9" s="68" t="inlineStr">
        <is>
          <t>c286</t>
        </is>
      </c>
      <c r="E9" s="68" t="inlineStr">
        <is>
          <t>character_name_10000286</t>
        </is>
      </c>
      <c r="F9" s="68">
        <f>D9&amp;"_profile"</f>
        <v/>
      </c>
      <c r="G9" s="68" t="inlineStr">
        <is>
          <t>None</t>
        </is>
      </c>
      <c r="H9" s="68" t="inlineStr">
        <is>
          <t>Normal</t>
        </is>
      </c>
      <c r="I9" s="68" t="inlineStr">
        <is>
          <t>0.95,0.95,0.95</t>
        </is>
      </c>
      <c r="J9" s="68" t="b">
        <v>1</v>
      </c>
      <c r="K9" s="24" t="inlineStr">
        <is>
          <t>0,0,0</t>
        </is>
      </c>
      <c r="L9" s="68" t="n">
        <v>1</v>
      </c>
      <c r="M9" s="68" t="inlineStr">
        <is>
          <t>Fire</t>
        </is>
      </c>
      <c r="N9" s="68" t="inlineStr">
        <is>
          <t>Healer</t>
        </is>
      </c>
      <c r="O9" s="68">
        <f>100+L9</f>
        <v/>
      </c>
      <c r="P9" s="68" t="n">
        <v>3</v>
      </c>
      <c r="Q9" s="68" t="n">
        <v>3</v>
      </c>
      <c r="R9" s="68" t="n">
        <v>1</v>
      </c>
      <c r="S9" s="68" t="n">
        <v>0</v>
      </c>
      <c r="T9" s="68" t="n">
        <v>0</v>
      </c>
      <c r="U9" s="68" t="inlineStr">
        <is>
          <t>Spd</t>
        </is>
      </c>
      <c r="V9" s="68" t="n">
        <v>90</v>
      </c>
      <c r="W9" s="68" t="inlineStr">
        <is>
          <t>Hp</t>
        </is>
      </c>
      <c r="X9" s="68" t="n">
        <v>6475</v>
      </c>
      <c r="Y9" s="68" t="inlineStr">
        <is>
          <t>Atk</t>
        </is>
      </c>
      <c r="Z9" s="68" t="n">
        <v>168</v>
      </c>
      <c r="AA9" s="68" t="inlineStr">
        <is>
          <t>Def</t>
        </is>
      </c>
      <c r="AB9" s="68" t="n">
        <v>151</v>
      </c>
      <c r="AC9" s="68" t="inlineStr">
        <is>
          <t>Penetration</t>
        </is>
      </c>
      <c r="AD9" s="68" t="n">
        <v>151</v>
      </c>
      <c r="AE9" s="68" t="inlineStr">
        <is>
          <t>Hit</t>
        </is>
      </c>
      <c r="AF9" s="68" t="n">
        <v>100</v>
      </c>
      <c r="AG9" s="68" t="inlineStr">
        <is>
          <t>Dodge</t>
        </is>
      </c>
      <c r="AH9" s="68" t="n">
        <v>100</v>
      </c>
      <c r="AI9" s="68" t="inlineStr">
        <is>
          <t>CriRatio</t>
        </is>
      </c>
      <c r="AJ9" s="68" t="n">
        <v>5000</v>
      </c>
      <c r="AK9" s="68" t="inlineStr">
        <is>
          <t>CriDmgRatio</t>
        </is>
      </c>
      <c r="AL9" s="68" t="n">
        <v>150000</v>
      </c>
      <c r="AM9" s="68" t="n"/>
      <c r="AN9" s="68" t="n"/>
      <c r="AO9" s="68" t="n"/>
      <c r="AP9" s="68" t="n"/>
      <c r="AQ9" s="68" t="n"/>
      <c r="AR9" s="68" t="n"/>
      <c r="AS9" s="68" t="n"/>
      <c r="AT9" s="68" t="n"/>
      <c r="AU9" s="68">
        <f>_xlfn.XLOOKUP(AM9,'[1]Skill&lt;Child&gt;'!$A:$A,'[1]Skill&lt;Child&gt;'!$A:$A)</f>
        <v/>
      </c>
      <c r="AV9" s="68">
        <f>_xlfn.XLOOKUP(AO9,'[1]Skill&lt;Child&gt;'!$A:$A,'[1]Skill&lt;Child&gt;'!$A:$A)</f>
        <v/>
      </c>
      <c r="AW9" s="68">
        <f>_xlfn.XLOOKUP(AQ9,'[1]Skill&lt;Child&gt;'!$A:$A,'[1]Skill&lt;Child&gt;'!$A:$A)</f>
        <v/>
      </c>
      <c r="AX9" s="68">
        <f>_xlfn.XLOOKUP(AS9,'[1]Skill&lt;Child&gt;'!$A:$A,'[1]Skill&lt;Child&gt;'!$A:$A)</f>
        <v/>
      </c>
    </row>
    <row r="10" ht="16.5" customHeight="1" s="66">
      <c r="A10" s="68" t="n">
        <v>10000031</v>
      </c>
      <c r="B10" s="68" t="inlineStr">
        <is>
          <t>프레이야</t>
        </is>
      </c>
      <c r="C10" s="68" t="n">
        <v>1003101</v>
      </c>
      <c r="D10" s="68" t="inlineStr">
        <is>
          <t>c031</t>
        </is>
      </c>
      <c r="E10" s="68" t="inlineStr">
        <is>
          <t>character_name_10000031</t>
        </is>
      </c>
      <c r="F10" s="68">
        <f>D10&amp;"_profile"</f>
        <v/>
      </c>
      <c r="G10" s="68" t="inlineStr">
        <is>
          <t>None</t>
        </is>
      </c>
      <c r="H10" s="68" t="inlineStr">
        <is>
          <t>Normal</t>
        </is>
      </c>
      <c r="I10" s="68" t="inlineStr">
        <is>
          <t>0.95,0.95,0.95</t>
        </is>
      </c>
      <c r="J10" s="68" t="b">
        <v>1</v>
      </c>
      <c r="K10" s="24" t="inlineStr">
        <is>
          <t>0,0,0</t>
        </is>
      </c>
      <c r="L10" s="68" t="n">
        <v>1</v>
      </c>
      <c r="M10" s="68" t="inlineStr">
        <is>
          <t>Forest</t>
        </is>
      </c>
      <c r="N10" s="68" t="inlineStr">
        <is>
          <t>Healer</t>
        </is>
      </c>
      <c r="O10" s="68">
        <f>100+L10</f>
        <v/>
      </c>
      <c r="P10" s="68" t="n">
        <v>3</v>
      </c>
      <c r="Q10" s="68" t="n">
        <v>3</v>
      </c>
      <c r="R10" s="68" t="n">
        <v>1</v>
      </c>
      <c r="S10" s="68" t="n">
        <v>0</v>
      </c>
      <c r="T10" s="68" t="n">
        <v>0</v>
      </c>
      <c r="U10" s="68" t="inlineStr">
        <is>
          <t>Spd</t>
        </is>
      </c>
      <c r="V10" s="68" t="n">
        <v>90</v>
      </c>
      <c r="W10" s="68" t="inlineStr">
        <is>
          <t>Hp</t>
        </is>
      </c>
      <c r="X10" s="68" t="n">
        <v>6475</v>
      </c>
      <c r="Y10" s="68" t="inlineStr">
        <is>
          <t>Atk</t>
        </is>
      </c>
      <c r="Z10" s="68" t="n">
        <v>168</v>
      </c>
      <c r="AA10" s="68" t="inlineStr">
        <is>
          <t>Def</t>
        </is>
      </c>
      <c r="AB10" s="68" t="n">
        <v>151</v>
      </c>
      <c r="AC10" s="68" t="inlineStr">
        <is>
          <t>Penetration</t>
        </is>
      </c>
      <c r="AD10" s="68" t="n">
        <v>151</v>
      </c>
      <c r="AE10" s="68" t="inlineStr">
        <is>
          <t>Hit</t>
        </is>
      </c>
      <c r="AF10" s="68" t="n">
        <v>100</v>
      </c>
      <c r="AG10" s="68" t="inlineStr">
        <is>
          <t>Dodge</t>
        </is>
      </c>
      <c r="AH10" s="68" t="n">
        <v>100</v>
      </c>
      <c r="AI10" s="68" t="inlineStr">
        <is>
          <t>CriRatio</t>
        </is>
      </c>
      <c r="AJ10" s="68" t="n">
        <v>5000</v>
      </c>
      <c r="AK10" s="68" t="inlineStr">
        <is>
          <t>CriDmgRatio</t>
        </is>
      </c>
      <c r="AL10" s="68" t="n">
        <v>150000</v>
      </c>
      <c r="AM10" s="68" t="n"/>
      <c r="AN10" s="68" t="n"/>
      <c r="AO10" s="68" t="n"/>
      <c r="AP10" s="68" t="n"/>
      <c r="AQ10" s="68" t="n"/>
      <c r="AR10" s="68" t="n"/>
      <c r="AS10" s="68" t="n"/>
      <c r="AT10" s="68" t="n"/>
      <c r="AU10" s="68">
        <f>_xlfn.XLOOKUP(AM10,'[1]Skill&lt;Child&gt;'!$A:$A,'[1]Skill&lt;Child&gt;'!$A:$A)</f>
        <v/>
      </c>
      <c r="AV10" s="68">
        <f>_xlfn.XLOOKUP(AO10,'[1]Skill&lt;Child&gt;'!$A:$A,'[1]Skill&lt;Child&gt;'!$A:$A)</f>
        <v/>
      </c>
      <c r="AW10" s="68">
        <f>_xlfn.XLOOKUP(AQ10,'[1]Skill&lt;Child&gt;'!$A:$A,'[1]Skill&lt;Child&gt;'!$A:$A)</f>
        <v/>
      </c>
      <c r="AX10" s="68">
        <f>_xlfn.XLOOKUP(AS10,'[1]Skill&lt;Child&gt;'!$A:$A,'[1]Skill&lt;Child&gt;'!$A:$A)</f>
        <v/>
      </c>
    </row>
    <row r="11" ht="16.5" customHeight="1" s="66">
      <c r="A11" s="68" t="n">
        <v>10000033</v>
      </c>
      <c r="B11" s="68" t="inlineStr">
        <is>
          <t>다이아나</t>
        </is>
      </c>
      <c r="C11" s="68" t="n">
        <v>1003301</v>
      </c>
      <c r="D11" s="68" t="inlineStr">
        <is>
          <t>c033</t>
        </is>
      </c>
      <c r="E11" s="68" t="inlineStr">
        <is>
          <t>character_name_10000033</t>
        </is>
      </c>
      <c r="F11" s="68">
        <f>D11&amp;"_profile"</f>
        <v/>
      </c>
      <c r="G11" s="68" t="inlineStr">
        <is>
          <t>None</t>
        </is>
      </c>
      <c r="H11" s="68" t="inlineStr">
        <is>
          <t>Normal</t>
        </is>
      </c>
      <c r="I11" s="68" t="inlineStr">
        <is>
          <t>0.95,0.95,0.95</t>
        </is>
      </c>
      <c r="J11" s="68" t="b">
        <v>1</v>
      </c>
      <c r="K11" s="24" t="inlineStr">
        <is>
          <t>0,0,0</t>
        </is>
      </c>
      <c r="L11" s="68" t="n">
        <v>1</v>
      </c>
      <c r="M11" s="68" t="inlineStr">
        <is>
          <t>Forest</t>
        </is>
      </c>
      <c r="N11" s="68" t="inlineStr">
        <is>
          <t>Magician</t>
        </is>
      </c>
      <c r="O11" s="68">
        <f>100+L11</f>
        <v/>
      </c>
      <c r="P11" s="68" t="n">
        <v>4</v>
      </c>
      <c r="Q11" s="68" t="n">
        <v>4</v>
      </c>
      <c r="R11" s="68" t="n">
        <v>1</v>
      </c>
      <c r="S11" s="68" t="n">
        <v>0</v>
      </c>
      <c r="T11" s="68" t="n">
        <v>0</v>
      </c>
      <c r="U11" s="68" t="inlineStr">
        <is>
          <t>Spd</t>
        </is>
      </c>
      <c r="V11" s="68" t="n">
        <v>120</v>
      </c>
      <c r="W11" s="68" t="inlineStr">
        <is>
          <t>Hp</t>
        </is>
      </c>
      <c r="X11" s="68" t="n">
        <v>5909</v>
      </c>
      <c r="Y11" s="68" t="inlineStr">
        <is>
          <t>Atk</t>
        </is>
      </c>
      <c r="Z11" s="68" t="n">
        <v>198</v>
      </c>
      <c r="AA11" s="68" t="inlineStr">
        <is>
          <t>Def</t>
        </is>
      </c>
      <c r="AB11" s="68" t="n">
        <v>142</v>
      </c>
      <c r="AC11" s="68" t="inlineStr">
        <is>
          <t>Penetration</t>
        </is>
      </c>
      <c r="AD11" s="68" t="n">
        <v>142</v>
      </c>
      <c r="AE11" s="68" t="inlineStr">
        <is>
          <t>Hit</t>
        </is>
      </c>
      <c r="AF11" s="68" t="n">
        <v>100</v>
      </c>
      <c r="AG11" s="68" t="inlineStr">
        <is>
          <t>Dodge</t>
        </is>
      </c>
      <c r="AH11" s="68" t="n">
        <v>100</v>
      </c>
      <c r="AI11" s="68" t="inlineStr">
        <is>
          <t>CriRatio</t>
        </is>
      </c>
      <c r="AJ11" s="68" t="n">
        <v>5000</v>
      </c>
      <c r="AK11" s="68" t="inlineStr">
        <is>
          <t>CriDmgRatio</t>
        </is>
      </c>
      <c r="AL11" s="68" t="n">
        <v>150000</v>
      </c>
      <c r="AM11" s="68" t="n"/>
      <c r="AN11" s="68" t="n"/>
      <c r="AO11" s="68" t="n"/>
      <c r="AP11" s="68" t="n"/>
      <c r="AQ11" s="68" t="n"/>
      <c r="AR11" s="68" t="n"/>
      <c r="AS11" s="68" t="n"/>
      <c r="AT11" s="68" t="n"/>
      <c r="AU11" s="68">
        <f>_xlfn.XLOOKUP(AM11,'[1]Skill&lt;Child&gt;'!$A:$A,'[1]Skill&lt;Child&gt;'!$A:$A)</f>
        <v/>
      </c>
      <c r="AV11" s="68">
        <f>_xlfn.XLOOKUP(AO11,'[1]Skill&lt;Child&gt;'!$A:$A,'[1]Skill&lt;Child&gt;'!$A:$A)</f>
        <v/>
      </c>
      <c r="AW11" s="68">
        <f>_xlfn.XLOOKUP(AQ11,'[1]Skill&lt;Child&gt;'!$A:$A,'[1]Skill&lt;Child&gt;'!$A:$A)</f>
        <v/>
      </c>
      <c r="AX11" s="68">
        <f>_xlfn.XLOOKUP(AS11,'[1]Skill&lt;Child&gt;'!$A:$A,'[1]Skill&lt;Child&gt;'!$A:$A)</f>
        <v/>
      </c>
    </row>
    <row r="12" ht="16.5" customHeight="1" s="66">
      <c r="A12" s="68" t="n">
        <v>10000062</v>
      </c>
      <c r="B12" s="68" t="inlineStr">
        <is>
          <t>에우로페</t>
        </is>
      </c>
      <c r="C12" s="68" t="n">
        <v>1006201</v>
      </c>
      <c r="D12" s="68" t="inlineStr">
        <is>
          <t>c062</t>
        </is>
      </c>
      <c r="E12" s="68" t="inlineStr">
        <is>
          <t>character_name_10000062</t>
        </is>
      </c>
      <c r="F12" s="68">
        <f>D12&amp;"_profile"</f>
        <v/>
      </c>
      <c r="G12" s="68" t="inlineStr">
        <is>
          <t>None</t>
        </is>
      </c>
      <c r="H12" s="68" t="inlineStr">
        <is>
          <t>Normal</t>
        </is>
      </c>
      <c r="I12" s="68" t="inlineStr">
        <is>
          <t>0.95,0.95,0.95</t>
        </is>
      </c>
      <c r="J12" s="68" t="b">
        <v>1</v>
      </c>
      <c r="K12" s="24" t="inlineStr">
        <is>
          <t>0,0,0</t>
        </is>
      </c>
      <c r="L12" s="68" t="n">
        <v>1</v>
      </c>
      <c r="M12" s="68" t="inlineStr">
        <is>
          <t>Forest</t>
        </is>
      </c>
      <c r="N12" s="68" t="inlineStr">
        <is>
          <t>Attacker</t>
        </is>
      </c>
      <c r="O12" s="68">
        <f>100+L12</f>
        <v/>
      </c>
      <c r="P12" s="68" t="n">
        <v>6</v>
      </c>
      <c r="Q12" s="68" t="n">
        <v>6</v>
      </c>
      <c r="R12" s="68" t="n">
        <v>1</v>
      </c>
      <c r="S12" s="68" t="n">
        <v>0</v>
      </c>
      <c r="T12" s="68" t="n">
        <v>0</v>
      </c>
      <c r="U12" s="68" t="inlineStr">
        <is>
          <t>Spd</t>
        </is>
      </c>
      <c r="V12" s="68" t="n">
        <v>80</v>
      </c>
      <c r="W12" s="68" t="inlineStr">
        <is>
          <t>Hp</t>
        </is>
      </c>
      <c r="X12" s="68" t="n">
        <v>5100</v>
      </c>
      <c r="Y12" s="68" t="inlineStr">
        <is>
          <t>Atk</t>
        </is>
      </c>
      <c r="Z12" s="68" t="n">
        <v>420</v>
      </c>
      <c r="AA12" s="68" t="inlineStr">
        <is>
          <t>Def</t>
        </is>
      </c>
      <c r="AB12" s="68" t="n">
        <v>120</v>
      </c>
      <c r="AC12" s="68" t="inlineStr">
        <is>
          <t>Penetration</t>
        </is>
      </c>
      <c r="AD12" s="68" t="n">
        <v>120</v>
      </c>
      <c r="AE12" s="68" t="inlineStr">
        <is>
          <t>Hit</t>
        </is>
      </c>
      <c r="AF12" s="68" t="n">
        <v>100</v>
      </c>
      <c r="AG12" s="68" t="inlineStr">
        <is>
          <t>Dodge</t>
        </is>
      </c>
      <c r="AH12" s="68" t="n">
        <v>100</v>
      </c>
      <c r="AI12" s="68" t="inlineStr">
        <is>
          <t>CriRatio</t>
        </is>
      </c>
      <c r="AJ12" s="68" t="n">
        <v>5000</v>
      </c>
      <c r="AK12" s="68" t="inlineStr">
        <is>
          <t>CriDmgRatio</t>
        </is>
      </c>
      <c r="AL12" s="68" t="n">
        <v>150000</v>
      </c>
      <c r="AM12" s="68" t="n"/>
      <c r="AN12" s="68" t="n"/>
      <c r="AO12" s="68" t="n"/>
      <c r="AP12" s="68" t="n"/>
      <c r="AQ12" s="68" t="n"/>
      <c r="AR12" s="68" t="n"/>
      <c r="AS12" s="68" t="n"/>
      <c r="AT12" s="68" t="n"/>
      <c r="AU12" s="68">
        <f>_xlfn.XLOOKUP(AM12,'[1]Skill&lt;Child&gt;'!$A:$A,'[1]Skill&lt;Child&gt;'!$A:$A)</f>
        <v/>
      </c>
      <c r="AV12" s="68">
        <f>_xlfn.XLOOKUP(AO12,'[1]Skill&lt;Child&gt;'!$A:$A,'[1]Skill&lt;Child&gt;'!$A:$A)</f>
        <v/>
      </c>
      <c r="AW12" s="68">
        <f>_xlfn.XLOOKUP(AQ12,'[1]Skill&lt;Child&gt;'!$A:$A,'[1]Skill&lt;Child&gt;'!$A:$A)</f>
        <v/>
      </c>
      <c r="AX12" s="68">
        <f>_xlfn.XLOOKUP(AS12,'[1]Skill&lt;Child&gt;'!$A:$A,'[1]Skill&lt;Child&gt;'!$A:$A)</f>
        <v/>
      </c>
    </row>
    <row r="13" ht="16.5" customHeight="1" s="66">
      <c r="A13" s="68" t="n">
        <v>10000028</v>
      </c>
      <c r="B13" s="68" t="inlineStr">
        <is>
          <t>레다</t>
        </is>
      </c>
      <c r="C13" s="68" t="n">
        <v>1002801</v>
      </c>
      <c r="D13" s="68" t="inlineStr">
        <is>
          <t>c028</t>
        </is>
      </c>
      <c r="E13" s="68" t="inlineStr">
        <is>
          <t>character_name_10000028</t>
        </is>
      </c>
      <c r="F13" s="68">
        <f>D13&amp;"_profile"</f>
        <v/>
      </c>
      <c r="G13" s="68" t="inlineStr">
        <is>
          <t>None</t>
        </is>
      </c>
      <c r="H13" s="68" t="inlineStr">
        <is>
          <t>Normal</t>
        </is>
      </c>
      <c r="I13" s="68" t="inlineStr">
        <is>
          <t>0.95,0.95,0.95</t>
        </is>
      </c>
      <c r="J13" s="68" t="b">
        <v>1</v>
      </c>
      <c r="K13" s="24" t="inlineStr">
        <is>
          <t>0,0,0</t>
        </is>
      </c>
      <c r="L13" s="68" t="n">
        <v>1</v>
      </c>
      <c r="M13" s="68" t="inlineStr">
        <is>
          <t>Light</t>
        </is>
      </c>
      <c r="N13" s="68" t="inlineStr">
        <is>
          <t>Supporter</t>
        </is>
      </c>
      <c r="O13" s="68">
        <f>100+L13</f>
        <v/>
      </c>
      <c r="P13" s="68" t="n">
        <v>4</v>
      </c>
      <c r="Q13" s="68" t="n">
        <v>4</v>
      </c>
      <c r="R13" s="68" t="n">
        <v>1</v>
      </c>
      <c r="S13" s="68" t="n">
        <v>0</v>
      </c>
      <c r="T13" s="68" t="n">
        <v>0</v>
      </c>
      <c r="U13" s="68" t="inlineStr">
        <is>
          <t>Spd</t>
        </is>
      </c>
      <c r="V13" s="68" t="n">
        <v>120</v>
      </c>
      <c r="W13" s="68" t="inlineStr">
        <is>
          <t>Hp</t>
        </is>
      </c>
      <c r="X13" s="68" t="n">
        <v>5909</v>
      </c>
      <c r="Y13" s="68" t="inlineStr">
        <is>
          <t>Atk</t>
        </is>
      </c>
      <c r="Z13" s="68" t="n">
        <v>198</v>
      </c>
      <c r="AA13" s="68" t="inlineStr">
        <is>
          <t>Def</t>
        </is>
      </c>
      <c r="AB13" s="68" t="n">
        <v>142</v>
      </c>
      <c r="AC13" s="68" t="inlineStr">
        <is>
          <t>Penetration</t>
        </is>
      </c>
      <c r="AD13" s="68" t="n">
        <v>142</v>
      </c>
      <c r="AE13" s="68" t="inlineStr">
        <is>
          <t>Hit</t>
        </is>
      </c>
      <c r="AF13" s="68" t="n">
        <v>100</v>
      </c>
      <c r="AG13" s="68" t="inlineStr">
        <is>
          <t>Dodge</t>
        </is>
      </c>
      <c r="AH13" s="68" t="n">
        <v>100</v>
      </c>
      <c r="AI13" s="68" t="inlineStr">
        <is>
          <t>CriRatio</t>
        </is>
      </c>
      <c r="AJ13" s="68" t="n">
        <v>5000</v>
      </c>
      <c r="AK13" s="68" t="inlineStr">
        <is>
          <t>CriDmgRatio</t>
        </is>
      </c>
      <c r="AL13" s="68" t="n">
        <v>150000</v>
      </c>
      <c r="AM13" s="68" t="n"/>
      <c r="AN13" s="68" t="n"/>
      <c r="AO13" s="68" t="n"/>
      <c r="AP13" s="68" t="n"/>
      <c r="AQ13" s="68" t="n"/>
      <c r="AR13" s="68" t="n"/>
      <c r="AS13" s="68" t="n"/>
      <c r="AT13" s="68" t="n"/>
      <c r="AU13" s="68">
        <f>_xlfn.XLOOKUP(AM13,'[1]Skill&lt;Child&gt;'!$A:$A,'[1]Skill&lt;Child&gt;'!$A:$A)</f>
        <v/>
      </c>
      <c r="AV13" s="68">
        <f>_xlfn.XLOOKUP(AO13,'[1]Skill&lt;Child&gt;'!$A:$A,'[1]Skill&lt;Child&gt;'!$A:$A)</f>
        <v/>
      </c>
      <c r="AW13" s="68">
        <f>_xlfn.XLOOKUP(AQ13,'[1]Skill&lt;Child&gt;'!$A:$A,'[1]Skill&lt;Child&gt;'!$A:$A)</f>
        <v/>
      </c>
      <c r="AX13" s="68">
        <f>_xlfn.XLOOKUP(AS13,'[1]Skill&lt;Child&gt;'!$A:$A,'[1]Skill&lt;Child&gt;'!$A:$A)</f>
        <v/>
      </c>
    </row>
    <row r="14" ht="16.5" customHeight="1" s="66">
      <c r="A14" s="68" t="n">
        <v>10000221</v>
      </c>
      <c r="B14" s="68" t="inlineStr">
        <is>
          <t>야나</t>
        </is>
      </c>
      <c r="C14" s="68" t="n">
        <v>1022101</v>
      </c>
      <c r="D14" s="68" t="inlineStr">
        <is>
          <t>c221</t>
        </is>
      </c>
      <c r="E14" s="68" t="inlineStr">
        <is>
          <t>character_name_10000221</t>
        </is>
      </c>
      <c r="F14" s="68">
        <f>D14&amp;"_profile"</f>
        <v/>
      </c>
      <c r="G14" s="68" t="inlineStr">
        <is>
          <t>None</t>
        </is>
      </c>
      <c r="H14" s="68" t="inlineStr">
        <is>
          <t>Normal</t>
        </is>
      </c>
      <c r="I14" s="68" t="inlineStr">
        <is>
          <t>0.95,0.95,0.95</t>
        </is>
      </c>
      <c r="J14" s="68" t="b">
        <v>1</v>
      </c>
      <c r="K14" s="24" t="inlineStr">
        <is>
          <t>0,0,0</t>
        </is>
      </c>
      <c r="L14" s="68" t="n">
        <v>1</v>
      </c>
      <c r="M14" s="68" t="inlineStr">
        <is>
          <t>Light</t>
        </is>
      </c>
      <c r="N14" s="68" t="inlineStr">
        <is>
          <t>Attacker</t>
        </is>
      </c>
      <c r="O14" s="68">
        <f>100+L14</f>
        <v/>
      </c>
      <c r="P14" s="68" t="n">
        <v>6</v>
      </c>
      <c r="Q14" s="68" t="n">
        <v>6</v>
      </c>
      <c r="R14" s="68" t="n">
        <v>1</v>
      </c>
      <c r="S14" s="68" t="n">
        <v>0</v>
      </c>
      <c r="T14" s="68" t="n">
        <v>0</v>
      </c>
      <c r="U14" s="68" t="inlineStr">
        <is>
          <t>Spd</t>
        </is>
      </c>
      <c r="V14" s="68" t="n">
        <v>80</v>
      </c>
      <c r="W14" s="68" t="inlineStr">
        <is>
          <t>Hp</t>
        </is>
      </c>
      <c r="X14" s="68" t="n">
        <v>5100</v>
      </c>
      <c r="Y14" s="68" t="inlineStr">
        <is>
          <t>Atk</t>
        </is>
      </c>
      <c r="Z14" s="68" t="n">
        <v>420</v>
      </c>
      <c r="AA14" s="68" t="inlineStr">
        <is>
          <t>Def</t>
        </is>
      </c>
      <c r="AB14" s="68" t="n">
        <v>120</v>
      </c>
      <c r="AC14" s="68" t="inlineStr">
        <is>
          <t>Penetration</t>
        </is>
      </c>
      <c r="AD14" s="68" t="n">
        <v>120</v>
      </c>
      <c r="AE14" s="68" t="inlineStr">
        <is>
          <t>Hit</t>
        </is>
      </c>
      <c r="AF14" s="68" t="n">
        <v>100</v>
      </c>
      <c r="AG14" s="68" t="inlineStr">
        <is>
          <t>Dodge</t>
        </is>
      </c>
      <c r="AH14" s="68" t="n">
        <v>100</v>
      </c>
      <c r="AI14" s="68" t="inlineStr">
        <is>
          <t>CriRatio</t>
        </is>
      </c>
      <c r="AJ14" s="68" t="n">
        <v>5000</v>
      </c>
      <c r="AK14" s="68" t="inlineStr">
        <is>
          <t>CriDmgRatio</t>
        </is>
      </c>
      <c r="AL14" s="68" t="n">
        <v>150000</v>
      </c>
      <c r="AM14" s="68" t="n"/>
      <c r="AN14" s="68" t="n"/>
      <c r="AO14" s="68" t="n"/>
      <c r="AP14" s="68" t="n"/>
      <c r="AQ14" s="68" t="n"/>
      <c r="AR14" s="68" t="n"/>
      <c r="AS14" s="68" t="n"/>
      <c r="AT14" s="68" t="n"/>
      <c r="AU14" s="68">
        <f>_xlfn.XLOOKUP(AM14,'[1]Skill&lt;Child&gt;'!$A:$A,'[1]Skill&lt;Child&gt;'!$A:$A)</f>
        <v/>
      </c>
      <c r="AV14" s="68">
        <f>_xlfn.XLOOKUP(AO14,'[1]Skill&lt;Child&gt;'!$A:$A,'[1]Skill&lt;Child&gt;'!$A:$A)</f>
        <v/>
      </c>
      <c r="AW14" s="68">
        <f>_xlfn.XLOOKUP(AQ14,'[1]Skill&lt;Child&gt;'!$A:$A,'[1]Skill&lt;Child&gt;'!$A:$A)</f>
        <v/>
      </c>
      <c r="AX14" s="68">
        <f>_xlfn.XLOOKUP(AS14,'[1]Skill&lt;Child&gt;'!$A:$A,'[1]Skill&lt;Child&gt;'!$A:$A)</f>
        <v/>
      </c>
    </row>
    <row r="15" ht="16.5" customHeight="1" s="66">
      <c r="A15" s="68" t="n">
        <v>10000353</v>
      </c>
      <c r="B15" s="68" t="inlineStr">
        <is>
          <t>샤를</t>
        </is>
      </c>
      <c r="C15" s="68" t="n">
        <v>135301</v>
      </c>
      <c r="D15" s="68">
        <f>"c"&amp;MID(C15,2,3)</f>
        <v/>
      </c>
      <c r="E15" s="68">
        <f>"character_name_"&amp;A15</f>
        <v/>
      </c>
      <c r="F15" s="68">
        <f>D15&amp;"_profile"</f>
        <v/>
      </c>
      <c r="G15" s="68" t="inlineStr">
        <is>
          <t>None</t>
        </is>
      </c>
      <c r="H15" s="68" t="inlineStr">
        <is>
          <t>Normal</t>
        </is>
      </c>
      <c r="I15" s="68" t="inlineStr">
        <is>
          <t>0.95,0.95,0.95</t>
        </is>
      </c>
      <c r="J15" s="68" t="b">
        <v>1</v>
      </c>
      <c r="K15" s="24" t="inlineStr">
        <is>
          <t>0,0,0</t>
        </is>
      </c>
      <c r="L15" s="68" t="n">
        <v>1</v>
      </c>
      <c r="M15" s="68" t="inlineStr">
        <is>
          <t>Light</t>
        </is>
      </c>
      <c r="N15" s="68" t="inlineStr">
        <is>
          <t>Defender</t>
        </is>
      </c>
      <c r="O15" s="68">
        <f>100+L15</f>
        <v/>
      </c>
      <c r="P15" s="68">
        <f t="array" ref="P15">_xlfn.IFS($N15="Attacker",6,$N15="Healer",3,$N15="Magician",4,$N15="Defender",3,$N15="Supporter",4)</f>
        <v/>
      </c>
      <c r="Q15" s="68">
        <f t="array" ref="Q15">_xlfn.IFS($N15="Attacker",6,$N15="Healer",3,$N15="Magician",4,$N15="Defender",3,$N15="Supporter",4)</f>
        <v/>
      </c>
      <c r="R15" s="68" t="n">
        <v>1</v>
      </c>
      <c r="S15" s="68" t="n">
        <v>0</v>
      </c>
      <c r="T15" s="68" t="n">
        <v>0</v>
      </c>
      <c r="U15" s="68" t="inlineStr">
        <is>
          <t>Spd</t>
        </is>
      </c>
      <c r="V15" s="68">
        <f t="array" ref="V15">_xlfn.IFS(N15="Attacker",80,N15="Healer",90,N15="Magician",100,N15="Defender",110,N15="Supporter",120)</f>
        <v/>
      </c>
      <c r="W15" s="68" t="inlineStr">
        <is>
          <t>Hp</t>
        </is>
      </c>
      <c r="X15" s="68" t="n">
        <v>8650</v>
      </c>
      <c r="Y15" s="68" t="inlineStr">
        <is>
          <t>Atk</t>
        </is>
      </c>
      <c r="Z15" s="68" t="n">
        <v>252</v>
      </c>
      <c r="AA15" s="68" t="inlineStr">
        <is>
          <t>Def</t>
        </is>
      </c>
      <c r="AB15" s="68" t="n">
        <v>240</v>
      </c>
      <c r="AC15" s="68" t="inlineStr">
        <is>
          <t>Penetration</t>
        </is>
      </c>
      <c r="AD15" s="68" t="n">
        <v>195</v>
      </c>
      <c r="AE15" s="68" t="inlineStr">
        <is>
          <t>Hit</t>
        </is>
      </c>
      <c r="AF15" s="68" t="n">
        <v>100</v>
      </c>
      <c r="AG15" s="68" t="inlineStr">
        <is>
          <t>Dodge</t>
        </is>
      </c>
      <c r="AH15" s="68" t="n">
        <v>100</v>
      </c>
      <c r="AI15" s="68" t="inlineStr">
        <is>
          <t>CriRatio</t>
        </is>
      </c>
      <c r="AJ15" s="68" t="n">
        <v>5000</v>
      </c>
      <c r="AK15" s="68" t="inlineStr">
        <is>
          <t>CriDmgRatio</t>
        </is>
      </c>
      <c r="AL15" s="68" t="n">
        <v>150000</v>
      </c>
      <c r="AM15" s="68" t="n">
        <v>1542051</v>
      </c>
      <c r="AN15" s="68" t="b">
        <v>1</v>
      </c>
      <c r="AO15" s="68" t="n">
        <v>2542051</v>
      </c>
      <c r="AP15" s="68" t="b">
        <v>0</v>
      </c>
      <c r="AQ15" s="68" t="n">
        <v>3542051</v>
      </c>
      <c r="AR15" s="68" t="b">
        <v>1</v>
      </c>
      <c r="AS15" s="68" t="n">
        <v>4542051</v>
      </c>
      <c r="AT15" s="68" t="b">
        <v>0</v>
      </c>
      <c r="AU15" s="68">
        <f>_xlfn.XLOOKUP(AM15,'[1]Skill&lt;Child&gt;'!$A:$A,'[1]Skill&lt;Child&gt;'!$A:$A)</f>
        <v/>
      </c>
      <c r="AV15" s="68">
        <f>_xlfn.XLOOKUP(AO15,'[1]Skill&lt;Child&gt;'!$A:$A,'[1]Skill&lt;Child&gt;'!$A:$A)</f>
        <v/>
      </c>
      <c r="AW15" s="68">
        <f>_xlfn.XLOOKUP(AQ15,'[1]Skill&lt;Child&gt;'!$A:$A,'[1]Skill&lt;Child&gt;'!$A:$A)</f>
        <v/>
      </c>
      <c r="AX15" s="68">
        <f>_xlfn.XLOOKUP(AS15,'[1]Skill&lt;Child&gt;'!$A:$A,'[1]Skill&lt;Child&gt;'!$A:$A)</f>
        <v/>
      </c>
    </row>
    <row r="16" ht="16.5" customHeight="1" s="66">
      <c r="A16" s="68" t="n">
        <v>10000022</v>
      </c>
      <c r="B16" s="68" t="inlineStr">
        <is>
          <t>마야우엘</t>
        </is>
      </c>
      <c r="C16" s="68" t="n">
        <v>1002201</v>
      </c>
      <c r="D16" s="68" t="inlineStr">
        <is>
          <t>c022</t>
        </is>
      </c>
      <c r="E16" s="68" t="inlineStr">
        <is>
          <t>character_name_10000022</t>
        </is>
      </c>
      <c r="F16" s="68">
        <f>D16&amp;"_profile"</f>
        <v/>
      </c>
      <c r="G16" s="68" t="inlineStr">
        <is>
          <t>None</t>
        </is>
      </c>
      <c r="H16" s="68" t="inlineStr">
        <is>
          <t>Normal</t>
        </is>
      </c>
      <c r="I16" s="68" t="inlineStr">
        <is>
          <t>0.95,0.95,0.95</t>
        </is>
      </c>
      <c r="J16" s="68" t="b">
        <v>1</v>
      </c>
      <c r="K16" s="24" t="inlineStr">
        <is>
          <t>0,0,0</t>
        </is>
      </c>
      <c r="L16" s="68" t="n">
        <v>1</v>
      </c>
      <c r="M16" s="68" t="inlineStr">
        <is>
          <t>Water</t>
        </is>
      </c>
      <c r="N16" s="68" t="inlineStr">
        <is>
          <t>Magician</t>
        </is>
      </c>
      <c r="O16" s="68">
        <f>100+L16</f>
        <v/>
      </c>
      <c r="P16" s="68" t="n">
        <v>4</v>
      </c>
      <c r="Q16" s="68" t="n">
        <v>4</v>
      </c>
      <c r="R16" s="68" t="n">
        <v>1</v>
      </c>
      <c r="S16" s="68" t="n">
        <v>0</v>
      </c>
      <c r="T16" s="68" t="n">
        <v>0</v>
      </c>
      <c r="U16" s="68" t="inlineStr">
        <is>
          <t>Spd</t>
        </is>
      </c>
      <c r="V16" s="68" t="n">
        <v>120</v>
      </c>
      <c r="W16" s="68" t="inlineStr">
        <is>
          <t>Hp</t>
        </is>
      </c>
      <c r="X16" s="68" t="n">
        <v>5909</v>
      </c>
      <c r="Y16" s="68" t="inlineStr">
        <is>
          <t>Atk</t>
        </is>
      </c>
      <c r="Z16" s="68" t="n">
        <v>198</v>
      </c>
      <c r="AA16" s="68" t="inlineStr">
        <is>
          <t>Def</t>
        </is>
      </c>
      <c r="AB16" s="68" t="n">
        <v>142</v>
      </c>
      <c r="AC16" s="68" t="inlineStr">
        <is>
          <t>Penetration</t>
        </is>
      </c>
      <c r="AD16" s="68" t="n">
        <v>142</v>
      </c>
      <c r="AE16" s="68" t="inlineStr">
        <is>
          <t>Hit</t>
        </is>
      </c>
      <c r="AF16" s="68" t="n">
        <v>100</v>
      </c>
      <c r="AG16" s="68" t="inlineStr">
        <is>
          <t>Dodge</t>
        </is>
      </c>
      <c r="AH16" s="68" t="n">
        <v>100</v>
      </c>
      <c r="AI16" s="68" t="inlineStr">
        <is>
          <t>CriRatio</t>
        </is>
      </c>
      <c r="AJ16" s="68" t="n">
        <v>5000</v>
      </c>
      <c r="AK16" s="68" t="inlineStr">
        <is>
          <t>CriDmgRatio</t>
        </is>
      </c>
      <c r="AL16" s="68" t="n">
        <v>150000</v>
      </c>
      <c r="AM16" s="68" t="n"/>
      <c r="AN16" s="68" t="n"/>
      <c r="AO16" s="68" t="n"/>
      <c r="AP16" s="68" t="n"/>
      <c r="AQ16" s="68" t="n"/>
      <c r="AR16" s="68" t="n"/>
      <c r="AS16" s="68" t="n"/>
      <c r="AT16" s="68" t="n"/>
      <c r="AU16" s="68">
        <f>_xlfn.XLOOKUP(AM16,'[1]Skill&lt;Child&gt;'!$A:$A,'[1]Skill&lt;Child&gt;'!$A:$A)</f>
        <v/>
      </c>
      <c r="AV16" s="68">
        <f>_xlfn.XLOOKUP(AO16,'[1]Skill&lt;Child&gt;'!$A:$A,'[1]Skill&lt;Child&gt;'!$A:$A)</f>
        <v/>
      </c>
      <c r="AW16" s="68">
        <f>_xlfn.XLOOKUP(AQ16,'[1]Skill&lt;Child&gt;'!$A:$A,'[1]Skill&lt;Child&gt;'!$A:$A)</f>
        <v/>
      </c>
      <c r="AX16" s="68">
        <f>_xlfn.XLOOKUP(AS16,'[1]Skill&lt;Child&gt;'!$A:$A,'[1]Skill&lt;Child&gt;'!$A:$A)</f>
        <v/>
      </c>
    </row>
    <row r="17" ht="16.5" customHeight="1" s="66">
      <c r="A17" s="68" t="n">
        <v>10000362</v>
      </c>
      <c r="B17" s="68" t="inlineStr">
        <is>
          <t>레오</t>
        </is>
      </c>
      <c r="C17" s="68" t="n">
        <v>1036201</v>
      </c>
      <c r="D17" s="68" t="inlineStr">
        <is>
          <t>c362</t>
        </is>
      </c>
      <c r="E17" s="68" t="inlineStr">
        <is>
          <t>character_name_10000362</t>
        </is>
      </c>
      <c r="F17" s="68">
        <f>D17&amp;"_profile"</f>
        <v/>
      </c>
      <c r="G17" s="68" t="inlineStr">
        <is>
          <t>None</t>
        </is>
      </c>
      <c r="H17" s="68" t="inlineStr">
        <is>
          <t>Normal</t>
        </is>
      </c>
      <c r="I17" s="68" t="inlineStr">
        <is>
          <t>0.95,0.95,0.95</t>
        </is>
      </c>
      <c r="J17" s="68" t="b">
        <v>1</v>
      </c>
      <c r="K17" s="24" t="inlineStr">
        <is>
          <t>0,0,0</t>
        </is>
      </c>
      <c r="L17" s="68" t="n">
        <v>1</v>
      </c>
      <c r="M17" s="68" t="inlineStr">
        <is>
          <t>Water</t>
        </is>
      </c>
      <c r="N17" s="68" t="inlineStr">
        <is>
          <t>Supporter</t>
        </is>
      </c>
      <c r="O17" s="68">
        <f>100+L17</f>
        <v/>
      </c>
      <c r="P17" s="68" t="n">
        <v>4</v>
      </c>
      <c r="Q17" s="68" t="n">
        <v>4</v>
      </c>
      <c r="R17" s="68" t="n">
        <v>1</v>
      </c>
      <c r="S17" s="68" t="n">
        <v>0</v>
      </c>
      <c r="T17" s="68" t="n">
        <v>0</v>
      </c>
      <c r="U17" s="68" t="inlineStr">
        <is>
          <t>Spd</t>
        </is>
      </c>
      <c r="V17" s="68" t="n">
        <v>120</v>
      </c>
      <c r="W17" s="68" t="inlineStr">
        <is>
          <t>Hp</t>
        </is>
      </c>
      <c r="X17" s="68" t="n">
        <v>5909</v>
      </c>
      <c r="Y17" s="68" t="inlineStr">
        <is>
          <t>Atk</t>
        </is>
      </c>
      <c r="Z17" s="68" t="n">
        <v>198</v>
      </c>
      <c r="AA17" s="68" t="inlineStr">
        <is>
          <t>Def</t>
        </is>
      </c>
      <c r="AB17" s="68" t="n">
        <v>142</v>
      </c>
      <c r="AC17" s="68" t="inlineStr">
        <is>
          <t>Penetration</t>
        </is>
      </c>
      <c r="AD17" s="68" t="n">
        <v>142</v>
      </c>
      <c r="AE17" s="68" t="inlineStr">
        <is>
          <t>Hit</t>
        </is>
      </c>
      <c r="AF17" s="68" t="n">
        <v>100</v>
      </c>
      <c r="AG17" s="68" t="inlineStr">
        <is>
          <t>Dodge</t>
        </is>
      </c>
      <c r="AH17" s="68" t="n">
        <v>100</v>
      </c>
      <c r="AI17" s="68" t="inlineStr">
        <is>
          <t>CriRatio</t>
        </is>
      </c>
      <c r="AJ17" s="68" t="n">
        <v>5000</v>
      </c>
      <c r="AK17" s="68" t="inlineStr">
        <is>
          <t>CriDmgRatio</t>
        </is>
      </c>
      <c r="AL17" s="68" t="n">
        <v>150000</v>
      </c>
      <c r="AM17" s="68" t="n"/>
      <c r="AN17" s="68" t="n"/>
      <c r="AO17" s="68" t="n"/>
      <c r="AP17" s="68" t="n"/>
      <c r="AQ17" s="68" t="n"/>
      <c r="AR17" s="68" t="n"/>
      <c r="AS17" s="68" t="n"/>
      <c r="AT17" s="68" t="n"/>
      <c r="AU17" s="68">
        <f>_xlfn.XLOOKUP(AM17,'[1]Skill&lt;Child&gt;'!$A:$A,'[1]Skill&lt;Child&gt;'!$A:$A)</f>
        <v/>
      </c>
      <c r="AV17" s="68">
        <f>_xlfn.XLOOKUP(AO17,'[1]Skill&lt;Child&gt;'!$A:$A,'[1]Skill&lt;Child&gt;'!$A:$A)</f>
        <v/>
      </c>
      <c r="AW17" s="68">
        <f>_xlfn.XLOOKUP(AQ17,'[1]Skill&lt;Child&gt;'!$A:$A,'[1]Skill&lt;Child&gt;'!$A:$A)</f>
        <v/>
      </c>
      <c r="AX17" s="68">
        <f>_xlfn.XLOOKUP(AS17,'[1]Skill&lt;Child&gt;'!$A:$A,'[1]Skill&lt;Child&gt;'!$A:$A)</f>
        <v/>
      </c>
    </row>
    <row r="18" ht="16.5" customHeight="1" s="66">
      <c r="A18" s="68" t="n">
        <v>10000366</v>
      </c>
      <c r="B18" s="68" t="inlineStr">
        <is>
          <t>데이노</t>
        </is>
      </c>
      <c r="C18" s="68" t="n">
        <v>1036601</v>
      </c>
      <c r="D18" s="68" t="inlineStr">
        <is>
          <t>c366</t>
        </is>
      </c>
      <c r="E18" s="68" t="inlineStr">
        <is>
          <t>character_name_10000366</t>
        </is>
      </c>
      <c r="F18" s="68">
        <f>D18&amp;"_profile"</f>
        <v/>
      </c>
      <c r="G18" s="68" t="inlineStr">
        <is>
          <t>None</t>
        </is>
      </c>
      <c r="H18" s="68" t="inlineStr">
        <is>
          <t>Normal</t>
        </is>
      </c>
      <c r="I18" s="68" t="inlineStr">
        <is>
          <t>0.95,0.95,0.95</t>
        </is>
      </c>
      <c r="J18" s="68" t="b">
        <v>1</v>
      </c>
      <c r="K18" s="24" t="inlineStr">
        <is>
          <t>0,0,0</t>
        </is>
      </c>
      <c r="L18" s="68" t="n">
        <v>1</v>
      </c>
      <c r="M18" s="68" t="inlineStr">
        <is>
          <t>Water</t>
        </is>
      </c>
      <c r="N18" s="68" t="inlineStr">
        <is>
          <t>Defender</t>
        </is>
      </c>
      <c r="O18" s="68">
        <f>100+L18</f>
        <v/>
      </c>
      <c r="P18" s="68" t="n">
        <v>3</v>
      </c>
      <c r="Q18" s="68" t="n">
        <v>3</v>
      </c>
      <c r="R18" s="68" t="n">
        <v>1</v>
      </c>
      <c r="S18" s="68" t="n">
        <v>0</v>
      </c>
      <c r="T18" s="68" t="n">
        <v>0</v>
      </c>
      <c r="U18" s="68" t="inlineStr">
        <is>
          <t>Spd</t>
        </is>
      </c>
      <c r="V18" s="68" t="n">
        <v>110</v>
      </c>
      <c r="W18" s="68" t="inlineStr">
        <is>
          <t>Hp</t>
        </is>
      </c>
      <c r="X18" s="68" t="n">
        <v>8650</v>
      </c>
      <c r="Y18" s="68" t="inlineStr">
        <is>
          <t>Atk</t>
        </is>
      </c>
      <c r="Z18" s="68" t="n">
        <v>252</v>
      </c>
      <c r="AA18" s="68" t="inlineStr">
        <is>
          <t>Def</t>
        </is>
      </c>
      <c r="AB18" s="68" t="n">
        <v>240</v>
      </c>
      <c r="AC18" s="68" t="inlineStr">
        <is>
          <t>Penetration</t>
        </is>
      </c>
      <c r="AD18" s="68" t="n">
        <v>240</v>
      </c>
      <c r="AE18" s="68" t="inlineStr">
        <is>
          <t>Hit</t>
        </is>
      </c>
      <c r="AF18" s="68" t="n">
        <v>100</v>
      </c>
      <c r="AG18" s="68" t="inlineStr">
        <is>
          <t>Dodge</t>
        </is>
      </c>
      <c r="AH18" s="68" t="n">
        <v>100</v>
      </c>
      <c r="AI18" s="68" t="inlineStr">
        <is>
          <t>CriRatio</t>
        </is>
      </c>
      <c r="AJ18" s="68" t="n">
        <v>5000</v>
      </c>
      <c r="AK18" s="68" t="inlineStr">
        <is>
          <t>CriDmgRatio</t>
        </is>
      </c>
      <c r="AL18" s="68" t="n">
        <v>150000</v>
      </c>
      <c r="AM18" s="68" t="n"/>
      <c r="AN18" s="68" t="n"/>
      <c r="AO18" s="68" t="n"/>
      <c r="AP18" s="68" t="n"/>
      <c r="AQ18" s="68" t="n"/>
      <c r="AR18" s="68" t="n"/>
      <c r="AS18" s="68" t="n"/>
      <c r="AT18" s="68" t="n"/>
      <c r="AU18" s="68">
        <f>_xlfn.XLOOKUP(AM18,'[1]Skill&lt;Child&gt;'!$A:$A,'[1]Skill&lt;Child&gt;'!$A:$A)</f>
        <v/>
      </c>
      <c r="AV18" s="68">
        <f>_xlfn.XLOOKUP(AO18,'[1]Skill&lt;Child&gt;'!$A:$A,'[1]Skill&lt;Child&gt;'!$A:$A)</f>
        <v/>
      </c>
      <c r="AW18" s="68">
        <f>_xlfn.XLOOKUP(AQ18,'[1]Skill&lt;Child&gt;'!$A:$A,'[1]Skill&lt;Child&gt;'!$A:$A)</f>
        <v/>
      </c>
      <c r="AX18" s="68">
        <f>_xlfn.XLOOKUP(AS18,'[1]Skill&lt;Child&gt;'!$A:$A,'[1]Skill&lt;Child&gt;'!$A:$A)</f>
        <v/>
      </c>
    </row>
    <row r="19" ht="16.5" customHeight="1" s="66">
      <c r="A19" s="68" t="n">
        <v>10000001</v>
      </c>
      <c r="B19" s="68" t="inlineStr">
        <is>
          <t>모나</t>
        </is>
      </c>
      <c r="C19" s="68" t="n">
        <v>100101</v>
      </c>
      <c r="D19" s="68">
        <f>"c"&amp;MID(C19,2,3)</f>
        <v/>
      </c>
      <c r="E19" s="68">
        <f>"character_name_"&amp;A19</f>
        <v/>
      </c>
      <c r="F19" s="68">
        <f>D19&amp;"_profile"</f>
        <v/>
      </c>
      <c r="G19" s="68" t="inlineStr">
        <is>
          <t>None</t>
        </is>
      </c>
      <c r="H19" s="68" t="inlineStr">
        <is>
          <t>Normal</t>
        </is>
      </c>
      <c r="I19" s="68" t="inlineStr">
        <is>
          <t>0.95,0.95,0.95</t>
        </is>
      </c>
      <c r="J19" s="68" t="b">
        <v>1</v>
      </c>
      <c r="K19" s="24" t="inlineStr">
        <is>
          <t>0,0,0</t>
        </is>
      </c>
      <c r="L19" s="68" t="n">
        <v>2</v>
      </c>
      <c r="M19" s="68" t="inlineStr">
        <is>
          <t>Dark</t>
        </is>
      </c>
      <c r="N19" s="68" t="inlineStr">
        <is>
          <t>Defender</t>
        </is>
      </c>
      <c r="O19" s="68">
        <f>100+L19</f>
        <v/>
      </c>
      <c r="P19" s="68" t="n">
        <v>3</v>
      </c>
      <c r="Q19" s="68" t="n">
        <v>3</v>
      </c>
      <c r="R19" s="68" t="n">
        <v>1</v>
      </c>
      <c r="S19" s="68" t="n">
        <v>0</v>
      </c>
      <c r="T19" s="68" t="n">
        <v>0</v>
      </c>
      <c r="U19" s="68" t="inlineStr">
        <is>
          <t>Spd</t>
        </is>
      </c>
      <c r="V19" s="68">
        <f t="array" ref="V19">_xlfn.IFS(N19="Attacker",80,N19="Healer",90,N19="Magician",100,N19="Defender",110,N19="Supporter",120)</f>
        <v/>
      </c>
      <c r="W19" s="68" t="inlineStr">
        <is>
          <t>Hp</t>
        </is>
      </c>
      <c r="X19" s="68" t="n">
        <v>6475</v>
      </c>
      <c r="Y19" s="68" t="inlineStr">
        <is>
          <t>Atk</t>
        </is>
      </c>
      <c r="Z19" s="68" t="n">
        <v>168</v>
      </c>
      <c r="AA19" s="68" t="inlineStr">
        <is>
          <t>Def</t>
        </is>
      </c>
      <c r="AB19" s="68" t="n">
        <v>151</v>
      </c>
      <c r="AC19" s="68" t="inlineStr">
        <is>
          <t>Penetration</t>
        </is>
      </c>
      <c r="AD19" s="68" t="n">
        <v>163</v>
      </c>
      <c r="AE19" s="68" t="inlineStr">
        <is>
          <t>Hit</t>
        </is>
      </c>
      <c r="AF19" s="68" t="n">
        <v>100</v>
      </c>
      <c r="AG19" s="68" t="inlineStr">
        <is>
          <t>Dodge</t>
        </is>
      </c>
      <c r="AH19" s="68" t="n">
        <v>100</v>
      </c>
      <c r="AI19" s="68" t="inlineStr">
        <is>
          <t>CriRatio</t>
        </is>
      </c>
      <c r="AJ19" s="68" t="n">
        <v>5000</v>
      </c>
      <c r="AK19" s="68" t="inlineStr">
        <is>
          <t>CriDmgRatio</t>
        </is>
      </c>
      <c r="AL19" s="68" t="n">
        <v>150000</v>
      </c>
      <c r="AM19" s="68" t="n">
        <v>1552111</v>
      </c>
      <c r="AN19" s="68" t="b">
        <v>1</v>
      </c>
      <c r="AO19" s="68" t="n">
        <v>2552111</v>
      </c>
      <c r="AP19" s="68" t="b">
        <v>0</v>
      </c>
      <c r="AQ19" s="68" t="n">
        <v>3552111</v>
      </c>
      <c r="AR19" s="68" t="b">
        <v>1</v>
      </c>
      <c r="AS19" s="68" t="n">
        <v>4552111</v>
      </c>
      <c r="AT19" s="68" t="b">
        <v>0</v>
      </c>
      <c r="AU19" s="68">
        <f>_xlfn.XLOOKUP(AM19,'[1]Skill&lt;Child&gt;'!$A:$A,'[1]Skill&lt;Child&gt;'!$A:$A)</f>
        <v/>
      </c>
      <c r="AV19" s="68">
        <f>_xlfn.XLOOKUP(AO19,'[1]Skill&lt;Child&gt;'!$A:$A,'[1]Skill&lt;Child&gt;'!$A:$A)</f>
        <v/>
      </c>
      <c r="AW19" s="68">
        <f>_xlfn.XLOOKUP(AQ19,'[1]Skill&lt;Child&gt;'!$A:$A,'[1]Skill&lt;Child&gt;'!$A:$A)</f>
        <v/>
      </c>
      <c r="AX19" s="68">
        <f>_xlfn.XLOOKUP(AS19,'[1]Skill&lt;Child&gt;'!$A:$A,'[1]Skill&lt;Child&gt;'!$A:$A)</f>
        <v/>
      </c>
    </row>
    <row r="20" ht="16.5" customHeight="1" s="66">
      <c r="A20" s="68" t="n">
        <v>10000514</v>
      </c>
      <c r="B20" s="68" t="inlineStr">
        <is>
          <t>두엣샤</t>
        </is>
      </c>
      <c r="C20" s="68" t="n">
        <v>151401</v>
      </c>
      <c r="D20" s="68">
        <f>"c"&amp;MID(C20,2,3)</f>
        <v/>
      </c>
      <c r="E20" s="68">
        <f>"character_name_"&amp;A20</f>
        <v/>
      </c>
      <c r="F20" s="68">
        <f>D20&amp;"_profile"</f>
        <v/>
      </c>
      <c r="G20" s="68" t="inlineStr">
        <is>
          <t>None</t>
        </is>
      </c>
      <c r="H20" s="68" t="inlineStr">
        <is>
          <t>Normal</t>
        </is>
      </c>
      <c r="I20" s="68" t="inlineStr">
        <is>
          <t>0.95,0.95,0.95</t>
        </is>
      </c>
      <c r="J20" s="68" t="b">
        <v>1</v>
      </c>
      <c r="K20" s="24" t="inlineStr">
        <is>
          <t>0,0,0</t>
        </is>
      </c>
      <c r="L20" s="68" t="n">
        <v>2</v>
      </c>
      <c r="M20" s="68" t="inlineStr">
        <is>
          <t>Dark</t>
        </is>
      </c>
      <c r="N20" s="68" t="inlineStr">
        <is>
          <t>Magician</t>
        </is>
      </c>
      <c r="O20" s="68">
        <f>100+L20</f>
        <v/>
      </c>
      <c r="P20" s="68">
        <f t="array" ref="P20">_xlfn.IFS($N20="Attacker",6,$N20="Healer",3,$N20="Magician",4,$N20="Defender",3,$N20="Supporter",4)</f>
        <v/>
      </c>
      <c r="Q20" s="68">
        <f t="array" ref="Q20">_xlfn.IFS($N20="Attacker",6,$N20="Healer",3,$N20="Magician",4,$N20="Defender",3,$N20="Supporter",4)</f>
        <v/>
      </c>
      <c r="R20" s="68" t="n">
        <v>1</v>
      </c>
      <c r="S20" s="68" t="n">
        <v>0</v>
      </c>
      <c r="T20" s="68" t="n">
        <v>0</v>
      </c>
      <c r="U20" s="68" t="inlineStr">
        <is>
          <t>Spd</t>
        </is>
      </c>
      <c r="V20" s="68">
        <f t="array" ref="V20">_xlfn.IFS(N20="Attacker",80,N20="Healer",90,N20="Magician",100,N20="Defender",110,N20="Supporter",120)</f>
        <v/>
      </c>
      <c r="W20" s="68" t="inlineStr">
        <is>
          <t>Hp</t>
        </is>
      </c>
      <c r="X20" s="68" t="n">
        <v>5100</v>
      </c>
      <c r="Y20" s="68" t="inlineStr">
        <is>
          <t>Atk</t>
        </is>
      </c>
      <c r="Z20" s="68" t="n">
        <v>420</v>
      </c>
      <c r="AA20" s="68" t="inlineStr">
        <is>
          <t>Def</t>
        </is>
      </c>
      <c r="AB20" s="68" t="n">
        <v>120</v>
      </c>
      <c r="AC20" s="68" t="inlineStr">
        <is>
          <t>Penetration</t>
        </is>
      </c>
      <c r="AD20" s="68" t="n">
        <v>156</v>
      </c>
      <c r="AE20" s="68" t="inlineStr">
        <is>
          <t>Hit</t>
        </is>
      </c>
      <c r="AF20" s="68" t="n">
        <v>100</v>
      </c>
      <c r="AG20" s="68" t="inlineStr">
        <is>
          <t>Dodge</t>
        </is>
      </c>
      <c r="AH20" s="68" t="n">
        <v>100</v>
      </c>
      <c r="AI20" s="68" t="inlineStr">
        <is>
          <t>CriRatio</t>
        </is>
      </c>
      <c r="AJ20" s="68" t="n">
        <v>5000</v>
      </c>
      <c r="AK20" s="68" t="inlineStr">
        <is>
          <t>CriDmgRatio</t>
        </is>
      </c>
      <c r="AL20" s="68" t="n">
        <v>150000</v>
      </c>
      <c r="AM20" s="68" t="n">
        <v>1451341</v>
      </c>
      <c r="AN20" s="68" t="b">
        <v>1</v>
      </c>
      <c r="AO20" s="68" t="n">
        <v>2451341</v>
      </c>
      <c r="AP20" s="68" t="b">
        <v>1</v>
      </c>
      <c r="AQ20" s="68" t="n">
        <v>3451341</v>
      </c>
      <c r="AR20" s="68" t="b">
        <v>1</v>
      </c>
      <c r="AS20" s="68" t="n">
        <v>4451341</v>
      </c>
      <c r="AT20" s="68" t="b">
        <v>0</v>
      </c>
      <c r="AU20" s="68">
        <f>_xlfn.XLOOKUP(AM20,'[1]Skill&lt;Child&gt;'!$A:$A,'[1]Skill&lt;Child&gt;'!$A:$A)</f>
        <v/>
      </c>
      <c r="AV20" s="68">
        <f>_xlfn.XLOOKUP(AO20,'[1]Skill&lt;Child&gt;'!$A:$A,'[1]Skill&lt;Child&gt;'!$A:$A)</f>
        <v/>
      </c>
      <c r="AW20" s="68">
        <f>_xlfn.XLOOKUP(AQ20,'[1]Skill&lt;Child&gt;'!$A:$A,'[1]Skill&lt;Child&gt;'!$A:$A)</f>
        <v/>
      </c>
      <c r="AX20" s="68">
        <f>_xlfn.XLOOKUP(AS20,'[1]Skill&lt;Child&gt;'!$A:$A,'[1]Skill&lt;Child&gt;'!$A:$A)</f>
        <v/>
      </c>
    </row>
    <row r="21" ht="16.5" customHeight="1" s="66">
      <c r="A21" s="68" t="n">
        <v>10000156</v>
      </c>
      <c r="B21" s="68" t="inlineStr">
        <is>
          <t>에르제베트</t>
        </is>
      </c>
      <c r="C21" s="68" t="n">
        <v>115601</v>
      </c>
      <c r="D21" s="68">
        <f>"c"&amp;MID(C21,2,3)</f>
        <v/>
      </c>
      <c r="E21" s="68">
        <f>"character_name_"&amp;A21</f>
        <v/>
      </c>
      <c r="F21" s="68">
        <f>D21&amp;"_profile"</f>
        <v/>
      </c>
      <c r="G21" s="68" t="inlineStr">
        <is>
          <t>None</t>
        </is>
      </c>
      <c r="H21" s="68" t="inlineStr">
        <is>
          <t>Normal</t>
        </is>
      </c>
      <c r="I21" s="68" t="inlineStr">
        <is>
          <t>0.95,0.95,0.95</t>
        </is>
      </c>
      <c r="J21" s="68" t="b">
        <v>1</v>
      </c>
      <c r="K21" s="24" t="inlineStr">
        <is>
          <t>0,0,0</t>
        </is>
      </c>
      <c r="L21" s="68" t="n">
        <v>2</v>
      </c>
      <c r="M21" s="68" t="inlineStr">
        <is>
          <t>Dark</t>
        </is>
      </c>
      <c r="N21" s="68" t="inlineStr">
        <is>
          <t>Attacker</t>
        </is>
      </c>
      <c r="O21" s="68">
        <f>100+L21</f>
        <v/>
      </c>
      <c r="P21" s="68">
        <f t="array" ref="P21">_xlfn.IFS($N21="Attacker",6,$N21="Healer",3,$N21="Magician",4,$N21="Defender",3,$N21="Supporter",4)</f>
        <v/>
      </c>
      <c r="Q21" s="68">
        <f t="array" ref="Q21">_xlfn.IFS($N21="Attacker",6,$N21="Healer",3,$N21="Magician",4,$N21="Defender",3,$N21="Supporter",4)</f>
        <v/>
      </c>
      <c r="R21" s="68" t="n">
        <v>1</v>
      </c>
      <c r="S21" s="68" t="n">
        <v>0</v>
      </c>
      <c r="T21" s="68" t="n">
        <v>0</v>
      </c>
      <c r="U21" s="68" t="inlineStr">
        <is>
          <t>Spd</t>
        </is>
      </c>
      <c r="V21" s="68">
        <f t="array" ref="V21">_xlfn.IFS(N21="Attacker",80,N21="Healer",90,N21="Magician",100,N21="Defender",110,N21="Supporter",120)</f>
        <v/>
      </c>
      <c r="W21" s="68" t="inlineStr">
        <is>
          <t>Hp</t>
        </is>
      </c>
      <c r="X21" s="68" t="n">
        <v>5100</v>
      </c>
      <c r="Y21" s="68" t="inlineStr">
        <is>
          <t>Atk</t>
        </is>
      </c>
      <c r="Z21" s="68" t="n">
        <v>420</v>
      </c>
      <c r="AA21" s="68" t="inlineStr">
        <is>
          <t>Def</t>
        </is>
      </c>
      <c r="AB21" s="68" t="n">
        <v>120</v>
      </c>
      <c r="AC21" s="68" t="inlineStr">
        <is>
          <t>Penetration</t>
        </is>
      </c>
      <c r="AD21" s="68" t="n">
        <v>187</v>
      </c>
      <c r="AE21" s="68" t="inlineStr">
        <is>
          <t>Hit</t>
        </is>
      </c>
      <c r="AF21" s="68" t="n">
        <v>100</v>
      </c>
      <c r="AG21" s="68" t="inlineStr">
        <is>
          <t>Dodge</t>
        </is>
      </c>
      <c r="AH21" s="68" t="n">
        <v>100</v>
      </c>
      <c r="AI21" s="68" t="inlineStr">
        <is>
          <t>CriRatio</t>
        </is>
      </c>
      <c r="AJ21" s="68" t="n">
        <v>5000</v>
      </c>
      <c r="AK21" s="68" t="inlineStr">
        <is>
          <t>CriDmgRatio</t>
        </is>
      </c>
      <c r="AL21" s="68" t="n">
        <v>150000</v>
      </c>
      <c r="AM21" s="68" t="n">
        <v>1351191</v>
      </c>
      <c r="AN21" s="68" t="b">
        <v>1</v>
      </c>
      <c r="AO21" s="68" t="n">
        <v>2351191</v>
      </c>
      <c r="AP21" s="68" t="b">
        <v>1</v>
      </c>
      <c r="AQ21" s="68" t="n">
        <v>3351191</v>
      </c>
      <c r="AR21" s="68" t="b">
        <v>1</v>
      </c>
      <c r="AS21" s="68" t="n">
        <v>4351191</v>
      </c>
      <c r="AT21" s="68" t="b">
        <v>0</v>
      </c>
      <c r="AU21" s="68">
        <f>_xlfn.XLOOKUP(AM21,'[1]Skill&lt;Child&gt;'!$A:$A,'[1]Skill&lt;Child&gt;'!$A:$A)</f>
        <v/>
      </c>
      <c r="AV21" s="68">
        <f>_xlfn.XLOOKUP(AO21,'[1]Skill&lt;Child&gt;'!$A:$A,'[1]Skill&lt;Child&gt;'!$A:$A)</f>
        <v/>
      </c>
      <c r="AW21" s="68">
        <f>_xlfn.XLOOKUP(AQ21,'[1]Skill&lt;Child&gt;'!$A:$A,'[1]Skill&lt;Child&gt;'!$A:$A)</f>
        <v/>
      </c>
      <c r="AX21" s="68">
        <f>_xlfn.XLOOKUP(AS21,'[1]Skill&lt;Child&gt;'!$A:$A,'[1]Skill&lt;Child&gt;'!$A:$A)</f>
        <v/>
      </c>
    </row>
    <row r="22" ht="16.5" customHeight="1" s="66">
      <c r="A22" s="68" t="n">
        <v>10000354</v>
      </c>
      <c r="B22" s="68" t="inlineStr">
        <is>
          <t>드미테르</t>
        </is>
      </c>
      <c r="C22" s="68" t="n">
        <v>135401</v>
      </c>
      <c r="D22" s="68">
        <f>"c"&amp;MID(C22,2,3)</f>
        <v/>
      </c>
      <c r="E22" s="68">
        <f>"character_name_"&amp;A22</f>
        <v/>
      </c>
      <c r="F22" s="68">
        <f>D22&amp;"_profile"</f>
        <v/>
      </c>
      <c r="G22" s="68" t="inlineStr">
        <is>
          <t>None</t>
        </is>
      </c>
      <c r="H22" s="68" t="inlineStr">
        <is>
          <t>Normal</t>
        </is>
      </c>
      <c r="I22" s="68" t="inlineStr">
        <is>
          <t>0.95,0.95,0.95</t>
        </is>
      </c>
      <c r="J22" s="68" t="b">
        <v>1</v>
      </c>
      <c r="K22" s="24" t="inlineStr">
        <is>
          <t>0,0,0</t>
        </is>
      </c>
      <c r="L22" s="68" t="n">
        <v>2</v>
      </c>
      <c r="M22" s="68" t="inlineStr">
        <is>
          <t>Fire</t>
        </is>
      </c>
      <c r="N22" s="68" t="inlineStr">
        <is>
          <t>Supporter</t>
        </is>
      </c>
      <c r="O22" s="68">
        <f>100+L22</f>
        <v/>
      </c>
      <c r="P22" s="68">
        <f t="array" ref="P22">_xlfn.IFS($N22="Attacker",6,$N22="Healer",3,$N22="Magician",4,$N22="Defender",3,$N22="Supporter",4)</f>
        <v/>
      </c>
      <c r="Q22" s="68">
        <f t="array" ref="Q22">_xlfn.IFS($N22="Attacker",6,$N22="Healer",3,$N22="Magician",4,$N22="Defender",3,$N22="Supporter",4)</f>
        <v/>
      </c>
      <c r="R22" s="68" t="n">
        <v>1</v>
      </c>
      <c r="S22" s="68" t="n">
        <v>0</v>
      </c>
      <c r="T22" s="68" t="n">
        <v>0</v>
      </c>
      <c r="U22" s="68" t="inlineStr">
        <is>
          <t>Spd</t>
        </is>
      </c>
      <c r="V22" s="68">
        <f t="array" ref="V22">_xlfn.IFS(N22="Attacker",80,N22="Healer",90,N22="Magician",100,N22="Defender",110,N22="Supporter",120)</f>
        <v/>
      </c>
      <c r="W22" s="68" t="inlineStr">
        <is>
          <t>Hp</t>
        </is>
      </c>
      <c r="X22" s="68" t="n">
        <v>5100</v>
      </c>
      <c r="Y22" s="68" t="inlineStr">
        <is>
          <t>Atk</t>
        </is>
      </c>
      <c r="Z22" s="68" t="n">
        <v>420</v>
      </c>
      <c r="AA22" s="68" t="inlineStr">
        <is>
          <t>Def</t>
        </is>
      </c>
      <c r="AB22" s="68" t="n">
        <v>120</v>
      </c>
      <c r="AC22" s="68" t="inlineStr">
        <is>
          <t>Penetration</t>
        </is>
      </c>
      <c r="AD22" s="68" t="n">
        <v>130</v>
      </c>
      <c r="AE22" s="68" t="inlineStr">
        <is>
          <t>Hit</t>
        </is>
      </c>
      <c r="AF22" s="68" t="n">
        <v>100</v>
      </c>
      <c r="AG22" s="68" t="inlineStr">
        <is>
          <t>Dodge</t>
        </is>
      </c>
      <c r="AH22" s="68" t="n">
        <v>100</v>
      </c>
      <c r="AI22" s="68" t="inlineStr">
        <is>
          <t>CriRatio</t>
        </is>
      </c>
      <c r="AJ22" s="68" t="n">
        <v>5000</v>
      </c>
      <c r="AK22" s="68" t="inlineStr">
        <is>
          <t>CriDmgRatio</t>
        </is>
      </c>
      <c r="AL22" s="68" t="n">
        <v>150000</v>
      </c>
      <c r="AM22" s="68" t="n">
        <v>1513011</v>
      </c>
      <c r="AN22" s="68" t="b">
        <v>1</v>
      </c>
      <c r="AO22" s="68" t="n">
        <v>2513011</v>
      </c>
      <c r="AP22" s="68" t="b">
        <v>0</v>
      </c>
      <c r="AQ22" s="68" t="n">
        <v>3513011</v>
      </c>
      <c r="AR22" s="68" t="b">
        <v>1</v>
      </c>
      <c r="AS22" s="68" t="n">
        <v>4513011</v>
      </c>
      <c r="AT22" s="68" t="b">
        <v>0</v>
      </c>
      <c r="AU22" s="68">
        <f>_xlfn.XLOOKUP(AM22,'[1]Skill&lt;Child&gt;'!$A:$A,'[1]Skill&lt;Child&gt;'!$A:$A)</f>
        <v/>
      </c>
      <c r="AV22" s="68">
        <f>_xlfn.XLOOKUP(AO22,'[1]Skill&lt;Child&gt;'!$A:$A,'[1]Skill&lt;Child&gt;'!$A:$A)</f>
        <v/>
      </c>
      <c r="AW22" s="68">
        <f>_xlfn.XLOOKUP(AQ22,'[1]Skill&lt;Child&gt;'!$A:$A,'[1]Skill&lt;Child&gt;'!$A:$A)</f>
        <v/>
      </c>
      <c r="AX22" s="68">
        <f>_xlfn.XLOOKUP(AS22,'[1]Skill&lt;Child&gt;'!$A:$A,'[1]Skill&lt;Child&gt;'!$A:$A)</f>
        <v/>
      </c>
    </row>
    <row r="23" ht="16.5" customHeight="1" s="66">
      <c r="A23" s="68" t="n">
        <v>10000003</v>
      </c>
      <c r="B23" s="68" t="inlineStr">
        <is>
          <t>다비</t>
        </is>
      </c>
      <c r="C23" s="68" t="n">
        <v>100301</v>
      </c>
      <c r="D23" s="68">
        <f>"c"&amp;MID(C23,2,3)</f>
        <v/>
      </c>
      <c r="E23" s="68">
        <f>"character_name_"&amp;A23</f>
        <v/>
      </c>
      <c r="F23" s="68">
        <f>D23&amp;"_profile"</f>
        <v/>
      </c>
      <c r="G23" s="68" t="inlineStr">
        <is>
          <t>None</t>
        </is>
      </c>
      <c r="H23" s="68" t="inlineStr">
        <is>
          <t>Normal</t>
        </is>
      </c>
      <c r="I23" s="68" t="inlineStr">
        <is>
          <t>0.95,0.95,0.95</t>
        </is>
      </c>
      <c r="J23" s="68" t="b">
        <v>1</v>
      </c>
      <c r="K23" s="24" t="inlineStr">
        <is>
          <t>0,0,0</t>
        </is>
      </c>
      <c r="L23" s="68" t="n">
        <v>2</v>
      </c>
      <c r="M23" s="68" t="inlineStr">
        <is>
          <t>Fire</t>
        </is>
      </c>
      <c r="N23" s="68" t="inlineStr">
        <is>
          <t>Magician</t>
        </is>
      </c>
      <c r="O23" s="68">
        <f>100+L23</f>
        <v/>
      </c>
      <c r="P23" s="68" t="n">
        <v>6</v>
      </c>
      <c r="Q23" s="68" t="n">
        <v>6</v>
      </c>
      <c r="R23" s="68" t="n">
        <v>1</v>
      </c>
      <c r="S23" s="68" t="n">
        <v>0</v>
      </c>
      <c r="T23" s="68" t="n">
        <v>0</v>
      </c>
      <c r="U23" s="68" t="inlineStr">
        <is>
          <t>Spd</t>
        </is>
      </c>
      <c r="V23" s="68">
        <f t="array" ref="V23">_xlfn.IFS(N23="Attacker",80,N23="Healer",90,N23="Magician",100,N23="Defender",110,N23="Supporter",120)</f>
        <v/>
      </c>
      <c r="W23" s="68" t="inlineStr">
        <is>
          <t>Hp</t>
        </is>
      </c>
      <c r="X23" s="68" t="n">
        <v>5100</v>
      </c>
      <c r="Y23" s="68" t="inlineStr">
        <is>
          <t>Atk</t>
        </is>
      </c>
      <c r="Z23" s="68" t="n">
        <v>420</v>
      </c>
      <c r="AA23" s="68" t="inlineStr">
        <is>
          <t>Def</t>
        </is>
      </c>
      <c r="AB23" s="68" t="n">
        <v>120</v>
      </c>
      <c r="AC23" s="68" t="inlineStr">
        <is>
          <t>Penetration</t>
        </is>
      </c>
      <c r="AD23" s="68" t="n">
        <v>130</v>
      </c>
      <c r="AE23" s="68" t="inlineStr">
        <is>
          <t>Hit</t>
        </is>
      </c>
      <c r="AF23" s="68" t="n">
        <v>100</v>
      </c>
      <c r="AG23" s="68" t="inlineStr">
        <is>
          <t>Dodge</t>
        </is>
      </c>
      <c r="AH23" s="68" t="n">
        <v>100</v>
      </c>
      <c r="AI23" s="68" t="inlineStr">
        <is>
          <t>CriRatio</t>
        </is>
      </c>
      <c r="AJ23" s="68" t="n">
        <v>5000</v>
      </c>
      <c r="AK23" s="68" t="inlineStr">
        <is>
          <t>CriDmgRatio</t>
        </is>
      </c>
      <c r="AL23" s="68" t="n">
        <v>150000</v>
      </c>
      <c r="AM23" s="68" t="n">
        <v>1511031</v>
      </c>
      <c r="AN23" s="68" t="b">
        <v>1</v>
      </c>
      <c r="AO23" s="68" t="n">
        <v>2511031</v>
      </c>
      <c r="AP23" s="68" t="b">
        <v>0</v>
      </c>
      <c r="AQ23" s="68" t="n">
        <v>3511031</v>
      </c>
      <c r="AR23" s="68" t="b">
        <v>1</v>
      </c>
      <c r="AS23" s="68" t="n">
        <v>4511031</v>
      </c>
      <c r="AT23" s="68" t="b">
        <v>0</v>
      </c>
      <c r="AU23" s="68">
        <f>_xlfn.XLOOKUP(AM23,'[1]Skill&lt;Child&gt;'!$A:$A,'[1]Skill&lt;Child&gt;'!$A:$A)</f>
        <v/>
      </c>
      <c r="AV23" s="68">
        <f>_xlfn.XLOOKUP(AO23,'[1]Skill&lt;Child&gt;'!$A:$A,'[1]Skill&lt;Child&gt;'!$A:$A)</f>
        <v/>
      </c>
      <c r="AW23" s="68">
        <f>_xlfn.XLOOKUP(AQ23,'[1]Skill&lt;Child&gt;'!$A:$A,'[1]Skill&lt;Child&gt;'!$A:$A)</f>
        <v/>
      </c>
      <c r="AX23" s="68">
        <f>_xlfn.XLOOKUP(AS23,'[1]Skill&lt;Child&gt;'!$A:$A,'[1]Skill&lt;Child&gt;'!$A:$A)</f>
        <v/>
      </c>
    </row>
    <row r="24" ht="16.5" customHeight="1" s="66">
      <c r="A24" s="68" t="n">
        <v>10000412</v>
      </c>
      <c r="B24" s="68" t="inlineStr">
        <is>
          <t>카인</t>
        </is>
      </c>
      <c r="C24" s="68" t="n">
        <v>141201</v>
      </c>
      <c r="D24" s="68">
        <f>"c"&amp;MID(C24,2,3)</f>
        <v/>
      </c>
      <c r="E24" s="68">
        <f>"character_name_"&amp;A24</f>
        <v/>
      </c>
      <c r="F24" s="68">
        <f>D24&amp;"_profile"</f>
        <v/>
      </c>
      <c r="G24" s="68" t="inlineStr">
        <is>
          <t>None</t>
        </is>
      </c>
      <c r="H24" s="68" t="inlineStr">
        <is>
          <t>Normal</t>
        </is>
      </c>
      <c r="I24" s="68" t="inlineStr">
        <is>
          <t>0.95,0.95,0.95</t>
        </is>
      </c>
      <c r="J24" s="68" t="b">
        <v>1</v>
      </c>
      <c r="K24" s="24" t="inlineStr">
        <is>
          <t>0,0,0</t>
        </is>
      </c>
      <c r="L24" s="68" t="n">
        <v>2</v>
      </c>
      <c r="M24" s="68" t="inlineStr">
        <is>
          <t>Fire</t>
        </is>
      </c>
      <c r="N24" s="68" t="inlineStr">
        <is>
          <t>Attacker</t>
        </is>
      </c>
      <c r="O24" s="68">
        <f>100+L24</f>
        <v/>
      </c>
      <c r="P24" s="68">
        <f t="array" ref="P24">_xlfn.IFS($N24="Attacker",6,$N24="Healer",3,$N24="Magician",4,$N24="Defender",3,$N24="Supporter",4)</f>
        <v/>
      </c>
      <c r="Q24" s="68">
        <f t="array" ref="Q24">_xlfn.IFS($N24="Attacker",6,$N24="Healer",3,$N24="Magician",4,$N24="Defender",3,$N24="Supporter",4)</f>
        <v/>
      </c>
      <c r="R24" s="68" t="n">
        <v>1</v>
      </c>
      <c r="S24" s="68" t="n">
        <v>0</v>
      </c>
      <c r="T24" s="68" t="n">
        <v>0</v>
      </c>
      <c r="U24" s="68" t="inlineStr">
        <is>
          <t>Spd</t>
        </is>
      </c>
      <c r="V24" s="68">
        <f t="array" ref="V24">_xlfn.IFS(N24="Attacker",80,N24="Healer",90,N24="Magician",100,N24="Defender",110,N24="Supporter",120)</f>
        <v/>
      </c>
      <c r="W24" s="68" t="inlineStr">
        <is>
          <t>Hp</t>
        </is>
      </c>
      <c r="X24" s="68" t="n">
        <v>5100</v>
      </c>
      <c r="Y24" s="68" t="inlineStr">
        <is>
          <t>Atk</t>
        </is>
      </c>
      <c r="Z24" s="68" t="n">
        <v>420</v>
      </c>
      <c r="AA24" s="68" t="inlineStr">
        <is>
          <t>Def</t>
        </is>
      </c>
      <c r="AB24" s="68" t="n">
        <v>120</v>
      </c>
      <c r="AC24" s="68" t="inlineStr">
        <is>
          <t>Penetration</t>
        </is>
      </c>
      <c r="AD24" s="68" t="n">
        <v>130</v>
      </c>
      <c r="AE24" s="68" t="inlineStr">
        <is>
          <t>Hit</t>
        </is>
      </c>
      <c r="AF24" s="68" t="n">
        <v>100</v>
      </c>
      <c r="AG24" s="68" t="inlineStr">
        <is>
          <t>Dodge</t>
        </is>
      </c>
      <c r="AH24" s="68" t="n">
        <v>100</v>
      </c>
      <c r="AI24" s="68" t="inlineStr">
        <is>
          <t>CriRatio</t>
        </is>
      </c>
      <c r="AJ24" s="68" t="n">
        <v>5000</v>
      </c>
      <c r="AK24" s="68" t="inlineStr">
        <is>
          <t>CriDmgRatio</t>
        </is>
      </c>
      <c r="AL24" s="68" t="n">
        <v>150000</v>
      </c>
      <c r="AM24" s="68" t="n">
        <v>1311181</v>
      </c>
      <c r="AN24" s="68" t="b">
        <v>1</v>
      </c>
      <c r="AO24" s="68" t="n">
        <v>2311181</v>
      </c>
      <c r="AP24" s="68" t="b">
        <v>0</v>
      </c>
      <c r="AQ24" s="68" t="n">
        <v>3311181</v>
      </c>
      <c r="AR24" s="68" t="b">
        <v>1</v>
      </c>
      <c r="AS24" s="68" t="n">
        <v>4311181</v>
      </c>
      <c r="AT24" s="68" t="b">
        <v>0</v>
      </c>
      <c r="AU24" s="68">
        <f>_xlfn.XLOOKUP(AM24,'[1]Skill&lt;Child&gt;'!$A:$A,'[1]Skill&lt;Child&gt;'!$A:$A)</f>
        <v/>
      </c>
      <c r="AV24" s="68">
        <f>_xlfn.XLOOKUP(AO24,'[1]Skill&lt;Child&gt;'!$A:$A,'[1]Skill&lt;Child&gt;'!$A:$A)</f>
        <v/>
      </c>
      <c r="AW24" s="68">
        <f>_xlfn.XLOOKUP(AQ24,'[1]Skill&lt;Child&gt;'!$A:$A,'[1]Skill&lt;Child&gt;'!$A:$A)</f>
        <v/>
      </c>
      <c r="AX24" s="68">
        <f>_xlfn.XLOOKUP(AS24,'[1]Skill&lt;Child&gt;'!$A:$A,'[1]Skill&lt;Child&gt;'!$A:$A)</f>
        <v/>
      </c>
    </row>
    <row r="25" ht="16.5" customHeight="1" s="66">
      <c r="A25" s="68" t="n">
        <v>10000180</v>
      </c>
      <c r="B25" s="68" t="inlineStr">
        <is>
          <t>맘몬</t>
        </is>
      </c>
      <c r="C25" s="68" t="n">
        <v>118001</v>
      </c>
      <c r="D25" s="68">
        <f>"c"&amp;MID(C25,2,3)</f>
        <v/>
      </c>
      <c r="E25" s="68">
        <f>"character_name_"&amp;A25</f>
        <v/>
      </c>
      <c r="F25" s="68">
        <f>D25&amp;"_profile"</f>
        <v/>
      </c>
      <c r="G25" s="68" t="inlineStr">
        <is>
          <t>None</t>
        </is>
      </c>
      <c r="H25" s="68" t="inlineStr">
        <is>
          <t>Normal</t>
        </is>
      </c>
      <c r="I25" s="68" t="inlineStr">
        <is>
          <t>0.95,0.95,0.95</t>
        </is>
      </c>
      <c r="J25" s="68" t="b">
        <v>1</v>
      </c>
      <c r="K25" s="24" t="inlineStr">
        <is>
          <t>0,0,0</t>
        </is>
      </c>
      <c r="L25" s="68" t="n">
        <v>2</v>
      </c>
      <c r="M25" s="68" t="inlineStr">
        <is>
          <t>Forest</t>
        </is>
      </c>
      <c r="N25" s="68" t="inlineStr">
        <is>
          <t>Defender</t>
        </is>
      </c>
      <c r="O25" s="68">
        <f>100+L25</f>
        <v/>
      </c>
      <c r="P25" s="68">
        <f t="array" ref="P25">_xlfn.IFS($N25="Attacker",6,$N25="Healer",3,$N25="Magician",4,$N25="Defender",3,$N25="Supporter",4)</f>
        <v/>
      </c>
      <c r="Q25" s="68">
        <f t="array" ref="Q25">_xlfn.IFS($N25="Attacker",6,$N25="Healer",3,$N25="Magician",4,$N25="Defender",3,$N25="Supporter",4)</f>
        <v/>
      </c>
      <c r="R25" s="68" t="n">
        <v>1</v>
      </c>
      <c r="S25" s="68" t="n">
        <v>0</v>
      </c>
      <c r="T25" s="68" t="n">
        <v>0</v>
      </c>
      <c r="U25" s="68" t="inlineStr">
        <is>
          <t>Spd</t>
        </is>
      </c>
      <c r="V25" s="68">
        <f t="array" ref="V25">_xlfn.IFS(N25="Attacker",80,N25="Healer",90,N25="Magician",100,N25="Defender",110,N25="Supporter",120)</f>
        <v/>
      </c>
      <c r="W25" s="68" t="inlineStr">
        <is>
          <t>Hp</t>
        </is>
      </c>
      <c r="X25" s="68" t="n">
        <v>8650</v>
      </c>
      <c r="Y25" s="68" t="inlineStr">
        <is>
          <t>Atk</t>
        </is>
      </c>
      <c r="Z25" s="68" t="n">
        <v>252</v>
      </c>
      <c r="AA25" s="68" t="inlineStr">
        <is>
          <t>Def</t>
        </is>
      </c>
      <c r="AB25" s="68" t="n">
        <v>240</v>
      </c>
      <c r="AC25" s="68" t="inlineStr">
        <is>
          <t>Penetration</t>
        </is>
      </c>
      <c r="AD25" s="68" t="n">
        <v>163</v>
      </c>
      <c r="AE25" s="68" t="inlineStr">
        <is>
          <t>Hit</t>
        </is>
      </c>
      <c r="AF25" s="68" t="n">
        <v>100</v>
      </c>
      <c r="AG25" s="68" t="inlineStr">
        <is>
          <t>Dodge</t>
        </is>
      </c>
      <c r="AH25" s="68" t="n">
        <v>100</v>
      </c>
      <c r="AI25" s="68" t="inlineStr">
        <is>
          <t>CriRatio</t>
        </is>
      </c>
      <c r="AJ25" s="68" t="n">
        <v>5000</v>
      </c>
      <c r="AK25" s="68" t="inlineStr">
        <is>
          <t>CriDmgRatio</t>
        </is>
      </c>
      <c r="AL25" s="68" t="n">
        <v>150000</v>
      </c>
      <c r="AM25" s="68" t="n">
        <v>1532071</v>
      </c>
      <c r="AN25" s="68" t="b">
        <v>1</v>
      </c>
      <c r="AO25" s="68" t="n">
        <v>2532071</v>
      </c>
      <c r="AP25" s="68" t="b">
        <v>0</v>
      </c>
      <c r="AQ25" s="68" t="n">
        <v>3532071</v>
      </c>
      <c r="AR25" s="68" t="b">
        <v>1</v>
      </c>
      <c r="AS25" s="68" t="n">
        <v>4532071</v>
      </c>
      <c r="AT25" s="68" t="b">
        <v>0</v>
      </c>
      <c r="AU25" s="68">
        <f>_xlfn.XLOOKUP(AM25,'[1]Skill&lt;Child&gt;'!$A:$A,'[1]Skill&lt;Child&gt;'!$A:$A)</f>
        <v/>
      </c>
      <c r="AV25" s="68">
        <f>_xlfn.XLOOKUP(AO25,'[1]Skill&lt;Child&gt;'!$A:$A,'[1]Skill&lt;Child&gt;'!$A:$A)</f>
        <v/>
      </c>
      <c r="AW25" s="68">
        <f>_xlfn.XLOOKUP(AQ25,'[1]Skill&lt;Child&gt;'!$A:$A,'[1]Skill&lt;Child&gt;'!$A:$A)</f>
        <v/>
      </c>
      <c r="AX25" s="68">
        <f>_xlfn.XLOOKUP(AS25,'[1]Skill&lt;Child&gt;'!$A:$A,'[1]Skill&lt;Child&gt;'!$A:$A)</f>
        <v/>
      </c>
    </row>
    <row r="26" ht="16.5" customHeight="1" s="66">
      <c r="A26" s="68" t="n">
        <v>10000132</v>
      </c>
      <c r="B26" s="68" t="inlineStr">
        <is>
          <t>미다스</t>
        </is>
      </c>
      <c r="C26" s="68" t="n">
        <v>1013201</v>
      </c>
      <c r="D26" s="68" t="inlineStr">
        <is>
          <t>c132</t>
        </is>
      </c>
      <c r="E26" s="68" t="inlineStr">
        <is>
          <t>character_name_10000132</t>
        </is>
      </c>
      <c r="F26" s="68">
        <f>D26&amp;"_profile"</f>
        <v/>
      </c>
      <c r="G26" s="68" t="inlineStr">
        <is>
          <t>None</t>
        </is>
      </c>
      <c r="H26" s="68" t="inlineStr">
        <is>
          <t>Normal</t>
        </is>
      </c>
      <c r="I26" s="68" t="inlineStr">
        <is>
          <t>0.95,0.95,0.95</t>
        </is>
      </c>
      <c r="J26" s="68" t="b">
        <v>1</v>
      </c>
      <c r="K26" s="24" t="inlineStr">
        <is>
          <t>0,0,0</t>
        </is>
      </c>
      <c r="L26" s="68" t="n">
        <v>2</v>
      </c>
      <c r="M26" s="68" t="inlineStr">
        <is>
          <t>Forest</t>
        </is>
      </c>
      <c r="N26" s="68" t="inlineStr">
        <is>
          <t>Attacker</t>
        </is>
      </c>
      <c r="O26" s="68">
        <f>100+L26</f>
        <v/>
      </c>
      <c r="P26" s="68" t="n">
        <v>6</v>
      </c>
      <c r="Q26" s="68" t="n">
        <v>6</v>
      </c>
      <c r="R26" s="68" t="n">
        <v>1</v>
      </c>
      <c r="S26" s="68" t="n">
        <v>0</v>
      </c>
      <c r="T26" s="68" t="n">
        <v>0</v>
      </c>
      <c r="U26" s="68" t="inlineStr">
        <is>
          <t>Spd</t>
        </is>
      </c>
      <c r="V26" s="68" t="n">
        <v>80</v>
      </c>
      <c r="W26" s="68" t="inlineStr">
        <is>
          <t>Hp</t>
        </is>
      </c>
      <c r="X26" s="68" t="n">
        <v>5100</v>
      </c>
      <c r="Y26" s="68" t="inlineStr">
        <is>
          <t>Atk</t>
        </is>
      </c>
      <c r="Z26" s="68" t="n">
        <v>420</v>
      </c>
      <c r="AA26" s="68" t="inlineStr">
        <is>
          <t>Def</t>
        </is>
      </c>
      <c r="AB26" s="68" t="n">
        <v>120</v>
      </c>
      <c r="AC26" s="68" t="inlineStr">
        <is>
          <t>Penetration</t>
        </is>
      </c>
      <c r="AD26" s="68" t="n">
        <v>120</v>
      </c>
      <c r="AE26" s="68" t="inlineStr">
        <is>
          <t>Hit</t>
        </is>
      </c>
      <c r="AF26" s="68" t="n">
        <v>100</v>
      </c>
      <c r="AG26" s="68" t="inlineStr">
        <is>
          <t>Dodge</t>
        </is>
      </c>
      <c r="AH26" s="68" t="n">
        <v>100</v>
      </c>
      <c r="AI26" s="68" t="inlineStr">
        <is>
          <t>CriRatio</t>
        </is>
      </c>
      <c r="AJ26" s="68" t="n">
        <v>5000</v>
      </c>
      <c r="AK26" s="68" t="inlineStr">
        <is>
          <t>CriDmgRatio</t>
        </is>
      </c>
      <c r="AL26" s="68" t="n">
        <v>150000</v>
      </c>
      <c r="AM26" s="68" t="n"/>
      <c r="AN26" s="68" t="n"/>
      <c r="AO26" s="68" t="n"/>
      <c r="AP26" s="68" t="n"/>
      <c r="AQ26" s="68" t="n"/>
      <c r="AR26" s="68" t="n"/>
      <c r="AS26" s="68" t="n"/>
      <c r="AT26" s="68" t="n"/>
      <c r="AU26" s="68">
        <f>_xlfn.XLOOKUP(AM26,'[1]Skill&lt;Child&gt;'!$A:$A,'[1]Skill&lt;Child&gt;'!$A:$A)</f>
        <v/>
      </c>
      <c r="AV26" s="68">
        <f>_xlfn.XLOOKUP(AO26,'[1]Skill&lt;Child&gt;'!$A:$A,'[1]Skill&lt;Child&gt;'!$A:$A)</f>
        <v/>
      </c>
      <c r="AW26" s="68">
        <f>_xlfn.XLOOKUP(AQ26,'[1]Skill&lt;Child&gt;'!$A:$A,'[1]Skill&lt;Child&gt;'!$A:$A)</f>
        <v/>
      </c>
      <c r="AX26" s="68">
        <f>_xlfn.XLOOKUP(AS26,'[1]Skill&lt;Child&gt;'!$A:$A,'[1]Skill&lt;Child&gt;'!$A:$A)</f>
        <v/>
      </c>
    </row>
    <row r="27" ht="16.5" customHeight="1" s="66">
      <c r="A27" s="68" t="n">
        <v>10000398</v>
      </c>
      <c r="B27" s="68" t="inlineStr">
        <is>
          <t>자청비</t>
        </is>
      </c>
      <c r="C27" s="68" t="n">
        <v>1039801</v>
      </c>
      <c r="D27" s="68" t="inlineStr">
        <is>
          <t>c398</t>
        </is>
      </c>
      <c r="E27" s="68" t="inlineStr">
        <is>
          <t>character_name_10000398</t>
        </is>
      </c>
      <c r="F27" s="68">
        <f>D27&amp;"_profile"</f>
        <v/>
      </c>
      <c r="G27" s="68" t="inlineStr">
        <is>
          <t>None</t>
        </is>
      </c>
      <c r="H27" s="68" t="inlineStr">
        <is>
          <t>Normal</t>
        </is>
      </c>
      <c r="I27" s="68" t="inlineStr">
        <is>
          <t>0.95,0.95,0.95</t>
        </is>
      </c>
      <c r="J27" s="68" t="b">
        <v>1</v>
      </c>
      <c r="K27" s="24" t="inlineStr">
        <is>
          <t>0,0,0</t>
        </is>
      </c>
      <c r="L27" s="68" t="n">
        <v>2</v>
      </c>
      <c r="M27" s="68" t="inlineStr">
        <is>
          <t>Forest</t>
        </is>
      </c>
      <c r="N27" s="68" t="inlineStr">
        <is>
          <t>Supporter</t>
        </is>
      </c>
      <c r="O27" s="68">
        <f>100+L27</f>
        <v/>
      </c>
      <c r="P27" s="68" t="n">
        <v>4</v>
      </c>
      <c r="Q27" s="68" t="n">
        <v>4</v>
      </c>
      <c r="R27" s="68" t="n">
        <v>1</v>
      </c>
      <c r="S27" s="68" t="n">
        <v>0</v>
      </c>
      <c r="T27" s="68" t="n">
        <v>0</v>
      </c>
      <c r="U27" s="68" t="inlineStr">
        <is>
          <t>Spd</t>
        </is>
      </c>
      <c r="V27" s="68" t="n">
        <v>120</v>
      </c>
      <c r="W27" s="68" t="inlineStr">
        <is>
          <t>Hp</t>
        </is>
      </c>
      <c r="X27" s="68" t="n">
        <v>5909</v>
      </c>
      <c r="Y27" s="68" t="inlineStr">
        <is>
          <t>Atk</t>
        </is>
      </c>
      <c r="Z27" s="68" t="n">
        <v>198</v>
      </c>
      <c r="AA27" s="68" t="inlineStr">
        <is>
          <t>Def</t>
        </is>
      </c>
      <c r="AB27" s="68" t="n">
        <v>142</v>
      </c>
      <c r="AC27" s="68" t="inlineStr">
        <is>
          <t>Penetration</t>
        </is>
      </c>
      <c r="AD27" s="68" t="n">
        <v>142</v>
      </c>
      <c r="AE27" s="68" t="inlineStr">
        <is>
          <t>Hit</t>
        </is>
      </c>
      <c r="AF27" s="68" t="n">
        <v>100</v>
      </c>
      <c r="AG27" s="68" t="inlineStr">
        <is>
          <t>Dodge</t>
        </is>
      </c>
      <c r="AH27" s="68" t="n">
        <v>100</v>
      </c>
      <c r="AI27" s="68" t="inlineStr">
        <is>
          <t>CriRatio</t>
        </is>
      </c>
      <c r="AJ27" s="68" t="n">
        <v>5000</v>
      </c>
      <c r="AK27" s="68" t="inlineStr">
        <is>
          <t>CriDmgRatio</t>
        </is>
      </c>
      <c r="AL27" s="68" t="n">
        <v>150000</v>
      </c>
      <c r="AM27" s="68" t="n"/>
      <c r="AN27" s="68" t="n"/>
      <c r="AO27" s="68" t="n"/>
      <c r="AP27" s="68" t="n"/>
      <c r="AQ27" s="68" t="n"/>
      <c r="AR27" s="68" t="n"/>
      <c r="AS27" s="68" t="n"/>
      <c r="AT27" s="68" t="n"/>
      <c r="AU27" s="68">
        <f>_xlfn.XLOOKUP(AM27,'[1]Skill&lt;Child&gt;'!$A:$A,'[1]Skill&lt;Child&gt;'!$A:$A)</f>
        <v/>
      </c>
      <c r="AV27" s="68">
        <f>_xlfn.XLOOKUP(AO27,'[1]Skill&lt;Child&gt;'!$A:$A,'[1]Skill&lt;Child&gt;'!$A:$A)</f>
        <v/>
      </c>
      <c r="AW27" s="68">
        <f>_xlfn.XLOOKUP(AQ27,'[1]Skill&lt;Child&gt;'!$A:$A,'[1]Skill&lt;Child&gt;'!$A:$A)</f>
        <v/>
      </c>
      <c r="AX27" s="68">
        <f>_xlfn.XLOOKUP(AS27,'[1]Skill&lt;Child&gt;'!$A:$A,'[1]Skill&lt;Child&gt;'!$A:$A)</f>
        <v/>
      </c>
    </row>
    <row r="28" ht="16.5" customHeight="1" s="66">
      <c r="A28" s="68" t="n">
        <v>10000227</v>
      </c>
      <c r="B28" s="68" t="inlineStr">
        <is>
          <t>마프데트</t>
        </is>
      </c>
      <c r="C28" s="68" t="n">
        <v>1022701</v>
      </c>
      <c r="D28" s="68" t="inlineStr">
        <is>
          <t>c227</t>
        </is>
      </c>
      <c r="E28" s="68" t="inlineStr">
        <is>
          <t>character_name_10000227</t>
        </is>
      </c>
      <c r="F28" s="68">
        <f>D28&amp;"_profile"</f>
        <v/>
      </c>
      <c r="G28" s="68" t="inlineStr">
        <is>
          <t>None</t>
        </is>
      </c>
      <c r="H28" s="68" t="inlineStr">
        <is>
          <t>Normal</t>
        </is>
      </c>
      <c r="I28" s="68" t="inlineStr">
        <is>
          <t>0.95,0.95,0.95</t>
        </is>
      </c>
      <c r="J28" s="68" t="b">
        <v>1</v>
      </c>
      <c r="K28" s="24" t="inlineStr">
        <is>
          <t>0,0,0</t>
        </is>
      </c>
      <c r="L28" s="68" t="n">
        <v>2</v>
      </c>
      <c r="M28" s="68" t="inlineStr">
        <is>
          <t>Light</t>
        </is>
      </c>
      <c r="N28" s="68" t="inlineStr">
        <is>
          <t>Magician</t>
        </is>
      </c>
      <c r="O28" s="68">
        <f>100+L28</f>
        <v/>
      </c>
      <c r="P28" s="68" t="n">
        <v>4</v>
      </c>
      <c r="Q28" s="68" t="n">
        <v>4</v>
      </c>
      <c r="R28" s="68" t="n">
        <v>1</v>
      </c>
      <c r="S28" s="68" t="n">
        <v>0</v>
      </c>
      <c r="T28" s="68" t="n">
        <v>0</v>
      </c>
      <c r="U28" s="68" t="inlineStr">
        <is>
          <t>Spd</t>
        </is>
      </c>
      <c r="V28" s="68" t="n">
        <v>120</v>
      </c>
      <c r="W28" s="68" t="inlineStr">
        <is>
          <t>Hp</t>
        </is>
      </c>
      <c r="X28" s="68" t="n">
        <v>5909</v>
      </c>
      <c r="Y28" s="68" t="inlineStr">
        <is>
          <t>Atk</t>
        </is>
      </c>
      <c r="Z28" s="68" t="n">
        <v>198</v>
      </c>
      <c r="AA28" s="68" t="inlineStr">
        <is>
          <t>Def</t>
        </is>
      </c>
      <c r="AB28" s="68" t="n">
        <v>142</v>
      </c>
      <c r="AC28" s="68" t="inlineStr">
        <is>
          <t>Penetration</t>
        </is>
      </c>
      <c r="AD28" s="68" t="n">
        <v>142</v>
      </c>
      <c r="AE28" s="68" t="inlineStr">
        <is>
          <t>Hit</t>
        </is>
      </c>
      <c r="AF28" s="68" t="n">
        <v>100</v>
      </c>
      <c r="AG28" s="68" t="inlineStr">
        <is>
          <t>Dodge</t>
        </is>
      </c>
      <c r="AH28" s="68" t="n">
        <v>100</v>
      </c>
      <c r="AI28" s="68" t="inlineStr">
        <is>
          <t>CriRatio</t>
        </is>
      </c>
      <c r="AJ28" s="68" t="n">
        <v>5000</v>
      </c>
      <c r="AK28" s="68" t="inlineStr">
        <is>
          <t>CriDmgRatio</t>
        </is>
      </c>
      <c r="AL28" s="68" t="n">
        <v>150000</v>
      </c>
      <c r="AM28" s="68" t="n"/>
      <c r="AN28" s="68" t="n"/>
      <c r="AO28" s="68" t="n"/>
      <c r="AP28" s="68" t="n"/>
      <c r="AQ28" s="68" t="n"/>
      <c r="AR28" s="68" t="n"/>
      <c r="AS28" s="68" t="n"/>
      <c r="AT28" s="68" t="n"/>
      <c r="AU28" s="68">
        <f>_xlfn.XLOOKUP(AM28,'[1]Skill&lt;Child&gt;'!$A:$A,'[1]Skill&lt;Child&gt;'!$A:$A)</f>
        <v/>
      </c>
      <c r="AV28" s="68">
        <f>_xlfn.XLOOKUP(AO28,'[1]Skill&lt;Child&gt;'!$A:$A,'[1]Skill&lt;Child&gt;'!$A:$A)</f>
        <v/>
      </c>
      <c r="AW28" s="68">
        <f>_xlfn.XLOOKUP(AQ28,'[1]Skill&lt;Child&gt;'!$A:$A,'[1]Skill&lt;Child&gt;'!$A:$A)</f>
        <v/>
      </c>
      <c r="AX28" s="68">
        <f>_xlfn.XLOOKUP(AS28,'[1]Skill&lt;Child&gt;'!$A:$A,'[1]Skill&lt;Child&gt;'!$A:$A)</f>
        <v/>
      </c>
    </row>
    <row r="29" ht="16.5" customHeight="1" s="66">
      <c r="A29" s="68" t="n">
        <v>10000296</v>
      </c>
      <c r="B29" s="68" t="inlineStr">
        <is>
          <t>힐드</t>
        </is>
      </c>
      <c r="C29" s="68" t="n">
        <v>129601</v>
      </c>
      <c r="D29" s="68">
        <f>"c"&amp;MID(C29,2,3)</f>
        <v/>
      </c>
      <c r="E29" s="68">
        <f>"character_name_"&amp;A29</f>
        <v/>
      </c>
      <c r="F29" s="68">
        <f>D29&amp;"_profile"</f>
        <v/>
      </c>
      <c r="G29" s="68" t="inlineStr">
        <is>
          <t>None</t>
        </is>
      </c>
      <c r="H29" s="68" t="inlineStr">
        <is>
          <t>Normal</t>
        </is>
      </c>
      <c r="I29" s="68" t="inlineStr">
        <is>
          <t>0.95,0.95,0.95</t>
        </is>
      </c>
      <c r="J29" s="68" t="b">
        <v>1</v>
      </c>
      <c r="K29" s="24" t="inlineStr">
        <is>
          <t>0,0,0</t>
        </is>
      </c>
      <c r="L29" s="68" t="n">
        <v>2</v>
      </c>
      <c r="M29" s="68" t="inlineStr">
        <is>
          <t>Light</t>
        </is>
      </c>
      <c r="N29" s="68" t="inlineStr">
        <is>
          <t>Attacker</t>
        </is>
      </c>
      <c r="O29" s="68">
        <f>100+L29</f>
        <v/>
      </c>
      <c r="P29" s="68">
        <f t="array" ref="P29">_xlfn.IFS($N29="Attacker",6,$N29="Healer",3,$N29="Magician",4,$N29="Defender",3,$N29="Supporter",4)</f>
        <v/>
      </c>
      <c r="Q29" s="68">
        <f t="array" ref="Q29">_xlfn.IFS($N29="Attacker",6,$N29="Healer",3,$N29="Magician",4,$N29="Defender",3,$N29="Supporter",4)</f>
        <v/>
      </c>
      <c r="R29" s="68" t="n">
        <v>1</v>
      </c>
      <c r="S29" s="68" t="n">
        <v>0</v>
      </c>
      <c r="T29" s="68" t="n">
        <v>0</v>
      </c>
      <c r="U29" s="68" t="inlineStr">
        <is>
          <t>Spd</t>
        </is>
      </c>
      <c r="V29" s="68">
        <f t="array" ref="V29">_xlfn.IFS(N29="Attacker",80,N29="Healer",90,N29="Magician",100,N29="Defender",110,N29="Supporter",120)</f>
        <v/>
      </c>
      <c r="W29" s="68" t="inlineStr">
        <is>
          <t>Hp</t>
        </is>
      </c>
      <c r="X29" s="68" t="n">
        <v>5100</v>
      </c>
      <c r="Y29" s="68" t="inlineStr">
        <is>
          <t>Atk</t>
        </is>
      </c>
      <c r="Z29" s="68" t="n">
        <v>420</v>
      </c>
      <c r="AA29" s="68" t="inlineStr">
        <is>
          <t>Def</t>
        </is>
      </c>
      <c r="AB29" s="68" t="n">
        <v>120</v>
      </c>
      <c r="AC29" s="68" t="inlineStr">
        <is>
          <t>Penetration</t>
        </is>
      </c>
      <c r="AD29" s="68" t="n">
        <v>187</v>
      </c>
      <c r="AE29" s="68" t="inlineStr">
        <is>
          <t>Hit</t>
        </is>
      </c>
      <c r="AF29" s="68" t="n">
        <v>100</v>
      </c>
      <c r="AG29" s="68" t="inlineStr">
        <is>
          <t>Dodge</t>
        </is>
      </c>
      <c r="AH29" s="68" t="n">
        <v>100</v>
      </c>
      <c r="AI29" s="68" t="inlineStr">
        <is>
          <t>CriRatio</t>
        </is>
      </c>
      <c r="AJ29" s="68" t="n">
        <v>5000</v>
      </c>
      <c r="AK29" s="68" t="inlineStr">
        <is>
          <t>CriDmgRatio</t>
        </is>
      </c>
      <c r="AL29" s="68" t="n">
        <v>150000</v>
      </c>
      <c r="AM29" s="68" t="n">
        <v>1541021</v>
      </c>
      <c r="AN29" s="68" t="b">
        <v>1</v>
      </c>
      <c r="AO29" s="68" t="n">
        <v>2541021</v>
      </c>
      <c r="AP29" s="68" t="b">
        <v>0</v>
      </c>
      <c r="AQ29" s="68" t="n">
        <v>3541021</v>
      </c>
      <c r="AR29" s="68" t="b">
        <v>1</v>
      </c>
      <c r="AS29" s="68" t="n">
        <v>4541021</v>
      </c>
      <c r="AT29" s="68" t="b">
        <v>0</v>
      </c>
      <c r="AU29" s="68">
        <f>_xlfn.XLOOKUP(AM29,'[1]Skill&lt;Child&gt;'!$A:$A,'[1]Skill&lt;Child&gt;'!$A:$A)</f>
        <v/>
      </c>
      <c r="AV29" s="68">
        <f>_xlfn.XLOOKUP(AO29,'[1]Skill&lt;Child&gt;'!$A:$A,'[1]Skill&lt;Child&gt;'!$A:$A)</f>
        <v/>
      </c>
      <c r="AW29" s="68">
        <f>_xlfn.XLOOKUP(AQ29,'[1]Skill&lt;Child&gt;'!$A:$A,'[1]Skill&lt;Child&gt;'!$A:$A)</f>
        <v/>
      </c>
      <c r="AX29" s="68">
        <f>_xlfn.XLOOKUP(AS29,'[1]Skill&lt;Child&gt;'!$A:$A,'[1]Skill&lt;Child&gt;'!$A:$A)</f>
        <v/>
      </c>
    </row>
    <row r="30" ht="16.5" customHeight="1" s="66">
      <c r="A30" s="68" t="n">
        <v>10000183</v>
      </c>
      <c r="B30" s="68" t="inlineStr">
        <is>
          <t>다나</t>
        </is>
      </c>
      <c r="C30" s="68" t="n">
        <v>118301</v>
      </c>
      <c r="D30" s="68">
        <f>"c"&amp;MID(C30,2,3)</f>
        <v/>
      </c>
      <c r="E30" s="68">
        <f>"character_name_"&amp;A30</f>
        <v/>
      </c>
      <c r="F30" s="68">
        <f>D30&amp;"_profile"</f>
        <v/>
      </c>
      <c r="G30" s="68" t="inlineStr">
        <is>
          <t>None</t>
        </is>
      </c>
      <c r="H30" s="68" t="inlineStr">
        <is>
          <t>Normal</t>
        </is>
      </c>
      <c r="I30" s="68" t="inlineStr">
        <is>
          <t>0.95,0.95,0.95</t>
        </is>
      </c>
      <c r="J30" s="68" t="b">
        <v>1</v>
      </c>
      <c r="K30" s="24" t="inlineStr">
        <is>
          <t>0,0,0</t>
        </is>
      </c>
      <c r="L30" s="68" t="n">
        <v>2</v>
      </c>
      <c r="M30" s="68" t="inlineStr">
        <is>
          <t>Light</t>
        </is>
      </c>
      <c r="N30" s="68" t="inlineStr">
        <is>
          <t>Healer</t>
        </is>
      </c>
      <c r="O30" s="68">
        <f>100+L30</f>
        <v/>
      </c>
      <c r="P30" s="68">
        <f t="array" ref="P30">_xlfn.IFS($N30="Attacker",6,$N30="Healer",3,$N30="Magician",4,$N30="Defender",3,$N30="Supporter",4)</f>
        <v/>
      </c>
      <c r="Q30" s="68">
        <f t="array" ref="Q30">_xlfn.IFS($N30="Attacker",6,$N30="Healer",3,$N30="Magician",4,$N30="Defender",3,$N30="Supporter",4)</f>
        <v/>
      </c>
      <c r="R30" s="68" t="n">
        <v>1</v>
      </c>
      <c r="S30" s="68" t="n">
        <v>0</v>
      </c>
      <c r="T30" s="68" t="n">
        <v>0</v>
      </c>
      <c r="U30" s="68" t="inlineStr">
        <is>
          <t>Spd</t>
        </is>
      </c>
      <c r="V30" s="68">
        <f t="array" ref="V30">_xlfn.IFS(N30="Attacker",80,N30="Healer",90,N30="Magician",100,N30="Defender",110,N30="Supporter",120)</f>
        <v/>
      </c>
      <c r="W30" s="68" t="inlineStr">
        <is>
          <t>Hp</t>
        </is>
      </c>
      <c r="X30" s="68" t="n">
        <v>6475</v>
      </c>
      <c r="Y30" s="68" t="inlineStr">
        <is>
          <t>Atk</t>
        </is>
      </c>
      <c r="Z30" s="68" t="n">
        <v>168</v>
      </c>
      <c r="AA30" s="68" t="inlineStr">
        <is>
          <t>Def</t>
        </is>
      </c>
      <c r="AB30" s="68" t="n">
        <v>151</v>
      </c>
      <c r="AC30" s="68" t="inlineStr">
        <is>
          <t>Penetration</t>
        </is>
      </c>
      <c r="AD30" s="68" t="n">
        <v>187</v>
      </c>
      <c r="AE30" s="68" t="inlineStr">
        <is>
          <t>Hit</t>
        </is>
      </c>
      <c r="AF30" s="68" t="n">
        <v>100</v>
      </c>
      <c r="AG30" s="68" t="inlineStr">
        <is>
          <t>Dodge</t>
        </is>
      </c>
      <c r="AH30" s="68" t="n">
        <v>100</v>
      </c>
      <c r="AI30" s="68" t="inlineStr">
        <is>
          <t>CriRatio</t>
        </is>
      </c>
      <c r="AJ30" s="68" t="n">
        <v>5000</v>
      </c>
      <c r="AK30" s="68" t="inlineStr">
        <is>
          <t>CriDmgRatio</t>
        </is>
      </c>
      <c r="AL30" s="68" t="n">
        <v>150000</v>
      </c>
      <c r="AM30" s="68" t="n">
        <v>1555081</v>
      </c>
      <c r="AN30" s="68" t="b">
        <v>1</v>
      </c>
      <c r="AO30" s="68" t="n">
        <v>2555081</v>
      </c>
      <c r="AP30" s="68" t="b">
        <v>0</v>
      </c>
      <c r="AQ30" s="68" t="n">
        <v>3555081</v>
      </c>
      <c r="AR30" s="68" t="b">
        <v>1</v>
      </c>
      <c r="AS30" s="68" t="n">
        <v>4555081</v>
      </c>
      <c r="AT30" s="68" t="b">
        <v>0</v>
      </c>
      <c r="AU30" s="68">
        <f>_xlfn.XLOOKUP(AM30,'[1]Skill&lt;Child&gt;'!$A:$A,'[1]Skill&lt;Child&gt;'!$A:$A)</f>
        <v/>
      </c>
      <c r="AV30" s="68">
        <f>_xlfn.XLOOKUP(AO30,'[1]Skill&lt;Child&gt;'!$A:$A,'[1]Skill&lt;Child&gt;'!$A:$A)</f>
        <v/>
      </c>
      <c r="AW30" s="68">
        <f>_xlfn.XLOOKUP(AQ30,'[1]Skill&lt;Child&gt;'!$A:$A,'[1]Skill&lt;Child&gt;'!$A:$A)</f>
        <v/>
      </c>
      <c r="AX30" s="68">
        <f>_xlfn.XLOOKUP(AS30,'[1]Skill&lt;Child&gt;'!$A:$A,'[1]Skill&lt;Child&gt;'!$A:$A)</f>
        <v/>
      </c>
    </row>
    <row r="31" ht="16.5" customHeight="1" s="66">
      <c r="A31" s="68" t="n">
        <v>10000002</v>
      </c>
      <c r="B31" s="68" t="inlineStr">
        <is>
          <t>리자</t>
        </is>
      </c>
      <c r="C31" s="68" t="n">
        <v>100201</v>
      </c>
      <c r="D31" s="68">
        <f>"c"&amp;MID(C31,2,3)</f>
        <v/>
      </c>
      <c r="E31" s="68">
        <f>"character_name_"&amp;A31</f>
        <v/>
      </c>
      <c r="F31" s="68">
        <f>D31&amp;"_profile"</f>
        <v/>
      </c>
      <c r="G31" s="68" t="inlineStr">
        <is>
          <t>None</t>
        </is>
      </c>
      <c r="H31" s="68" t="inlineStr">
        <is>
          <t>Normal</t>
        </is>
      </c>
      <c r="I31" s="68" t="inlineStr">
        <is>
          <t>0.95,0.95,0.95</t>
        </is>
      </c>
      <c r="J31" s="68" t="b">
        <v>1</v>
      </c>
      <c r="K31" s="24" t="inlineStr">
        <is>
          <t>0,0,0</t>
        </is>
      </c>
      <c r="L31" s="68" t="n">
        <v>2</v>
      </c>
      <c r="M31" s="68" t="inlineStr">
        <is>
          <t>Water</t>
        </is>
      </c>
      <c r="N31" s="68" t="inlineStr">
        <is>
          <t>Attacker</t>
        </is>
      </c>
      <c r="O31" s="68">
        <f>100+L31</f>
        <v/>
      </c>
      <c r="P31" s="68">
        <f t="array" ref="P31">_xlfn.IFS($N31="Attacker",6,$N31="Healer",3,$N31="Magician",4,$N31="Defender",3,$N31="Supporter",4)</f>
        <v/>
      </c>
      <c r="Q31" s="68">
        <f t="array" ref="Q31">_xlfn.IFS($N31="Attacker",6,$N31="Healer",3,$N31="Magician",4,$N31="Defender",3,$N31="Supporter",4)</f>
        <v/>
      </c>
      <c r="R31" s="68" t="n">
        <v>1</v>
      </c>
      <c r="S31" s="68" t="n">
        <v>0</v>
      </c>
      <c r="T31" s="68" t="n">
        <v>0</v>
      </c>
      <c r="U31" s="68" t="inlineStr">
        <is>
          <t>Spd</t>
        </is>
      </c>
      <c r="V31" s="68">
        <f t="array" ref="V31">_xlfn.IFS(N31="Attacker",80,N31="Healer",90,N31="Magician",100,N31="Defender",110,N31="Supporter",120)</f>
        <v/>
      </c>
      <c r="W31" s="68" t="inlineStr">
        <is>
          <t>Hp</t>
        </is>
      </c>
      <c r="X31" s="68" t="n">
        <v>4743</v>
      </c>
      <c r="Y31" s="68" t="inlineStr">
        <is>
          <t>Atk</t>
        </is>
      </c>
      <c r="Z31" s="68" t="n">
        <v>341</v>
      </c>
      <c r="AA31" s="68" t="inlineStr">
        <is>
          <t>Def</t>
        </is>
      </c>
      <c r="AB31" s="68" t="n">
        <v>108</v>
      </c>
      <c r="AC31" s="68" t="inlineStr">
        <is>
          <t>Penetration</t>
        </is>
      </c>
      <c r="AD31" s="68" t="n">
        <v>130</v>
      </c>
      <c r="AE31" s="68" t="inlineStr">
        <is>
          <t>Hit</t>
        </is>
      </c>
      <c r="AF31" s="68" t="n">
        <v>100</v>
      </c>
      <c r="AG31" s="68" t="inlineStr">
        <is>
          <t>Dodge</t>
        </is>
      </c>
      <c r="AH31" s="68" t="n">
        <v>100</v>
      </c>
      <c r="AI31" s="68" t="inlineStr">
        <is>
          <t>CriRatio</t>
        </is>
      </c>
      <c r="AJ31" s="68" t="n">
        <v>5000</v>
      </c>
      <c r="AK31" s="68" t="inlineStr">
        <is>
          <t>CriDmgRatio</t>
        </is>
      </c>
      <c r="AL31" s="68" t="n">
        <v>150000</v>
      </c>
      <c r="AM31" s="68" t="n">
        <v>1325111</v>
      </c>
      <c r="AN31" s="68" t="b">
        <v>1</v>
      </c>
      <c r="AO31" s="68" t="n">
        <v>2325111</v>
      </c>
      <c r="AP31" s="68" t="b">
        <v>0</v>
      </c>
      <c r="AQ31" s="68" t="n">
        <v>3325111</v>
      </c>
      <c r="AR31" s="68" t="b">
        <v>1</v>
      </c>
      <c r="AS31" s="68" t="n">
        <v>4325111</v>
      </c>
      <c r="AT31" s="68" t="b">
        <v>0</v>
      </c>
      <c r="AU31" s="68">
        <f>_xlfn.XLOOKUP(AM31,'[1]Skill&lt;Child&gt;'!$A:$A,'[1]Skill&lt;Child&gt;'!$A:$A)</f>
        <v/>
      </c>
      <c r="AV31" s="68">
        <f>_xlfn.XLOOKUP(AO31,'[1]Skill&lt;Child&gt;'!$A:$A,'[1]Skill&lt;Child&gt;'!$A:$A)</f>
        <v/>
      </c>
      <c r="AW31" s="68">
        <f>_xlfn.XLOOKUP(AQ31,'[1]Skill&lt;Child&gt;'!$A:$A,'[1]Skill&lt;Child&gt;'!$A:$A)</f>
        <v/>
      </c>
      <c r="AX31" s="68">
        <f>_xlfn.XLOOKUP(AS31,'[1]Skill&lt;Child&gt;'!$A:$A,'[1]Skill&lt;Child&gt;'!$A:$A)</f>
        <v/>
      </c>
    </row>
    <row r="32" ht="16.5" customHeight="1" s="66">
      <c r="A32" s="68" t="n">
        <v>10000193</v>
      </c>
      <c r="B32" s="68" t="inlineStr">
        <is>
          <t>비루파</t>
        </is>
      </c>
      <c r="C32" s="68" t="n">
        <v>1019301</v>
      </c>
      <c r="D32" s="68" t="inlineStr">
        <is>
          <t>c193</t>
        </is>
      </c>
      <c r="E32" s="68" t="inlineStr">
        <is>
          <t>character_name_10000193</t>
        </is>
      </c>
      <c r="F32" s="68">
        <f>D32&amp;"_profile"</f>
        <v/>
      </c>
      <c r="G32" s="68" t="inlineStr">
        <is>
          <t>None</t>
        </is>
      </c>
      <c r="H32" s="68" t="inlineStr">
        <is>
          <t>Normal</t>
        </is>
      </c>
      <c r="I32" s="68" t="inlineStr">
        <is>
          <t>0.95,0.95,0.95</t>
        </is>
      </c>
      <c r="J32" s="68" t="b">
        <v>1</v>
      </c>
      <c r="K32" s="24" t="inlineStr">
        <is>
          <t>0,0,0</t>
        </is>
      </c>
      <c r="L32" s="68" t="n">
        <v>2</v>
      </c>
      <c r="M32" s="68" t="inlineStr">
        <is>
          <t>Water</t>
        </is>
      </c>
      <c r="N32" s="68" t="inlineStr">
        <is>
          <t>Attacker</t>
        </is>
      </c>
      <c r="O32" s="68">
        <f>100+L32</f>
        <v/>
      </c>
      <c r="P32" s="68" t="n">
        <v>6</v>
      </c>
      <c r="Q32" s="68" t="n">
        <v>6</v>
      </c>
      <c r="R32" s="68" t="n">
        <v>1</v>
      </c>
      <c r="S32" s="68" t="n">
        <v>0</v>
      </c>
      <c r="T32" s="68" t="n">
        <v>0</v>
      </c>
      <c r="U32" s="68" t="inlineStr">
        <is>
          <t>Spd</t>
        </is>
      </c>
      <c r="V32" s="68" t="n">
        <v>80</v>
      </c>
      <c r="W32" s="68" t="inlineStr">
        <is>
          <t>Hp</t>
        </is>
      </c>
      <c r="X32" s="68" t="n">
        <v>5100</v>
      </c>
      <c r="Y32" s="68" t="inlineStr">
        <is>
          <t>Atk</t>
        </is>
      </c>
      <c r="Z32" s="68" t="n">
        <v>420</v>
      </c>
      <c r="AA32" s="68" t="inlineStr">
        <is>
          <t>Def</t>
        </is>
      </c>
      <c r="AB32" s="68" t="n">
        <v>120</v>
      </c>
      <c r="AC32" s="68" t="inlineStr">
        <is>
          <t>Penetration</t>
        </is>
      </c>
      <c r="AD32" s="68" t="n">
        <v>120</v>
      </c>
      <c r="AE32" s="68" t="inlineStr">
        <is>
          <t>Hit</t>
        </is>
      </c>
      <c r="AF32" s="68" t="n">
        <v>100</v>
      </c>
      <c r="AG32" s="68" t="inlineStr">
        <is>
          <t>Dodge</t>
        </is>
      </c>
      <c r="AH32" s="68" t="n">
        <v>100</v>
      </c>
      <c r="AI32" s="68" t="inlineStr">
        <is>
          <t>CriRatio</t>
        </is>
      </c>
      <c r="AJ32" s="68" t="n">
        <v>5000</v>
      </c>
      <c r="AK32" s="68" t="inlineStr">
        <is>
          <t>CriDmgRatio</t>
        </is>
      </c>
      <c r="AL32" s="68" t="n">
        <v>150000</v>
      </c>
      <c r="AM32" s="68" t="n"/>
      <c r="AN32" s="68" t="n"/>
      <c r="AO32" s="68" t="n"/>
      <c r="AP32" s="68" t="n"/>
      <c r="AQ32" s="68" t="n"/>
      <c r="AR32" s="68" t="n"/>
      <c r="AS32" s="68" t="n"/>
      <c r="AT32" s="68" t="n"/>
      <c r="AU32" s="68">
        <f>_xlfn.XLOOKUP(AM32,'[1]Skill&lt;Child&gt;'!$A:$A,'[1]Skill&lt;Child&gt;'!$A:$A)</f>
        <v/>
      </c>
      <c r="AV32" s="68">
        <f>_xlfn.XLOOKUP(AO32,'[1]Skill&lt;Child&gt;'!$A:$A,'[1]Skill&lt;Child&gt;'!$A:$A)</f>
        <v/>
      </c>
      <c r="AW32" s="68">
        <f>_xlfn.XLOOKUP(AQ32,'[1]Skill&lt;Child&gt;'!$A:$A,'[1]Skill&lt;Child&gt;'!$A:$A)</f>
        <v/>
      </c>
      <c r="AX32" s="68">
        <f>_xlfn.XLOOKUP(AS32,'[1]Skill&lt;Child&gt;'!$A:$A,'[1]Skill&lt;Child&gt;'!$A:$A)</f>
        <v/>
      </c>
    </row>
    <row r="33" ht="16.5" customHeight="1" s="66">
      <c r="A33" s="68" t="n">
        <v>10000437</v>
      </c>
      <c r="B33" s="68" t="inlineStr">
        <is>
          <t>에우로스</t>
        </is>
      </c>
      <c r="C33" s="68" t="n">
        <v>1043701</v>
      </c>
      <c r="D33" s="68" t="inlineStr">
        <is>
          <t>c437</t>
        </is>
      </c>
      <c r="E33" s="68" t="inlineStr">
        <is>
          <t>character_name_10000437</t>
        </is>
      </c>
      <c r="F33" s="68">
        <f>D33&amp;"_profile"</f>
        <v/>
      </c>
      <c r="G33" s="68" t="inlineStr">
        <is>
          <t>None</t>
        </is>
      </c>
      <c r="H33" s="68" t="inlineStr">
        <is>
          <t>Normal</t>
        </is>
      </c>
      <c r="I33" s="68" t="inlineStr">
        <is>
          <t>0.95,0.95,0.95</t>
        </is>
      </c>
      <c r="J33" s="68" t="b">
        <v>1</v>
      </c>
      <c r="K33" s="24" t="inlineStr">
        <is>
          <t>0,0,0</t>
        </is>
      </c>
      <c r="L33" s="68" t="n">
        <v>2</v>
      </c>
      <c r="M33" s="68" t="inlineStr">
        <is>
          <t>Water</t>
        </is>
      </c>
      <c r="N33" s="68" t="inlineStr">
        <is>
          <t>Healer</t>
        </is>
      </c>
      <c r="O33" s="68">
        <f>100+L33</f>
        <v/>
      </c>
      <c r="P33" s="68" t="n">
        <v>3</v>
      </c>
      <c r="Q33" s="68" t="n">
        <v>3</v>
      </c>
      <c r="R33" s="68" t="n">
        <v>1</v>
      </c>
      <c r="S33" s="68" t="n">
        <v>0</v>
      </c>
      <c r="T33" s="68" t="n">
        <v>0</v>
      </c>
      <c r="U33" s="68" t="inlineStr">
        <is>
          <t>Spd</t>
        </is>
      </c>
      <c r="V33" s="68" t="n">
        <v>90</v>
      </c>
      <c r="W33" s="68" t="inlineStr">
        <is>
          <t>Hp</t>
        </is>
      </c>
      <c r="X33" s="68" t="n">
        <v>6475</v>
      </c>
      <c r="Y33" s="68" t="inlineStr">
        <is>
          <t>Atk</t>
        </is>
      </c>
      <c r="Z33" s="68" t="n">
        <v>168</v>
      </c>
      <c r="AA33" s="68" t="inlineStr">
        <is>
          <t>Def</t>
        </is>
      </c>
      <c r="AB33" s="68" t="n">
        <v>151</v>
      </c>
      <c r="AC33" s="68" t="inlineStr">
        <is>
          <t>Penetration</t>
        </is>
      </c>
      <c r="AD33" s="68" t="n">
        <v>151</v>
      </c>
      <c r="AE33" s="68" t="inlineStr">
        <is>
          <t>Hit</t>
        </is>
      </c>
      <c r="AF33" s="68" t="n">
        <v>100</v>
      </c>
      <c r="AG33" s="68" t="inlineStr">
        <is>
          <t>Dodge</t>
        </is>
      </c>
      <c r="AH33" s="68" t="n">
        <v>100</v>
      </c>
      <c r="AI33" s="68" t="inlineStr">
        <is>
          <t>CriRatio</t>
        </is>
      </c>
      <c r="AJ33" s="68" t="n">
        <v>5000</v>
      </c>
      <c r="AK33" s="68" t="inlineStr">
        <is>
          <t>CriDmgRatio</t>
        </is>
      </c>
      <c r="AL33" s="68" t="n">
        <v>150000</v>
      </c>
      <c r="AM33" s="68" t="n"/>
      <c r="AN33" s="68" t="n"/>
      <c r="AO33" s="68" t="n"/>
      <c r="AP33" s="68" t="n"/>
      <c r="AQ33" s="68" t="n"/>
      <c r="AR33" s="68" t="n"/>
      <c r="AS33" s="68" t="n"/>
      <c r="AT33" s="68" t="n"/>
      <c r="AU33" s="68">
        <f>_xlfn.XLOOKUP(AM33,'[1]Skill&lt;Child&gt;'!$A:$A,'[1]Skill&lt;Child&gt;'!$A:$A)</f>
        <v/>
      </c>
      <c r="AV33" s="68">
        <f>_xlfn.XLOOKUP(AO33,'[1]Skill&lt;Child&gt;'!$A:$A,'[1]Skill&lt;Child&gt;'!$A:$A)</f>
        <v/>
      </c>
      <c r="AW33" s="68">
        <f>_xlfn.XLOOKUP(AQ33,'[1]Skill&lt;Child&gt;'!$A:$A,'[1]Skill&lt;Child&gt;'!$A:$A)</f>
        <v/>
      </c>
      <c r="AX33" s="68">
        <f>_xlfn.XLOOKUP(AS33,'[1]Skill&lt;Child&gt;'!$A:$A,'[1]Skill&lt;Child&gt;'!$A:$A)</f>
        <v/>
      </c>
    </row>
    <row r="34" ht="16.5" customHeight="1" s="66">
      <c r="A34" s="68" t="n">
        <v>10000432</v>
      </c>
      <c r="B34" s="68" t="inlineStr">
        <is>
          <t>아르테미스</t>
        </is>
      </c>
      <c r="C34" s="68" t="n">
        <v>143201</v>
      </c>
      <c r="D34" s="68">
        <f>"c"&amp;MID(C34,2,3)</f>
        <v/>
      </c>
      <c r="E34" s="68">
        <f>"character_name_"&amp;A34</f>
        <v/>
      </c>
      <c r="F34" s="68">
        <f>D34&amp;"_profile"</f>
        <v/>
      </c>
      <c r="G34" s="68" t="inlineStr">
        <is>
          <t>None</t>
        </is>
      </c>
      <c r="H34" s="68" t="inlineStr">
        <is>
          <t>Normal</t>
        </is>
      </c>
      <c r="I34" s="68" t="inlineStr">
        <is>
          <t>0.95,0.95,0.95</t>
        </is>
      </c>
      <c r="J34" s="68" t="b">
        <v>1</v>
      </c>
      <c r="K34" s="24" t="inlineStr">
        <is>
          <t>0,0,0</t>
        </is>
      </c>
      <c r="L34" s="68" t="n">
        <v>3</v>
      </c>
      <c r="M34" s="68" t="inlineStr">
        <is>
          <t>Dark</t>
        </is>
      </c>
      <c r="N34" s="68" t="inlineStr">
        <is>
          <t>Magician</t>
        </is>
      </c>
      <c r="O34" s="68">
        <f>100+L34</f>
        <v/>
      </c>
      <c r="P34" s="68">
        <f t="array" ref="P34">_xlfn.IFS($N34="Attacker",6,$N34="Healer",3,$N34="Magician",4,$N34="Defender",3,$N34="Supporter",4)</f>
        <v/>
      </c>
      <c r="Q34" s="68">
        <f t="array" ref="Q34">_xlfn.IFS($N34="Attacker",6,$N34="Healer",3,$N34="Magician",4,$N34="Defender",3,$N34="Supporter",4)</f>
        <v/>
      </c>
      <c r="R34" s="68" t="n">
        <v>1</v>
      </c>
      <c r="S34" s="68" t="n">
        <v>0</v>
      </c>
      <c r="T34" s="68" t="n">
        <v>0</v>
      </c>
      <c r="U34" s="68" t="inlineStr">
        <is>
          <t>Spd</t>
        </is>
      </c>
      <c r="V34" s="68">
        <f t="array" ref="V34">_xlfn.IFS(N34="Attacker",80,N34="Healer",90,N34="Magician",100,N34="Defender",110,N34="Supporter",120)</f>
        <v/>
      </c>
      <c r="W34" s="68" t="inlineStr">
        <is>
          <t>Hp</t>
        </is>
      </c>
      <c r="X34" s="68" t="n">
        <v>5100</v>
      </c>
      <c r="Y34" s="68" t="inlineStr">
        <is>
          <t>Atk</t>
        </is>
      </c>
      <c r="Z34" s="68" t="n">
        <v>420</v>
      </c>
      <c r="AA34" s="68" t="inlineStr">
        <is>
          <t>Def</t>
        </is>
      </c>
      <c r="AB34" s="68" t="n">
        <v>120</v>
      </c>
      <c r="AC34" s="68" t="inlineStr">
        <is>
          <t>Penetration</t>
        </is>
      </c>
      <c r="AD34" s="68" t="n">
        <v>156</v>
      </c>
      <c r="AE34" s="68" t="inlineStr">
        <is>
          <t>Hit</t>
        </is>
      </c>
      <c r="AF34" s="68" t="n">
        <v>100</v>
      </c>
      <c r="AG34" s="68" t="inlineStr">
        <is>
          <t>Dodge</t>
        </is>
      </c>
      <c r="AH34" s="68" t="n">
        <v>100</v>
      </c>
      <c r="AI34" s="68" t="inlineStr">
        <is>
          <t>CriRatio</t>
        </is>
      </c>
      <c r="AJ34" s="68" t="n">
        <v>5000</v>
      </c>
      <c r="AK34" s="68" t="inlineStr">
        <is>
          <t>CriDmgRatio</t>
        </is>
      </c>
      <c r="AL34" s="68" t="n">
        <v>150000</v>
      </c>
      <c r="AM34" s="68" t="n">
        <v>1351161</v>
      </c>
      <c r="AN34" s="68" t="b">
        <v>1</v>
      </c>
      <c r="AO34" s="68" t="n">
        <v>2351161</v>
      </c>
      <c r="AP34" s="68" t="b">
        <v>1</v>
      </c>
      <c r="AQ34" s="68" t="n">
        <v>3351161</v>
      </c>
      <c r="AR34" s="68" t="b">
        <v>1</v>
      </c>
      <c r="AS34" s="68" t="n">
        <v>4351161</v>
      </c>
      <c r="AT34" s="68" t="b">
        <v>0</v>
      </c>
      <c r="AU34" s="68">
        <f>_xlfn.XLOOKUP(AM34,'[1]Skill&lt;Child&gt;'!$A:$A,'[1]Skill&lt;Child&gt;'!$A:$A)</f>
        <v/>
      </c>
      <c r="AV34" s="68">
        <f>_xlfn.XLOOKUP(AO34,'[1]Skill&lt;Child&gt;'!$A:$A,'[1]Skill&lt;Child&gt;'!$A:$A)</f>
        <v/>
      </c>
      <c r="AW34" s="68">
        <f>_xlfn.XLOOKUP(AQ34,'[1]Skill&lt;Child&gt;'!$A:$A,'[1]Skill&lt;Child&gt;'!$A:$A)</f>
        <v/>
      </c>
      <c r="AX34" s="68">
        <f>_xlfn.XLOOKUP(AS34,'[1]Skill&lt;Child&gt;'!$A:$A,'[1]Skill&lt;Child&gt;'!$A:$A)</f>
        <v/>
      </c>
    </row>
    <row r="35" ht="16.5" customHeight="1" s="66">
      <c r="A35" s="68" t="n">
        <v>10000294</v>
      </c>
      <c r="B35" s="68" t="inlineStr">
        <is>
          <t>바토리</t>
        </is>
      </c>
      <c r="C35" s="68" t="n">
        <v>129401</v>
      </c>
      <c r="D35" s="68">
        <f>"c"&amp;MID(C35,2,3)</f>
        <v/>
      </c>
      <c r="E35" s="68">
        <f>"character_name_"&amp;A35</f>
        <v/>
      </c>
      <c r="F35" s="68">
        <f>D35&amp;"_profile"</f>
        <v/>
      </c>
      <c r="G35" s="68" t="inlineStr">
        <is>
          <t>None</t>
        </is>
      </c>
      <c r="H35" s="68" t="inlineStr">
        <is>
          <t>Normal</t>
        </is>
      </c>
      <c r="I35" s="68" t="inlineStr">
        <is>
          <t>0.95,0.95,0.95</t>
        </is>
      </c>
      <c r="J35" s="68" t="b">
        <v>1</v>
      </c>
      <c r="K35" s="24" t="inlineStr">
        <is>
          <t>0,0,0</t>
        </is>
      </c>
      <c r="L35" s="68" t="n">
        <v>3</v>
      </c>
      <c r="M35" s="68" t="inlineStr">
        <is>
          <t>Dark</t>
        </is>
      </c>
      <c r="N35" s="68" t="inlineStr">
        <is>
          <t>Supporter</t>
        </is>
      </c>
      <c r="O35" s="68">
        <f>100+L35</f>
        <v/>
      </c>
      <c r="P35" s="68" t="n">
        <v>6</v>
      </c>
      <c r="Q35" s="68" t="n">
        <v>6</v>
      </c>
      <c r="R35" s="68" t="n">
        <v>1</v>
      </c>
      <c r="S35" s="68" t="n">
        <v>0</v>
      </c>
      <c r="T35" s="68" t="n">
        <v>0</v>
      </c>
      <c r="U35" s="68" t="inlineStr">
        <is>
          <t>Spd</t>
        </is>
      </c>
      <c r="V35" s="68">
        <f t="array" ref="V35">_xlfn.IFS(N35="Attacker",80,N35="Healer",90,N35="Magician",100,N35="Defender",110,N35="Supporter",120)</f>
        <v/>
      </c>
      <c r="W35" s="68" t="inlineStr">
        <is>
          <t>Hp</t>
        </is>
      </c>
      <c r="X35" s="68" t="n">
        <v>5100</v>
      </c>
      <c r="Y35" s="68" t="inlineStr">
        <is>
          <t>Atk</t>
        </is>
      </c>
      <c r="Z35" s="68" t="n">
        <v>420</v>
      </c>
      <c r="AA35" s="68" t="inlineStr">
        <is>
          <t>Def</t>
        </is>
      </c>
      <c r="AB35" s="68" t="n">
        <v>120</v>
      </c>
      <c r="AC35" s="68" t="inlineStr">
        <is>
          <t>Penetration</t>
        </is>
      </c>
      <c r="AD35" s="68" t="n">
        <v>156</v>
      </c>
      <c r="AE35" s="68" t="inlineStr">
        <is>
          <t>Hit</t>
        </is>
      </c>
      <c r="AF35" s="68" t="n">
        <v>100</v>
      </c>
      <c r="AG35" s="68" t="inlineStr">
        <is>
          <t>Dodge</t>
        </is>
      </c>
      <c r="AH35" s="68" t="n">
        <v>100</v>
      </c>
      <c r="AI35" s="68" t="inlineStr">
        <is>
          <t>CriRatio</t>
        </is>
      </c>
      <c r="AJ35" s="68" t="n">
        <v>5000</v>
      </c>
      <c r="AK35" s="68" t="inlineStr">
        <is>
          <t>CriDmgRatio</t>
        </is>
      </c>
      <c r="AL35" s="68" t="n">
        <v>150000</v>
      </c>
      <c r="AM35" s="68" t="n">
        <v>1333131</v>
      </c>
      <c r="AN35" s="68" t="b">
        <v>1</v>
      </c>
      <c r="AO35" s="68" t="n">
        <v>2333131</v>
      </c>
      <c r="AP35" s="68" t="b">
        <v>1</v>
      </c>
      <c r="AQ35" s="68" t="n">
        <v>3333131</v>
      </c>
      <c r="AR35" s="68" t="b">
        <v>1</v>
      </c>
      <c r="AS35" s="68" t="n">
        <v>4333131</v>
      </c>
      <c r="AT35" s="68" t="b">
        <v>0</v>
      </c>
      <c r="AU35" s="68">
        <f>_xlfn.XLOOKUP(AM35,'[1]Skill&lt;Child&gt;'!$A:$A,'[1]Skill&lt;Child&gt;'!$A:$A)</f>
        <v/>
      </c>
      <c r="AV35" s="68">
        <f>_xlfn.XLOOKUP(AO35,'[1]Skill&lt;Child&gt;'!$A:$A,'[1]Skill&lt;Child&gt;'!$A:$A)</f>
        <v/>
      </c>
      <c r="AW35" s="68">
        <f>_xlfn.XLOOKUP(AQ35,'[1]Skill&lt;Child&gt;'!$A:$A,'[1]Skill&lt;Child&gt;'!$A:$A)</f>
        <v/>
      </c>
      <c r="AX35" s="68">
        <f>_xlfn.XLOOKUP(AS35,'[1]Skill&lt;Child&gt;'!$A:$A,'[1]Skill&lt;Child&gt;'!$A:$A)</f>
        <v/>
      </c>
    </row>
    <row r="36" ht="16.5" customHeight="1" s="66">
      <c r="A36" s="68" t="n">
        <v>10000051</v>
      </c>
      <c r="B36" s="68" t="inlineStr">
        <is>
          <t>프레이</t>
        </is>
      </c>
      <c r="C36" s="68" t="n">
        <v>105102</v>
      </c>
      <c r="D36" s="68">
        <f>"c"&amp;MID(C36,2,3)</f>
        <v/>
      </c>
      <c r="E36" s="68">
        <f>"character_name_"&amp;A36</f>
        <v/>
      </c>
      <c r="F36" s="68">
        <f>D36&amp;"_profile"</f>
        <v/>
      </c>
      <c r="G36" s="68" t="inlineStr">
        <is>
          <t>None</t>
        </is>
      </c>
      <c r="H36" s="68" t="inlineStr">
        <is>
          <t>Normal</t>
        </is>
      </c>
      <c r="I36" s="68" t="inlineStr">
        <is>
          <t>0.95,0.95,0.95</t>
        </is>
      </c>
      <c r="J36" s="68" t="b">
        <v>1</v>
      </c>
      <c r="K36" s="24" t="inlineStr">
        <is>
          <t>0,0,0</t>
        </is>
      </c>
      <c r="L36" s="68" t="n">
        <v>3</v>
      </c>
      <c r="M36" s="68" t="inlineStr">
        <is>
          <t>Dark</t>
        </is>
      </c>
      <c r="N36" s="68" t="inlineStr">
        <is>
          <t>Defender</t>
        </is>
      </c>
      <c r="O36" s="68">
        <f>100+L36</f>
        <v/>
      </c>
      <c r="P36" s="68">
        <f t="array" ref="P36">_xlfn.IFS($N36="Attacker",6,$N36="Healer",3,$N36="Magician",4,$N36="Defender",3,$N36="Supporter",4)</f>
        <v/>
      </c>
      <c r="Q36" s="68">
        <f t="array" ref="Q36">_xlfn.IFS($N36="Attacker",6,$N36="Healer",3,$N36="Magician",4,$N36="Defender",3,$N36="Supporter",4)</f>
        <v/>
      </c>
      <c r="R36" s="68" t="n">
        <v>1</v>
      </c>
      <c r="S36" s="68" t="n">
        <v>0</v>
      </c>
      <c r="T36" s="68" t="n">
        <v>0</v>
      </c>
      <c r="U36" s="68" t="inlineStr">
        <is>
          <t>Spd</t>
        </is>
      </c>
      <c r="V36" s="68">
        <f t="array" ref="V36">_xlfn.IFS(N36="Attacker",80,N36="Healer",90,N36="Magician",100,N36="Defender",110,N36="Supporter",120)</f>
        <v/>
      </c>
      <c r="W36" s="68" t="inlineStr">
        <is>
          <t>Hp</t>
        </is>
      </c>
      <c r="X36" s="68" t="n">
        <v>8650</v>
      </c>
      <c r="Y36" s="68" t="inlineStr">
        <is>
          <t>Atk</t>
        </is>
      </c>
      <c r="Z36" s="68" t="n">
        <v>252</v>
      </c>
      <c r="AA36" s="68" t="inlineStr">
        <is>
          <t>Def</t>
        </is>
      </c>
      <c r="AB36" s="68" t="n">
        <v>240</v>
      </c>
      <c r="AC36" s="68" t="inlineStr">
        <is>
          <t>Penetration</t>
        </is>
      </c>
      <c r="AD36" s="68" t="n">
        <v>234</v>
      </c>
      <c r="AE36" s="68" t="inlineStr">
        <is>
          <t>Hit</t>
        </is>
      </c>
      <c r="AF36" s="68" t="n">
        <v>100</v>
      </c>
      <c r="AG36" s="68" t="inlineStr">
        <is>
          <t>Dodge</t>
        </is>
      </c>
      <c r="AH36" s="68" t="n">
        <v>100</v>
      </c>
      <c r="AI36" s="68" t="inlineStr">
        <is>
          <t>CriRatio</t>
        </is>
      </c>
      <c r="AJ36" s="68" t="n">
        <v>5000</v>
      </c>
      <c r="AK36" s="68" t="inlineStr">
        <is>
          <t>CriDmgRatio</t>
        </is>
      </c>
      <c r="AL36" s="68" t="n">
        <v>150000</v>
      </c>
      <c r="AM36" s="68" t="n">
        <v>1551091</v>
      </c>
      <c r="AN36" s="68" t="b">
        <v>1</v>
      </c>
      <c r="AO36" s="68" t="n">
        <v>2551091</v>
      </c>
      <c r="AP36" s="68" t="b">
        <v>0</v>
      </c>
      <c r="AQ36" s="68" t="n">
        <v>3551091</v>
      </c>
      <c r="AR36" s="68" t="b">
        <v>1</v>
      </c>
      <c r="AS36" s="68" t="n">
        <v>4551091</v>
      </c>
      <c r="AT36" s="68" t="b">
        <v>0</v>
      </c>
      <c r="AU36" s="68">
        <f>_xlfn.XLOOKUP(AM36,'[1]Skill&lt;Child&gt;'!$A:$A,'[1]Skill&lt;Child&gt;'!$A:$A)</f>
        <v/>
      </c>
      <c r="AV36" s="68">
        <f>_xlfn.XLOOKUP(AO36,'[1]Skill&lt;Child&gt;'!$A:$A,'[1]Skill&lt;Child&gt;'!$A:$A)</f>
        <v/>
      </c>
      <c r="AW36" s="68">
        <f>_xlfn.XLOOKUP(AQ36,'[1]Skill&lt;Child&gt;'!$A:$A,'[1]Skill&lt;Child&gt;'!$A:$A)</f>
        <v/>
      </c>
      <c r="AX36" s="68">
        <f>_xlfn.XLOOKUP(AS36,'[1]Skill&lt;Child&gt;'!$A:$A,'[1]Skill&lt;Child&gt;'!$A:$A)</f>
        <v/>
      </c>
    </row>
    <row r="37" ht="16.5" customHeight="1" s="66">
      <c r="A37" s="68" t="n">
        <v>10000486</v>
      </c>
      <c r="B37" s="68" t="inlineStr">
        <is>
          <t>쿠바바</t>
        </is>
      </c>
      <c r="C37" s="68" t="n">
        <v>148601</v>
      </c>
      <c r="D37" s="68">
        <f>"c"&amp;MID(C37,2,3)</f>
        <v/>
      </c>
      <c r="E37" s="68">
        <f>"character_name_"&amp;A37</f>
        <v/>
      </c>
      <c r="F37" s="68">
        <f>D37&amp;"_profile"</f>
        <v/>
      </c>
      <c r="G37" s="68" t="inlineStr">
        <is>
          <t>None</t>
        </is>
      </c>
      <c r="H37" s="68" t="inlineStr">
        <is>
          <t>Normal</t>
        </is>
      </c>
      <c r="I37" s="68" t="inlineStr">
        <is>
          <t>0.95,0.95,0.95</t>
        </is>
      </c>
      <c r="J37" s="68" t="b">
        <v>1</v>
      </c>
      <c r="K37" s="24" t="inlineStr">
        <is>
          <t>0,0,0</t>
        </is>
      </c>
      <c r="L37" s="68" t="n">
        <v>3</v>
      </c>
      <c r="M37" s="68" t="inlineStr">
        <is>
          <t>Dark</t>
        </is>
      </c>
      <c r="N37" s="68" t="inlineStr">
        <is>
          <t>Attacker</t>
        </is>
      </c>
      <c r="O37" s="68">
        <f>100+L37</f>
        <v/>
      </c>
      <c r="P37" s="68">
        <f t="array" ref="P37">_xlfn.IFS($N37="Attacker",6,$N37="Healer",3,$N37="Magician",4,$N37="Defender",3,$N37="Supporter",4)</f>
        <v/>
      </c>
      <c r="Q37" s="68">
        <f t="array" ref="Q37">_xlfn.IFS($N37="Attacker",6,$N37="Healer",3,$N37="Magician",4,$N37="Defender",3,$N37="Supporter",4)</f>
        <v/>
      </c>
      <c r="R37" s="68" t="n">
        <v>1</v>
      </c>
      <c r="S37" s="68" t="n">
        <v>0</v>
      </c>
      <c r="T37" s="68" t="n">
        <v>0</v>
      </c>
      <c r="U37" s="68" t="inlineStr">
        <is>
          <t>Spd</t>
        </is>
      </c>
      <c r="V37" s="68">
        <f t="array" ref="V37">_xlfn.IFS(N37="Attacker",80,N37="Healer",90,N37="Magician",100,N37="Defender",110,N37="Supporter",120)</f>
        <v/>
      </c>
      <c r="W37" s="68" t="inlineStr">
        <is>
          <t>Hp</t>
        </is>
      </c>
      <c r="X37" s="68" t="n">
        <v>5100</v>
      </c>
      <c r="Y37" s="68" t="inlineStr">
        <is>
          <t>Atk</t>
        </is>
      </c>
      <c r="Z37" s="68" t="n">
        <v>420</v>
      </c>
      <c r="AA37" s="68" t="inlineStr">
        <is>
          <t>Def</t>
        </is>
      </c>
      <c r="AB37" s="68" t="n">
        <v>120</v>
      </c>
      <c r="AC37" s="68" t="inlineStr">
        <is>
          <t>Penetration</t>
        </is>
      </c>
      <c r="AD37" s="68" t="n">
        <v>187</v>
      </c>
      <c r="AE37" s="68" t="inlineStr">
        <is>
          <t>Hit</t>
        </is>
      </c>
      <c r="AF37" s="68" t="n">
        <v>100</v>
      </c>
      <c r="AG37" s="68" t="inlineStr">
        <is>
          <t>Dodge</t>
        </is>
      </c>
      <c r="AH37" s="68" t="n">
        <v>100</v>
      </c>
      <c r="AI37" s="68" t="inlineStr">
        <is>
          <t>CriRatio</t>
        </is>
      </c>
      <c r="AJ37" s="68" t="n">
        <v>5000</v>
      </c>
      <c r="AK37" s="68" t="inlineStr">
        <is>
          <t>CriDmgRatio</t>
        </is>
      </c>
      <c r="AL37" s="68" t="n">
        <v>150000</v>
      </c>
      <c r="AM37" s="68" t="n">
        <v>1353141</v>
      </c>
      <c r="AN37" s="68" t="b">
        <v>1</v>
      </c>
      <c r="AO37" s="68" t="n">
        <v>2353141</v>
      </c>
      <c r="AP37" s="68" t="b">
        <v>1</v>
      </c>
      <c r="AQ37" s="68" t="n">
        <v>3353141</v>
      </c>
      <c r="AR37" s="68" t="b">
        <v>1</v>
      </c>
      <c r="AS37" s="68" t="n">
        <v>4353141</v>
      </c>
      <c r="AT37" s="68" t="b">
        <v>0</v>
      </c>
      <c r="AU37" s="68">
        <f>_xlfn.XLOOKUP(AM37,'[1]Skill&lt;Child&gt;'!$A:$A,'[1]Skill&lt;Child&gt;'!$A:$A)</f>
        <v/>
      </c>
      <c r="AV37" s="68">
        <f>_xlfn.XLOOKUP(AO37,'[1]Skill&lt;Child&gt;'!$A:$A,'[1]Skill&lt;Child&gt;'!$A:$A)</f>
        <v/>
      </c>
      <c r="AW37" s="68">
        <f>_xlfn.XLOOKUP(AQ37,'[1]Skill&lt;Child&gt;'!$A:$A,'[1]Skill&lt;Child&gt;'!$A:$A)</f>
        <v/>
      </c>
      <c r="AX37" s="68">
        <f>_xlfn.XLOOKUP(AS37,'[1]Skill&lt;Child&gt;'!$A:$A,'[1]Skill&lt;Child&gt;'!$A:$A)</f>
        <v/>
      </c>
    </row>
    <row r="38" ht="16.5" customFormat="1" customHeight="1" s="68">
      <c r="A38" s="68" t="n">
        <v>10000400</v>
      </c>
      <c r="B38" s="68" t="inlineStr">
        <is>
          <t>반시</t>
        </is>
      </c>
      <c r="C38" s="68" t="n">
        <v>140001</v>
      </c>
      <c r="D38" s="68">
        <f>"c"&amp;MID(C38,2,3)</f>
        <v/>
      </c>
      <c r="E38" s="68">
        <f>"character_name_"&amp;A38</f>
        <v/>
      </c>
      <c r="F38" s="68">
        <f>D38&amp;"_profile"</f>
        <v/>
      </c>
      <c r="G38" s="68" t="inlineStr">
        <is>
          <t>None</t>
        </is>
      </c>
      <c r="H38" s="68" t="inlineStr">
        <is>
          <t>Normal</t>
        </is>
      </c>
      <c r="I38" s="68" t="inlineStr">
        <is>
          <t>0.95,0.95,0.95</t>
        </is>
      </c>
      <c r="J38" s="68" t="b">
        <v>1</v>
      </c>
      <c r="K38" s="24" t="inlineStr">
        <is>
          <t>0,0,0</t>
        </is>
      </c>
      <c r="L38" s="68" t="n">
        <v>3</v>
      </c>
      <c r="M38" s="68" t="inlineStr">
        <is>
          <t>Dark</t>
        </is>
      </c>
      <c r="N38" s="68" t="inlineStr">
        <is>
          <t>Magician</t>
        </is>
      </c>
      <c r="O38" s="68">
        <f>100+L38</f>
        <v/>
      </c>
      <c r="P38" s="68">
        <f t="array" ref="P38">_xlfn.IFS($N38="Attacker",6,$N38="Healer",3,$N38="Magician",4,$N38="Defender",3,$N38="Supporter",4)</f>
        <v/>
      </c>
      <c r="Q38" s="68">
        <f t="array" ref="Q38">_xlfn.IFS($N38="Attacker",6,$N38="Healer",3,$N38="Magician",4,$N38="Defender",3,$N38="Supporter",4)</f>
        <v/>
      </c>
      <c r="R38" s="68" t="n">
        <v>1</v>
      </c>
      <c r="S38" s="68" t="n">
        <v>0</v>
      </c>
      <c r="T38" s="68" t="n">
        <v>0</v>
      </c>
      <c r="U38" s="68" t="inlineStr">
        <is>
          <t>Spd</t>
        </is>
      </c>
      <c r="V38" s="68">
        <f t="array" ref="V38">_xlfn.IFS(N38="Attacker",80,N38="Healer",90,N38="Magician",100,N38="Defender",110,N38="Supporter",120)</f>
        <v/>
      </c>
      <c r="W38" s="68" t="inlineStr">
        <is>
          <t>Hp</t>
        </is>
      </c>
      <c r="X38" s="68" t="n">
        <v>5100</v>
      </c>
      <c r="Y38" s="68" t="inlineStr">
        <is>
          <t>Atk</t>
        </is>
      </c>
      <c r="Z38" s="68" t="n">
        <v>420</v>
      </c>
      <c r="AA38" s="68" t="inlineStr">
        <is>
          <t>Def</t>
        </is>
      </c>
      <c r="AB38" s="68" t="n">
        <v>120</v>
      </c>
      <c r="AC38" s="68" t="inlineStr">
        <is>
          <t>Penetration</t>
        </is>
      </c>
      <c r="AD38" s="68" t="n">
        <v>156</v>
      </c>
      <c r="AE38" s="68" t="inlineStr">
        <is>
          <t>Hit</t>
        </is>
      </c>
      <c r="AF38" s="68" t="n">
        <v>100</v>
      </c>
      <c r="AG38" s="68" t="inlineStr">
        <is>
          <t>Dodge</t>
        </is>
      </c>
      <c r="AH38" s="68" t="n">
        <v>100</v>
      </c>
      <c r="AI38" s="68" t="inlineStr">
        <is>
          <t>CriRatio</t>
        </is>
      </c>
      <c r="AJ38" s="68" t="n">
        <v>5000</v>
      </c>
      <c r="AK38" s="68" t="inlineStr">
        <is>
          <t>CriDmgRatio</t>
        </is>
      </c>
      <c r="AL38" s="68" t="n">
        <v>150000</v>
      </c>
      <c r="AM38" s="68" t="n">
        <v>1551301</v>
      </c>
      <c r="AN38" s="68" t="b">
        <v>1</v>
      </c>
      <c r="AO38" s="68" t="n">
        <v>2551301</v>
      </c>
      <c r="AP38" s="68" t="b">
        <v>1</v>
      </c>
      <c r="AQ38" s="68" t="n">
        <v>3551301</v>
      </c>
      <c r="AR38" s="68" t="b">
        <v>1</v>
      </c>
      <c r="AS38" s="68" t="n">
        <v>4551301</v>
      </c>
      <c r="AT38" s="68" t="b">
        <v>0</v>
      </c>
    </row>
    <row r="39" ht="16.5" customFormat="1" customHeight="1" s="68">
      <c r="A39" s="68" t="n">
        <v>10000532</v>
      </c>
      <c r="B39" s="68" t="inlineStr">
        <is>
          <t>아누비스</t>
        </is>
      </c>
      <c r="C39" s="68" t="n">
        <v>153201</v>
      </c>
      <c r="D39" s="68">
        <f>"c"&amp;MID(C39,2,3)</f>
        <v/>
      </c>
      <c r="E39" s="68">
        <f>"character_name_"&amp;A39</f>
        <v/>
      </c>
      <c r="F39" s="68">
        <f>D39&amp;"_profile"</f>
        <v/>
      </c>
      <c r="G39" s="68" t="inlineStr">
        <is>
          <t>None</t>
        </is>
      </c>
      <c r="H39" s="68" t="inlineStr">
        <is>
          <t>Normal</t>
        </is>
      </c>
      <c r="I39" s="68" t="inlineStr">
        <is>
          <t>0.95,0.95,0.95</t>
        </is>
      </c>
      <c r="J39" s="68" t="b">
        <v>1</v>
      </c>
      <c r="K39" s="24" t="inlineStr">
        <is>
          <t>0,0,0</t>
        </is>
      </c>
      <c r="L39" s="68" t="n">
        <v>3</v>
      </c>
      <c r="M39" s="68" t="inlineStr">
        <is>
          <t>Dark</t>
        </is>
      </c>
      <c r="N39" s="68" t="inlineStr">
        <is>
          <t>Attacker</t>
        </is>
      </c>
      <c r="O39" s="68">
        <f>100+L39</f>
        <v/>
      </c>
      <c r="P39" s="68" t="n">
        <v>6</v>
      </c>
      <c r="Q39" s="68" t="n">
        <v>6</v>
      </c>
      <c r="R39" s="68" t="n">
        <v>1</v>
      </c>
      <c r="S39" s="68" t="n">
        <v>0</v>
      </c>
      <c r="T39" s="68" t="n">
        <v>0</v>
      </c>
      <c r="U39" s="68" t="inlineStr">
        <is>
          <t>Spd</t>
        </is>
      </c>
      <c r="V39" s="68">
        <f t="array" ref="V39">_xlfn.IFS(N39="Attacker",80,N39="Healer",90,N39="Magician",100,N39="Defender",110,N39="Supporter",120)</f>
        <v/>
      </c>
      <c r="W39" s="68" t="inlineStr">
        <is>
          <t>Hp</t>
        </is>
      </c>
      <c r="X39" s="68" t="n">
        <v>5100</v>
      </c>
      <c r="Y39" s="68" t="inlineStr">
        <is>
          <t>Atk</t>
        </is>
      </c>
      <c r="Z39" s="68" t="n">
        <v>420</v>
      </c>
      <c r="AA39" s="68" t="inlineStr">
        <is>
          <t>Def</t>
        </is>
      </c>
      <c r="AB39" s="68" t="n">
        <v>120</v>
      </c>
      <c r="AC39" s="68" t="inlineStr">
        <is>
          <t>Penetration</t>
        </is>
      </c>
      <c r="AD39" s="68" t="n">
        <v>120</v>
      </c>
      <c r="AE39" s="68" t="inlineStr">
        <is>
          <t>Hit</t>
        </is>
      </c>
      <c r="AF39" s="68" t="n">
        <v>100</v>
      </c>
      <c r="AG39" s="68" t="inlineStr">
        <is>
          <t>Dodge</t>
        </is>
      </c>
      <c r="AH39" s="68" t="n">
        <v>100</v>
      </c>
      <c r="AI39" s="68" t="inlineStr">
        <is>
          <t>CriRatio</t>
        </is>
      </c>
      <c r="AJ39" s="68" t="n">
        <v>5000</v>
      </c>
      <c r="AK39" s="68" t="inlineStr">
        <is>
          <t>CriDmgRatio</t>
        </is>
      </c>
      <c r="AL39" s="68" t="n">
        <v>150000</v>
      </c>
    </row>
    <row r="40" ht="16.5" customFormat="1" customHeight="1" s="68">
      <c r="A40" s="68" t="n">
        <v>10000448</v>
      </c>
      <c r="B40" s="68" t="inlineStr">
        <is>
          <t>미르칼라</t>
        </is>
      </c>
      <c r="C40" s="68" t="n">
        <v>144801</v>
      </c>
      <c r="D40" s="68">
        <f>"c"&amp;MID(C40,2,3)</f>
        <v/>
      </c>
      <c r="E40" s="68">
        <f>"character_name_"&amp;A40</f>
        <v/>
      </c>
      <c r="F40" s="68">
        <f>D40&amp;"_profile"</f>
        <v/>
      </c>
      <c r="G40" s="68" t="inlineStr">
        <is>
          <t>None</t>
        </is>
      </c>
      <c r="H40" s="68" t="inlineStr">
        <is>
          <t>Normal</t>
        </is>
      </c>
      <c r="I40" s="68" t="inlineStr">
        <is>
          <t>0.95,0.95,0.95</t>
        </is>
      </c>
      <c r="J40" s="68" t="b">
        <v>1</v>
      </c>
      <c r="K40" s="24" t="inlineStr">
        <is>
          <t>0,0,0</t>
        </is>
      </c>
      <c r="L40" s="68" t="n">
        <v>3</v>
      </c>
      <c r="M40" s="68" t="inlineStr">
        <is>
          <t>Dark</t>
        </is>
      </c>
      <c r="N40" s="68" t="inlineStr">
        <is>
          <t>Healer</t>
        </is>
      </c>
      <c r="O40" s="68">
        <f>100+L40</f>
        <v/>
      </c>
      <c r="P40" s="68" t="n">
        <v>4</v>
      </c>
      <c r="Q40" s="68" t="n">
        <v>4</v>
      </c>
      <c r="R40" s="68" t="n">
        <v>1</v>
      </c>
      <c r="S40" s="68" t="n">
        <v>0</v>
      </c>
      <c r="T40" s="68" t="n">
        <v>0</v>
      </c>
      <c r="U40" s="68" t="inlineStr">
        <is>
          <t>Spd</t>
        </is>
      </c>
      <c r="V40" s="68">
        <f t="array" ref="V40">_xlfn.IFS(N40="Attacker",80,N40="Healer",90,N40="Magician",100,N40="Defender",110,N40="Supporter",120)</f>
        <v/>
      </c>
      <c r="W40" s="68" t="inlineStr">
        <is>
          <t>Hp</t>
        </is>
      </c>
      <c r="X40" s="68" t="n">
        <v>4743</v>
      </c>
      <c r="Y40" s="68" t="inlineStr">
        <is>
          <t>Atk</t>
        </is>
      </c>
      <c r="Z40" s="68" t="n">
        <v>341</v>
      </c>
      <c r="AA40" s="68" t="inlineStr">
        <is>
          <t>Def</t>
        </is>
      </c>
      <c r="AB40" s="68" t="n">
        <v>108</v>
      </c>
      <c r="AC40" s="68" t="inlineStr">
        <is>
          <t>Penetration</t>
        </is>
      </c>
      <c r="AD40" s="68" t="n">
        <v>108</v>
      </c>
      <c r="AE40" s="68" t="inlineStr">
        <is>
          <t>Hit</t>
        </is>
      </c>
      <c r="AF40" s="68" t="n">
        <v>100</v>
      </c>
      <c r="AG40" s="68" t="inlineStr">
        <is>
          <t>Dodge</t>
        </is>
      </c>
      <c r="AH40" s="68" t="n">
        <v>100</v>
      </c>
      <c r="AI40" s="68" t="inlineStr">
        <is>
          <t>CriRatio</t>
        </is>
      </c>
      <c r="AJ40" s="68" t="n">
        <v>5000</v>
      </c>
      <c r="AK40" s="68" t="inlineStr">
        <is>
          <t>CriDmgRatio</t>
        </is>
      </c>
      <c r="AL40" s="68" t="n">
        <v>150000</v>
      </c>
    </row>
    <row r="41" ht="16.5" customFormat="1" customHeight="1" s="68">
      <c r="A41" s="68" t="n">
        <v>10000485</v>
      </c>
      <c r="B41" s="68" t="inlineStr">
        <is>
          <t>유나</t>
        </is>
      </c>
      <c r="C41" s="68" t="n">
        <v>148501</v>
      </c>
      <c r="D41" s="68">
        <f>"c"&amp;MID(C41,2,3)</f>
        <v/>
      </c>
      <c r="E41" s="68">
        <f>"character_name_"&amp;A41</f>
        <v/>
      </c>
      <c r="F41" s="68">
        <f>D41&amp;"_profile"</f>
        <v/>
      </c>
      <c r="G41" s="68" t="inlineStr">
        <is>
          <t>None</t>
        </is>
      </c>
      <c r="H41" s="68" t="inlineStr">
        <is>
          <t>Normal</t>
        </is>
      </c>
      <c r="I41" s="68" t="inlineStr">
        <is>
          <t>0.95,0.95,0.95</t>
        </is>
      </c>
      <c r="J41" s="68" t="b">
        <v>1</v>
      </c>
      <c r="K41" s="24" t="inlineStr">
        <is>
          <t>0,0,0</t>
        </is>
      </c>
      <c r="L41" s="68" t="n">
        <v>3</v>
      </c>
      <c r="M41" s="68" t="inlineStr">
        <is>
          <t>Dark</t>
        </is>
      </c>
      <c r="N41" s="68" t="inlineStr">
        <is>
          <t>Supporter</t>
        </is>
      </c>
      <c r="O41" s="68">
        <f>100+L41</f>
        <v/>
      </c>
      <c r="P41" s="68" t="n">
        <v>4</v>
      </c>
      <c r="Q41" s="68" t="n">
        <v>4</v>
      </c>
      <c r="R41" s="68" t="n">
        <v>1</v>
      </c>
      <c r="S41" s="68" t="n">
        <v>0</v>
      </c>
      <c r="T41" s="68" t="n">
        <v>0</v>
      </c>
      <c r="U41" s="68" t="inlineStr">
        <is>
          <t>Spd</t>
        </is>
      </c>
      <c r="V41" s="68">
        <f t="array" ref="V41">_xlfn.IFS(N41="Attacker",80,N41="Healer",90,N41="Magician",100,N41="Defender",110,N41="Supporter",120)</f>
        <v/>
      </c>
      <c r="W41" s="68" t="inlineStr">
        <is>
          <t>Hp</t>
        </is>
      </c>
      <c r="X41" s="68" t="n">
        <v>5909</v>
      </c>
      <c r="Y41" s="68" t="inlineStr">
        <is>
          <t>Atk</t>
        </is>
      </c>
      <c r="Z41" s="68" t="n">
        <v>198</v>
      </c>
      <c r="AA41" s="68" t="inlineStr">
        <is>
          <t>Def</t>
        </is>
      </c>
      <c r="AB41" s="68" t="n">
        <v>142</v>
      </c>
      <c r="AC41" s="68" t="inlineStr">
        <is>
          <t>Penetration</t>
        </is>
      </c>
      <c r="AD41" s="68" t="n">
        <v>142</v>
      </c>
      <c r="AE41" s="68" t="inlineStr">
        <is>
          <t>Hit</t>
        </is>
      </c>
      <c r="AF41" s="68" t="n">
        <v>100</v>
      </c>
      <c r="AG41" s="68" t="inlineStr">
        <is>
          <t>Dodge</t>
        </is>
      </c>
      <c r="AH41" s="68" t="n">
        <v>100</v>
      </c>
      <c r="AI41" s="68" t="inlineStr">
        <is>
          <t>CriRatio</t>
        </is>
      </c>
      <c r="AJ41" s="68" t="n">
        <v>5000</v>
      </c>
      <c r="AK41" s="68" t="inlineStr">
        <is>
          <t>CriDmgRatio</t>
        </is>
      </c>
      <c r="AL41" s="68" t="n">
        <v>150000</v>
      </c>
    </row>
    <row r="42" ht="16.5" customFormat="1" customHeight="1" s="68">
      <c r="A42" s="68" t="n">
        <v>10000417</v>
      </c>
      <c r="B42" s="68" t="inlineStr">
        <is>
          <t>구미호</t>
        </is>
      </c>
      <c r="C42" s="68" t="n">
        <v>141701</v>
      </c>
      <c r="D42" s="68">
        <f>"c"&amp;MID(C42,2,3)</f>
        <v/>
      </c>
      <c r="E42" s="68">
        <f>"character_name_"&amp;A42</f>
        <v/>
      </c>
      <c r="F42" s="68">
        <f>D42&amp;"_profile"</f>
        <v/>
      </c>
      <c r="G42" s="68" t="inlineStr">
        <is>
          <t>None</t>
        </is>
      </c>
      <c r="H42" s="68" t="inlineStr">
        <is>
          <t>Normal</t>
        </is>
      </c>
      <c r="I42" s="68" t="inlineStr">
        <is>
          <t>0.95,0.95,0.95</t>
        </is>
      </c>
      <c r="J42" s="68" t="b">
        <v>1</v>
      </c>
      <c r="K42" s="24" t="inlineStr">
        <is>
          <t>0,0,0</t>
        </is>
      </c>
      <c r="L42" s="68" t="n">
        <v>3</v>
      </c>
      <c r="M42" s="68" t="inlineStr">
        <is>
          <t>Fire</t>
        </is>
      </c>
      <c r="N42" s="68" t="inlineStr">
        <is>
          <t>Magician</t>
        </is>
      </c>
      <c r="O42" s="68">
        <f>100+L42</f>
        <v/>
      </c>
      <c r="P42" s="68" t="n">
        <v>4</v>
      </c>
      <c r="Q42" s="68" t="n">
        <v>4</v>
      </c>
      <c r="R42" s="68" t="n">
        <v>1</v>
      </c>
      <c r="S42" s="68" t="n">
        <v>0</v>
      </c>
      <c r="T42" s="68" t="n">
        <v>0</v>
      </c>
      <c r="U42" s="68" t="inlineStr">
        <is>
          <t>Spd</t>
        </is>
      </c>
      <c r="V42" s="68">
        <f t="array" ref="V42">_xlfn.IFS(N42="Attacker",80,N42="Healer",90,N42="Magician",100,N42="Defender",110,N42="Supporter",120)</f>
        <v/>
      </c>
      <c r="W42" s="68" t="inlineStr">
        <is>
          <t>Hp</t>
        </is>
      </c>
      <c r="X42" s="68" t="n">
        <v>4743</v>
      </c>
      <c r="Y42" s="68" t="inlineStr">
        <is>
          <t>Atk</t>
        </is>
      </c>
      <c r="Z42" s="68" t="n">
        <v>341</v>
      </c>
      <c r="AA42" s="68" t="inlineStr">
        <is>
          <t>Def</t>
        </is>
      </c>
      <c r="AB42" s="68" t="n">
        <v>108</v>
      </c>
      <c r="AC42" s="68" t="inlineStr">
        <is>
          <t>Penetration</t>
        </is>
      </c>
      <c r="AD42" s="68" t="n">
        <v>187</v>
      </c>
      <c r="AE42" s="68" t="inlineStr">
        <is>
          <t>Hit</t>
        </is>
      </c>
      <c r="AF42" s="68" t="n">
        <v>100</v>
      </c>
      <c r="AG42" s="68" t="inlineStr">
        <is>
          <t>Dodge</t>
        </is>
      </c>
      <c r="AH42" s="68" t="n">
        <v>100</v>
      </c>
      <c r="AI42" s="68" t="inlineStr">
        <is>
          <t>CriRatio</t>
        </is>
      </c>
      <c r="AJ42" s="68" t="n">
        <v>5000</v>
      </c>
      <c r="AK42" s="68" t="inlineStr">
        <is>
          <t>CriDmgRatio</t>
        </is>
      </c>
      <c r="AL42" s="68" t="n">
        <v>150000</v>
      </c>
      <c r="AM42" s="68" t="n">
        <v>1313121</v>
      </c>
      <c r="AN42" s="68" t="b">
        <v>1</v>
      </c>
      <c r="AO42" s="68" t="n">
        <v>2313121</v>
      </c>
      <c r="AP42" s="68" t="b">
        <v>1</v>
      </c>
      <c r="AQ42" s="68" t="n">
        <v>3313121</v>
      </c>
      <c r="AR42" s="68" t="b">
        <v>1</v>
      </c>
      <c r="AS42" s="68" t="n">
        <v>4313121</v>
      </c>
      <c r="AT42" s="68" t="b">
        <v>0</v>
      </c>
    </row>
    <row r="43" ht="16.5" customFormat="1" customHeight="1" s="68">
      <c r="A43" s="68" t="n">
        <v>10000501</v>
      </c>
      <c r="B43" s="68" t="inlineStr">
        <is>
          <t>라가라자</t>
        </is>
      </c>
      <c r="C43" s="68" t="n">
        <v>150101</v>
      </c>
      <c r="D43" s="68">
        <f>"c"&amp;MID(C43,2,3)</f>
        <v/>
      </c>
      <c r="E43" s="68">
        <f>"character_name_"&amp;A43</f>
        <v/>
      </c>
      <c r="F43" s="68">
        <f>D43&amp;"_profile"</f>
        <v/>
      </c>
      <c r="G43" s="68" t="inlineStr">
        <is>
          <t>None</t>
        </is>
      </c>
      <c r="H43" s="68" t="inlineStr">
        <is>
          <t>Normal</t>
        </is>
      </c>
      <c r="I43" s="68" t="inlineStr">
        <is>
          <t>0.95,0.95,0.95</t>
        </is>
      </c>
      <c r="J43" s="68" t="b">
        <v>1</v>
      </c>
      <c r="K43" s="24" t="inlineStr">
        <is>
          <t>0,0,0</t>
        </is>
      </c>
      <c r="L43" s="68" t="n">
        <v>3</v>
      </c>
      <c r="M43" s="68" t="inlineStr">
        <is>
          <t>Fire</t>
        </is>
      </c>
      <c r="N43" s="68" t="inlineStr">
        <is>
          <t>Attacker</t>
        </is>
      </c>
      <c r="O43" s="68">
        <f>100+L43</f>
        <v/>
      </c>
      <c r="P43" s="68">
        <f t="array" ref="P43">_xlfn.IFS($N43="Attacker",6,$N43="Healer",3,$N43="Magician",4,$N43="Defender",3,$N43="Supporter",4)</f>
        <v/>
      </c>
      <c r="Q43" s="68">
        <f t="array" ref="Q43">_xlfn.IFS($N43="Attacker",6,$N43="Healer",3,$N43="Magician",4,$N43="Defender",3,$N43="Supporter",4)</f>
        <v/>
      </c>
      <c r="R43" s="68" t="n">
        <v>1</v>
      </c>
      <c r="S43" s="68" t="n">
        <v>0</v>
      </c>
      <c r="T43" s="68" t="n">
        <v>0</v>
      </c>
      <c r="U43" s="68" t="inlineStr">
        <is>
          <t>Spd</t>
        </is>
      </c>
      <c r="V43" s="68">
        <f t="array" ref="V43">_xlfn.IFS(N43="Attacker",80,N43="Healer",90,N43="Magician",100,N43="Defender",110,N43="Supporter",120)</f>
        <v/>
      </c>
      <c r="W43" s="68" t="inlineStr">
        <is>
          <t>Hp</t>
        </is>
      </c>
      <c r="X43" s="68" t="n">
        <v>8650</v>
      </c>
      <c r="Y43" s="68" t="inlineStr">
        <is>
          <t>Atk</t>
        </is>
      </c>
      <c r="Z43" s="68" t="n">
        <v>252</v>
      </c>
      <c r="AA43" s="68" t="inlineStr">
        <is>
          <t>Def</t>
        </is>
      </c>
      <c r="AB43" s="68" t="n">
        <v>240</v>
      </c>
      <c r="AC43" s="68" t="inlineStr">
        <is>
          <t>Penetration</t>
        </is>
      </c>
      <c r="AD43" s="68" t="n">
        <v>234</v>
      </c>
      <c r="AE43" s="68" t="inlineStr">
        <is>
          <t>Hit</t>
        </is>
      </c>
      <c r="AF43" s="68" t="n">
        <v>100</v>
      </c>
      <c r="AG43" s="68" t="inlineStr">
        <is>
          <t>Dodge</t>
        </is>
      </c>
      <c r="AH43" s="68" t="n">
        <v>100</v>
      </c>
      <c r="AI43" s="68" t="inlineStr">
        <is>
          <t>CriRatio</t>
        </is>
      </c>
      <c r="AJ43" s="68" t="n">
        <v>5000</v>
      </c>
      <c r="AK43" s="68" t="inlineStr">
        <is>
          <t>CriDmgRatio</t>
        </is>
      </c>
      <c r="AL43" s="68" t="n">
        <v>150000</v>
      </c>
      <c r="AM43" s="68" t="n">
        <v>1311151</v>
      </c>
      <c r="AN43" s="68" t="b">
        <v>1</v>
      </c>
      <c r="AO43" s="68" t="n">
        <v>2311151</v>
      </c>
      <c r="AP43" s="68" t="b">
        <v>1</v>
      </c>
      <c r="AQ43" s="68" t="n">
        <v>3311151</v>
      </c>
      <c r="AR43" s="68" t="b">
        <v>1</v>
      </c>
      <c r="AS43" s="68" t="n">
        <v>4311151</v>
      </c>
      <c r="AT43" s="68" t="b">
        <v>0</v>
      </c>
    </row>
    <row r="44" ht="16.5" customFormat="1" customHeight="1" s="68">
      <c r="A44" s="68" t="n">
        <v>10000445</v>
      </c>
      <c r="B44" s="68" t="inlineStr">
        <is>
          <t>카라라트리</t>
        </is>
      </c>
      <c r="C44" s="68" t="n">
        <v>144501</v>
      </c>
      <c r="D44" s="68">
        <f>"c"&amp;MID(C44,2,3)</f>
        <v/>
      </c>
      <c r="E44" s="68">
        <f>"character_name_"&amp;A44</f>
        <v/>
      </c>
      <c r="F44" s="68">
        <f>D44&amp;"_profile"</f>
        <v/>
      </c>
      <c r="G44" s="68" t="inlineStr">
        <is>
          <t>None</t>
        </is>
      </c>
      <c r="H44" s="68" t="inlineStr">
        <is>
          <t>Normal</t>
        </is>
      </c>
      <c r="I44" s="68" t="inlineStr">
        <is>
          <t>0.95,0.95,0.95</t>
        </is>
      </c>
      <c r="J44" s="68" t="b">
        <v>1</v>
      </c>
      <c r="K44" s="24" t="inlineStr">
        <is>
          <t>0,0,0</t>
        </is>
      </c>
      <c r="L44" s="68" t="n">
        <v>3</v>
      </c>
      <c r="M44" s="68" t="inlineStr">
        <is>
          <t>Fire</t>
        </is>
      </c>
      <c r="N44" s="68" t="inlineStr">
        <is>
          <t>Attacker</t>
        </is>
      </c>
      <c r="O44" s="68">
        <f>100+L44</f>
        <v/>
      </c>
      <c r="P44" s="68" t="n">
        <v>4</v>
      </c>
      <c r="Q44" s="68" t="n">
        <v>4</v>
      </c>
      <c r="R44" s="68" t="n">
        <v>1</v>
      </c>
      <c r="S44" s="68" t="n">
        <v>0</v>
      </c>
      <c r="T44" s="68" t="n">
        <v>0</v>
      </c>
      <c r="U44" s="68" t="inlineStr">
        <is>
          <t>Spd</t>
        </is>
      </c>
      <c r="V44" s="68">
        <f t="array" ref="V44">_xlfn.IFS(N44="Attacker",80,N44="Healer",90,N44="Magician",100,N44="Defender",110,N44="Supporter",120)</f>
        <v/>
      </c>
      <c r="W44" s="68" t="inlineStr">
        <is>
          <t>Hp</t>
        </is>
      </c>
      <c r="X44" s="68" t="n">
        <v>4743</v>
      </c>
      <c r="Y44" s="68" t="inlineStr">
        <is>
          <t>Atk</t>
        </is>
      </c>
      <c r="Z44" s="68" t="n">
        <v>341</v>
      </c>
      <c r="AA44" s="68" t="inlineStr">
        <is>
          <t>Def</t>
        </is>
      </c>
      <c r="AB44" s="68" t="n">
        <v>108</v>
      </c>
      <c r="AC44" s="68" t="inlineStr">
        <is>
          <t>Penetration</t>
        </is>
      </c>
      <c r="AD44" s="68" t="n">
        <v>156</v>
      </c>
      <c r="AE44" s="68" t="inlineStr">
        <is>
          <t>Hit</t>
        </is>
      </c>
      <c r="AF44" s="68" t="n">
        <v>100</v>
      </c>
      <c r="AG44" s="68" t="inlineStr">
        <is>
          <t>Dodge</t>
        </is>
      </c>
      <c r="AH44" s="68" t="n">
        <v>100</v>
      </c>
      <c r="AI44" s="68" t="inlineStr">
        <is>
          <t>CriRatio</t>
        </is>
      </c>
      <c r="AJ44" s="68" t="n">
        <v>5000</v>
      </c>
      <c r="AK44" s="68" t="inlineStr">
        <is>
          <t>CriDmgRatio</t>
        </is>
      </c>
      <c r="AL44" s="68" t="n">
        <v>150000</v>
      </c>
      <c r="AM44" s="68" t="n">
        <v>1513271</v>
      </c>
      <c r="AN44" s="68" t="b">
        <v>1</v>
      </c>
      <c r="AO44" s="68" t="n">
        <v>2513271</v>
      </c>
      <c r="AP44" s="68" t="b">
        <v>1</v>
      </c>
      <c r="AQ44" s="68" t="n">
        <v>3513271</v>
      </c>
      <c r="AR44" s="68" t="b">
        <v>1</v>
      </c>
      <c r="AS44" s="68" t="n">
        <v>4513271</v>
      </c>
      <c r="AT44" s="68" t="b">
        <v>0</v>
      </c>
    </row>
    <row r="45" ht="16.5" customFormat="1" customHeight="1" s="68">
      <c r="A45" s="68" t="n">
        <v>10000283</v>
      </c>
      <c r="B45" s="68" t="inlineStr">
        <is>
          <t>모건</t>
        </is>
      </c>
      <c r="C45" s="68" t="n">
        <v>128301</v>
      </c>
      <c r="D45" s="68">
        <f>"c"&amp;MID(C45,2,3)</f>
        <v/>
      </c>
      <c r="E45" s="68">
        <f>"character_name_"&amp;A45</f>
        <v/>
      </c>
      <c r="F45" s="68">
        <f>D45&amp;"_profile"</f>
        <v/>
      </c>
      <c r="G45" s="68" t="inlineStr">
        <is>
          <t>None</t>
        </is>
      </c>
      <c r="H45" s="68" t="inlineStr">
        <is>
          <t>Normal</t>
        </is>
      </c>
      <c r="I45" s="68" t="inlineStr">
        <is>
          <t>0.95,0.95,0.95</t>
        </is>
      </c>
      <c r="J45" s="68" t="b">
        <v>1</v>
      </c>
      <c r="K45" s="24" t="inlineStr">
        <is>
          <t>0,0,0</t>
        </is>
      </c>
      <c r="L45" s="68" t="n">
        <v>3</v>
      </c>
      <c r="M45" s="68" t="inlineStr">
        <is>
          <t>Fire</t>
        </is>
      </c>
      <c r="N45" s="68" t="inlineStr">
        <is>
          <t>Magician</t>
        </is>
      </c>
      <c r="O45" s="68">
        <f>100+L45</f>
        <v/>
      </c>
      <c r="P45" s="68" t="n">
        <v>3</v>
      </c>
      <c r="Q45" s="68" t="n">
        <v>3</v>
      </c>
      <c r="R45" s="68" t="n">
        <v>1</v>
      </c>
      <c r="S45" s="68" t="n">
        <v>0</v>
      </c>
      <c r="T45" s="68" t="n">
        <v>0</v>
      </c>
      <c r="U45" s="68" t="inlineStr">
        <is>
          <t>Spd</t>
        </is>
      </c>
      <c r="V45" s="68">
        <f t="array" ref="V45">_xlfn.IFS(N45="Attacker",80,N45="Healer",90,N45="Magician",100,N45="Defender",110,N45="Supporter",120)</f>
        <v/>
      </c>
      <c r="W45" s="68" t="inlineStr">
        <is>
          <t>Hp</t>
        </is>
      </c>
      <c r="X45" s="68" t="n">
        <v>8650</v>
      </c>
      <c r="Y45" s="68" t="inlineStr">
        <is>
          <t>Atk</t>
        </is>
      </c>
      <c r="Z45" s="68" t="n">
        <v>252</v>
      </c>
      <c r="AA45" s="68" t="inlineStr">
        <is>
          <t>Def</t>
        </is>
      </c>
      <c r="AB45" s="68" t="n">
        <v>240</v>
      </c>
      <c r="AC45" s="68" t="inlineStr">
        <is>
          <t>Penetration</t>
        </is>
      </c>
      <c r="AD45" s="68" t="n">
        <v>156</v>
      </c>
      <c r="AE45" s="68" t="inlineStr">
        <is>
          <t>Hit</t>
        </is>
      </c>
      <c r="AF45" s="68" t="n">
        <v>100</v>
      </c>
      <c r="AG45" s="68" t="inlineStr">
        <is>
          <t>Dodge</t>
        </is>
      </c>
      <c r="AH45" s="68" t="n">
        <v>100</v>
      </c>
      <c r="AI45" s="68" t="inlineStr">
        <is>
          <t>CriRatio</t>
        </is>
      </c>
      <c r="AJ45" s="68" t="n">
        <v>5000</v>
      </c>
      <c r="AK45" s="68" t="inlineStr">
        <is>
          <t>CriDmgRatio</t>
        </is>
      </c>
      <c r="AL45" s="68" t="n">
        <v>150000</v>
      </c>
      <c r="AM45" s="68" t="n">
        <v>1511291</v>
      </c>
      <c r="AN45" s="68" t="b">
        <v>1</v>
      </c>
      <c r="AO45" s="68" t="n">
        <v>2511291</v>
      </c>
      <c r="AP45" s="68" t="b">
        <v>1</v>
      </c>
      <c r="AQ45" s="68" t="n">
        <v>3511291</v>
      </c>
      <c r="AR45" s="68" t="b">
        <v>1</v>
      </c>
      <c r="AS45" s="68" t="n">
        <v>4511291</v>
      </c>
      <c r="AT45" s="68" t="b">
        <v>0</v>
      </c>
    </row>
    <row r="46" ht="16.5" customFormat="1" customHeight="1" s="68">
      <c r="A46" s="68" t="n">
        <v>10000462</v>
      </c>
      <c r="B46" s="68" t="inlineStr">
        <is>
          <t>데레사</t>
        </is>
      </c>
      <c r="C46" s="68" t="n">
        <v>146201</v>
      </c>
      <c r="D46" s="68">
        <f>"c"&amp;MID(C46,2,3)</f>
        <v/>
      </c>
      <c r="E46" s="68">
        <f>"character_name_"&amp;A46</f>
        <v/>
      </c>
      <c r="F46" s="68">
        <f>D46&amp;"_profile"</f>
        <v/>
      </c>
      <c r="G46" s="68" t="inlineStr">
        <is>
          <t>None</t>
        </is>
      </c>
      <c r="H46" s="68" t="inlineStr">
        <is>
          <t>Normal</t>
        </is>
      </c>
      <c r="I46" s="68" t="inlineStr">
        <is>
          <t>0.95,0.95,0.95</t>
        </is>
      </c>
      <c r="J46" s="68" t="b">
        <v>1</v>
      </c>
      <c r="K46" s="24" t="inlineStr">
        <is>
          <t>0,0,0</t>
        </is>
      </c>
      <c r="L46" s="68" t="n">
        <v>3</v>
      </c>
      <c r="M46" s="68" t="inlineStr">
        <is>
          <t>Fire</t>
        </is>
      </c>
      <c r="N46" s="68" t="inlineStr">
        <is>
          <t>Defender</t>
        </is>
      </c>
      <c r="O46" s="68">
        <f>100+L46</f>
        <v/>
      </c>
      <c r="P46" s="68">
        <f t="array" ref="P46">_xlfn.IFS($N46="Attacker",6,$N46="Healer",3,$N46="Magician",4,$N46="Defender",3,$N46="Supporter",4)</f>
        <v/>
      </c>
      <c r="Q46" s="68">
        <f t="array" ref="Q46">_xlfn.IFS($N46="Attacker",6,$N46="Healer",3,$N46="Magician",4,$N46="Defender",3,$N46="Supporter",4)</f>
        <v/>
      </c>
      <c r="R46" s="68" t="n">
        <v>1</v>
      </c>
      <c r="S46" s="68" t="n">
        <v>0</v>
      </c>
      <c r="T46" s="68" t="n">
        <v>0</v>
      </c>
      <c r="U46" s="68" t="inlineStr">
        <is>
          <t>Spd</t>
        </is>
      </c>
      <c r="V46" s="68">
        <f t="array" ref="V46">_xlfn.IFS(N46="Attacker",80,N46="Healer",90,N46="Magician",100,N46="Defender",110,N46="Supporter",120)</f>
        <v/>
      </c>
      <c r="W46" s="68" t="inlineStr">
        <is>
          <t>Hp</t>
        </is>
      </c>
      <c r="X46" s="68" t="n">
        <v>8650</v>
      </c>
      <c r="Y46" s="68" t="inlineStr">
        <is>
          <t>Atk</t>
        </is>
      </c>
      <c r="Z46" s="68" t="n">
        <v>252</v>
      </c>
      <c r="AA46" s="68" t="inlineStr">
        <is>
          <t>Def</t>
        </is>
      </c>
      <c r="AB46" s="68" t="n">
        <v>240</v>
      </c>
      <c r="AC46" s="68" t="inlineStr">
        <is>
          <t>Penetration</t>
        </is>
      </c>
      <c r="AD46" s="68" t="n">
        <v>156</v>
      </c>
      <c r="AE46" s="68" t="inlineStr">
        <is>
          <t>Hit</t>
        </is>
      </c>
      <c r="AF46" s="68" t="n">
        <v>100</v>
      </c>
      <c r="AG46" s="68" t="inlineStr">
        <is>
          <t>Dodge</t>
        </is>
      </c>
      <c r="AH46" s="68" t="n">
        <v>100</v>
      </c>
      <c r="AI46" s="68" t="inlineStr">
        <is>
          <t>CriRatio</t>
        </is>
      </c>
      <c r="AJ46" s="68" t="n">
        <v>5000</v>
      </c>
      <c r="AK46" s="68" t="inlineStr">
        <is>
          <t>CriDmgRatio</t>
        </is>
      </c>
      <c r="AL46" s="68" t="n">
        <v>150000</v>
      </c>
      <c r="AM46" s="68" t="n">
        <v>1512321</v>
      </c>
      <c r="AN46" s="68" t="b">
        <v>1</v>
      </c>
      <c r="AO46" s="68" t="n">
        <v>2512321</v>
      </c>
      <c r="AP46" s="68" t="b">
        <v>1</v>
      </c>
      <c r="AQ46" s="68" t="n">
        <v>3512321</v>
      </c>
      <c r="AR46" s="68" t="b">
        <v>1</v>
      </c>
      <c r="AS46" s="68" t="n">
        <v>4512321</v>
      </c>
      <c r="AT46" s="68" t="b">
        <v>0</v>
      </c>
    </row>
    <row r="47" ht="16.5" customFormat="1" customHeight="1" s="68">
      <c r="A47" s="68" t="n">
        <v>10000429</v>
      </c>
      <c r="B47" s="68" t="inlineStr">
        <is>
          <t>지바</t>
        </is>
      </c>
      <c r="C47" s="68" t="n">
        <v>142901</v>
      </c>
      <c r="D47" s="68">
        <f>"c"&amp;MID(C47,2,3)</f>
        <v/>
      </c>
      <c r="E47" s="68">
        <f>"character_name_"&amp;A47</f>
        <v/>
      </c>
      <c r="F47" s="68">
        <f>D47&amp;"_profile"</f>
        <v/>
      </c>
      <c r="G47" s="68" t="inlineStr">
        <is>
          <t>None</t>
        </is>
      </c>
      <c r="H47" s="68" t="inlineStr">
        <is>
          <t>Normal</t>
        </is>
      </c>
      <c r="I47" s="68" t="inlineStr">
        <is>
          <t>0.95,0.95,0.95</t>
        </is>
      </c>
      <c r="J47" s="68" t="b">
        <v>1</v>
      </c>
      <c r="K47" s="24" t="inlineStr">
        <is>
          <t>0,0,0</t>
        </is>
      </c>
      <c r="L47" s="68" t="n">
        <v>3</v>
      </c>
      <c r="M47" s="68" t="inlineStr">
        <is>
          <t>Fire</t>
        </is>
      </c>
      <c r="N47" s="68" t="inlineStr">
        <is>
          <t>Healer</t>
        </is>
      </c>
      <c r="O47" s="68">
        <f>100+L47</f>
        <v/>
      </c>
      <c r="P47" s="68" t="n">
        <v>3</v>
      </c>
      <c r="Q47" s="68" t="n">
        <v>3</v>
      </c>
      <c r="R47" s="68" t="n">
        <v>1</v>
      </c>
      <c r="S47" s="68" t="n">
        <v>0</v>
      </c>
      <c r="T47" s="68" t="n">
        <v>0</v>
      </c>
      <c r="U47" s="68" t="inlineStr">
        <is>
          <t>Spd</t>
        </is>
      </c>
      <c r="V47" s="68">
        <f t="array" ref="V47">_xlfn.IFS(N47="Attacker",80,N47="Healer",90,N47="Magician",100,N47="Defender",110,N47="Supporter",120)</f>
        <v/>
      </c>
      <c r="W47" s="68" t="inlineStr">
        <is>
          <t>Hp</t>
        </is>
      </c>
      <c r="X47" s="68" t="n">
        <v>6475</v>
      </c>
      <c r="Y47" s="68" t="inlineStr">
        <is>
          <t>Atk</t>
        </is>
      </c>
      <c r="Z47" s="68" t="n">
        <v>168</v>
      </c>
      <c r="AA47" s="68" t="inlineStr">
        <is>
          <t>Def</t>
        </is>
      </c>
      <c r="AB47" s="68" t="n">
        <v>151</v>
      </c>
      <c r="AC47" s="68" t="inlineStr">
        <is>
          <t>Penetration</t>
        </is>
      </c>
      <c r="AD47" s="68" t="n">
        <v>151</v>
      </c>
      <c r="AE47" s="68" t="inlineStr">
        <is>
          <t>Hit</t>
        </is>
      </c>
      <c r="AF47" s="68" t="n">
        <v>100</v>
      </c>
      <c r="AG47" s="68" t="inlineStr">
        <is>
          <t>Dodge</t>
        </is>
      </c>
      <c r="AH47" s="68" t="n">
        <v>100</v>
      </c>
      <c r="AI47" s="68" t="inlineStr">
        <is>
          <t>CriRatio</t>
        </is>
      </c>
      <c r="AJ47" s="68" t="n">
        <v>5000</v>
      </c>
      <c r="AK47" s="68" t="inlineStr">
        <is>
          <t>CriDmgRatio</t>
        </is>
      </c>
      <c r="AL47" s="68" t="n">
        <v>150000</v>
      </c>
    </row>
    <row r="48" ht="16.5" customFormat="1" customHeight="1" s="68">
      <c r="A48" s="68" t="n">
        <v>10000562</v>
      </c>
      <c r="B48" s="68" t="inlineStr">
        <is>
          <t>살마키스</t>
        </is>
      </c>
      <c r="C48" s="68" t="n">
        <v>156201</v>
      </c>
      <c r="D48" s="68">
        <f>"c"&amp;MID(C48,2,3)</f>
        <v/>
      </c>
      <c r="E48" s="68">
        <f>"character_name_"&amp;A48</f>
        <v/>
      </c>
      <c r="F48" s="68">
        <f>D48&amp;"_profile"</f>
        <v/>
      </c>
      <c r="G48" s="68" t="inlineStr">
        <is>
          <t>None</t>
        </is>
      </c>
      <c r="H48" s="68" t="inlineStr">
        <is>
          <t>Normal</t>
        </is>
      </c>
      <c r="I48" s="68" t="inlineStr">
        <is>
          <t>0.95,0.95,0.95</t>
        </is>
      </c>
      <c r="J48" s="68" t="b">
        <v>1</v>
      </c>
      <c r="K48" s="24" t="inlineStr">
        <is>
          <t>0,0,0</t>
        </is>
      </c>
      <c r="L48" s="68" t="n">
        <v>3</v>
      </c>
      <c r="M48" s="68" t="inlineStr">
        <is>
          <t>Fire</t>
        </is>
      </c>
      <c r="N48" s="68" t="inlineStr">
        <is>
          <t>Supporter</t>
        </is>
      </c>
      <c r="O48" s="68">
        <f>100+L48</f>
        <v/>
      </c>
      <c r="P48" s="68" t="n">
        <v>4</v>
      </c>
      <c r="Q48" s="68" t="n">
        <v>4</v>
      </c>
      <c r="R48" s="68" t="n">
        <v>1</v>
      </c>
      <c r="S48" s="68" t="n">
        <v>0</v>
      </c>
      <c r="T48" s="68" t="n">
        <v>0</v>
      </c>
      <c r="U48" s="68" t="inlineStr">
        <is>
          <t>Spd</t>
        </is>
      </c>
      <c r="V48" s="68">
        <f t="array" ref="V48">_xlfn.IFS(N48="Attacker",80,N48="Healer",90,N48="Magician",100,N48="Defender",110,N48="Supporter",120)</f>
        <v/>
      </c>
      <c r="W48" s="68" t="inlineStr">
        <is>
          <t>Hp</t>
        </is>
      </c>
      <c r="X48" s="68" t="n">
        <v>5909</v>
      </c>
      <c r="Y48" s="68" t="inlineStr">
        <is>
          <t>Atk</t>
        </is>
      </c>
      <c r="Z48" s="68" t="n">
        <v>198</v>
      </c>
      <c r="AA48" s="68" t="inlineStr">
        <is>
          <t>Def</t>
        </is>
      </c>
      <c r="AB48" s="68" t="n">
        <v>142</v>
      </c>
      <c r="AC48" s="68" t="inlineStr">
        <is>
          <t>Penetration</t>
        </is>
      </c>
      <c r="AD48" s="68" t="n">
        <v>142</v>
      </c>
      <c r="AE48" s="68" t="inlineStr">
        <is>
          <t>Hit</t>
        </is>
      </c>
      <c r="AF48" s="68" t="n">
        <v>100</v>
      </c>
      <c r="AG48" s="68" t="inlineStr">
        <is>
          <t>Dodge</t>
        </is>
      </c>
      <c r="AH48" s="68" t="n">
        <v>100</v>
      </c>
      <c r="AI48" s="68" t="inlineStr">
        <is>
          <t>CriRatio</t>
        </is>
      </c>
      <c r="AJ48" s="68" t="n">
        <v>5000</v>
      </c>
      <c r="AK48" s="68" t="inlineStr">
        <is>
          <t>CriDmgRatio</t>
        </is>
      </c>
      <c r="AL48" s="68" t="n">
        <v>150000</v>
      </c>
    </row>
    <row r="49" ht="16.5" customFormat="1" customHeight="1" s="68">
      <c r="A49" s="68" t="n">
        <v>10000229</v>
      </c>
      <c r="B49" s="68" t="inlineStr">
        <is>
          <t>브라우니</t>
        </is>
      </c>
      <c r="C49" s="68" t="n">
        <v>122901</v>
      </c>
      <c r="D49" s="68">
        <f>"c"&amp;MID(C49,2,3)</f>
        <v/>
      </c>
      <c r="E49" s="68">
        <f>"character_name_"&amp;A49</f>
        <v/>
      </c>
      <c r="F49" s="68">
        <f>D49&amp;"_profile"</f>
        <v/>
      </c>
      <c r="G49" s="68" t="inlineStr">
        <is>
          <t>None</t>
        </is>
      </c>
      <c r="H49" s="68" t="inlineStr">
        <is>
          <t>Normal</t>
        </is>
      </c>
      <c r="I49" s="68" t="inlineStr">
        <is>
          <t>0.95,0.95,0.95</t>
        </is>
      </c>
      <c r="J49" s="68" t="b">
        <v>1</v>
      </c>
      <c r="K49" s="24" t="inlineStr">
        <is>
          <t>0,0,0</t>
        </is>
      </c>
      <c r="L49" s="68" t="n">
        <v>3</v>
      </c>
      <c r="M49" s="68" t="inlineStr">
        <is>
          <t>Forest</t>
        </is>
      </c>
      <c r="N49" s="68" t="inlineStr">
        <is>
          <t>Healer</t>
        </is>
      </c>
      <c r="O49" s="68">
        <f>100+L49</f>
        <v/>
      </c>
      <c r="P49" s="68" t="n">
        <v>4</v>
      </c>
      <c r="Q49" s="68" t="n">
        <v>4</v>
      </c>
      <c r="R49" s="68" t="n">
        <v>1</v>
      </c>
      <c r="S49" s="68" t="n">
        <v>0</v>
      </c>
      <c r="T49" s="68" t="n">
        <v>0</v>
      </c>
      <c r="U49" s="68" t="inlineStr">
        <is>
          <t>Spd</t>
        </is>
      </c>
      <c r="V49" s="68">
        <f t="array" ref="V49">_xlfn.IFS(N49="Attacker",80,N49="Healer",90,N49="Magician",100,N49="Defender",110,N49="Supporter",120)</f>
        <v/>
      </c>
      <c r="W49" s="68" t="inlineStr">
        <is>
          <t>Hp</t>
        </is>
      </c>
      <c r="X49" s="68" t="n">
        <v>5909</v>
      </c>
      <c r="Y49" s="68" t="inlineStr">
        <is>
          <t>Atk</t>
        </is>
      </c>
      <c r="Z49" s="68" t="n">
        <v>198</v>
      </c>
      <c r="AA49" s="68" t="inlineStr">
        <is>
          <t>Def</t>
        </is>
      </c>
      <c r="AB49" s="68" t="n">
        <v>142</v>
      </c>
      <c r="AC49" s="68" t="inlineStr">
        <is>
          <t>Penetration</t>
        </is>
      </c>
      <c r="AD49" s="68" t="n">
        <v>156</v>
      </c>
      <c r="AE49" s="68" t="inlineStr">
        <is>
          <t>Hit</t>
        </is>
      </c>
      <c r="AF49" s="68" t="n">
        <v>100</v>
      </c>
      <c r="AG49" s="68" t="inlineStr">
        <is>
          <t>Dodge</t>
        </is>
      </c>
      <c r="AH49" s="68" t="n">
        <v>100</v>
      </c>
      <c r="AI49" s="68" t="inlineStr">
        <is>
          <t>CriRatio</t>
        </is>
      </c>
      <c r="AJ49" s="68" t="n">
        <v>5000</v>
      </c>
      <c r="AK49" s="68" t="inlineStr">
        <is>
          <t>CriDmgRatio</t>
        </is>
      </c>
      <c r="AL49" s="68" t="n">
        <v>150000</v>
      </c>
      <c r="AM49" s="68" t="n">
        <v>1534061</v>
      </c>
      <c r="AN49" s="68" t="b">
        <v>1</v>
      </c>
      <c r="AO49" s="68" t="n">
        <v>2534061</v>
      </c>
      <c r="AP49" s="68" t="b">
        <v>0</v>
      </c>
      <c r="AQ49" s="68" t="n">
        <v>3534061</v>
      </c>
      <c r="AR49" s="68" t="b">
        <v>1</v>
      </c>
      <c r="AS49" s="68" t="n">
        <v>4534061</v>
      </c>
      <c r="AT49" s="68" t="b">
        <v>0</v>
      </c>
    </row>
    <row r="50" ht="16.5" customFormat="1" customHeight="1" s="68">
      <c r="A50" s="68" t="n">
        <v>10000525</v>
      </c>
      <c r="B50" s="68" t="inlineStr">
        <is>
          <t>그릴라</t>
        </is>
      </c>
      <c r="C50" s="68" t="n">
        <v>152501</v>
      </c>
      <c r="D50" s="68">
        <f>"c"&amp;MID(C50,2,3)</f>
        <v/>
      </c>
      <c r="E50" s="68">
        <f>"character_name_"&amp;A50</f>
        <v/>
      </c>
      <c r="F50" s="68">
        <f>D50&amp;"_profile"</f>
        <v/>
      </c>
      <c r="G50" s="68" t="inlineStr">
        <is>
          <t>None</t>
        </is>
      </c>
      <c r="H50" s="68" t="inlineStr">
        <is>
          <t>Normal</t>
        </is>
      </c>
      <c r="I50" s="68" t="inlineStr">
        <is>
          <t>0.95,0.95,0.95</t>
        </is>
      </c>
      <c r="J50" s="68" t="b">
        <v>1</v>
      </c>
      <c r="K50" s="24" t="inlineStr">
        <is>
          <t>0,0,0</t>
        </is>
      </c>
      <c r="L50" s="68" t="n">
        <v>3</v>
      </c>
      <c r="M50" s="68" t="inlineStr">
        <is>
          <t>Forest</t>
        </is>
      </c>
      <c r="N50" s="68" t="inlineStr">
        <is>
          <t>Supporter</t>
        </is>
      </c>
      <c r="O50" s="68">
        <f>100+L50</f>
        <v/>
      </c>
      <c r="P50" s="68" t="n">
        <v>4</v>
      </c>
      <c r="Q50" s="68" t="n">
        <v>4</v>
      </c>
      <c r="R50" s="68" t="n">
        <v>1</v>
      </c>
      <c r="S50" s="68" t="n">
        <v>0</v>
      </c>
      <c r="T50" s="68" t="n">
        <v>0</v>
      </c>
      <c r="U50" s="68" t="inlineStr">
        <is>
          <t>Spd</t>
        </is>
      </c>
      <c r="V50" s="68">
        <f t="array" ref="V50">_xlfn.IFS(N50="Attacker",80,N50="Healer",90,N50="Magician",100,N50="Defender",110,N50="Supporter",120)</f>
        <v/>
      </c>
      <c r="W50" s="68" t="inlineStr">
        <is>
          <t>Hp</t>
        </is>
      </c>
      <c r="X50" s="68" t="n">
        <v>5909</v>
      </c>
      <c r="Y50" s="68" t="inlineStr">
        <is>
          <t>Atk</t>
        </is>
      </c>
      <c r="Z50" s="68" t="n">
        <v>198</v>
      </c>
      <c r="AA50" s="68" t="inlineStr">
        <is>
          <t>Def</t>
        </is>
      </c>
      <c r="AB50" s="68" t="n">
        <v>142</v>
      </c>
      <c r="AC50" s="68" t="inlineStr">
        <is>
          <t>Penetration</t>
        </is>
      </c>
      <c r="AD50" s="68" t="n">
        <v>156</v>
      </c>
      <c r="AE50" s="68" t="inlineStr">
        <is>
          <t>Hit</t>
        </is>
      </c>
      <c r="AF50" s="68" t="n">
        <v>100</v>
      </c>
      <c r="AG50" s="68" t="inlineStr">
        <is>
          <t>Dodge</t>
        </is>
      </c>
      <c r="AH50" s="68" t="n">
        <v>100</v>
      </c>
      <c r="AI50" s="68" t="inlineStr">
        <is>
          <t>CriRatio</t>
        </is>
      </c>
      <c r="AJ50" s="68" t="n">
        <v>5000</v>
      </c>
      <c r="AK50" s="68" t="inlineStr">
        <is>
          <t>CriDmgRatio</t>
        </is>
      </c>
      <c r="AL50" s="68" t="n">
        <v>150000</v>
      </c>
      <c r="AM50" s="68" t="n">
        <v>1334211</v>
      </c>
      <c r="AN50" s="68" t="b">
        <v>1</v>
      </c>
      <c r="AO50" s="68" t="n">
        <v>2334211</v>
      </c>
      <c r="AP50" s="68" t="b">
        <v>1</v>
      </c>
      <c r="AQ50" s="68" t="n">
        <v>3334211</v>
      </c>
      <c r="AR50" s="68" t="b">
        <v>1</v>
      </c>
      <c r="AS50" s="68" t="n">
        <v>4334211</v>
      </c>
      <c r="AT50" s="68" t="b">
        <v>0</v>
      </c>
    </row>
    <row r="51" ht="16.5" customFormat="1" customHeight="1" s="68">
      <c r="A51" s="68" t="n">
        <v>10000336</v>
      </c>
      <c r="B51" s="68" t="inlineStr">
        <is>
          <t>판</t>
        </is>
      </c>
      <c r="C51" s="68" t="n">
        <v>133601</v>
      </c>
      <c r="D51" s="68">
        <f>"c"&amp;MID(C51,2,3)</f>
        <v/>
      </c>
      <c r="E51" s="68">
        <f>"character_name_"&amp;A51</f>
        <v/>
      </c>
      <c r="F51" s="68">
        <f>D51&amp;"_profile"</f>
        <v/>
      </c>
      <c r="G51" s="68" t="inlineStr">
        <is>
          <t>None</t>
        </is>
      </c>
      <c r="H51" s="68" t="inlineStr">
        <is>
          <t>Normal</t>
        </is>
      </c>
      <c r="I51" s="68" t="inlineStr">
        <is>
          <t>0.95,0.95,0.95</t>
        </is>
      </c>
      <c r="J51" s="68" t="b">
        <v>1</v>
      </c>
      <c r="K51" s="24" t="inlineStr">
        <is>
          <t>0,0,0</t>
        </is>
      </c>
      <c r="L51" s="68" t="n">
        <v>3</v>
      </c>
      <c r="M51" s="68" t="inlineStr">
        <is>
          <t>Forest</t>
        </is>
      </c>
      <c r="N51" s="68" t="inlineStr">
        <is>
          <t>Magician</t>
        </is>
      </c>
      <c r="O51" s="68">
        <f>100+L51</f>
        <v/>
      </c>
      <c r="P51" s="68" t="n">
        <v>4</v>
      </c>
      <c r="Q51" s="68" t="n">
        <v>4</v>
      </c>
      <c r="R51" s="68" t="n">
        <v>1</v>
      </c>
      <c r="S51" s="68" t="n">
        <v>0</v>
      </c>
      <c r="T51" s="68" t="n">
        <v>0</v>
      </c>
      <c r="U51" s="68" t="inlineStr">
        <is>
          <t>Spd</t>
        </is>
      </c>
      <c r="V51" s="68">
        <f t="array" ref="V51">_xlfn.IFS(N51="Attacker",80,N51="Healer",90,N51="Magician",100,N51="Defender",110,N51="Supporter",120)</f>
        <v/>
      </c>
      <c r="W51" s="68" t="inlineStr">
        <is>
          <t>Hp</t>
        </is>
      </c>
      <c r="X51" s="68" t="n">
        <v>4743</v>
      </c>
      <c r="Y51" s="68" t="inlineStr">
        <is>
          <t>Atk</t>
        </is>
      </c>
      <c r="Z51" s="68" t="n">
        <v>341</v>
      </c>
      <c r="AA51" s="68" t="inlineStr">
        <is>
          <t>Def</t>
        </is>
      </c>
      <c r="AB51" s="68" t="n">
        <v>108</v>
      </c>
      <c r="AC51" s="68" t="inlineStr">
        <is>
          <t>Penetration</t>
        </is>
      </c>
      <c r="AD51" s="68" t="n">
        <v>156</v>
      </c>
      <c r="AE51" s="68" t="inlineStr">
        <is>
          <t>Hit</t>
        </is>
      </c>
      <c r="AF51" s="68" t="n">
        <v>100</v>
      </c>
      <c r="AG51" s="68" t="inlineStr">
        <is>
          <t>Dodge</t>
        </is>
      </c>
      <c r="AH51" s="68" t="n">
        <v>100</v>
      </c>
      <c r="AI51" s="68" t="inlineStr">
        <is>
          <t>CriRatio</t>
        </is>
      </c>
      <c r="AJ51" s="68" t="n">
        <v>5000</v>
      </c>
      <c r="AK51" s="68" t="inlineStr">
        <is>
          <t>CriDmgRatio</t>
        </is>
      </c>
      <c r="AL51" s="68" t="n">
        <v>150000</v>
      </c>
      <c r="AM51" s="68" t="n">
        <v>1535261</v>
      </c>
      <c r="AN51" s="68" t="b">
        <v>1</v>
      </c>
      <c r="AO51" s="68" t="n">
        <v>2535261</v>
      </c>
      <c r="AP51" s="68" t="b">
        <v>1</v>
      </c>
      <c r="AQ51" s="68" t="n">
        <v>3535261</v>
      </c>
      <c r="AR51" s="68" t="b">
        <v>1</v>
      </c>
      <c r="AS51" s="68" t="n">
        <v>4535261</v>
      </c>
      <c r="AT51" s="68" t="b">
        <v>0</v>
      </c>
    </row>
    <row r="52" ht="16.5" customFormat="1" customHeight="1" s="68">
      <c r="A52" s="68" t="n">
        <v>10000461</v>
      </c>
      <c r="B52" s="68" t="inlineStr">
        <is>
          <t>아우로라</t>
        </is>
      </c>
      <c r="C52" s="68" t="n">
        <v>146101</v>
      </c>
      <c r="D52" s="68">
        <f>"c"&amp;MID(C52,2,3)</f>
        <v/>
      </c>
      <c r="E52" s="68">
        <f>"character_name_"&amp;A52</f>
        <v/>
      </c>
      <c r="F52" s="68">
        <f>D52&amp;"_profile"</f>
        <v/>
      </c>
      <c r="G52" s="68" t="inlineStr">
        <is>
          <t>None</t>
        </is>
      </c>
      <c r="H52" s="68" t="inlineStr">
        <is>
          <t>Normal</t>
        </is>
      </c>
      <c r="I52" s="68" t="inlineStr">
        <is>
          <t>0.95,0.95,0.95</t>
        </is>
      </c>
      <c r="J52" s="68" t="b">
        <v>1</v>
      </c>
      <c r="K52" s="24" t="inlineStr">
        <is>
          <t>0,0,0</t>
        </is>
      </c>
      <c r="L52" s="68" t="n">
        <v>3</v>
      </c>
      <c r="M52" s="68" t="inlineStr">
        <is>
          <t>Forest</t>
        </is>
      </c>
      <c r="N52" s="68" t="inlineStr">
        <is>
          <t>Supporter</t>
        </is>
      </c>
      <c r="O52" s="68">
        <f>100+L52</f>
        <v/>
      </c>
      <c r="P52" s="68">
        <f t="array" ref="P52">_xlfn.IFS($N52="Attacker",6,$N52="Healer",3,$N52="Magician",4,$N52="Defender",3,$N52="Supporter",4)</f>
        <v/>
      </c>
      <c r="Q52" s="68">
        <f t="array" ref="Q52">_xlfn.IFS($N52="Attacker",6,$N52="Healer",3,$N52="Magician",4,$N52="Defender",3,$N52="Supporter",4)</f>
        <v/>
      </c>
      <c r="R52" s="68" t="n">
        <v>1</v>
      </c>
      <c r="S52" s="68" t="n">
        <v>0</v>
      </c>
      <c r="T52" s="68" t="n">
        <v>0</v>
      </c>
      <c r="U52" s="68" t="inlineStr">
        <is>
          <t>Spd</t>
        </is>
      </c>
      <c r="V52" s="68">
        <f t="array" ref="V52">_xlfn.IFS(N52="Attacker",80,N52="Healer",90,N52="Magician",100,N52="Defender",110,N52="Supporter",120)</f>
        <v/>
      </c>
      <c r="W52" s="68" t="inlineStr">
        <is>
          <t>Hp</t>
        </is>
      </c>
      <c r="X52" s="68" t="n">
        <v>5909</v>
      </c>
      <c r="Y52" s="68" t="inlineStr">
        <is>
          <t>Atk</t>
        </is>
      </c>
      <c r="Z52" s="68" t="n">
        <v>198</v>
      </c>
      <c r="AA52" s="68" t="inlineStr">
        <is>
          <t>Def</t>
        </is>
      </c>
      <c r="AB52" s="68" t="n">
        <v>142</v>
      </c>
      <c r="AC52" s="68" t="inlineStr">
        <is>
          <t>Penetration</t>
        </is>
      </c>
      <c r="AD52" s="68" t="n">
        <v>156</v>
      </c>
      <c r="AE52" s="68" t="inlineStr">
        <is>
          <t>Hit</t>
        </is>
      </c>
      <c r="AF52" s="68" t="n">
        <v>100</v>
      </c>
      <c r="AG52" s="68" t="inlineStr">
        <is>
          <t>Dodge</t>
        </is>
      </c>
      <c r="AH52" s="68" t="n">
        <v>100</v>
      </c>
      <c r="AI52" s="68" t="inlineStr">
        <is>
          <t>CriRatio</t>
        </is>
      </c>
      <c r="AJ52" s="68" t="n">
        <v>5000</v>
      </c>
      <c r="AK52" s="68" t="inlineStr">
        <is>
          <t>CriDmgRatio</t>
        </is>
      </c>
      <c r="AL52" s="68" t="n">
        <v>150000</v>
      </c>
      <c r="AM52" s="68" t="n">
        <v>1534281</v>
      </c>
      <c r="AN52" s="68" t="b">
        <v>1</v>
      </c>
      <c r="AO52" s="68" t="n">
        <v>2534281</v>
      </c>
      <c r="AP52" s="68" t="b">
        <v>1</v>
      </c>
      <c r="AQ52" s="68" t="n">
        <v>3534281</v>
      </c>
      <c r="AR52" s="68" t="b">
        <v>1</v>
      </c>
      <c r="AS52" s="68" t="n">
        <v>4534281</v>
      </c>
      <c r="AT52" s="68" t="b">
        <v>0</v>
      </c>
    </row>
    <row r="53" ht="16.5" customHeight="1" s="66">
      <c r="A53" s="68" t="n">
        <v>10000447</v>
      </c>
      <c r="B53" s="68" t="inlineStr">
        <is>
          <t>미리암</t>
        </is>
      </c>
      <c r="C53" s="68" t="n">
        <v>144701</v>
      </c>
      <c r="D53" s="68">
        <f>"c"&amp;MID(C53,2,3)</f>
        <v/>
      </c>
      <c r="E53" s="68">
        <f>"character_name_"&amp;A53</f>
        <v/>
      </c>
      <c r="F53" s="68">
        <f>D53&amp;"_profile"</f>
        <v/>
      </c>
      <c r="G53" s="68" t="inlineStr">
        <is>
          <t>None</t>
        </is>
      </c>
      <c r="H53" s="68" t="inlineStr">
        <is>
          <t>Normal</t>
        </is>
      </c>
      <c r="I53" s="68" t="inlineStr">
        <is>
          <t>0.95,0.95,0.95</t>
        </is>
      </c>
      <c r="J53" s="68" t="b">
        <v>1</v>
      </c>
      <c r="K53" s="24" t="inlineStr">
        <is>
          <t>0,0,0</t>
        </is>
      </c>
      <c r="L53" s="68" t="n">
        <v>3</v>
      </c>
      <c r="M53" s="68" t="inlineStr">
        <is>
          <t>Forest</t>
        </is>
      </c>
      <c r="N53" s="68" t="inlineStr">
        <is>
          <t>Attacker</t>
        </is>
      </c>
      <c r="O53" s="68">
        <f>100+L53</f>
        <v/>
      </c>
      <c r="P53" s="68">
        <f t="array" ref="P53">_xlfn.IFS($N53="Attacker",6,$N53="Healer",3,$N53="Magician",4,$N53="Defender",3,$N53="Supporter",4)</f>
        <v/>
      </c>
      <c r="Q53" s="68">
        <f t="array" ref="Q53">_xlfn.IFS($N53="Attacker",6,$N53="Healer",3,$N53="Magician",4,$N53="Defender",3,$N53="Supporter",4)</f>
        <v/>
      </c>
      <c r="R53" s="68" t="n">
        <v>1</v>
      </c>
      <c r="S53" s="68" t="n">
        <v>0</v>
      </c>
      <c r="T53" s="68" t="n">
        <v>0</v>
      </c>
      <c r="U53" s="68" t="inlineStr">
        <is>
          <t>Spd</t>
        </is>
      </c>
      <c r="V53" s="68">
        <f t="array" ref="V53">_xlfn.IFS(N53="Attacker",80,N53="Healer",90,N53="Magician",100,N53="Defender",110,N53="Supporter",120)</f>
        <v/>
      </c>
      <c r="W53" s="68" t="inlineStr">
        <is>
          <t>Hp</t>
        </is>
      </c>
      <c r="X53" s="68" t="n">
        <v>8650</v>
      </c>
      <c r="Y53" s="68" t="inlineStr">
        <is>
          <t>Atk</t>
        </is>
      </c>
      <c r="Z53" s="68" t="n">
        <v>252</v>
      </c>
      <c r="AA53" s="68" t="inlineStr">
        <is>
          <t>Def</t>
        </is>
      </c>
      <c r="AB53" s="68" t="n">
        <v>240</v>
      </c>
      <c r="AC53" s="68" t="inlineStr">
        <is>
          <t>Penetration</t>
        </is>
      </c>
      <c r="AD53" s="68" t="n">
        <v>156</v>
      </c>
      <c r="AE53" s="68" t="inlineStr">
        <is>
          <t>Hit</t>
        </is>
      </c>
      <c r="AF53" s="68" t="n">
        <v>100</v>
      </c>
      <c r="AG53" s="68" t="inlineStr">
        <is>
          <t>Dodge</t>
        </is>
      </c>
      <c r="AH53" s="68" t="n">
        <v>100</v>
      </c>
      <c r="AI53" s="68" t="inlineStr">
        <is>
          <t>CriRatio</t>
        </is>
      </c>
      <c r="AJ53" s="68" t="n">
        <v>5000</v>
      </c>
      <c r="AK53" s="68" t="inlineStr">
        <is>
          <t>CriDmgRatio</t>
        </is>
      </c>
      <c r="AL53" s="68" t="n">
        <v>150000</v>
      </c>
      <c r="AM53" s="68" t="n">
        <v>1531311</v>
      </c>
      <c r="AN53" s="68" t="b">
        <v>1</v>
      </c>
      <c r="AO53" s="68" t="n">
        <v>2531311</v>
      </c>
      <c r="AP53" s="68" t="b">
        <v>1</v>
      </c>
      <c r="AQ53" s="68" t="n">
        <v>3531311</v>
      </c>
      <c r="AR53" s="68" t="b">
        <v>1</v>
      </c>
      <c r="AS53" s="68" t="n">
        <v>4531311</v>
      </c>
      <c r="AT53" s="68" t="b">
        <v>0</v>
      </c>
      <c r="AU53" s="68" t="n"/>
      <c r="AV53" s="68" t="n"/>
      <c r="AW53" s="68" t="n"/>
      <c r="AX53" s="68" t="n"/>
    </row>
    <row r="54" ht="16.5" customHeight="1" s="66">
      <c r="A54" s="68" t="n">
        <v>10000601</v>
      </c>
      <c r="B54" s="68" t="inlineStr">
        <is>
          <t>에레보스</t>
        </is>
      </c>
      <c r="C54" s="68" t="n">
        <v>160101</v>
      </c>
      <c r="D54" s="68">
        <f>"c"&amp;MID(C54,2,3)</f>
        <v/>
      </c>
      <c r="E54" s="68">
        <f>"character_name_"&amp;A54</f>
        <v/>
      </c>
      <c r="F54" s="68">
        <f>D54&amp;"_profile"</f>
        <v/>
      </c>
      <c r="G54" s="68" t="inlineStr">
        <is>
          <t>None</t>
        </is>
      </c>
      <c r="H54" s="68" t="inlineStr">
        <is>
          <t>Normal</t>
        </is>
      </c>
      <c r="I54" s="68" t="inlineStr">
        <is>
          <t>0.95,0.95,0.95</t>
        </is>
      </c>
      <c r="J54" s="68" t="b">
        <v>1</v>
      </c>
      <c r="K54" s="24" t="inlineStr">
        <is>
          <t>0,0,0</t>
        </is>
      </c>
      <c r="L54" s="68" t="n">
        <v>3</v>
      </c>
      <c r="M54" s="68" t="inlineStr">
        <is>
          <t>Forest</t>
        </is>
      </c>
      <c r="N54" s="68" t="inlineStr">
        <is>
          <t>Magician</t>
        </is>
      </c>
      <c r="O54" s="68">
        <f>100+L54</f>
        <v/>
      </c>
      <c r="P54" s="68">
        <f t="array" ref="P54">_xlfn.IFS($N54="Attacker",6,$N54="Healer",3,$N54="Magician",4,$N54="Defender",3,$N54="Supporter",4)</f>
        <v/>
      </c>
      <c r="Q54" s="68">
        <f t="array" ref="Q54">_xlfn.IFS($N54="Attacker",6,$N54="Healer",3,$N54="Magician",4,$N54="Defender",3,$N54="Supporter",4)</f>
        <v/>
      </c>
      <c r="R54" s="68" t="n">
        <v>1</v>
      </c>
      <c r="S54" s="68" t="n">
        <v>0</v>
      </c>
      <c r="T54" s="68" t="n">
        <v>0</v>
      </c>
      <c r="U54" s="68" t="inlineStr">
        <is>
          <t>Spd</t>
        </is>
      </c>
      <c r="V54" s="68">
        <f t="array" ref="V54">_xlfn.IFS(N54="Attacker",80,N54="Healer",90,N54="Magician",100,N54="Defender",110,N54="Supporter",120)</f>
        <v/>
      </c>
      <c r="W54" s="68" t="inlineStr">
        <is>
          <t>Hp</t>
        </is>
      </c>
      <c r="X54" s="68" t="n">
        <v>5100</v>
      </c>
      <c r="Y54" s="68" t="inlineStr">
        <is>
          <t>Atk</t>
        </is>
      </c>
      <c r="Z54" s="68" t="n">
        <v>420</v>
      </c>
      <c r="AA54" s="68" t="inlineStr">
        <is>
          <t>Def</t>
        </is>
      </c>
      <c r="AB54" s="68" t="n">
        <v>120</v>
      </c>
      <c r="AC54" s="68" t="inlineStr">
        <is>
          <t>Penetration</t>
        </is>
      </c>
      <c r="AD54" s="68" t="n">
        <v>120</v>
      </c>
      <c r="AE54" s="68" t="inlineStr">
        <is>
          <t>Hit</t>
        </is>
      </c>
      <c r="AF54" s="68" t="n">
        <v>100</v>
      </c>
      <c r="AG54" s="68" t="inlineStr">
        <is>
          <t>Dodge</t>
        </is>
      </c>
      <c r="AH54" s="68" t="n">
        <v>100</v>
      </c>
      <c r="AI54" s="68" t="inlineStr">
        <is>
          <t>CriRatio</t>
        </is>
      </c>
      <c r="AJ54" s="68" t="n">
        <v>5000</v>
      </c>
      <c r="AK54" s="68" t="inlineStr">
        <is>
          <t>CriDmgRatio</t>
        </is>
      </c>
      <c r="AL54" s="68" t="n">
        <v>150000</v>
      </c>
      <c r="AM54" s="68" t="n"/>
      <c r="AN54" s="68" t="n"/>
      <c r="AO54" s="68" t="n"/>
      <c r="AP54" s="68" t="n"/>
      <c r="AQ54" s="68" t="n"/>
      <c r="AR54" s="68" t="n"/>
      <c r="AS54" s="68" t="n"/>
      <c r="AT54" s="68" t="n"/>
      <c r="AU54" s="68" t="n"/>
      <c r="AV54" s="68" t="n"/>
      <c r="AW54" s="68" t="n"/>
      <c r="AX54" s="68" t="n"/>
    </row>
    <row r="55" ht="16.5" customHeight="1" s="66">
      <c r="A55" s="68" t="n">
        <v>10000549</v>
      </c>
      <c r="B55" s="68" t="inlineStr">
        <is>
          <t>다누</t>
        </is>
      </c>
      <c r="C55" s="68" t="n">
        <v>154901</v>
      </c>
      <c r="D55" s="68">
        <f>"c"&amp;MID(C55,2,3)</f>
        <v/>
      </c>
      <c r="E55" s="68">
        <f>"character_name_"&amp;A55</f>
        <v/>
      </c>
      <c r="F55" s="68">
        <f>D55&amp;"_profile"</f>
        <v/>
      </c>
      <c r="G55" s="68" t="inlineStr">
        <is>
          <t>None</t>
        </is>
      </c>
      <c r="H55" s="68" t="inlineStr">
        <is>
          <t>Normal</t>
        </is>
      </c>
      <c r="I55" s="68" t="inlineStr">
        <is>
          <t>0.95,0.95,0.95</t>
        </is>
      </c>
      <c r="J55" s="68" t="b">
        <v>1</v>
      </c>
      <c r="K55" s="24" t="inlineStr">
        <is>
          <t>0,0,0</t>
        </is>
      </c>
      <c r="L55" s="68" t="n">
        <v>3</v>
      </c>
      <c r="M55" s="68" t="inlineStr">
        <is>
          <t>Forest</t>
        </is>
      </c>
      <c r="N55" s="68" t="inlineStr">
        <is>
          <t>Attacker</t>
        </is>
      </c>
      <c r="O55" s="68">
        <f>100+L55</f>
        <v/>
      </c>
      <c r="P55" s="68">
        <f t="array" ref="P55">_xlfn.IFS($N55="Attacker",6,$N55="Healer",3,$N55="Magician",4,$N55="Defender",3,$N55="Supporter",4)</f>
        <v/>
      </c>
      <c r="Q55" s="68">
        <f t="array" ref="Q55">_xlfn.IFS($N55="Attacker",6,$N55="Healer",3,$N55="Magician",4,$N55="Defender",3,$N55="Supporter",4)</f>
        <v/>
      </c>
      <c r="R55" s="68" t="n">
        <v>1</v>
      </c>
      <c r="S55" s="68" t="n">
        <v>0</v>
      </c>
      <c r="T55" s="68" t="n">
        <v>0</v>
      </c>
      <c r="U55" s="68" t="inlineStr">
        <is>
          <t>Spd</t>
        </is>
      </c>
      <c r="V55" s="68">
        <f t="array" ref="V55">_xlfn.IFS(N55="Attacker",80,N55="Healer",90,N55="Magician",100,N55="Defender",110,N55="Supporter",120)</f>
        <v/>
      </c>
      <c r="W55" s="68" t="inlineStr">
        <is>
          <t>Hp</t>
        </is>
      </c>
      <c r="X55" s="68" t="n">
        <v>6475</v>
      </c>
      <c r="Y55" s="68" t="inlineStr">
        <is>
          <t>Atk</t>
        </is>
      </c>
      <c r="Z55" s="68" t="n">
        <v>168</v>
      </c>
      <c r="AA55" s="68" t="inlineStr">
        <is>
          <t>Def</t>
        </is>
      </c>
      <c r="AB55" s="68" t="n">
        <v>151</v>
      </c>
      <c r="AC55" s="68" t="inlineStr">
        <is>
          <t>Penetration</t>
        </is>
      </c>
      <c r="AD55" s="68" t="n">
        <v>151</v>
      </c>
      <c r="AE55" s="68" t="inlineStr">
        <is>
          <t>Hit</t>
        </is>
      </c>
      <c r="AF55" s="68" t="n">
        <v>100</v>
      </c>
      <c r="AG55" s="68" t="inlineStr">
        <is>
          <t>Dodge</t>
        </is>
      </c>
      <c r="AH55" s="68" t="n">
        <v>100</v>
      </c>
      <c r="AI55" s="68" t="inlineStr">
        <is>
          <t>CriRatio</t>
        </is>
      </c>
      <c r="AJ55" s="68" t="n">
        <v>5000</v>
      </c>
      <c r="AK55" s="68" t="inlineStr">
        <is>
          <t>CriDmgRatio</t>
        </is>
      </c>
      <c r="AL55" s="68" t="n">
        <v>150000</v>
      </c>
      <c r="AM55" s="68" t="n"/>
      <c r="AN55" s="68" t="n"/>
      <c r="AO55" s="68" t="n"/>
      <c r="AP55" s="68" t="n"/>
      <c r="AQ55" s="68" t="n"/>
      <c r="AR55" s="68" t="n"/>
      <c r="AS55" s="68" t="n"/>
      <c r="AT55" s="68" t="n"/>
      <c r="AU55" s="68" t="n"/>
      <c r="AV55" s="68" t="n"/>
      <c r="AW55" s="68" t="n"/>
      <c r="AX55" s="68" t="n"/>
    </row>
    <row r="56" ht="16.5" customHeight="1" s="66">
      <c r="A56" s="68" t="n">
        <v>10000468</v>
      </c>
      <c r="B56" s="68" t="inlineStr">
        <is>
          <t>메티스</t>
        </is>
      </c>
      <c r="C56" s="68" t="n">
        <v>146801</v>
      </c>
      <c r="D56" s="68">
        <f>"c"&amp;MID(C56,2,3)</f>
        <v/>
      </c>
      <c r="E56" s="68">
        <f>"character_name_"&amp;A56</f>
        <v/>
      </c>
      <c r="F56" s="68">
        <f>D56&amp;"_profile"</f>
        <v/>
      </c>
      <c r="G56" s="68" t="inlineStr">
        <is>
          <t>None</t>
        </is>
      </c>
      <c r="H56" s="68" t="inlineStr">
        <is>
          <t>Normal</t>
        </is>
      </c>
      <c r="I56" s="68" t="inlineStr">
        <is>
          <t>0.95,0.95,0.95</t>
        </is>
      </c>
      <c r="J56" s="68" t="b">
        <v>1</v>
      </c>
      <c r="K56" s="24" t="inlineStr">
        <is>
          <t>0,0,0</t>
        </is>
      </c>
      <c r="L56" s="68" t="n">
        <v>3</v>
      </c>
      <c r="M56" s="68" t="inlineStr">
        <is>
          <t>Forest</t>
        </is>
      </c>
      <c r="N56" s="68" t="inlineStr">
        <is>
          <t>Defender</t>
        </is>
      </c>
      <c r="O56" s="68">
        <f>100+L56</f>
        <v/>
      </c>
      <c r="P56" s="68">
        <f t="array" ref="P56">_xlfn.IFS($N56="Attacker",6,$N56="Healer",3,$N56="Magician",4,$N56="Defender",3,$N56="Supporter",4)</f>
        <v/>
      </c>
      <c r="Q56" s="68">
        <f t="array" ref="Q56">_xlfn.IFS($N56="Attacker",6,$N56="Healer",3,$N56="Magician",4,$N56="Defender",3,$N56="Supporter",4)</f>
        <v/>
      </c>
      <c r="R56" s="68" t="n">
        <v>1</v>
      </c>
      <c r="S56" s="68" t="n">
        <v>0</v>
      </c>
      <c r="T56" s="68" t="n">
        <v>0</v>
      </c>
      <c r="U56" s="68" t="inlineStr">
        <is>
          <t>Spd</t>
        </is>
      </c>
      <c r="V56" s="68">
        <f t="array" ref="V56">_xlfn.IFS(N56="Attacker",80,N56="Healer",90,N56="Magician",100,N56="Defender",110,N56="Supporter",120)</f>
        <v/>
      </c>
      <c r="W56" s="68" t="inlineStr">
        <is>
          <t>Hp</t>
        </is>
      </c>
      <c r="X56" s="68" t="n">
        <v>5909</v>
      </c>
      <c r="Y56" s="68" t="inlineStr">
        <is>
          <t>Atk</t>
        </is>
      </c>
      <c r="Z56" s="68" t="n">
        <v>198</v>
      </c>
      <c r="AA56" s="68" t="inlineStr">
        <is>
          <t>Def</t>
        </is>
      </c>
      <c r="AB56" s="68" t="n">
        <v>142</v>
      </c>
      <c r="AC56" s="68" t="inlineStr">
        <is>
          <t>Penetration</t>
        </is>
      </c>
      <c r="AD56" s="68" t="n">
        <v>142</v>
      </c>
      <c r="AE56" s="68" t="inlineStr">
        <is>
          <t>Hit</t>
        </is>
      </c>
      <c r="AF56" s="68" t="n">
        <v>100</v>
      </c>
      <c r="AG56" s="68" t="inlineStr">
        <is>
          <t>Dodge</t>
        </is>
      </c>
      <c r="AH56" s="68" t="n">
        <v>100</v>
      </c>
      <c r="AI56" s="68" t="inlineStr">
        <is>
          <t>CriRatio</t>
        </is>
      </c>
      <c r="AJ56" s="68" t="n">
        <v>5000</v>
      </c>
      <c r="AK56" s="68" t="inlineStr">
        <is>
          <t>CriDmgRatio</t>
        </is>
      </c>
      <c r="AL56" s="68" t="n">
        <v>150000</v>
      </c>
      <c r="AM56" s="68" t="n"/>
      <c r="AN56" s="68" t="n"/>
      <c r="AO56" s="68" t="n"/>
      <c r="AP56" s="68" t="n"/>
      <c r="AQ56" s="68" t="n"/>
      <c r="AR56" s="68" t="n"/>
      <c r="AS56" s="68" t="n"/>
      <c r="AT56" s="68" t="n"/>
      <c r="AU56" s="68" t="n"/>
      <c r="AV56" s="68" t="n"/>
      <c r="AW56" s="68" t="n"/>
      <c r="AX56" s="68" t="n"/>
    </row>
    <row r="57" ht="16.5" customHeight="1" s="66">
      <c r="A57" s="68" t="n">
        <v>10000194</v>
      </c>
      <c r="B57" s="68" t="inlineStr">
        <is>
          <t>아슈토레스</t>
        </is>
      </c>
      <c r="C57" s="68" t="n">
        <v>119401</v>
      </c>
      <c r="D57" s="68">
        <f>"c"&amp;MID(C57,2,3)</f>
        <v/>
      </c>
      <c r="E57" s="68">
        <f>"character_name_"&amp;A57</f>
        <v/>
      </c>
      <c r="F57" s="68">
        <f>D57&amp;"_profile"</f>
        <v/>
      </c>
      <c r="G57" s="68" t="inlineStr">
        <is>
          <t>None</t>
        </is>
      </c>
      <c r="H57" s="68" t="inlineStr">
        <is>
          <t>Normal</t>
        </is>
      </c>
      <c r="I57" s="68" t="inlineStr">
        <is>
          <t>0.95,0.95,0.95</t>
        </is>
      </c>
      <c r="J57" s="68" t="b">
        <v>1</v>
      </c>
      <c r="K57" s="24" t="inlineStr">
        <is>
          <t>0,0,0</t>
        </is>
      </c>
      <c r="L57" s="68" t="n">
        <v>3</v>
      </c>
      <c r="M57" s="68" t="inlineStr">
        <is>
          <t>Light</t>
        </is>
      </c>
      <c r="N57" s="68" t="inlineStr">
        <is>
          <t>Attacker</t>
        </is>
      </c>
      <c r="O57" s="68">
        <f>100+L57</f>
        <v/>
      </c>
      <c r="P57" s="68">
        <f t="array" ref="P57">_xlfn.IFS($N57="Attacker",6,$N57="Healer",3,$N57="Magician",4,$N57="Defender",3,$N57="Supporter",4)</f>
        <v/>
      </c>
      <c r="Q57" s="68">
        <f t="array" ref="Q57">_xlfn.IFS($N57="Attacker",6,$N57="Healer",3,$N57="Magician",4,$N57="Defender",3,$N57="Supporter",4)</f>
        <v/>
      </c>
      <c r="R57" s="68" t="n">
        <v>1</v>
      </c>
      <c r="S57" s="68" t="n">
        <v>0</v>
      </c>
      <c r="T57" s="68" t="n">
        <v>0</v>
      </c>
      <c r="U57" s="68" t="inlineStr">
        <is>
          <t>Spd</t>
        </is>
      </c>
      <c r="V57" s="68">
        <f t="array" ref="V57">_xlfn.IFS(N57="Attacker",80,N57="Healer",90,N57="Magician",100,N57="Defender",110,N57="Supporter",120)</f>
        <v/>
      </c>
      <c r="W57" s="68" t="inlineStr">
        <is>
          <t>Hp</t>
        </is>
      </c>
      <c r="X57" s="68" t="n">
        <v>5100</v>
      </c>
      <c r="Y57" s="68" t="inlineStr">
        <is>
          <t>Atk</t>
        </is>
      </c>
      <c r="Z57" s="68" t="n">
        <v>420</v>
      </c>
      <c r="AA57" s="68" t="inlineStr">
        <is>
          <t>Def</t>
        </is>
      </c>
      <c r="AB57" s="68" t="n">
        <v>120</v>
      </c>
      <c r="AC57" s="68" t="inlineStr">
        <is>
          <t>Penetration</t>
        </is>
      </c>
      <c r="AD57" s="68" t="n">
        <v>130</v>
      </c>
      <c r="AE57" s="68" t="inlineStr">
        <is>
          <t>Hit</t>
        </is>
      </c>
      <c r="AF57" s="68" t="n">
        <v>100</v>
      </c>
      <c r="AG57" s="68" t="inlineStr">
        <is>
          <t>Dodge</t>
        </is>
      </c>
      <c r="AH57" s="68" t="n">
        <v>100</v>
      </c>
      <c r="AI57" s="68" t="inlineStr">
        <is>
          <t>CriRatio</t>
        </is>
      </c>
      <c r="AJ57" s="68" t="n">
        <v>5000</v>
      </c>
      <c r="AK57" s="68" t="inlineStr">
        <is>
          <t>CriDmgRatio</t>
        </is>
      </c>
      <c r="AL57" s="68" t="n">
        <v>150000</v>
      </c>
      <c r="AM57" s="68" t="n">
        <v>1341231</v>
      </c>
      <c r="AN57" s="68" t="b">
        <v>1</v>
      </c>
      <c r="AO57" s="68" t="n">
        <v>2341231</v>
      </c>
      <c r="AP57" s="68" t="b">
        <v>0</v>
      </c>
      <c r="AQ57" s="68" t="n">
        <v>3341231</v>
      </c>
      <c r="AR57" s="68" t="b">
        <v>1</v>
      </c>
      <c r="AS57" s="68" t="n">
        <v>4341231</v>
      </c>
      <c r="AT57" s="68" t="b">
        <v>0</v>
      </c>
      <c r="AU57" s="68" t="n"/>
      <c r="AV57" s="68" t="n"/>
      <c r="AW57" s="68" t="n"/>
      <c r="AX57" s="68" t="n"/>
    </row>
    <row r="58" ht="16.5" customHeight="1" s="66">
      <c r="A58" s="68" t="n">
        <v>10000364</v>
      </c>
      <c r="B58" s="68" t="inlineStr">
        <is>
          <t>시트리</t>
        </is>
      </c>
      <c r="C58" s="68" t="n">
        <v>136401</v>
      </c>
      <c r="D58" s="68">
        <f>"c"&amp;MID(C58,2,3)</f>
        <v/>
      </c>
      <c r="E58" s="68">
        <f>"character_name_"&amp;A58</f>
        <v/>
      </c>
      <c r="F58" s="68">
        <f>D58&amp;"_profile"</f>
        <v/>
      </c>
      <c r="G58" s="68" t="inlineStr">
        <is>
          <t>None</t>
        </is>
      </c>
      <c r="H58" s="68" t="inlineStr">
        <is>
          <t>Normal</t>
        </is>
      </c>
      <c r="I58" s="68" t="inlineStr">
        <is>
          <t>0.95,0.95,0.95</t>
        </is>
      </c>
      <c r="J58" s="68" t="b">
        <v>1</v>
      </c>
      <c r="K58" s="24" t="inlineStr">
        <is>
          <t>0,0,0</t>
        </is>
      </c>
      <c r="L58" s="68" t="n">
        <v>3</v>
      </c>
      <c r="M58" s="68" t="inlineStr">
        <is>
          <t>Light</t>
        </is>
      </c>
      <c r="N58" s="68" t="inlineStr">
        <is>
          <t>Supporter</t>
        </is>
      </c>
      <c r="O58" s="68">
        <f>100+L58</f>
        <v/>
      </c>
      <c r="P58" s="68">
        <f t="array" ref="P58">_xlfn.IFS($N58="Attacker",6,$N58="Healer",3,$N58="Magician",4,$N58="Defender",3,$N58="Supporter",4)</f>
        <v/>
      </c>
      <c r="Q58" s="68">
        <f t="array" ref="Q58">_xlfn.IFS($N58="Attacker",6,$N58="Healer",3,$N58="Magician",4,$N58="Defender",3,$N58="Supporter",4)</f>
        <v/>
      </c>
      <c r="R58" s="68" t="n">
        <v>1</v>
      </c>
      <c r="S58" s="68" t="n">
        <v>0</v>
      </c>
      <c r="T58" s="68" t="n">
        <v>0</v>
      </c>
      <c r="U58" s="68" t="inlineStr">
        <is>
          <t>Spd</t>
        </is>
      </c>
      <c r="V58" s="68">
        <f t="array" ref="V58">_xlfn.IFS(N58="Attacker",80,N58="Healer",90,N58="Magician",100,N58="Defender",110,N58="Supporter",120)</f>
        <v/>
      </c>
      <c r="W58" s="68" t="inlineStr">
        <is>
          <t>Hp</t>
        </is>
      </c>
      <c r="X58" s="68" t="n">
        <v>5909</v>
      </c>
      <c r="Y58" s="68" t="inlineStr">
        <is>
          <t>Atk</t>
        </is>
      </c>
      <c r="Z58" s="68" t="n">
        <v>198</v>
      </c>
      <c r="AA58" s="68" t="inlineStr">
        <is>
          <t>Def</t>
        </is>
      </c>
      <c r="AB58" s="68" t="n">
        <v>142</v>
      </c>
      <c r="AC58" s="68" t="inlineStr">
        <is>
          <t>Penetration</t>
        </is>
      </c>
      <c r="AD58" s="68" t="n">
        <v>187</v>
      </c>
      <c r="AE58" s="68" t="inlineStr">
        <is>
          <t>Hit</t>
        </is>
      </c>
      <c r="AF58" s="68" t="n">
        <v>100</v>
      </c>
      <c r="AG58" s="68" t="inlineStr">
        <is>
          <t>Dodge</t>
        </is>
      </c>
      <c r="AH58" s="68" t="n">
        <v>100</v>
      </c>
      <c r="AI58" s="68" t="inlineStr">
        <is>
          <t>CriRatio</t>
        </is>
      </c>
      <c r="AJ58" s="68" t="n">
        <v>5000</v>
      </c>
      <c r="AK58" s="68" t="inlineStr">
        <is>
          <t>CriDmgRatio</t>
        </is>
      </c>
      <c r="AL58" s="68" t="n">
        <v>150000</v>
      </c>
      <c r="AM58" s="68" t="n">
        <v>1554101</v>
      </c>
      <c r="AN58" s="68" t="b">
        <v>1</v>
      </c>
      <c r="AO58" s="68" t="n">
        <v>2554101</v>
      </c>
      <c r="AP58" s="68" t="b">
        <v>0</v>
      </c>
      <c r="AQ58" s="68" t="n">
        <v>3554101</v>
      </c>
      <c r="AR58" s="68" t="b">
        <v>1</v>
      </c>
      <c r="AS58" s="68" t="n">
        <v>4554101</v>
      </c>
      <c r="AT58" s="68" t="b">
        <v>0</v>
      </c>
      <c r="AU58" s="68" t="n"/>
      <c r="AV58" s="68" t="n"/>
      <c r="AW58" s="68" t="n"/>
      <c r="AX58" s="68" t="n"/>
    </row>
    <row r="59" ht="16.5" customHeight="1" s="66">
      <c r="A59" s="68" t="n">
        <v>10000438</v>
      </c>
      <c r="B59" s="68" t="inlineStr">
        <is>
          <t>세멜레</t>
        </is>
      </c>
      <c r="C59" s="68" t="n">
        <v>143801</v>
      </c>
      <c r="D59" s="68">
        <f>"c"&amp;MID(C59,2,3)</f>
        <v/>
      </c>
      <c r="E59" s="68">
        <f>"character_name_"&amp;A59</f>
        <v/>
      </c>
      <c r="F59" s="68">
        <f>D59&amp;"_profile"</f>
        <v/>
      </c>
      <c r="G59" s="68" t="inlineStr">
        <is>
          <t>None</t>
        </is>
      </c>
      <c r="H59" s="68" t="inlineStr">
        <is>
          <t>Normal</t>
        </is>
      </c>
      <c r="I59" s="68" t="inlineStr">
        <is>
          <t>0.95,0.95,0.95</t>
        </is>
      </c>
      <c r="J59" s="68" t="b">
        <v>1</v>
      </c>
      <c r="K59" s="24" t="inlineStr">
        <is>
          <t>0,0,0</t>
        </is>
      </c>
      <c r="L59" s="68" t="n">
        <v>3</v>
      </c>
      <c r="M59" s="68" t="inlineStr">
        <is>
          <t>Light</t>
        </is>
      </c>
      <c r="N59" s="68" t="inlineStr">
        <is>
          <t>Magician</t>
        </is>
      </c>
      <c r="O59" s="68">
        <f>100+L59</f>
        <v/>
      </c>
      <c r="P59" s="68">
        <f t="array" ref="P59">_xlfn.IFS($N59="Attacker",6,$N59="Healer",3,$N59="Magician",4,$N59="Defender",3,$N59="Supporter",4)</f>
        <v/>
      </c>
      <c r="Q59" s="68">
        <f t="array" ref="Q59">_xlfn.IFS($N59="Attacker",6,$N59="Healer",3,$N59="Magician",4,$N59="Defender",3,$N59="Supporter",4)</f>
        <v/>
      </c>
      <c r="R59" s="68" t="n">
        <v>1</v>
      </c>
      <c r="S59" s="68" t="n">
        <v>0</v>
      </c>
      <c r="T59" s="68" t="n">
        <v>0</v>
      </c>
      <c r="U59" s="68" t="inlineStr">
        <is>
          <t>Spd</t>
        </is>
      </c>
      <c r="V59" s="68">
        <f t="array" ref="V59">_xlfn.IFS(N59="Attacker",80,N59="Healer",90,N59="Magician",100,N59="Defender",110,N59="Supporter",120)</f>
        <v/>
      </c>
      <c r="W59" s="68" t="inlineStr">
        <is>
          <t>Hp</t>
        </is>
      </c>
      <c r="X59" s="68" t="n">
        <v>5100</v>
      </c>
      <c r="Y59" s="68" t="inlineStr">
        <is>
          <t>Atk</t>
        </is>
      </c>
      <c r="Z59" s="68" t="n">
        <v>420</v>
      </c>
      <c r="AA59" s="68" t="inlineStr">
        <is>
          <t>Def</t>
        </is>
      </c>
      <c r="AB59" s="68" t="n">
        <v>120</v>
      </c>
      <c r="AC59" s="68" t="inlineStr">
        <is>
          <t>Penetration</t>
        </is>
      </c>
      <c r="AD59" s="68" t="n">
        <v>120</v>
      </c>
      <c r="AE59" s="68" t="inlineStr">
        <is>
          <t>Hit</t>
        </is>
      </c>
      <c r="AF59" s="68" t="n">
        <v>100</v>
      </c>
      <c r="AG59" s="68" t="inlineStr">
        <is>
          <t>Dodge</t>
        </is>
      </c>
      <c r="AH59" s="68" t="n">
        <v>100</v>
      </c>
      <c r="AI59" s="68" t="inlineStr">
        <is>
          <t>CriRatio</t>
        </is>
      </c>
      <c r="AJ59" s="68" t="n">
        <v>5000</v>
      </c>
      <c r="AK59" s="68" t="inlineStr">
        <is>
          <t>CriDmgRatio</t>
        </is>
      </c>
      <c r="AL59" s="68" t="n">
        <v>150000</v>
      </c>
      <c r="AM59" s="68" t="n"/>
      <c r="AN59" s="68" t="n"/>
      <c r="AO59" s="68" t="n"/>
      <c r="AP59" s="68" t="n"/>
      <c r="AQ59" s="68" t="n"/>
      <c r="AR59" s="68" t="n"/>
      <c r="AS59" s="68" t="n"/>
      <c r="AT59" s="68" t="n"/>
      <c r="AU59" s="68" t="n"/>
      <c r="AV59" s="68" t="n"/>
      <c r="AW59" s="68" t="n"/>
      <c r="AX59" s="68" t="n"/>
    </row>
    <row r="60" ht="16.5" customHeight="1" s="66">
      <c r="A60" s="68" t="n">
        <v>10000455</v>
      </c>
      <c r="B60" s="68" t="inlineStr">
        <is>
          <t>티와즈</t>
        </is>
      </c>
      <c r="C60" s="68" t="n">
        <v>145501</v>
      </c>
      <c r="D60" s="68">
        <f>"c"&amp;MID(C60,2,3)</f>
        <v/>
      </c>
      <c r="E60" s="68">
        <f>"character_name_"&amp;A60</f>
        <v/>
      </c>
      <c r="F60" s="68">
        <f>D60&amp;"_profile"</f>
        <v/>
      </c>
      <c r="G60" s="68" t="inlineStr">
        <is>
          <t>None</t>
        </is>
      </c>
      <c r="H60" s="68" t="inlineStr">
        <is>
          <t>Normal</t>
        </is>
      </c>
      <c r="I60" s="68" t="inlineStr">
        <is>
          <t>0.95,0.95,0.95</t>
        </is>
      </c>
      <c r="J60" s="68" t="b">
        <v>1</v>
      </c>
      <c r="K60" s="24" t="inlineStr">
        <is>
          <t>0,0,0</t>
        </is>
      </c>
      <c r="L60" s="68" t="n">
        <v>3</v>
      </c>
      <c r="M60" s="68" t="inlineStr">
        <is>
          <t>Light</t>
        </is>
      </c>
      <c r="N60" s="68" t="inlineStr">
        <is>
          <t>Healer</t>
        </is>
      </c>
      <c r="O60" s="68">
        <f>100+L60</f>
        <v/>
      </c>
      <c r="P60" s="68">
        <f t="array" ref="P60">_xlfn.IFS($N60="Attacker",6,$N60="Healer",3,$N60="Magician",4,$N60="Defender",3,$N60="Supporter",4)</f>
        <v/>
      </c>
      <c r="Q60" s="68">
        <f t="array" ref="Q60">_xlfn.IFS($N60="Attacker",6,$N60="Healer",3,$N60="Magician",4,$N60="Defender",3,$N60="Supporter",4)</f>
        <v/>
      </c>
      <c r="R60" s="68" t="n">
        <v>1</v>
      </c>
      <c r="S60" s="68" t="n">
        <v>0</v>
      </c>
      <c r="T60" s="68" t="n">
        <v>0</v>
      </c>
      <c r="U60" s="68" t="inlineStr">
        <is>
          <t>Spd</t>
        </is>
      </c>
      <c r="V60" s="68">
        <f t="array" ref="V60">_xlfn.IFS(N60="Attacker",80,N60="Healer",90,N60="Magician",100,N60="Defender",110,N60="Supporter",120)</f>
        <v/>
      </c>
      <c r="W60" s="68" t="inlineStr">
        <is>
          <t>Hp</t>
        </is>
      </c>
      <c r="X60" s="68" t="n">
        <v>5100</v>
      </c>
      <c r="Y60" s="68" t="inlineStr">
        <is>
          <t>Atk</t>
        </is>
      </c>
      <c r="Z60" s="68" t="n">
        <v>420</v>
      </c>
      <c r="AA60" s="68" t="inlineStr">
        <is>
          <t>Def</t>
        </is>
      </c>
      <c r="AB60" s="68" t="n">
        <v>120</v>
      </c>
      <c r="AC60" s="68" t="inlineStr">
        <is>
          <t>Penetration</t>
        </is>
      </c>
      <c r="AD60" s="68" t="n">
        <v>120</v>
      </c>
      <c r="AE60" s="68" t="inlineStr">
        <is>
          <t>Hit</t>
        </is>
      </c>
      <c r="AF60" s="68" t="n">
        <v>100</v>
      </c>
      <c r="AG60" s="68" t="inlineStr">
        <is>
          <t>Dodge</t>
        </is>
      </c>
      <c r="AH60" s="68" t="n">
        <v>100</v>
      </c>
      <c r="AI60" s="68" t="inlineStr">
        <is>
          <t>CriRatio</t>
        </is>
      </c>
      <c r="AJ60" s="68" t="n">
        <v>5000</v>
      </c>
      <c r="AK60" s="68" t="inlineStr">
        <is>
          <t>CriDmgRatio</t>
        </is>
      </c>
      <c r="AL60" s="68" t="n">
        <v>150000</v>
      </c>
      <c r="AM60" s="68" t="n"/>
      <c r="AN60" s="68" t="n"/>
      <c r="AO60" s="68" t="n"/>
      <c r="AP60" s="68" t="n"/>
      <c r="AQ60" s="68" t="n"/>
      <c r="AR60" s="68" t="n"/>
      <c r="AS60" s="68" t="n"/>
      <c r="AT60" s="68" t="n"/>
      <c r="AU60" s="68" t="n"/>
      <c r="AV60" s="68" t="n"/>
      <c r="AW60" s="68" t="n"/>
      <c r="AX60" s="68" t="n"/>
    </row>
    <row r="61" ht="16.5" customHeight="1" s="66">
      <c r="A61" s="68" t="n">
        <v>10000533</v>
      </c>
      <c r="B61" s="68" t="inlineStr">
        <is>
          <t>오네이로이</t>
        </is>
      </c>
      <c r="C61" s="68" t="n">
        <v>153301</v>
      </c>
      <c r="D61" s="68">
        <f>"c"&amp;MID(C61,2,3)</f>
        <v/>
      </c>
      <c r="E61" s="68">
        <f>"character_name_"&amp;A61</f>
        <v/>
      </c>
      <c r="F61" s="68">
        <f>D61&amp;"_profile"</f>
        <v/>
      </c>
      <c r="G61" s="68" t="inlineStr">
        <is>
          <t>None</t>
        </is>
      </c>
      <c r="H61" s="68" t="inlineStr">
        <is>
          <t>Normal</t>
        </is>
      </c>
      <c r="I61" s="68" t="inlineStr">
        <is>
          <t>0.95,0.95,0.95</t>
        </is>
      </c>
      <c r="J61" s="68" t="b">
        <v>1</v>
      </c>
      <c r="K61" s="24" t="inlineStr">
        <is>
          <t>0,0,0</t>
        </is>
      </c>
      <c r="L61" s="68" t="n">
        <v>3</v>
      </c>
      <c r="M61" s="68" t="inlineStr">
        <is>
          <t>Light</t>
        </is>
      </c>
      <c r="N61" s="68" t="inlineStr">
        <is>
          <t>Supporter</t>
        </is>
      </c>
      <c r="O61" s="68">
        <f>100+L61</f>
        <v/>
      </c>
      <c r="P61" s="68">
        <f t="array" ref="P61">_xlfn.IFS($N61="Attacker",6,$N61="Healer",3,$N61="Magician",4,$N61="Defender",3,$N61="Supporter",4)</f>
        <v/>
      </c>
      <c r="Q61" s="68">
        <f t="array" ref="Q61">_xlfn.IFS($N61="Attacker",6,$N61="Healer",3,$N61="Magician",4,$N61="Defender",3,$N61="Supporter",4)</f>
        <v/>
      </c>
      <c r="R61" s="68" t="n">
        <v>1</v>
      </c>
      <c r="S61" s="68" t="n">
        <v>0</v>
      </c>
      <c r="T61" s="68" t="n">
        <v>0</v>
      </c>
      <c r="U61" s="68" t="inlineStr">
        <is>
          <t>Spd</t>
        </is>
      </c>
      <c r="V61" s="68">
        <f t="array" ref="V61">_xlfn.IFS(N61="Attacker",80,N61="Healer",90,N61="Magician",100,N61="Defender",110,N61="Supporter",120)</f>
        <v/>
      </c>
      <c r="W61" s="68" t="inlineStr">
        <is>
          <t>Hp</t>
        </is>
      </c>
      <c r="X61" s="68" t="n">
        <v>4743</v>
      </c>
      <c r="Y61" s="68" t="inlineStr">
        <is>
          <t>Atk</t>
        </is>
      </c>
      <c r="Z61" s="68" t="n">
        <v>341</v>
      </c>
      <c r="AA61" s="68" t="inlineStr">
        <is>
          <t>Def</t>
        </is>
      </c>
      <c r="AB61" s="68" t="n">
        <v>108</v>
      </c>
      <c r="AC61" s="68" t="inlineStr">
        <is>
          <t>Penetration</t>
        </is>
      </c>
      <c r="AD61" s="68" t="n">
        <v>108</v>
      </c>
      <c r="AE61" s="68" t="inlineStr">
        <is>
          <t>Hit</t>
        </is>
      </c>
      <c r="AF61" s="68" t="n">
        <v>100</v>
      </c>
      <c r="AG61" s="68" t="inlineStr">
        <is>
          <t>Dodge</t>
        </is>
      </c>
      <c r="AH61" s="68" t="n">
        <v>100</v>
      </c>
      <c r="AI61" s="68" t="inlineStr">
        <is>
          <t>CriRatio</t>
        </is>
      </c>
      <c r="AJ61" s="68" t="n">
        <v>5000</v>
      </c>
      <c r="AK61" s="68" t="inlineStr">
        <is>
          <t>CriDmgRatio</t>
        </is>
      </c>
      <c r="AL61" s="68" t="n">
        <v>150000</v>
      </c>
      <c r="AM61" s="68" t="n"/>
      <c r="AN61" s="68" t="n"/>
      <c r="AO61" s="68" t="n"/>
      <c r="AP61" s="68" t="n"/>
      <c r="AQ61" s="68" t="n"/>
      <c r="AR61" s="68" t="n"/>
      <c r="AS61" s="68" t="n"/>
      <c r="AT61" s="68" t="n"/>
      <c r="AU61" s="68" t="n"/>
      <c r="AV61" s="68" t="n"/>
      <c r="AW61" s="68" t="n"/>
      <c r="AX61" s="68" t="n"/>
    </row>
    <row r="62" ht="16.5" customHeight="1" s="66">
      <c r="A62" s="68" t="n">
        <v>10000473</v>
      </c>
      <c r="B62" s="68" t="inlineStr">
        <is>
          <t>티타니아</t>
        </is>
      </c>
      <c r="C62" s="68" t="n">
        <v>147301</v>
      </c>
      <c r="D62" s="68">
        <f>"c"&amp;MID(C62,2,3)</f>
        <v/>
      </c>
      <c r="E62" s="68">
        <f>"character_name_"&amp;A62</f>
        <v/>
      </c>
      <c r="F62" s="68">
        <f>D62&amp;"_profile"</f>
        <v/>
      </c>
      <c r="G62" s="68" t="inlineStr">
        <is>
          <t>None</t>
        </is>
      </c>
      <c r="H62" s="68" t="inlineStr">
        <is>
          <t>Normal</t>
        </is>
      </c>
      <c r="I62" s="68" t="inlineStr">
        <is>
          <t>0.95,0.95,0.95</t>
        </is>
      </c>
      <c r="J62" s="68" t="b">
        <v>1</v>
      </c>
      <c r="K62" s="24" t="inlineStr">
        <is>
          <t>0,0,0</t>
        </is>
      </c>
      <c r="L62" s="68" t="n">
        <v>3</v>
      </c>
      <c r="M62" s="68" t="inlineStr">
        <is>
          <t>Light</t>
        </is>
      </c>
      <c r="N62" s="68" t="inlineStr">
        <is>
          <t>Defender</t>
        </is>
      </c>
      <c r="O62" s="68">
        <f>100+L62</f>
        <v/>
      </c>
      <c r="P62" s="68">
        <f t="array" ref="P62">_xlfn.IFS($N62="Attacker",6,$N62="Healer",3,$N62="Magician",4,$N62="Defender",3,$N62="Supporter",4)</f>
        <v/>
      </c>
      <c r="Q62" s="68">
        <f t="array" ref="Q62">_xlfn.IFS($N62="Attacker",6,$N62="Healer",3,$N62="Magician",4,$N62="Defender",3,$N62="Supporter",4)</f>
        <v/>
      </c>
      <c r="R62" s="68" t="n">
        <v>1</v>
      </c>
      <c r="S62" s="68" t="n">
        <v>0</v>
      </c>
      <c r="T62" s="68" t="n">
        <v>0</v>
      </c>
      <c r="U62" s="68" t="inlineStr">
        <is>
          <t>Spd</t>
        </is>
      </c>
      <c r="V62" s="68">
        <f t="array" ref="V62">_xlfn.IFS(N62="Attacker",80,N62="Healer",90,N62="Magician",100,N62="Defender",110,N62="Supporter",120)</f>
        <v/>
      </c>
      <c r="W62" s="68" t="inlineStr">
        <is>
          <t>Hp</t>
        </is>
      </c>
      <c r="X62" s="68" t="n">
        <v>5909</v>
      </c>
      <c r="Y62" s="68" t="inlineStr">
        <is>
          <t>Atk</t>
        </is>
      </c>
      <c r="Z62" s="68" t="n">
        <v>198</v>
      </c>
      <c r="AA62" s="68" t="inlineStr">
        <is>
          <t>Def</t>
        </is>
      </c>
      <c r="AB62" s="68" t="n">
        <v>142</v>
      </c>
      <c r="AC62" s="68" t="inlineStr">
        <is>
          <t>Penetration</t>
        </is>
      </c>
      <c r="AD62" s="68" t="n">
        <v>142</v>
      </c>
      <c r="AE62" s="68" t="inlineStr">
        <is>
          <t>Hit</t>
        </is>
      </c>
      <c r="AF62" s="68" t="n">
        <v>100</v>
      </c>
      <c r="AG62" s="68" t="inlineStr">
        <is>
          <t>Dodge</t>
        </is>
      </c>
      <c r="AH62" s="68" t="n">
        <v>100</v>
      </c>
      <c r="AI62" s="68" t="inlineStr">
        <is>
          <t>CriRatio</t>
        </is>
      </c>
      <c r="AJ62" s="68" t="n">
        <v>5000</v>
      </c>
      <c r="AK62" s="68" t="inlineStr">
        <is>
          <t>CriDmgRatio</t>
        </is>
      </c>
      <c r="AL62" s="68" t="n">
        <v>150000</v>
      </c>
      <c r="AM62" s="68" t="n"/>
      <c r="AN62" s="68" t="n"/>
      <c r="AO62" s="68" t="n"/>
      <c r="AP62" s="68" t="n"/>
      <c r="AQ62" s="68" t="n"/>
      <c r="AR62" s="68" t="n"/>
      <c r="AS62" s="68" t="n"/>
      <c r="AT62" s="68" t="n"/>
      <c r="AU62" s="68" t="n"/>
      <c r="AV62" s="68" t="n"/>
      <c r="AW62" s="68" t="n"/>
      <c r="AX62" s="68" t="n"/>
    </row>
    <row r="63" ht="16.5" customHeight="1" s="66">
      <c r="A63" s="68" t="n">
        <v>10000600</v>
      </c>
      <c r="B63" s="68" t="inlineStr">
        <is>
          <t>루미나</t>
        </is>
      </c>
      <c r="C63" s="68" t="n">
        <v>160001</v>
      </c>
      <c r="D63" s="68">
        <f>"c"&amp;MID(C63,2,3)</f>
        <v/>
      </c>
      <c r="E63" s="68">
        <f>"character_name_"&amp;A63</f>
        <v/>
      </c>
      <c r="F63" s="68">
        <f>D63&amp;"_profile"</f>
        <v/>
      </c>
      <c r="G63" s="68" t="inlineStr">
        <is>
          <t>None</t>
        </is>
      </c>
      <c r="H63" s="68" t="inlineStr">
        <is>
          <t>Normal</t>
        </is>
      </c>
      <c r="I63" s="68" t="inlineStr">
        <is>
          <t>0.95,0.95,0.95</t>
        </is>
      </c>
      <c r="J63" s="68" t="b">
        <v>1</v>
      </c>
      <c r="K63" s="24" t="inlineStr">
        <is>
          <t>0,0,0</t>
        </is>
      </c>
      <c r="L63" s="68" t="n">
        <v>3</v>
      </c>
      <c r="M63" s="68" t="inlineStr">
        <is>
          <t>Light</t>
        </is>
      </c>
      <c r="N63" s="68" t="inlineStr">
        <is>
          <t>Magician</t>
        </is>
      </c>
      <c r="O63" s="68">
        <f>100+L63</f>
        <v/>
      </c>
      <c r="P63" s="68">
        <f t="array" ref="P63">_xlfn.IFS($N63="Attacker",6,$N63="Healer",3,$N63="Magician",4,$N63="Defender",3,$N63="Supporter",4)</f>
        <v/>
      </c>
      <c r="Q63" s="68">
        <f t="array" ref="Q63">_xlfn.IFS($N63="Attacker",6,$N63="Healer",3,$N63="Magician",4,$N63="Defender",3,$N63="Supporter",4)</f>
        <v/>
      </c>
      <c r="R63" s="68" t="n">
        <v>1</v>
      </c>
      <c r="S63" s="68" t="n">
        <v>0</v>
      </c>
      <c r="T63" s="68" t="n">
        <v>0</v>
      </c>
      <c r="U63" s="68" t="inlineStr">
        <is>
          <t>Spd</t>
        </is>
      </c>
      <c r="V63" s="68">
        <f t="array" ref="V63">_xlfn.IFS(N63="Attacker",80,N63="Healer",90,N63="Magician",100,N63="Defender",110,N63="Supporter",120)</f>
        <v/>
      </c>
      <c r="W63" s="68" t="inlineStr">
        <is>
          <t>Hp</t>
        </is>
      </c>
      <c r="X63" s="68" t="n">
        <v>5909</v>
      </c>
      <c r="Y63" s="68" t="inlineStr">
        <is>
          <t>Atk</t>
        </is>
      </c>
      <c r="Z63" s="68" t="n">
        <v>198</v>
      </c>
      <c r="AA63" s="68" t="inlineStr">
        <is>
          <t>Def</t>
        </is>
      </c>
      <c r="AB63" s="68" t="n">
        <v>142</v>
      </c>
      <c r="AC63" s="68" t="inlineStr">
        <is>
          <t>Penetration</t>
        </is>
      </c>
      <c r="AD63" s="68" t="n">
        <v>142</v>
      </c>
      <c r="AE63" s="68" t="inlineStr">
        <is>
          <t>Hit</t>
        </is>
      </c>
      <c r="AF63" s="68" t="n">
        <v>100</v>
      </c>
      <c r="AG63" s="68" t="inlineStr">
        <is>
          <t>Dodge</t>
        </is>
      </c>
      <c r="AH63" s="68" t="n">
        <v>100</v>
      </c>
      <c r="AI63" s="68" t="inlineStr">
        <is>
          <t>CriRatio</t>
        </is>
      </c>
      <c r="AJ63" s="68" t="n">
        <v>5000</v>
      </c>
      <c r="AK63" s="68" t="inlineStr">
        <is>
          <t>CriDmgRatio</t>
        </is>
      </c>
      <c r="AL63" s="68" t="n">
        <v>150000</v>
      </c>
      <c r="AM63" s="68" t="n"/>
      <c r="AN63" s="68" t="n"/>
      <c r="AO63" s="68" t="n"/>
      <c r="AP63" s="68" t="n"/>
      <c r="AQ63" s="68" t="n"/>
      <c r="AR63" s="68" t="n"/>
      <c r="AS63" s="68" t="n"/>
      <c r="AT63" s="68" t="n"/>
      <c r="AU63" s="68" t="n"/>
      <c r="AV63" s="68" t="n"/>
      <c r="AW63" s="68" t="n"/>
      <c r="AX63" s="68" t="n"/>
    </row>
    <row r="64" ht="16.5" customHeight="1" s="66">
      <c r="A64" s="68" t="n">
        <v>10000502</v>
      </c>
      <c r="B64" s="68" t="inlineStr">
        <is>
          <t>도계화</t>
        </is>
      </c>
      <c r="C64" s="68" t="n">
        <v>150201</v>
      </c>
      <c r="D64" s="68">
        <f>"c"&amp;MID(C64,2,3)</f>
        <v/>
      </c>
      <c r="E64" s="68">
        <f>"character_name_"&amp;A64</f>
        <v/>
      </c>
      <c r="F64" s="68">
        <f>D64&amp;"_profile"</f>
        <v/>
      </c>
      <c r="G64" s="68" t="inlineStr">
        <is>
          <t>None</t>
        </is>
      </c>
      <c r="H64" s="68" t="inlineStr">
        <is>
          <t>Normal</t>
        </is>
      </c>
      <c r="I64" s="68" t="inlineStr">
        <is>
          <t>0.95,0.95,0.95</t>
        </is>
      </c>
      <c r="J64" s="68" t="b">
        <v>1</v>
      </c>
      <c r="K64" s="24" t="inlineStr">
        <is>
          <t>0,0,0</t>
        </is>
      </c>
      <c r="L64" s="68" t="n">
        <v>3</v>
      </c>
      <c r="M64" s="68" t="inlineStr">
        <is>
          <t>Water</t>
        </is>
      </c>
      <c r="N64" s="68" t="inlineStr">
        <is>
          <t>Magician</t>
        </is>
      </c>
      <c r="O64" s="68">
        <f>100+L64</f>
        <v/>
      </c>
      <c r="P64" s="68">
        <f t="array" ref="P64">_xlfn.IFS($N64="Attacker",6,$N64="Healer",3,$N64="Magician",4,$N64="Defender",3,$N64="Supporter",4)</f>
        <v/>
      </c>
      <c r="Q64" s="68">
        <f t="array" ref="Q64">_xlfn.IFS($N64="Attacker",6,$N64="Healer",3,$N64="Magician",4,$N64="Defender",3,$N64="Supporter",4)</f>
        <v/>
      </c>
      <c r="R64" s="68" t="n">
        <v>1</v>
      </c>
      <c r="S64" s="68" t="n">
        <v>0</v>
      </c>
      <c r="T64" s="68" t="n">
        <v>0</v>
      </c>
      <c r="U64" s="68" t="inlineStr">
        <is>
          <t>Spd</t>
        </is>
      </c>
      <c r="V64" s="68">
        <f t="array" ref="V64">_xlfn.IFS(N64="Attacker",80,N64="Healer",90,N64="Magician",100,N64="Defender",110,N64="Supporter",120)</f>
        <v/>
      </c>
      <c r="W64" s="68" t="inlineStr">
        <is>
          <t>Hp</t>
        </is>
      </c>
      <c r="X64" s="68" t="n">
        <v>5100</v>
      </c>
      <c r="Y64" s="68" t="inlineStr">
        <is>
          <t>Atk</t>
        </is>
      </c>
      <c r="Z64" s="68" t="n">
        <v>420</v>
      </c>
      <c r="AA64" s="68" t="inlineStr">
        <is>
          <t>Def</t>
        </is>
      </c>
      <c r="AB64" s="68" t="n">
        <v>120</v>
      </c>
      <c r="AC64" s="68" t="inlineStr">
        <is>
          <t>Penetration</t>
        </is>
      </c>
      <c r="AD64" s="68" t="n">
        <v>156</v>
      </c>
      <c r="AE64" s="68" t="inlineStr">
        <is>
          <t>Hit</t>
        </is>
      </c>
      <c r="AF64" s="68" t="n">
        <v>100</v>
      </c>
      <c r="AG64" s="68" t="inlineStr">
        <is>
          <t>Dodge</t>
        </is>
      </c>
      <c r="AH64" s="68" t="n">
        <v>100</v>
      </c>
      <c r="AI64" s="68" t="inlineStr">
        <is>
          <t>CriRatio</t>
        </is>
      </c>
      <c r="AJ64" s="68" t="n">
        <v>5000</v>
      </c>
      <c r="AK64" s="68" t="inlineStr">
        <is>
          <t>CriDmgRatio</t>
        </is>
      </c>
      <c r="AL64" s="68" t="n">
        <v>150000</v>
      </c>
      <c r="AM64" s="68" t="n">
        <v>1321171</v>
      </c>
      <c r="AN64" s="68" t="b">
        <v>1</v>
      </c>
      <c r="AO64" s="68" t="n">
        <v>2321171</v>
      </c>
      <c r="AP64" s="68" t="b">
        <v>1</v>
      </c>
      <c r="AQ64" s="68" t="n">
        <v>3321171</v>
      </c>
      <c r="AR64" s="68" t="b">
        <v>1</v>
      </c>
      <c r="AS64" s="68" t="n">
        <v>4321171</v>
      </c>
      <c r="AT64" s="68" t="b">
        <v>0</v>
      </c>
      <c r="AU64" s="68" t="n"/>
      <c r="AV64" s="68" t="n"/>
      <c r="AW64" s="68" t="n"/>
      <c r="AX64" s="68" t="n"/>
    </row>
    <row r="65" ht="16.5" customHeight="1" s="66">
      <c r="A65" s="68" t="n">
        <v>10000124</v>
      </c>
      <c r="B65" s="68" t="inlineStr">
        <is>
          <t>이브</t>
        </is>
      </c>
      <c r="C65" s="68" t="n">
        <v>112401</v>
      </c>
      <c r="D65" s="68">
        <f>"c"&amp;MID(C65,2,3)</f>
        <v/>
      </c>
      <c r="E65" s="68">
        <f>"character_name_"&amp;A65</f>
        <v/>
      </c>
      <c r="F65" s="68">
        <f>D65&amp;"_profile"</f>
        <v/>
      </c>
      <c r="G65" s="68" t="inlineStr">
        <is>
          <t>None</t>
        </is>
      </c>
      <c r="H65" s="68" t="inlineStr">
        <is>
          <t>Normal</t>
        </is>
      </c>
      <c r="I65" s="68" t="inlineStr">
        <is>
          <t>0.95,0.95,0.95</t>
        </is>
      </c>
      <c r="J65" s="68" t="b">
        <v>1</v>
      </c>
      <c r="K65" s="24" t="inlineStr">
        <is>
          <t>0,0,0</t>
        </is>
      </c>
      <c r="L65" s="68" t="n">
        <v>3</v>
      </c>
      <c r="M65" s="68" t="inlineStr">
        <is>
          <t>Water</t>
        </is>
      </c>
      <c r="N65" s="68" t="inlineStr">
        <is>
          <t>Attacker</t>
        </is>
      </c>
      <c r="O65" s="68">
        <f>100+L65</f>
        <v/>
      </c>
      <c r="P65" s="68" t="n">
        <v>6</v>
      </c>
      <c r="Q65" s="68" t="n">
        <v>6</v>
      </c>
      <c r="R65" s="68" t="n">
        <v>1</v>
      </c>
      <c r="S65" s="68" t="n">
        <v>0</v>
      </c>
      <c r="T65" s="68" t="n">
        <v>0</v>
      </c>
      <c r="U65" s="68" t="inlineStr">
        <is>
          <t>Spd</t>
        </is>
      </c>
      <c r="V65" s="68">
        <f t="array" ref="V65">_xlfn.IFS(N65="Attacker",80,N65="Healer",90,N65="Magician",100,N65="Defender",110,N65="Supporter",120)</f>
        <v/>
      </c>
      <c r="W65" s="68" t="inlineStr">
        <is>
          <t>Hp</t>
        </is>
      </c>
      <c r="X65" s="68" t="n">
        <v>5100</v>
      </c>
      <c r="Y65" s="68" t="inlineStr">
        <is>
          <t>Atk</t>
        </is>
      </c>
      <c r="Z65" s="68" t="n">
        <v>420</v>
      </c>
      <c r="AA65" s="68" t="inlineStr">
        <is>
          <t>Def</t>
        </is>
      </c>
      <c r="AB65" s="68" t="n">
        <v>120</v>
      </c>
      <c r="AC65" s="68" t="inlineStr">
        <is>
          <t>Penetration</t>
        </is>
      </c>
      <c r="AD65" s="68" t="n">
        <v>156</v>
      </c>
      <c r="AE65" s="68" t="inlineStr">
        <is>
          <t>Hit</t>
        </is>
      </c>
      <c r="AF65" s="68" t="n">
        <v>100</v>
      </c>
      <c r="AG65" s="68" t="inlineStr">
        <is>
          <t>Dodge</t>
        </is>
      </c>
      <c r="AH65" s="68" t="n">
        <v>100</v>
      </c>
      <c r="AI65" s="68" t="inlineStr">
        <is>
          <t>CriRatio</t>
        </is>
      </c>
      <c r="AJ65" s="68" t="n">
        <v>5000</v>
      </c>
      <c r="AK65" s="68" t="inlineStr">
        <is>
          <t>CriDmgRatio</t>
        </is>
      </c>
      <c r="AL65" s="68" t="n">
        <v>150000</v>
      </c>
      <c r="AM65" s="68" t="n">
        <v>1321241</v>
      </c>
      <c r="AN65" s="68" t="b">
        <v>1</v>
      </c>
      <c r="AO65" s="68" t="n">
        <v>2321241</v>
      </c>
      <c r="AP65" s="68" t="b">
        <v>1</v>
      </c>
      <c r="AQ65" s="68" t="n">
        <v>3321241</v>
      </c>
      <c r="AR65" s="68" t="b">
        <v>1</v>
      </c>
      <c r="AS65" s="68" t="n">
        <v>4321241</v>
      </c>
      <c r="AT65" s="68" t="b">
        <v>0</v>
      </c>
      <c r="AU65" s="68" t="n"/>
      <c r="AV65" s="68" t="n"/>
      <c r="AW65" s="68" t="n"/>
      <c r="AX65" s="68" t="n"/>
    </row>
    <row r="66" ht="16.5" customHeight="1" s="66">
      <c r="A66" s="68" t="n">
        <v>10000464</v>
      </c>
      <c r="B66" s="68" t="inlineStr">
        <is>
          <t>아라한</t>
        </is>
      </c>
      <c r="C66" s="68" t="n">
        <v>146401</v>
      </c>
      <c r="D66" s="68">
        <f>"c"&amp;MID(C66,2,3)</f>
        <v/>
      </c>
      <c r="E66" s="68">
        <f>"character_name_"&amp;A66</f>
        <v/>
      </c>
      <c r="F66" s="68">
        <f>D66&amp;"_profile"</f>
        <v/>
      </c>
      <c r="G66" s="68" t="inlineStr">
        <is>
          <t>None</t>
        </is>
      </c>
      <c r="H66" s="68" t="inlineStr">
        <is>
          <t>Normal</t>
        </is>
      </c>
      <c r="I66" s="68" t="inlineStr">
        <is>
          <t>0.95,0.95,0.95</t>
        </is>
      </c>
      <c r="J66" s="68" t="b">
        <v>1</v>
      </c>
      <c r="K66" s="24" t="inlineStr">
        <is>
          <t>0,0,0</t>
        </is>
      </c>
      <c r="L66" s="68" t="n">
        <v>3</v>
      </c>
      <c r="M66" s="68" t="inlineStr">
        <is>
          <t>Water</t>
        </is>
      </c>
      <c r="N66" s="68" t="inlineStr">
        <is>
          <t>Supporter</t>
        </is>
      </c>
      <c r="O66" s="68">
        <f>100+L66</f>
        <v/>
      </c>
      <c r="P66" s="68">
        <f t="array" ref="P66">_xlfn.IFS($N66="Attacker",6,$N66="Healer",3,$N66="Magician",4,$N66="Defender",3,$N66="Supporter",4)</f>
        <v/>
      </c>
      <c r="Q66" s="68">
        <f t="array" ref="Q66">_xlfn.IFS($N66="Attacker",6,$N66="Healer",3,$N66="Magician",4,$N66="Defender",3,$N66="Supporter",4)</f>
        <v/>
      </c>
      <c r="R66" s="68" t="n">
        <v>1</v>
      </c>
      <c r="S66" s="68" t="n">
        <v>0</v>
      </c>
      <c r="T66" s="68" t="n">
        <v>0</v>
      </c>
      <c r="U66" s="68" t="inlineStr">
        <is>
          <t>Spd</t>
        </is>
      </c>
      <c r="V66" s="68">
        <f t="array" ref="V66">_xlfn.IFS(N66="Attacker",80,N66="Healer",90,N66="Magician",100,N66="Defender",110,N66="Supporter",120)</f>
        <v/>
      </c>
      <c r="W66" s="68" t="inlineStr">
        <is>
          <t>Hp</t>
        </is>
      </c>
      <c r="X66" s="68" t="n">
        <v>5909</v>
      </c>
      <c r="Y66" s="68" t="inlineStr">
        <is>
          <t>Atk</t>
        </is>
      </c>
      <c r="Z66" s="68" t="n">
        <v>198</v>
      </c>
      <c r="AA66" s="68" t="inlineStr">
        <is>
          <t>Def</t>
        </is>
      </c>
      <c r="AB66" s="68" t="n">
        <v>142</v>
      </c>
      <c r="AC66" s="68" t="inlineStr">
        <is>
          <t>Penetration</t>
        </is>
      </c>
      <c r="AD66" s="68" t="n">
        <v>187</v>
      </c>
      <c r="AE66" s="68" t="inlineStr">
        <is>
          <t>Hit</t>
        </is>
      </c>
      <c r="AF66" s="68" t="n">
        <v>100</v>
      </c>
      <c r="AG66" s="68" t="inlineStr">
        <is>
          <t>Dodge</t>
        </is>
      </c>
      <c r="AH66" s="68" t="n">
        <v>100</v>
      </c>
      <c r="AI66" s="68" t="inlineStr">
        <is>
          <t>CriRatio</t>
        </is>
      </c>
      <c r="AJ66" s="68" t="n">
        <v>5000</v>
      </c>
      <c r="AK66" s="68" t="inlineStr">
        <is>
          <t>CriDmgRatio</t>
        </is>
      </c>
      <c r="AL66" s="68" t="n">
        <v>150000</v>
      </c>
      <c r="AM66" s="68" t="n">
        <v>1524041</v>
      </c>
      <c r="AN66" s="68" t="b">
        <v>1</v>
      </c>
      <c r="AO66" s="68" t="n">
        <v>2524041</v>
      </c>
      <c r="AP66" s="68" t="b">
        <v>0</v>
      </c>
      <c r="AQ66" s="68" t="n">
        <v>3524041</v>
      </c>
      <c r="AR66" s="68" t="b">
        <v>1</v>
      </c>
      <c r="AS66" s="68" t="n">
        <v>4524041</v>
      </c>
      <c r="AT66" s="68" t="b">
        <v>0</v>
      </c>
      <c r="AU66" s="68" t="n"/>
      <c r="AV66" s="68" t="n"/>
      <c r="AW66" s="68" t="n"/>
      <c r="AX66" s="68" t="n"/>
    </row>
    <row r="67" ht="16.5" customHeight="1" s="66">
      <c r="A67" s="68" t="n">
        <v>10000318</v>
      </c>
      <c r="B67" s="68" t="inlineStr">
        <is>
          <t>바리</t>
        </is>
      </c>
      <c r="C67" s="68" t="n">
        <v>131801</v>
      </c>
      <c r="D67" s="68">
        <f>"c"&amp;MID(C67,2,3)</f>
        <v/>
      </c>
      <c r="E67" s="68">
        <f>"character_name_"&amp;A67</f>
        <v/>
      </c>
      <c r="F67" s="68">
        <f>D67&amp;"_profile"</f>
        <v/>
      </c>
      <c r="G67" s="68" t="inlineStr">
        <is>
          <t>None</t>
        </is>
      </c>
      <c r="H67" s="68" t="inlineStr">
        <is>
          <t>Normal</t>
        </is>
      </c>
      <c r="I67" s="68" t="inlineStr">
        <is>
          <t>0.95,0.95,0.95</t>
        </is>
      </c>
      <c r="J67" s="68" t="b">
        <v>1</v>
      </c>
      <c r="K67" s="24" t="inlineStr">
        <is>
          <t>0,0,0</t>
        </is>
      </c>
      <c r="L67" s="68" t="n">
        <v>3</v>
      </c>
      <c r="M67" s="68" t="inlineStr">
        <is>
          <t>Water</t>
        </is>
      </c>
      <c r="N67" s="68" t="inlineStr">
        <is>
          <t>Magician</t>
        </is>
      </c>
      <c r="O67" s="68">
        <f>100+L67</f>
        <v/>
      </c>
      <c r="P67" s="68">
        <f t="array" ref="P67">_xlfn.IFS($N67="Attacker",6,$N67="Healer",3,$N67="Magician",4,$N67="Defender",3,$N67="Supporter",4)</f>
        <v/>
      </c>
      <c r="Q67" s="68">
        <f t="array" ref="Q67">_xlfn.IFS($N67="Attacker",6,$N67="Healer",3,$N67="Magician",4,$N67="Defender",3,$N67="Supporter",4)</f>
        <v/>
      </c>
      <c r="R67" s="68" t="n">
        <v>1</v>
      </c>
      <c r="S67" s="68" t="n">
        <v>0</v>
      </c>
      <c r="T67" s="68" t="n">
        <v>0</v>
      </c>
      <c r="U67" s="68" t="inlineStr">
        <is>
          <t>Spd</t>
        </is>
      </c>
      <c r="V67" s="68">
        <f t="array" ref="V67">_xlfn.IFS(N67="Attacker",80,N67="Healer",90,N67="Magician",100,N67="Defender",110,N67="Supporter",120)</f>
        <v/>
      </c>
      <c r="W67" s="68" t="inlineStr">
        <is>
          <t>Hp</t>
        </is>
      </c>
      <c r="X67" s="68" t="n">
        <v>4743</v>
      </c>
      <c r="Y67" s="68" t="inlineStr">
        <is>
          <t>Atk</t>
        </is>
      </c>
      <c r="Z67" s="68" t="n">
        <v>341</v>
      </c>
      <c r="AA67" s="68" t="inlineStr">
        <is>
          <t>Def</t>
        </is>
      </c>
      <c r="AB67" s="68" t="n">
        <v>108</v>
      </c>
      <c r="AC67" s="68" t="inlineStr">
        <is>
          <t>Penetration</t>
        </is>
      </c>
      <c r="AD67" s="68" t="n">
        <v>187</v>
      </c>
      <c r="AE67" s="68" t="inlineStr">
        <is>
          <t>Hit</t>
        </is>
      </c>
      <c r="AF67" s="68" t="n">
        <v>100</v>
      </c>
      <c r="AG67" s="68" t="inlineStr">
        <is>
          <t>Dodge</t>
        </is>
      </c>
      <c r="AH67" s="68" t="n">
        <v>100</v>
      </c>
      <c r="AI67" s="68" t="inlineStr">
        <is>
          <t>CriRatio</t>
        </is>
      </c>
      <c r="AJ67" s="68" t="n">
        <v>5000</v>
      </c>
      <c r="AK67" s="68" t="inlineStr">
        <is>
          <t>CriDmgRatio</t>
        </is>
      </c>
      <c r="AL67" s="68" t="n">
        <v>150000</v>
      </c>
      <c r="AM67" s="68" t="n">
        <v>1321201</v>
      </c>
      <c r="AN67" s="68" t="b">
        <v>1</v>
      </c>
      <c r="AO67" s="68" t="n">
        <v>2321201</v>
      </c>
      <c r="AP67" s="68" t="b">
        <v>1</v>
      </c>
      <c r="AQ67" s="68" t="n">
        <v>3321201</v>
      </c>
      <c r="AR67" s="68" t="b">
        <v>1</v>
      </c>
      <c r="AS67" s="68" t="n">
        <v>4321201</v>
      </c>
      <c r="AT67" s="68" t="b">
        <v>0</v>
      </c>
      <c r="AU67" s="68" t="n"/>
      <c r="AV67" s="68" t="n"/>
      <c r="AW67" s="68" t="n"/>
      <c r="AX67" s="68" t="n"/>
    </row>
    <row r="68" ht="16.5" customHeight="1" s="66">
      <c r="A68" s="68" t="n">
        <v>10000442</v>
      </c>
      <c r="B68" s="68" t="inlineStr">
        <is>
          <t>니르티</t>
        </is>
      </c>
      <c r="C68" s="68" t="n">
        <v>144201</v>
      </c>
      <c r="D68" s="68">
        <f>"c"&amp;MID(C68,2,3)</f>
        <v/>
      </c>
      <c r="E68" s="68">
        <f>"character_name_"&amp;A68</f>
        <v/>
      </c>
      <c r="F68" s="68">
        <f>D68&amp;"_profile"</f>
        <v/>
      </c>
      <c r="G68" s="68" t="inlineStr">
        <is>
          <t>None</t>
        </is>
      </c>
      <c r="H68" s="68" t="inlineStr">
        <is>
          <t>Normal</t>
        </is>
      </c>
      <c r="I68" s="68" t="inlineStr">
        <is>
          <t>0.95,0.95,0.95</t>
        </is>
      </c>
      <c r="J68" s="68" t="b">
        <v>1</v>
      </c>
      <c r="K68" s="24" t="inlineStr">
        <is>
          <t>0,0,0</t>
        </is>
      </c>
      <c r="L68" s="68" t="n">
        <v>3</v>
      </c>
      <c r="M68" s="68" t="inlineStr">
        <is>
          <t>Water</t>
        </is>
      </c>
      <c r="N68" s="68" t="inlineStr">
        <is>
          <t>Attacker</t>
        </is>
      </c>
      <c r="O68" s="68">
        <f>100+L68</f>
        <v/>
      </c>
      <c r="P68" s="68">
        <f t="array" ref="P68">_xlfn.IFS($N68="Attacker",6,$N68="Healer",3,$N68="Magician",4,$N68="Defender",3,$N68="Supporter",4)</f>
        <v/>
      </c>
      <c r="Q68" s="68">
        <f t="array" ref="Q68">_xlfn.IFS($N68="Attacker",6,$N68="Healer",3,$N68="Magician",4,$N68="Defender",3,$N68="Supporter",4)</f>
        <v/>
      </c>
      <c r="R68" s="68" t="n">
        <v>1</v>
      </c>
      <c r="S68" s="68" t="n">
        <v>0</v>
      </c>
      <c r="T68" s="68" t="n">
        <v>0</v>
      </c>
      <c r="U68" s="68" t="inlineStr">
        <is>
          <t>Spd</t>
        </is>
      </c>
      <c r="V68" s="68">
        <f t="array" ref="V68">_xlfn.IFS(N68="Attacker",80,N68="Healer",90,N68="Magician",100,N68="Defender",110,N68="Supporter",120)</f>
        <v/>
      </c>
      <c r="W68" s="68" t="inlineStr">
        <is>
          <t>Hp</t>
        </is>
      </c>
      <c r="X68" s="68" t="n">
        <v>5100</v>
      </c>
      <c r="Y68" s="68" t="inlineStr">
        <is>
          <t>Atk</t>
        </is>
      </c>
      <c r="Z68" s="68" t="n">
        <v>420</v>
      </c>
      <c r="AA68" s="68" t="inlineStr">
        <is>
          <t>Def</t>
        </is>
      </c>
      <c r="AB68" s="68" t="n">
        <v>120</v>
      </c>
      <c r="AC68" s="68" t="inlineStr">
        <is>
          <t>Penetration</t>
        </is>
      </c>
      <c r="AD68" s="68" t="n">
        <v>187</v>
      </c>
      <c r="AE68" s="68" t="inlineStr">
        <is>
          <t>Hit</t>
        </is>
      </c>
      <c r="AF68" s="68" t="n">
        <v>100</v>
      </c>
      <c r="AG68" s="68" t="inlineStr">
        <is>
          <t>Dodge</t>
        </is>
      </c>
      <c r="AH68" s="68" t="n">
        <v>100</v>
      </c>
      <c r="AI68" s="68" t="inlineStr">
        <is>
          <t>CriRatio</t>
        </is>
      </c>
      <c r="AJ68" s="68" t="n">
        <v>5000</v>
      </c>
      <c r="AK68" s="68" t="inlineStr">
        <is>
          <t>CriDmgRatio</t>
        </is>
      </c>
      <c r="AL68" s="68" t="n">
        <v>150000</v>
      </c>
      <c r="AM68" s="68" t="n">
        <v>1321221</v>
      </c>
      <c r="AN68" s="68" t="b">
        <v>1</v>
      </c>
      <c r="AO68" s="68" t="n">
        <v>2321221</v>
      </c>
      <c r="AP68" s="68" t="b">
        <v>1</v>
      </c>
      <c r="AQ68" s="68" t="n">
        <v>3321221</v>
      </c>
      <c r="AR68" s="68" t="b">
        <v>1</v>
      </c>
      <c r="AS68" s="68" t="n">
        <v>4321221</v>
      </c>
      <c r="AT68" s="68" t="b">
        <v>0</v>
      </c>
      <c r="AU68" s="68" t="n"/>
      <c r="AV68" s="68" t="n"/>
      <c r="AW68" s="68" t="n"/>
      <c r="AX68" s="68" t="n"/>
    </row>
    <row r="69" ht="16.5" customHeight="1" s="66">
      <c r="A69" s="68" t="n">
        <v>10000281</v>
      </c>
      <c r="B69" s="68" t="inlineStr">
        <is>
          <t>티스베</t>
        </is>
      </c>
      <c r="C69" s="68" t="n">
        <v>128101</v>
      </c>
      <c r="D69" s="68">
        <f>"c"&amp;MID(C69,2,3)</f>
        <v/>
      </c>
      <c r="E69" s="68">
        <f>"character_name_"&amp;A69</f>
        <v/>
      </c>
      <c r="F69" s="68">
        <f>D69&amp;"_profile"</f>
        <v/>
      </c>
      <c r="G69" s="68" t="inlineStr">
        <is>
          <t>None</t>
        </is>
      </c>
      <c r="H69" s="68" t="inlineStr">
        <is>
          <t>Normal</t>
        </is>
      </c>
      <c r="I69" s="68" t="inlineStr">
        <is>
          <t>0.95,0.95,0.95</t>
        </is>
      </c>
      <c r="J69" s="68" t="b">
        <v>1</v>
      </c>
      <c r="K69" s="24" t="inlineStr">
        <is>
          <t>0,0,0</t>
        </is>
      </c>
      <c r="L69" s="68" t="n">
        <v>3</v>
      </c>
      <c r="M69" s="68" t="inlineStr">
        <is>
          <t>Water</t>
        </is>
      </c>
      <c r="N69" s="68" t="inlineStr">
        <is>
          <t>Healer</t>
        </is>
      </c>
      <c r="O69" s="68">
        <f>100+L69</f>
        <v/>
      </c>
      <c r="P69" s="68">
        <f t="array" ref="P69">_xlfn.IFS($N69="Attacker",6,$N69="Healer",3,$N69="Magician",4,$N69="Defender",3,$N69="Supporter",4)</f>
        <v/>
      </c>
      <c r="Q69" s="68">
        <f t="array" ref="Q69">_xlfn.IFS($N69="Attacker",6,$N69="Healer",3,$N69="Magician",4,$N69="Defender",3,$N69="Supporter",4)</f>
        <v/>
      </c>
      <c r="R69" s="68" t="n">
        <v>1</v>
      </c>
      <c r="S69" s="68" t="n">
        <v>0</v>
      </c>
      <c r="T69" s="68" t="n">
        <v>0</v>
      </c>
      <c r="U69" s="68" t="inlineStr">
        <is>
          <t>Spd</t>
        </is>
      </c>
      <c r="V69" s="68">
        <f t="array" ref="V69">_xlfn.IFS(N69="Attacker",80,N69="Healer",90,N69="Magician",100,N69="Defender",110,N69="Supporter",120)</f>
        <v/>
      </c>
      <c r="W69" s="68" t="inlineStr">
        <is>
          <t>Hp</t>
        </is>
      </c>
      <c r="X69" s="68" t="n">
        <v>5909</v>
      </c>
      <c r="Y69" s="68" t="inlineStr">
        <is>
          <t>Atk</t>
        </is>
      </c>
      <c r="Z69" s="68" t="n">
        <v>198</v>
      </c>
      <c r="AA69" s="68" t="inlineStr">
        <is>
          <t>Def</t>
        </is>
      </c>
      <c r="AB69" s="68" t="n">
        <v>142</v>
      </c>
      <c r="AC69" s="68" t="inlineStr">
        <is>
          <t>Penetration</t>
        </is>
      </c>
      <c r="AD69" s="68" t="n">
        <v>156</v>
      </c>
      <c r="AE69" s="68" t="inlineStr">
        <is>
          <t>Hit</t>
        </is>
      </c>
      <c r="AF69" s="68" t="n">
        <v>100</v>
      </c>
      <c r="AG69" s="68" t="inlineStr">
        <is>
          <t>Dodge</t>
        </is>
      </c>
      <c r="AH69" s="68" t="n">
        <v>100</v>
      </c>
      <c r="AI69" s="68" t="inlineStr">
        <is>
          <t>CriRatio</t>
        </is>
      </c>
      <c r="AJ69" s="68" t="n">
        <v>5000</v>
      </c>
      <c r="AK69" s="68" t="inlineStr">
        <is>
          <t>CriDmgRatio</t>
        </is>
      </c>
      <c r="AL69" s="68" t="n">
        <v>150000</v>
      </c>
      <c r="AM69" s="68" t="n">
        <v>1524331</v>
      </c>
      <c r="AN69" s="68" t="b">
        <v>1</v>
      </c>
      <c r="AO69" s="68" t="n">
        <v>2524331</v>
      </c>
      <c r="AP69" s="68" t="b">
        <v>1</v>
      </c>
      <c r="AQ69" s="68" t="n">
        <v>3524331</v>
      </c>
      <c r="AR69" s="68" t="b">
        <v>1</v>
      </c>
      <c r="AS69" s="68" t="n">
        <v>4524331</v>
      </c>
      <c r="AT69" s="68" t="b">
        <v>0</v>
      </c>
      <c r="AU69" s="68" t="n"/>
      <c r="AV69" s="68" t="n"/>
      <c r="AW69" s="68" t="n"/>
      <c r="AX69" s="68" t="n"/>
    </row>
    <row r="70" ht="16.5" customHeight="1" s="66">
      <c r="A70" s="68" t="n">
        <v>10000537</v>
      </c>
      <c r="B70" s="68" t="inlineStr">
        <is>
          <t>엘리시온</t>
        </is>
      </c>
      <c r="C70" s="68" t="n">
        <v>153701</v>
      </c>
      <c r="D70" s="68">
        <f>"c"&amp;MID(C70,2,3)</f>
        <v/>
      </c>
      <c r="E70" s="68">
        <f>"character_name_"&amp;A70</f>
        <v/>
      </c>
      <c r="F70" s="68">
        <f>D70&amp;"_profile"</f>
        <v/>
      </c>
      <c r="G70" s="68" t="inlineStr">
        <is>
          <t>None</t>
        </is>
      </c>
      <c r="H70" s="68" t="inlineStr">
        <is>
          <t>Normal</t>
        </is>
      </c>
      <c r="I70" s="68" t="inlineStr">
        <is>
          <t>0.95,0.95,0.95</t>
        </is>
      </c>
      <c r="J70" s="68" t="b">
        <v>1</v>
      </c>
      <c r="K70" s="24" t="inlineStr">
        <is>
          <t>0,0,0</t>
        </is>
      </c>
      <c r="L70" s="68" t="n">
        <v>3</v>
      </c>
      <c r="M70" s="68" t="inlineStr">
        <is>
          <t>Water</t>
        </is>
      </c>
      <c r="N70" s="68" t="inlineStr">
        <is>
          <t>Defender</t>
        </is>
      </c>
      <c r="O70" s="68">
        <f>100+L70</f>
        <v/>
      </c>
      <c r="P70" s="68">
        <f t="array" ref="P70">_xlfn.IFS($N70="Attacker",6,$N70="Healer",3,$N70="Magician",4,$N70="Defender",3,$N70="Supporter",4)</f>
        <v/>
      </c>
      <c r="Q70" s="68">
        <f t="array" ref="Q70">_xlfn.IFS($N70="Attacker",6,$N70="Healer",3,$N70="Magician",4,$N70="Defender",3,$N70="Supporter",4)</f>
        <v/>
      </c>
      <c r="R70" s="68" t="n">
        <v>1</v>
      </c>
      <c r="S70" s="68" t="n">
        <v>0</v>
      </c>
      <c r="T70" s="68" t="n">
        <v>0</v>
      </c>
      <c r="U70" s="68" t="inlineStr">
        <is>
          <t>Spd</t>
        </is>
      </c>
      <c r="V70" s="68">
        <f t="array" ref="V70">_xlfn.IFS(N70="Attacker",80,N70="Healer",90,N70="Magician",100,N70="Defender",110,N70="Supporter",120)</f>
        <v/>
      </c>
      <c r="W70" s="68" t="inlineStr">
        <is>
          <t>Hp</t>
        </is>
      </c>
      <c r="X70" s="68" t="n">
        <v>6475</v>
      </c>
      <c r="Y70" s="68" t="inlineStr">
        <is>
          <t>Atk</t>
        </is>
      </c>
      <c r="Z70" s="68" t="n">
        <v>168</v>
      </c>
      <c r="AA70" s="68" t="inlineStr">
        <is>
          <t>Def</t>
        </is>
      </c>
      <c r="AB70" s="68" t="n">
        <v>151</v>
      </c>
      <c r="AC70" s="68" t="inlineStr">
        <is>
          <t>Penetration</t>
        </is>
      </c>
      <c r="AD70" s="68" t="n">
        <v>151</v>
      </c>
      <c r="AE70" s="68" t="inlineStr">
        <is>
          <t>Hit</t>
        </is>
      </c>
      <c r="AF70" s="68" t="n">
        <v>100</v>
      </c>
      <c r="AG70" s="68" t="inlineStr">
        <is>
          <t>Dodge</t>
        </is>
      </c>
      <c r="AH70" s="68" t="n">
        <v>100</v>
      </c>
      <c r="AI70" s="68" t="inlineStr">
        <is>
          <t>CriRatio</t>
        </is>
      </c>
      <c r="AJ70" s="68" t="n">
        <v>5000</v>
      </c>
      <c r="AK70" s="68" t="inlineStr">
        <is>
          <t>CriDmgRatio</t>
        </is>
      </c>
      <c r="AL70" s="68" t="n">
        <v>150000</v>
      </c>
      <c r="AM70" s="68" t="n"/>
      <c r="AN70" s="68" t="n"/>
      <c r="AO70" s="68" t="n"/>
      <c r="AP70" s="68" t="n"/>
      <c r="AQ70" s="68" t="n"/>
      <c r="AR70" s="68" t="n"/>
      <c r="AS70" s="68" t="n"/>
      <c r="AT70" s="68" t="n"/>
      <c r="AU70" s="68" t="n"/>
      <c r="AV70" s="68" t="n"/>
      <c r="AW70" s="68" t="n"/>
      <c r="AX70" s="68" t="n"/>
    </row>
    <row r="71" ht="16.5" customHeight="1" s="66">
      <c r="A71" s="68" t="n">
        <v>10000167</v>
      </c>
      <c r="B71" s="68" t="inlineStr">
        <is>
          <t>상아</t>
        </is>
      </c>
      <c r="C71" s="68" t="n">
        <v>116701</v>
      </c>
      <c r="D71" s="68">
        <f>"c"&amp;MID(C71,2,3)</f>
        <v/>
      </c>
      <c r="E71" s="68">
        <f>"character_name_"&amp;A71</f>
        <v/>
      </c>
      <c r="F71" s="68">
        <f>D71&amp;"_profile"</f>
        <v/>
      </c>
      <c r="G71" s="68" t="inlineStr">
        <is>
          <t>None</t>
        </is>
      </c>
      <c r="H71" s="68" t="inlineStr">
        <is>
          <t>Normal</t>
        </is>
      </c>
      <c r="I71" s="68" t="inlineStr">
        <is>
          <t>0.95,0.95,0.95</t>
        </is>
      </c>
      <c r="J71" s="68" t="b">
        <v>1</v>
      </c>
      <c r="K71" s="24" t="inlineStr">
        <is>
          <t>0,0,0</t>
        </is>
      </c>
      <c r="L71" s="68" t="n">
        <v>3</v>
      </c>
      <c r="M71" s="68" t="inlineStr">
        <is>
          <t>Water</t>
        </is>
      </c>
      <c r="N71" s="68" t="inlineStr">
        <is>
          <t>Supporter</t>
        </is>
      </c>
      <c r="O71" s="68">
        <f>100+L71</f>
        <v/>
      </c>
      <c r="P71" s="68">
        <f t="array" ref="P71">_xlfn.IFS($N71="Attacker",6,$N71="Healer",3,$N71="Magician",4,$N71="Defender",3,$N71="Supporter",4)</f>
        <v/>
      </c>
      <c r="Q71" s="68">
        <f t="array" ref="Q71">_xlfn.IFS($N71="Attacker",6,$N71="Healer",3,$N71="Magician",4,$N71="Defender",3,$N71="Supporter",4)</f>
        <v/>
      </c>
      <c r="R71" s="68" t="n">
        <v>1</v>
      </c>
      <c r="S71" s="68" t="n">
        <v>0</v>
      </c>
      <c r="T71" s="68" t="n">
        <v>0</v>
      </c>
      <c r="U71" s="68" t="inlineStr">
        <is>
          <t>Spd</t>
        </is>
      </c>
      <c r="V71" s="68">
        <f t="array" ref="V71">_xlfn.IFS(N71="Attacker",80,N71="Healer",90,N71="Magician",100,N71="Defender",110,N71="Supporter",120)</f>
        <v/>
      </c>
      <c r="W71" s="68" t="inlineStr">
        <is>
          <t>Hp</t>
        </is>
      </c>
      <c r="X71" s="68" t="n">
        <v>5909</v>
      </c>
      <c r="Y71" s="68" t="inlineStr">
        <is>
          <t>Atk</t>
        </is>
      </c>
      <c r="Z71" s="68" t="n">
        <v>198</v>
      </c>
      <c r="AA71" s="68" t="inlineStr">
        <is>
          <t>Def</t>
        </is>
      </c>
      <c r="AB71" s="68" t="n">
        <v>142</v>
      </c>
      <c r="AC71" s="68" t="inlineStr">
        <is>
          <t>Penetration</t>
        </is>
      </c>
      <c r="AD71" s="68" t="n">
        <v>142</v>
      </c>
      <c r="AE71" s="68" t="inlineStr">
        <is>
          <t>Hit</t>
        </is>
      </c>
      <c r="AF71" s="68" t="n">
        <v>100</v>
      </c>
      <c r="AG71" s="68" t="inlineStr">
        <is>
          <t>Dodge</t>
        </is>
      </c>
      <c r="AH71" s="68" t="n">
        <v>100</v>
      </c>
      <c r="AI71" s="68" t="inlineStr">
        <is>
          <t>CriRatio</t>
        </is>
      </c>
      <c r="AJ71" s="68" t="n">
        <v>5000</v>
      </c>
      <c r="AK71" s="68" t="inlineStr">
        <is>
          <t>CriDmgRatio</t>
        </is>
      </c>
      <c r="AL71" s="68" t="n">
        <v>150000</v>
      </c>
      <c r="AM71" s="68" t="n"/>
      <c r="AN71" s="68" t="n"/>
      <c r="AO71" s="68" t="n"/>
      <c r="AP71" s="68" t="n"/>
      <c r="AQ71" s="68" t="n"/>
      <c r="AR71" s="68" t="n"/>
      <c r="AS71" s="68" t="n"/>
      <c r="AT71" s="68" t="n"/>
      <c r="AU71" s="68" t="n"/>
      <c r="AV71" s="68" t="n"/>
      <c r="AW71" s="68" t="n"/>
      <c r="AX71" s="68" t="n"/>
    </row>
    <row r="72">
      <c r="A72" t="n">
        <v>10000339</v>
      </c>
      <c r="B72" t="inlineStr">
        <is>
          <t>다비</t>
        </is>
      </c>
      <c r="C72" t="n">
        <v>1033901</v>
      </c>
      <c r="D72" t="inlineStr">
        <is>
          <t>c339</t>
        </is>
      </c>
      <c r="E72" t="inlineStr">
        <is>
          <t>character_name_10000339</t>
        </is>
      </c>
      <c r="F72">
        <f>D72&amp;"_profile"</f>
        <v/>
      </c>
      <c r="H72" t="inlineStr">
        <is>
          <t>Normal</t>
        </is>
      </c>
      <c r="I72" t="inlineStr">
        <is>
          <t>0.95,0.95,0.95</t>
        </is>
      </c>
      <c r="J72" t="b">
        <v>1</v>
      </c>
      <c r="K72" t="inlineStr">
        <is>
          <t>0,0,0</t>
        </is>
      </c>
      <c r="L72" t="n">
        <v>3</v>
      </c>
      <c r="M72" t="inlineStr">
        <is>
          <t>Fire</t>
        </is>
      </c>
      <c r="N72" t="inlineStr">
        <is>
          <t>Magician</t>
        </is>
      </c>
      <c r="O72">
        <f>100+L72</f>
        <v/>
      </c>
      <c r="P72" t="n">
        <v>6</v>
      </c>
      <c r="Q72" t="n">
        <v>6</v>
      </c>
      <c r="R72" t="n">
        <v>1</v>
      </c>
      <c r="S72" t="n">
        <v>0</v>
      </c>
      <c r="T72" t="n">
        <v>0</v>
      </c>
      <c r="U72" t="inlineStr">
        <is>
          <t>Spd</t>
        </is>
      </c>
      <c r="V72" t="n">
        <v>100</v>
      </c>
      <c r="W72" t="inlineStr">
        <is>
          <t>Hp</t>
        </is>
      </c>
      <c r="X72" t="n">
        <v>5500</v>
      </c>
    </row>
    <row r="73">
      <c r="A73" t="n">
        <v>10000393</v>
      </c>
      <c r="B73" t="inlineStr">
        <is>
          <t>모나</t>
        </is>
      </c>
      <c r="C73" t="n">
        <v>1039301</v>
      </c>
      <c r="D73" t="inlineStr">
        <is>
          <t>c393</t>
        </is>
      </c>
      <c r="E73" t="inlineStr">
        <is>
          <t>character_name_10000393</t>
        </is>
      </c>
      <c r="F73">
        <f>D73&amp;"_profile"</f>
        <v/>
      </c>
      <c r="H73" t="inlineStr">
        <is>
          <t>Normal</t>
        </is>
      </c>
      <c r="I73" t="inlineStr">
        <is>
          <t>0.95,0.95,0.95</t>
        </is>
      </c>
      <c r="J73" t="b">
        <v>1</v>
      </c>
      <c r="K73" t="inlineStr">
        <is>
          <t>0,0,0</t>
        </is>
      </c>
      <c r="L73" t="n">
        <v>3</v>
      </c>
      <c r="M73" t="inlineStr">
        <is>
          <t>Light</t>
        </is>
      </c>
      <c r="N73" t="inlineStr">
        <is>
          <t>Defender</t>
        </is>
      </c>
      <c r="O73">
        <f>100+L73</f>
        <v/>
      </c>
      <c r="P73" t="n">
        <v>6</v>
      </c>
      <c r="Q73" t="n">
        <v>6</v>
      </c>
      <c r="R73" t="n">
        <v>1</v>
      </c>
      <c r="S73" t="n">
        <v>0</v>
      </c>
      <c r="T73" t="n">
        <v>0</v>
      </c>
      <c r="U73" t="inlineStr">
        <is>
          <t>Spd</t>
        </is>
      </c>
      <c r="V73" t="n">
        <v>100</v>
      </c>
      <c r="W73" t="inlineStr">
        <is>
          <t>Hp</t>
        </is>
      </c>
      <c r="X73" t="n">
        <v>5500</v>
      </c>
    </row>
  </sheetData>
  <autoFilter ref="A3:AT37">
    <sortState ref="A4:AT71">
      <sortCondition ref="L3:L37"/>
    </sortState>
  </autoFilter>
  <conditionalFormatting sqref="M1:M1048576">
    <cfRule type="containsText" priority="1" operator="containsText" dxfId="52" text="Dark">
      <formula>NOT(ISERROR(SEARCH("Dark",M1)))</formula>
    </cfRule>
    <cfRule type="containsText" priority="2" operator="containsText" dxfId="51" text="Light">
      <formula>NOT(ISERROR(SEARCH("Light",M1)))</formula>
    </cfRule>
    <cfRule type="containsText" priority="3" operator="containsText" dxfId="50" text="Forest">
      <formula>NOT(ISERROR(SEARCH("Forest",M1)))</formula>
    </cfRule>
    <cfRule type="containsText" priority="4" operator="containsText" dxfId="49" text="Water">
      <formula>NOT(ISERROR(SEARCH("Water",M1)))</formula>
    </cfRule>
    <cfRule type="containsText" priority="5" operator="containsText" dxfId="48" text="Fire">
      <formula>NOT(ISERROR(SEARCH("Fire",M1)))</formula>
    </cfRule>
  </conditionalFormatting>
  <conditionalFormatting sqref="AM4 AO4 AQ4 AS4">
    <cfRule type="duplicateValues" priority="14" dxfId="0"/>
  </conditionalFormatting>
  <conditionalFormatting sqref="AM5 AO5 AQ5 AS5">
    <cfRule type="duplicateValues" priority="15" dxfId="0"/>
  </conditionalFormatting>
  <conditionalFormatting sqref="AM6 AO6 AQ6 AS6">
    <cfRule type="duplicateValues" priority="16" dxfId="0"/>
  </conditionalFormatting>
  <conditionalFormatting sqref="AM7">
    <cfRule type="duplicateValues" priority="18" dxfId="0"/>
  </conditionalFormatting>
  <conditionalFormatting sqref="AM8 AO8 AQ8 AS8">
    <cfRule type="duplicateValues" priority="19" dxfId="0"/>
  </conditionalFormatting>
  <conditionalFormatting sqref="AM9">
    <cfRule type="duplicateValues" priority="21" dxfId="0"/>
  </conditionalFormatting>
  <conditionalFormatting sqref="AM10:AM11 AO10:AO11 AQ10:AQ11 AS10:AS11">
    <cfRule type="duplicateValues" priority="67" dxfId="0"/>
  </conditionalFormatting>
  <conditionalFormatting sqref="AM12 AO12 AQ12 AS12">
    <cfRule type="duplicateValues" priority="12" dxfId="0"/>
  </conditionalFormatting>
  <conditionalFormatting sqref="AM13:AM34 AO13:AO34 AQ13:AQ34 AS13:AS34">
    <cfRule type="duplicateValues" priority="84" dxfId="0"/>
  </conditionalFormatting>
  <conditionalFormatting sqref="AO7 AQ7 AS7">
    <cfRule type="duplicateValues" priority="17" dxfId="0"/>
  </conditionalFormatting>
  <conditionalFormatting sqref="AO9 AQ9 AS9">
    <cfRule type="duplicateValues" priority="20" dxfId="0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176"/>
  <sheetViews>
    <sheetView topLeftCell="A4" zoomScaleNormal="100" workbookViewId="0">
      <pane xSplit="15" topLeftCell="P1" activePane="topRight" state="frozen"/>
      <selection pane="topRight" activeCell="W15" sqref="W15"/>
    </sheetView>
  </sheetViews>
  <sheetFormatPr baseColWidth="8" defaultRowHeight="16.5"/>
  <cols>
    <col width="9.375" bestFit="1" customWidth="1" style="68" min="1" max="1"/>
    <col width="9.625" bestFit="1" customWidth="1" style="68" min="2" max="2"/>
    <col width="6.75" bestFit="1" customWidth="1" style="68" min="3" max="3"/>
    <col width="9.75" bestFit="1" customWidth="1" style="68" min="4" max="4"/>
    <col width="20.625" bestFit="1" customWidth="1" style="68" min="5" max="5"/>
    <col width="20.625" customWidth="1" style="68" min="6" max="6"/>
    <col width="11.5" bestFit="1" customWidth="1" style="68" min="7" max="7"/>
    <col width="9" customWidth="1" style="68" min="8" max="8"/>
    <col width="8" bestFit="1" customWidth="1" style="68" min="9" max="9"/>
    <col width="9" customWidth="1" style="24" min="10" max="11"/>
    <col width="9" customWidth="1" style="68" min="12" max="12"/>
    <col width="9" customWidth="1" style="1" min="13" max="13"/>
    <col width="9" customWidth="1" style="68" min="14" max="14"/>
    <col outlineLevel="1" width="9" customWidth="1" style="68" min="15" max="15"/>
    <col outlineLevel="1" width="11.875" bestFit="1" customWidth="1" style="68" min="16" max="16"/>
    <col outlineLevel="1" width="11.875" customWidth="1" style="68" min="17" max="23"/>
    <col outlineLevel="1" width="9" customWidth="1" style="68" min="24" max="24"/>
    <col outlineLevel="1" width="10.25" bestFit="1" customWidth="1" style="68" min="25" max="25"/>
    <col outlineLevel="1" width="9" customWidth="1" style="68" min="26" max="37"/>
    <col outlineLevel="1" width="11.875" customWidth="1" style="68" min="38" max="38"/>
    <col outlineLevel="1" width="9" customWidth="1" style="68" min="39" max="39"/>
    <col width="9" customWidth="1" style="1" min="40" max="40"/>
    <col width="11.25" bestFit="1" customWidth="1" style="1" min="41" max="41"/>
    <col width="9" customWidth="1" style="1" min="42" max="46"/>
  </cols>
  <sheetData>
    <row r="1" customFormat="1" s="12">
      <c r="A1" s="5" t="inlineStr">
        <is>
          <t>Id</t>
        </is>
      </c>
      <c r="B1" s="6" t="inlineStr">
        <is>
          <t>#이름</t>
        </is>
      </c>
      <c r="C1" s="6" t="inlineStr">
        <is>
          <t>Skin</t>
        </is>
      </c>
      <c r="D1" s="6" t="inlineStr">
        <is>
          <t>#DefaultSoul</t>
        </is>
      </c>
      <c r="E1" s="6" t="inlineStr">
        <is>
          <t>Name</t>
        </is>
      </c>
      <c r="F1" s="6" t="inlineStr">
        <is>
          <t>Profile</t>
        </is>
      </c>
      <c r="G1" s="6" t="inlineStr">
        <is>
          <t>MonsterType</t>
        </is>
      </c>
      <c r="H1" s="6" t="inlineStr">
        <is>
          <t>Size</t>
        </is>
      </c>
      <c r="I1" s="6" t="inlineStr">
        <is>
          <t>#Difficuly</t>
        </is>
      </c>
      <c r="J1" s="39" t="inlineStr">
        <is>
          <t>Scale</t>
        </is>
      </c>
      <c r="K1" s="39" t="inlineStr">
        <is>
          <t>UseHud</t>
        </is>
      </c>
      <c r="L1" s="6" t="inlineStr">
        <is>
          <t>StatusOffset</t>
        </is>
      </c>
      <c r="M1" s="6" t="inlineStr">
        <is>
          <t>StarGrade</t>
        </is>
      </c>
      <c r="N1" s="6" t="inlineStr">
        <is>
          <t>Element</t>
        </is>
      </c>
      <c r="O1" s="6" t="inlineStr">
        <is>
          <t>Role</t>
        </is>
      </c>
      <c r="P1" s="6" t="inlineStr">
        <is>
          <t>LevelUpGroup</t>
        </is>
      </c>
      <c r="Q1" s="6" t="inlineStr">
        <is>
          <t>MaxSp</t>
        </is>
      </c>
      <c r="R1" s="6" t="inlineStr">
        <is>
          <t>UseSp</t>
        </is>
      </c>
      <c r="S1" s="6" t="inlineStr">
        <is>
          <t>TurnSp</t>
        </is>
      </c>
      <c r="T1" s="6" t="inlineStr">
        <is>
          <t>AtkSp</t>
        </is>
      </c>
      <c r="U1" s="6" t="inlineStr">
        <is>
          <t>HitSp</t>
        </is>
      </c>
      <c r="V1" s="6" t="inlineStr">
        <is>
          <t>StatParam</t>
        </is>
      </c>
      <c r="W1" s="6" t="inlineStr">
        <is>
          <t>StatValue</t>
        </is>
      </c>
      <c r="X1" s="6" t="inlineStr">
        <is>
          <t>StatParam</t>
        </is>
      </c>
      <c r="Y1" s="6" t="inlineStr">
        <is>
          <t>StatValue</t>
        </is>
      </c>
      <c r="Z1" s="6" t="inlineStr">
        <is>
          <t>StatParam</t>
        </is>
      </c>
      <c r="AA1" s="6" t="inlineStr">
        <is>
          <t>StatValue</t>
        </is>
      </c>
      <c r="AB1" s="6" t="inlineStr">
        <is>
          <t>StatParam</t>
        </is>
      </c>
      <c r="AC1" s="6" t="inlineStr">
        <is>
          <t>StatValue</t>
        </is>
      </c>
      <c r="AD1" s="6" t="inlineStr">
        <is>
          <t>StatParam</t>
        </is>
      </c>
      <c r="AE1" s="6" t="inlineStr">
        <is>
          <t>StatValue</t>
        </is>
      </c>
      <c r="AF1" s="6" t="inlineStr">
        <is>
          <t>StatParam</t>
        </is>
      </c>
      <c r="AG1" s="6" t="inlineStr">
        <is>
          <t>StatValue</t>
        </is>
      </c>
      <c r="AH1" s="6" t="inlineStr">
        <is>
          <t>StatParam</t>
        </is>
      </c>
      <c r="AI1" s="6" t="inlineStr">
        <is>
          <t>StatValue</t>
        </is>
      </c>
      <c r="AJ1" s="6" t="inlineStr">
        <is>
          <t>StatParam</t>
        </is>
      </c>
      <c r="AK1" s="6" t="inlineStr">
        <is>
          <t>StatValue</t>
        </is>
      </c>
      <c r="AL1" s="6" t="inlineStr">
        <is>
          <t>StatParam</t>
        </is>
      </c>
      <c r="AM1" s="6" t="inlineStr">
        <is>
          <t>StatValue</t>
        </is>
      </c>
      <c r="AN1" s="6" t="inlineStr">
        <is>
          <t>SkillId</t>
        </is>
      </c>
      <c r="AO1" s="6" t="inlineStr">
        <is>
          <t>DefaultCheck</t>
        </is>
      </c>
      <c r="AP1" s="6" t="inlineStr">
        <is>
          <t>SkillId</t>
        </is>
      </c>
      <c r="AQ1" s="6" t="inlineStr">
        <is>
          <t>DefaultCheck</t>
        </is>
      </c>
      <c r="AR1" s="6" t="inlineStr">
        <is>
          <t>SkillId</t>
        </is>
      </c>
      <c r="AS1" s="6" t="inlineStr">
        <is>
          <t>DefaultCheck</t>
        </is>
      </c>
      <c r="AT1" s="6" t="inlineStr">
        <is>
          <t>SkillId</t>
        </is>
      </c>
      <c r="AU1" s="6" t="inlineStr">
        <is>
          <t>DefaultCheck</t>
        </is>
      </c>
    </row>
    <row r="2" customFormat="1" s="3">
      <c r="A2" s="14" t="n"/>
      <c r="B2" s="23" t="n"/>
      <c r="C2" s="23" t="n"/>
      <c r="D2" s="23" t="n"/>
      <c r="E2" s="23" t="n"/>
      <c r="F2" s="23" t="n"/>
      <c r="G2" s="23" t="n"/>
      <c r="H2" s="23" t="n"/>
      <c r="I2" s="23" t="n"/>
      <c r="J2" s="25" t="n"/>
      <c r="K2" s="25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  <c r="AA2" s="23" t="n"/>
      <c r="AB2" s="23" t="n"/>
      <c r="AC2" s="23" t="n"/>
      <c r="AD2" s="23" t="n"/>
      <c r="AE2" s="23" t="n"/>
      <c r="AF2" s="23" t="n"/>
      <c r="AG2" s="23" t="n"/>
      <c r="AH2" s="23" t="n"/>
      <c r="AI2" s="23" t="n"/>
      <c r="AJ2" s="23" t="n"/>
      <c r="AK2" s="23" t="n"/>
      <c r="AL2" s="23" t="n"/>
      <c r="AM2" s="23" t="n"/>
      <c r="AN2" s="23" t="n"/>
      <c r="AO2" s="23" t="n"/>
      <c r="AP2" s="23" t="n"/>
      <c r="AQ2" s="23" t="n"/>
      <c r="AR2" s="23" t="n"/>
      <c r="AS2" s="23" t="n"/>
      <c r="AT2" s="23" t="n"/>
      <c r="AU2" s="23" t="n"/>
    </row>
    <row r="3" customFormat="1" s="3">
      <c r="A3" s="15" t="n"/>
      <c r="B3" s="16" t="n"/>
      <c r="C3" s="16" t="n"/>
      <c r="D3" s="16" t="n"/>
      <c r="E3" s="16" t="n"/>
      <c r="F3" s="16" t="n"/>
      <c r="G3" s="16" t="inlineStr">
        <is>
          <t>몬스터 타입</t>
        </is>
      </c>
      <c r="H3" s="16" t="inlineStr">
        <is>
          <t>크기</t>
        </is>
      </c>
      <c r="I3" s="16" t="inlineStr">
        <is>
          <t>난이도</t>
        </is>
      </c>
      <c r="J3" s="28" t="n"/>
      <c r="K3" s="28" t="n"/>
      <c r="L3" s="16" t="n"/>
      <c r="M3" s="16" t="inlineStr">
        <is>
          <t>등급</t>
        </is>
      </c>
      <c r="N3" s="16" t="inlineStr">
        <is>
          <t>속성</t>
        </is>
      </c>
      <c r="O3" s="16" t="inlineStr">
        <is>
          <t>직업</t>
        </is>
      </c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  <c r="AH3" s="16" t="n"/>
      <c r="AI3" s="16" t="n"/>
      <c r="AJ3" s="16" t="n"/>
      <c r="AK3" s="16" t="n"/>
      <c r="AL3" s="16" t="n"/>
      <c r="AM3" s="16" t="n"/>
      <c r="AN3" s="16" t="inlineStr">
        <is>
          <t>Normal</t>
        </is>
      </c>
      <c r="AO3" s="16" t="n"/>
      <c r="AP3" s="16" t="inlineStr">
        <is>
          <t>Active</t>
        </is>
      </c>
      <c r="AQ3" s="16" t="n"/>
      <c r="AR3" s="16" t="inlineStr">
        <is>
          <t>Ultimate</t>
        </is>
      </c>
      <c r="AS3" s="16" t="n"/>
      <c r="AT3" s="16" t="inlineStr">
        <is>
          <t>Passive</t>
        </is>
      </c>
      <c r="AU3" s="16" t="n"/>
    </row>
    <row r="4" customFormat="1" s="7">
      <c r="A4" s="30" t="n">
        <v>20130101</v>
      </c>
      <c r="B4" s="30" t="inlineStr">
        <is>
          <t>봉제인형</t>
        </is>
      </c>
      <c r="C4" s="30" t="n">
        <v>201301</v>
      </c>
      <c r="D4" s="30" t="n">
        <v>0</v>
      </c>
      <c r="E4" s="30" t="inlineStr">
        <is>
          <t>character_name_20130101</t>
        </is>
      </c>
      <c r="F4" s="30" t="n"/>
      <c r="G4" s="30" t="inlineStr">
        <is>
          <t>Normal</t>
        </is>
      </c>
      <c r="H4" s="30" t="inlineStr">
        <is>
          <t>Normal</t>
        </is>
      </c>
      <c r="I4" s="30" t="n">
        <v>1</v>
      </c>
      <c r="J4" s="38" t="inlineStr">
        <is>
          <t>1,1,1</t>
        </is>
      </c>
      <c r="K4" s="68" t="b">
        <v>1</v>
      </c>
      <c r="L4" s="38" t="inlineStr">
        <is>
          <t>0,0,0</t>
        </is>
      </c>
      <c r="M4" s="30" t="n">
        <v>2</v>
      </c>
      <c r="N4" s="30" t="inlineStr">
        <is>
          <t>Fire</t>
        </is>
      </c>
      <c r="O4" s="30" t="inlineStr">
        <is>
          <t>Defender</t>
        </is>
      </c>
      <c r="P4" s="30" t="n">
        <v>200</v>
      </c>
      <c r="Q4" s="30">
        <f t="array" ref="Q4">_xlfn.IFS($O4="Attacker",6,$O4="Healer",3,$O4="Magician",4,$O4="Defender",3,$O4="Supporter",4)</f>
        <v/>
      </c>
      <c r="R4" s="1">
        <f t="array" ref="R4">_xlfn.IFS($O4="Attacker",6,$O4="Healer",3,$O4="Magician",4,$O4="Defender",3,$O4="Supporter",4)</f>
        <v/>
      </c>
      <c r="S4" s="30" t="n">
        <v>1</v>
      </c>
      <c r="T4" s="30" t="n">
        <v>0</v>
      </c>
      <c r="U4" s="30" t="n">
        <v>0</v>
      </c>
      <c r="V4" s="30" t="inlineStr">
        <is>
          <t>Spd</t>
        </is>
      </c>
      <c r="W4" s="1">
        <f t="array" ref="W4">_xlfn.IFS(O4="Attacker",80,O4="Healer",90,O4="Magician",100,O4="Defender",110,O4="Supporter",120)</f>
        <v/>
      </c>
      <c r="X4" s="30" t="inlineStr">
        <is>
          <t>Hp</t>
        </is>
      </c>
      <c r="Y4" s="30" t="n">
        <v>1000</v>
      </c>
      <c r="Z4" s="30" t="inlineStr">
        <is>
          <t>Atk</t>
        </is>
      </c>
      <c r="AA4" s="30" t="n">
        <v>500</v>
      </c>
      <c r="AB4" s="30" t="inlineStr">
        <is>
          <t>Def</t>
        </is>
      </c>
      <c r="AC4" s="30" t="n">
        <v>20</v>
      </c>
      <c r="AD4" s="30" t="inlineStr">
        <is>
          <t>Penetration</t>
        </is>
      </c>
      <c r="AE4" s="30">
        <f>AC4</f>
        <v/>
      </c>
      <c r="AF4" s="30" t="inlineStr">
        <is>
          <t>Hit</t>
        </is>
      </c>
      <c r="AG4" s="30" t="n">
        <v>100</v>
      </c>
      <c r="AH4" s="30" t="inlineStr">
        <is>
          <t>Dodge</t>
        </is>
      </c>
      <c r="AI4" s="30" t="n">
        <v>80</v>
      </c>
      <c r="AJ4" s="30" t="inlineStr">
        <is>
          <t>CriRatio</t>
        </is>
      </c>
      <c r="AK4" s="30" t="n">
        <v>0</v>
      </c>
      <c r="AL4" s="30" t="inlineStr">
        <is>
          <t>CriDmgRatio</t>
        </is>
      </c>
      <c r="AM4" s="30" t="n">
        <v>150000</v>
      </c>
      <c r="AN4" s="30" t="n">
        <v>1842051</v>
      </c>
      <c r="AO4" s="30" t="b">
        <v>1</v>
      </c>
      <c r="AP4" s="30" t="n">
        <v>2842051</v>
      </c>
      <c r="AQ4" s="30" t="b">
        <v>1</v>
      </c>
      <c r="AR4" s="30" t="n">
        <v>0</v>
      </c>
      <c r="AS4" s="30" t="b">
        <v>0</v>
      </c>
      <c r="AT4" s="30" t="n">
        <v>0</v>
      </c>
      <c r="AU4" s="30" t="b">
        <v>0</v>
      </c>
    </row>
    <row r="5">
      <c r="A5" s="30" t="n">
        <v>20130201</v>
      </c>
      <c r="B5" s="30" t="inlineStr">
        <is>
          <t>봉제인형</t>
        </is>
      </c>
      <c r="C5" s="30" t="n">
        <v>201302</v>
      </c>
      <c r="D5" s="30" t="n">
        <v>0</v>
      </c>
      <c r="E5" s="30" t="inlineStr">
        <is>
          <t>character_name_20130201</t>
        </is>
      </c>
      <c r="F5" s="30" t="n"/>
      <c r="G5" s="30" t="inlineStr">
        <is>
          <t>Normal</t>
        </is>
      </c>
      <c r="H5" s="30" t="inlineStr">
        <is>
          <t>Normal</t>
        </is>
      </c>
      <c r="I5" s="30" t="n">
        <v>1</v>
      </c>
      <c r="J5" s="38" t="inlineStr">
        <is>
          <t>1,1,1</t>
        </is>
      </c>
      <c r="K5" s="68" t="b">
        <v>1</v>
      </c>
      <c r="L5" s="38" t="inlineStr">
        <is>
          <t>0,0,0</t>
        </is>
      </c>
      <c r="M5" s="30" t="n">
        <v>2</v>
      </c>
      <c r="N5" s="30" t="inlineStr">
        <is>
          <t>Fire</t>
        </is>
      </c>
      <c r="O5" s="30" t="inlineStr">
        <is>
          <t>Defender</t>
        </is>
      </c>
      <c r="P5" s="30" t="n">
        <v>200</v>
      </c>
      <c r="Q5" s="30">
        <f t="array" ref="Q5">_xlfn.IFS($O5="Attacker",6,$O5="Healer",3,$O5="Magician",4,$O5="Defender",3,$O5="Supporter",4)</f>
        <v/>
      </c>
      <c r="R5" s="30">
        <f t="array" ref="R5">_xlfn.IFS($O5="Attacker",6,$O5="Healer",3,$O5="Magician",4,$O5="Defender",3,$O5="Supporter",4)</f>
        <v/>
      </c>
      <c r="S5" s="30" t="n">
        <v>1</v>
      </c>
      <c r="T5" s="30" t="n">
        <v>0</v>
      </c>
      <c r="U5" s="30" t="n">
        <v>0</v>
      </c>
      <c r="V5" s="30" t="inlineStr">
        <is>
          <t>Spd</t>
        </is>
      </c>
      <c r="W5" s="30">
        <f t="array" ref="W5">_xlfn.IFS(O5="Attacker",80,O5="Healer",90,O5="Magician",100,O5="Defender",110,O5="Supporter",120)</f>
        <v/>
      </c>
      <c r="X5" s="30" t="inlineStr">
        <is>
          <t>Hp</t>
        </is>
      </c>
      <c r="Y5" s="30" t="n">
        <v>1000</v>
      </c>
      <c r="Z5" s="30" t="inlineStr">
        <is>
          <t>Atk</t>
        </is>
      </c>
      <c r="AA5" s="30" t="n">
        <v>500</v>
      </c>
      <c r="AB5" s="30" t="inlineStr">
        <is>
          <t>Def</t>
        </is>
      </c>
      <c r="AC5" s="30" t="n">
        <v>20</v>
      </c>
      <c r="AD5" s="30" t="inlineStr">
        <is>
          <t>Penetration</t>
        </is>
      </c>
      <c r="AE5" s="30">
        <f>AC5</f>
        <v/>
      </c>
      <c r="AF5" s="30" t="inlineStr">
        <is>
          <t>Hit</t>
        </is>
      </c>
      <c r="AG5" s="30" t="n">
        <v>100</v>
      </c>
      <c r="AH5" s="30" t="inlineStr">
        <is>
          <t>Dodge</t>
        </is>
      </c>
      <c r="AI5" s="30" t="n">
        <v>80</v>
      </c>
      <c r="AJ5" s="30" t="inlineStr">
        <is>
          <t>CriRatio</t>
        </is>
      </c>
      <c r="AK5" s="30" t="n">
        <v>0</v>
      </c>
      <c r="AL5" s="30" t="inlineStr">
        <is>
          <t>CriDmgRatio</t>
        </is>
      </c>
      <c r="AM5" s="30" t="n">
        <v>150000</v>
      </c>
      <c r="AN5" s="30" t="n">
        <v>1842051</v>
      </c>
      <c r="AO5" s="30" t="b">
        <v>1</v>
      </c>
      <c r="AP5" s="30" t="n">
        <v>2842051</v>
      </c>
      <c r="AQ5" s="30" t="b">
        <v>1</v>
      </c>
      <c r="AR5" s="30" t="n">
        <v>0</v>
      </c>
      <c r="AS5" s="30" t="b">
        <v>0</v>
      </c>
      <c r="AT5" s="30" t="n">
        <v>0</v>
      </c>
      <c r="AU5" s="30" t="b">
        <v>0</v>
      </c>
    </row>
    <row r="6">
      <c r="A6" s="30" t="n">
        <v>20130102</v>
      </c>
      <c r="B6" s="30" t="inlineStr">
        <is>
          <t>봉제인형</t>
        </is>
      </c>
      <c r="C6" s="30" t="n">
        <v>201301</v>
      </c>
      <c r="D6" s="30" t="n">
        <v>0</v>
      </c>
      <c r="E6" s="30" t="inlineStr">
        <is>
          <t>character_name_20130102</t>
        </is>
      </c>
      <c r="F6" s="30" t="n"/>
      <c r="G6" s="30" t="inlineStr">
        <is>
          <t>Normal</t>
        </is>
      </c>
      <c r="H6" s="30" t="inlineStr">
        <is>
          <t>Normal</t>
        </is>
      </c>
      <c r="I6" s="30" t="n">
        <v>2</v>
      </c>
      <c r="J6" s="38" t="inlineStr">
        <is>
          <t>1,1,1</t>
        </is>
      </c>
      <c r="K6" s="68" t="b">
        <v>1</v>
      </c>
      <c r="L6" s="38" t="inlineStr">
        <is>
          <t>0,0,0</t>
        </is>
      </c>
      <c r="M6" s="30" t="n">
        <v>2</v>
      </c>
      <c r="N6" s="30" t="inlineStr">
        <is>
          <t>Fire</t>
        </is>
      </c>
      <c r="O6" s="30" t="inlineStr">
        <is>
          <t>Defender</t>
        </is>
      </c>
      <c r="P6" s="30" t="n">
        <v>200</v>
      </c>
      <c r="Q6" s="30">
        <f t="array" ref="Q6">_xlfn.IFS($O6="Attacker",6,$O6="Healer",3,$O6="Magician",4,$O6="Defender",3,$O6="Supporter",4)</f>
        <v/>
      </c>
      <c r="R6" s="30">
        <f t="array" ref="R6">_xlfn.IFS($O6="Attacker",6,$O6="Healer",3,$O6="Magician",4,$O6="Defender",3,$O6="Supporter",4)</f>
        <v/>
      </c>
      <c r="S6" s="30" t="n">
        <v>1</v>
      </c>
      <c r="T6" s="30" t="n">
        <v>0</v>
      </c>
      <c r="U6" s="30" t="n">
        <v>0</v>
      </c>
      <c r="V6" s="30" t="inlineStr">
        <is>
          <t>Spd</t>
        </is>
      </c>
      <c r="W6" s="30">
        <f t="array" ref="W6">_xlfn.IFS(O6="Attacker",80,O6="Healer",90,O6="Magician",100,O6="Defender",110,O6="Supporter",120)</f>
        <v/>
      </c>
      <c r="X6" s="30" t="inlineStr">
        <is>
          <t>Hp</t>
        </is>
      </c>
      <c r="Y6" s="30" t="n">
        <v>1000</v>
      </c>
      <c r="Z6" s="30" t="inlineStr">
        <is>
          <t>Atk</t>
        </is>
      </c>
      <c r="AA6" s="30" t="n">
        <v>500</v>
      </c>
      <c r="AB6" s="30" t="inlineStr">
        <is>
          <t>Def</t>
        </is>
      </c>
      <c r="AC6" s="30" t="n">
        <v>20</v>
      </c>
      <c r="AD6" s="30" t="inlineStr">
        <is>
          <t>Penetration</t>
        </is>
      </c>
      <c r="AE6" s="30">
        <f>AC6</f>
        <v/>
      </c>
      <c r="AF6" s="30" t="inlineStr">
        <is>
          <t>Hit</t>
        </is>
      </c>
      <c r="AG6" s="30" t="n">
        <v>100</v>
      </c>
      <c r="AH6" s="30" t="inlineStr">
        <is>
          <t>Dodge</t>
        </is>
      </c>
      <c r="AI6" s="30" t="n">
        <v>80</v>
      </c>
      <c r="AJ6" s="30" t="inlineStr">
        <is>
          <t>CriRatio</t>
        </is>
      </c>
      <c r="AK6" s="30" t="n">
        <v>0</v>
      </c>
      <c r="AL6" s="30" t="inlineStr">
        <is>
          <t>CriDmgRatio</t>
        </is>
      </c>
      <c r="AM6" s="30" t="n">
        <v>150000</v>
      </c>
      <c r="AN6" s="30" t="n">
        <v>1842051</v>
      </c>
      <c r="AO6" s="30" t="b">
        <v>1</v>
      </c>
      <c r="AP6" s="30" t="n">
        <v>2842051</v>
      </c>
      <c r="AQ6" s="30" t="b">
        <v>1</v>
      </c>
      <c r="AR6" s="30" t="n">
        <v>0</v>
      </c>
      <c r="AS6" s="30" t="b">
        <v>0</v>
      </c>
      <c r="AT6" s="30" t="n">
        <v>0</v>
      </c>
      <c r="AU6" s="30" t="b">
        <v>0</v>
      </c>
    </row>
    <row r="7">
      <c r="A7" s="30" t="n">
        <v>20130202</v>
      </c>
      <c r="B7" s="30" t="inlineStr">
        <is>
          <t>봉제인형</t>
        </is>
      </c>
      <c r="C7" s="30" t="n">
        <v>201302</v>
      </c>
      <c r="D7" s="30" t="n">
        <v>0</v>
      </c>
      <c r="E7" s="30" t="inlineStr">
        <is>
          <t>character_name_20130202</t>
        </is>
      </c>
      <c r="F7" s="30" t="n"/>
      <c r="G7" s="30" t="inlineStr">
        <is>
          <t>Normal</t>
        </is>
      </c>
      <c r="H7" s="30" t="inlineStr">
        <is>
          <t>Normal</t>
        </is>
      </c>
      <c r="I7" s="30" t="n">
        <v>2</v>
      </c>
      <c r="J7" s="38" t="inlineStr">
        <is>
          <t>1,1,1</t>
        </is>
      </c>
      <c r="K7" s="68" t="b">
        <v>1</v>
      </c>
      <c r="L7" s="38" t="inlineStr">
        <is>
          <t>0,0,0</t>
        </is>
      </c>
      <c r="M7" s="30" t="n">
        <v>2</v>
      </c>
      <c r="N7" s="30" t="inlineStr">
        <is>
          <t>Fire</t>
        </is>
      </c>
      <c r="O7" s="30" t="inlineStr">
        <is>
          <t>Defender</t>
        </is>
      </c>
      <c r="P7" s="30" t="n">
        <v>200</v>
      </c>
      <c r="Q7" s="30">
        <f t="array" ref="Q7">_xlfn.IFS($O7="Attacker",6,$O7="Healer",3,$O7="Magician",4,$O7="Defender",3,$O7="Supporter",4)</f>
        <v/>
      </c>
      <c r="R7" s="30">
        <f t="array" ref="R7">_xlfn.IFS($O7="Attacker",6,$O7="Healer",3,$O7="Magician",4,$O7="Defender",3,$O7="Supporter",4)</f>
        <v/>
      </c>
      <c r="S7" s="30" t="n">
        <v>1</v>
      </c>
      <c r="T7" s="30" t="n">
        <v>0</v>
      </c>
      <c r="U7" s="30" t="n">
        <v>0</v>
      </c>
      <c r="V7" s="30" t="inlineStr">
        <is>
          <t>Spd</t>
        </is>
      </c>
      <c r="W7" s="30">
        <f t="array" ref="W7">_xlfn.IFS(O7="Attacker",80,O7="Healer",90,O7="Magician",100,O7="Defender",110,O7="Supporter",120)</f>
        <v/>
      </c>
      <c r="X7" s="30" t="inlineStr">
        <is>
          <t>Hp</t>
        </is>
      </c>
      <c r="Y7" s="30" t="n">
        <v>1000</v>
      </c>
      <c r="Z7" s="30" t="inlineStr">
        <is>
          <t>Atk</t>
        </is>
      </c>
      <c r="AA7" s="30" t="n">
        <v>500</v>
      </c>
      <c r="AB7" s="30" t="inlineStr">
        <is>
          <t>Def</t>
        </is>
      </c>
      <c r="AC7" s="30" t="n">
        <v>20</v>
      </c>
      <c r="AD7" s="30" t="inlineStr">
        <is>
          <t>Penetration</t>
        </is>
      </c>
      <c r="AE7" s="30">
        <f>AC7</f>
        <v/>
      </c>
      <c r="AF7" s="30" t="inlineStr">
        <is>
          <t>Hit</t>
        </is>
      </c>
      <c r="AG7" s="30" t="n">
        <v>100</v>
      </c>
      <c r="AH7" s="30" t="inlineStr">
        <is>
          <t>Dodge</t>
        </is>
      </c>
      <c r="AI7" s="30" t="n">
        <v>80</v>
      </c>
      <c r="AJ7" s="30" t="inlineStr">
        <is>
          <t>CriRatio</t>
        </is>
      </c>
      <c r="AK7" s="30" t="n">
        <v>0</v>
      </c>
      <c r="AL7" s="30" t="inlineStr">
        <is>
          <t>CriDmgRatio</t>
        </is>
      </c>
      <c r="AM7" s="30" t="n">
        <v>150000</v>
      </c>
      <c r="AN7" s="30" t="n">
        <v>1842051</v>
      </c>
      <c r="AO7" s="30" t="b">
        <v>1</v>
      </c>
      <c r="AP7" s="30" t="n">
        <v>2842051</v>
      </c>
      <c r="AQ7" s="30" t="b">
        <v>1</v>
      </c>
      <c r="AR7" s="30" t="n">
        <v>0</v>
      </c>
      <c r="AS7" s="30" t="b">
        <v>0</v>
      </c>
      <c r="AT7" s="30" t="n">
        <v>0</v>
      </c>
      <c r="AU7" s="30" t="b">
        <v>0</v>
      </c>
    </row>
    <row r="8">
      <c r="A8" s="68" t="n">
        <v>20730101</v>
      </c>
      <c r="B8" s="68" t="inlineStr">
        <is>
          <t>큐브-화</t>
        </is>
      </c>
      <c r="C8" s="68" t="n">
        <v>207301</v>
      </c>
      <c r="D8" s="68" t="n">
        <v>0</v>
      </c>
      <c r="E8" s="68" t="inlineStr">
        <is>
          <t>character_name_20730101</t>
        </is>
      </c>
      <c r="G8" s="68" t="inlineStr">
        <is>
          <t>Normal</t>
        </is>
      </c>
      <c r="H8" s="68" t="inlineStr">
        <is>
          <t>Normal</t>
        </is>
      </c>
      <c r="I8" s="68" t="n">
        <v>1</v>
      </c>
      <c r="J8" s="24" t="inlineStr">
        <is>
          <t>1,1,1</t>
        </is>
      </c>
      <c r="K8" s="68" t="b">
        <v>1</v>
      </c>
      <c r="L8" s="24" t="inlineStr">
        <is>
          <t>0,0,0</t>
        </is>
      </c>
      <c r="M8" s="68" t="n">
        <v>2</v>
      </c>
      <c r="N8" s="68" t="inlineStr">
        <is>
          <t>Fire</t>
        </is>
      </c>
      <c r="O8" s="68" t="inlineStr">
        <is>
          <t>Defender</t>
        </is>
      </c>
      <c r="P8" s="68" t="n">
        <v>200</v>
      </c>
      <c r="Q8" s="68">
        <f t="array" ref="Q8">_xlfn.IFS($O8="Attacker",6,$O8="Healer",3,$O8="Magician",4,$O8="Defender",3,$O8="Supporter",4)</f>
        <v/>
      </c>
      <c r="R8" s="68">
        <f t="array" ref="R8">_xlfn.IFS($O8="Attacker",6,$O8="Healer",3,$O8="Magician",4,$O8="Defender",3,$O8="Supporter",4)</f>
        <v/>
      </c>
      <c r="S8" s="68" t="n">
        <v>1</v>
      </c>
      <c r="T8" s="68" t="n">
        <v>0</v>
      </c>
      <c r="U8" s="68" t="n">
        <v>0</v>
      </c>
      <c r="V8" s="68" t="inlineStr">
        <is>
          <t>Spd</t>
        </is>
      </c>
      <c r="W8" s="68">
        <f t="array" ref="W8">_xlfn.IFS(O8="Attacker",80,O8="Healer",90,O8="Magician",100,O8="Defender",110,O8="Supporter",120)</f>
        <v/>
      </c>
      <c r="X8" s="68" t="inlineStr">
        <is>
          <t>Hp</t>
        </is>
      </c>
      <c r="Y8" s="68" t="n">
        <v>300</v>
      </c>
      <c r="Z8" s="68" t="inlineStr">
        <is>
          <t>Atk</t>
        </is>
      </c>
      <c r="AA8" s="68" t="n">
        <v>200</v>
      </c>
      <c r="AB8" s="68" t="inlineStr">
        <is>
          <t>Def</t>
        </is>
      </c>
      <c r="AC8" s="68" t="n">
        <v>0</v>
      </c>
      <c r="AD8" s="68" t="inlineStr">
        <is>
          <t>Penetration</t>
        </is>
      </c>
      <c r="AE8" s="68" t="n">
        <v>0</v>
      </c>
      <c r="AF8" s="68" t="inlineStr">
        <is>
          <t>Hit</t>
        </is>
      </c>
      <c r="AG8" s="68" t="n">
        <v>100</v>
      </c>
      <c r="AH8" s="68" t="inlineStr">
        <is>
          <t>Dodge</t>
        </is>
      </c>
      <c r="AI8" s="68" t="n">
        <v>100</v>
      </c>
      <c r="AJ8" s="68" t="inlineStr">
        <is>
          <t>CriRatio</t>
        </is>
      </c>
      <c r="AK8" s="68" t="n">
        <v>5000</v>
      </c>
      <c r="AL8" s="68" t="inlineStr">
        <is>
          <t>CriDmgRatio</t>
        </is>
      </c>
      <c r="AM8" s="68" t="n">
        <v>150000</v>
      </c>
      <c r="AN8" s="68" t="n">
        <v>1811041</v>
      </c>
      <c r="AO8" s="68" t="b">
        <v>1</v>
      </c>
      <c r="AP8" s="68" t="n">
        <v>2811041</v>
      </c>
      <c r="AQ8" s="68" t="b">
        <v>1</v>
      </c>
      <c r="AR8" s="68" t="n">
        <v>0</v>
      </c>
      <c r="AS8" s="68" t="b">
        <v>0</v>
      </c>
      <c r="AT8" s="68" t="n">
        <v>0</v>
      </c>
      <c r="AU8" s="68" t="b">
        <v>0</v>
      </c>
    </row>
    <row r="9">
      <c r="A9" s="68" t="n">
        <v>20730201</v>
      </c>
      <c r="B9" s="68" t="inlineStr">
        <is>
          <t>큐브-수</t>
        </is>
      </c>
      <c r="C9" s="68" t="n">
        <v>207302</v>
      </c>
      <c r="D9" s="68" t="n">
        <v>0</v>
      </c>
      <c r="E9" s="68" t="inlineStr">
        <is>
          <t>character_name_20730201</t>
        </is>
      </c>
      <c r="G9" s="68" t="inlineStr">
        <is>
          <t>Normal</t>
        </is>
      </c>
      <c r="H9" s="68" t="inlineStr">
        <is>
          <t>Normal</t>
        </is>
      </c>
      <c r="I9" s="68" t="n">
        <v>1</v>
      </c>
      <c r="J9" s="24" t="inlineStr">
        <is>
          <t>1,1,1</t>
        </is>
      </c>
      <c r="K9" s="68" t="b">
        <v>1</v>
      </c>
      <c r="L9" s="24" t="inlineStr">
        <is>
          <t>0,0,0</t>
        </is>
      </c>
      <c r="M9" s="68" t="n">
        <v>2</v>
      </c>
      <c r="N9" s="68" t="inlineStr">
        <is>
          <t>Water</t>
        </is>
      </c>
      <c r="O9" s="68" t="inlineStr">
        <is>
          <t>Defender</t>
        </is>
      </c>
      <c r="P9" s="68" t="n">
        <v>200</v>
      </c>
      <c r="Q9" s="68">
        <f t="array" ref="Q9">_xlfn.IFS($O9="Attacker",6,$O9="Healer",3,$O9="Magician",4,$O9="Defender",3,$O9="Supporter",4)</f>
        <v/>
      </c>
      <c r="R9" s="68">
        <f t="array" ref="R9">_xlfn.IFS($O9="Attacker",6,$O9="Healer",3,$O9="Magician",4,$O9="Defender",3,$O9="Supporter",4)</f>
        <v/>
      </c>
      <c r="S9" s="68" t="n">
        <v>1</v>
      </c>
      <c r="T9" s="68" t="n">
        <v>0</v>
      </c>
      <c r="U9" s="68" t="n">
        <v>0</v>
      </c>
      <c r="V9" s="68" t="inlineStr">
        <is>
          <t>Spd</t>
        </is>
      </c>
      <c r="W9" s="68">
        <f t="array" ref="W9">_xlfn.IFS(O9="Attacker",80,O9="Healer",90,O9="Magician",100,O9="Defender",110,O9="Supporter",120)</f>
        <v/>
      </c>
      <c r="X9" s="68" t="inlineStr">
        <is>
          <t>Hp</t>
        </is>
      </c>
      <c r="Y9" s="68" t="n">
        <v>300</v>
      </c>
      <c r="Z9" s="68" t="inlineStr">
        <is>
          <t>Atk</t>
        </is>
      </c>
      <c r="AA9" s="68" t="n">
        <v>200</v>
      </c>
      <c r="AB9" s="68" t="inlineStr">
        <is>
          <t>Def</t>
        </is>
      </c>
      <c r="AC9" s="68" t="n">
        <v>0</v>
      </c>
      <c r="AD9" s="68" t="inlineStr">
        <is>
          <t>Penetration</t>
        </is>
      </c>
      <c r="AE9" s="68" t="n">
        <v>0</v>
      </c>
      <c r="AF9" s="68" t="inlineStr">
        <is>
          <t>Hit</t>
        </is>
      </c>
      <c r="AG9" s="68" t="n">
        <v>120</v>
      </c>
      <c r="AH9" s="68" t="inlineStr">
        <is>
          <t>Dodge</t>
        </is>
      </c>
      <c r="AI9" s="68" t="n">
        <v>100</v>
      </c>
      <c r="AJ9" s="68" t="inlineStr">
        <is>
          <t>CriRatio</t>
        </is>
      </c>
      <c r="AK9" s="68" t="n">
        <v>5000</v>
      </c>
      <c r="AL9" s="68" t="inlineStr">
        <is>
          <t>CriDmgRatio</t>
        </is>
      </c>
      <c r="AM9" s="68" t="n">
        <v>150000</v>
      </c>
      <c r="AN9" s="68" t="n">
        <v>1821041</v>
      </c>
      <c r="AO9" s="68" t="b">
        <v>1</v>
      </c>
      <c r="AP9" s="68" t="n">
        <v>2821041</v>
      </c>
      <c r="AQ9" s="68" t="b">
        <v>1</v>
      </c>
      <c r="AR9" s="68" t="n">
        <v>0</v>
      </c>
      <c r="AS9" s="68" t="b">
        <v>0</v>
      </c>
      <c r="AT9" s="68" t="n">
        <v>0</v>
      </c>
      <c r="AU9" s="68" t="b">
        <v>0</v>
      </c>
    </row>
    <row r="10">
      <c r="A10" s="68" t="n">
        <v>20730301</v>
      </c>
      <c r="B10" s="68" t="inlineStr">
        <is>
          <t>큐브-목</t>
        </is>
      </c>
      <c r="C10" s="68" t="n">
        <v>207303</v>
      </c>
      <c r="D10" s="68" t="n">
        <v>0</v>
      </c>
      <c r="E10" s="68" t="inlineStr">
        <is>
          <t>character_name_20730301</t>
        </is>
      </c>
      <c r="G10" s="68" t="inlineStr">
        <is>
          <t>Normal</t>
        </is>
      </c>
      <c r="H10" s="68" t="inlineStr">
        <is>
          <t>Normal</t>
        </is>
      </c>
      <c r="I10" s="68" t="n">
        <v>1</v>
      </c>
      <c r="J10" s="24" t="inlineStr">
        <is>
          <t>1,1,1</t>
        </is>
      </c>
      <c r="K10" s="68" t="b">
        <v>1</v>
      </c>
      <c r="L10" s="24" t="inlineStr">
        <is>
          <t>0,0,0</t>
        </is>
      </c>
      <c r="M10" s="68" t="n">
        <v>2</v>
      </c>
      <c r="N10" s="68" t="inlineStr">
        <is>
          <t>Forest</t>
        </is>
      </c>
      <c r="O10" s="68" t="inlineStr">
        <is>
          <t>Defender</t>
        </is>
      </c>
      <c r="P10" s="68" t="n">
        <v>200</v>
      </c>
      <c r="Q10" s="68">
        <f t="array" ref="Q10">_xlfn.IFS($O10="Attacker",6,$O10="Healer",3,$O10="Magician",4,$O10="Defender",3,$O10="Supporter",4)</f>
        <v/>
      </c>
      <c r="R10" s="68">
        <f t="array" ref="R10">_xlfn.IFS($O10="Attacker",6,$O10="Healer",3,$O10="Magician",4,$O10="Defender",3,$O10="Supporter",4)</f>
        <v/>
      </c>
      <c r="S10" s="68" t="n">
        <v>1</v>
      </c>
      <c r="T10" s="68" t="n">
        <v>0</v>
      </c>
      <c r="U10" s="68" t="n">
        <v>0</v>
      </c>
      <c r="V10" s="68" t="inlineStr">
        <is>
          <t>Spd</t>
        </is>
      </c>
      <c r="W10" s="68">
        <f t="array" ref="W10">_xlfn.IFS(O10="Attacker",80,O10="Healer",90,O10="Magician",100,O10="Defender",110,O10="Supporter",120)</f>
        <v/>
      </c>
      <c r="X10" s="68" t="inlineStr">
        <is>
          <t>Hp</t>
        </is>
      </c>
      <c r="Y10" s="68" t="n">
        <v>300</v>
      </c>
      <c r="Z10" s="68" t="inlineStr">
        <is>
          <t>Atk</t>
        </is>
      </c>
      <c r="AA10" s="68" t="n">
        <v>200</v>
      </c>
      <c r="AB10" s="68" t="inlineStr">
        <is>
          <t>Def</t>
        </is>
      </c>
      <c r="AC10" s="68" t="n">
        <v>0</v>
      </c>
      <c r="AD10" s="68" t="inlineStr">
        <is>
          <t>Penetration</t>
        </is>
      </c>
      <c r="AE10" s="68" t="n">
        <v>0</v>
      </c>
      <c r="AF10" s="68" t="inlineStr">
        <is>
          <t>Hit</t>
        </is>
      </c>
      <c r="AG10" s="68" t="n">
        <v>100</v>
      </c>
      <c r="AH10" s="68" t="inlineStr">
        <is>
          <t>Dodge</t>
        </is>
      </c>
      <c r="AI10" s="68" t="n">
        <v>100</v>
      </c>
      <c r="AJ10" s="68" t="inlineStr">
        <is>
          <t>CriRatio</t>
        </is>
      </c>
      <c r="AK10" s="68" t="n">
        <v>5000</v>
      </c>
      <c r="AL10" s="68" t="inlineStr">
        <is>
          <t>CriDmgRatio</t>
        </is>
      </c>
      <c r="AM10" s="68" t="n">
        <v>150000</v>
      </c>
      <c r="AN10" s="68" t="n">
        <v>1831041</v>
      </c>
      <c r="AO10" s="68" t="b">
        <v>1</v>
      </c>
      <c r="AP10" s="68" t="n">
        <v>2831041</v>
      </c>
      <c r="AQ10" s="68" t="b">
        <v>1</v>
      </c>
      <c r="AR10" s="68" t="n">
        <v>0</v>
      </c>
      <c r="AS10" s="68" t="b">
        <v>0</v>
      </c>
      <c r="AT10" s="68" t="n">
        <v>0</v>
      </c>
      <c r="AU10" s="68" t="b">
        <v>0</v>
      </c>
    </row>
    <row r="11">
      <c r="A11" s="68" t="n">
        <v>20730401</v>
      </c>
      <c r="B11" s="68" t="inlineStr">
        <is>
          <t>큐브-광</t>
        </is>
      </c>
      <c r="C11" s="68" t="n">
        <v>207304</v>
      </c>
      <c r="D11" s="68" t="n">
        <v>0</v>
      </c>
      <c r="E11" s="68" t="inlineStr">
        <is>
          <t>character_name_20730401</t>
        </is>
      </c>
      <c r="G11" s="68" t="inlineStr">
        <is>
          <t>Normal</t>
        </is>
      </c>
      <c r="H11" s="68" t="inlineStr">
        <is>
          <t>Normal</t>
        </is>
      </c>
      <c r="I11" s="68" t="n">
        <v>1</v>
      </c>
      <c r="J11" s="24" t="inlineStr">
        <is>
          <t>1,1,1</t>
        </is>
      </c>
      <c r="K11" s="68" t="b">
        <v>1</v>
      </c>
      <c r="L11" s="24" t="inlineStr">
        <is>
          <t>0,0,0</t>
        </is>
      </c>
      <c r="M11" s="68" t="n">
        <v>2</v>
      </c>
      <c r="N11" s="68" t="inlineStr">
        <is>
          <t>Light</t>
        </is>
      </c>
      <c r="O11" s="68" t="inlineStr">
        <is>
          <t>Defender</t>
        </is>
      </c>
      <c r="P11" s="68" t="n">
        <v>200</v>
      </c>
      <c r="Q11" s="68">
        <f t="array" ref="Q11">_xlfn.IFS($O11="Attacker",6,$O11="Healer",3,$O11="Magician",4,$O11="Defender",3,$O11="Supporter",4)</f>
        <v/>
      </c>
      <c r="R11" s="68">
        <f t="array" ref="R11">_xlfn.IFS($O11="Attacker",6,$O11="Healer",3,$O11="Magician",4,$O11="Defender",3,$O11="Supporter",4)</f>
        <v/>
      </c>
      <c r="S11" s="68" t="n">
        <v>1</v>
      </c>
      <c r="T11" s="68" t="n">
        <v>0</v>
      </c>
      <c r="U11" s="68" t="n">
        <v>0</v>
      </c>
      <c r="V11" s="68" t="inlineStr">
        <is>
          <t>Spd</t>
        </is>
      </c>
      <c r="W11" s="68">
        <f t="array" ref="W11">_xlfn.IFS(O11="Attacker",80,O11="Healer",90,O11="Magician",100,O11="Defender",110,O11="Supporter",120)</f>
        <v/>
      </c>
      <c r="X11" s="68" t="inlineStr">
        <is>
          <t>Hp</t>
        </is>
      </c>
      <c r="Y11" s="68" t="n">
        <v>300</v>
      </c>
      <c r="Z11" s="68" t="inlineStr">
        <is>
          <t>Atk</t>
        </is>
      </c>
      <c r="AA11" s="68" t="n">
        <v>200</v>
      </c>
      <c r="AB11" s="68" t="inlineStr">
        <is>
          <t>Def</t>
        </is>
      </c>
      <c r="AC11" s="68" t="n">
        <v>0</v>
      </c>
      <c r="AD11" s="68" t="inlineStr">
        <is>
          <t>Penetration</t>
        </is>
      </c>
      <c r="AE11" s="68" t="n">
        <v>0</v>
      </c>
      <c r="AF11" s="68" t="inlineStr">
        <is>
          <t>Hit</t>
        </is>
      </c>
      <c r="AG11" s="68" t="n">
        <v>100</v>
      </c>
      <c r="AH11" s="68" t="inlineStr">
        <is>
          <t>Dodge</t>
        </is>
      </c>
      <c r="AI11" s="68" t="n">
        <v>100</v>
      </c>
      <c r="AJ11" s="68" t="inlineStr">
        <is>
          <t>CriRatio</t>
        </is>
      </c>
      <c r="AK11" s="68" t="n">
        <v>5000</v>
      </c>
      <c r="AL11" s="68" t="inlineStr">
        <is>
          <t>CriDmgRatio</t>
        </is>
      </c>
      <c r="AM11" s="68" t="n">
        <v>150000</v>
      </c>
      <c r="AN11" s="68" t="n">
        <v>1841041</v>
      </c>
      <c r="AO11" s="68" t="b">
        <v>1</v>
      </c>
      <c r="AP11" s="68" t="n">
        <v>2841041</v>
      </c>
      <c r="AQ11" s="68" t="b">
        <v>1</v>
      </c>
      <c r="AR11" s="68" t="n">
        <v>0</v>
      </c>
      <c r="AS11" s="68" t="b">
        <v>0</v>
      </c>
      <c r="AT11" s="68" t="n">
        <v>0</v>
      </c>
      <c r="AU11" s="68" t="b">
        <v>0</v>
      </c>
    </row>
    <row r="12">
      <c r="A12" s="29" t="n">
        <v>20730501</v>
      </c>
      <c r="B12" s="29" t="inlineStr">
        <is>
          <t>큐브-암</t>
        </is>
      </c>
      <c r="C12" s="29" t="n">
        <v>207305</v>
      </c>
      <c r="D12" s="29" t="n">
        <v>0</v>
      </c>
      <c r="E12" s="29" t="inlineStr">
        <is>
          <t>character_name_20730501</t>
        </is>
      </c>
      <c r="F12" s="29" t="n"/>
      <c r="G12" s="29" t="inlineStr">
        <is>
          <t>Normal</t>
        </is>
      </c>
      <c r="H12" s="29" t="inlineStr">
        <is>
          <t>Normal</t>
        </is>
      </c>
      <c r="I12" s="29" t="n">
        <v>1</v>
      </c>
      <c r="J12" s="27" t="inlineStr">
        <is>
          <t>1,1,1</t>
        </is>
      </c>
      <c r="K12" s="68" t="b">
        <v>1</v>
      </c>
      <c r="L12" s="27" t="inlineStr">
        <is>
          <t>0,0,0</t>
        </is>
      </c>
      <c r="M12" s="29" t="n">
        <v>2</v>
      </c>
      <c r="N12" s="29" t="inlineStr">
        <is>
          <t>Dark</t>
        </is>
      </c>
      <c r="O12" s="29" t="inlineStr">
        <is>
          <t>Defender</t>
        </is>
      </c>
      <c r="P12" s="29" t="n">
        <v>200</v>
      </c>
      <c r="Q12" s="29">
        <f t="array" ref="Q12">_xlfn.IFS($O12="Attacker",6,$O12="Healer",3,$O12="Magician",4,$O12="Defender",3,$O12="Supporter",4)</f>
        <v/>
      </c>
      <c r="R12" s="29">
        <f t="array" ref="R12">_xlfn.IFS($O12="Attacker",6,$O12="Healer",3,$O12="Magician",4,$O12="Defender",3,$O12="Supporter",4)</f>
        <v/>
      </c>
      <c r="S12" s="29" t="n">
        <v>1</v>
      </c>
      <c r="T12" s="29" t="n">
        <v>0</v>
      </c>
      <c r="U12" s="29" t="n">
        <v>0</v>
      </c>
      <c r="V12" s="29" t="inlineStr">
        <is>
          <t>Spd</t>
        </is>
      </c>
      <c r="W12" s="29">
        <f t="array" ref="W12">_xlfn.IFS(O12="Attacker",80,O12="Healer",90,O12="Magician",100,O12="Defender",110,O12="Supporter",120)</f>
        <v/>
      </c>
      <c r="X12" s="29" t="inlineStr">
        <is>
          <t>Hp</t>
        </is>
      </c>
      <c r="Y12" s="29" t="n">
        <v>300</v>
      </c>
      <c r="Z12" s="29" t="inlineStr">
        <is>
          <t>Atk</t>
        </is>
      </c>
      <c r="AA12" s="29" t="n">
        <v>200</v>
      </c>
      <c r="AB12" s="29" t="inlineStr">
        <is>
          <t>Def</t>
        </is>
      </c>
      <c r="AC12" s="29" t="n">
        <v>0</v>
      </c>
      <c r="AD12" s="29" t="inlineStr">
        <is>
          <t>Penetration</t>
        </is>
      </c>
      <c r="AE12" s="29" t="n">
        <v>0</v>
      </c>
      <c r="AF12" s="29" t="inlineStr">
        <is>
          <t>Hit</t>
        </is>
      </c>
      <c r="AG12" s="29" t="n">
        <v>100</v>
      </c>
      <c r="AH12" s="29" t="inlineStr">
        <is>
          <t>Dodge</t>
        </is>
      </c>
      <c r="AI12" s="29" t="n">
        <v>100</v>
      </c>
      <c r="AJ12" s="29" t="inlineStr">
        <is>
          <t>CriRatio</t>
        </is>
      </c>
      <c r="AK12" s="29" t="n">
        <v>5000</v>
      </c>
      <c r="AL12" s="29" t="inlineStr">
        <is>
          <t>CriDmgRatio</t>
        </is>
      </c>
      <c r="AM12" s="29" t="n">
        <v>150000</v>
      </c>
      <c r="AN12" s="29" t="n">
        <v>1851041</v>
      </c>
      <c r="AO12" s="29" t="b">
        <v>1</v>
      </c>
      <c r="AP12" s="29" t="n">
        <v>2851041</v>
      </c>
      <c r="AQ12" s="29" t="b">
        <v>1</v>
      </c>
      <c r="AR12" s="29" t="n">
        <v>0</v>
      </c>
      <c r="AS12" s="29" t="b">
        <v>0</v>
      </c>
      <c r="AT12" s="29" t="n">
        <v>0</v>
      </c>
      <c r="AU12" s="29" t="b">
        <v>0</v>
      </c>
    </row>
    <row r="13" customFormat="1" s="11">
      <c r="A13" s="68" t="n">
        <v>20730102</v>
      </c>
      <c r="B13" s="68" t="inlineStr">
        <is>
          <t>큐브-화</t>
        </is>
      </c>
      <c r="C13" s="68" t="n">
        <v>207301</v>
      </c>
      <c r="D13" s="68" t="n">
        <v>0</v>
      </c>
      <c r="E13" s="68" t="inlineStr">
        <is>
          <t>character_name_20730102</t>
        </is>
      </c>
      <c r="F13" s="68" t="n"/>
      <c r="G13" s="68" t="inlineStr">
        <is>
          <t>Normal</t>
        </is>
      </c>
      <c r="H13" s="68" t="inlineStr">
        <is>
          <t>Normal</t>
        </is>
      </c>
      <c r="I13" s="68" t="n">
        <v>2</v>
      </c>
      <c r="J13" s="24" t="inlineStr">
        <is>
          <t>1,1,1</t>
        </is>
      </c>
      <c r="K13" s="68" t="b">
        <v>1</v>
      </c>
      <c r="L13" s="24" t="inlineStr">
        <is>
          <t>0,0,0</t>
        </is>
      </c>
      <c r="M13" s="68" t="n">
        <v>2</v>
      </c>
      <c r="N13" s="68" t="inlineStr">
        <is>
          <t>Fire</t>
        </is>
      </c>
      <c r="O13" s="68" t="inlineStr">
        <is>
          <t>Defender</t>
        </is>
      </c>
      <c r="P13" s="68" t="n">
        <v>200</v>
      </c>
      <c r="Q13" s="68">
        <f t="array" ref="Q13">_xlfn.IFS($O13="Attacker",6,$O13="Healer",3,$O13="Magician",4,$O13="Defender",3,$O13="Supporter",4)</f>
        <v/>
      </c>
      <c r="R13" s="68">
        <f t="array" ref="R13">_xlfn.IFS($O13="Attacker",6,$O13="Healer",3,$O13="Magician",4,$O13="Defender",3,$O13="Supporter",4)</f>
        <v/>
      </c>
      <c r="S13" s="68" t="n">
        <v>1</v>
      </c>
      <c r="T13" s="68" t="n">
        <v>0</v>
      </c>
      <c r="U13" s="68" t="n">
        <v>0</v>
      </c>
      <c r="V13" s="68" t="inlineStr">
        <is>
          <t>Spd</t>
        </is>
      </c>
      <c r="W13" s="68">
        <f t="array" ref="W13">_xlfn.IFS(O13="Attacker",80,O13="Healer",90,O13="Magician",100,O13="Defender",110,O13="Supporter",120)</f>
        <v/>
      </c>
      <c r="X13" s="68" t="inlineStr">
        <is>
          <t>Hp</t>
        </is>
      </c>
      <c r="Y13" s="68" t="n">
        <v>300</v>
      </c>
      <c r="Z13" s="68" t="inlineStr">
        <is>
          <t>Atk</t>
        </is>
      </c>
      <c r="AA13" s="68" t="n">
        <v>200</v>
      </c>
      <c r="AB13" s="68" t="inlineStr">
        <is>
          <t>Def</t>
        </is>
      </c>
      <c r="AC13" s="68" t="n">
        <v>20</v>
      </c>
      <c r="AD13" s="68" t="inlineStr">
        <is>
          <t>Penetration</t>
        </is>
      </c>
      <c r="AE13" s="68" t="n">
        <v>0</v>
      </c>
      <c r="AF13" s="68" t="inlineStr">
        <is>
          <t>Hit</t>
        </is>
      </c>
      <c r="AG13" s="68" t="n">
        <v>100</v>
      </c>
      <c r="AH13" s="68" t="inlineStr">
        <is>
          <t>Dodge</t>
        </is>
      </c>
      <c r="AI13" s="68" t="n">
        <v>100</v>
      </c>
      <c r="AJ13" s="68" t="inlineStr">
        <is>
          <t>CriRatio</t>
        </is>
      </c>
      <c r="AK13" s="68" t="n">
        <v>5000</v>
      </c>
      <c r="AL13" s="68" t="inlineStr">
        <is>
          <t>CriDmgRatio</t>
        </is>
      </c>
      <c r="AM13" s="68" t="n">
        <v>150000</v>
      </c>
      <c r="AN13" s="68" t="n">
        <v>1811041</v>
      </c>
      <c r="AO13" s="68" t="b">
        <v>1</v>
      </c>
      <c r="AP13" s="68" t="n">
        <v>2811041</v>
      </c>
      <c r="AQ13" s="68" t="b">
        <v>1</v>
      </c>
      <c r="AR13" s="68" t="n">
        <v>0</v>
      </c>
      <c r="AS13" s="68" t="b">
        <v>0</v>
      </c>
      <c r="AT13" s="68" t="n">
        <v>0</v>
      </c>
      <c r="AU13" s="68" t="b">
        <v>0</v>
      </c>
    </row>
    <row r="14">
      <c r="A14" s="68" t="n">
        <v>20730202</v>
      </c>
      <c r="B14" s="68" t="inlineStr">
        <is>
          <t>큐브-수</t>
        </is>
      </c>
      <c r="C14" s="68" t="n">
        <v>207302</v>
      </c>
      <c r="D14" s="68" t="n">
        <v>0</v>
      </c>
      <c r="E14" s="68" t="inlineStr">
        <is>
          <t>character_name_20730202</t>
        </is>
      </c>
      <c r="G14" s="68" t="inlineStr">
        <is>
          <t>Normal</t>
        </is>
      </c>
      <c r="H14" s="68" t="inlineStr">
        <is>
          <t>Normal</t>
        </is>
      </c>
      <c r="I14" s="68" t="n">
        <v>2</v>
      </c>
      <c r="J14" s="24" t="inlineStr">
        <is>
          <t>1,1,1</t>
        </is>
      </c>
      <c r="K14" s="68" t="b">
        <v>1</v>
      </c>
      <c r="L14" s="24" t="inlineStr">
        <is>
          <t>0,0,0</t>
        </is>
      </c>
      <c r="M14" s="68" t="n">
        <v>2</v>
      </c>
      <c r="N14" s="68" t="inlineStr">
        <is>
          <t>Water</t>
        </is>
      </c>
      <c r="O14" s="68" t="inlineStr">
        <is>
          <t>Defender</t>
        </is>
      </c>
      <c r="P14" s="68" t="n">
        <v>200</v>
      </c>
      <c r="Q14" s="68">
        <f t="array" ref="Q14">_xlfn.IFS($O14="Attacker",6,$O14="Healer",3,$O14="Magician",4,$O14="Defender",3,$O14="Supporter",4)</f>
        <v/>
      </c>
      <c r="R14" s="68">
        <f t="array" ref="R14">_xlfn.IFS($O14="Attacker",6,$O14="Healer",3,$O14="Magician",4,$O14="Defender",3,$O14="Supporter",4)</f>
        <v/>
      </c>
      <c r="S14" s="68" t="n">
        <v>1</v>
      </c>
      <c r="T14" s="68" t="n">
        <v>0</v>
      </c>
      <c r="U14" s="68" t="n">
        <v>0</v>
      </c>
      <c r="V14" s="68" t="inlineStr">
        <is>
          <t>Spd</t>
        </is>
      </c>
      <c r="W14" s="68">
        <f t="array" ref="W14">_xlfn.IFS(O14="Attacker",80,O14="Healer",90,O14="Magician",100,O14="Defender",110,O14="Supporter",120)</f>
        <v/>
      </c>
      <c r="X14" s="68" t="inlineStr">
        <is>
          <t>Hp</t>
        </is>
      </c>
      <c r="Y14" s="68" t="n">
        <v>300</v>
      </c>
      <c r="Z14" s="68" t="inlineStr">
        <is>
          <t>Atk</t>
        </is>
      </c>
      <c r="AA14" s="68" t="n">
        <v>200</v>
      </c>
      <c r="AB14" s="68" t="inlineStr">
        <is>
          <t>Def</t>
        </is>
      </c>
      <c r="AC14" s="68" t="n">
        <v>20</v>
      </c>
      <c r="AD14" s="68" t="inlineStr">
        <is>
          <t>Penetration</t>
        </is>
      </c>
      <c r="AE14" s="68" t="n">
        <v>0</v>
      </c>
      <c r="AF14" s="68" t="inlineStr">
        <is>
          <t>Hit</t>
        </is>
      </c>
      <c r="AG14" s="68" t="n">
        <v>100</v>
      </c>
      <c r="AH14" s="68" t="inlineStr">
        <is>
          <t>Dodge</t>
        </is>
      </c>
      <c r="AI14" s="68" t="n">
        <v>100</v>
      </c>
      <c r="AJ14" s="68" t="inlineStr">
        <is>
          <t>CriRatio</t>
        </is>
      </c>
      <c r="AK14" s="68" t="n">
        <v>5000</v>
      </c>
      <c r="AL14" s="68" t="inlineStr">
        <is>
          <t>CriDmgRatio</t>
        </is>
      </c>
      <c r="AM14" s="68" t="n">
        <v>150000</v>
      </c>
      <c r="AN14" s="68" t="n">
        <v>1821041</v>
      </c>
      <c r="AO14" s="68" t="b">
        <v>1</v>
      </c>
      <c r="AP14" s="68" t="n">
        <v>2821041</v>
      </c>
      <c r="AQ14" s="68" t="b">
        <v>1</v>
      </c>
      <c r="AR14" s="68" t="n">
        <v>0</v>
      </c>
      <c r="AS14" s="68" t="b">
        <v>0</v>
      </c>
      <c r="AT14" s="68" t="n">
        <v>0</v>
      </c>
      <c r="AU14" s="68" t="b">
        <v>0</v>
      </c>
    </row>
    <row r="15">
      <c r="A15" s="68" t="n">
        <v>20730302</v>
      </c>
      <c r="B15" s="68" t="inlineStr">
        <is>
          <t>큐브-목</t>
        </is>
      </c>
      <c r="C15" s="68" t="n">
        <v>207303</v>
      </c>
      <c r="D15" s="68" t="n">
        <v>0</v>
      </c>
      <c r="E15" s="68" t="inlineStr">
        <is>
          <t>character_name_20730302</t>
        </is>
      </c>
      <c r="G15" s="68" t="inlineStr">
        <is>
          <t>Normal</t>
        </is>
      </c>
      <c r="H15" s="68" t="inlineStr">
        <is>
          <t>Normal</t>
        </is>
      </c>
      <c r="I15" s="68" t="n">
        <v>2</v>
      </c>
      <c r="J15" s="24" t="inlineStr">
        <is>
          <t>1,1,1</t>
        </is>
      </c>
      <c r="K15" s="68" t="b">
        <v>1</v>
      </c>
      <c r="L15" s="24" t="inlineStr">
        <is>
          <t>0,0,0</t>
        </is>
      </c>
      <c r="M15" s="68" t="n">
        <v>2</v>
      </c>
      <c r="N15" s="68" t="inlineStr">
        <is>
          <t>Forest</t>
        </is>
      </c>
      <c r="O15" s="68" t="inlineStr">
        <is>
          <t>Defender</t>
        </is>
      </c>
      <c r="P15" s="68" t="n">
        <v>200</v>
      </c>
      <c r="Q15" s="68">
        <f t="array" ref="Q15">_xlfn.IFS($O15="Attacker",6,$O15="Healer",3,$O15="Magician",4,$O15="Defender",3,$O15="Supporter",4)</f>
        <v/>
      </c>
      <c r="R15" s="68">
        <f t="array" ref="R15">_xlfn.IFS($O15="Attacker",6,$O15="Healer",3,$O15="Magician",4,$O15="Defender",3,$O15="Supporter",4)</f>
        <v/>
      </c>
      <c r="S15" s="68" t="n">
        <v>1</v>
      </c>
      <c r="T15" s="68" t="n">
        <v>0</v>
      </c>
      <c r="U15" s="68" t="n">
        <v>0</v>
      </c>
      <c r="V15" s="68" t="inlineStr">
        <is>
          <t>Spd</t>
        </is>
      </c>
      <c r="W15" s="68">
        <f t="array" ref="W15">_xlfn.IFS(O15="Attacker",80,O15="Healer",90,O15="Magician",100,O15="Defender",110,O15="Supporter",120)</f>
        <v/>
      </c>
      <c r="X15" s="68" t="inlineStr">
        <is>
          <t>Hp</t>
        </is>
      </c>
      <c r="Y15" s="68" t="n">
        <v>300</v>
      </c>
      <c r="Z15" s="68" t="inlineStr">
        <is>
          <t>Atk</t>
        </is>
      </c>
      <c r="AA15" s="68" t="n">
        <v>200</v>
      </c>
      <c r="AB15" s="68" t="inlineStr">
        <is>
          <t>Def</t>
        </is>
      </c>
      <c r="AC15" s="68" t="n">
        <v>20</v>
      </c>
      <c r="AD15" s="68" t="inlineStr">
        <is>
          <t>Penetration</t>
        </is>
      </c>
      <c r="AE15" s="68" t="n">
        <v>0</v>
      </c>
      <c r="AF15" s="68" t="inlineStr">
        <is>
          <t>Hit</t>
        </is>
      </c>
      <c r="AG15" s="68" t="n">
        <v>100</v>
      </c>
      <c r="AH15" s="68" t="inlineStr">
        <is>
          <t>Dodge</t>
        </is>
      </c>
      <c r="AI15" s="68" t="n">
        <v>100</v>
      </c>
      <c r="AJ15" s="68" t="inlineStr">
        <is>
          <t>CriRatio</t>
        </is>
      </c>
      <c r="AK15" s="68" t="n">
        <v>5000</v>
      </c>
      <c r="AL15" s="68" t="inlineStr">
        <is>
          <t>CriDmgRatio</t>
        </is>
      </c>
      <c r="AM15" s="68" t="n">
        <v>150000</v>
      </c>
      <c r="AN15" s="68" t="n">
        <v>1831041</v>
      </c>
      <c r="AO15" s="68" t="b">
        <v>1</v>
      </c>
      <c r="AP15" s="68" t="n">
        <v>2831041</v>
      </c>
      <c r="AQ15" s="68" t="b">
        <v>1</v>
      </c>
      <c r="AR15" s="68" t="n">
        <v>0</v>
      </c>
      <c r="AS15" s="68" t="b">
        <v>0</v>
      </c>
      <c r="AT15" s="68" t="n">
        <v>0</v>
      </c>
      <c r="AU15" s="68" t="b">
        <v>0</v>
      </c>
    </row>
    <row r="16">
      <c r="A16" s="68" t="n">
        <v>20730402</v>
      </c>
      <c r="B16" s="68" t="inlineStr">
        <is>
          <t>큐브-광</t>
        </is>
      </c>
      <c r="C16" s="68" t="n">
        <v>207304</v>
      </c>
      <c r="D16" s="68" t="n">
        <v>0</v>
      </c>
      <c r="E16" s="68" t="inlineStr">
        <is>
          <t>character_name_20730402</t>
        </is>
      </c>
      <c r="G16" s="68" t="inlineStr">
        <is>
          <t>Normal</t>
        </is>
      </c>
      <c r="H16" s="68" t="inlineStr">
        <is>
          <t>Normal</t>
        </is>
      </c>
      <c r="I16" s="68" t="n">
        <v>2</v>
      </c>
      <c r="J16" s="24" t="inlineStr">
        <is>
          <t>1,1,1</t>
        </is>
      </c>
      <c r="K16" s="68" t="b">
        <v>1</v>
      </c>
      <c r="L16" s="24" t="inlineStr">
        <is>
          <t>0,0,0</t>
        </is>
      </c>
      <c r="M16" s="68" t="n">
        <v>2</v>
      </c>
      <c r="N16" s="68" t="inlineStr">
        <is>
          <t>Light</t>
        </is>
      </c>
      <c r="O16" s="68" t="inlineStr">
        <is>
          <t>Defender</t>
        </is>
      </c>
      <c r="P16" s="68" t="n">
        <v>200</v>
      </c>
      <c r="Q16" s="68">
        <f t="array" ref="Q16">_xlfn.IFS($O16="Attacker",6,$O16="Healer",3,$O16="Magician",4,$O16="Defender",3,$O16="Supporter",4)</f>
        <v/>
      </c>
      <c r="R16" s="68">
        <f t="array" ref="R16">_xlfn.IFS($O16="Attacker",6,$O16="Healer",3,$O16="Magician",4,$O16="Defender",3,$O16="Supporter",4)</f>
        <v/>
      </c>
      <c r="S16" s="68" t="n">
        <v>1</v>
      </c>
      <c r="T16" s="68" t="n">
        <v>0</v>
      </c>
      <c r="U16" s="68" t="n">
        <v>0</v>
      </c>
      <c r="V16" s="68" t="inlineStr">
        <is>
          <t>Spd</t>
        </is>
      </c>
      <c r="W16" s="68">
        <f t="array" ref="W16">_xlfn.IFS(O16="Attacker",80,O16="Healer",90,O16="Magician",100,O16="Defender",110,O16="Supporter",120)</f>
        <v/>
      </c>
      <c r="X16" s="68" t="inlineStr">
        <is>
          <t>Hp</t>
        </is>
      </c>
      <c r="Y16" s="68" t="n">
        <v>300</v>
      </c>
      <c r="Z16" s="68" t="inlineStr">
        <is>
          <t>Atk</t>
        </is>
      </c>
      <c r="AA16" s="68" t="n">
        <v>200</v>
      </c>
      <c r="AB16" s="68" t="inlineStr">
        <is>
          <t>Def</t>
        </is>
      </c>
      <c r="AC16" s="68" t="n">
        <v>20</v>
      </c>
      <c r="AD16" s="68" t="inlineStr">
        <is>
          <t>Penetration</t>
        </is>
      </c>
      <c r="AE16" s="68" t="n">
        <v>0</v>
      </c>
      <c r="AF16" s="68" t="inlineStr">
        <is>
          <t>Hit</t>
        </is>
      </c>
      <c r="AG16" s="68" t="n">
        <v>100</v>
      </c>
      <c r="AH16" s="68" t="inlineStr">
        <is>
          <t>Dodge</t>
        </is>
      </c>
      <c r="AI16" s="68" t="n">
        <v>100</v>
      </c>
      <c r="AJ16" s="68" t="inlineStr">
        <is>
          <t>CriRatio</t>
        </is>
      </c>
      <c r="AK16" s="68" t="n">
        <v>5000</v>
      </c>
      <c r="AL16" s="68" t="inlineStr">
        <is>
          <t>CriDmgRatio</t>
        </is>
      </c>
      <c r="AM16" s="68" t="n">
        <v>150000</v>
      </c>
      <c r="AN16" s="68" t="n">
        <v>1841041</v>
      </c>
      <c r="AO16" s="68" t="b">
        <v>1</v>
      </c>
      <c r="AP16" s="68" t="n">
        <v>2841041</v>
      </c>
      <c r="AQ16" s="68" t="b">
        <v>1</v>
      </c>
      <c r="AR16" s="68" t="n">
        <v>0</v>
      </c>
      <c r="AS16" s="68" t="b">
        <v>0</v>
      </c>
      <c r="AT16" s="68" t="n">
        <v>0</v>
      </c>
      <c r="AU16" s="68" t="b">
        <v>0</v>
      </c>
      <c r="AV16" s="1" t="n"/>
    </row>
    <row r="17">
      <c r="A17" s="29" t="n">
        <v>20730502</v>
      </c>
      <c r="B17" s="29" t="inlineStr">
        <is>
          <t>큐브-암</t>
        </is>
      </c>
      <c r="C17" s="29" t="n">
        <v>207305</v>
      </c>
      <c r="D17" s="29" t="n">
        <v>0</v>
      </c>
      <c r="E17" s="29" t="inlineStr">
        <is>
          <t>character_name_20730502</t>
        </is>
      </c>
      <c r="F17" s="29" t="n"/>
      <c r="G17" s="29" t="inlineStr">
        <is>
          <t>Normal</t>
        </is>
      </c>
      <c r="H17" s="29" t="inlineStr">
        <is>
          <t>Normal</t>
        </is>
      </c>
      <c r="I17" s="29" t="n">
        <v>2</v>
      </c>
      <c r="J17" s="27" t="inlineStr">
        <is>
          <t>1,1,1</t>
        </is>
      </c>
      <c r="K17" s="68" t="b">
        <v>1</v>
      </c>
      <c r="L17" s="27" t="inlineStr">
        <is>
          <t>0,0,0</t>
        </is>
      </c>
      <c r="M17" s="29" t="n">
        <v>2</v>
      </c>
      <c r="N17" s="29" t="inlineStr">
        <is>
          <t>Dark</t>
        </is>
      </c>
      <c r="O17" s="29" t="inlineStr">
        <is>
          <t>Defender</t>
        </is>
      </c>
      <c r="P17" s="29" t="n">
        <v>200</v>
      </c>
      <c r="Q17" s="29">
        <f t="array" ref="Q17">_xlfn.IFS($O17="Attacker",6,$O17="Healer",3,$O17="Magician",4,$O17="Defender",3,$O17="Supporter",4)</f>
        <v/>
      </c>
      <c r="R17" s="29">
        <f t="array" ref="R17">_xlfn.IFS($O17="Attacker",6,$O17="Healer",3,$O17="Magician",4,$O17="Defender",3,$O17="Supporter",4)</f>
        <v/>
      </c>
      <c r="S17" s="29" t="n">
        <v>1</v>
      </c>
      <c r="T17" s="29" t="n">
        <v>0</v>
      </c>
      <c r="U17" s="29" t="n">
        <v>0</v>
      </c>
      <c r="V17" s="29" t="inlineStr">
        <is>
          <t>Spd</t>
        </is>
      </c>
      <c r="W17" s="29">
        <f t="array" ref="W17">_xlfn.IFS(O17="Attacker",80,O17="Healer",90,O17="Magician",100,O17="Defender",110,O17="Supporter",120)</f>
        <v/>
      </c>
      <c r="X17" s="29" t="inlineStr">
        <is>
          <t>Hp</t>
        </is>
      </c>
      <c r="Y17" s="29" t="n">
        <v>300</v>
      </c>
      <c r="Z17" s="29" t="inlineStr">
        <is>
          <t>Atk</t>
        </is>
      </c>
      <c r="AA17" s="29" t="n">
        <v>200</v>
      </c>
      <c r="AB17" s="29" t="inlineStr">
        <is>
          <t>Def</t>
        </is>
      </c>
      <c r="AC17" s="29" t="n">
        <v>20</v>
      </c>
      <c r="AD17" s="29" t="inlineStr">
        <is>
          <t>Penetration</t>
        </is>
      </c>
      <c r="AE17" s="68" t="n">
        <v>0</v>
      </c>
      <c r="AF17" s="29" t="inlineStr">
        <is>
          <t>Hit</t>
        </is>
      </c>
      <c r="AG17" s="29" t="n">
        <v>100</v>
      </c>
      <c r="AH17" s="29" t="inlineStr">
        <is>
          <t>Dodge</t>
        </is>
      </c>
      <c r="AI17" s="29" t="n">
        <v>100</v>
      </c>
      <c r="AJ17" s="29" t="inlineStr">
        <is>
          <t>CriRatio</t>
        </is>
      </c>
      <c r="AK17" s="29" t="n">
        <v>5000</v>
      </c>
      <c r="AL17" s="29" t="inlineStr">
        <is>
          <t>CriDmgRatio</t>
        </is>
      </c>
      <c r="AM17" s="29" t="n">
        <v>150000</v>
      </c>
      <c r="AN17" s="29" t="n">
        <v>1851041</v>
      </c>
      <c r="AO17" s="29" t="b">
        <v>1</v>
      </c>
      <c r="AP17" s="29" t="n">
        <v>2851041</v>
      </c>
      <c r="AQ17" s="29" t="b">
        <v>1</v>
      </c>
      <c r="AR17" s="29" t="n">
        <v>0</v>
      </c>
      <c r="AS17" s="29" t="b">
        <v>0</v>
      </c>
      <c r="AT17" s="29" t="n">
        <v>0</v>
      </c>
      <c r="AU17" s="29" t="b">
        <v>0</v>
      </c>
    </row>
    <row r="18" customFormat="1" s="11">
      <c r="A18" s="68" t="n">
        <v>20730103</v>
      </c>
      <c r="B18" s="68" t="inlineStr">
        <is>
          <t>큐브-화</t>
        </is>
      </c>
      <c r="C18" s="68" t="n">
        <v>207301</v>
      </c>
      <c r="D18" s="68" t="n">
        <v>0</v>
      </c>
      <c r="E18" s="68" t="inlineStr">
        <is>
          <t>character_name_20730103</t>
        </is>
      </c>
      <c r="F18" s="68" t="n"/>
      <c r="G18" s="68" t="inlineStr">
        <is>
          <t>Normal</t>
        </is>
      </c>
      <c r="H18" s="68" t="inlineStr">
        <is>
          <t>Normal</t>
        </is>
      </c>
      <c r="I18" s="68" t="n">
        <v>3</v>
      </c>
      <c r="J18" s="24" t="inlineStr">
        <is>
          <t>1,1,1</t>
        </is>
      </c>
      <c r="K18" s="68" t="b">
        <v>1</v>
      </c>
      <c r="L18" s="24" t="inlineStr">
        <is>
          <t>0,0,0</t>
        </is>
      </c>
      <c r="M18" s="68" t="n">
        <v>2</v>
      </c>
      <c r="N18" s="68" t="inlineStr">
        <is>
          <t>Fire</t>
        </is>
      </c>
      <c r="O18" s="68" t="inlineStr">
        <is>
          <t>Defender</t>
        </is>
      </c>
      <c r="P18" s="68" t="n">
        <v>200</v>
      </c>
      <c r="Q18" s="68">
        <f t="array" ref="Q18">_xlfn.IFS($O18="Attacker",6,$O18="Healer",3,$O18="Magician",4,$O18="Defender",3,$O18="Supporter",4)</f>
        <v/>
      </c>
      <c r="R18" s="68">
        <f t="array" ref="R18">_xlfn.IFS($O18="Attacker",6,$O18="Healer",3,$O18="Magician",4,$O18="Defender",3,$O18="Supporter",4)</f>
        <v/>
      </c>
      <c r="S18" s="68" t="n">
        <v>1</v>
      </c>
      <c r="T18" s="68" t="n">
        <v>0</v>
      </c>
      <c r="U18" s="68" t="n">
        <v>0</v>
      </c>
      <c r="V18" s="68" t="inlineStr">
        <is>
          <t>Spd</t>
        </is>
      </c>
      <c r="W18" s="68">
        <f t="array" ref="W18">_xlfn.IFS(O18="Attacker",80,O18="Healer",90,O18="Magician",100,O18="Defender",110,O18="Supporter",120)</f>
        <v/>
      </c>
      <c r="X18" s="68" t="inlineStr">
        <is>
          <t>Hp</t>
        </is>
      </c>
      <c r="Y18" s="68" t="n">
        <v>36000</v>
      </c>
      <c r="Z18" s="68" t="inlineStr">
        <is>
          <t>Atk</t>
        </is>
      </c>
      <c r="AA18" s="68" t="n">
        <v>450</v>
      </c>
      <c r="AB18" s="68" t="inlineStr">
        <is>
          <t>Def</t>
        </is>
      </c>
      <c r="AC18" s="68" t="n">
        <v>0</v>
      </c>
      <c r="AD18" s="68" t="inlineStr">
        <is>
          <t>Penetration</t>
        </is>
      </c>
      <c r="AE18" s="68" t="n">
        <v>0</v>
      </c>
      <c r="AF18" s="68" t="inlineStr">
        <is>
          <t>Hit</t>
        </is>
      </c>
      <c r="AG18" s="68" t="n">
        <v>100</v>
      </c>
      <c r="AH18" s="68" t="inlineStr">
        <is>
          <t>Dodge</t>
        </is>
      </c>
      <c r="AI18" s="68" t="n">
        <v>80</v>
      </c>
      <c r="AJ18" s="68" t="inlineStr">
        <is>
          <t>CriRatio</t>
        </is>
      </c>
      <c r="AK18" s="68" t="n">
        <v>0</v>
      </c>
      <c r="AL18" s="68" t="inlineStr">
        <is>
          <t>CriDmgRatio</t>
        </is>
      </c>
      <c r="AM18" s="68" t="n">
        <v>150000</v>
      </c>
      <c r="AN18" s="68" t="n">
        <v>1811041</v>
      </c>
      <c r="AO18" s="68" t="b">
        <v>1</v>
      </c>
      <c r="AP18" s="68" t="n">
        <v>2811041</v>
      </c>
      <c r="AQ18" s="68" t="b">
        <v>1</v>
      </c>
      <c r="AR18" s="68" t="n">
        <v>0</v>
      </c>
      <c r="AS18" s="68" t="b">
        <v>0</v>
      </c>
      <c r="AT18" s="68" t="n">
        <v>0</v>
      </c>
      <c r="AU18" s="68" t="b">
        <v>0</v>
      </c>
    </row>
    <row r="19">
      <c r="A19" s="68" t="n">
        <v>20730203</v>
      </c>
      <c r="B19" s="68" t="inlineStr">
        <is>
          <t>큐브-수</t>
        </is>
      </c>
      <c r="C19" s="68" t="n">
        <v>207302</v>
      </c>
      <c r="D19" s="68" t="n">
        <v>0</v>
      </c>
      <c r="E19" s="68" t="inlineStr">
        <is>
          <t>character_name_20730203</t>
        </is>
      </c>
      <c r="G19" s="68" t="inlineStr">
        <is>
          <t>Normal</t>
        </is>
      </c>
      <c r="H19" s="68" t="inlineStr">
        <is>
          <t>Normal</t>
        </is>
      </c>
      <c r="I19" s="68" t="n">
        <v>3</v>
      </c>
      <c r="J19" s="24" t="inlineStr">
        <is>
          <t>1,1,1</t>
        </is>
      </c>
      <c r="K19" s="68" t="b">
        <v>1</v>
      </c>
      <c r="L19" s="24" t="inlineStr">
        <is>
          <t>0,0,0</t>
        </is>
      </c>
      <c r="M19" s="68" t="n">
        <v>2</v>
      </c>
      <c r="N19" s="68" t="inlineStr">
        <is>
          <t>Water</t>
        </is>
      </c>
      <c r="O19" s="68" t="inlineStr">
        <is>
          <t>Defender</t>
        </is>
      </c>
      <c r="P19" s="68" t="n">
        <v>200</v>
      </c>
      <c r="Q19" s="68">
        <f t="array" ref="Q19">_xlfn.IFS($O19="Attacker",6,$O19="Healer",3,$O19="Magician",4,$O19="Defender",3,$O19="Supporter",4)</f>
        <v/>
      </c>
      <c r="R19" s="68">
        <f t="array" ref="R19">_xlfn.IFS($O19="Attacker",6,$O19="Healer",3,$O19="Magician",4,$O19="Defender",3,$O19="Supporter",4)</f>
        <v/>
      </c>
      <c r="S19" s="68" t="n">
        <v>1</v>
      </c>
      <c r="T19" s="68" t="n">
        <v>0</v>
      </c>
      <c r="U19" s="68" t="n">
        <v>0</v>
      </c>
      <c r="V19" s="68" t="inlineStr">
        <is>
          <t>Spd</t>
        </is>
      </c>
      <c r="W19" s="68">
        <f t="array" ref="W19">_xlfn.IFS(O19="Attacker",80,O19="Healer",90,O19="Magician",100,O19="Defender",110,O19="Supporter",120)</f>
        <v/>
      </c>
      <c r="X19" s="68" t="inlineStr">
        <is>
          <t>Hp</t>
        </is>
      </c>
      <c r="Y19" s="68" t="n">
        <v>36000</v>
      </c>
      <c r="Z19" s="68" t="inlineStr">
        <is>
          <t>Atk</t>
        </is>
      </c>
      <c r="AA19" s="68" t="n">
        <v>450</v>
      </c>
      <c r="AB19" s="68" t="inlineStr">
        <is>
          <t>Def</t>
        </is>
      </c>
      <c r="AC19" s="68" t="n">
        <v>0</v>
      </c>
      <c r="AD19" s="68" t="inlineStr">
        <is>
          <t>Penetration</t>
        </is>
      </c>
      <c r="AE19" s="68" t="n">
        <v>0</v>
      </c>
      <c r="AF19" s="68" t="inlineStr">
        <is>
          <t>Hit</t>
        </is>
      </c>
      <c r="AG19" s="68" t="n">
        <v>120</v>
      </c>
      <c r="AH19" s="68" t="inlineStr">
        <is>
          <t>Dodge</t>
        </is>
      </c>
      <c r="AI19" s="68" t="n">
        <v>80</v>
      </c>
      <c r="AJ19" s="68" t="inlineStr">
        <is>
          <t>CriRatio</t>
        </is>
      </c>
      <c r="AK19" s="68" t="n">
        <v>0</v>
      </c>
      <c r="AL19" s="68" t="inlineStr">
        <is>
          <t>CriDmgRatio</t>
        </is>
      </c>
      <c r="AM19" s="68" t="n">
        <v>150000</v>
      </c>
      <c r="AN19" s="68" t="n">
        <v>1821041</v>
      </c>
      <c r="AO19" s="68" t="b">
        <v>1</v>
      </c>
      <c r="AP19" s="68" t="n">
        <v>2821041</v>
      </c>
      <c r="AQ19" s="68" t="b">
        <v>1</v>
      </c>
      <c r="AR19" s="68" t="n">
        <v>0</v>
      </c>
      <c r="AS19" s="68" t="b">
        <v>0</v>
      </c>
      <c r="AT19" s="68" t="n">
        <v>0</v>
      </c>
      <c r="AU19" s="68" t="b">
        <v>0</v>
      </c>
    </row>
    <row r="20">
      <c r="A20" s="68" t="n">
        <v>20730303</v>
      </c>
      <c r="B20" s="68" t="inlineStr">
        <is>
          <t>큐브-목</t>
        </is>
      </c>
      <c r="C20" s="68" t="n">
        <v>207303</v>
      </c>
      <c r="D20" s="68" t="n">
        <v>0</v>
      </c>
      <c r="E20" s="68" t="inlineStr">
        <is>
          <t>character_name_20730303</t>
        </is>
      </c>
      <c r="G20" s="68" t="inlineStr">
        <is>
          <t>Normal</t>
        </is>
      </c>
      <c r="H20" s="68" t="inlineStr">
        <is>
          <t>Normal</t>
        </is>
      </c>
      <c r="I20" s="68" t="n">
        <v>3</v>
      </c>
      <c r="J20" s="24" t="inlineStr">
        <is>
          <t>1,1,1</t>
        </is>
      </c>
      <c r="K20" s="68" t="b">
        <v>1</v>
      </c>
      <c r="L20" s="24" t="inlineStr">
        <is>
          <t>0,0,0</t>
        </is>
      </c>
      <c r="M20" s="68" t="n">
        <v>2</v>
      </c>
      <c r="N20" s="68" t="inlineStr">
        <is>
          <t>Forest</t>
        </is>
      </c>
      <c r="O20" s="68" t="inlineStr">
        <is>
          <t>Defender</t>
        </is>
      </c>
      <c r="P20" s="68" t="n">
        <v>200</v>
      </c>
      <c r="Q20" s="68">
        <f t="array" ref="Q20">_xlfn.IFS($O20="Attacker",6,$O20="Healer",3,$O20="Magician",4,$O20="Defender",3,$O20="Supporter",4)</f>
        <v/>
      </c>
      <c r="R20" s="68">
        <f t="array" ref="R20">_xlfn.IFS($O20="Attacker",6,$O20="Healer",3,$O20="Magician",4,$O20="Defender",3,$O20="Supporter",4)</f>
        <v/>
      </c>
      <c r="S20" s="68" t="n">
        <v>1</v>
      </c>
      <c r="T20" s="68" t="n">
        <v>0</v>
      </c>
      <c r="U20" s="68" t="n">
        <v>0</v>
      </c>
      <c r="V20" s="68" t="inlineStr">
        <is>
          <t>Spd</t>
        </is>
      </c>
      <c r="W20" s="68">
        <f t="array" ref="W20">_xlfn.IFS(O20="Attacker",80,O20="Healer",90,O20="Magician",100,O20="Defender",110,O20="Supporter",120)</f>
        <v/>
      </c>
      <c r="X20" s="68" t="inlineStr">
        <is>
          <t>Hp</t>
        </is>
      </c>
      <c r="Y20" s="68" t="n">
        <v>39600</v>
      </c>
      <c r="Z20" s="68" t="inlineStr">
        <is>
          <t>Atk</t>
        </is>
      </c>
      <c r="AA20" s="68" t="n">
        <v>450</v>
      </c>
      <c r="AB20" s="68" t="inlineStr">
        <is>
          <t>Def</t>
        </is>
      </c>
      <c r="AC20" s="68" t="n">
        <v>0</v>
      </c>
      <c r="AD20" s="68" t="inlineStr">
        <is>
          <t>Penetration</t>
        </is>
      </c>
      <c r="AE20" s="68" t="n">
        <v>0</v>
      </c>
      <c r="AF20" s="68" t="inlineStr">
        <is>
          <t>Hit</t>
        </is>
      </c>
      <c r="AG20" s="68" t="n">
        <v>100</v>
      </c>
      <c r="AH20" s="68" t="inlineStr">
        <is>
          <t>Dodge</t>
        </is>
      </c>
      <c r="AI20" s="68" t="n">
        <v>80</v>
      </c>
      <c r="AJ20" s="68" t="inlineStr">
        <is>
          <t>CriRatio</t>
        </is>
      </c>
      <c r="AK20" s="68" t="n">
        <v>0</v>
      </c>
      <c r="AL20" s="68" t="inlineStr">
        <is>
          <t>CriDmgRatio</t>
        </is>
      </c>
      <c r="AM20" s="68" t="n">
        <v>150000</v>
      </c>
      <c r="AN20" s="68" t="n">
        <v>1831041</v>
      </c>
      <c r="AO20" s="68" t="b">
        <v>1</v>
      </c>
      <c r="AP20" s="68" t="n">
        <v>2831041</v>
      </c>
      <c r="AQ20" s="68" t="b">
        <v>1</v>
      </c>
      <c r="AR20" s="68" t="n">
        <v>0</v>
      </c>
      <c r="AS20" s="68" t="b">
        <v>0</v>
      </c>
      <c r="AT20" s="68" t="n">
        <v>0</v>
      </c>
      <c r="AU20" s="68" t="b">
        <v>0</v>
      </c>
    </row>
    <row r="21">
      <c r="A21" s="68" t="n">
        <v>20730403</v>
      </c>
      <c r="B21" s="68" t="inlineStr">
        <is>
          <t>큐브-광</t>
        </is>
      </c>
      <c r="C21" s="68" t="n">
        <v>207304</v>
      </c>
      <c r="D21" s="68" t="n">
        <v>0</v>
      </c>
      <c r="E21" s="68" t="inlineStr">
        <is>
          <t>character_name_20730403</t>
        </is>
      </c>
      <c r="G21" s="68" t="inlineStr">
        <is>
          <t>Normal</t>
        </is>
      </c>
      <c r="H21" s="68" t="inlineStr">
        <is>
          <t>Normal</t>
        </is>
      </c>
      <c r="I21" s="68" t="n">
        <v>3</v>
      </c>
      <c r="J21" s="24" t="inlineStr">
        <is>
          <t>1,1,1</t>
        </is>
      </c>
      <c r="K21" s="68" t="b">
        <v>1</v>
      </c>
      <c r="L21" s="24" t="inlineStr">
        <is>
          <t>0,0,0</t>
        </is>
      </c>
      <c r="M21" s="68" t="n">
        <v>2</v>
      </c>
      <c r="N21" s="68" t="inlineStr">
        <is>
          <t>Light</t>
        </is>
      </c>
      <c r="O21" s="68" t="inlineStr">
        <is>
          <t>Defender</t>
        </is>
      </c>
      <c r="P21" s="68" t="n">
        <v>200</v>
      </c>
      <c r="Q21" s="68">
        <f t="array" ref="Q21">_xlfn.IFS($O21="Attacker",6,$O21="Healer",3,$O21="Magician",4,$O21="Defender",3,$O21="Supporter",4)</f>
        <v/>
      </c>
      <c r="R21" s="68">
        <f t="array" ref="R21">_xlfn.IFS($O21="Attacker",6,$O21="Healer",3,$O21="Magician",4,$O21="Defender",3,$O21="Supporter",4)</f>
        <v/>
      </c>
      <c r="S21" s="68" t="n">
        <v>1</v>
      </c>
      <c r="T21" s="68" t="n">
        <v>0</v>
      </c>
      <c r="U21" s="68" t="n">
        <v>0</v>
      </c>
      <c r="V21" s="68" t="inlineStr">
        <is>
          <t>Spd</t>
        </is>
      </c>
      <c r="W21" s="68">
        <f t="array" ref="W21">_xlfn.IFS(O21="Attacker",80,O21="Healer",90,O21="Magician",100,O21="Defender",110,O21="Supporter",120)</f>
        <v/>
      </c>
      <c r="X21" s="68" t="inlineStr">
        <is>
          <t>Hp</t>
        </is>
      </c>
      <c r="Y21" s="68" t="n">
        <v>36000</v>
      </c>
      <c r="Z21" s="68" t="inlineStr">
        <is>
          <t>Atk</t>
        </is>
      </c>
      <c r="AA21" s="68" t="n">
        <v>450</v>
      </c>
      <c r="AB21" s="68" t="inlineStr">
        <is>
          <t>Def</t>
        </is>
      </c>
      <c r="AC21" s="68" t="n">
        <v>0</v>
      </c>
      <c r="AD21" s="68" t="inlineStr">
        <is>
          <t>Penetration</t>
        </is>
      </c>
      <c r="AE21" s="68" t="n">
        <v>0</v>
      </c>
      <c r="AF21" s="68" t="inlineStr">
        <is>
          <t>Hit</t>
        </is>
      </c>
      <c r="AG21" s="68" t="n">
        <v>100</v>
      </c>
      <c r="AH21" s="68" t="inlineStr">
        <is>
          <t>Dodge</t>
        </is>
      </c>
      <c r="AI21" s="68" t="n">
        <v>104</v>
      </c>
      <c r="AJ21" s="68" t="inlineStr">
        <is>
          <t>CriRatio</t>
        </is>
      </c>
      <c r="AK21" s="68" t="n">
        <v>0</v>
      </c>
      <c r="AL21" s="68" t="inlineStr">
        <is>
          <t>CriDmgRatio</t>
        </is>
      </c>
      <c r="AM21" s="68" t="n">
        <v>150000</v>
      </c>
      <c r="AN21" s="68" t="n">
        <v>1841041</v>
      </c>
      <c r="AO21" s="68" t="b">
        <v>1</v>
      </c>
      <c r="AP21" s="68" t="n">
        <v>2841041</v>
      </c>
      <c r="AQ21" s="68" t="b">
        <v>1</v>
      </c>
      <c r="AR21" s="68" t="n">
        <v>0</v>
      </c>
      <c r="AS21" s="68" t="b">
        <v>0</v>
      </c>
      <c r="AT21" s="68" t="n">
        <v>0</v>
      </c>
      <c r="AU21" s="68" t="b">
        <v>0</v>
      </c>
      <c r="AV21" s="1" t="n"/>
    </row>
    <row r="22">
      <c r="A22" s="29" t="n">
        <v>20730503</v>
      </c>
      <c r="B22" s="29" t="inlineStr">
        <is>
          <t>큐브-암</t>
        </is>
      </c>
      <c r="C22" s="29" t="n">
        <v>207305</v>
      </c>
      <c r="D22" s="29" t="n">
        <v>0</v>
      </c>
      <c r="E22" s="29" t="inlineStr">
        <is>
          <t>character_name_20730503</t>
        </is>
      </c>
      <c r="F22" s="29" t="n"/>
      <c r="G22" s="29" t="inlineStr">
        <is>
          <t>Normal</t>
        </is>
      </c>
      <c r="H22" s="29" t="inlineStr">
        <is>
          <t>Normal</t>
        </is>
      </c>
      <c r="I22" s="29" t="n">
        <v>3</v>
      </c>
      <c r="J22" s="27" t="inlineStr">
        <is>
          <t>1,1,1</t>
        </is>
      </c>
      <c r="K22" s="68" t="b">
        <v>1</v>
      </c>
      <c r="L22" s="27" t="inlineStr">
        <is>
          <t>0,0,0</t>
        </is>
      </c>
      <c r="M22" s="29" t="n">
        <v>2</v>
      </c>
      <c r="N22" s="29" t="inlineStr">
        <is>
          <t>Dark</t>
        </is>
      </c>
      <c r="O22" s="29" t="inlineStr">
        <is>
          <t>Defender</t>
        </is>
      </c>
      <c r="P22" s="29" t="n">
        <v>200</v>
      </c>
      <c r="Q22" s="29">
        <f t="array" ref="Q22">_xlfn.IFS($O22="Attacker",6,$O22="Healer",3,$O22="Magician",4,$O22="Defender",3,$O22="Supporter",4)</f>
        <v/>
      </c>
      <c r="R22" s="29">
        <f t="array" ref="R22">_xlfn.IFS($O22="Attacker",6,$O22="Healer",3,$O22="Magician",4,$O22="Defender",3,$O22="Supporter",4)</f>
        <v/>
      </c>
      <c r="S22" s="29" t="n">
        <v>1</v>
      </c>
      <c r="T22" s="29" t="n">
        <v>0</v>
      </c>
      <c r="U22" s="29" t="n">
        <v>0</v>
      </c>
      <c r="V22" s="29" t="inlineStr">
        <is>
          <t>Spd</t>
        </is>
      </c>
      <c r="W22" s="29">
        <f t="array" ref="W22">_xlfn.IFS(O22="Attacker",80,O22="Healer",90,O22="Magician",100,O22="Defender",110,O22="Supporter",120)</f>
        <v/>
      </c>
      <c r="X22" s="29" t="inlineStr">
        <is>
          <t>Hp</t>
        </is>
      </c>
      <c r="Y22" s="68" t="n">
        <v>36000</v>
      </c>
      <c r="Z22" s="29" t="inlineStr">
        <is>
          <t>Atk</t>
        </is>
      </c>
      <c r="AA22" s="68" t="n">
        <v>450</v>
      </c>
      <c r="AB22" s="29" t="inlineStr">
        <is>
          <t>Def</t>
        </is>
      </c>
      <c r="AC22" s="68" t="n">
        <v>0</v>
      </c>
      <c r="AD22" s="29" t="inlineStr">
        <is>
          <t>Penetration</t>
        </is>
      </c>
      <c r="AE22" s="68" t="n">
        <v>0</v>
      </c>
      <c r="AF22" s="29" t="inlineStr">
        <is>
          <t>Hit</t>
        </is>
      </c>
      <c r="AG22" s="29" t="n">
        <v>100</v>
      </c>
      <c r="AH22" s="29" t="inlineStr">
        <is>
          <t>Dodge</t>
        </is>
      </c>
      <c r="AI22" s="29" t="n">
        <v>80</v>
      </c>
      <c r="AJ22" s="29" t="inlineStr">
        <is>
          <t>CriRatio</t>
        </is>
      </c>
      <c r="AK22" s="29" t="n">
        <v>0</v>
      </c>
      <c r="AL22" s="29" t="inlineStr">
        <is>
          <t>CriDmgRatio</t>
        </is>
      </c>
      <c r="AM22" s="29" t="n">
        <v>150000</v>
      </c>
      <c r="AN22" s="29" t="n">
        <v>1851041</v>
      </c>
      <c r="AO22" s="29" t="b">
        <v>1</v>
      </c>
      <c r="AP22" s="29" t="n">
        <v>2851041</v>
      </c>
      <c r="AQ22" s="29" t="b">
        <v>1</v>
      </c>
      <c r="AR22" s="29" t="n">
        <v>0</v>
      </c>
      <c r="AS22" s="29" t="b">
        <v>0</v>
      </c>
      <c r="AT22" s="29" t="n">
        <v>0</v>
      </c>
      <c r="AU22" s="29" t="b">
        <v>0</v>
      </c>
    </row>
    <row r="23" customFormat="1" s="11">
      <c r="A23" s="68" t="n">
        <v>20730104</v>
      </c>
      <c r="B23" s="68" t="inlineStr">
        <is>
          <t>큐브-화</t>
        </is>
      </c>
      <c r="C23" s="68" t="n">
        <v>207301</v>
      </c>
      <c r="D23" s="68" t="n">
        <v>0</v>
      </c>
      <c r="E23" s="68" t="inlineStr">
        <is>
          <t>character_name_20730104</t>
        </is>
      </c>
      <c r="F23" s="68" t="n"/>
      <c r="G23" s="68" t="inlineStr">
        <is>
          <t>Normal</t>
        </is>
      </c>
      <c r="H23" s="68" t="inlineStr">
        <is>
          <t>Normal</t>
        </is>
      </c>
      <c r="I23" s="68" t="n">
        <v>4</v>
      </c>
      <c r="J23" s="24" t="inlineStr">
        <is>
          <t>1,1,1</t>
        </is>
      </c>
      <c r="K23" s="68" t="b">
        <v>1</v>
      </c>
      <c r="L23" s="24" t="inlineStr">
        <is>
          <t>0,0,0</t>
        </is>
      </c>
      <c r="M23" s="68" t="n">
        <v>2</v>
      </c>
      <c r="N23" s="68" t="inlineStr">
        <is>
          <t>Fire</t>
        </is>
      </c>
      <c r="O23" s="68" t="inlineStr">
        <is>
          <t>Defender</t>
        </is>
      </c>
      <c r="P23" s="68" t="n">
        <v>200</v>
      </c>
      <c r="Q23" s="68">
        <f t="array" ref="Q23">_xlfn.IFS($O23="Attacker",6,$O23="Healer",3,$O23="Magician",4,$O23="Defender",3,$O23="Supporter",4)</f>
        <v/>
      </c>
      <c r="R23" s="68">
        <f t="array" ref="R23">_xlfn.IFS($O23="Attacker",6,$O23="Healer",3,$O23="Magician",4,$O23="Defender",3,$O23="Supporter",4)</f>
        <v/>
      </c>
      <c r="S23" s="68" t="n">
        <v>1</v>
      </c>
      <c r="T23" s="68" t="n">
        <v>0</v>
      </c>
      <c r="U23" s="68" t="n">
        <v>0</v>
      </c>
      <c r="V23" s="68" t="inlineStr">
        <is>
          <t>Spd</t>
        </is>
      </c>
      <c r="W23" s="68">
        <f t="array" ref="W23">_xlfn.IFS(O23="Attacker",80,O23="Healer",90,O23="Magician",100,O23="Defender",110,O23="Supporter",120)</f>
        <v/>
      </c>
      <c r="X23" s="68" t="inlineStr">
        <is>
          <t>Hp</t>
        </is>
      </c>
      <c r="Y23" s="68" t="n">
        <v>90000</v>
      </c>
      <c r="Z23" s="68" t="inlineStr">
        <is>
          <t>Atk</t>
        </is>
      </c>
      <c r="AA23" s="68" t="n">
        <v>675</v>
      </c>
      <c r="AB23" s="68" t="inlineStr">
        <is>
          <t>Def</t>
        </is>
      </c>
      <c r="AC23" s="68" t="n">
        <v>0</v>
      </c>
      <c r="AD23" s="68" t="inlineStr">
        <is>
          <t>Penetration</t>
        </is>
      </c>
      <c r="AE23" s="68" t="n">
        <v>0</v>
      </c>
      <c r="AF23" s="68" t="inlineStr">
        <is>
          <t>Hit</t>
        </is>
      </c>
      <c r="AG23" s="68" t="n">
        <v>100</v>
      </c>
      <c r="AH23" s="68" t="inlineStr">
        <is>
          <t>Dodge</t>
        </is>
      </c>
      <c r="AI23" s="68" t="n">
        <v>80</v>
      </c>
      <c r="AJ23" s="68" t="inlineStr">
        <is>
          <t>CriRatio</t>
        </is>
      </c>
      <c r="AK23" s="68" t="n">
        <v>0</v>
      </c>
      <c r="AL23" s="68" t="inlineStr">
        <is>
          <t>CriDmgRatio</t>
        </is>
      </c>
      <c r="AM23" s="68" t="n">
        <v>150000</v>
      </c>
      <c r="AN23" s="68" t="n">
        <v>1811041</v>
      </c>
      <c r="AO23" s="68" t="b">
        <v>1</v>
      </c>
      <c r="AP23" s="68" t="n">
        <v>2811041</v>
      </c>
      <c r="AQ23" s="68" t="b">
        <v>1</v>
      </c>
      <c r="AR23" s="68" t="n">
        <v>0</v>
      </c>
      <c r="AS23" s="68" t="b">
        <v>0</v>
      </c>
      <c r="AT23" s="68" t="n">
        <v>0</v>
      </c>
      <c r="AU23" s="68" t="b">
        <v>0</v>
      </c>
    </row>
    <row r="24">
      <c r="A24" s="68" t="n">
        <v>20730204</v>
      </c>
      <c r="B24" s="68" t="inlineStr">
        <is>
          <t>큐브-수</t>
        </is>
      </c>
      <c r="C24" s="68" t="n">
        <v>207302</v>
      </c>
      <c r="D24" s="68" t="n">
        <v>0</v>
      </c>
      <c r="E24" s="68" t="inlineStr">
        <is>
          <t>character_name_20730204</t>
        </is>
      </c>
      <c r="G24" s="68" t="inlineStr">
        <is>
          <t>Normal</t>
        </is>
      </c>
      <c r="H24" s="68" t="inlineStr">
        <is>
          <t>Normal</t>
        </is>
      </c>
      <c r="I24" s="68" t="n">
        <v>4</v>
      </c>
      <c r="J24" s="24" t="inlineStr">
        <is>
          <t>1,1,1</t>
        </is>
      </c>
      <c r="K24" s="68" t="b">
        <v>1</v>
      </c>
      <c r="L24" s="24" t="inlineStr">
        <is>
          <t>0,0,0</t>
        </is>
      </c>
      <c r="M24" s="68" t="n">
        <v>2</v>
      </c>
      <c r="N24" s="68" t="inlineStr">
        <is>
          <t>Water</t>
        </is>
      </c>
      <c r="O24" s="68" t="inlineStr">
        <is>
          <t>Defender</t>
        </is>
      </c>
      <c r="P24" s="68" t="n">
        <v>200</v>
      </c>
      <c r="Q24" s="68">
        <f t="array" ref="Q24">_xlfn.IFS($O24="Attacker",6,$O24="Healer",3,$O24="Magician",4,$O24="Defender",3,$O24="Supporter",4)</f>
        <v/>
      </c>
      <c r="R24" s="68">
        <f t="array" ref="R24">_xlfn.IFS($O24="Attacker",6,$O24="Healer",3,$O24="Magician",4,$O24="Defender",3,$O24="Supporter",4)</f>
        <v/>
      </c>
      <c r="S24" s="68" t="n">
        <v>1</v>
      </c>
      <c r="T24" s="68" t="n">
        <v>0</v>
      </c>
      <c r="U24" s="68" t="n">
        <v>0</v>
      </c>
      <c r="V24" s="68" t="inlineStr">
        <is>
          <t>Spd</t>
        </is>
      </c>
      <c r="W24" s="68">
        <f t="array" ref="W24">_xlfn.IFS(O24="Attacker",80,O24="Healer",90,O24="Magician",100,O24="Defender",110,O24="Supporter",120)</f>
        <v/>
      </c>
      <c r="X24" s="68" t="inlineStr">
        <is>
          <t>Hp</t>
        </is>
      </c>
      <c r="Y24" s="68" t="n">
        <v>90000</v>
      </c>
      <c r="Z24" s="68" t="inlineStr">
        <is>
          <t>Atk</t>
        </is>
      </c>
      <c r="AA24" s="68" t="n">
        <v>675</v>
      </c>
      <c r="AB24" s="68" t="inlineStr">
        <is>
          <t>Def</t>
        </is>
      </c>
      <c r="AC24" s="68" t="n">
        <v>0</v>
      </c>
      <c r="AD24" s="68" t="inlineStr">
        <is>
          <t>Penetration</t>
        </is>
      </c>
      <c r="AE24" s="68" t="n">
        <v>0</v>
      </c>
      <c r="AF24" s="68" t="inlineStr">
        <is>
          <t>Hit</t>
        </is>
      </c>
      <c r="AG24" s="68" t="n">
        <v>120</v>
      </c>
      <c r="AH24" s="68" t="inlineStr">
        <is>
          <t>Dodge</t>
        </is>
      </c>
      <c r="AI24" s="68" t="n">
        <v>80</v>
      </c>
      <c r="AJ24" s="68" t="inlineStr">
        <is>
          <t>CriRatio</t>
        </is>
      </c>
      <c r="AK24" s="68" t="n">
        <v>0</v>
      </c>
      <c r="AL24" s="68" t="inlineStr">
        <is>
          <t>CriDmgRatio</t>
        </is>
      </c>
      <c r="AM24" s="68" t="n">
        <v>150000</v>
      </c>
      <c r="AN24" s="68" t="n">
        <v>1821041</v>
      </c>
      <c r="AO24" s="68" t="b">
        <v>1</v>
      </c>
      <c r="AP24" s="68" t="n">
        <v>2821041</v>
      </c>
      <c r="AQ24" s="68" t="b">
        <v>1</v>
      </c>
      <c r="AR24" s="68" t="n">
        <v>0</v>
      </c>
      <c r="AS24" s="68" t="b">
        <v>0</v>
      </c>
      <c r="AT24" s="68" t="n">
        <v>0</v>
      </c>
      <c r="AU24" s="68" t="b">
        <v>0</v>
      </c>
    </row>
    <row r="25">
      <c r="A25" s="68" t="n">
        <v>20730304</v>
      </c>
      <c r="B25" s="68" t="inlineStr">
        <is>
          <t>큐브-목</t>
        </is>
      </c>
      <c r="C25" s="68" t="n">
        <v>207303</v>
      </c>
      <c r="D25" s="68" t="n">
        <v>0</v>
      </c>
      <c r="E25" s="68" t="inlineStr">
        <is>
          <t>character_name_20730304</t>
        </is>
      </c>
      <c r="G25" s="68" t="inlineStr">
        <is>
          <t>Normal</t>
        </is>
      </c>
      <c r="H25" s="68" t="inlineStr">
        <is>
          <t>Normal</t>
        </is>
      </c>
      <c r="I25" s="68" t="n">
        <v>4</v>
      </c>
      <c r="J25" s="24" t="inlineStr">
        <is>
          <t>1,1,1</t>
        </is>
      </c>
      <c r="K25" s="68" t="b">
        <v>1</v>
      </c>
      <c r="L25" s="24" t="inlineStr">
        <is>
          <t>0,0,0</t>
        </is>
      </c>
      <c r="M25" s="68" t="n">
        <v>2</v>
      </c>
      <c r="N25" s="68" t="inlineStr">
        <is>
          <t>Forest</t>
        </is>
      </c>
      <c r="O25" s="68" t="inlineStr">
        <is>
          <t>Defender</t>
        </is>
      </c>
      <c r="P25" s="68" t="n">
        <v>200</v>
      </c>
      <c r="Q25" s="68">
        <f t="array" ref="Q25">_xlfn.IFS($O25="Attacker",6,$O25="Healer",3,$O25="Magician",4,$O25="Defender",3,$O25="Supporter",4)</f>
        <v/>
      </c>
      <c r="R25" s="68">
        <f t="array" ref="R25">_xlfn.IFS($O25="Attacker",6,$O25="Healer",3,$O25="Magician",4,$O25="Defender",3,$O25="Supporter",4)</f>
        <v/>
      </c>
      <c r="S25" s="68" t="n">
        <v>1</v>
      </c>
      <c r="T25" s="68" t="n">
        <v>0</v>
      </c>
      <c r="U25" s="68" t="n">
        <v>0</v>
      </c>
      <c r="V25" s="68" t="inlineStr">
        <is>
          <t>Spd</t>
        </is>
      </c>
      <c r="W25" s="68">
        <f t="array" ref="W25">_xlfn.IFS(O25="Attacker",80,O25="Healer",90,O25="Magician",100,O25="Defender",110,O25="Supporter",120)</f>
        <v/>
      </c>
      <c r="X25" s="68" t="inlineStr">
        <is>
          <t>Hp</t>
        </is>
      </c>
      <c r="Y25" s="68" t="n">
        <v>99000</v>
      </c>
      <c r="Z25" s="68" t="inlineStr">
        <is>
          <t>Atk</t>
        </is>
      </c>
      <c r="AA25" s="68" t="n">
        <v>675</v>
      </c>
      <c r="AB25" s="68" t="inlineStr">
        <is>
          <t>Def</t>
        </is>
      </c>
      <c r="AC25" s="68" t="n">
        <v>0</v>
      </c>
      <c r="AD25" s="68" t="inlineStr">
        <is>
          <t>Penetration</t>
        </is>
      </c>
      <c r="AE25" s="68" t="n">
        <v>0</v>
      </c>
      <c r="AF25" s="68" t="inlineStr">
        <is>
          <t>Hit</t>
        </is>
      </c>
      <c r="AG25" s="68" t="n">
        <v>100</v>
      </c>
      <c r="AH25" s="68" t="inlineStr">
        <is>
          <t>Dodge</t>
        </is>
      </c>
      <c r="AI25" s="68" t="n">
        <v>80</v>
      </c>
      <c r="AJ25" s="68" t="inlineStr">
        <is>
          <t>CriRatio</t>
        </is>
      </c>
      <c r="AK25" s="68" t="n">
        <v>0</v>
      </c>
      <c r="AL25" s="68" t="inlineStr">
        <is>
          <t>CriDmgRatio</t>
        </is>
      </c>
      <c r="AM25" s="68" t="n">
        <v>150000</v>
      </c>
      <c r="AN25" s="68" t="n">
        <v>1831041</v>
      </c>
      <c r="AO25" s="68" t="b">
        <v>1</v>
      </c>
      <c r="AP25" s="68" t="n">
        <v>2831041</v>
      </c>
      <c r="AQ25" s="68" t="b">
        <v>1</v>
      </c>
      <c r="AR25" s="68" t="n">
        <v>0</v>
      </c>
      <c r="AS25" s="68" t="b">
        <v>0</v>
      </c>
      <c r="AT25" s="68" t="n">
        <v>0</v>
      </c>
      <c r="AU25" s="68" t="b">
        <v>0</v>
      </c>
    </row>
    <row r="26">
      <c r="A26" s="68" t="n">
        <v>20730404</v>
      </c>
      <c r="B26" s="68" t="inlineStr">
        <is>
          <t>큐브-광</t>
        </is>
      </c>
      <c r="C26" s="68" t="n">
        <v>207304</v>
      </c>
      <c r="D26" s="68" t="n">
        <v>0</v>
      </c>
      <c r="E26" s="68" t="inlineStr">
        <is>
          <t>character_name_20730404</t>
        </is>
      </c>
      <c r="G26" s="68" t="inlineStr">
        <is>
          <t>Normal</t>
        </is>
      </c>
      <c r="H26" s="68" t="inlineStr">
        <is>
          <t>Normal</t>
        </is>
      </c>
      <c r="I26" s="68" t="n">
        <v>4</v>
      </c>
      <c r="J26" s="24" t="inlineStr">
        <is>
          <t>1,1,1</t>
        </is>
      </c>
      <c r="K26" s="68" t="b">
        <v>1</v>
      </c>
      <c r="L26" s="24" t="inlineStr">
        <is>
          <t>0,0,0</t>
        </is>
      </c>
      <c r="M26" s="68" t="n">
        <v>2</v>
      </c>
      <c r="N26" s="68" t="inlineStr">
        <is>
          <t>Light</t>
        </is>
      </c>
      <c r="O26" s="68" t="inlineStr">
        <is>
          <t>Defender</t>
        </is>
      </c>
      <c r="P26" s="68" t="n">
        <v>200</v>
      </c>
      <c r="Q26" s="68">
        <f t="array" ref="Q26">_xlfn.IFS($O26="Attacker",6,$O26="Healer",3,$O26="Magician",4,$O26="Defender",3,$O26="Supporter",4)</f>
        <v/>
      </c>
      <c r="R26" s="68">
        <f t="array" ref="R26">_xlfn.IFS($O26="Attacker",6,$O26="Healer",3,$O26="Magician",4,$O26="Defender",3,$O26="Supporter",4)</f>
        <v/>
      </c>
      <c r="S26" s="68" t="n">
        <v>1</v>
      </c>
      <c r="T26" s="68" t="n">
        <v>0</v>
      </c>
      <c r="U26" s="68" t="n">
        <v>0</v>
      </c>
      <c r="V26" s="68" t="inlineStr">
        <is>
          <t>Spd</t>
        </is>
      </c>
      <c r="W26" s="68">
        <f t="array" ref="W26">_xlfn.IFS(O26="Attacker",80,O26="Healer",90,O26="Magician",100,O26="Defender",110,O26="Supporter",120)</f>
        <v/>
      </c>
      <c r="X26" s="68" t="inlineStr">
        <is>
          <t>Hp</t>
        </is>
      </c>
      <c r="Y26" s="68" t="n">
        <v>90000</v>
      </c>
      <c r="Z26" s="68" t="inlineStr">
        <is>
          <t>Atk</t>
        </is>
      </c>
      <c r="AA26" s="68" t="n">
        <v>675</v>
      </c>
      <c r="AB26" s="68" t="inlineStr">
        <is>
          <t>Def</t>
        </is>
      </c>
      <c r="AC26" s="68" t="n">
        <v>0</v>
      </c>
      <c r="AD26" s="68" t="inlineStr">
        <is>
          <t>Penetration</t>
        </is>
      </c>
      <c r="AE26" s="68" t="n">
        <v>0</v>
      </c>
      <c r="AF26" s="68" t="inlineStr">
        <is>
          <t>Hit</t>
        </is>
      </c>
      <c r="AG26" s="68" t="n">
        <v>100</v>
      </c>
      <c r="AH26" s="68" t="inlineStr">
        <is>
          <t>Dodge</t>
        </is>
      </c>
      <c r="AI26" s="68" t="n">
        <v>104</v>
      </c>
      <c r="AJ26" s="68" t="inlineStr">
        <is>
          <t>CriRatio</t>
        </is>
      </c>
      <c r="AK26" s="68" t="n">
        <v>0</v>
      </c>
      <c r="AL26" s="68" t="inlineStr">
        <is>
          <t>CriDmgRatio</t>
        </is>
      </c>
      <c r="AM26" s="68" t="n">
        <v>150000</v>
      </c>
      <c r="AN26" s="68" t="n">
        <v>1841041</v>
      </c>
      <c r="AO26" s="68" t="b">
        <v>1</v>
      </c>
      <c r="AP26" s="68" t="n">
        <v>2841041</v>
      </c>
      <c r="AQ26" s="68" t="b">
        <v>1</v>
      </c>
      <c r="AR26" s="68" t="n">
        <v>0</v>
      </c>
      <c r="AS26" s="68" t="b">
        <v>0</v>
      </c>
      <c r="AT26" s="68" t="n">
        <v>0</v>
      </c>
      <c r="AU26" s="68" t="b">
        <v>0</v>
      </c>
      <c r="AV26" s="1" t="n"/>
    </row>
    <row r="27">
      <c r="A27" s="29" t="n">
        <v>20730504</v>
      </c>
      <c r="B27" s="29" t="inlineStr">
        <is>
          <t>큐브-암</t>
        </is>
      </c>
      <c r="C27" s="29" t="n">
        <v>207305</v>
      </c>
      <c r="D27" s="29" t="n">
        <v>0</v>
      </c>
      <c r="E27" s="29" t="inlineStr">
        <is>
          <t>character_name_20730504</t>
        </is>
      </c>
      <c r="F27" s="29" t="n"/>
      <c r="G27" s="29" t="inlineStr">
        <is>
          <t>Normal</t>
        </is>
      </c>
      <c r="H27" s="29" t="inlineStr">
        <is>
          <t>Normal</t>
        </is>
      </c>
      <c r="I27" s="29" t="n">
        <v>4</v>
      </c>
      <c r="J27" s="27" t="inlineStr">
        <is>
          <t>1,1,1</t>
        </is>
      </c>
      <c r="K27" s="68" t="b">
        <v>1</v>
      </c>
      <c r="L27" s="27" t="inlineStr">
        <is>
          <t>0,0,0</t>
        </is>
      </c>
      <c r="M27" s="29" t="n">
        <v>2</v>
      </c>
      <c r="N27" s="29" t="inlineStr">
        <is>
          <t>Dark</t>
        </is>
      </c>
      <c r="O27" s="29" t="inlineStr">
        <is>
          <t>Defender</t>
        </is>
      </c>
      <c r="P27" s="29" t="n">
        <v>200</v>
      </c>
      <c r="Q27" s="29">
        <f t="array" ref="Q27">_xlfn.IFS($O27="Attacker",6,$O27="Healer",3,$O27="Magician",4,$O27="Defender",3,$O27="Supporter",4)</f>
        <v/>
      </c>
      <c r="R27" s="29">
        <f t="array" ref="R27">_xlfn.IFS($O27="Attacker",6,$O27="Healer",3,$O27="Magician",4,$O27="Defender",3,$O27="Supporter",4)</f>
        <v/>
      </c>
      <c r="S27" s="29" t="n">
        <v>1</v>
      </c>
      <c r="T27" s="29" t="n">
        <v>0</v>
      </c>
      <c r="U27" s="29" t="n">
        <v>0</v>
      </c>
      <c r="V27" s="29" t="inlineStr">
        <is>
          <t>Spd</t>
        </is>
      </c>
      <c r="W27" s="29">
        <f t="array" ref="W27">_xlfn.IFS(O27="Attacker",80,O27="Healer",90,O27="Magician",100,O27="Defender",110,O27="Supporter",120)</f>
        <v/>
      </c>
      <c r="X27" s="29" t="inlineStr">
        <is>
          <t>Hp</t>
        </is>
      </c>
      <c r="Y27" s="68" t="n">
        <v>90000</v>
      </c>
      <c r="Z27" s="29" t="inlineStr">
        <is>
          <t>Atk</t>
        </is>
      </c>
      <c r="AA27" s="68" t="n">
        <v>675</v>
      </c>
      <c r="AB27" s="29" t="inlineStr">
        <is>
          <t>Def</t>
        </is>
      </c>
      <c r="AC27" s="68" t="n">
        <v>0</v>
      </c>
      <c r="AD27" s="29" t="inlineStr">
        <is>
          <t>Penetration</t>
        </is>
      </c>
      <c r="AE27" s="68" t="n">
        <v>0</v>
      </c>
      <c r="AF27" s="29" t="inlineStr">
        <is>
          <t>Hit</t>
        </is>
      </c>
      <c r="AG27" s="29" t="n">
        <v>100</v>
      </c>
      <c r="AH27" s="29" t="inlineStr">
        <is>
          <t>Dodge</t>
        </is>
      </c>
      <c r="AI27" s="29" t="n">
        <v>80</v>
      </c>
      <c r="AJ27" s="29" t="inlineStr">
        <is>
          <t>CriRatio</t>
        </is>
      </c>
      <c r="AK27" s="29" t="n">
        <v>0</v>
      </c>
      <c r="AL27" s="29" t="inlineStr">
        <is>
          <t>CriDmgRatio</t>
        </is>
      </c>
      <c r="AM27" s="29" t="n">
        <v>150000</v>
      </c>
      <c r="AN27" s="29" t="n">
        <v>1851041</v>
      </c>
      <c r="AO27" s="29" t="b">
        <v>1</v>
      </c>
      <c r="AP27" s="29" t="n">
        <v>2851041</v>
      </c>
      <c r="AQ27" s="29" t="b">
        <v>1</v>
      </c>
      <c r="AR27" s="29" t="n">
        <v>0</v>
      </c>
      <c r="AS27" s="29" t="b">
        <v>0</v>
      </c>
      <c r="AT27" s="29" t="n">
        <v>0</v>
      </c>
      <c r="AU27" s="29" t="b">
        <v>0</v>
      </c>
    </row>
    <row r="28" customFormat="1" s="11">
      <c r="A28" s="68" t="n">
        <v>20730105</v>
      </c>
      <c r="B28" s="68" t="inlineStr">
        <is>
          <t>큐브-화</t>
        </is>
      </c>
      <c r="C28" s="68" t="n">
        <v>207301</v>
      </c>
      <c r="D28" s="68" t="n">
        <v>0</v>
      </c>
      <c r="E28" s="68" t="inlineStr">
        <is>
          <t>character_name_20730105</t>
        </is>
      </c>
      <c r="F28" s="68" t="n"/>
      <c r="G28" s="68" t="inlineStr">
        <is>
          <t>Normal</t>
        </is>
      </c>
      <c r="H28" s="68" t="inlineStr">
        <is>
          <t>Normal</t>
        </is>
      </c>
      <c r="I28" s="68" t="n">
        <v>5</v>
      </c>
      <c r="J28" s="24" t="inlineStr">
        <is>
          <t>1,1,1</t>
        </is>
      </c>
      <c r="K28" s="68" t="b">
        <v>1</v>
      </c>
      <c r="L28" s="24" t="inlineStr">
        <is>
          <t>0,0,0</t>
        </is>
      </c>
      <c r="M28" s="68" t="n">
        <v>2</v>
      </c>
      <c r="N28" s="68" t="inlineStr">
        <is>
          <t>Fire</t>
        </is>
      </c>
      <c r="O28" s="68" t="inlineStr">
        <is>
          <t>Defender</t>
        </is>
      </c>
      <c r="P28" s="68" t="n">
        <v>200</v>
      </c>
      <c r="Q28" s="68">
        <f t="array" ref="Q28">_xlfn.IFS($O28="Attacker",6,$O28="Healer",3,$O28="Magician",4,$O28="Defender",3,$O28="Supporter",4)</f>
        <v/>
      </c>
      <c r="R28" s="68">
        <f t="array" ref="R28">_xlfn.IFS($O28="Attacker",6,$O28="Healer",3,$O28="Magician",4,$O28="Defender",3,$O28="Supporter",4)</f>
        <v/>
      </c>
      <c r="S28" s="68" t="n">
        <v>1</v>
      </c>
      <c r="T28" s="68" t="n">
        <v>0</v>
      </c>
      <c r="U28" s="68" t="n">
        <v>0</v>
      </c>
      <c r="V28" s="68" t="inlineStr">
        <is>
          <t>Spd</t>
        </is>
      </c>
      <c r="W28" s="68">
        <f t="array" ref="W28">_xlfn.IFS(O28="Attacker",80,O28="Healer",90,O28="Magician",100,O28="Defender",110,O28="Supporter",120)</f>
        <v/>
      </c>
      <c r="X28" s="68" t="inlineStr">
        <is>
          <t>Hp</t>
        </is>
      </c>
      <c r="Y28" s="68" t="n">
        <v>225000</v>
      </c>
      <c r="Z28" s="68" t="inlineStr">
        <is>
          <t>Atk</t>
        </is>
      </c>
      <c r="AA28" s="68" t="n">
        <v>1012</v>
      </c>
      <c r="AB28" s="68" t="inlineStr">
        <is>
          <t>Def</t>
        </is>
      </c>
      <c r="AC28" s="68" t="n">
        <v>0</v>
      </c>
      <c r="AD28" s="68" t="inlineStr">
        <is>
          <t>Penetration</t>
        </is>
      </c>
      <c r="AE28" s="68" t="n">
        <v>0</v>
      </c>
      <c r="AF28" s="68" t="inlineStr">
        <is>
          <t>Hit</t>
        </is>
      </c>
      <c r="AG28" s="68" t="n">
        <v>100</v>
      </c>
      <c r="AH28" s="68" t="inlineStr">
        <is>
          <t>Dodge</t>
        </is>
      </c>
      <c r="AI28" s="68" t="n">
        <v>80</v>
      </c>
      <c r="AJ28" s="68" t="inlineStr">
        <is>
          <t>CriRatio</t>
        </is>
      </c>
      <c r="AK28" s="68" t="n">
        <v>0</v>
      </c>
      <c r="AL28" s="68" t="inlineStr">
        <is>
          <t>CriDmgRatio</t>
        </is>
      </c>
      <c r="AM28" s="68" t="n">
        <v>150000</v>
      </c>
      <c r="AN28" s="68" t="n">
        <v>1811041</v>
      </c>
      <c r="AO28" s="68" t="b">
        <v>1</v>
      </c>
      <c r="AP28" s="68" t="n">
        <v>2811041</v>
      </c>
      <c r="AQ28" s="68" t="b">
        <v>1</v>
      </c>
      <c r="AR28" s="68" t="n">
        <v>0</v>
      </c>
      <c r="AS28" s="68" t="b">
        <v>0</v>
      </c>
      <c r="AT28" s="68" t="n">
        <v>0</v>
      </c>
      <c r="AU28" s="68" t="b">
        <v>0</v>
      </c>
    </row>
    <row r="29">
      <c r="A29" s="68" t="n">
        <v>20730205</v>
      </c>
      <c r="B29" s="68" t="inlineStr">
        <is>
          <t>큐브-수</t>
        </is>
      </c>
      <c r="C29" s="68" t="n">
        <v>207302</v>
      </c>
      <c r="D29" s="68" t="n">
        <v>0</v>
      </c>
      <c r="E29" s="68" t="inlineStr">
        <is>
          <t>character_name_20730205</t>
        </is>
      </c>
      <c r="G29" s="68" t="inlineStr">
        <is>
          <t>Normal</t>
        </is>
      </c>
      <c r="H29" s="68" t="inlineStr">
        <is>
          <t>Normal</t>
        </is>
      </c>
      <c r="I29" s="68" t="n">
        <v>5</v>
      </c>
      <c r="J29" s="24" t="inlineStr">
        <is>
          <t>1,1,1</t>
        </is>
      </c>
      <c r="K29" s="68" t="b">
        <v>1</v>
      </c>
      <c r="L29" s="24" t="inlineStr">
        <is>
          <t>0,0,0</t>
        </is>
      </c>
      <c r="M29" s="68" t="n">
        <v>2</v>
      </c>
      <c r="N29" s="68" t="inlineStr">
        <is>
          <t>Water</t>
        </is>
      </c>
      <c r="O29" s="68" t="inlineStr">
        <is>
          <t>Defender</t>
        </is>
      </c>
      <c r="P29" s="68" t="n">
        <v>200</v>
      </c>
      <c r="Q29" s="68">
        <f t="array" ref="Q29">_xlfn.IFS($O29="Attacker",6,$O29="Healer",3,$O29="Magician",4,$O29="Defender",3,$O29="Supporter",4)</f>
        <v/>
      </c>
      <c r="R29" s="68">
        <f t="array" ref="R29">_xlfn.IFS($O29="Attacker",6,$O29="Healer",3,$O29="Magician",4,$O29="Defender",3,$O29="Supporter",4)</f>
        <v/>
      </c>
      <c r="S29" s="68" t="n">
        <v>1</v>
      </c>
      <c r="T29" s="68" t="n">
        <v>0</v>
      </c>
      <c r="U29" s="68" t="n">
        <v>0</v>
      </c>
      <c r="V29" s="68" t="inlineStr">
        <is>
          <t>Spd</t>
        </is>
      </c>
      <c r="W29" s="68">
        <f t="array" ref="W29">_xlfn.IFS(O29="Attacker",80,O29="Healer",90,O29="Magician",100,O29="Defender",110,O29="Supporter",120)</f>
        <v/>
      </c>
      <c r="X29" s="68" t="inlineStr">
        <is>
          <t>Hp</t>
        </is>
      </c>
      <c r="Y29" s="68" t="n">
        <v>225000</v>
      </c>
      <c r="Z29" s="68" t="inlineStr">
        <is>
          <t>Atk</t>
        </is>
      </c>
      <c r="AA29" s="68" t="n">
        <v>1012</v>
      </c>
      <c r="AB29" s="68" t="inlineStr">
        <is>
          <t>Def</t>
        </is>
      </c>
      <c r="AC29" s="68" t="n">
        <v>0</v>
      </c>
      <c r="AD29" s="68" t="inlineStr">
        <is>
          <t>Penetration</t>
        </is>
      </c>
      <c r="AE29" s="68" t="n">
        <v>0</v>
      </c>
      <c r="AF29" s="68" t="inlineStr">
        <is>
          <t>Hit</t>
        </is>
      </c>
      <c r="AG29" s="68" t="n">
        <v>120</v>
      </c>
      <c r="AH29" s="68" t="inlineStr">
        <is>
          <t>Dodge</t>
        </is>
      </c>
      <c r="AI29" s="68" t="n">
        <v>80</v>
      </c>
      <c r="AJ29" s="68" t="inlineStr">
        <is>
          <t>CriRatio</t>
        </is>
      </c>
      <c r="AK29" s="68" t="n">
        <v>0</v>
      </c>
      <c r="AL29" s="68" t="inlineStr">
        <is>
          <t>CriDmgRatio</t>
        </is>
      </c>
      <c r="AM29" s="68" t="n">
        <v>150000</v>
      </c>
      <c r="AN29" s="68" t="n">
        <v>1821041</v>
      </c>
      <c r="AO29" s="68" t="b">
        <v>1</v>
      </c>
      <c r="AP29" s="68" t="n">
        <v>2821041</v>
      </c>
      <c r="AQ29" s="68" t="b">
        <v>1</v>
      </c>
      <c r="AR29" s="68" t="n">
        <v>0</v>
      </c>
      <c r="AS29" s="68" t="b">
        <v>0</v>
      </c>
      <c r="AT29" s="68" t="n">
        <v>0</v>
      </c>
      <c r="AU29" s="68" t="b">
        <v>0</v>
      </c>
    </row>
    <row r="30">
      <c r="A30" s="68" t="n">
        <v>20730305</v>
      </c>
      <c r="B30" s="68" t="inlineStr">
        <is>
          <t>큐브-목</t>
        </is>
      </c>
      <c r="C30" s="68" t="n">
        <v>207303</v>
      </c>
      <c r="D30" s="68" t="n">
        <v>0</v>
      </c>
      <c r="E30" s="68" t="inlineStr">
        <is>
          <t>character_name_20730305</t>
        </is>
      </c>
      <c r="G30" s="68" t="inlineStr">
        <is>
          <t>Normal</t>
        </is>
      </c>
      <c r="H30" s="68" t="inlineStr">
        <is>
          <t>Normal</t>
        </is>
      </c>
      <c r="I30" s="68" t="n">
        <v>5</v>
      </c>
      <c r="J30" s="24" t="inlineStr">
        <is>
          <t>1,1,1</t>
        </is>
      </c>
      <c r="K30" s="68" t="b">
        <v>1</v>
      </c>
      <c r="L30" s="24" t="inlineStr">
        <is>
          <t>0,0,0</t>
        </is>
      </c>
      <c r="M30" s="68" t="n">
        <v>2</v>
      </c>
      <c r="N30" s="68" t="inlineStr">
        <is>
          <t>Forest</t>
        </is>
      </c>
      <c r="O30" s="68" t="inlineStr">
        <is>
          <t>Defender</t>
        </is>
      </c>
      <c r="P30" s="68" t="n">
        <v>200</v>
      </c>
      <c r="Q30" s="68">
        <f t="array" ref="Q30">_xlfn.IFS($O30="Attacker",6,$O30="Healer",3,$O30="Magician",4,$O30="Defender",3,$O30="Supporter",4)</f>
        <v/>
      </c>
      <c r="R30" s="68">
        <f t="array" ref="R30">_xlfn.IFS($O30="Attacker",6,$O30="Healer",3,$O30="Magician",4,$O30="Defender",3,$O30="Supporter",4)</f>
        <v/>
      </c>
      <c r="S30" s="68" t="n">
        <v>1</v>
      </c>
      <c r="T30" s="68" t="n">
        <v>0</v>
      </c>
      <c r="U30" s="68" t="n">
        <v>0</v>
      </c>
      <c r="V30" s="68" t="inlineStr">
        <is>
          <t>Spd</t>
        </is>
      </c>
      <c r="W30" s="68">
        <f t="array" ref="W30">_xlfn.IFS(O30="Attacker",80,O30="Healer",90,O30="Magician",100,O30="Defender",110,O30="Supporter",120)</f>
        <v/>
      </c>
      <c r="X30" s="68" t="inlineStr">
        <is>
          <t>Hp</t>
        </is>
      </c>
      <c r="Y30" s="68" t="n">
        <v>247500</v>
      </c>
      <c r="Z30" s="68" t="inlineStr">
        <is>
          <t>Atk</t>
        </is>
      </c>
      <c r="AA30" s="68" t="n">
        <v>1012</v>
      </c>
      <c r="AB30" s="68" t="inlineStr">
        <is>
          <t>Def</t>
        </is>
      </c>
      <c r="AC30" s="68" t="n">
        <v>0</v>
      </c>
      <c r="AD30" s="68" t="inlineStr">
        <is>
          <t>Penetration</t>
        </is>
      </c>
      <c r="AE30" s="68" t="n">
        <v>0</v>
      </c>
      <c r="AF30" s="68" t="inlineStr">
        <is>
          <t>Hit</t>
        </is>
      </c>
      <c r="AG30" s="68" t="n">
        <v>100</v>
      </c>
      <c r="AH30" s="68" t="inlineStr">
        <is>
          <t>Dodge</t>
        </is>
      </c>
      <c r="AI30" s="68" t="n">
        <v>80</v>
      </c>
      <c r="AJ30" s="68" t="inlineStr">
        <is>
          <t>CriRatio</t>
        </is>
      </c>
      <c r="AK30" s="68" t="n">
        <v>0</v>
      </c>
      <c r="AL30" s="68" t="inlineStr">
        <is>
          <t>CriDmgRatio</t>
        </is>
      </c>
      <c r="AM30" s="68" t="n">
        <v>150000</v>
      </c>
      <c r="AN30" s="68" t="n">
        <v>1831041</v>
      </c>
      <c r="AO30" s="68" t="b">
        <v>1</v>
      </c>
      <c r="AP30" s="68" t="n">
        <v>2831041</v>
      </c>
      <c r="AQ30" s="68" t="b">
        <v>1</v>
      </c>
      <c r="AR30" s="68" t="n">
        <v>0</v>
      </c>
      <c r="AS30" s="68" t="b">
        <v>0</v>
      </c>
      <c r="AT30" s="68" t="n">
        <v>0</v>
      </c>
      <c r="AU30" s="68" t="b">
        <v>0</v>
      </c>
    </row>
    <row r="31">
      <c r="A31" s="68" t="n">
        <v>20730405</v>
      </c>
      <c r="B31" s="68" t="inlineStr">
        <is>
          <t>큐브-광</t>
        </is>
      </c>
      <c r="C31" s="68" t="n">
        <v>207304</v>
      </c>
      <c r="D31" s="68" t="n">
        <v>0</v>
      </c>
      <c r="E31" s="68" t="inlineStr">
        <is>
          <t>character_name_20730405</t>
        </is>
      </c>
      <c r="G31" s="68" t="inlineStr">
        <is>
          <t>Normal</t>
        </is>
      </c>
      <c r="H31" s="68" t="inlineStr">
        <is>
          <t>Normal</t>
        </is>
      </c>
      <c r="I31" s="68" t="n">
        <v>5</v>
      </c>
      <c r="J31" s="24" t="inlineStr">
        <is>
          <t>1,1,1</t>
        </is>
      </c>
      <c r="K31" s="68" t="b">
        <v>1</v>
      </c>
      <c r="L31" s="24" t="inlineStr">
        <is>
          <t>0,0,0</t>
        </is>
      </c>
      <c r="M31" s="68" t="n">
        <v>2</v>
      </c>
      <c r="N31" s="68" t="inlineStr">
        <is>
          <t>Light</t>
        </is>
      </c>
      <c r="O31" s="68" t="inlineStr">
        <is>
          <t>Defender</t>
        </is>
      </c>
      <c r="P31" s="68" t="n">
        <v>200</v>
      </c>
      <c r="Q31" s="68">
        <f t="array" ref="Q31">_xlfn.IFS($O31="Attacker",6,$O31="Healer",3,$O31="Magician",4,$O31="Defender",3,$O31="Supporter",4)</f>
        <v/>
      </c>
      <c r="R31" s="68">
        <f t="array" ref="R31">_xlfn.IFS($O31="Attacker",6,$O31="Healer",3,$O31="Magician",4,$O31="Defender",3,$O31="Supporter",4)</f>
        <v/>
      </c>
      <c r="S31" s="68" t="n">
        <v>1</v>
      </c>
      <c r="T31" s="68" t="n">
        <v>0</v>
      </c>
      <c r="U31" s="68" t="n">
        <v>0</v>
      </c>
      <c r="V31" s="68" t="inlineStr">
        <is>
          <t>Spd</t>
        </is>
      </c>
      <c r="W31" s="68">
        <f t="array" ref="W31">_xlfn.IFS(O31="Attacker",80,O31="Healer",90,O31="Magician",100,O31="Defender",110,O31="Supporter",120)</f>
        <v/>
      </c>
      <c r="X31" s="68" t="inlineStr">
        <is>
          <t>Hp</t>
        </is>
      </c>
      <c r="Y31" s="68" t="n">
        <v>225000</v>
      </c>
      <c r="Z31" s="68" t="inlineStr">
        <is>
          <t>Atk</t>
        </is>
      </c>
      <c r="AA31" s="68" t="n">
        <v>1012</v>
      </c>
      <c r="AB31" s="68" t="inlineStr">
        <is>
          <t>Def</t>
        </is>
      </c>
      <c r="AC31" s="68" t="n">
        <v>0</v>
      </c>
      <c r="AD31" s="68" t="inlineStr">
        <is>
          <t>Penetration</t>
        </is>
      </c>
      <c r="AE31" s="68" t="n">
        <v>0</v>
      </c>
      <c r="AF31" s="68" t="inlineStr">
        <is>
          <t>Hit</t>
        </is>
      </c>
      <c r="AG31" s="68" t="n">
        <v>100</v>
      </c>
      <c r="AH31" s="68" t="inlineStr">
        <is>
          <t>Dodge</t>
        </is>
      </c>
      <c r="AI31" s="68" t="n">
        <v>104</v>
      </c>
      <c r="AJ31" s="68" t="inlineStr">
        <is>
          <t>CriRatio</t>
        </is>
      </c>
      <c r="AK31" s="68" t="n">
        <v>0</v>
      </c>
      <c r="AL31" s="68" t="inlineStr">
        <is>
          <t>CriDmgRatio</t>
        </is>
      </c>
      <c r="AM31" s="68" t="n">
        <v>150000</v>
      </c>
      <c r="AN31" s="68" t="n">
        <v>1841041</v>
      </c>
      <c r="AO31" s="68" t="b">
        <v>1</v>
      </c>
      <c r="AP31" s="68" t="n">
        <v>2841041</v>
      </c>
      <c r="AQ31" s="68" t="b">
        <v>1</v>
      </c>
      <c r="AR31" s="68" t="n">
        <v>0</v>
      </c>
      <c r="AS31" s="68" t="b">
        <v>0</v>
      </c>
      <c r="AT31" s="68" t="n">
        <v>0</v>
      </c>
      <c r="AU31" s="68" t="b">
        <v>0</v>
      </c>
      <c r="AV31" s="1" t="n"/>
    </row>
    <row r="32">
      <c r="A32" s="29" t="n">
        <v>20730505</v>
      </c>
      <c r="B32" s="29" t="inlineStr">
        <is>
          <t>큐브-암</t>
        </is>
      </c>
      <c r="C32" s="29" t="n">
        <v>207305</v>
      </c>
      <c r="D32" s="29" t="n">
        <v>0</v>
      </c>
      <c r="E32" s="29" t="inlineStr">
        <is>
          <t>character_name_20730505</t>
        </is>
      </c>
      <c r="F32" s="29" t="n"/>
      <c r="G32" s="29" t="inlineStr">
        <is>
          <t>Normal</t>
        </is>
      </c>
      <c r="H32" s="29" t="inlineStr">
        <is>
          <t>Normal</t>
        </is>
      </c>
      <c r="I32" s="29" t="n">
        <v>5</v>
      </c>
      <c r="J32" s="27" t="inlineStr">
        <is>
          <t>1,1,1</t>
        </is>
      </c>
      <c r="K32" s="68" t="b">
        <v>1</v>
      </c>
      <c r="L32" s="27" t="inlineStr">
        <is>
          <t>0,0,0</t>
        </is>
      </c>
      <c r="M32" s="29" t="n">
        <v>2</v>
      </c>
      <c r="N32" s="29" t="inlineStr">
        <is>
          <t>Dark</t>
        </is>
      </c>
      <c r="O32" s="29" t="inlineStr">
        <is>
          <t>Defender</t>
        </is>
      </c>
      <c r="P32" s="29" t="n">
        <v>200</v>
      </c>
      <c r="Q32" s="29">
        <f t="array" ref="Q32">_xlfn.IFS($O32="Attacker",6,$O32="Healer",3,$O32="Magician",4,$O32="Defender",3,$O32="Supporter",4)</f>
        <v/>
      </c>
      <c r="R32" s="29">
        <f t="array" ref="R32">_xlfn.IFS($O32="Attacker",6,$O32="Healer",3,$O32="Magician",4,$O32="Defender",3,$O32="Supporter",4)</f>
        <v/>
      </c>
      <c r="S32" s="29" t="n">
        <v>1</v>
      </c>
      <c r="T32" s="29" t="n">
        <v>0</v>
      </c>
      <c r="U32" s="29" t="n">
        <v>0</v>
      </c>
      <c r="V32" s="29" t="inlineStr">
        <is>
          <t>Spd</t>
        </is>
      </c>
      <c r="W32" s="29">
        <f t="array" ref="W32">_xlfn.IFS(O32="Attacker",80,O32="Healer",90,O32="Magician",100,O32="Defender",110,O32="Supporter",120)</f>
        <v/>
      </c>
      <c r="X32" s="29" t="inlineStr">
        <is>
          <t>Hp</t>
        </is>
      </c>
      <c r="Y32" s="68" t="n">
        <v>225000</v>
      </c>
      <c r="Z32" s="29" t="inlineStr">
        <is>
          <t>Atk</t>
        </is>
      </c>
      <c r="AA32" s="68" t="n">
        <v>1012</v>
      </c>
      <c r="AB32" s="29" t="inlineStr">
        <is>
          <t>Def</t>
        </is>
      </c>
      <c r="AC32" s="68" t="n">
        <v>0</v>
      </c>
      <c r="AD32" s="29" t="inlineStr">
        <is>
          <t>Penetration</t>
        </is>
      </c>
      <c r="AE32" s="68" t="n">
        <v>0</v>
      </c>
      <c r="AF32" s="29" t="inlineStr">
        <is>
          <t>Hit</t>
        </is>
      </c>
      <c r="AG32" s="29" t="n">
        <v>100</v>
      </c>
      <c r="AH32" s="29" t="inlineStr">
        <is>
          <t>Dodge</t>
        </is>
      </c>
      <c r="AI32" s="29" t="n">
        <v>80</v>
      </c>
      <c r="AJ32" s="29" t="inlineStr">
        <is>
          <t>CriRatio</t>
        </is>
      </c>
      <c r="AK32" s="29" t="n">
        <v>0</v>
      </c>
      <c r="AL32" s="29" t="inlineStr">
        <is>
          <t>CriDmgRatio</t>
        </is>
      </c>
      <c r="AM32" s="29" t="n">
        <v>150000</v>
      </c>
      <c r="AN32" s="29" t="n">
        <v>1851041</v>
      </c>
      <c r="AO32" s="29" t="b">
        <v>1</v>
      </c>
      <c r="AP32" s="29" t="n">
        <v>2851041</v>
      </c>
      <c r="AQ32" s="29" t="b">
        <v>1</v>
      </c>
      <c r="AR32" s="29" t="n">
        <v>0</v>
      </c>
      <c r="AS32" s="29" t="b">
        <v>0</v>
      </c>
      <c r="AT32" s="29" t="n">
        <v>0</v>
      </c>
      <c r="AU32" s="29" t="b">
        <v>0</v>
      </c>
    </row>
    <row r="33" customFormat="1" s="11">
      <c r="A33" s="68" t="n">
        <v>21550101</v>
      </c>
      <c r="B33" s="68" t="inlineStr">
        <is>
          <t>슬라임-화</t>
        </is>
      </c>
      <c r="C33" s="68" t="n">
        <v>215501</v>
      </c>
      <c r="D33" s="68" t="n">
        <v>0</v>
      </c>
      <c r="E33" s="68" t="inlineStr">
        <is>
          <t>character_name_21550101</t>
        </is>
      </c>
      <c r="F33" s="68" t="n"/>
      <c r="G33" s="68" t="inlineStr">
        <is>
          <t>Normal</t>
        </is>
      </c>
      <c r="H33" s="68" t="inlineStr">
        <is>
          <t>Normal</t>
        </is>
      </c>
      <c r="I33" s="68" t="n">
        <v>1</v>
      </c>
      <c r="J33" s="24" t="inlineStr">
        <is>
          <t>1,1,1</t>
        </is>
      </c>
      <c r="K33" s="68" t="b">
        <v>1</v>
      </c>
      <c r="L33" s="24" t="inlineStr">
        <is>
          <t>0,0,0</t>
        </is>
      </c>
      <c r="M33" s="68" t="n">
        <v>2</v>
      </c>
      <c r="N33" s="68" t="inlineStr">
        <is>
          <t>Fire</t>
        </is>
      </c>
      <c r="O33" s="68" t="inlineStr">
        <is>
          <t>Defender</t>
        </is>
      </c>
      <c r="P33" s="68" t="n">
        <v>200</v>
      </c>
      <c r="Q33" s="68">
        <f t="array" ref="Q33">_xlfn.IFS($O33="Attacker",6,$O33="Healer",3,$O33="Magician",4,$O33="Defender",3,$O33="Supporter",4)</f>
        <v/>
      </c>
      <c r="R33" s="68">
        <f t="array" ref="R33">_xlfn.IFS($O33="Attacker",6,$O33="Healer",3,$O33="Magician",4,$O33="Defender",3,$O33="Supporter",4)</f>
        <v/>
      </c>
      <c r="S33" s="68" t="n">
        <v>1</v>
      </c>
      <c r="T33" s="68" t="n">
        <v>0</v>
      </c>
      <c r="U33" s="68" t="n">
        <v>0</v>
      </c>
      <c r="V33" s="68" t="inlineStr">
        <is>
          <t>Spd</t>
        </is>
      </c>
      <c r="W33" s="68">
        <f t="array" ref="W33">_xlfn.IFS(O33="Attacker",80,O33="Healer",90,O33="Magician",100,O33="Defender",110,O33="Supporter",120)</f>
        <v/>
      </c>
      <c r="X33" s="68" t="inlineStr">
        <is>
          <t>Hp</t>
        </is>
      </c>
      <c r="Y33" s="68" t="n">
        <v>300</v>
      </c>
      <c r="Z33" s="68" t="inlineStr">
        <is>
          <t>Atk</t>
        </is>
      </c>
      <c r="AA33" s="68" t="n">
        <v>200</v>
      </c>
      <c r="AB33" s="68" t="inlineStr">
        <is>
          <t>Def</t>
        </is>
      </c>
      <c r="AC33" s="68" t="n">
        <v>0</v>
      </c>
      <c r="AD33" s="68" t="inlineStr">
        <is>
          <t>Penetration</t>
        </is>
      </c>
      <c r="AE33" s="68" t="n">
        <v>0</v>
      </c>
      <c r="AF33" s="68" t="inlineStr">
        <is>
          <t>Hit</t>
        </is>
      </c>
      <c r="AG33" s="68" t="n">
        <v>100</v>
      </c>
      <c r="AH33" s="68" t="inlineStr">
        <is>
          <t>Dodge</t>
        </is>
      </c>
      <c r="AI33" s="68" t="n">
        <v>100</v>
      </c>
      <c r="AJ33" s="68" t="inlineStr">
        <is>
          <t>CriRatio</t>
        </is>
      </c>
      <c r="AK33" s="68" t="n">
        <v>5000</v>
      </c>
      <c r="AL33" s="68" t="inlineStr">
        <is>
          <t>CriDmgRatio</t>
        </is>
      </c>
      <c r="AM33" s="68" t="n">
        <v>150000</v>
      </c>
      <c r="AN33" s="68" t="n">
        <v>1812011</v>
      </c>
      <c r="AO33" s="68" t="b">
        <v>1</v>
      </c>
      <c r="AP33" s="68" t="n">
        <v>2812011</v>
      </c>
      <c r="AQ33" s="68" t="b">
        <v>1</v>
      </c>
      <c r="AR33" s="68" t="n">
        <v>0</v>
      </c>
      <c r="AS33" s="68" t="b">
        <v>0</v>
      </c>
      <c r="AT33" s="68" t="n">
        <v>0</v>
      </c>
      <c r="AU33" s="68" t="b">
        <v>0</v>
      </c>
    </row>
    <row r="34">
      <c r="A34" s="68" t="n">
        <v>21550201</v>
      </c>
      <c r="B34" s="68" t="inlineStr">
        <is>
          <t>슬라임-수</t>
        </is>
      </c>
      <c r="C34" s="68" t="n">
        <v>215502</v>
      </c>
      <c r="D34" s="68" t="n">
        <v>0</v>
      </c>
      <c r="E34" s="68" t="inlineStr">
        <is>
          <t>character_name_21550201</t>
        </is>
      </c>
      <c r="G34" s="68" t="inlineStr">
        <is>
          <t>Normal</t>
        </is>
      </c>
      <c r="H34" s="68" t="inlineStr">
        <is>
          <t>Normal</t>
        </is>
      </c>
      <c r="I34" s="68" t="n">
        <v>1</v>
      </c>
      <c r="J34" s="24" t="inlineStr">
        <is>
          <t>1,1,1</t>
        </is>
      </c>
      <c r="K34" s="68" t="b">
        <v>1</v>
      </c>
      <c r="L34" s="24" t="inlineStr">
        <is>
          <t>0,0,0</t>
        </is>
      </c>
      <c r="M34" s="68" t="n">
        <v>2</v>
      </c>
      <c r="N34" s="68" t="inlineStr">
        <is>
          <t>Water</t>
        </is>
      </c>
      <c r="O34" s="68" t="inlineStr">
        <is>
          <t>Defender</t>
        </is>
      </c>
      <c r="P34" s="68" t="n">
        <v>200</v>
      </c>
      <c r="Q34" s="68">
        <f t="array" ref="Q34">_xlfn.IFS($O34="Attacker",6,$O34="Healer",3,$O34="Magician",4,$O34="Defender",3,$O34="Supporter",4)</f>
        <v/>
      </c>
      <c r="R34" s="68">
        <f t="array" ref="R34">_xlfn.IFS($O34="Attacker",6,$O34="Healer",3,$O34="Magician",4,$O34="Defender",3,$O34="Supporter",4)</f>
        <v/>
      </c>
      <c r="S34" s="68" t="n">
        <v>1</v>
      </c>
      <c r="T34" s="68" t="n">
        <v>0</v>
      </c>
      <c r="U34" s="68" t="n">
        <v>0</v>
      </c>
      <c r="V34" s="68" t="inlineStr">
        <is>
          <t>Spd</t>
        </is>
      </c>
      <c r="W34" s="68">
        <f t="array" ref="W34">_xlfn.IFS(O34="Attacker",80,O34="Healer",90,O34="Magician",100,O34="Defender",110,O34="Supporter",120)</f>
        <v/>
      </c>
      <c r="X34" s="68" t="inlineStr">
        <is>
          <t>Hp</t>
        </is>
      </c>
      <c r="Y34" s="68" t="n">
        <v>300</v>
      </c>
      <c r="Z34" s="68" t="inlineStr">
        <is>
          <t>Atk</t>
        </is>
      </c>
      <c r="AA34" s="68" t="n">
        <v>200</v>
      </c>
      <c r="AB34" s="68" t="inlineStr">
        <is>
          <t>Def</t>
        </is>
      </c>
      <c r="AC34" s="68" t="n">
        <v>0</v>
      </c>
      <c r="AD34" s="68" t="inlineStr">
        <is>
          <t>Penetration</t>
        </is>
      </c>
      <c r="AE34" s="68" t="n">
        <v>0</v>
      </c>
      <c r="AF34" s="68" t="inlineStr">
        <is>
          <t>Hit</t>
        </is>
      </c>
      <c r="AG34" s="68" t="n">
        <v>120</v>
      </c>
      <c r="AH34" s="68" t="inlineStr">
        <is>
          <t>Dodge</t>
        </is>
      </c>
      <c r="AI34" s="68" t="n">
        <v>100</v>
      </c>
      <c r="AJ34" s="68" t="inlineStr">
        <is>
          <t>CriRatio</t>
        </is>
      </c>
      <c r="AK34" s="68" t="n">
        <v>5000</v>
      </c>
      <c r="AL34" s="68" t="inlineStr">
        <is>
          <t>CriDmgRatio</t>
        </is>
      </c>
      <c r="AM34" s="68" t="n">
        <v>150000</v>
      </c>
      <c r="AN34" s="68" t="n">
        <v>1832011</v>
      </c>
      <c r="AO34" s="68" t="b">
        <v>1</v>
      </c>
      <c r="AP34" s="68" t="n">
        <v>2832011</v>
      </c>
      <c r="AQ34" s="68" t="b">
        <v>1</v>
      </c>
      <c r="AR34" s="68" t="n">
        <v>0</v>
      </c>
      <c r="AS34" s="68" t="b">
        <v>0</v>
      </c>
      <c r="AT34" s="68" t="n">
        <v>0</v>
      </c>
      <c r="AU34" s="68" t="b">
        <v>0</v>
      </c>
    </row>
    <row r="35">
      <c r="A35" s="68" t="n">
        <v>21550301</v>
      </c>
      <c r="B35" s="68" t="inlineStr">
        <is>
          <t>슬라임-목</t>
        </is>
      </c>
      <c r="C35" s="68" t="n">
        <v>215503</v>
      </c>
      <c r="D35" s="68" t="n">
        <v>0</v>
      </c>
      <c r="E35" s="68" t="inlineStr">
        <is>
          <t>character_name_21550301</t>
        </is>
      </c>
      <c r="G35" s="68" t="inlineStr">
        <is>
          <t>Normal</t>
        </is>
      </c>
      <c r="H35" s="68" t="inlineStr">
        <is>
          <t>Normal</t>
        </is>
      </c>
      <c r="I35" s="68" t="n">
        <v>1</v>
      </c>
      <c r="J35" s="24" t="inlineStr">
        <is>
          <t>1,1,1</t>
        </is>
      </c>
      <c r="K35" s="68" t="b">
        <v>1</v>
      </c>
      <c r="L35" s="24" t="inlineStr">
        <is>
          <t>0,0,0</t>
        </is>
      </c>
      <c r="M35" s="68" t="n">
        <v>2</v>
      </c>
      <c r="N35" s="68" t="inlineStr">
        <is>
          <t>Forest</t>
        </is>
      </c>
      <c r="O35" s="68" t="inlineStr">
        <is>
          <t>Defender</t>
        </is>
      </c>
      <c r="P35" s="68" t="n">
        <v>200</v>
      </c>
      <c r="Q35" s="68">
        <f t="array" ref="Q35">_xlfn.IFS($O35="Attacker",6,$O35="Healer",3,$O35="Magician",4,$O35="Defender",3,$O35="Supporter",4)</f>
        <v/>
      </c>
      <c r="R35" s="68">
        <f t="array" ref="R35">_xlfn.IFS($O35="Attacker",6,$O35="Healer",3,$O35="Magician",4,$O35="Defender",3,$O35="Supporter",4)</f>
        <v/>
      </c>
      <c r="S35" s="68" t="n">
        <v>1</v>
      </c>
      <c r="T35" s="68" t="n">
        <v>0</v>
      </c>
      <c r="U35" s="68" t="n">
        <v>0</v>
      </c>
      <c r="V35" s="68" t="inlineStr">
        <is>
          <t>Spd</t>
        </is>
      </c>
      <c r="W35" s="68">
        <f t="array" ref="W35">_xlfn.IFS(O35="Attacker",80,O35="Healer",90,O35="Magician",100,O35="Defender",110,O35="Supporter",120)</f>
        <v/>
      </c>
      <c r="X35" s="68" t="inlineStr">
        <is>
          <t>Hp</t>
        </is>
      </c>
      <c r="Y35" s="68" t="n">
        <v>300</v>
      </c>
      <c r="Z35" s="68" t="inlineStr">
        <is>
          <t>Atk</t>
        </is>
      </c>
      <c r="AA35" s="68" t="n">
        <v>200</v>
      </c>
      <c r="AB35" s="68" t="inlineStr">
        <is>
          <t>Def</t>
        </is>
      </c>
      <c r="AC35" s="68" t="n">
        <v>0</v>
      </c>
      <c r="AD35" s="68" t="inlineStr">
        <is>
          <t>Penetration</t>
        </is>
      </c>
      <c r="AE35" s="68" t="n">
        <v>0</v>
      </c>
      <c r="AF35" s="68" t="inlineStr">
        <is>
          <t>Hit</t>
        </is>
      </c>
      <c r="AG35" s="68" t="n">
        <v>100</v>
      </c>
      <c r="AH35" s="68" t="inlineStr">
        <is>
          <t>Dodge</t>
        </is>
      </c>
      <c r="AI35" s="68" t="n">
        <v>100</v>
      </c>
      <c r="AJ35" s="68" t="inlineStr">
        <is>
          <t>CriRatio</t>
        </is>
      </c>
      <c r="AK35" s="68" t="n">
        <v>5000</v>
      </c>
      <c r="AL35" s="68" t="inlineStr">
        <is>
          <t>CriDmgRatio</t>
        </is>
      </c>
      <c r="AM35" s="68" t="n">
        <v>150000</v>
      </c>
      <c r="AN35" s="68" t="n">
        <v>1822011</v>
      </c>
      <c r="AO35" s="68" t="b">
        <v>1</v>
      </c>
      <c r="AP35" s="68" t="n">
        <v>2822011</v>
      </c>
      <c r="AQ35" s="68" t="b">
        <v>1</v>
      </c>
      <c r="AR35" s="68" t="n">
        <v>0</v>
      </c>
      <c r="AS35" s="68" t="b">
        <v>0</v>
      </c>
      <c r="AT35" s="68" t="n">
        <v>0</v>
      </c>
      <c r="AU35" s="68" t="b">
        <v>0</v>
      </c>
    </row>
    <row r="36">
      <c r="A36" s="68" t="n">
        <v>21550401</v>
      </c>
      <c r="B36" s="68" t="inlineStr">
        <is>
          <t>슬라임-광</t>
        </is>
      </c>
      <c r="C36" s="68" t="n">
        <v>215504</v>
      </c>
      <c r="D36" s="68" t="n">
        <v>0</v>
      </c>
      <c r="E36" s="68" t="inlineStr">
        <is>
          <t>character_name_21550401</t>
        </is>
      </c>
      <c r="G36" s="68" t="inlineStr">
        <is>
          <t>Normal</t>
        </is>
      </c>
      <c r="H36" s="68" t="inlineStr">
        <is>
          <t>Normal</t>
        </is>
      </c>
      <c r="I36" s="68" t="n">
        <v>1</v>
      </c>
      <c r="J36" s="24" t="inlineStr">
        <is>
          <t>1,1,1</t>
        </is>
      </c>
      <c r="K36" s="68" t="b">
        <v>1</v>
      </c>
      <c r="L36" s="24" t="inlineStr">
        <is>
          <t>0,0,0</t>
        </is>
      </c>
      <c r="M36" s="68" t="n">
        <v>2</v>
      </c>
      <c r="N36" s="68" t="inlineStr">
        <is>
          <t>Light</t>
        </is>
      </c>
      <c r="O36" s="68" t="inlineStr">
        <is>
          <t>Defender</t>
        </is>
      </c>
      <c r="P36" s="68" t="n">
        <v>200</v>
      </c>
      <c r="Q36" s="68">
        <f t="array" ref="Q36">_xlfn.IFS($O36="Attacker",6,$O36="Healer",3,$O36="Magician",4,$O36="Defender",3,$O36="Supporter",4)</f>
        <v/>
      </c>
      <c r="R36" s="68">
        <f t="array" ref="R36">_xlfn.IFS($O36="Attacker",6,$O36="Healer",3,$O36="Magician",4,$O36="Defender",3,$O36="Supporter",4)</f>
        <v/>
      </c>
      <c r="S36" s="68" t="n">
        <v>1</v>
      </c>
      <c r="T36" s="68" t="n">
        <v>0</v>
      </c>
      <c r="U36" s="68" t="n">
        <v>0</v>
      </c>
      <c r="V36" s="68" t="inlineStr">
        <is>
          <t>Spd</t>
        </is>
      </c>
      <c r="W36" s="68">
        <f t="array" ref="W36">_xlfn.IFS(O36="Attacker",80,O36="Healer",90,O36="Magician",100,O36="Defender",110,O36="Supporter",120)</f>
        <v/>
      </c>
      <c r="X36" s="68" t="inlineStr">
        <is>
          <t>Hp</t>
        </is>
      </c>
      <c r="Y36" s="68" t="n">
        <v>300</v>
      </c>
      <c r="Z36" s="68" t="inlineStr">
        <is>
          <t>Atk</t>
        </is>
      </c>
      <c r="AA36" s="68" t="n">
        <v>200</v>
      </c>
      <c r="AB36" s="68" t="inlineStr">
        <is>
          <t>Def</t>
        </is>
      </c>
      <c r="AC36" s="68" t="n">
        <v>0</v>
      </c>
      <c r="AD36" s="68" t="inlineStr">
        <is>
          <t>Penetration</t>
        </is>
      </c>
      <c r="AE36" s="68" t="n">
        <v>0</v>
      </c>
      <c r="AF36" s="68" t="inlineStr">
        <is>
          <t>Hit</t>
        </is>
      </c>
      <c r="AG36" s="68" t="n">
        <v>100</v>
      </c>
      <c r="AH36" s="68" t="inlineStr">
        <is>
          <t>Dodge</t>
        </is>
      </c>
      <c r="AI36" s="68" t="n">
        <v>100</v>
      </c>
      <c r="AJ36" s="68" t="inlineStr">
        <is>
          <t>CriRatio</t>
        </is>
      </c>
      <c r="AK36" s="68" t="n">
        <v>5000</v>
      </c>
      <c r="AL36" s="68" t="inlineStr">
        <is>
          <t>CriDmgRatio</t>
        </is>
      </c>
      <c r="AM36" s="68" t="n">
        <v>150000</v>
      </c>
      <c r="AN36" s="68" t="n">
        <v>1842011</v>
      </c>
      <c r="AO36" s="68" t="b">
        <v>1</v>
      </c>
      <c r="AP36" s="68" t="n">
        <v>2842011</v>
      </c>
      <c r="AQ36" s="68" t="b">
        <v>1</v>
      </c>
      <c r="AR36" s="68" t="n">
        <v>0</v>
      </c>
      <c r="AS36" s="68" t="b">
        <v>0</v>
      </c>
      <c r="AT36" s="68" t="n">
        <v>0</v>
      </c>
      <c r="AU36" s="68" t="b">
        <v>0</v>
      </c>
      <c r="AV36" s="1" t="n"/>
    </row>
    <row r="37">
      <c r="A37" s="29" t="n">
        <v>21550501</v>
      </c>
      <c r="B37" s="29" t="inlineStr">
        <is>
          <t>슬라임-암</t>
        </is>
      </c>
      <c r="C37" s="29" t="n">
        <v>215505</v>
      </c>
      <c r="D37" s="29" t="n">
        <v>0</v>
      </c>
      <c r="E37" s="29" t="inlineStr">
        <is>
          <t>character_name_21550501</t>
        </is>
      </c>
      <c r="F37" s="29" t="n"/>
      <c r="G37" s="29" t="inlineStr">
        <is>
          <t>Normal</t>
        </is>
      </c>
      <c r="H37" s="29" t="inlineStr">
        <is>
          <t>Normal</t>
        </is>
      </c>
      <c r="I37" s="29" t="n">
        <v>1</v>
      </c>
      <c r="J37" s="27" t="inlineStr">
        <is>
          <t>1,1,1</t>
        </is>
      </c>
      <c r="K37" s="68" t="b">
        <v>1</v>
      </c>
      <c r="L37" s="27" t="inlineStr">
        <is>
          <t>0,0,0</t>
        </is>
      </c>
      <c r="M37" s="29" t="n">
        <v>2</v>
      </c>
      <c r="N37" s="29" t="inlineStr">
        <is>
          <t>Dark</t>
        </is>
      </c>
      <c r="O37" s="29" t="inlineStr">
        <is>
          <t>Defender</t>
        </is>
      </c>
      <c r="P37" s="29" t="n">
        <v>200</v>
      </c>
      <c r="Q37" s="29">
        <f t="array" ref="Q37">_xlfn.IFS($O37="Attacker",6,$O37="Healer",3,$O37="Magician",4,$O37="Defender",3,$O37="Supporter",4)</f>
        <v/>
      </c>
      <c r="R37" s="29">
        <f t="array" ref="R37">_xlfn.IFS($O37="Attacker",6,$O37="Healer",3,$O37="Magician",4,$O37="Defender",3,$O37="Supporter",4)</f>
        <v/>
      </c>
      <c r="S37" s="29" t="n">
        <v>1</v>
      </c>
      <c r="T37" s="29" t="n">
        <v>0</v>
      </c>
      <c r="U37" s="29" t="n">
        <v>0</v>
      </c>
      <c r="V37" s="29" t="inlineStr">
        <is>
          <t>Spd</t>
        </is>
      </c>
      <c r="W37" s="29">
        <f t="array" ref="W37">_xlfn.IFS(O37="Attacker",80,O37="Healer",90,O37="Magician",100,O37="Defender",110,O37="Supporter",120)</f>
        <v/>
      </c>
      <c r="X37" s="29" t="inlineStr">
        <is>
          <t>Hp</t>
        </is>
      </c>
      <c r="Y37" s="29" t="n">
        <v>300</v>
      </c>
      <c r="Z37" s="29" t="inlineStr">
        <is>
          <t>Atk</t>
        </is>
      </c>
      <c r="AA37" s="29" t="n">
        <v>200</v>
      </c>
      <c r="AB37" s="29" t="inlineStr">
        <is>
          <t>Def</t>
        </is>
      </c>
      <c r="AC37" s="29" t="n">
        <v>0</v>
      </c>
      <c r="AD37" s="29" t="inlineStr">
        <is>
          <t>Penetration</t>
        </is>
      </c>
      <c r="AE37" s="29" t="n">
        <v>0</v>
      </c>
      <c r="AF37" s="29" t="inlineStr">
        <is>
          <t>Hit</t>
        </is>
      </c>
      <c r="AG37" s="29" t="n">
        <v>100</v>
      </c>
      <c r="AH37" s="29" t="inlineStr">
        <is>
          <t>Dodge</t>
        </is>
      </c>
      <c r="AI37" s="29" t="n">
        <v>100</v>
      </c>
      <c r="AJ37" s="29" t="inlineStr">
        <is>
          <t>CriRatio</t>
        </is>
      </c>
      <c r="AK37" s="29" t="n">
        <v>5000</v>
      </c>
      <c r="AL37" s="29" t="inlineStr">
        <is>
          <t>CriDmgRatio</t>
        </is>
      </c>
      <c r="AM37" s="29" t="n">
        <v>150000</v>
      </c>
      <c r="AN37" s="29" t="n">
        <v>1852011</v>
      </c>
      <c r="AO37" s="29" t="b">
        <v>1</v>
      </c>
      <c r="AP37" s="29" t="n">
        <v>2852011</v>
      </c>
      <c r="AQ37" s="29" t="b">
        <v>1</v>
      </c>
      <c r="AR37" s="29" t="n">
        <v>0</v>
      </c>
      <c r="AS37" s="29" t="b">
        <v>0</v>
      </c>
      <c r="AT37" s="29" t="n">
        <v>0</v>
      </c>
      <c r="AU37" s="29" t="b">
        <v>0</v>
      </c>
    </row>
    <row r="38" customFormat="1" s="11">
      <c r="A38" s="68" t="n">
        <v>21550102</v>
      </c>
      <c r="B38" s="68" t="inlineStr">
        <is>
          <t>슬라임-화</t>
        </is>
      </c>
      <c r="C38" s="68" t="n">
        <v>215501</v>
      </c>
      <c r="D38" s="68" t="n">
        <v>0</v>
      </c>
      <c r="E38" s="68" t="inlineStr">
        <is>
          <t>character_name_21550102</t>
        </is>
      </c>
      <c r="F38" s="68" t="n"/>
      <c r="G38" s="68" t="inlineStr">
        <is>
          <t>Normal</t>
        </is>
      </c>
      <c r="H38" s="68" t="inlineStr">
        <is>
          <t>Normal</t>
        </is>
      </c>
      <c r="I38" s="68" t="n">
        <v>2</v>
      </c>
      <c r="J38" s="24" t="inlineStr">
        <is>
          <t>1,1,1</t>
        </is>
      </c>
      <c r="K38" s="68" t="b">
        <v>1</v>
      </c>
      <c r="L38" s="24" t="inlineStr">
        <is>
          <t>0,0,0</t>
        </is>
      </c>
      <c r="M38" s="68" t="n">
        <v>2</v>
      </c>
      <c r="N38" s="68" t="inlineStr">
        <is>
          <t>Fire</t>
        </is>
      </c>
      <c r="O38" s="68" t="inlineStr">
        <is>
          <t>Defender</t>
        </is>
      </c>
      <c r="P38" s="68" t="n">
        <v>200</v>
      </c>
      <c r="Q38" s="68">
        <f t="array" ref="Q38">_xlfn.IFS($O38="Attacker",6,$O38="Healer",3,$O38="Magician",4,$O38="Defender",3,$O38="Supporter",4)</f>
        <v/>
      </c>
      <c r="R38" s="68">
        <f t="array" ref="R38">_xlfn.IFS($O38="Attacker",6,$O38="Healer",3,$O38="Magician",4,$O38="Defender",3,$O38="Supporter",4)</f>
        <v/>
      </c>
      <c r="S38" s="68" t="n">
        <v>1</v>
      </c>
      <c r="T38" s="68" t="n">
        <v>0</v>
      </c>
      <c r="U38" s="68" t="n">
        <v>0</v>
      </c>
      <c r="V38" s="68" t="inlineStr">
        <is>
          <t>Spd</t>
        </is>
      </c>
      <c r="W38" s="68">
        <f t="array" ref="W38">_xlfn.IFS(O38="Attacker",80,O38="Healer",90,O38="Magician",100,O38="Defender",110,O38="Supporter",120)</f>
        <v/>
      </c>
      <c r="X38" s="68" t="inlineStr">
        <is>
          <t>Hp</t>
        </is>
      </c>
      <c r="Y38" s="68" t="n">
        <v>300</v>
      </c>
      <c r="Z38" s="68" t="inlineStr">
        <is>
          <t>Atk</t>
        </is>
      </c>
      <c r="AA38" s="68" t="n">
        <v>200</v>
      </c>
      <c r="AB38" s="68" t="inlineStr">
        <is>
          <t>Def</t>
        </is>
      </c>
      <c r="AC38" s="68" t="n">
        <v>20</v>
      </c>
      <c r="AD38" s="68" t="inlineStr">
        <is>
          <t>Penetration</t>
        </is>
      </c>
      <c r="AE38" s="68" t="n">
        <v>0</v>
      </c>
      <c r="AF38" s="68" t="inlineStr">
        <is>
          <t>Hit</t>
        </is>
      </c>
      <c r="AG38" s="68" t="n">
        <v>100</v>
      </c>
      <c r="AH38" s="68" t="inlineStr">
        <is>
          <t>Dodge</t>
        </is>
      </c>
      <c r="AI38" s="68" t="n">
        <v>100</v>
      </c>
      <c r="AJ38" s="68" t="inlineStr">
        <is>
          <t>CriRatio</t>
        </is>
      </c>
      <c r="AK38" s="68" t="n">
        <v>5000</v>
      </c>
      <c r="AL38" s="68" t="inlineStr">
        <is>
          <t>CriDmgRatio</t>
        </is>
      </c>
      <c r="AM38" s="68" t="n">
        <v>150000</v>
      </c>
      <c r="AN38" s="68" t="n">
        <v>1812011</v>
      </c>
      <c r="AO38" s="68" t="b">
        <v>1</v>
      </c>
      <c r="AP38" s="68" t="n">
        <v>2812011</v>
      </c>
      <c r="AQ38" s="68" t="b">
        <v>1</v>
      </c>
      <c r="AR38" s="68" t="n">
        <v>0</v>
      </c>
      <c r="AS38" s="68" t="b">
        <v>0</v>
      </c>
      <c r="AT38" s="68" t="n">
        <v>0</v>
      </c>
      <c r="AU38" s="68" t="b">
        <v>0</v>
      </c>
    </row>
    <row r="39">
      <c r="A39" s="68" t="n">
        <v>21550202</v>
      </c>
      <c r="B39" s="68" t="inlineStr">
        <is>
          <t>슬라임-수</t>
        </is>
      </c>
      <c r="C39" s="68" t="n">
        <v>215502</v>
      </c>
      <c r="D39" s="68" t="n">
        <v>0</v>
      </c>
      <c r="E39" s="68" t="inlineStr">
        <is>
          <t>character_name_21550202</t>
        </is>
      </c>
      <c r="G39" s="68" t="inlineStr">
        <is>
          <t>Normal</t>
        </is>
      </c>
      <c r="H39" s="68" t="inlineStr">
        <is>
          <t>Normal</t>
        </is>
      </c>
      <c r="I39" s="68" t="n">
        <v>2</v>
      </c>
      <c r="J39" s="24" t="inlineStr">
        <is>
          <t>1,1,1</t>
        </is>
      </c>
      <c r="K39" s="68" t="b">
        <v>1</v>
      </c>
      <c r="L39" s="24" t="inlineStr">
        <is>
          <t>0,0,0</t>
        </is>
      </c>
      <c r="M39" s="68" t="n">
        <v>2</v>
      </c>
      <c r="N39" s="68" t="inlineStr">
        <is>
          <t>Water</t>
        </is>
      </c>
      <c r="O39" s="68" t="inlineStr">
        <is>
          <t>Defender</t>
        </is>
      </c>
      <c r="P39" s="68" t="n">
        <v>200</v>
      </c>
      <c r="Q39" s="68">
        <f t="array" ref="Q39">_xlfn.IFS($O39="Attacker",6,$O39="Healer",3,$O39="Magician",4,$O39="Defender",3,$O39="Supporter",4)</f>
        <v/>
      </c>
      <c r="R39" s="68">
        <f t="array" ref="R39">_xlfn.IFS($O39="Attacker",6,$O39="Healer",3,$O39="Magician",4,$O39="Defender",3,$O39="Supporter",4)</f>
        <v/>
      </c>
      <c r="S39" s="68" t="n">
        <v>1</v>
      </c>
      <c r="T39" s="68" t="n">
        <v>0</v>
      </c>
      <c r="U39" s="68" t="n">
        <v>0</v>
      </c>
      <c r="V39" s="68" t="inlineStr">
        <is>
          <t>Spd</t>
        </is>
      </c>
      <c r="W39" s="68">
        <f t="array" ref="W39">_xlfn.IFS(O39="Attacker",80,O39="Healer",90,O39="Magician",100,O39="Defender",110,O39="Supporter",120)</f>
        <v/>
      </c>
      <c r="X39" s="68" t="inlineStr">
        <is>
          <t>Hp</t>
        </is>
      </c>
      <c r="Y39" s="68" t="n">
        <v>300</v>
      </c>
      <c r="Z39" s="68" t="inlineStr">
        <is>
          <t>Atk</t>
        </is>
      </c>
      <c r="AA39" s="68" t="n">
        <v>200</v>
      </c>
      <c r="AB39" s="68" t="inlineStr">
        <is>
          <t>Def</t>
        </is>
      </c>
      <c r="AC39" s="68" t="n">
        <v>20</v>
      </c>
      <c r="AD39" s="68" t="inlineStr">
        <is>
          <t>Penetration</t>
        </is>
      </c>
      <c r="AE39" s="68" t="n">
        <v>0</v>
      </c>
      <c r="AF39" s="68" t="inlineStr">
        <is>
          <t>Hit</t>
        </is>
      </c>
      <c r="AG39" s="68" t="n">
        <v>100</v>
      </c>
      <c r="AH39" s="68" t="inlineStr">
        <is>
          <t>Dodge</t>
        </is>
      </c>
      <c r="AI39" s="68" t="n">
        <v>100</v>
      </c>
      <c r="AJ39" s="68" t="inlineStr">
        <is>
          <t>CriRatio</t>
        </is>
      </c>
      <c r="AK39" s="68" t="n">
        <v>5000</v>
      </c>
      <c r="AL39" s="68" t="inlineStr">
        <is>
          <t>CriDmgRatio</t>
        </is>
      </c>
      <c r="AM39" s="68" t="n">
        <v>150000</v>
      </c>
      <c r="AN39" s="68" t="n">
        <v>1832011</v>
      </c>
      <c r="AO39" s="68" t="b">
        <v>1</v>
      </c>
      <c r="AP39" s="68" t="n">
        <v>2832011</v>
      </c>
      <c r="AQ39" s="68" t="b">
        <v>1</v>
      </c>
      <c r="AR39" s="68" t="n">
        <v>0</v>
      </c>
      <c r="AS39" s="68" t="b">
        <v>0</v>
      </c>
      <c r="AT39" s="68" t="n">
        <v>0</v>
      </c>
      <c r="AU39" s="68" t="b">
        <v>0</v>
      </c>
    </row>
    <row r="40">
      <c r="A40" s="68" t="n">
        <v>21550302</v>
      </c>
      <c r="B40" s="68" t="inlineStr">
        <is>
          <t>슬라임-목</t>
        </is>
      </c>
      <c r="C40" s="68" t="n">
        <v>215503</v>
      </c>
      <c r="D40" s="68" t="n">
        <v>0</v>
      </c>
      <c r="E40" s="68" t="inlineStr">
        <is>
          <t>character_name_21550302</t>
        </is>
      </c>
      <c r="G40" s="68" t="inlineStr">
        <is>
          <t>Normal</t>
        </is>
      </c>
      <c r="H40" s="68" t="inlineStr">
        <is>
          <t>Normal</t>
        </is>
      </c>
      <c r="I40" s="68" t="n">
        <v>2</v>
      </c>
      <c r="J40" s="24" t="inlineStr">
        <is>
          <t>1,1,1</t>
        </is>
      </c>
      <c r="K40" s="68" t="b">
        <v>1</v>
      </c>
      <c r="L40" s="24" t="inlineStr">
        <is>
          <t>0,0,0</t>
        </is>
      </c>
      <c r="M40" s="68" t="n">
        <v>2</v>
      </c>
      <c r="N40" s="68" t="inlineStr">
        <is>
          <t>Forest</t>
        </is>
      </c>
      <c r="O40" s="68" t="inlineStr">
        <is>
          <t>Defender</t>
        </is>
      </c>
      <c r="P40" s="68" t="n">
        <v>200</v>
      </c>
      <c r="Q40" s="68">
        <f t="array" ref="Q40">_xlfn.IFS($O40="Attacker",6,$O40="Healer",3,$O40="Magician",4,$O40="Defender",3,$O40="Supporter",4)</f>
        <v/>
      </c>
      <c r="R40" s="68">
        <f t="array" ref="R40">_xlfn.IFS($O40="Attacker",6,$O40="Healer",3,$O40="Magician",4,$O40="Defender",3,$O40="Supporter",4)</f>
        <v/>
      </c>
      <c r="S40" s="68" t="n">
        <v>1</v>
      </c>
      <c r="T40" s="68" t="n">
        <v>0</v>
      </c>
      <c r="U40" s="68" t="n">
        <v>0</v>
      </c>
      <c r="V40" s="68" t="inlineStr">
        <is>
          <t>Spd</t>
        </is>
      </c>
      <c r="W40" s="68">
        <f t="array" ref="W40">_xlfn.IFS(O40="Attacker",80,O40="Healer",90,O40="Magician",100,O40="Defender",110,O40="Supporter",120)</f>
        <v/>
      </c>
      <c r="X40" s="68" t="inlineStr">
        <is>
          <t>Hp</t>
        </is>
      </c>
      <c r="Y40" s="68" t="n">
        <v>300</v>
      </c>
      <c r="Z40" s="68" t="inlineStr">
        <is>
          <t>Atk</t>
        </is>
      </c>
      <c r="AA40" s="68" t="n">
        <v>200</v>
      </c>
      <c r="AB40" s="68" t="inlineStr">
        <is>
          <t>Def</t>
        </is>
      </c>
      <c r="AC40" s="68" t="n">
        <v>20</v>
      </c>
      <c r="AD40" s="68" t="inlineStr">
        <is>
          <t>Penetration</t>
        </is>
      </c>
      <c r="AE40" s="68" t="n">
        <v>0</v>
      </c>
      <c r="AF40" s="68" t="inlineStr">
        <is>
          <t>Hit</t>
        </is>
      </c>
      <c r="AG40" s="68" t="n">
        <v>100</v>
      </c>
      <c r="AH40" s="68" t="inlineStr">
        <is>
          <t>Dodge</t>
        </is>
      </c>
      <c r="AI40" s="68" t="n">
        <v>100</v>
      </c>
      <c r="AJ40" s="68" t="inlineStr">
        <is>
          <t>CriRatio</t>
        </is>
      </c>
      <c r="AK40" s="68" t="n">
        <v>5000</v>
      </c>
      <c r="AL40" s="68" t="inlineStr">
        <is>
          <t>CriDmgRatio</t>
        </is>
      </c>
      <c r="AM40" s="68" t="n">
        <v>150000</v>
      </c>
      <c r="AN40" s="68" t="n">
        <v>1822011</v>
      </c>
      <c r="AO40" s="68" t="b">
        <v>1</v>
      </c>
      <c r="AP40" s="68" t="n">
        <v>2822011</v>
      </c>
      <c r="AQ40" s="68" t="b">
        <v>1</v>
      </c>
      <c r="AR40" s="68" t="n">
        <v>0</v>
      </c>
      <c r="AS40" s="68" t="b">
        <v>0</v>
      </c>
      <c r="AT40" s="68" t="n">
        <v>0</v>
      </c>
      <c r="AU40" s="68" t="b">
        <v>0</v>
      </c>
    </row>
    <row r="41">
      <c r="A41" s="68" t="n">
        <v>21550402</v>
      </c>
      <c r="B41" s="68" t="inlineStr">
        <is>
          <t>슬라임-광</t>
        </is>
      </c>
      <c r="C41" s="68" t="n">
        <v>215504</v>
      </c>
      <c r="D41" s="68" t="n">
        <v>0</v>
      </c>
      <c r="E41" s="68" t="inlineStr">
        <is>
          <t>character_name_21550402</t>
        </is>
      </c>
      <c r="G41" s="68" t="inlineStr">
        <is>
          <t>Normal</t>
        </is>
      </c>
      <c r="H41" s="68" t="inlineStr">
        <is>
          <t>Normal</t>
        </is>
      </c>
      <c r="I41" s="68" t="n">
        <v>2</v>
      </c>
      <c r="J41" s="24" t="inlineStr">
        <is>
          <t>1,1,1</t>
        </is>
      </c>
      <c r="K41" s="68" t="b">
        <v>1</v>
      </c>
      <c r="L41" s="24" t="inlineStr">
        <is>
          <t>0,0,0</t>
        </is>
      </c>
      <c r="M41" s="68" t="n">
        <v>2</v>
      </c>
      <c r="N41" s="68" t="inlineStr">
        <is>
          <t>Light</t>
        </is>
      </c>
      <c r="O41" s="68" t="inlineStr">
        <is>
          <t>Defender</t>
        </is>
      </c>
      <c r="P41" s="68" t="n">
        <v>200</v>
      </c>
      <c r="Q41" s="68">
        <f t="array" ref="Q41">_xlfn.IFS($O41="Attacker",6,$O41="Healer",3,$O41="Magician",4,$O41="Defender",3,$O41="Supporter",4)</f>
        <v/>
      </c>
      <c r="R41" s="68">
        <f t="array" ref="R41">_xlfn.IFS($O41="Attacker",6,$O41="Healer",3,$O41="Magician",4,$O41="Defender",3,$O41="Supporter",4)</f>
        <v/>
      </c>
      <c r="S41" s="68" t="n">
        <v>1</v>
      </c>
      <c r="T41" s="68" t="n">
        <v>0</v>
      </c>
      <c r="U41" s="68" t="n">
        <v>0</v>
      </c>
      <c r="V41" s="68" t="inlineStr">
        <is>
          <t>Spd</t>
        </is>
      </c>
      <c r="W41" s="68">
        <f t="array" ref="W41">_xlfn.IFS(O41="Attacker",80,O41="Healer",90,O41="Magician",100,O41="Defender",110,O41="Supporter",120)</f>
        <v/>
      </c>
      <c r="X41" s="68" t="inlineStr">
        <is>
          <t>Hp</t>
        </is>
      </c>
      <c r="Y41" s="68" t="n">
        <v>300</v>
      </c>
      <c r="Z41" s="68" t="inlineStr">
        <is>
          <t>Atk</t>
        </is>
      </c>
      <c r="AA41" s="68" t="n">
        <v>200</v>
      </c>
      <c r="AB41" s="68" t="inlineStr">
        <is>
          <t>Def</t>
        </is>
      </c>
      <c r="AC41" s="68" t="n">
        <v>20</v>
      </c>
      <c r="AD41" s="68" t="inlineStr">
        <is>
          <t>Penetration</t>
        </is>
      </c>
      <c r="AE41" s="68" t="n">
        <v>0</v>
      </c>
      <c r="AF41" s="68" t="inlineStr">
        <is>
          <t>Hit</t>
        </is>
      </c>
      <c r="AG41" s="68" t="n">
        <v>100</v>
      </c>
      <c r="AH41" s="68" t="inlineStr">
        <is>
          <t>Dodge</t>
        </is>
      </c>
      <c r="AI41" s="68" t="n">
        <v>100</v>
      </c>
      <c r="AJ41" s="68" t="inlineStr">
        <is>
          <t>CriRatio</t>
        </is>
      </c>
      <c r="AK41" s="68" t="n">
        <v>5000</v>
      </c>
      <c r="AL41" s="68" t="inlineStr">
        <is>
          <t>CriDmgRatio</t>
        </is>
      </c>
      <c r="AM41" s="68" t="n">
        <v>150000</v>
      </c>
      <c r="AN41" s="68" t="n">
        <v>1852011</v>
      </c>
      <c r="AO41" s="68" t="b">
        <v>1</v>
      </c>
      <c r="AP41" s="68" t="n">
        <v>2852011</v>
      </c>
      <c r="AQ41" s="68" t="b">
        <v>1</v>
      </c>
      <c r="AR41" s="68" t="n">
        <v>0</v>
      </c>
      <c r="AS41" s="68" t="b">
        <v>0</v>
      </c>
      <c r="AT41" s="68" t="n">
        <v>0</v>
      </c>
      <c r="AU41" s="68" t="b">
        <v>0</v>
      </c>
    </row>
    <row r="42">
      <c r="A42" s="29" t="n">
        <v>21550502</v>
      </c>
      <c r="B42" s="29" t="inlineStr">
        <is>
          <t>슬라임-암</t>
        </is>
      </c>
      <c r="C42" s="29" t="n">
        <v>215505</v>
      </c>
      <c r="D42" s="29" t="n">
        <v>0</v>
      </c>
      <c r="E42" s="29" t="inlineStr">
        <is>
          <t>character_name_21550502</t>
        </is>
      </c>
      <c r="F42" s="29" t="n"/>
      <c r="G42" s="29" t="inlineStr">
        <is>
          <t>Normal</t>
        </is>
      </c>
      <c r="H42" s="29" t="inlineStr">
        <is>
          <t>Normal</t>
        </is>
      </c>
      <c r="I42" s="29" t="n">
        <v>2</v>
      </c>
      <c r="J42" s="27" t="inlineStr">
        <is>
          <t>1,1,1</t>
        </is>
      </c>
      <c r="K42" s="68" t="b">
        <v>1</v>
      </c>
      <c r="L42" s="27" t="inlineStr">
        <is>
          <t>0,0,0</t>
        </is>
      </c>
      <c r="M42" s="29" t="n">
        <v>2</v>
      </c>
      <c r="N42" s="29" t="inlineStr">
        <is>
          <t>Dark</t>
        </is>
      </c>
      <c r="O42" s="29" t="inlineStr">
        <is>
          <t>Defender</t>
        </is>
      </c>
      <c r="P42" s="29" t="n">
        <v>200</v>
      </c>
      <c r="Q42" s="29">
        <f t="array" ref="Q42">_xlfn.IFS($O42="Attacker",6,$O42="Healer",3,$O42="Magician",4,$O42="Defender",3,$O42="Supporter",4)</f>
        <v/>
      </c>
      <c r="R42" s="29">
        <f t="array" ref="R42">_xlfn.IFS($O42="Attacker",6,$O42="Healer",3,$O42="Magician",4,$O42="Defender",3,$O42="Supporter",4)</f>
        <v/>
      </c>
      <c r="S42" s="29" t="n">
        <v>1</v>
      </c>
      <c r="T42" s="29" t="n">
        <v>0</v>
      </c>
      <c r="U42" s="29" t="n">
        <v>0</v>
      </c>
      <c r="V42" s="29" t="inlineStr">
        <is>
          <t>Spd</t>
        </is>
      </c>
      <c r="W42" s="29">
        <f t="array" ref="W42">_xlfn.IFS(O42="Attacker",80,O42="Healer",90,O42="Magician",100,O42="Defender",110,O42="Supporter",120)</f>
        <v/>
      </c>
      <c r="X42" s="29" t="inlineStr">
        <is>
          <t>Hp</t>
        </is>
      </c>
      <c r="Y42" s="29" t="n">
        <v>300</v>
      </c>
      <c r="Z42" s="29" t="inlineStr">
        <is>
          <t>Atk</t>
        </is>
      </c>
      <c r="AA42" s="29" t="n">
        <v>200</v>
      </c>
      <c r="AB42" s="29" t="inlineStr">
        <is>
          <t>Def</t>
        </is>
      </c>
      <c r="AC42" s="29" t="n">
        <v>20</v>
      </c>
      <c r="AD42" s="29" t="inlineStr">
        <is>
          <t>Penetration</t>
        </is>
      </c>
      <c r="AE42" s="68" t="n">
        <v>0</v>
      </c>
      <c r="AF42" s="29" t="inlineStr">
        <is>
          <t>Hit</t>
        </is>
      </c>
      <c r="AG42" s="29" t="n">
        <v>100</v>
      </c>
      <c r="AH42" s="29" t="inlineStr">
        <is>
          <t>Dodge</t>
        </is>
      </c>
      <c r="AI42" s="29" t="n">
        <v>100</v>
      </c>
      <c r="AJ42" s="29" t="inlineStr">
        <is>
          <t>CriRatio</t>
        </is>
      </c>
      <c r="AK42" s="29" t="n">
        <v>5000</v>
      </c>
      <c r="AL42" s="29" t="inlineStr">
        <is>
          <t>CriDmgRatio</t>
        </is>
      </c>
      <c r="AM42" s="29" t="n">
        <v>150000</v>
      </c>
      <c r="AN42" s="29" t="n">
        <v>1852011</v>
      </c>
      <c r="AO42" s="29" t="b">
        <v>1</v>
      </c>
      <c r="AP42" s="29" t="n">
        <v>2852011</v>
      </c>
      <c r="AQ42" s="29" t="b">
        <v>1</v>
      </c>
      <c r="AR42" s="29" t="n">
        <v>0</v>
      </c>
      <c r="AS42" s="29" t="b">
        <v>0</v>
      </c>
      <c r="AT42" s="29" t="n">
        <v>0</v>
      </c>
      <c r="AU42" s="29" t="b">
        <v>0</v>
      </c>
    </row>
    <row r="43" customFormat="1" s="11">
      <c r="A43" s="68" t="n">
        <v>21550103</v>
      </c>
      <c r="B43" s="68" t="inlineStr">
        <is>
          <t>슬라임-화</t>
        </is>
      </c>
      <c r="C43" s="68" t="n">
        <v>215501</v>
      </c>
      <c r="D43" s="68" t="n">
        <v>0</v>
      </c>
      <c r="E43" s="68" t="inlineStr">
        <is>
          <t>character_name_21550103</t>
        </is>
      </c>
      <c r="F43" s="68" t="n"/>
      <c r="G43" s="68" t="inlineStr">
        <is>
          <t>Normal</t>
        </is>
      </c>
      <c r="H43" s="68" t="inlineStr">
        <is>
          <t>Normal</t>
        </is>
      </c>
      <c r="I43" s="68" t="n">
        <v>3</v>
      </c>
      <c r="J43" s="24" t="inlineStr">
        <is>
          <t>1,1,1</t>
        </is>
      </c>
      <c r="K43" s="68" t="b">
        <v>1</v>
      </c>
      <c r="L43" s="24" t="inlineStr">
        <is>
          <t>0,0,0</t>
        </is>
      </c>
      <c r="M43" s="68" t="n">
        <v>2</v>
      </c>
      <c r="N43" s="68" t="inlineStr">
        <is>
          <t>Fire</t>
        </is>
      </c>
      <c r="O43" s="68" t="inlineStr">
        <is>
          <t>Defender</t>
        </is>
      </c>
      <c r="P43" s="68" t="n">
        <v>200</v>
      </c>
      <c r="Q43" s="68">
        <f t="array" ref="Q43">_xlfn.IFS($O43="Attacker",6,$O43="Healer",3,$O43="Magician",4,$O43="Defender",3,$O43="Supporter",4)</f>
        <v/>
      </c>
      <c r="R43" s="68">
        <f t="array" ref="R43">_xlfn.IFS($O43="Attacker",6,$O43="Healer",3,$O43="Magician",4,$O43="Defender",3,$O43="Supporter",4)</f>
        <v/>
      </c>
      <c r="S43" s="68" t="n">
        <v>1</v>
      </c>
      <c r="T43" s="68" t="n">
        <v>0</v>
      </c>
      <c r="U43" s="68" t="n">
        <v>0</v>
      </c>
      <c r="V43" s="68" t="inlineStr">
        <is>
          <t>Spd</t>
        </is>
      </c>
      <c r="W43" s="68">
        <f t="array" ref="W43">_xlfn.IFS(O43="Attacker",80,O43="Healer",90,O43="Magician",100,O43="Defender",110,O43="Supporter",120)</f>
        <v/>
      </c>
      <c r="X43" s="68" t="inlineStr">
        <is>
          <t>Hp</t>
        </is>
      </c>
      <c r="Y43" s="68" t="n">
        <v>36000</v>
      </c>
      <c r="Z43" s="68" t="inlineStr">
        <is>
          <t>Atk</t>
        </is>
      </c>
      <c r="AA43" s="68" t="n">
        <v>450</v>
      </c>
      <c r="AB43" s="68" t="inlineStr">
        <is>
          <t>Def</t>
        </is>
      </c>
      <c r="AC43" s="68" t="n">
        <v>0</v>
      </c>
      <c r="AD43" s="68" t="inlineStr">
        <is>
          <t>Penetration</t>
        </is>
      </c>
      <c r="AE43" s="68" t="n">
        <v>0</v>
      </c>
      <c r="AF43" s="68" t="inlineStr">
        <is>
          <t>Hit</t>
        </is>
      </c>
      <c r="AG43" s="68" t="n">
        <v>100</v>
      </c>
      <c r="AH43" s="68" t="inlineStr">
        <is>
          <t>Dodge</t>
        </is>
      </c>
      <c r="AI43" s="68" t="n">
        <v>80</v>
      </c>
      <c r="AJ43" s="68" t="inlineStr">
        <is>
          <t>CriRatio</t>
        </is>
      </c>
      <c r="AK43" s="68" t="n">
        <v>0</v>
      </c>
      <c r="AL43" s="68" t="inlineStr">
        <is>
          <t>CriDmgRatio</t>
        </is>
      </c>
      <c r="AM43" s="68" t="n">
        <v>150000</v>
      </c>
      <c r="AN43" s="68" t="n">
        <v>1812011</v>
      </c>
      <c r="AO43" s="68" t="b">
        <v>1</v>
      </c>
      <c r="AP43" s="68" t="n">
        <v>2812011</v>
      </c>
      <c r="AQ43" s="68" t="b">
        <v>1</v>
      </c>
      <c r="AR43" s="68" t="n">
        <v>0</v>
      </c>
      <c r="AS43" s="68" t="b">
        <v>0</v>
      </c>
      <c r="AT43" s="68" t="n">
        <v>0</v>
      </c>
      <c r="AU43" s="68" t="b">
        <v>0</v>
      </c>
    </row>
    <row r="44">
      <c r="A44" s="68" t="n">
        <v>21550203</v>
      </c>
      <c r="B44" s="68" t="inlineStr">
        <is>
          <t>슬라임-수</t>
        </is>
      </c>
      <c r="C44" s="68" t="n">
        <v>215502</v>
      </c>
      <c r="D44" s="68" t="n">
        <v>0</v>
      </c>
      <c r="E44" s="68" t="inlineStr">
        <is>
          <t>character_name_21550203</t>
        </is>
      </c>
      <c r="G44" s="68" t="inlineStr">
        <is>
          <t>Normal</t>
        </is>
      </c>
      <c r="H44" s="68" t="inlineStr">
        <is>
          <t>Normal</t>
        </is>
      </c>
      <c r="I44" s="68" t="n">
        <v>3</v>
      </c>
      <c r="J44" s="24" t="inlineStr">
        <is>
          <t>1,1,1</t>
        </is>
      </c>
      <c r="K44" s="68" t="b">
        <v>1</v>
      </c>
      <c r="L44" s="24" t="inlineStr">
        <is>
          <t>0,0,0</t>
        </is>
      </c>
      <c r="M44" s="68" t="n">
        <v>2</v>
      </c>
      <c r="N44" s="68" t="inlineStr">
        <is>
          <t>Water</t>
        </is>
      </c>
      <c r="O44" s="68" t="inlineStr">
        <is>
          <t>Defender</t>
        </is>
      </c>
      <c r="P44" s="68" t="n">
        <v>200</v>
      </c>
      <c r="Q44" s="68">
        <f t="array" ref="Q44">_xlfn.IFS($O44="Attacker",6,$O44="Healer",3,$O44="Magician",4,$O44="Defender",3,$O44="Supporter",4)</f>
        <v/>
      </c>
      <c r="R44" s="68">
        <f t="array" ref="R44">_xlfn.IFS($O44="Attacker",6,$O44="Healer",3,$O44="Magician",4,$O44="Defender",3,$O44="Supporter",4)</f>
        <v/>
      </c>
      <c r="S44" s="68" t="n">
        <v>1</v>
      </c>
      <c r="T44" s="68" t="n">
        <v>0</v>
      </c>
      <c r="U44" s="68" t="n">
        <v>0</v>
      </c>
      <c r="V44" s="68" t="inlineStr">
        <is>
          <t>Spd</t>
        </is>
      </c>
      <c r="W44" s="68">
        <f t="array" ref="W44">_xlfn.IFS(O44="Attacker",80,O44="Healer",90,O44="Magician",100,O44="Defender",110,O44="Supporter",120)</f>
        <v/>
      </c>
      <c r="X44" s="68" t="inlineStr">
        <is>
          <t>Hp</t>
        </is>
      </c>
      <c r="Y44" s="68" t="n">
        <v>36000</v>
      </c>
      <c r="Z44" s="68" t="inlineStr">
        <is>
          <t>Atk</t>
        </is>
      </c>
      <c r="AA44" s="68" t="n">
        <v>450</v>
      </c>
      <c r="AB44" s="68" t="inlineStr">
        <is>
          <t>Def</t>
        </is>
      </c>
      <c r="AC44" s="68" t="n">
        <v>0</v>
      </c>
      <c r="AD44" s="68" t="inlineStr">
        <is>
          <t>Penetration</t>
        </is>
      </c>
      <c r="AE44" s="68" t="n">
        <v>0</v>
      </c>
      <c r="AF44" s="68" t="inlineStr">
        <is>
          <t>Hit</t>
        </is>
      </c>
      <c r="AG44" s="68" t="n">
        <v>120</v>
      </c>
      <c r="AH44" s="68" t="inlineStr">
        <is>
          <t>Dodge</t>
        </is>
      </c>
      <c r="AI44" s="68" t="n">
        <v>80</v>
      </c>
      <c r="AJ44" s="68" t="inlineStr">
        <is>
          <t>CriRatio</t>
        </is>
      </c>
      <c r="AK44" s="68" t="n">
        <v>0</v>
      </c>
      <c r="AL44" s="68" t="inlineStr">
        <is>
          <t>CriDmgRatio</t>
        </is>
      </c>
      <c r="AM44" s="68" t="n">
        <v>150000</v>
      </c>
      <c r="AN44" s="68" t="n">
        <v>1832011</v>
      </c>
      <c r="AO44" s="68" t="b">
        <v>1</v>
      </c>
      <c r="AP44" s="68" t="n">
        <v>2832011</v>
      </c>
      <c r="AQ44" s="68" t="b">
        <v>1</v>
      </c>
      <c r="AR44" s="68" t="n">
        <v>0</v>
      </c>
      <c r="AS44" s="68" t="b">
        <v>0</v>
      </c>
      <c r="AT44" s="68" t="n">
        <v>0</v>
      </c>
      <c r="AU44" s="68" t="b">
        <v>0</v>
      </c>
    </row>
    <row r="45">
      <c r="A45" s="68" t="n">
        <v>21550303</v>
      </c>
      <c r="B45" s="68" t="inlineStr">
        <is>
          <t>슬라임-목</t>
        </is>
      </c>
      <c r="C45" s="68" t="n">
        <v>215503</v>
      </c>
      <c r="D45" s="68" t="n">
        <v>0</v>
      </c>
      <c r="E45" s="68" t="inlineStr">
        <is>
          <t>character_name_21550303</t>
        </is>
      </c>
      <c r="G45" s="68" t="inlineStr">
        <is>
          <t>Normal</t>
        </is>
      </c>
      <c r="H45" s="68" t="inlineStr">
        <is>
          <t>Normal</t>
        </is>
      </c>
      <c r="I45" s="68" t="n">
        <v>3</v>
      </c>
      <c r="J45" s="24" t="inlineStr">
        <is>
          <t>1,1,1</t>
        </is>
      </c>
      <c r="K45" s="68" t="b">
        <v>1</v>
      </c>
      <c r="L45" s="24" t="inlineStr">
        <is>
          <t>0,0,0</t>
        </is>
      </c>
      <c r="M45" s="68" t="n">
        <v>2</v>
      </c>
      <c r="N45" s="68" t="inlineStr">
        <is>
          <t>Forest</t>
        </is>
      </c>
      <c r="O45" s="68" t="inlineStr">
        <is>
          <t>Defender</t>
        </is>
      </c>
      <c r="P45" s="68" t="n">
        <v>200</v>
      </c>
      <c r="Q45" s="68">
        <f t="array" ref="Q45">_xlfn.IFS($O45="Attacker",6,$O45="Healer",3,$O45="Magician",4,$O45="Defender",3,$O45="Supporter",4)</f>
        <v/>
      </c>
      <c r="R45" s="68">
        <f t="array" ref="R45">_xlfn.IFS($O45="Attacker",6,$O45="Healer",3,$O45="Magician",4,$O45="Defender",3,$O45="Supporter",4)</f>
        <v/>
      </c>
      <c r="S45" s="68" t="n">
        <v>1</v>
      </c>
      <c r="T45" s="68" t="n">
        <v>0</v>
      </c>
      <c r="U45" s="68" t="n">
        <v>0</v>
      </c>
      <c r="V45" s="68" t="inlineStr">
        <is>
          <t>Spd</t>
        </is>
      </c>
      <c r="W45" s="68">
        <f t="array" ref="W45">_xlfn.IFS(O45="Attacker",80,O45="Healer",90,O45="Magician",100,O45="Defender",110,O45="Supporter",120)</f>
        <v/>
      </c>
      <c r="X45" s="68" t="inlineStr">
        <is>
          <t>Hp</t>
        </is>
      </c>
      <c r="Y45" s="68" t="n">
        <v>39600</v>
      </c>
      <c r="Z45" s="68" t="inlineStr">
        <is>
          <t>Atk</t>
        </is>
      </c>
      <c r="AA45" s="68" t="n">
        <v>450</v>
      </c>
      <c r="AB45" s="68" t="inlineStr">
        <is>
          <t>Def</t>
        </is>
      </c>
      <c r="AC45" s="68" t="n">
        <v>0</v>
      </c>
      <c r="AD45" s="68" t="inlineStr">
        <is>
          <t>Penetration</t>
        </is>
      </c>
      <c r="AE45" s="68" t="n">
        <v>0</v>
      </c>
      <c r="AF45" s="68" t="inlineStr">
        <is>
          <t>Hit</t>
        </is>
      </c>
      <c r="AG45" s="68" t="n">
        <v>100</v>
      </c>
      <c r="AH45" s="68" t="inlineStr">
        <is>
          <t>Dodge</t>
        </is>
      </c>
      <c r="AI45" s="68" t="n">
        <v>80</v>
      </c>
      <c r="AJ45" s="68" t="inlineStr">
        <is>
          <t>CriRatio</t>
        </is>
      </c>
      <c r="AK45" s="68" t="n">
        <v>0</v>
      </c>
      <c r="AL45" s="68" t="inlineStr">
        <is>
          <t>CriDmgRatio</t>
        </is>
      </c>
      <c r="AM45" s="68" t="n">
        <v>150000</v>
      </c>
      <c r="AN45" s="68" t="n">
        <v>1822011</v>
      </c>
      <c r="AO45" s="68" t="b">
        <v>1</v>
      </c>
      <c r="AP45" s="68" t="n">
        <v>2822011</v>
      </c>
      <c r="AQ45" s="68" t="b">
        <v>1</v>
      </c>
      <c r="AR45" s="68" t="n">
        <v>0</v>
      </c>
      <c r="AS45" s="68" t="b">
        <v>0</v>
      </c>
      <c r="AT45" s="68" t="n">
        <v>0</v>
      </c>
      <c r="AU45" s="68" t="b">
        <v>0</v>
      </c>
    </row>
    <row r="46">
      <c r="A46" s="68" t="n">
        <v>21550403</v>
      </c>
      <c r="B46" s="68" t="inlineStr">
        <is>
          <t>슬라임-광</t>
        </is>
      </c>
      <c r="C46" s="68" t="n">
        <v>215504</v>
      </c>
      <c r="D46" s="68" t="n">
        <v>0</v>
      </c>
      <c r="E46" s="68" t="inlineStr">
        <is>
          <t>character_name_21550403</t>
        </is>
      </c>
      <c r="G46" s="68" t="inlineStr">
        <is>
          <t>Normal</t>
        </is>
      </c>
      <c r="H46" s="68" t="inlineStr">
        <is>
          <t>Normal</t>
        </is>
      </c>
      <c r="I46" s="68" t="n">
        <v>3</v>
      </c>
      <c r="J46" s="24" t="inlineStr">
        <is>
          <t>1,1,1</t>
        </is>
      </c>
      <c r="K46" s="68" t="b">
        <v>1</v>
      </c>
      <c r="L46" s="24" t="inlineStr">
        <is>
          <t>0,0,0</t>
        </is>
      </c>
      <c r="M46" s="68" t="n">
        <v>2</v>
      </c>
      <c r="N46" s="68" t="inlineStr">
        <is>
          <t>Light</t>
        </is>
      </c>
      <c r="O46" s="68" t="inlineStr">
        <is>
          <t>Defender</t>
        </is>
      </c>
      <c r="P46" s="68" t="n">
        <v>200</v>
      </c>
      <c r="Q46" s="68">
        <f t="array" ref="Q46">_xlfn.IFS($O46="Attacker",6,$O46="Healer",3,$O46="Magician",4,$O46="Defender",3,$O46="Supporter",4)</f>
        <v/>
      </c>
      <c r="R46" s="68">
        <f t="array" ref="R46">_xlfn.IFS($O46="Attacker",6,$O46="Healer",3,$O46="Magician",4,$O46="Defender",3,$O46="Supporter",4)</f>
        <v/>
      </c>
      <c r="S46" s="68" t="n">
        <v>1</v>
      </c>
      <c r="T46" s="68" t="n">
        <v>0</v>
      </c>
      <c r="U46" s="68" t="n">
        <v>0</v>
      </c>
      <c r="V46" s="68" t="inlineStr">
        <is>
          <t>Spd</t>
        </is>
      </c>
      <c r="W46" s="68">
        <f t="array" ref="W46">_xlfn.IFS(O46="Attacker",80,O46="Healer",90,O46="Magician",100,O46="Defender",110,O46="Supporter",120)</f>
        <v/>
      </c>
      <c r="X46" s="68" t="inlineStr">
        <is>
          <t>Hp</t>
        </is>
      </c>
      <c r="Y46" s="68" t="n">
        <v>36000</v>
      </c>
      <c r="Z46" s="68" t="inlineStr">
        <is>
          <t>Atk</t>
        </is>
      </c>
      <c r="AA46" s="68" t="n">
        <v>450</v>
      </c>
      <c r="AB46" s="68" t="inlineStr">
        <is>
          <t>Def</t>
        </is>
      </c>
      <c r="AC46" s="68" t="n">
        <v>0</v>
      </c>
      <c r="AD46" s="68" t="inlineStr">
        <is>
          <t>Penetration</t>
        </is>
      </c>
      <c r="AE46" s="68" t="n">
        <v>0</v>
      </c>
      <c r="AF46" s="68" t="inlineStr">
        <is>
          <t>Hit</t>
        </is>
      </c>
      <c r="AG46" s="68" t="n">
        <v>100</v>
      </c>
      <c r="AH46" s="68" t="inlineStr">
        <is>
          <t>Dodge</t>
        </is>
      </c>
      <c r="AI46" s="68" t="n">
        <v>104</v>
      </c>
      <c r="AJ46" s="68" t="inlineStr">
        <is>
          <t>CriRatio</t>
        </is>
      </c>
      <c r="AK46" s="68" t="n">
        <v>0</v>
      </c>
      <c r="AL46" s="68" t="inlineStr">
        <is>
          <t>CriDmgRatio</t>
        </is>
      </c>
      <c r="AM46" s="68" t="n">
        <v>150000</v>
      </c>
      <c r="AN46" s="68" t="n">
        <v>1852011</v>
      </c>
      <c r="AO46" s="68" t="b">
        <v>1</v>
      </c>
      <c r="AP46" s="68" t="n">
        <v>2852011</v>
      </c>
      <c r="AQ46" s="68" t="b">
        <v>1</v>
      </c>
      <c r="AR46" s="68" t="n">
        <v>0</v>
      </c>
      <c r="AS46" s="68" t="b">
        <v>0</v>
      </c>
      <c r="AT46" s="68" t="n">
        <v>0</v>
      </c>
      <c r="AU46" s="68" t="b">
        <v>0</v>
      </c>
    </row>
    <row r="47">
      <c r="A47" s="29" t="n">
        <v>21550503</v>
      </c>
      <c r="B47" s="29" t="inlineStr">
        <is>
          <t>슬라임-암</t>
        </is>
      </c>
      <c r="C47" s="29" t="n">
        <v>215505</v>
      </c>
      <c r="D47" s="29" t="n">
        <v>0</v>
      </c>
      <c r="E47" s="29" t="inlineStr">
        <is>
          <t>character_name_21550503</t>
        </is>
      </c>
      <c r="F47" s="29" t="n"/>
      <c r="G47" s="29" t="inlineStr">
        <is>
          <t>Normal</t>
        </is>
      </c>
      <c r="H47" s="29" t="inlineStr">
        <is>
          <t>Normal</t>
        </is>
      </c>
      <c r="I47" s="29" t="n">
        <v>3</v>
      </c>
      <c r="J47" s="27" t="inlineStr">
        <is>
          <t>1,1,1</t>
        </is>
      </c>
      <c r="K47" s="68" t="b">
        <v>1</v>
      </c>
      <c r="L47" s="27" t="inlineStr">
        <is>
          <t>0,0,0</t>
        </is>
      </c>
      <c r="M47" s="29" t="n">
        <v>2</v>
      </c>
      <c r="N47" s="29" t="inlineStr">
        <is>
          <t>Dark</t>
        </is>
      </c>
      <c r="O47" s="29" t="inlineStr">
        <is>
          <t>Defender</t>
        </is>
      </c>
      <c r="P47" s="29" t="n">
        <v>200</v>
      </c>
      <c r="Q47" s="29">
        <f t="array" ref="Q47">_xlfn.IFS($O47="Attacker",6,$O47="Healer",3,$O47="Magician",4,$O47="Defender",3,$O47="Supporter",4)</f>
        <v/>
      </c>
      <c r="R47" s="29">
        <f t="array" ref="R47">_xlfn.IFS($O47="Attacker",6,$O47="Healer",3,$O47="Magician",4,$O47="Defender",3,$O47="Supporter",4)</f>
        <v/>
      </c>
      <c r="S47" s="29" t="n">
        <v>1</v>
      </c>
      <c r="T47" s="29" t="n">
        <v>0</v>
      </c>
      <c r="U47" s="29" t="n">
        <v>0</v>
      </c>
      <c r="V47" s="29" t="inlineStr">
        <is>
          <t>Spd</t>
        </is>
      </c>
      <c r="W47" s="29">
        <f t="array" ref="W47">_xlfn.IFS(O47="Attacker",80,O47="Healer",90,O47="Magician",100,O47="Defender",110,O47="Supporter",120)</f>
        <v/>
      </c>
      <c r="X47" s="29" t="inlineStr">
        <is>
          <t>Hp</t>
        </is>
      </c>
      <c r="Y47" s="68" t="n">
        <v>36000</v>
      </c>
      <c r="Z47" s="29" t="inlineStr">
        <is>
          <t>Atk</t>
        </is>
      </c>
      <c r="AA47" s="68" t="n">
        <v>450</v>
      </c>
      <c r="AB47" s="29" t="inlineStr">
        <is>
          <t>Def</t>
        </is>
      </c>
      <c r="AC47" s="68" t="n">
        <v>0</v>
      </c>
      <c r="AD47" s="29" t="inlineStr">
        <is>
          <t>Penetration</t>
        </is>
      </c>
      <c r="AE47" s="29" t="n">
        <v>0</v>
      </c>
      <c r="AF47" s="29" t="inlineStr">
        <is>
          <t>Hit</t>
        </is>
      </c>
      <c r="AG47" s="29" t="n">
        <v>100</v>
      </c>
      <c r="AH47" s="29" t="inlineStr">
        <is>
          <t>Dodge</t>
        </is>
      </c>
      <c r="AI47" s="29" t="n">
        <v>80</v>
      </c>
      <c r="AJ47" s="29" t="inlineStr">
        <is>
          <t>CriRatio</t>
        </is>
      </c>
      <c r="AK47" s="29" t="n">
        <v>0</v>
      </c>
      <c r="AL47" s="29" t="inlineStr">
        <is>
          <t>CriDmgRatio</t>
        </is>
      </c>
      <c r="AM47" s="29" t="n">
        <v>150000</v>
      </c>
      <c r="AN47" s="29" t="n">
        <v>1852011</v>
      </c>
      <c r="AO47" s="29" t="b">
        <v>1</v>
      </c>
      <c r="AP47" s="29" t="n">
        <v>2852011</v>
      </c>
      <c r="AQ47" s="29" t="b">
        <v>1</v>
      </c>
      <c r="AR47" s="29" t="n">
        <v>0</v>
      </c>
      <c r="AS47" s="29" t="b">
        <v>0</v>
      </c>
      <c r="AT47" s="29" t="n">
        <v>0</v>
      </c>
      <c r="AU47" s="29" t="b">
        <v>0</v>
      </c>
    </row>
    <row r="48" customFormat="1" s="11">
      <c r="A48" s="68" t="n">
        <v>21550104</v>
      </c>
      <c r="B48" s="68" t="inlineStr">
        <is>
          <t>슬라임-화</t>
        </is>
      </c>
      <c r="C48" s="68" t="n">
        <v>215501</v>
      </c>
      <c r="D48" s="68" t="n">
        <v>0</v>
      </c>
      <c r="E48" s="68" t="inlineStr">
        <is>
          <t>character_name_21550104</t>
        </is>
      </c>
      <c r="F48" s="68" t="n"/>
      <c r="G48" s="68" t="inlineStr">
        <is>
          <t>Normal</t>
        </is>
      </c>
      <c r="H48" s="68" t="inlineStr">
        <is>
          <t>Normal</t>
        </is>
      </c>
      <c r="I48" s="68" t="n">
        <v>4</v>
      </c>
      <c r="J48" s="24" t="inlineStr">
        <is>
          <t>1,1,1</t>
        </is>
      </c>
      <c r="K48" s="68" t="b">
        <v>1</v>
      </c>
      <c r="L48" s="24" t="inlineStr">
        <is>
          <t>0,0,0</t>
        </is>
      </c>
      <c r="M48" s="68" t="n">
        <v>2</v>
      </c>
      <c r="N48" s="68" t="inlineStr">
        <is>
          <t>Fire</t>
        </is>
      </c>
      <c r="O48" s="68" t="inlineStr">
        <is>
          <t>Defender</t>
        </is>
      </c>
      <c r="P48" s="68" t="n">
        <v>200</v>
      </c>
      <c r="Q48" s="68">
        <f t="array" ref="Q48">_xlfn.IFS($O48="Attacker",6,$O48="Healer",3,$O48="Magician",4,$O48="Defender",3,$O48="Supporter",4)</f>
        <v/>
      </c>
      <c r="R48" s="68">
        <f t="array" ref="R48">_xlfn.IFS($O48="Attacker",6,$O48="Healer",3,$O48="Magician",4,$O48="Defender",3,$O48="Supporter",4)</f>
        <v/>
      </c>
      <c r="S48" s="68" t="n">
        <v>1</v>
      </c>
      <c r="T48" s="68" t="n">
        <v>0</v>
      </c>
      <c r="U48" s="68" t="n">
        <v>0</v>
      </c>
      <c r="V48" s="68" t="inlineStr">
        <is>
          <t>Spd</t>
        </is>
      </c>
      <c r="W48" s="68">
        <f t="array" ref="W48">_xlfn.IFS(O48="Attacker",80,O48="Healer",90,O48="Magician",100,O48="Defender",110,O48="Supporter",120)</f>
        <v/>
      </c>
      <c r="X48" s="68" t="inlineStr">
        <is>
          <t>Hp</t>
        </is>
      </c>
      <c r="Y48" s="68" t="n">
        <v>90000</v>
      </c>
      <c r="Z48" s="68" t="inlineStr">
        <is>
          <t>Atk</t>
        </is>
      </c>
      <c r="AA48" s="68" t="n">
        <v>675</v>
      </c>
      <c r="AB48" s="68" t="inlineStr">
        <is>
          <t>Def</t>
        </is>
      </c>
      <c r="AC48" s="68" t="n">
        <v>0</v>
      </c>
      <c r="AD48" s="68" t="inlineStr">
        <is>
          <t>Penetration</t>
        </is>
      </c>
      <c r="AE48" s="68" t="n">
        <v>0</v>
      </c>
      <c r="AF48" s="68" t="inlineStr">
        <is>
          <t>Hit</t>
        </is>
      </c>
      <c r="AG48" s="68" t="n">
        <v>100</v>
      </c>
      <c r="AH48" s="68" t="inlineStr">
        <is>
          <t>Dodge</t>
        </is>
      </c>
      <c r="AI48" s="68" t="n">
        <v>80</v>
      </c>
      <c r="AJ48" s="68" t="inlineStr">
        <is>
          <t>CriRatio</t>
        </is>
      </c>
      <c r="AK48" s="68" t="n">
        <v>0</v>
      </c>
      <c r="AL48" s="68" t="inlineStr">
        <is>
          <t>CriDmgRatio</t>
        </is>
      </c>
      <c r="AM48" s="68" t="n">
        <v>150000</v>
      </c>
      <c r="AN48" s="68" t="n">
        <v>1812011</v>
      </c>
      <c r="AO48" s="68" t="b">
        <v>1</v>
      </c>
      <c r="AP48" s="68" t="n">
        <v>2812011</v>
      </c>
      <c r="AQ48" s="68" t="b">
        <v>1</v>
      </c>
      <c r="AR48" s="68" t="n">
        <v>0</v>
      </c>
      <c r="AS48" s="68" t="b">
        <v>0</v>
      </c>
      <c r="AT48" s="68" t="n">
        <v>0</v>
      </c>
      <c r="AU48" s="68" t="b">
        <v>0</v>
      </c>
    </row>
    <row r="49">
      <c r="A49" s="68" t="n">
        <v>21550204</v>
      </c>
      <c r="B49" s="68" t="inlineStr">
        <is>
          <t>슬라임-수</t>
        </is>
      </c>
      <c r="C49" s="68" t="n">
        <v>215502</v>
      </c>
      <c r="D49" s="68" t="n">
        <v>0</v>
      </c>
      <c r="E49" s="68" t="inlineStr">
        <is>
          <t>character_name_21550204</t>
        </is>
      </c>
      <c r="G49" s="68" t="inlineStr">
        <is>
          <t>Normal</t>
        </is>
      </c>
      <c r="H49" s="68" t="inlineStr">
        <is>
          <t>Normal</t>
        </is>
      </c>
      <c r="I49" s="68" t="n">
        <v>4</v>
      </c>
      <c r="J49" s="24" t="inlineStr">
        <is>
          <t>1,1,1</t>
        </is>
      </c>
      <c r="K49" s="68" t="b">
        <v>1</v>
      </c>
      <c r="L49" s="24" t="inlineStr">
        <is>
          <t>0,0,0</t>
        </is>
      </c>
      <c r="M49" s="68" t="n">
        <v>2</v>
      </c>
      <c r="N49" s="68" t="inlineStr">
        <is>
          <t>Water</t>
        </is>
      </c>
      <c r="O49" s="68" t="inlineStr">
        <is>
          <t>Defender</t>
        </is>
      </c>
      <c r="P49" s="68" t="n">
        <v>200</v>
      </c>
      <c r="Q49" s="68">
        <f t="array" ref="Q49">_xlfn.IFS($O49="Attacker",6,$O49="Healer",3,$O49="Magician",4,$O49="Defender",3,$O49="Supporter",4)</f>
        <v/>
      </c>
      <c r="R49" s="68">
        <f t="array" ref="R49">_xlfn.IFS($O49="Attacker",6,$O49="Healer",3,$O49="Magician",4,$O49="Defender",3,$O49="Supporter",4)</f>
        <v/>
      </c>
      <c r="S49" s="68" t="n">
        <v>1</v>
      </c>
      <c r="T49" s="68" t="n">
        <v>0</v>
      </c>
      <c r="U49" s="68" t="n">
        <v>0</v>
      </c>
      <c r="V49" s="68" t="inlineStr">
        <is>
          <t>Spd</t>
        </is>
      </c>
      <c r="W49" s="68">
        <f t="array" ref="W49">_xlfn.IFS(O49="Attacker",80,O49="Healer",90,O49="Magician",100,O49="Defender",110,O49="Supporter",120)</f>
        <v/>
      </c>
      <c r="X49" s="68" t="inlineStr">
        <is>
          <t>Hp</t>
        </is>
      </c>
      <c r="Y49" s="68" t="n">
        <v>90000</v>
      </c>
      <c r="Z49" s="68" t="inlineStr">
        <is>
          <t>Atk</t>
        </is>
      </c>
      <c r="AA49" s="68" t="n">
        <v>675</v>
      </c>
      <c r="AB49" s="68" t="inlineStr">
        <is>
          <t>Def</t>
        </is>
      </c>
      <c r="AC49" s="68" t="n">
        <v>0</v>
      </c>
      <c r="AD49" s="68" t="inlineStr">
        <is>
          <t>Penetration</t>
        </is>
      </c>
      <c r="AE49" s="68" t="n">
        <v>0</v>
      </c>
      <c r="AF49" s="68" t="inlineStr">
        <is>
          <t>Hit</t>
        </is>
      </c>
      <c r="AG49" s="68" t="n">
        <v>120</v>
      </c>
      <c r="AH49" s="68" t="inlineStr">
        <is>
          <t>Dodge</t>
        </is>
      </c>
      <c r="AI49" s="68" t="n">
        <v>80</v>
      </c>
      <c r="AJ49" s="68" t="inlineStr">
        <is>
          <t>CriRatio</t>
        </is>
      </c>
      <c r="AK49" s="68" t="n">
        <v>0</v>
      </c>
      <c r="AL49" s="68" t="inlineStr">
        <is>
          <t>CriDmgRatio</t>
        </is>
      </c>
      <c r="AM49" s="68" t="n">
        <v>150000</v>
      </c>
      <c r="AN49" s="68" t="n">
        <v>1832011</v>
      </c>
      <c r="AO49" s="68" t="b">
        <v>1</v>
      </c>
      <c r="AP49" s="68" t="n">
        <v>2832011</v>
      </c>
      <c r="AQ49" s="68" t="b">
        <v>1</v>
      </c>
      <c r="AR49" s="68" t="n">
        <v>0</v>
      </c>
      <c r="AS49" s="68" t="b">
        <v>0</v>
      </c>
      <c r="AT49" s="68" t="n">
        <v>0</v>
      </c>
      <c r="AU49" s="68" t="b">
        <v>0</v>
      </c>
    </row>
    <row r="50">
      <c r="A50" s="68" t="n">
        <v>21550304</v>
      </c>
      <c r="B50" s="68" t="inlineStr">
        <is>
          <t>슬라임-목</t>
        </is>
      </c>
      <c r="C50" s="68" t="n">
        <v>215503</v>
      </c>
      <c r="D50" s="68" t="n">
        <v>0</v>
      </c>
      <c r="E50" s="68" t="inlineStr">
        <is>
          <t>character_name_21550304</t>
        </is>
      </c>
      <c r="G50" s="68" t="inlineStr">
        <is>
          <t>Normal</t>
        </is>
      </c>
      <c r="H50" s="68" t="inlineStr">
        <is>
          <t>Normal</t>
        </is>
      </c>
      <c r="I50" s="68" t="n">
        <v>4</v>
      </c>
      <c r="J50" s="24" t="inlineStr">
        <is>
          <t>1,1,1</t>
        </is>
      </c>
      <c r="K50" s="68" t="b">
        <v>1</v>
      </c>
      <c r="L50" s="24" t="inlineStr">
        <is>
          <t>0,0,0</t>
        </is>
      </c>
      <c r="M50" s="68" t="n">
        <v>2</v>
      </c>
      <c r="N50" s="68" t="inlineStr">
        <is>
          <t>Forest</t>
        </is>
      </c>
      <c r="O50" s="68" t="inlineStr">
        <is>
          <t>Defender</t>
        </is>
      </c>
      <c r="P50" s="68" t="n">
        <v>200</v>
      </c>
      <c r="Q50" s="68">
        <f t="array" ref="Q50">_xlfn.IFS($O50="Attacker",6,$O50="Healer",3,$O50="Magician",4,$O50="Defender",3,$O50="Supporter",4)</f>
        <v/>
      </c>
      <c r="R50" s="68">
        <f t="array" ref="R50">_xlfn.IFS($O50="Attacker",6,$O50="Healer",3,$O50="Magician",4,$O50="Defender",3,$O50="Supporter",4)</f>
        <v/>
      </c>
      <c r="S50" s="68" t="n">
        <v>1</v>
      </c>
      <c r="T50" s="68" t="n">
        <v>0</v>
      </c>
      <c r="U50" s="68" t="n">
        <v>0</v>
      </c>
      <c r="V50" s="68" t="inlineStr">
        <is>
          <t>Spd</t>
        </is>
      </c>
      <c r="W50" s="68">
        <f t="array" ref="W50">_xlfn.IFS(O50="Attacker",80,O50="Healer",90,O50="Magician",100,O50="Defender",110,O50="Supporter",120)</f>
        <v/>
      </c>
      <c r="X50" s="68" t="inlineStr">
        <is>
          <t>Hp</t>
        </is>
      </c>
      <c r="Y50" s="68" t="n">
        <v>99000</v>
      </c>
      <c r="Z50" s="68" t="inlineStr">
        <is>
          <t>Atk</t>
        </is>
      </c>
      <c r="AA50" s="68" t="n">
        <v>675</v>
      </c>
      <c r="AB50" s="68" t="inlineStr">
        <is>
          <t>Def</t>
        </is>
      </c>
      <c r="AC50" s="68" t="n">
        <v>0</v>
      </c>
      <c r="AD50" s="68" t="inlineStr">
        <is>
          <t>Penetration</t>
        </is>
      </c>
      <c r="AE50" s="68" t="n">
        <v>0</v>
      </c>
      <c r="AF50" s="68" t="inlineStr">
        <is>
          <t>Hit</t>
        </is>
      </c>
      <c r="AG50" s="68" t="n">
        <v>100</v>
      </c>
      <c r="AH50" s="68" t="inlineStr">
        <is>
          <t>Dodge</t>
        </is>
      </c>
      <c r="AI50" s="68" t="n">
        <v>80</v>
      </c>
      <c r="AJ50" s="68" t="inlineStr">
        <is>
          <t>CriRatio</t>
        </is>
      </c>
      <c r="AK50" s="68" t="n">
        <v>0</v>
      </c>
      <c r="AL50" s="68" t="inlineStr">
        <is>
          <t>CriDmgRatio</t>
        </is>
      </c>
      <c r="AM50" s="68" t="n">
        <v>150000</v>
      </c>
      <c r="AN50" s="68" t="n">
        <v>1822011</v>
      </c>
      <c r="AO50" s="68" t="b">
        <v>1</v>
      </c>
      <c r="AP50" s="68" t="n">
        <v>2822011</v>
      </c>
      <c r="AQ50" s="68" t="b">
        <v>1</v>
      </c>
      <c r="AR50" s="68" t="n">
        <v>0</v>
      </c>
      <c r="AS50" s="68" t="b">
        <v>0</v>
      </c>
      <c r="AT50" s="68" t="n">
        <v>0</v>
      </c>
      <c r="AU50" s="68" t="b">
        <v>0</v>
      </c>
    </row>
    <row r="51">
      <c r="A51" s="68" t="n">
        <v>21550404</v>
      </c>
      <c r="B51" s="68" t="inlineStr">
        <is>
          <t>슬라임-광</t>
        </is>
      </c>
      <c r="C51" s="68" t="n">
        <v>215504</v>
      </c>
      <c r="D51" s="68" t="n">
        <v>0</v>
      </c>
      <c r="E51" s="68" t="inlineStr">
        <is>
          <t>character_name_21550404</t>
        </is>
      </c>
      <c r="G51" s="68" t="inlineStr">
        <is>
          <t>Normal</t>
        </is>
      </c>
      <c r="H51" s="68" t="inlineStr">
        <is>
          <t>Normal</t>
        </is>
      </c>
      <c r="I51" s="68" t="n">
        <v>4</v>
      </c>
      <c r="J51" s="24" t="inlineStr">
        <is>
          <t>1,1,1</t>
        </is>
      </c>
      <c r="K51" s="68" t="b">
        <v>1</v>
      </c>
      <c r="L51" s="24" t="inlineStr">
        <is>
          <t>0,0,0</t>
        </is>
      </c>
      <c r="M51" s="68" t="n">
        <v>2</v>
      </c>
      <c r="N51" s="68" t="inlineStr">
        <is>
          <t>Light</t>
        </is>
      </c>
      <c r="O51" s="68" t="inlineStr">
        <is>
          <t>Defender</t>
        </is>
      </c>
      <c r="P51" s="68" t="n">
        <v>200</v>
      </c>
      <c r="Q51" s="68">
        <f t="array" ref="Q51">_xlfn.IFS($O51="Attacker",6,$O51="Healer",3,$O51="Magician",4,$O51="Defender",3,$O51="Supporter",4)</f>
        <v/>
      </c>
      <c r="R51" s="68">
        <f t="array" ref="R51">_xlfn.IFS($O51="Attacker",6,$O51="Healer",3,$O51="Magician",4,$O51="Defender",3,$O51="Supporter",4)</f>
        <v/>
      </c>
      <c r="S51" s="68" t="n">
        <v>1</v>
      </c>
      <c r="T51" s="68" t="n">
        <v>0</v>
      </c>
      <c r="U51" s="68" t="n">
        <v>0</v>
      </c>
      <c r="V51" s="68" t="inlineStr">
        <is>
          <t>Spd</t>
        </is>
      </c>
      <c r="W51" s="68">
        <f t="array" ref="W51">_xlfn.IFS(O51="Attacker",80,O51="Healer",90,O51="Magician",100,O51="Defender",110,O51="Supporter",120)</f>
        <v/>
      </c>
      <c r="X51" s="68" t="inlineStr">
        <is>
          <t>Hp</t>
        </is>
      </c>
      <c r="Y51" s="68" t="n">
        <v>90000</v>
      </c>
      <c r="Z51" s="68" t="inlineStr">
        <is>
          <t>Atk</t>
        </is>
      </c>
      <c r="AA51" s="68" t="n">
        <v>675</v>
      </c>
      <c r="AB51" s="68" t="inlineStr">
        <is>
          <t>Def</t>
        </is>
      </c>
      <c r="AC51" s="68" t="n">
        <v>0</v>
      </c>
      <c r="AD51" s="68" t="inlineStr">
        <is>
          <t>Penetration</t>
        </is>
      </c>
      <c r="AE51" s="68" t="n">
        <v>0</v>
      </c>
      <c r="AF51" s="68" t="inlineStr">
        <is>
          <t>Hit</t>
        </is>
      </c>
      <c r="AG51" s="68" t="n">
        <v>100</v>
      </c>
      <c r="AH51" s="68" t="inlineStr">
        <is>
          <t>Dodge</t>
        </is>
      </c>
      <c r="AI51" s="68" t="n">
        <v>104</v>
      </c>
      <c r="AJ51" s="68" t="inlineStr">
        <is>
          <t>CriRatio</t>
        </is>
      </c>
      <c r="AK51" s="68" t="n">
        <v>0</v>
      </c>
      <c r="AL51" s="68" t="inlineStr">
        <is>
          <t>CriDmgRatio</t>
        </is>
      </c>
      <c r="AM51" s="68" t="n">
        <v>150000</v>
      </c>
      <c r="AN51" s="68" t="n">
        <v>1852011</v>
      </c>
      <c r="AO51" s="68" t="b">
        <v>1</v>
      </c>
      <c r="AP51" s="68" t="n">
        <v>2852011</v>
      </c>
      <c r="AQ51" s="68" t="b">
        <v>1</v>
      </c>
      <c r="AR51" s="68" t="n">
        <v>0</v>
      </c>
      <c r="AS51" s="68" t="b">
        <v>0</v>
      </c>
      <c r="AT51" s="68" t="n">
        <v>0</v>
      </c>
      <c r="AU51" s="68" t="b">
        <v>0</v>
      </c>
    </row>
    <row r="52">
      <c r="A52" s="29" t="n">
        <v>21550504</v>
      </c>
      <c r="B52" s="29" t="inlineStr">
        <is>
          <t>슬라임-암</t>
        </is>
      </c>
      <c r="C52" s="29" t="n">
        <v>215505</v>
      </c>
      <c r="D52" s="29" t="n">
        <v>0</v>
      </c>
      <c r="E52" s="29" t="inlineStr">
        <is>
          <t>character_name_21550504</t>
        </is>
      </c>
      <c r="F52" s="29" t="n"/>
      <c r="G52" s="29" t="inlineStr">
        <is>
          <t>Normal</t>
        </is>
      </c>
      <c r="H52" s="29" t="inlineStr">
        <is>
          <t>Normal</t>
        </is>
      </c>
      <c r="I52" s="29" t="n">
        <v>4</v>
      </c>
      <c r="J52" s="27" t="inlineStr">
        <is>
          <t>1,1,1</t>
        </is>
      </c>
      <c r="K52" s="68" t="b">
        <v>1</v>
      </c>
      <c r="L52" s="27" t="inlineStr">
        <is>
          <t>0,0,0</t>
        </is>
      </c>
      <c r="M52" s="29" t="n">
        <v>2</v>
      </c>
      <c r="N52" s="29" t="inlineStr">
        <is>
          <t>Dark</t>
        </is>
      </c>
      <c r="O52" s="29" t="inlineStr">
        <is>
          <t>Defender</t>
        </is>
      </c>
      <c r="P52" s="29" t="n">
        <v>200</v>
      </c>
      <c r="Q52" s="29">
        <f t="array" ref="Q52">_xlfn.IFS($O52="Attacker",6,$O52="Healer",3,$O52="Magician",4,$O52="Defender",3,$O52="Supporter",4)</f>
        <v/>
      </c>
      <c r="R52" s="29">
        <f t="array" ref="R52">_xlfn.IFS($O52="Attacker",6,$O52="Healer",3,$O52="Magician",4,$O52="Defender",3,$O52="Supporter",4)</f>
        <v/>
      </c>
      <c r="S52" s="29" t="n">
        <v>1</v>
      </c>
      <c r="T52" s="29" t="n">
        <v>0</v>
      </c>
      <c r="U52" s="29" t="n">
        <v>0</v>
      </c>
      <c r="V52" s="29" t="inlineStr">
        <is>
          <t>Spd</t>
        </is>
      </c>
      <c r="W52" s="29">
        <f t="array" ref="W52">_xlfn.IFS(O52="Attacker",80,O52="Healer",90,O52="Magician",100,O52="Defender",110,O52="Supporter",120)</f>
        <v/>
      </c>
      <c r="X52" s="29" t="inlineStr">
        <is>
          <t>Hp</t>
        </is>
      </c>
      <c r="Y52" s="68" t="n">
        <v>90000</v>
      </c>
      <c r="Z52" s="29" t="inlineStr">
        <is>
          <t>Atk</t>
        </is>
      </c>
      <c r="AA52" s="68" t="n">
        <v>675</v>
      </c>
      <c r="AB52" s="29" t="inlineStr">
        <is>
          <t>Def</t>
        </is>
      </c>
      <c r="AC52" s="68" t="n">
        <v>0</v>
      </c>
      <c r="AD52" s="29" t="inlineStr">
        <is>
          <t>Penetration</t>
        </is>
      </c>
      <c r="AE52" s="29" t="n">
        <v>0</v>
      </c>
      <c r="AF52" s="29" t="inlineStr">
        <is>
          <t>Hit</t>
        </is>
      </c>
      <c r="AG52" s="29" t="n">
        <v>100</v>
      </c>
      <c r="AH52" s="29" t="inlineStr">
        <is>
          <t>Dodge</t>
        </is>
      </c>
      <c r="AI52" s="29" t="n">
        <v>80</v>
      </c>
      <c r="AJ52" s="29" t="inlineStr">
        <is>
          <t>CriRatio</t>
        </is>
      </c>
      <c r="AK52" s="29" t="n">
        <v>0</v>
      </c>
      <c r="AL52" s="29" t="inlineStr">
        <is>
          <t>CriDmgRatio</t>
        </is>
      </c>
      <c r="AM52" s="29" t="n">
        <v>150000</v>
      </c>
      <c r="AN52" s="29" t="n">
        <v>1852011</v>
      </c>
      <c r="AO52" s="29" t="b">
        <v>1</v>
      </c>
      <c r="AP52" s="29" t="n">
        <v>2852011</v>
      </c>
      <c r="AQ52" s="29" t="b">
        <v>1</v>
      </c>
      <c r="AR52" s="29" t="n">
        <v>0</v>
      </c>
      <c r="AS52" s="29" t="b">
        <v>0</v>
      </c>
      <c r="AT52" s="29" t="n">
        <v>0</v>
      </c>
      <c r="AU52" s="29" t="b">
        <v>0</v>
      </c>
    </row>
    <row r="53" customFormat="1" s="11">
      <c r="A53" s="68" t="n">
        <v>21550105</v>
      </c>
      <c r="B53" s="68" t="inlineStr">
        <is>
          <t>슬라임-화</t>
        </is>
      </c>
      <c r="C53" s="68" t="n">
        <v>215501</v>
      </c>
      <c r="D53" s="68" t="n">
        <v>0</v>
      </c>
      <c r="E53" s="68" t="inlineStr">
        <is>
          <t>character_name_21550105</t>
        </is>
      </c>
      <c r="F53" s="68" t="n"/>
      <c r="G53" s="68" t="inlineStr">
        <is>
          <t>Normal</t>
        </is>
      </c>
      <c r="H53" s="68" t="inlineStr">
        <is>
          <t>Normal</t>
        </is>
      </c>
      <c r="I53" s="68" t="n">
        <v>5</v>
      </c>
      <c r="J53" s="24" t="inlineStr">
        <is>
          <t>1,1,1</t>
        </is>
      </c>
      <c r="K53" s="68" t="b">
        <v>1</v>
      </c>
      <c r="L53" s="24" t="inlineStr">
        <is>
          <t>0,0,0</t>
        </is>
      </c>
      <c r="M53" s="68" t="n">
        <v>2</v>
      </c>
      <c r="N53" s="68" t="inlineStr">
        <is>
          <t>Fire</t>
        </is>
      </c>
      <c r="O53" s="68" t="inlineStr">
        <is>
          <t>Defender</t>
        </is>
      </c>
      <c r="P53" s="68" t="n">
        <v>200</v>
      </c>
      <c r="Q53" s="68">
        <f t="array" ref="Q53">_xlfn.IFS($O53="Attacker",6,$O53="Healer",3,$O53="Magician",4,$O53="Defender",3,$O53="Supporter",4)</f>
        <v/>
      </c>
      <c r="R53" s="68">
        <f t="array" ref="R53">_xlfn.IFS($O53="Attacker",6,$O53="Healer",3,$O53="Magician",4,$O53="Defender",3,$O53="Supporter",4)</f>
        <v/>
      </c>
      <c r="S53" s="68" t="n">
        <v>1</v>
      </c>
      <c r="T53" s="68" t="n">
        <v>0</v>
      </c>
      <c r="U53" s="68" t="n">
        <v>0</v>
      </c>
      <c r="V53" s="68" t="inlineStr">
        <is>
          <t>Spd</t>
        </is>
      </c>
      <c r="W53" s="68">
        <f t="array" ref="W53">_xlfn.IFS(O53="Attacker",80,O53="Healer",90,O53="Magician",100,O53="Defender",110,O53="Supporter",120)</f>
        <v/>
      </c>
      <c r="X53" s="68" t="inlineStr">
        <is>
          <t>Hp</t>
        </is>
      </c>
      <c r="Y53" s="68" t="n">
        <v>225000</v>
      </c>
      <c r="Z53" s="68" t="inlineStr">
        <is>
          <t>Atk</t>
        </is>
      </c>
      <c r="AA53" s="68" t="n">
        <v>1012</v>
      </c>
      <c r="AB53" s="68" t="inlineStr">
        <is>
          <t>Def</t>
        </is>
      </c>
      <c r="AC53" s="68" t="n">
        <v>0</v>
      </c>
      <c r="AD53" s="68" t="inlineStr">
        <is>
          <t>Penetration</t>
        </is>
      </c>
      <c r="AE53" s="68" t="n">
        <v>0</v>
      </c>
      <c r="AF53" s="68" t="inlineStr">
        <is>
          <t>Hit</t>
        </is>
      </c>
      <c r="AG53" s="68" t="n">
        <v>100</v>
      </c>
      <c r="AH53" s="68" t="inlineStr">
        <is>
          <t>Dodge</t>
        </is>
      </c>
      <c r="AI53" s="68" t="n">
        <v>80</v>
      </c>
      <c r="AJ53" s="68" t="inlineStr">
        <is>
          <t>CriRatio</t>
        </is>
      </c>
      <c r="AK53" s="68" t="n">
        <v>0</v>
      </c>
      <c r="AL53" s="68" t="inlineStr">
        <is>
          <t>CriDmgRatio</t>
        </is>
      </c>
      <c r="AM53" s="68" t="n">
        <v>150000</v>
      </c>
      <c r="AN53" s="68" t="n">
        <v>1812011</v>
      </c>
      <c r="AO53" s="68" t="b">
        <v>1</v>
      </c>
      <c r="AP53" s="68" t="n">
        <v>2812011</v>
      </c>
      <c r="AQ53" s="68" t="b">
        <v>1</v>
      </c>
      <c r="AR53" s="68" t="n">
        <v>0</v>
      </c>
      <c r="AS53" s="68" t="b">
        <v>0</v>
      </c>
      <c r="AT53" s="68" t="n">
        <v>0</v>
      </c>
      <c r="AU53" s="68" t="b">
        <v>0</v>
      </c>
    </row>
    <row r="54">
      <c r="A54" s="68" t="n">
        <v>21550205</v>
      </c>
      <c r="B54" s="68" t="inlineStr">
        <is>
          <t>슬라임-수</t>
        </is>
      </c>
      <c r="C54" s="68" t="n">
        <v>215502</v>
      </c>
      <c r="D54" s="68" t="n">
        <v>0</v>
      </c>
      <c r="E54" s="68" t="inlineStr">
        <is>
          <t>character_name_21550205</t>
        </is>
      </c>
      <c r="G54" s="68" t="inlineStr">
        <is>
          <t>Normal</t>
        </is>
      </c>
      <c r="H54" s="68" t="inlineStr">
        <is>
          <t>Normal</t>
        </is>
      </c>
      <c r="I54" s="68" t="n">
        <v>5</v>
      </c>
      <c r="J54" s="24" t="inlineStr">
        <is>
          <t>1,1,1</t>
        </is>
      </c>
      <c r="K54" s="68" t="b">
        <v>1</v>
      </c>
      <c r="L54" s="24" t="inlineStr">
        <is>
          <t>0,0,0</t>
        </is>
      </c>
      <c r="M54" s="68" t="n">
        <v>2</v>
      </c>
      <c r="N54" s="68" t="inlineStr">
        <is>
          <t>Water</t>
        </is>
      </c>
      <c r="O54" s="68" t="inlineStr">
        <is>
          <t>Defender</t>
        </is>
      </c>
      <c r="P54" s="68" t="n">
        <v>200</v>
      </c>
      <c r="Q54" s="68">
        <f t="array" ref="Q54">_xlfn.IFS($O54="Attacker",6,$O54="Healer",3,$O54="Magician",4,$O54="Defender",3,$O54="Supporter",4)</f>
        <v/>
      </c>
      <c r="R54" s="68">
        <f t="array" ref="R54">_xlfn.IFS($O54="Attacker",6,$O54="Healer",3,$O54="Magician",4,$O54="Defender",3,$O54="Supporter",4)</f>
        <v/>
      </c>
      <c r="S54" s="68" t="n">
        <v>1</v>
      </c>
      <c r="T54" s="68" t="n">
        <v>0</v>
      </c>
      <c r="U54" s="68" t="n">
        <v>0</v>
      </c>
      <c r="V54" s="68" t="inlineStr">
        <is>
          <t>Spd</t>
        </is>
      </c>
      <c r="W54" s="68">
        <f t="array" ref="W54">_xlfn.IFS(O54="Attacker",80,O54="Healer",90,O54="Magician",100,O54="Defender",110,O54="Supporter",120)</f>
        <v/>
      </c>
      <c r="X54" s="68" t="inlineStr">
        <is>
          <t>Hp</t>
        </is>
      </c>
      <c r="Y54" s="68" t="n">
        <v>225000</v>
      </c>
      <c r="Z54" s="68" t="inlineStr">
        <is>
          <t>Atk</t>
        </is>
      </c>
      <c r="AA54" s="68" t="n">
        <v>1012</v>
      </c>
      <c r="AB54" s="68" t="inlineStr">
        <is>
          <t>Def</t>
        </is>
      </c>
      <c r="AC54" s="68" t="n">
        <v>0</v>
      </c>
      <c r="AD54" s="68" t="inlineStr">
        <is>
          <t>Penetration</t>
        </is>
      </c>
      <c r="AE54" s="68" t="n">
        <v>0</v>
      </c>
      <c r="AF54" s="68" t="inlineStr">
        <is>
          <t>Hit</t>
        </is>
      </c>
      <c r="AG54" s="68" t="n">
        <v>120</v>
      </c>
      <c r="AH54" s="68" t="inlineStr">
        <is>
          <t>Dodge</t>
        </is>
      </c>
      <c r="AI54" s="68" t="n">
        <v>80</v>
      </c>
      <c r="AJ54" s="68" t="inlineStr">
        <is>
          <t>CriRatio</t>
        </is>
      </c>
      <c r="AK54" s="68" t="n">
        <v>0</v>
      </c>
      <c r="AL54" s="68" t="inlineStr">
        <is>
          <t>CriDmgRatio</t>
        </is>
      </c>
      <c r="AM54" s="68" t="n">
        <v>150000</v>
      </c>
      <c r="AN54" s="68" t="n">
        <v>1832011</v>
      </c>
      <c r="AO54" s="68" t="b">
        <v>1</v>
      </c>
      <c r="AP54" s="68" t="n">
        <v>2832011</v>
      </c>
      <c r="AQ54" s="68" t="b">
        <v>1</v>
      </c>
      <c r="AR54" s="68" t="n">
        <v>0</v>
      </c>
      <c r="AS54" s="68" t="b">
        <v>0</v>
      </c>
      <c r="AT54" s="68" t="n">
        <v>0</v>
      </c>
      <c r="AU54" s="68" t="b">
        <v>0</v>
      </c>
    </row>
    <row r="55">
      <c r="A55" s="68" t="n">
        <v>21550305</v>
      </c>
      <c r="B55" s="68" t="inlineStr">
        <is>
          <t>슬라임-목</t>
        </is>
      </c>
      <c r="C55" s="68" t="n">
        <v>215503</v>
      </c>
      <c r="D55" s="68" t="n">
        <v>0</v>
      </c>
      <c r="E55" s="68" t="inlineStr">
        <is>
          <t>character_name_21550305</t>
        </is>
      </c>
      <c r="G55" s="68" t="inlineStr">
        <is>
          <t>Normal</t>
        </is>
      </c>
      <c r="H55" s="68" t="inlineStr">
        <is>
          <t>Normal</t>
        </is>
      </c>
      <c r="I55" s="68" t="n">
        <v>5</v>
      </c>
      <c r="J55" s="24" t="inlineStr">
        <is>
          <t>1,1,1</t>
        </is>
      </c>
      <c r="K55" s="68" t="b">
        <v>1</v>
      </c>
      <c r="L55" s="24" t="inlineStr">
        <is>
          <t>0,0,0</t>
        </is>
      </c>
      <c r="M55" s="68" t="n">
        <v>2</v>
      </c>
      <c r="N55" s="68" t="inlineStr">
        <is>
          <t>Forest</t>
        </is>
      </c>
      <c r="O55" s="68" t="inlineStr">
        <is>
          <t>Defender</t>
        </is>
      </c>
      <c r="P55" s="68" t="n">
        <v>200</v>
      </c>
      <c r="Q55" s="68">
        <f t="array" ref="Q55">_xlfn.IFS($O55="Attacker",6,$O55="Healer",3,$O55="Magician",4,$O55="Defender",3,$O55="Supporter",4)</f>
        <v/>
      </c>
      <c r="R55" s="68">
        <f t="array" ref="R55">_xlfn.IFS($O55="Attacker",6,$O55="Healer",3,$O55="Magician",4,$O55="Defender",3,$O55="Supporter",4)</f>
        <v/>
      </c>
      <c r="S55" s="68" t="n">
        <v>1</v>
      </c>
      <c r="T55" s="68" t="n">
        <v>0</v>
      </c>
      <c r="U55" s="68" t="n">
        <v>0</v>
      </c>
      <c r="V55" s="68" t="inlineStr">
        <is>
          <t>Spd</t>
        </is>
      </c>
      <c r="W55" s="68">
        <f t="array" ref="W55">_xlfn.IFS(O55="Attacker",80,O55="Healer",90,O55="Magician",100,O55="Defender",110,O55="Supporter",120)</f>
        <v/>
      </c>
      <c r="X55" s="68" t="inlineStr">
        <is>
          <t>Hp</t>
        </is>
      </c>
      <c r="Y55" s="68" t="n">
        <v>247500</v>
      </c>
      <c r="Z55" s="68" t="inlineStr">
        <is>
          <t>Atk</t>
        </is>
      </c>
      <c r="AA55" s="68" t="n">
        <v>1012</v>
      </c>
      <c r="AB55" s="68" t="inlineStr">
        <is>
          <t>Def</t>
        </is>
      </c>
      <c r="AC55" s="68" t="n">
        <v>0</v>
      </c>
      <c r="AD55" s="68" t="inlineStr">
        <is>
          <t>Penetration</t>
        </is>
      </c>
      <c r="AE55" s="68" t="n">
        <v>0</v>
      </c>
      <c r="AF55" s="68" t="inlineStr">
        <is>
          <t>Hit</t>
        </is>
      </c>
      <c r="AG55" s="68" t="n">
        <v>100</v>
      </c>
      <c r="AH55" s="68" t="inlineStr">
        <is>
          <t>Dodge</t>
        </is>
      </c>
      <c r="AI55" s="68" t="n">
        <v>80</v>
      </c>
      <c r="AJ55" s="68" t="inlineStr">
        <is>
          <t>CriRatio</t>
        </is>
      </c>
      <c r="AK55" s="68" t="n">
        <v>0</v>
      </c>
      <c r="AL55" s="68" t="inlineStr">
        <is>
          <t>CriDmgRatio</t>
        </is>
      </c>
      <c r="AM55" s="68" t="n">
        <v>150000</v>
      </c>
      <c r="AN55" s="68" t="n">
        <v>1822011</v>
      </c>
      <c r="AO55" s="68" t="b">
        <v>1</v>
      </c>
      <c r="AP55" s="68" t="n">
        <v>2822011</v>
      </c>
      <c r="AQ55" s="68" t="b">
        <v>1</v>
      </c>
      <c r="AR55" s="68" t="n">
        <v>0</v>
      </c>
      <c r="AS55" s="68" t="b">
        <v>0</v>
      </c>
      <c r="AT55" s="68" t="n">
        <v>0</v>
      </c>
      <c r="AU55" s="68" t="b">
        <v>0</v>
      </c>
    </row>
    <row r="56">
      <c r="A56" s="68" t="n">
        <v>21550405</v>
      </c>
      <c r="B56" s="68" t="inlineStr">
        <is>
          <t>슬라임-광</t>
        </is>
      </c>
      <c r="C56" s="68" t="n">
        <v>215504</v>
      </c>
      <c r="D56" s="68" t="n">
        <v>0</v>
      </c>
      <c r="E56" s="68" t="inlineStr">
        <is>
          <t>character_name_21550405</t>
        </is>
      </c>
      <c r="G56" s="68" t="inlineStr">
        <is>
          <t>Normal</t>
        </is>
      </c>
      <c r="H56" s="68" t="inlineStr">
        <is>
          <t>Normal</t>
        </is>
      </c>
      <c r="I56" s="68" t="n">
        <v>5</v>
      </c>
      <c r="J56" s="24" t="inlineStr">
        <is>
          <t>1,1,1</t>
        </is>
      </c>
      <c r="K56" s="68" t="b">
        <v>1</v>
      </c>
      <c r="L56" s="24" t="inlineStr">
        <is>
          <t>0,0,0</t>
        </is>
      </c>
      <c r="M56" s="68" t="n">
        <v>2</v>
      </c>
      <c r="N56" s="68" t="inlineStr">
        <is>
          <t>Light</t>
        </is>
      </c>
      <c r="O56" s="68" t="inlineStr">
        <is>
          <t>Defender</t>
        </is>
      </c>
      <c r="P56" s="68" t="n">
        <v>200</v>
      </c>
      <c r="Q56" s="68">
        <f t="array" ref="Q56">_xlfn.IFS($O56="Attacker",6,$O56="Healer",3,$O56="Magician",4,$O56="Defender",3,$O56="Supporter",4)</f>
        <v/>
      </c>
      <c r="R56" s="68">
        <f t="array" ref="R56">_xlfn.IFS($O56="Attacker",6,$O56="Healer",3,$O56="Magician",4,$O56="Defender",3,$O56="Supporter",4)</f>
        <v/>
      </c>
      <c r="S56" s="68" t="n">
        <v>1</v>
      </c>
      <c r="T56" s="68" t="n">
        <v>0</v>
      </c>
      <c r="U56" s="68" t="n">
        <v>0</v>
      </c>
      <c r="V56" s="68" t="inlineStr">
        <is>
          <t>Spd</t>
        </is>
      </c>
      <c r="W56" s="68">
        <f t="array" ref="W56">_xlfn.IFS(O56="Attacker",80,O56="Healer",90,O56="Magician",100,O56="Defender",110,O56="Supporter",120)</f>
        <v/>
      </c>
      <c r="X56" s="68" t="inlineStr">
        <is>
          <t>Hp</t>
        </is>
      </c>
      <c r="Y56" s="68" t="n">
        <v>225000</v>
      </c>
      <c r="Z56" s="68" t="inlineStr">
        <is>
          <t>Atk</t>
        </is>
      </c>
      <c r="AA56" s="68" t="n">
        <v>1012</v>
      </c>
      <c r="AB56" s="68" t="inlineStr">
        <is>
          <t>Def</t>
        </is>
      </c>
      <c r="AC56" s="68" t="n">
        <v>0</v>
      </c>
      <c r="AD56" s="68" t="inlineStr">
        <is>
          <t>Penetration</t>
        </is>
      </c>
      <c r="AE56" s="68" t="n">
        <v>0</v>
      </c>
      <c r="AF56" s="68" t="inlineStr">
        <is>
          <t>Hit</t>
        </is>
      </c>
      <c r="AG56" s="68" t="n">
        <v>100</v>
      </c>
      <c r="AH56" s="68" t="inlineStr">
        <is>
          <t>Dodge</t>
        </is>
      </c>
      <c r="AI56" s="68" t="n">
        <v>104</v>
      </c>
      <c r="AJ56" s="68" t="inlineStr">
        <is>
          <t>CriRatio</t>
        </is>
      </c>
      <c r="AK56" s="68" t="n">
        <v>0</v>
      </c>
      <c r="AL56" s="68" t="inlineStr">
        <is>
          <t>CriDmgRatio</t>
        </is>
      </c>
      <c r="AM56" s="68" t="n">
        <v>150000</v>
      </c>
      <c r="AN56" s="68" t="n">
        <v>1852011</v>
      </c>
      <c r="AO56" s="68" t="b">
        <v>1</v>
      </c>
      <c r="AP56" s="68" t="n">
        <v>2852011</v>
      </c>
      <c r="AQ56" s="68" t="b">
        <v>1</v>
      </c>
      <c r="AR56" s="68" t="n">
        <v>0</v>
      </c>
      <c r="AS56" s="68" t="b">
        <v>0</v>
      </c>
      <c r="AT56" s="68" t="n">
        <v>0</v>
      </c>
      <c r="AU56" s="68" t="b">
        <v>0</v>
      </c>
    </row>
    <row r="57">
      <c r="A57" s="29" t="n">
        <v>21550505</v>
      </c>
      <c r="B57" s="29" t="inlineStr">
        <is>
          <t>슬라임-암</t>
        </is>
      </c>
      <c r="C57" s="29" t="n">
        <v>215505</v>
      </c>
      <c r="D57" s="29" t="n">
        <v>0</v>
      </c>
      <c r="E57" s="29" t="inlineStr">
        <is>
          <t>character_name_21550505</t>
        </is>
      </c>
      <c r="F57" s="29" t="n"/>
      <c r="G57" s="29" t="inlineStr">
        <is>
          <t>Normal</t>
        </is>
      </c>
      <c r="H57" s="29" t="inlineStr">
        <is>
          <t>Normal</t>
        </is>
      </c>
      <c r="I57" s="29" t="n">
        <v>5</v>
      </c>
      <c r="J57" s="27" t="inlineStr">
        <is>
          <t>1,1,1</t>
        </is>
      </c>
      <c r="K57" s="68" t="b">
        <v>1</v>
      </c>
      <c r="L57" s="27" t="inlineStr">
        <is>
          <t>0,0,0</t>
        </is>
      </c>
      <c r="M57" s="29" t="n">
        <v>2</v>
      </c>
      <c r="N57" s="29" t="inlineStr">
        <is>
          <t>Dark</t>
        </is>
      </c>
      <c r="O57" s="29" t="inlineStr">
        <is>
          <t>Defender</t>
        </is>
      </c>
      <c r="P57" s="29" t="n">
        <v>200</v>
      </c>
      <c r="Q57" s="29">
        <f t="array" ref="Q57">_xlfn.IFS($O57="Attacker",6,$O57="Healer",3,$O57="Magician",4,$O57="Defender",3,$O57="Supporter",4)</f>
        <v/>
      </c>
      <c r="R57" s="29">
        <f t="array" ref="R57">_xlfn.IFS($O57="Attacker",6,$O57="Healer",3,$O57="Magician",4,$O57="Defender",3,$O57="Supporter",4)</f>
        <v/>
      </c>
      <c r="S57" s="29" t="n">
        <v>1</v>
      </c>
      <c r="T57" s="29" t="n">
        <v>0</v>
      </c>
      <c r="U57" s="29" t="n">
        <v>0</v>
      </c>
      <c r="V57" s="29" t="inlineStr">
        <is>
          <t>Spd</t>
        </is>
      </c>
      <c r="W57" s="29">
        <f t="array" ref="W57">_xlfn.IFS(O57="Attacker",80,O57="Healer",90,O57="Magician",100,O57="Defender",110,O57="Supporter",120)</f>
        <v/>
      </c>
      <c r="X57" s="29" t="inlineStr">
        <is>
          <t>Hp</t>
        </is>
      </c>
      <c r="Y57" s="68" t="n">
        <v>225000</v>
      </c>
      <c r="Z57" s="29" t="inlineStr">
        <is>
          <t>Atk</t>
        </is>
      </c>
      <c r="AA57" s="68" t="n">
        <v>1012</v>
      </c>
      <c r="AB57" s="29" t="inlineStr">
        <is>
          <t>Def</t>
        </is>
      </c>
      <c r="AC57" s="68" t="n">
        <v>0</v>
      </c>
      <c r="AD57" s="29" t="inlineStr">
        <is>
          <t>Penetration</t>
        </is>
      </c>
      <c r="AE57" s="29" t="n">
        <v>0</v>
      </c>
      <c r="AF57" s="29" t="inlineStr">
        <is>
          <t>Hit</t>
        </is>
      </c>
      <c r="AG57" s="29" t="n">
        <v>100</v>
      </c>
      <c r="AH57" s="29" t="inlineStr">
        <is>
          <t>Dodge</t>
        </is>
      </c>
      <c r="AI57" s="29" t="n">
        <v>80</v>
      </c>
      <c r="AJ57" s="29" t="inlineStr">
        <is>
          <t>CriRatio</t>
        </is>
      </c>
      <c r="AK57" s="29" t="n">
        <v>0</v>
      </c>
      <c r="AL57" s="29" t="inlineStr">
        <is>
          <t>CriDmgRatio</t>
        </is>
      </c>
      <c r="AM57" s="29" t="n">
        <v>150000</v>
      </c>
      <c r="AN57" s="29" t="n">
        <v>1852011</v>
      </c>
      <c r="AO57" s="29" t="b">
        <v>1</v>
      </c>
      <c r="AP57" s="29" t="n">
        <v>2852011</v>
      </c>
      <c r="AQ57" s="29" t="b">
        <v>1</v>
      </c>
      <c r="AR57" s="29" t="n">
        <v>0</v>
      </c>
      <c r="AS57" s="29" t="b">
        <v>0</v>
      </c>
      <c r="AT57" s="29" t="n">
        <v>0</v>
      </c>
      <c r="AU57" s="29" t="b">
        <v>0</v>
      </c>
    </row>
    <row r="58" customFormat="1" s="11">
      <c r="A58" s="68" t="n">
        <v>22580101</v>
      </c>
      <c r="B58" s="68" t="inlineStr">
        <is>
          <t>픽시-화</t>
        </is>
      </c>
      <c r="C58" s="68" t="n">
        <v>225801</v>
      </c>
      <c r="D58" s="68" t="n">
        <v>0</v>
      </c>
      <c r="E58" s="68" t="inlineStr">
        <is>
          <t>character_name_22580101</t>
        </is>
      </c>
      <c r="F58" s="68" t="n"/>
      <c r="G58" s="68" t="inlineStr">
        <is>
          <t>Normal</t>
        </is>
      </c>
      <c r="H58" s="68" t="inlineStr">
        <is>
          <t>Normal</t>
        </is>
      </c>
      <c r="I58" s="68" t="n">
        <v>1</v>
      </c>
      <c r="J58" s="24" t="inlineStr">
        <is>
          <t>1,1,1</t>
        </is>
      </c>
      <c r="K58" s="68" t="b">
        <v>1</v>
      </c>
      <c r="L58" s="24" t="inlineStr">
        <is>
          <t>0,0,0</t>
        </is>
      </c>
      <c r="M58" s="68" t="n">
        <v>2</v>
      </c>
      <c r="N58" s="68" t="inlineStr">
        <is>
          <t>Fire</t>
        </is>
      </c>
      <c r="O58" s="68" t="inlineStr">
        <is>
          <t>Attacker</t>
        </is>
      </c>
      <c r="P58" s="68" t="n">
        <v>200</v>
      </c>
      <c r="Q58" s="68">
        <f t="array" ref="Q58">_xlfn.IFS($O58="Attacker",6,$O58="Healer",3,$O58="Magician",4,$O58="Defender",3,$O58="Supporter",4)</f>
        <v/>
      </c>
      <c r="R58" s="68">
        <f t="array" ref="R58">_xlfn.IFS($O58="Attacker",6,$O58="Healer",3,$O58="Magician",4,$O58="Defender",3,$O58="Supporter",4)</f>
        <v/>
      </c>
      <c r="S58" s="68" t="n">
        <v>1</v>
      </c>
      <c r="T58" s="68" t="n">
        <v>0</v>
      </c>
      <c r="U58" s="68" t="n">
        <v>0</v>
      </c>
      <c r="V58" s="68" t="inlineStr">
        <is>
          <t>Spd</t>
        </is>
      </c>
      <c r="W58" s="68">
        <f t="array" ref="W58">_xlfn.IFS(O58="Attacker",80,O58="Healer",90,O58="Magician",100,O58="Defender",110,O58="Supporter",120)</f>
        <v/>
      </c>
      <c r="X58" s="68" t="inlineStr">
        <is>
          <t>Hp</t>
        </is>
      </c>
      <c r="Y58" s="68" t="n">
        <v>600</v>
      </c>
      <c r="Z58" s="68" t="inlineStr">
        <is>
          <t>Atk</t>
        </is>
      </c>
      <c r="AA58" s="68" t="n">
        <v>300</v>
      </c>
      <c r="AB58" s="68" t="inlineStr">
        <is>
          <t>Def</t>
        </is>
      </c>
      <c r="AC58" s="68" t="n">
        <v>0</v>
      </c>
      <c r="AD58" s="68" t="inlineStr">
        <is>
          <t>Penetration</t>
        </is>
      </c>
      <c r="AE58" s="68" t="n">
        <v>0</v>
      </c>
      <c r="AF58" s="68" t="inlineStr">
        <is>
          <t>Hit</t>
        </is>
      </c>
      <c r="AG58" s="68" t="n">
        <v>100</v>
      </c>
      <c r="AH58" s="68" t="inlineStr">
        <is>
          <t>Dodge</t>
        </is>
      </c>
      <c r="AI58" s="68" t="n">
        <v>100</v>
      </c>
      <c r="AJ58" s="68" t="inlineStr">
        <is>
          <t>CriRatio</t>
        </is>
      </c>
      <c r="AK58" s="68" t="n">
        <v>5000</v>
      </c>
      <c r="AL58" s="68" t="inlineStr">
        <is>
          <t>CriDmgRatio</t>
        </is>
      </c>
      <c r="AM58" s="68" t="n">
        <v>150000</v>
      </c>
      <c r="AN58" s="68" t="n">
        <v>1811031</v>
      </c>
      <c r="AO58" s="68" t="b">
        <v>1</v>
      </c>
      <c r="AP58" s="68" t="n">
        <v>2811031</v>
      </c>
      <c r="AQ58" s="68" t="b">
        <v>1</v>
      </c>
      <c r="AR58" s="68" t="n">
        <v>0</v>
      </c>
      <c r="AS58" s="68" t="b">
        <v>0</v>
      </c>
      <c r="AT58" s="68" t="n">
        <v>0</v>
      </c>
      <c r="AU58" s="68" t="b">
        <v>0</v>
      </c>
    </row>
    <row r="59">
      <c r="A59" s="68" t="n">
        <v>22580201</v>
      </c>
      <c r="B59" s="68" t="inlineStr">
        <is>
          <t>픽시-수</t>
        </is>
      </c>
      <c r="C59" s="68" t="n">
        <v>225802</v>
      </c>
      <c r="D59" s="68" t="n">
        <v>0</v>
      </c>
      <c r="E59" s="68" t="inlineStr">
        <is>
          <t>character_name_22580201</t>
        </is>
      </c>
      <c r="G59" s="68" t="inlineStr">
        <is>
          <t>Normal</t>
        </is>
      </c>
      <c r="H59" s="68" t="inlineStr">
        <is>
          <t>Normal</t>
        </is>
      </c>
      <c r="I59" s="68" t="n">
        <v>1</v>
      </c>
      <c r="J59" s="24" t="inlineStr">
        <is>
          <t>1,1,1</t>
        </is>
      </c>
      <c r="K59" s="68" t="b">
        <v>1</v>
      </c>
      <c r="L59" s="24" t="inlineStr">
        <is>
          <t>0,0,0</t>
        </is>
      </c>
      <c r="M59" s="68" t="n">
        <v>2</v>
      </c>
      <c r="N59" s="68" t="inlineStr">
        <is>
          <t>Water</t>
        </is>
      </c>
      <c r="O59" s="68" t="inlineStr">
        <is>
          <t>Attacker</t>
        </is>
      </c>
      <c r="P59" s="68" t="n">
        <v>200</v>
      </c>
      <c r="Q59" s="68">
        <f t="array" ref="Q59">_xlfn.IFS($O59="Attacker",6,$O59="Healer",3,$O59="Magician",4,$O59="Defender",3,$O59="Supporter",4)</f>
        <v/>
      </c>
      <c r="R59" s="68">
        <f t="array" ref="R59">_xlfn.IFS($O59="Attacker",6,$O59="Healer",3,$O59="Magician",4,$O59="Defender",3,$O59="Supporter",4)</f>
        <v/>
      </c>
      <c r="S59" s="68" t="n">
        <v>1</v>
      </c>
      <c r="T59" s="68" t="n">
        <v>0</v>
      </c>
      <c r="U59" s="68" t="n">
        <v>0</v>
      </c>
      <c r="V59" s="68" t="inlineStr">
        <is>
          <t>Spd</t>
        </is>
      </c>
      <c r="W59" s="68">
        <f t="array" ref="W59">_xlfn.IFS(O59="Attacker",80,O59="Healer",90,O59="Magician",100,O59="Defender",110,O59="Supporter",120)</f>
        <v/>
      </c>
      <c r="X59" s="68" t="inlineStr">
        <is>
          <t>Hp</t>
        </is>
      </c>
      <c r="Y59" s="68" t="n">
        <v>600</v>
      </c>
      <c r="Z59" s="68" t="inlineStr">
        <is>
          <t>Atk</t>
        </is>
      </c>
      <c r="AA59" s="68" t="n">
        <v>300</v>
      </c>
      <c r="AB59" s="68" t="inlineStr">
        <is>
          <t>Def</t>
        </is>
      </c>
      <c r="AC59" s="68" t="n">
        <v>0</v>
      </c>
      <c r="AD59" s="68" t="inlineStr">
        <is>
          <t>Penetration</t>
        </is>
      </c>
      <c r="AE59" s="68" t="n">
        <v>0</v>
      </c>
      <c r="AF59" s="68" t="inlineStr">
        <is>
          <t>Hit</t>
        </is>
      </c>
      <c r="AG59" s="68" t="n">
        <v>100</v>
      </c>
      <c r="AH59" s="68" t="inlineStr">
        <is>
          <t>Dodge</t>
        </is>
      </c>
      <c r="AI59" s="68" t="n">
        <v>100</v>
      </c>
      <c r="AJ59" s="68" t="inlineStr">
        <is>
          <t>CriRatio</t>
        </is>
      </c>
      <c r="AK59" s="68" t="n">
        <v>5000</v>
      </c>
      <c r="AL59" s="68" t="inlineStr">
        <is>
          <t>CriDmgRatio</t>
        </is>
      </c>
      <c r="AM59" s="68" t="n">
        <v>150000</v>
      </c>
      <c r="AN59" s="68" t="n">
        <v>1821031</v>
      </c>
      <c r="AO59" s="68" t="b">
        <v>1</v>
      </c>
      <c r="AP59" s="68" t="n">
        <v>2821031</v>
      </c>
      <c r="AQ59" s="68" t="b">
        <v>1</v>
      </c>
      <c r="AR59" s="68" t="n">
        <v>0</v>
      </c>
      <c r="AS59" s="68" t="b">
        <v>0</v>
      </c>
      <c r="AT59" s="68" t="n">
        <v>0</v>
      </c>
      <c r="AU59" s="68" t="b">
        <v>0</v>
      </c>
    </row>
    <row r="60">
      <c r="A60" s="68" t="n">
        <v>22580301</v>
      </c>
      <c r="B60" s="68" t="inlineStr">
        <is>
          <t>픽시-목</t>
        </is>
      </c>
      <c r="C60" s="68" t="n">
        <v>225803</v>
      </c>
      <c r="D60" s="68" t="n">
        <v>0</v>
      </c>
      <c r="E60" s="68" t="inlineStr">
        <is>
          <t>character_name_22580301</t>
        </is>
      </c>
      <c r="G60" s="68" t="inlineStr">
        <is>
          <t>Normal</t>
        </is>
      </c>
      <c r="H60" s="68" t="inlineStr">
        <is>
          <t>Normal</t>
        </is>
      </c>
      <c r="I60" s="68" t="n">
        <v>1</v>
      </c>
      <c r="J60" s="24" t="inlineStr">
        <is>
          <t>1,1,1</t>
        </is>
      </c>
      <c r="K60" s="68" t="b">
        <v>1</v>
      </c>
      <c r="L60" s="24" t="inlineStr">
        <is>
          <t>0,0,0</t>
        </is>
      </c>
      <c r="M60" s="68" t="n">
        <v>2</v>
      </c>
      <c r="N60" s="68" t="inlineStr">
        <is>
          <t>Forest</t>
        </is>
      </c>
      <c r="O60" s="68" t="inlineStr">
        <is>
          <t>Attacker</t>
        </is>
      </c>
      <c r="P60" s="68" t="n">
        <v>200</v>
      </c>
      <c r="Q60" s="68">
        <f t="array" ref="Q60">_xlfn.IFS($O60="Attacker",6,$O60="Healer",3,$O60="Magician",4,$O60="Defender",3,$O60="Supporter",4)</f>
        <v/>
      </c>
      <c r="R60" s="68">
        <f t="array" ref="R60">_xlfn.IFS($O60="Attacker",6,$O60="Healer",3,$O60="Magician",4,$O60="Defender",3,$O60="Supporter",4)</f>
        <v/>
      </c>
      <c r="S60" s="68" t="n">
        <v>1</v>
      </c>
      <c r="T60" s="68" t="n">
        <v>0</v>
      </c>
      <c r="U60" s="68" t="n">
        <v>0</v>
      </c>
      <c r="V60" s="68" t="inlineStr">
        <is>
          <t>Spd</t>
        </is>
      </c>
      <c r="W60" s="68">
        <f t="array" ref="W60">_xlfn.IFS(O60="Attacker",80,O60="Healer",90,O60="Magician",100,O60="Defender",110,O60="Supporter",120)</f>
        <v/>
      </c>
      <c r="X60" s="68" t="inlineStr">
        <is>
          <t>Hp</t>
        </is>
      </c>
      <c r="Y60" s="68" t="n">
        <v>600</v>
      </c>
      <c r="Z60" s="68" t="inlineStr">
        <is>
          <t>Atk</t>
        </is>
      </c>
      <c r="AA60" s="68" t="n">
        <v>300</v>
      </c>
      <c r="AB60" s="68" t="inlineStr">
        <is>
          <t>Def</t>
        </is>
      </c>
      <c r="AC60" s="68" t="n">
        <v>0</v>
      </c>
      <c r="AD60" s="68" t="inlineStr">
        <is>
          <t>Penetration</t>
        </is>
      </c>
      <c r="AE60" s="68" t="n">
        <v>0</v>
      </c>
      <c r="AF60" s="68" t="inlineStr">
        <is>
          <t>Hit</t>
        </is>
      </c>
      <c r="AG60" s="68" t="n">
        <v>100</v>
      </c>
      <c r="AH60" s="68" t="inlineStr">
        <is>
          <t>Dodge</t>
        </is>
      </c>
      <c r="AI60" s="68" t="n">
        <v>100</v>
      </c>
      <c r="AJ60" s="68" t="inlineStr">
        <is>
          <t>CriRatio</t>
        </is>
      </c>
      <c r="AK60" s="68" t="n">
        <v>5000</v>
      </c>
      <c r="AL60" s="68" t="inlineStr">
        <is>
          <t>CriDmgRatio</t>
        </is>
      </c>
      <c r="AM60" s="68" t="n">
        <v>150000</v>
      </c>
      <c r="AN60" s="68" t="n">
        <v>1831031</v>
      </c>
      <c r="AO60" s="68" t="b">
        <v>1</v>
      </c>
      <c r="AP60" s="68" t="n">
        <v>2831031</v>
      </c>
      <c r="AQ60" s="68" t="b">
        <v>1</v>
      </c>
      <c r="AR60" s="68" t="n">
        <v>0</v>
      </c>
      <c r="AS60" s="68" t="b">
        <v>0</v>
      </c>
      <c r="AT60" s="68" t="n">
        <v>0</v>
      </c>
      <c r="AU60" s="68" t="b">
        <v>0</v>
      </c>
    </row>
    <row r="61">
      <c r="A61" s="68" t="n">
        <v>22580401</v>
      </c>
      <c r="B61" s="68" t="inlineStr">
        <is>
          <t>픽시-광</t>
        </is>
      </c>
      <c r="C61" s="68" t="n">
        <v>225804</v>
      </c>
      <c r="D61" s="68" t="n">
        <v>0</v>
      </c>
      <c r="E61" s="68" t="inlineStr">
        <is>
          <t>character_name_22580401</t>
        </is>
      </c>
      <c r="G61" s="68" t="inlineStr">
        <is>
          <t>Normal</t>
        </is>
      </c>
      <c r="H61" s="68" t="inlineStr">
        <is>
          <t>Normal</t>
        </is>
      </c>
      <c r="I61" s="68" t="n">
        <v>1</v>
      </c>
      <c r="J61" s="24" t="inlineStr">
        <is>
          <t>1,1,1</t>
        </is>
      </c>
      <c r="K61" s="68" t="b">
        <v>1</v>
      </c>
      <c r="L61" s="24" t="inlineStr">
        <is>
          <t>0,0,0</t>
        </is>
      </c>
      <c r="M61" s="68" t="n">
        <v>2</v>
      </c>
      <c r="N61" s="68" t="inlineStr">
        <is>
          <t>Light</t>
        </is>
      </c>
      <c r="O61" s="68" t="inlineStr">
        <is>
          <t>Attacker</t>
        </is>
      </c>
      <c r="P61" s="68" t="n">
        <v>200</v>
      </c>
      <c r="Q61" s="68">
        <f t="array" ref="Q61">_xlfn.IFS($O61="Attacker",6,$O61="Healer",3,$O61="Magician",4,$O61="Defender",3,$O61="Supporter",4)</f>
        <v/>
      </c>
      <c r="R61" s="68">
        <f t="array" ref="R61">_xlfn.IFS($O61="Attacker",6,$O61="Healer",3,$O61="Magician",4,$O61="Defender",3,$O61="Supporter",4)</f>
        <v/>
      </c>
      <c r="S61" s="68" t="n">
        <v>1</v>
      </c>
      <c r="T61" s="68" t="n">
        <v>0</v>
      </c>
      <c r="U61" s="68" t="n">
        <v>0</v>
      </c>
      <c r="V61" s="68" t="inlineStr">
        <is>
          <t>Spd</t>
        </is>
      </c>
      <c r="W61" s="68">
        <f t="array" ref="W61">_xlfn.IFS(O61="Attacker",80,O61="Healer",90,O61="Magician",100,O61="Defender",110,O61="Supporter",120)</f>
        <v/>
      </c>
      <c r="X61" s="68" t="inlineStr">
        <is>
          <t>Hp</t>
        </is>
      </c>
      <c r="Y61" s="68" t="n">
        <v>600</v>
      </c>
      <c r="Z61" s="68" t="inlineStr">
        <is>
          <t>Atk</t>
        </is>
      </c>
      <c r="AA61" s="68" t="n">
        <v>300</v>
      </c>
      <c r="AB61" s="68" t="inlineStr">
        <is>
          <t>Def</t>
        </is>
      </c>
      <c r="AC61" s="68" t="n">
        <v>0</v>
      </c>
      <c r="AD61" s="68" t="inlineStr">
        <is>
          <t>Penetration</t>
        </is>
      </c>
      <c r="AE61" s="68" t="n">
        <v>0</v>
      </c>
      <c r="AF61" s="68" t="inlineStr">
        <is>
          <t>Hit</t>
        </is>
      </c>
      <c r="AG61" s="68" t="n">
        <v>100</v>
      </c>
      <c r="AH61" s="68" t="inlineStr">
        <is>
          <t>Dodge</t>
        </is>
      </c>
      <c r="AI61" s="68" t="n">
        <v>100</v>
      </c>
      <c r="AJ61" s="68" t="inlineStr">
        <is>
          <t>CriRatio</t>
        </is>
      </c>
      <c r="AK61" s="68" t="n">
        <v>5000</v>
      </c>
      <c r="AL61" s="68" t="inlineStr">
        <is>
          <t>CriDmgRatio</t>
        </is>
      </c>
      <c r="AM61" s="68" t="n">
        <v>150000</v>
      </c>
      <c r="AN61" s="68" t="n">
        <v>1841031</v>
      </c>
      <c r="AO61" s="68" t="b">
        <v>1</v>
      </c>
      <c r="AP61" s="68" t="n">
        <v>2841031</v>
      </c>
      <c r="AQ61" s="68" t="b">
        <v>1</v>
      </c>
      <c r="AR61" s="68" t="n">
        <v>0</v>
      </c>
      <c r="AS61" s="68" t="b">
        <v>0</v>
      </c>
      <c r="AT61" s="68" t="n">
        <v>0</v>
      </c>
      <c r="AU61" s="68" t="b">
        <v>0</v>
      </c>
    </row>
    <row r="62">
      <c r="A62" s="29" t="n">
        <v>22580501</v>
      </c>
      <c r="B62" s="29" t="inlineStr">
        <is>
          <t>픽시-암</t>
        </is>
      </c>
      <c r="C62" s="29" t="n">
        <v>225805</v>
      </c>
      <c r="D62" s="29" t="n">
        <v>0</v>
      </c>
      <c r="E62" s="29" t="inlineStr">
        <is>
          <t>character_name_22580501</t>
        </is>
      </c>
      <c r="F62" s="29" t="n"/>
      <c r="G62" s="29" t="inlineStr">
        <is>
          <t>Normal</t>
        </is>
      </c>
      <c r="H62" s="29" t="inlineStr">
        <is>
          <t>Normal</t>
        </is>
      </c>
      <c r="I62" s="29" t="n">
        <v>1</v>
      </c>
      <c r="J62" s="27" t="inlineStr">
        <is>
          <t>1,1,1</t>
        </is>
      </c>
      <c r="K62" s="68" t="b">
        <v>1</v>
      </c>
      <c r="L62" s="27" t="inlineStr">
        <is>
          <t>0,0,0</t>
        </is>
      </c>
      <c r="M62" s="29" t="n">
        <v>2</v>
      </c>
      <c r="N62" s="29" t="inlineStr">
        <is>
          <t>Dark</t>
        </is>
      </c>
      <c r="O62" s="29" t="inlineStr">
        <is>
          <t>Attacker</t>
        </is>
      </c>
      <c r="P62" s="29" t="n">
        <v>200</v>
      </c>
      <c r="Q62" s="29">
        <f t="array" ref="Q62">_xlfn.IFS($O62="Attacker",6,$O62="Healer",3,$O62="Magician",4,$O62="Defender",3,$O62="Supporter",4)</f>
        <v/>
      </c>
      <c r="R62" s="29">
        <f t="array" ref="R62">_xlfn.IFS($O62="Attacker",6,$O62="Healer",3,$O62="Magician",4,$O62="Defender",3,$O62="Supporter",4)</f>
        <v/>
      </c>
      <c r="S62" s="29" t="n">
        <v>1</v>
      </c>
      <c r="T62" s="29" t="n">
        <v>0</v>
      </c>
      <c r="U62" s="29" t="n">
        <v>0</v>
      </c>
      <c r="V62" s="29" t="inlineStr">
        <is>
          <t>Spd</t>
        </is>
      </c>
      <c r="W62" s="29">
        <f t="array" ref="W62">_xlfn.IFS(O62="Attacker",80,O62="Healer",90,O62="Magician",100,O62="Defender",110,O62="Supporter",120)</f>
        <v/>
      </c>
      <c r="X62" s="29" t="inlineStr">
        <is>
          <t>Hp</t>
        </is>
      </c>
      <c r="Y62" s="29" t="n">
        <v>600</v>
      </c>
      <c r="Z62" s="29" t="inlineStr">
        <is>
          <t>Atk</t>
        </is>
      </c>
      <c r="AA62" s="29" t="n">
        <v>300</v>
      </c>
      <c r="AB62" s="29" t="inlineStr">
        <is>
          <t>Def</t>
        </is>
      </c>
      <c r="AC62" s="29" t="n">
        <v>0</v>
      </c>
      <c r="AD62" s="29" t="inlineStr">
        <is>
          <t>Penetration</t>
        </is>
      </c>
      <c r="AE62" s="29" t="n">
        <v>0</v>
      </c>
      <c r="AF62" s="29" t="inlineStr">
        <is>
          <t>Hit</t>
        </is>
      </c>
      <c r="AG62" s="29" t="n">
        <v>100</v>
      </c>
      <c r="AH62" s="29" t="inlineStr">
        <is>
          <t>Dodge</t>
        </is>
      </c>
      <c r="AI62" s="29" t="n">
        <v>100</v>
      </c>
      <c r="AJ62" s="29" t="inlineStr">
        <is>
          <t>CriRatio</t>
        </is>
      </c>
      <c r="AK62" s="29" t="n">
        <v>5000</v>
      </c>
      <c r="AL62" s="29" t="inlineStr">
        <is>
          <t>CriDmgRatio</t>
        </is>
      </c>
      <c r="AM62" s="29" t="n">
        <v>150000</v>
      </c>
      <c r="AN62" s="29" t="n">
        <v>1851031</v>
      </c>
      <c r="AO62" s="29" t="b">
        <v>1</v>
      </c>
      <c r="AP62" s="29" t="n">
        <v>2851031</v>
      </c>
      <c r="AQ62" s="29" t="b">
        <v>1</v>
      </c>
      <c r="AR62" s="29" t="n">
        <v>0</v>
      </c>
      <c r="AS62" s="29" t="b">
        <v>0</v>
      </c>
      <c r="AT62" s="29" t="n">
        <v>0</v>
      </c>
      <c r="AU62" s="29" t="b">
        <v>0</v>
      </c>
    </row>
    <row r="63" customFormat="1" s="11">
      <c r="A63" s="68" t="n">
        <v>22580102</v>
      </c>
      <c r="B63" s="68" t="inlineStr">
        <is>
          <t>픽시-화</t>
        </is>
      </c>
      <c r="C63" s="68" t="n">
        <v>225801</v>
      </c>
      <c r="D63" s="68" t="n">
        <v>0</v>
      </c>
      <c r="E63" s="68" t="inlineStr">
        <is>
          <t>character_name_22580102</t>
        </is>
      </c>
      <c r="F63" s="68" t="n"/>
      <c r="G63" s="68" t="inlineStr">
        <is>
          <t>Normal</t>
        </is>
      </c>
      <c r="H63" s="68" t="inlineStr">
        <is>
          <t>Normal</t>
        </is>
      </c>
      <c r="I63" s="68" t="n">
        <v>2</v>
      </c>
      <c r="J63" s="24" t="inlineStr">
        <is>
          <t>1,1,1</t>
        </is>
      </c>
      <c r="K63" s="68" t="b">
        <v>1</v>
      </c>
      <c r="L63" s="24" t="inlineStr">
        <is>
          <t>0,0,0</t>
        </is>
      </c>
      <c r="M63" s="68" t="n">
        <v>2</v>
      </c>
      <c r="N63" s="68" t="inlineStr">
        <is>
          <t>Fire</t>
        </is>
      </c>
      <c r="O63" s="68" t="inlineStr">
        <is>
          <t>Attacker</t>
        </is>
      </c>
      <c r="P63" s="68" t="n">
        <v>200</v>
      </c>
      <c r="Q63" s="68">
        <f t="array" ref="Q63">_xlfn.IFS($O63="Attacker",6,$O63="Healer",3,$O63="Magician",4,$O63="Defender",3,$O63="Supporter",4)</f>
        <v/>
      </c>
      <c r="R63" s="68">
        <f t="array" ref="R63">_xlfn.IFS($O63="Attacker",6,$O63="Healer",3,$O63="Magician",4,$O63="Defender",3,$O63="Supporter",4)</f>
        <v/>
      </c>
      <c r="S63" s="68" t="n">
        <v>1</v>
      </c>
      <c r="T63" s="68" t="n">
        <v>0</v>
      </c>
      <c r="U63" s="68" t="n">
        <v>0</v>
      </c>
      <c r="V63" s="68" t="inlineStr">
        <is>
          <t>Spd</t>
        </is>
      </c>
      <c r="W63" s="68">
        <f t="array" ref="W63">_xlfn.IFS(O63="Attacker",80,O63="Healer",90,O63="Magician",100,O63="Defender",110,O63="Supporter",120)</f>
        <v/>
      </c>
      <c r="X63" s="68" t="inlineStr">
        <is>
          <t>Hp</t>
        </is>
      </c>
      <c r="Y63" s="68" t="n">
        <v>600</v>
      </c>
      <c r="Z63" s="68" t="inlineStr">
        <is>
          <t>Atk</t>
        </is>
      </c>
      <c r="AA63" s="68" t="n">
        <v>300</v>
      </c>
      <c r="AB63" s="68" t="inlineStr">
        <is>
          <t>Def</t>
        </is>
      </c>
      <c r="AC63" s="68" t="n">
        <v>20</v>
      </c>
      <c r="AD63" s="68" t="inlineStr">
        <is>
          <t>Penetration</t>
        </is>
      </c>
      <c r="AE63" s="68" t="n">
        <v>0</v>
      </c>
      <c r="AF63" s="68" t="inlineStr">
        <is>
          <t>Hit</t>
        </is>
      </c>
      <c r="AG63" s="68" t="n">
        <v>100</v>
      </c>
      <c r="AH63" s="68" t="inlineStr">
        <is>
          <t>Dodge</t>
        </is>
      </c>
      <c r="AI63" s="68" t="n">
        <v>100</v>
      </c>
      <c r="AJ63" s="68" t="inlineStr">
        <is>
          <t>CriRatio</t>
        </is>
      </c>
      <c r="AK63" s="68" t="n">
        <v>5000</v>
      </c>
      <c r="AL63" s="68" t="inlineStr">
        <is>
          <t>CriDmgRatio</t>
        </is>
      </c>
      <c r="AM63" s="68" t="n">
        <v>150000</v>
      </c>
      <c r="AN63" s="68" t="n">
        <v>1811031</v>
      </c>
      <c r="AO63" s="68" t="b">
        <v>1</v>
      </c>
      <c r="AP63" s="68" t="n">
        <v>2811031</v>
      </c>
      <c r="AQ63" s="68" t="b">
        <v>1</v>
      </c>
      <c r="AR63" s="68" t="n">
        <v>0</v>
      </c>
      <c r="AS63" s="68" t="b">
        <v>0</v>
      </c>
      <c r="AT63" s="68" t="n">
        <v>0</v>
      </c>
      <c r="AU63" s="68" t="b">
        <v>0</v>
      </c>
    </row>
    <row r="64">
      <c r="A64" s="68" t="n">
        <v>22580202</v>
      </c>
      <c r="B64" s="68" t="inlineStr">
        <is>
          <t>픽시-수</t>
        </is>
      </c>
      <c r="C64" s="68" t="n">
        <v>225802</v>
      </c>
      <c r="D64" s="68" t="n">
        <v>0</v>
      </c>
      <c r="E64" s="68" t="inlineStr">
        <is>
          <t>character_name_22580202</t>
        </is>
      </c>
      <c r="G64" s="68" t="inlineStr">
        <is>
          <t>Normal</t>
        </is>
      </c>
      <c r="H64" s="68" t="inlineStr">
        <is>
          <t>Normal</t>
        </is>
      </c>
      <c r="I64" s="68" t="n">
        <v>2</v>
      </c>
      <c r="J64" s="24" t="inlineStr">
        <is>
          <t>1,1,1</t>
        </is>
      </c>
      <c r="K64" s="68" t="b">
        <v>1</v>
      </c>
      <c r="L64" s="24" t="inlineStr">
        <is>
          <t>0,0,0</t>
        </is>
      </c>
      <c r="M64" s="68" t="n">
        <v>2</v>
      </c>
      <c r="N64" s="68" t="inlineStr">
        <is>
          <t>Water</t>
        </is>
      </c>
      <c r="O64" s="68" t="inlineStr">
        <is>
          <t>Attacker</t>
        </is>
      </c>
      <c r="P64" s="68" t="n">
        <v>200</v>
      </c>
      <c r="Q64" s="68">
        <f t="array" ref="Q64">_xlfn.IFS($O64="Attacker",6,$O64="Healer",3,$O64="Magician",4,$O64="Defender",3,$O64="Supporter",4)</f>
        <v/>
      </c>
      <c r="R64" s="68">
        <f t="array" ref="R64">_xlfn.IFS($O64="Attacker",6,$O64="Healer",3,$O64="Magician",4,$O64="Defender",3,$O64="Supporter",4)</f>
        <v/>
      </c>
      <c r="S64" s="68" t="n">
        <v>1</v>
      </c>
      <c r="T64" s="68" t="n">
        <v>0</v>
      </c>
      <c r="U64" s="68" t="n">
        <v>0</v>
      </c>
      <c r="V64" s="68" t="inlineStr">
        <is>
          <t>Spd</t>
        </is>
      </c>
      <c r="W64" s="68">
        <f t="array" ref="W64">_xlfn.IFS(O64="Attacker",80,O64="Healer",90,O64="Magician",100,O64="Defender",110,O64="Supporter",120)</f>
        <v/>
      </c>
      <c r="X64" s="68" t="inlineStr">
        <is>
          <t>Hp</t>
        </is>
      </c>
      <c r="Y64" s="68" t="n">
        <v>600</v>
      </c>
      <c r="Z64" s="68" t="inlineStr">
        <is>
          <t>Atk</t>
        </is>
      </c>
      <c r="AA64" s="68" t="n">
        <v>300</v>
      </c>
      <c r="AB64" s="68" t="inlineStr">
        <is>
          <t>Def</t>
        </is>
      </c>
      <c r="AC64" s="68" t="n">
        <v>20</v>
      </c>
      <c r="AD64" s="68" t="inlineStr">
        <is>
          <t>Penetration</t>
        </is>
      </c>
      <c r="AE64" s="68" t="n">
        <v>0</v>
      </c>
      <c r="AF64" s="68" t="inlineStr">
        <is>
          <t>Hit</t>
        </is>
      </c>
      <c r="AG64" s="68" t="n">
        <v>100</v>
      </c>
      <c r="AH64" s="68" t="inlineStr">
        <is>
          <t>Dodge</t>
        </is>
      </c>
      <c r="AI64" s="68" t="n">
        <v>100</v>
      </c>
      <c r="AJ64" s="68" t="inlineStr">
        <is>
          <t>CriRatio</t>
        </is>
      </c>
      <c r="AK64" s="68" t="n">
        <v>5000</v>
      </c>
      <c r="AL64" s="68" t="inlineStr">
        <is>
          <t>CriDmgRatio</t>
        </is>
      </c>
      <c r="AM64" s="68" t="n">
        <v>150000</v>
      </c>
      <c r="AN64" s="68" t="n">
        <v>1821031</v>
      </c>
      <c r="AO64" s="68" t="b">
        <v>1</v>
      </c>
      <c r="AP64" s="68" t="n">
        <v>2821031</v>
      </c>
      <c r="AQ64" s="68" t="b">
        <v>1</v>
      </c>
      <c r="AR64" s="68" t="n">
        <v>0</v>
      </c>
      <c r="AS64" s="68" t="b">
        <v>0</v>
      </c>
      <c r="AT64" s="68" t="n">
        <v>0</v>
      </c>
      <c r="AU64" s="68" t="b">
        <v>0</v>
      </c>
    </row>
    <row r="65">
      <c r="A65" s="68" t="n">
        <v>22580302</v>
      </c>
      <c r="B65" s="68" t="inlineStr">
        <is>
          <t>픽시-목</t>
        </is>
      </c>
      <c r="C65" s="68" t="n">
        <v>225803</v>
      </c>
      <c r="D65" s="68" t="n">
        <v>0</v>
      </c>
      <c r="E65" s="68" t="inlineStr">
        <is>
          <t>character_name_22580302</t>
        </is>
      </c>
      <c r="G65" s="68" t="inlineStr">
        <is>
          <t>Normal</t>
        </is>
      </c>
      <c r="H65" s="68" t="inlineStr">
        <is>
          <t>Normal</t>
        </is>
      </c>
      <c r="I65" s="68" t="n">
        <v>2</v>
      </c>
      <c r="J65" s="24" t="inlineStr">
        <is>
          <t>1,1,1</t>
        </is>
      </c>
      <c r="K65" s="68" t="b">
        <v>1</v>
      </c>
      <c r="L65" s="24" t="inlineStr">
        <is>
          <t>0,0,0</t>
        </is>
      </c>
      <c r="M65" s="68" t="n">
        <v>2</v>
      </c>
      <c r="N65" s="68" t="inlineStr">
        <is>
          <t>Forest</t>
        </is>
      </c>
      <c r="O65" s="68" t="inlineStr">
        <is>
          <t>Attacker</t>
        </is>
      </c>
      <c r="P65" s="68" t="n">
        <v>200</v>
      </c>
      <c r="Q65" s="68">
        <f t="array" ref="Q65">_xlfn.IFS($O65="Attacker",6,$O65="Healer",3,$O65="Magician",4,$O65="Defender",3,$O65="Supporter",4)</f>
        <v/>
      </c>
      <c r="R65" s="68">
        <f t="array" ref="R65">_xlfn.IFS($O65="Attacker",6,$O65="Healer",3,$O65="Magician",4,$O65="Defender",3,$O65="Supporter",4)</f>
        <v/>
      </c>
      <c r="S65" s="68" t="n">
        <v>1</v>
      </c>
      <c r="T65" s="68" t="n">
        <v>0</v>
      </c>
      <c r="U65" s="68" t="n">
        <v>0</v>
      </c>
      <c r="V65" s="68" t="inlineStr">
        <is>
          <t>Spd</t>
        </is>
      </c>
      <c r="W65" s="68">
        <f t="array" ref="W65">_xlfn.IFS(O65="Attacker",80,O65="Healer",90,O65="Magician",100,O65="Defender",110,O65="Supporter",120)</f>
        <v/>
      </c>
      <c r="X65" s="68" t="inlineStr">
        <is>
          <t>Hp</t>
        </is>
      </c>
      <c r="Y65" s="68" t="n">
        <v>600</v>
      </c>
      <c r="Z65" s="68" t="inlineStr">
        <is>
          <t>Atk</t>
        </is>
      </c>
      <c r="AA65" s="68" t="n">
        <v>300</v>
      </c>
      <c r="AB65" s="68" t="inlineStr">
        <is>
          <t>Def</t>
        </is>
      </c>
      <c r="AC65" s="68" t="n">
        <v>20</v>
      </c>
      <c r="AD65" s="68" t="inlineStr">
        <is>
          <t>Penetration</t>
        </is>
      </c>
      <c r="AE65" s="68" t="n">
        <v>0</v>
      </c>
      <c r="AF65" s="68" t="inlineStr">
        <is>
          <t>Hit</t>
        </is>
      </c>
      <c r="AG65" s="68" t="n">
        <v>100</v>
      </c>
      <c r="AH65" s="68" t="inlineStr">
        <is>
          <t>Dodge</t>
        </is>
      </c>
      <c r="AI65" s="68" t="n">
        <v>100</v>
      </c>
      <c r="AJ65" s="68" t="inlineStr">
        <is>
          <t>CriRatio</t>
        </is>
      </c>
      <c r="AK65" s="68" t="n">
        <v>5000</v>
      </c>
      <c r="AL65" s="68" t="inlineStr">
        <is>
          <t>CriDmgRatio</t>
        </is>
      </c>
      <c r="AM65" s="68" t="n">
        <v>150000</v>
      </c>
      <c r="AN65" s="68" t="n">
        <v>1831031</v>
      </c>
      <c r="AO65" s="68" t="b">
        <v>1</v>
      </c>
      <c r="AP65" s="68" t="n">
        <v>2831031</v>
      </c>
      <c r="AQ65" s="68" t="b">
        <v>1</v>
      </c>
      <c r="AR65" s="68" t="n">
        <v>0</v>
      </c>
      <c r="AS65" s="68" t="b">
        <v>0</v>
      </c>
      <c r="AT65" s="68" t="n">
        <v>0</v>
      </c>
      <c r="AU65" s="68" t="b">
        <v>0</v>
      </c>
    </row>
    <row r="66">
      <c r="A66" s="68" t="n">
        <v>22580402</v>
      </c>
      <c r="B66" s="68" t="inlineStr">
        <is>
          <t>픽시-광</t>
        </is>
      </c>
      <c r="C66" s="68" t="n">
        <v>225804</v>
      </c>
      <c r="D66" s="68" t="n">
        <v>0</v>
      </c>
      <c r="E66" s="68" t="inlineStr">
        <is>
          <t>character_name_22580402</t>
        </is>
      </c>
      <c r="G66" s="68" t="inlineStr">
        <is>
          <t>Normal</t>
        </is>
      </c>
      <c r="H66" s="68" t="inlineStr">
        <is>
          <t>Normal</t>
        </is>
      </c>
      <c r="I66" s="68" t="n">
        <v>2</v>
      </c>
      <c r="J66" s="24" t="inlineStr">
        <is>
          <t>1,1,1</t>
        </is>
      </c>
      <c r="K66" s="68" t="b">
        <v>1</v>
      </c>
      <c r="L66" s="24" t="inlineStr">
        <is>
          <t>0,0,0</t>
        </is>
      </c>
      <c r="M66" s="68" t="n">
        <v>2</v>
      </c>
      <c r="N66" s="68" t="inlineStr">
        <is>
          <t>Light</t>
        </is>
      </c>
      <c r="O66" s="68" t="inlineStr">
        <is>
          <t>Attacker</t>
        </is>
      </c>
      <c r="P66" s="68" t="n">
        <v>200</v>
      </c>
      <c r="Q66" s="68">
        <f t="array" ref="Q66">_xlfn.IFS($O66="Attacker",6,$O66="Healer",3,$O66="Magician",4,$O66="Defender",3,$O66="Supporter",4)</f>
        <v/>
      </c>
      <c r="R66" s="68">
        <f t="array" ref="R66">_xlfn.IFS($O66="Attacker",6,$O66="Healer",3,$O66="Magician",4,$O66="Defender",3,$O66="Supporter",4)</f>
        <v/>
      </c>
      <c r="S66" s="68" t="n">
        <v>1</v>
      </c>
      <c r="T66" s="68" t="n">
        <v>0</v>
      </c>
      <c r="U66" s="68" t="n">
        <v>0</v>
      </c>
      <c r="V66" s="68" t="inlineStr">
        <is>
          <t>Spd</t>
        </is>
      </c>
      <c r="W66" s="68">
        <f t="array" ref="W66">_xlfn.IFS(O66="Attacker",80,O66="Healer",90,O66="Magician",100,O66="Defender",110,O66="Supporter",120)</f>
        <v/>
      </c>
      <c r="X66" s="68" t="inlineStr">
        <is>
          <t>Hp</t>
        </is>
      </c>
      <c r="Y66" s="68" t="n">
        <v>600</v>
      </c>
      <c r="Z66" s="68" t="inlineStr">
        <is>
          <t>Atk</t>
        </is>
      </c>
      <c r="AA66" s="68" t="n">
        <v>300</v>
      </c>
      <c r="AB66" s="68" t="inlineStr">
        <is>
          <t>Def</t>
        </is>
      </c>
      <c r="AC66" s="68" t="n">
        <v>20</v>
      </c>
      <c r="AD66" s="68" t="inlineStr">
        <is>
          <t>Penetration</t>
        </is>
      </c>
      <c r="AE66" s="68" t="n">
        <v>0</v>
      </c>
      <c r="AF66" s="68" t="inlineStr">
        <is>
          <t>Hit</t>
        </is>
      </c>
      <c r="AG66" s="68" t="n">
        <v>100</v>
      </c>
      <c r="AH66" s="68" t="inlineStr">
        <is>
          <t>Dodge</t>
        </is>
      </c>
      <c r="AI66" s="68" t="n">
        <v>100</v>
      </c>
      <c r="AJ66" s="68" t="inlineStr">
        <is>
          <t>CriRatio</t>
        </is>
      </c>
      <c r="AK66" s="68" t="n">
        <v>5000</v>
      </c>
      <c r="AL66" s="68" t="inlineStr">
        <is>
          <t>CriDmgRatio</t>
        </is>
      </c>
      <c r="AM66" s="68" t="n">
        <v>150000</v>
      </c>
      <c r="AN66" s="68" t="n">
        <v>1841031</v>
      </c>
      <c r="AO66" s="68" t="b">
        <v>1</v>
      </c>
      <c r="AP66" s="68" t="n">
        <v>2841031</v>
      </c>
      <c r="AQ66" s="68" t="b">
        <v>1</v>
      </c>
      <c r="AR66" s="68" t="n">
        <v>0</v>
      </c>
      <c r="AS66" s="68" t="b">
        <v>0</v>
      </c>
      <c r="AT66" s="68" t="n">
        <v>0</v>
      </c>
      <c r="AU66" s="68" t="b">
        <v>0</v>
      </c>
    </row>
    <row r="67">
      <c r="A67" s="29" t="n">
        <v>22580502</v>
      </c>
      <c r="B67" s="29" t="inlineStr">
        <is>
          <t>픽시-암</t>
        </is>
      </c>
      <c r="C67" s="29" t="n">
        <v>225805</v>
      </c>
      <c r="D67" s="29" t="n">
        <v>0</v>
      </c>
      <c r="E67" s="29" t="inlineStr">
        <is>
          <t>character_name_22580502</t>
        </is>
      </c>
      <c r="F67" s="29" t="n"/>
      <c r="G67" s="29" t="inlineStr">
        <is>
          <t>Normal</t>
        </is>
      </c>
      <c r="H67" s="29" t="inlineStr">
        <is>
          <t>Normal</t>
        </is>
      </c>
      <c r="I67" s="29" t="n">
        <v>2</v>
      </c>
      <c r="J67" s="27" t="inlineStr">
        <is>
          <t>1,1,1</t>
        </is>
      </c>
      <c r="K67" s="68" t="b">
        <v>1</v>
      </c>
      <c r="L67" s="27" t="inlineStr">
        <is>
          <t>0,0,0</t>
        </is>
      </c>
      <c r="M67" s="29" t="n">
        <v>2</v>
      </c>
      <c r="N67" s="29" t="inlineStr">
        <is>
          <t>Dark</t>
        </is>
      </c>
      <c r="O67" s="29" t="inlineStr">
        <is>
          <t>Attacker</t>
        </is>
      </c>
      <c r="P67" s="29" t="n">
        <v>200</v>
      </c>
      <c r="Q67" s="29">
        <f t="array" ref="Q67">_xlfn.IFS($O67="Attacker",6,$O67="Healer",3,$O67="Magician",4,$O67="Defender",3,$O67="Supporter",4)</f>
        <v/>
      </c>
      <c r="R67" s="29">
        <f t="array" ref="R67">_xlfn.IFS($O67="Attacker",6,$O67="Healer",3,$O67="Magician",4,$O67="Defender",3,$O67="Supporter",4)</f>
        <v/>
      </c>
      <c r="S67" s="29" t="n">
        <v>1</v>
      </c>
      <c r="T67" s="29" t="n">
        <v>0</v>
      </c>
      <c r="U67" s="29" t="n">
        <v>0</v>
      </c>
      <c r="V67" s="29" t="inlineStr">
        <is>
          <t>Spd</t>
        </is>
      </c>
      <c r="W67" s="29">
        <f t="array" ref="W67">_xlfn.IFS(O67="Attacker",80,O67="Healer",90,O67="Magician",100,O67="Defender",110,O67="Supporter",120)</f>
        <v/>
      </c>
      <c r="X67" s="29" t="inlineStr">
        <is>
          <t>Hp</t>
        </is>
      </c>
      <c r="Y67" s="29" t="n">
        <v>600</v>
      </c>
      <c r="Z67" s="29" t="inlineStr">
        <is>
          <t>Atk</t>
        </is>
      </c>
      <c r="AA67" s="29" t="n">
        <v>300</v>
      </c>
      <c r="AB67" s="29" t="inlineStr">
        <is>
          <t>Def</t>
        </is>
      </c>
      <c r="AC67" s="29" t="n">
        <v>20</v>
      </c>
      <c r="AD67" s="29" t="inlineStr">
        <is>
          <t>Penetration</t>
        </is>
      </c>
      <c r="AE67" s="29" t="n">
        <v>0</v>
      </c>
      <c r="AF67" s="29" t="inlineStr">
        <is>
          <t>Hit</t>
        </is>
      </c>
      <c r="AG67" s="29" t="n">
        <v>100</v>
      </c>
      <c r="AH67" s="29" t="inlineStr">
        <is>
          <t>Dodge</t>
        </is>
      </c>
      <c r="AI67" s="29" t="n">
        <v>100</v>
      </c>
      <c r="AJ67" s="29" t="inlineStr">
        <is>
          <t>CriRatio</t>
        </is>
      </c>
      <c r="AK67" s="29" t="n">
        <v>5000</v>
      </c>
      <c r="AL67" s="29" t="inlineStr">
        <is>
          <t>CriDmgRatio</t>
        </is>
      </c>
      <c r="AM67" s="29" t="n">
        <v>150000</v>
      </c>
      <c r="AN67" s="29" t="n">
        <v>1851031</v>
      </c>
      <c r="AO67" s="29" t="b">
        <v>1</v>
      </c>
      <c r="AP67" s="29" t="n">
        <v>2851031</v>
      </c>
      <c r="AQ67" s="29" t="b">
        <v>1</v>
      </c>
      <c r="AR67" s="29" t="n">
        <v>0</v>
      </c>
      <c r="AS67" s="29" t="b">
        <v>0</v>
      </c>
      <c r="AT67" s="29" t="n">
        <v>0</v>
      </c>
      <c r="AU67" s="29" t="b">
        <v>0</v>
      </c>
    </row>
    <row r="68" customFormat="1" s="11">
      <c r="A68" s="68" t="n">
        <v>22580103</v>
      </c>
      <c r="B68" s="68" t="inlineStr">
        <is>
          <t>픽시-화</t>
        </is>
      </c>
      <c r="C68" s="68" t="n">
        <v>225801</v>
      </c>
      <c r="D68" s="68" t="n">
        <v>0</v>
      </c>
      <c r="E68" s="68" t="inlineStr">
        <is>
          <t>character_name_22580103</t>
        </is>
      </c>
      <c r="F68" s="68" t="n"/>
      <c r="G68" s="68" t="inlineStr">
        <is>
          <t>Normal</t>
        </is>
      </c>
      <c r="H68" s="68" t="inlineStr">
        <is>
          <t>Normal</t>
        </is>
      </c>
      <c r="I68" s="68" t="n">
        <v>3</v>
      </c>
      <c r="J68" s="24" t="inlineStr">
        <is>
          <t>1,1,1</t>
        </is>
      </c>
      <c r="K68" s="68" t="b">
        <v>1</v>
      </c>
      <c r="L68" s="24" t="inlineStr">
        <is>
          <t>0,0,0</t>
        </is>
      </c>
      <c r="M68" s="68" t="n">
        <v>2</v>
      </c>
      <c r="N68" s="68" t="inlineStr">
        <is>
          <t>Fire</t>
        </is>
      </c>
      <c r="O68" s="68" t="inlineStr">
        <is>
          <t>Attacker</t>
        </is>
      </c>
      <c r="P68" s="68" t="n">
        <v>200</v>
      </c>
      <c r="Q68" s="68">
        <f t="array" ref="Q68">_xlfn.IFS($O68="Attacker",6,$O68="Healer",3,$O68="Magician",4,$O68="Defender",3,$O68="Supporter",4)</f>
        <v/>
      </c>
      <c r="R68" s="68">
        <f t="array" ref="R68">_xlfn.IFS($O68="Attacker",6,$O68="Healer",3,$O68="Magician",4,$O68="Defender",3,$O68="Supporter",4)</f>
        <v/>
      </c>
      <c r="S68" s="68" t="n">
        <v>1</v>
      </c>
      <c r="T68" s="68" t="n">
        <v>0</v>
      </c>
      <c r="U68" s="68" t="n">
        <v>0</v>
      </c>
      <c r="V68" s="68" t="inlineStr">
        <is>
          <t>Spd</t>
        </is>
      </c>
      <c r="W68" s="68">
        <f t="array" ref="W68">_xlfn.IFS(O68="Attacker",80,O68="Healer",90,O68="Magician",100,O68="Defender",110,O68="Supporter",120)</f>
        <v/>
      </c>
      <c r="X68" s="68" t="inlineStr">
        <is>
          <t>Hp</t>
        </is>
      </c>
      <c r="Y68" s="68" t="n">
        <v>36000</v>
      </c>
      <c r="Z68" s="68" t="inlineStr">
        <is>
          <t>Atk</t>
        </is>
      </c>
      <c r="AA68" s="68" t="n">
        <v>675</v>
      </c>
      <c r="AB68" s="68" t="inlineStr">
        <is>
          <t>Def</t>
        </is>
      </c>
      <c r="AC68" s="68" t="n">
        <v>0</v>
      </c>
      <c r="AD68" s="68" t="inlineStr">
        <is>
          <t>Penetration</t>
        </is>
      </c>
      <c r="AE68" s="68" t="n">
        <v>0</v>
      </c>
      <c r="AF68" s="68" t="inlineStr">
        <is>
          <t>Hit</t>
        </is>
      </c>
      <c r="AG68" s="68" t="n">
        <v>100</v>
      </c>
      <c r="AH68" s="68" t="inlineStr">
        <is>
          <t>Dodge</t>
        </is>
      </c>
      <c r="AI68" s="68" t="n">
        <v>80</v>
      </c>
      <c r="AJ68" s="68" t="inlineStr">
        <is>
          <t>CriRatio</t>
        </is>
      </c>
      <c r="AK68" s="68" t="n">
        <v>0</v>
      </c>
      <c r="AL68" s="68" t="inlineStr">
        <is>
          <t>CriDmgRatio</t>
        </is>
      </c>
      <c r="AM68" s="68" t="n">
        <v>150000</v>
      </c>
      <c r="AN68" s="68" t="n">
        <v>1811031</v>
      </c>
      <c r="AO68" s="68" t="b">
        <v>1</v>
      </c>
      <c r="AP68" s="68" t="n">
        <v>2811031</v>
      </c>
      <c r="AQ68" s="68" t="b">
        <v>1</v>
      </c>
      <c r="AR68" s="68" t="n">
        <v>0</v>
      </c>
      <c r="AS68" s="68" t="b">
        <v>0</v>
      </c>
      <c r="AT68" s="68" t="n">
        <v>0</v>
      </c>
      <c r="AU68" s="68" t="b">
        <v>0</v>
      </c>
    </row>
    <row r="69">
      <c r="A69" s="68" t="n">
        <v>22580203</v>
      </c>
      <c r="B69" s="68" t="inlineStr">
        <is>
          <t>픽시-수</t>
        </is>
      </c>
      <c r="C69" s="68" t="n">
        <v>225802</v>
      </c>
      <c r="D69" s="68" t="n">
        <v>0</v>
      </c>
      <c r="E69" s="68" t="inlineStr">
        <is>
          <t>character_name_22580203</t>
        </is>
      </c>
      <c r="G69" s="68" t="inlineStr">
        <is>
          <t>Normal</t>
        </is>
      </c>
      <c r="H69" s="68" t="inlineStr">
        <is>
          <t>Normal</t>
        </is>
      </c>
      <c r="I69" s="68" t="n">
        <v>3</v>
      </c>
      <c r="J69" s="24" t="inlineStr">
        <is>
          <t>1,1,1</t>
        </is>
      </c>
      <c r="K69" s="68" t="b">
        <v>1</v>
      </c>
      <c r="L69" s="24" t="inlineStr">
        <is>
          <t>0,0,0</t>
        </is>
      </c>
      <c r="M69" s="68" t="n">
        <v>2</v>
      </c>
      <c r="N69" s="68" t="inlineStr">
        <is>
          <t>Water</t>
        </is>
      </c>
      <c r="O69" s="68" t="inlineStr">
        <is>
          <t>Attacker</t>
        </is>
      </c>
      <c r="P69" s="68" t="n">
        <v>200</v>
      </c>
      <c r="Q69" s="68">
        <f t="array" ref="Q69">_xlfn.IFS($O69="Attacker",6,$O69="Healer",3,$O69="Magician",4,$O69="Defender",3,$O69="Supporter",4)</f>
        <v/>
      </c>
      <c r="R69" s="68">
        <f t="array" ref="R69">_xlfn.IFS($O69="Attacker",6,$O69="Healer",3,$O69="Magician",4,$O69="Defender",3,$O69="Supporter",4)</f>
        <v/>
      </c>
      <c r="S69" s="68" t="n">
        <v>1</v>
      </c>
      <c r="T69" s="68" t="n">
        <v>0</v>
      </c>
      <c r="U69" s="68" t="n">
        <v>0</v>
      </c>
      <c r="V69" s="68" t="inlineStr">
        <is>
          <t>Spd</t>
        </is>
      </c>
      <c r="W69" s="68">
        <f t="array" ref="W69">_xlfn.IFS(O69="Attacker",80,O69="Healer",90,O69="Magician",100,O69="Defender",110,O69="Supporter",120)</f>
        <v/>
      </c>
      <c r="X69" s="68" t="inlineStr">
        <is>
          <t>Hp</t>
        </is>
      </c>
      <c r="Y69" s="68" t="n">
        <v>36000</v>
      </c>
      <c r="Z69" s="68" t="inlineStr">
        <is>
          <t>Atk</t>
        </is>
      </c>
      <c r="AA69" s="68" t="n">
        <v>675</v>
      </c>
      <c r="AB69" s="68" t="inlineStr">
        <is>
          <t>Def</t>
        </is>
      </c>
      <c r="AC69" s="68" t="n">
        <v>0</v>
      </c>
      <c r="AD69" s="68" t="inlineStr">
        <is>
          <t>Penetration</t>
        </is>
      </c>
      <c r="AE69" s="68" t="n">
        <v>0</v>
      </c>
      <c r="AF69" s="68" t="inlineStr">
        <is>
          <t>Hit</t>
        </is>
      </c>
      <c r="AG69" s="68" t="n">
        <v>120</v>
      </c>
      <c r="AH69" s="68" t="inlineStr">
        <is>
          <t>Dodge</t>
        </is>
      </c>
      <c r="AI69" s="68" t="n">
        <v>80</v>
      </c>
      <c r="AJ69" s="68" t="inlineStr">
        <is>
          <t>CriRatio</t>
        </is>
      </c>
      <c r="AK69" s="68" t="n">
        <v>0</v>
      </c>
      <c r="AL69" s="68" t="inlineStr">
        <is>
          <t>CriDmgRatio</t>
        </is>
      </c>
      <c r="AM69" s="68" t="n">
        <v>150000</v>
      </c>
      <c r="AN69" s="68" t="n">
        <v>1821031</v>
      </c>
      <c r="AO69" s="68" t="b">
        <v>1</v>
      </c>
      <c r="AP69" s="68" t="n">
        <v>2821031</v>
      </c>
      <c r="AQ69" s="68" t="b">
        <v>1</v>
      </c>
      <c r="AR69" s="68" t="n">
        <v>0</v>
      </c>
      <c r="AS69" s="68" t="b">
        <v>0</v>
      </c>
      <c r="AT69" s="68" t="n">
        <v>0</v>
      </c>
      <c r="AU69" s="68" t="b">
        <v>0</v>
      </c>
    </row>
    <row r="70">
      <c r="A70" s="68" t="n">
        <v>22580303</v>
      </c>
      <c r="B70" s="68" t="inlineStr">
        <is>
          <t>픽시-목</t>
        </is>
      </c>
      <c r="C70" s="68" t="n">
        <v>225803</v>
      </c>
      <c r="D70" s="68" t="n">
        <v>0</v>
      </c>
      <c r="E70" s="68" t="inlineStr">
        <is>
          <t>character_name_22580303</t>
        </is>
      </c>
      <c r="G70" s="68" t="inlineStr">
        <is>
          <t>Normal</t>
        </is>
      </c>
      <c r="H70" s="68" t="inlineStr">
        <is>
          <t>Normal</t>
        </is>
      </c>
      <c r="I70" s="68" t="n">
        <v>3</v>
      </c>
      <c r="J70" s="24" t="inlineStr">
        <is>
          <t>1,1,1</t>
        </is>
      </c>
      <c r="K70" s="68" t="b">
        <v>1</v>
      </c>
      <c r="L70" s="24" t="inlineStr">
        <is>
          <t>0,0,0</t>
        </is>
      </c>
      <c r="M70" s="68" t="n">
        <v>2</v>
      </c>
      <c r="N70" s="68" t="inlineStr">
        <is>
          <t>Forest</t>
        </is>
      </c>
      <c r="O70" s="68" t="inlineStr">
        <is>
          <t>Attacker</t>
        </is>
      </c>
      <c r="P70" s="68" t="n">
        <v>200</v>
      </c>
      <c r="Q70" s="68">
        <f t="array" ref="Q70">_xlfn.IFS($O70="Attacker",6,$O70="Healer",3,$O70="Magician",4,$O70="Defender",3,$O70="Supporter",4)</f>
        <v/>
      </c>
      <c r="R70" s="68">
        <f t="array" ref="R70">_xlfn.IFS($O70="Attacker",6,$O70="Healer",3,$O70="Magician",4,$O70="Defender",3,$O70="Supporter",4)</f>
        <v/>
      </c>
      <c r="S70" s="68" t="n">
        <v>1</v>
      </c>
      <c r="T70" s="68" t="n">
        <v>0</v>
      </c>
      <c r="U70" s="68" t="n">
        <v>0</v>
      </c>
      <c r="V70" s="68" t="inlineStr">
        <is>
          <t>Spd</t>
        </is>
      </c>
      <c r="W70" s="68">
        <f t="array" ref="W70">_xlfn.IFS(O70="Attacker",80,O70="Healer",90,O70="Magician",100,O70="Defender",110,O70="Supporter",120)</f>
        <v/>
      </c>
      <c r="X70" s="68" t="inlineStr">
        <is>
          <t>Hp</t>
        </is>
      </c>
      <c r="Y70" s="68" t="n">
        <v>39600</v>
      </c>
      <c r="Z70" s="68" t="inlineStr">
        <is>
          <t>Atk</t>
        </is>
      </c>
      <c r="AA70" s="68" t="n">
        <v>675</v>
      </c>
      <c r="AB70" s="68" t="inlineStr">
        <is>
          <t>Def</t>
        </is>
      </c>
      <c r="AC70" s="68" t="n">
        <v>0</v>
      </c>
      <c r="AD70" s="68" t="inlineStr">
        <is>
          <t>Penetration</t>
        </is>
      </c>
      <c r="AE70" s="68" t="n">
        <v>0</v>
      </c>
      <c r="AF70" s="68" t="inlineStr">
        <is>
          <t>Hit</t>
        </is>
      </c>
      <c r="AG70" s="68" t="n">
        <v>100</v>
      </c>
      <c r="AH70" s="68" t="inlineStr">
        <is>
          <t>Dodge</t>
        </is>
      </c>
      <c r="AI70" s="68" t="n">
        <v>80</v>
      </c>
      <c r="AJ70" s="68" t="inlineStr">
        <is>
          <t>CriRatio</t>
        </is>
      </c>
      <c r="AK70" s="68" t="n">
        <v>0</v>
      </c>
      <c r="AL70" s="68" t="inlineStr">
        <is>
          <t>CriDmgRatio</t>
        </is>
      </c>
      <c r="AM70" s="68" t="n">
        <v>150000</v>
      </c>
      <c r="AN70" s="68" t="n">
        <v>1831031</v>
      </c>
      <c r="AO70" s="68" t="b">
        <v>1</v>
      </c>
      <c r="AP70" s="68" t="n">
        <v>2831031</v>
      </c>
      <c r="AQ70" s="68" t="b">
        <v>1</v>
      </c>
      <c r="AR70" s="68" t="n">
        <v>0</v>
      </c>
      <c r="AS70" s="68" t="b">
        <v>0</v>
      </c>
      <c r="AT70" s="68" t="n">
        <v>0</v>
      </c>
      <c r="AU70" s="68" t="b">
        <v>0</v>
      </c>
    </row>
    <row r="71">
      <c r="A71" s="68" t="n">
        <v>22580403</v>
      </c>
      <c r="B71" s="68" t="inlineStr">
        <is>
          <t>픽시-광</t>
        </is>
      </c>
      <c r="C71" s="68" t="n">
        <v>225804</v>
      </c>
      <c r="D71" s="68" t="n">
        <v>0</v>
      </c>
      <c r="E71" s="68" t="inlineStr">
        <is>
          <t>character_name_22580403</t>
        </is>
      </c>
      <c r="G71" s="68" t="inlineStr">
        <is>
          <t>Normal</t>
        </is>
      </c>
      <c r="H71" s="68" t="inlineStr">
        <is>
          <t>Normal</t>
        </is>
      </c>
      <c r="I71" s="68" t="n">
        <v>3</v>
      </c>
      <c r="J71" s="24" t="inlineStr">
        <is>
          <t>1,1,1</t>
        </is>
      </c>
      <c r="K71" s="68" t="b">
        <v>1</v>
      </c>
      <c r="L71" s="24" t="inlineStr">
        <is>
          <t>0,0,0</t>
        </is>
      </c>
      <c r="M71" s="68" t="n">
        <v>2</v>
      </c>
      <c r="N71" s="68" t="inlineStr">
        <is>
          <t>Light</t>
        </is>
      </c>
      <c r="O71" s="68" t="inlineStr">
        <is>
          <t>Attacker</t>
        </is>
      </c>
      <c r="P71" s="68" t="n">
        <v>200</v>
      </c>
      <c r="Q71" s="68">
        <f t="array" ref="Q71">_xlfn.IFS($O71="Attacker",6,$O71="Healer",3,$O71="Magician",4,$O71="Defender",3,$O71="Supporter",4)</f>
        <v/>
      </c>
      <c r="R71" s="68">
        <f t="array" ref="R71">_xlfn.IFS($O71="Attacker",6,$O71="Healer",3,$O71="Magician",4,$O71="Defender",3,$O71="Supporter",4)</f>
        <v/>
      </c>
      <c r="S71" s="68" t="n">
        <v>1</v>
      </c>
      <c r="T71" s="68" t="n">
        <v>0</v>
      </c>
      <c r="U71" s="68" t="n">
        <v>0</v>
      </c>
      <c r="V71" s="68" t="inlineStr">
        <is>
          <t>Spd</t>
        </is>
      </c>
      <c r="W71" s="68">
        <f t="array" ref="W71">_xlfn.IFS(O71="Attacker",80,O71="Healer",90,O71="Magician",100,O71="Defender",110,O71="Supporter",120)</f>
        <v/>
      </c>
      <c r="X71" s="68" t="inlineStr">
        <is>
          <t>Hp</t>
        </is>
      </c>
      <c r="Y71" s="68" t="n">
        <v>36000</v>
      </c>
      <c r="Z71" s="68" t="inlineStr">
        <is>
          <t>Atk</t>
        </is>
      </c>
      <c r="AA71" s="68" t="n">
        <v>675</v>
      </c>
      <c r="AB71" s="68" t="inlineStr">
        <is>
          <t>Def</t>
        </is>
      </c>
      <c r="AC71" s="68" t="n">
        <v>0</v>
      </c>
      <c r="AD71" s="68" t="inlineStr">
        <is>
          <t>Penetration</t>
        </is>
      </c>
      <c r="AE71" s="68" t="n">
        <v>0</v>
      </c>
      <c r="AF71" s="68" t="inlineStr">
        <is>
          <t>Hit</t>
        </is>
      </c>
      <c r="AG71" s="68" t="n">
        <v>100</v>
      </c>
      <c r="AH71" s="68" t="inlineStr">
        <is>
          <t>Dodge</t>
        </is>
      </c>
      <c r="AI71" s="68" t="n">
        <v>104</v>
      </c>
      <c r="AJ71" s="68" t="inlineStr">
        <is>
          <t>CriRatio</t>
        </is>
      </c>
      <c r="AK71" s="68" t="n">
        <v>0</v>
      </c>
      <c r="AL71" s="68" t="inlineStr">
        <is>
          <t>CriDmgRatio</t>
        </is>
      </c>
      <c r="AM71" s="68" t="n">
        <v>150000</v>
      </c>
      <c r="AN71" s="68" t="n">
        <v>1841031</v>
      </c>
      <c r="AO71" s="68" t="b">
        <v>1</v>
      </c>
      <c r="AP71" s="68" t="n">
        <v>2841031</v>
      </c>
      <c r="AQ71" s="68" t="b">
        <v>1</v>
      </c>
      <c r="AR71" s="68" t="n">
        <v>0</v>
      </c>
      <c r="AS71" s="68" t="b">
        <v>0</v>
      </c>
      <c r="AT71" s="68" t="n">
        <v>0</v>
      </c>
      <c r="AU71" s="68" t="b">
        <v>0</v>
      </c>
    </row>
    <row r="72">
      <c r="A72" s="29" t="n">
        <v>22580503</v>
      </c>
      <c r="B72" s="29" t="inlineStr">
        <is>
          <t>픽시-암</t>
        </is>
      </c>
      <c r="C72" s="29" t="n">
        <v>225805</v>
      </c>
      <c r="D72" s="29" t="n">
        <v>0</v>
      </c>
      <c r="E72" s="29" t="inlineStr">
        <is>
          <t>character_name_22580503</t>
        </is>
      </c>
      <c r="F72" s="29" t="n"/>
      <c r="G72" s="29" t="inlineStr">
        <is>
          <t>Normal</t>
        </is>
      </c>
      <c r="H72" s="29" t="inlineStr">
        <is>
          <t>Normal</t>
        </is>
      </c>
      <c r="I72" s="29" t="n">
        <v>3</v>
      </c>
      <c r="J72" s="27" t="inlineStr">
        <is>
          <t>1,1,1</t>
        </is>
      </c>
      <c r="K72" s="68" t="b">
        <v>1</v>
      </c>
      <c r="L72" s="27" t="inlineStr">
        <is>
          <t>0,0,0</t>
        </is>
      </c>
      <c r="M72" s="29" t="n">
        <v>2</v>
      </c>
      <c r="N72" s="29" t="inlineStr">
        <is>
          <t>Dark</t>
        </is>
      </c>
      <c r="O72" s="29" t="inlineStr">
        <is>
          <t>Attacker</t>
        </is>
      </c>
      <c r="P72" s="29" t="n">
        <v>200</v>
      </c>
      <c r="Q72" s="29">
        <f t="array" ref="Q72">_xlfn.IFS($O72="Attacker",6,$O72="Healer",3,$O72="Magician",4,$O72="Defender",3,$O72="Supporter",4)</f>
        <v/>
      </c>
      <c r="R72" s="29">
        <f t="array" ref="R72">_xlfn.IFS($O72="Attacker",6,$O72="Healer",3,$O72="Magician",4,$O72="Defender",3,$O72="Supporter",4)</f>
        <v/>
      </c>
      <c r="S72" s="29" t="n">
        <v>1</v>
      </c>
      <c r="T72" s="29" t="n">
        <v>0</v>
      </c>
      <c r="U72" s="29" t="n">
        <v>0</v>
      </c>
      <c r="V72" s="29" t="inlineStr">
        <is>
          <t>Spd</t>
        </is>
      </c>
      <c r="W72" s="29">
        <f t="array" ref="W72">_xlfn.IFS(O72="Attacker",80,O72="Healer",90,O72="Magician",100,O72="Defender",110,O72="Supporter",120)</f>
        <v/>
      </c>
      <c r="X72" s="29" t="inlineStr">
        <is>
          <t>Hp</t>
        </is>
      </c>
      <c r="Y72" s="68" t="n">
        <v>36000</v>
      </c>
      <c r="Z72" s="29" t="inlineStr">
        <is>
          <t>Atk</t>
        </is>
      </c>
      <c r="AA72" s="68" t="n">
        <v>675</v>
      </c>
      <c r="AB72" s="29" t="inlineStr">
        <is>
          <t>Def</t>
        </is>
      </c>
      <c r="AC72" s="68" t="n">
        <v>0</v>
      </c>
      <c r="AD72" s="29" t="inlineStr">
        <is>
          <t>Penetration</t>
        </is>
      </c>
      <c r="AE72" s="29" t="n">
        <v>0</v>
      </c>
      <c r="AF72" s="29" t="inlineStr">
        <is>
          <t>Hit</t>
        </is>
      </c>
      <c r="AG72" s="29" t="n">
        <v>100</v>
      </c>
      <c r="AH72" s="29" t="inlineStr">
        <is>
          <t>Dodge</t>
        </is>
      </c>
      <c r="AI72" s="29" t="n">
        <v>80</v>
      </c>
      <c r="AJ72" s="29" t="inlineStr">
        <is>
          <t>CriRatio</t>
        </is>
      </c>
      <c r="AK72" s="29" t="n">
        <v>0</v>
      </c>
      <c r="AL72" s="29" t="inlineStr">
        <is>
          <t>CriDmgRatio</t>
        </is>
      </c>
      <c r="AM72" s="29" t="n">
        <v>150000</v>
      </c>
      <c r="AN72" s="29" t="n">
        <v>1851031</v>
      </c>
      <c r="AO72" s="29" t="b">
        <v>1</v>
      </c>
      <c r="AP72" s="29" t="n">
        <v>2851031</v>
      </c>
      <c r="AQ72" s="29" t="b">
        <v>1</v>
      </c>
      <c r="AR72" s="29" t="n">
        <v>0</v>
      </c>
      <c r="AS72" s="29" t="b">
        <v>0</v>
      </c>
      <c r="AT72" s="29" t="n">
        <v>0</v>
      </c>
      <c r="AU72" s="29" t="b">
        <v>0</v>
      </c>
    </row>
    <row r="73" customFormat="1" s="11">
      <c r="A73" s="68" t="n">
        <v>22580104</v>
      </c>
      <c r="B73" s="68" t="inlineStr">
        <is>
          <t>픽시-화</t>
        </is>
      </c>
      <c r="C73" s="68" t="n">
        <v>225801</v>
      </c>
      <c r="D73" s="68" t="n">
        <v>0</v>
      </c>
      <c r="E73" s="68" t="inlineStr">
        <is>
          <t>character_name_22580104</t>
        </is>
      </c>
      <c r="F73" s="68" t="n"/>
      <c r="G73" s="68" t="inlineStr">
        <is>
          <t>Normal</t>
        </is>
      </c>
      <c r="H73" s="68" t="inlineStr">
        <is>
          <t>Normal</t>
        </is>
      </c>
      <c r="I73" s="68" t="n">
        <v>4</v>
      </c>
      <c r="J73" s="24" t="inlineStr">
        <is>
          <t>1,1,1</t>
        </is>
      </c>
      <c r="K73" s="68" t="b">
        <v>1</v>
      </c>
      <c r="L73" s="24" t="inlineStr">
        <is>
          <t>0,0,0</t>
        </is>
      </c>
      <c r="M73" s="68" t="n">
        <v>2</v>
      </c>
      <c r="N73" s="68" t="inlineStr">
        <is>
          <t>Fire</t>
        </is>
      </c>
      <c r="O73" s="68" t="inlineStr">
        <is>
          <t>Attacker</t>
        </is>
      </c>
      <c r="P73" s="68" t="n">
        <v>200</v>
      </c>
      <c r="Q73" s="68">
        <f t="array" ref="Q73">_xlfn.IFS($O73="Attacker",6,$O73="Healer",3,$O73="Magician",4,$O73="Defender",3,$O73="Supporter",4)</f>
        <v/>
      </c>
      <c r="R73" s="68">
        <f t="array" ref="R73">_xlfn.IFS($O73="Attacker",6,$O73="Healer",3,$O73="Magician",4,$O73="Defender",3,$O73="Supporter",4)</f>
        <v/>
      </c>
      <c r="S73" s="68" t="n">
        <v>1</v>
      </c>
      <c r="T73" s="68" t="n">
        <v>0</v>
      </c>
      <c r="U73" s="68" t="n">
        <v>0</v>
      </c>
      <c r="V73" s="68" t="inlineStr">
        <is>
          <t>Spd</t>
        </is>
      </c>
      <c r="W73" s="68">
        <f t="array" ref="W73">_xlfn.IFS(O73="Attacker",80,O73="Healer",90,O73="Magician",100,O73="Defender",110,O73="Supporter",120)</f>
        <v/>
      </c>
      <c r="X73" s="68" t="inlineStr">
        <is>
          <t>Hp</t>
        </is>
      </c>
      <c r="Y73" s="68" t="n">
        <v>90000</v>
      </c>
      <c r="Z73" s="68" t="inlineStr">
        <is>
          <t>Atk</t>
        </is>
      </c>
      <c r="AA73" s="68" t="n">
        <v>1012</v>
      </c>
      <c r="AB73" s="68" t="inlineStr">
        <is>
          <t>Def</t>
        </is>
      </c>
      <c r="AC73" s="68" t="n">
        <v>0</v>
      </c>
      <c r="AD73" s="68" t="inlineStr">
        <is>
          <t>Penetration</t>
        </is>
      </c>
      <c r="AE73" s="68" t="n">
        <v>0</v>
      </c>
      <c r="AF73" s="68" t="inlineStr">
        <is>
          <t>Hit</t>
        </is>
      </c>
      <c r="AG73" s="68" t="n">
        <v>100</v>
      </c>
      <c r="AH73" s="68" t="inlineStr">
        <is>
          <t>Dodge</t>
        </is>
      </c>
      <c r="AI73" s="68" t="n">
        <v>80</v>
      </c>
      <c r="AJ73" s="68" t="inlineStr">
        <is>
          <t>CriRatio</t>
        </is>
      </c>
      <c r="AK73" s="68" t="n">
        <v>0</v>
      </c>
      <c r="AL73" s="68" t="inlineStr">
        <is>
          <t>CriDmgRatio</t>
        </is>
      </c>
      <c r="AM73" s="68" t="n">
        <v>150000</v>
      </c>
      <c r="AN73" s="68" t="n">
        <v>1811031</v>
      </c>
      <c r="AO73" s="68" t="b">
        <v>1</v>
      </c>
      <c r="AP73" s="68" t="n">
        <v>2811031</v>
      </c>
      <c r="AQ73" s="68" t="b">
        <v>1</v>
      </c>
      <c r="AR73" s="68" t="n">
        <v>0</v>
      </c>
      <c r="AS73" s="68" t="b">
        <v>0</v>
      </c>
      <c r="AT73" s="68" t="n">
        <v>0</v>
      </c>
      <c r="AU73" s="68" t="b">
        <v>0</v>
      </c>
    </row>
    <row r="74">
      <c r="A74" s="68" t="n">
        <v>22580204</v>
      </c>
      <c r="B74" s="68" t="inlineStr">
        <is>
          <t>픽시-수</t>
        </is>
      </c>
      <c r="C74" s="68" t="n">
        <v>225802</v>
      </c>
      <c r="D74" s="68" t="n">
        <v>0</v>
      </c>
      <c r="E74" s="68" t="inlineStr">
        <is>
          <t>character_name_22580204</t>
        </is>
      </c>
      <c r="G74" s="68" t="inlineStr">
        <is>
          <t>Normal</t>
        </is>
      </c>
      <c r="H74" s="68" t="inlineStr">
        <is>
          <t>Normal</t>
        </is>
      </c>
      <c r="I74" s="68" t="n">
        <v>4</v>
      </c>
      <c r="J74" s="24" t="inlineStr">
        <is>
          <t>1,1,1</t>
        </is>
      </c>
      <c r="K74" s="68" t="b">
        <v>1</v>
      </c>
      <c r="L74" s="24" t="inlineStr">
        <is>
          <t>0,0,0</t>
        </is>
      </c>
      <c r="M74" s="68" t="n">
        <v>2</v>
      </c>
      <c r="N74" s="68" t="inlineStr">
        <is>
          <t>Water</t>
        </is>
      </c>
      <c r="O74" s="68" t="inlineStr">
        <is>
          <t>Attacker</t>
        </is>
      </c>
      <c r="P74" s="68" t="n">
        <v>200</v>
      </c>
      <c r="Q74" s="68">
        <f t="array" ref="Q74">_xlfn.IFS($O74="Attacker",6,$O74="Healer",3,$O74="Magician",4,$O74="Defender",3,$O74="Supporter",4)</f>
        <v/>
      </c>
      <c r="R74" s="68">
        <f t="array" ref="R74">_xlfn.IFS($O74="Attacker",6,$O74="Healer",3,$O74="Magician",4,$O74="Defender",3,$O74="Supporter",4)</f>
        <v/>
      </c>
      <c r="S74" s="68" t="n">
        <v>1</v>
      </c>
      <c r="T74" s="68" t="n">
        <v>0</v>
      </c>
      <c r="U74" s="68" t="n">
        <v>0</v>
      </c>
      <c r="V74" s="68" t="inlineStr">
        <is>
          <t>Spd</t>
        </is>
      </c>
      <c r="W74" s="68">
        <f t="array" ref="W74">_xlfn.IFS(O74="Attacker",80,O74="Healer",90,O74="Magician",100,O74="Defender",110,O74="Supporter",120)</f>
        <v/>
      </c>
      <c r="X74" s="68" t="inlineStr">
        <is>
          <t>Hp</t>
        </is>
      </c>
      <c r="Y74" s="68" t="n">
        <v>90000</v>
      </c>
      <c r="Z74" s="68" t="inlineStr">
        <is>
          <t>Atk</t>
        </is>
      </c>
      <c r="AA74" s="68" t="n">
        <v>1012</v>
      </c>
      <c r="AB74" s="68" t="inlineStr">
        <is>
          <t>Def</t>
        </is>
      </c>
      <c r="AC74" s="68" t="n">
        <v>0</v>
      </c>
      <c r="AD74" s="68" t="inlineStr">
        <is>
          <t>Penetration</t>
        </is>
      </c>
      <c r="AE74" s="68" t="n">
        <v>0</v>
      </c>
      <c r="AF74" s="68" t="inlineStr">
        <is>
          <t>Hit</t>
        </is>
      </c>
      <c r="AG74" s="68" t="n">
        <v>120</v>
      </c>
      <c r="AH74" s="68" t="inlineStr">
        <is>
          <t>Dodge</t>
        </is>
      </c>
      <c r="AI74" s="68" t="n">
        <v>80</v>
      </c>
      <c r="AJ74" s="68" t="inlineStr">
        <is>
          <t>CriRatio</t>
        </is>
      </c>
      <c r="AK74" s="68" t="n">
        <v>0</v>
      </c>
      <c r="AL74" s="68" t="inlineStr">
        <is>
          <t>CriDmgRatio</t>
        </is>
      </c>
      <c r="AM74" s="68" t="n">
        <v>150000</v>
      </c>
      <c r="AN74" s="68" t="n">
        <v>1821031</v>
      </c>
      <c r="AO74" s="68" t="b">
        <v>1</v>
      </c>
      <c r="AP74" s="68" t="n">
        <v>2821031</v>
      </c>
      <c r="AQ74" s="68" t="b">
        <v>1</v>
      </c>
      <c r="AR74" s="68" t="n">
        <v>0</v>
      </c>
      <c r="AS74" s="68" t="b">
        <v>0</v>
      </c>
      <c r="AT74" s="68" t="n">
        <v>0</v>
      </c>
      <c r="AU74" s="68" t="b">
        <v>0</v>
      </c>
    </row>
    <row r="75">
      <c r="A75" s="68" t="n">
        <v>22580304</v>
      </c>
      <c r="B75" s="68" t="inlineStr">
        <is>
          <t>픽시-목</t>
        </is>
      </c>
      <c r="C75" s="68" t="n">
        <v>225803</v>
      </c>
      <c r="D75" s="68" t="n">
        <v>0</v>
      </c>
      <c r="E75" s="68" t="inlineStr">
        <is>
          <t>character_name_22580304</t>
        </is>
      </c>
      <c r="G75" s="68" t="inlineStr">
        <is>
          <t>Normal</t>
        </is>
      </c>
      <c r="H75" s="68" t="inlineStr">
        <is>
          <t>Normal</t>
        </is>
      </c>
      <c r="I75" s="68" t="n">
        <v>4</v>
      </c>
      <c r="J75" s="24" t="inlineStr">
        <is>
          <t>1,1,1</t>
        </is>
      </c>
      <c r="K75" s="68" t="b">
        <v>1</v>
      </c>
      <c r="L75" s="24" t="inlineStr">
        <is>
          <t>0,0,0</t>
        </is>
      </c>
      <c r="M75" s="68" t="n">
        <v>2</v>
      </c>
      <c r="N75" s="68" t="inlineStr">
        <is>
          <t>Forest</t>
        </is>
      </c>
      <c r="O75" s="68" t="inlineStr">
        <is>
          <t>Attacker</t>
        </is>
      </c>
      <c r="P75" s="68" t="n">
        <v>200</v>
      </c>
      <c r="Q75" s="68">
        <f t="array" ref="Q75">_xlfn.IFS($O75="Attacker",6,$O75="Healer",3,$O75="Magician",4,$O75="Defender",3,$O75="Supporter",4)</f>
        <v/>
      </c>
      <c r="R75" s="68">
        <f t="array" ref="R75">_xlfn.IFS($O75="Attacker",6,$O75="Healer",3,$O75="Magician",4,$O75="Defender",3,$O75="Supporter",4)</f>
        <v/>
      </c>
      <c r="S75" s="68" t="n">
        <v>1</v>
      </c>
      <c r="T75" s="68" t="n">
        <v>0</v>
      </c>
      <c r="U75" s="68" t="n">
        <v>0</v>
      </c>
      <c r="V75" s="68" t="inlineStr">
        <is>
          <t>Spd</t>
        </is>
      </c>
      <c r="W75" s="68">
        <f t="array" ref="W75">_xlfn.IFS(O75="Attacker",80,O75="Healer",90,O75="Magician",100,O75="Defender",110,O75="Supporter",120)</f>
        <v/>
      </c>
      <c r="X75" s="68" t="inlineStr">
        <is>
          <t>Hp</t>
        </is>
      </c>
      <c r="Y75" s="68" t="n">
        <v>99000</v>
      </c>
      <c r="Z75" s="68" t="inlineStr">
        <is>
          <t>Atk</t>
        </is>
      </c>
      <c r="AA75" s="68" t="n">
        <v>1012</v>
      </c>
      <c r="AB75" s="68" t="inlineStr">
        <is>
          <t>Def</t>
        </is>
      </c>
      <c r="AC75" s="68" t="n">
        <v>0</v>
      </c>
      <c r="AD75" s="68" t="inlineStr">
        <is>
          <t>Penetration</t>
        </is>
      </c>
      <c r="AE75" s="68" t="n">
        <v>0</v>
      </c>
      <c r="AF75" s="68" t="inlineStr">
        <is>
          <t>Hit</t>
        </is>
      </c>
      <c r="AG75" s="68" t="n">
        <v>100</v>
      </c>
      <c r="AH75" s="68" t="inlineStr">
        <is>
          <t>Dodge</t>
        </is>
      </c>
      <c r="AI75" s="68" t="n">
        <v>80</v>
      </c>
      <c r="AJ75" s="68" t="inlineStr">
        <is>
          <t>CriRatio</t>
        </is>
      </c>
      <c r="AK75" s="68" t="n">
        <v>0</v>
      </c>
      <c r="AL75" s="68" t="inlineStr">
        <is>
          <t>CriDmgRatio</t>
        </is>
      </c>
      <c r="AM75" s="68" t="n">
        <v>150000</v>
      </c>
      <c r="AN75" s="68" t="n">
        <v>1831031</v>
      </c>
      <c r="AO75" s="68" t="b">
        <v>1</v>
      </c>
      <c r="AP75" s="68" t="n">
        <v>2831031</v>
      </c>
      <c r="AQ75" s="68" t="b">
        <v>1</v>
      </c>
      <c r="AR75" s="68" t="n">
        <v>0</v>
      </c>
      <c r="AS75" s="68" t="b">
        <v>0</v>
      </c>
      <c r="AT75" s="68" t="n">
        <v>0</v>
      </c>
      <c r="AU75" s="68" t="b">
        <v>0</v>
      </c>
    </row>
    <row r="76">
      <c r="A76" s="68" t="n">
        <v>22580404</v>
      </c>
      <c r="B76" s="68" t="inlineStr">
        <is>
          <t>픽시-광</t>
        </is>
      </c>
      <c r="C76" s="68" t="n">
        <v>225804</v>
      </c>
      <c r="D76" s="68" t="n">
        <v>0</v>
      </c>
      <c r="E76" s="68" t="inlineStr">
        <is>
          <t>character_name_22580404</t>
        </is>
      </c>
      <c r="G76" s="68" t="inlineStr">
        <is>
          <t>Normal</t>
        </is>
      </c>
      <c r="H76" s="68" t="inlineStr">
        <is>
          <t>Normal</t>
        </is>
      </c>
      <c r="I76" s="68" t="n">
        <v>4</v>
      </c>
      <c r="J76" s="24" t="inlineStr">
        <is>
          <t>1,1,1</t>
        </is>
      </c>
      <c r="K76" s="68" t="b">
        <v>1</v>
      </c>
      <c r="L76" s="24" t="inlineStr">
        <is>
          <t>0,0,0</t>
        </is>
      </c>
      <c r="M76" s="68" t="n">
        <v>2</v>
      </c>
      <c r="N76" s="68" t="inlineStr">
        <is>
          <t>Light</t>
        </is>
      </c>
      <c r="O76" s="68" t="inlineStr">
        <is>
          <t>Attacker</t>
        </is>
      </c>
      <c r="P76" s="68" t="n">
        <v>200</v>
      </c>
      <c r="Q76" s="68">
        <f t="array" ref="Q76">_xlfn.IFS($O76="Attacker",6,$O76="Healer",3,$O76="Magician",4,$O76="Defender",3,$O76="Supporter",4)</f>
        <v/>
      </c>
      <c r="R76" s="68">
        <f t="array" ref="R76">_xlfn.IFS($O76="Attacker",6,$O76="Healer",3,$O76="Magician",4,$O76="Defender",3,$O76="Supporter",4)</f>
        <v/>
      </c>
      <c r="S76" s="68" t="n">
        <v>1</v>
      </c>
      <c r="T76" s="68" t="n">
        <v>0</v>
      </c>
      <c r="U76" s="68" t="n">
        <v>0</v>
      </c>
      <c r="V76" s="68" t="inlineStr">
        <is>
          <t>Spd</t>
        </is>
      </c>
      <c r="W76" s="68">
        <f t="array" ref="W76">_xlfn.IFS(O76="Attacker",80,O76="Healer",90,O76="Magician",100,O76="Defender",110,O76="Supporter",120)</f>
        <v/>
      </c>
      <c r="X76" s="68" t="inlineStr">
        <is>
          <t>Hp</t>
        </is>
      </c>
      <c r="Y76" s="68" t="n">
        <v>90000</v>
      </c>
      <c r="Z76" s="68" t="inlineStr">
        <is>
          <t>Atk</t>
        </is>
      </c>
      <c r="AA76" s="68" t="n">
        <v>1012</v>
      </c>
      <c r="AB76" s="68" t="inlineStr">
        <is>
          <t>Def</t>
        </is>
      </c>
      <c r="AC76" s="68" t="n">
        <v>0</v>
      </c>
      <c r="AD76" s="68" t="inlineStr">
        <is>
          <t>Penetration</t>
        </is>
      </c>
      <c r="AE76" s="68" t="n">
        <v>0</v>
      </c>
      <c r="AF76" s="68" t="inlineStr">
        <is>
          <t>Hit</t>
        </is>
      </c>
      <c r="AG76" s="68" t="n">
        <v>100</v>
      </c>
      <c r="AH76" s="68" t="inlineStr">
        <is>
          <t>Dodge</t>
        </is>
      </c>
      <c r="AI76" s="68" t="n">
        <v>104</v>
      </c>
      <c r="AJ76" s="68" t="inlineStr">
        <is>
          <t>CriRatio</t>
        </is>
      </c>
      <c r="AK76" s="68" t="n">
        <v>0</v>
      </c>
      <c r="AL76" s="68" t="inlineStr">
        <is>
          <t>CriDmgRatio</t>
        </is>
      </c>
      <c r="AM76" s="68" t="n">
        <v>150000</v>
      </c>
      <c r="AN76" s="68" t="n">
        <v>1841031</v>
      </c>
      <c r="AO76" s="68" t="b">
        <v>1</v>
      </c>
      <c r="AP76" s="68" t="n">
        <v>2841031</v>
      </c>
      <c r="AQ76" s="68" t="b">
        <v>1</v>
      </c>
      <c r="AR76" s="68" t="n">
        <v>0</v>
      </c>
      <c r="AS76" s="68" t="b">
        <v>0</v>
      </c>
      <c r="AT76" s="68" t="n">
        <v>0</v>
      </c>
      <c r="AU76" s="68" t="b">
        <v>0</v>
      </c>
    </row>
    <row r="77">
      <c r="A77" s="29" t="n">
        <v>22580504</v>
      </c>
      <c r="B77" s="29" t="inlineStr">
        <is>
          <t>픽시-암</t>
        </is>
      </c>
      <c r="C77" s="29" t="n">
        <v>225805</v>
      </c>
      <c r="D77" s="29" t="n">
        <v>0</v>
      </c>
      <c r="E77" s="29" t="inlineStr">
        <is>
          <t>character_name_22580504</t>
        </is>
      </c>
      <c r="F77" s="29" t="n"/>
      <c r="G77" s="29" t="inlineStr">
        <is>
          <t>Normal</t>
        </is>
      </c>
      <c r="H77" s="29" t="inlineStr">
        <is>
          <t>Normal</t>
        </is>
      </c>
      <c r="I77" s="29" t="n">
        <v>4</v>
      </c>
      <c r="J77" s="27" t="inlineStr">
        <is>
          <t>1,1,1</t>
        </is>
      </c>
      <c r="K77" s="68" t="b">
        <v>1</v>
      </c>
      <c r="L77" s="27" t="inlineStr">
        <is>
          <t>0,0,0</t>
        </is>
      </c>
      <c r="M77" s="29" t="n">
        <v>2</v>
      </c>
      <c r="N77" s="29" t="inlineStr">
        <is>
          <t>Dark</t>
        </is>
      </c>
      <c r="O77" s="29" t="inlineStr">
        <is>
          <t>Attacker</t>
        </is>
      </c>
      <c r="P77" s="29" t="n">
        <v>200</v>
      </c>
      <c r="Q77" s="29">
        <f t="array" ref="Q77">_xlfn.IFS($O77="Attacker",6,$O77="Healer",3,$O77="Magician",4,$O77="Defender",3,$O77="Supporter",4)</f>
        <v/>
      </c>
      <c r="R77" s="29">
        <f t="array" ref="R77">_xlfn.IFS($O77="Attacker",6,$O77="Healer",3,$O77="Magician",4,$O77="Defender",3,$O77="Supporter",4)</f>
        <v/>
      </c>
      <c r="S77" s="29" t="n">
        <v>1</v>
      </c>
      <c r="T77" s="29" t="n">
        <v>0</v>
      </c>
      <c r="U77" s="29" t="n">
        <v>0</v>
      </c>
      <c r="V77" s="29" t="inlineStr">
        <is>
          <t>Spd</t>
        </is>
      </c>
      <c r="W77" s="29">
        <f t="array" ref="W77">_xlfn.IFS(O77="Attacker",80,O77="Healer",90,O77="Magician",100,O77="Defender",110,O77="Supporter",120)</f>
        <v/>
      </c>
      <c r="X77" s="29" t="inlineStr">
        <is>
          <t>Hp</t>
        </is>
      </c>
      <c r="Y77" s="68" t="n">
        <v>90000</v>
      </c>
      <c r="Z77" s="29" t="inlineStr">
        <is>
          <t>Atk</t>
        </is>
      </c>
      <c r="AA77" s="68" t="n">
        <v>1012</v>
      </c>
      <c r="AB77" s="29" t="inlineStr">
        <is>
          <t>Def</t>
        </is>
      </c>
      <c r="AC77" s="68" t="n">
        <v>0</v>
      </c>
      <c r="AD77" s="29" t="inlineStr">
        <is>
          <t>Penetration</t>
        </is>
      </c>
      <c r="AE77" s="29" t="n">
        <v>0</v>
      </c>
      <c r="AF77" s="29" t="inlineStr">
        <is>
          <t>Hit</t>
        </is>
      </c>
      <c r="AG77" s="29" t="n">
        <v>100</v>
      </c>
      <c r="AH77" s="29" t="inlineStr">
        <is>
          <t>Dodge</t>
        </is>
      </c>
      <c r="AI77" s="29" t="n">
        <v>80</v>
      </c>
      <c r="AJ77" s="29" t="inlineStr">
        <is>
          <t>CriRatio</t>
        </is>
      </c>
      <c r="AK77" s="29" t="n">
        <v>0</v>
      </c>
      <c r="AL77" s="29" t="inlineStr">
        <is>
          <t>CriDmgRatio</t>
        </is>
      </c>
      <c r="AM77" s="29" t="n">
        <v>150000</v>
      </c>
      <c r="AN77" s="29" t="n">
        <v>1851031</v>
      </c>
      <c r="AO77" s="29" t="b">
        <v>1</v>
      </c>
      <c r="AP77" s="29" t="n">
        <v>2851031</v>
      </c>
      <c r="AQ77" s="29" t="b">
        <v>1</v>
      </c>
      <c r="AR77" s="29" t="n">
        <v>0</v>
      </c>
      <c r="AS77" s="29" t="b">
        <v>0</v>
      </c>
      <c r="AT77" s="29" t="n">
        <v>0</v>
      </c>
      <c r="AU77" s="29" t="b">
        <v>0</v>
      </c>
    </row>
    <row r="78" customFormat="1" s="11">
      <c r="A78" s="68" t="n">
        <v>22580105</v>
      </c>
      <c r="B78" s="68" t="inlineStr">
        <is>
          <t>픽시-화</t>
        </is>
      </c>
      <c r="C78" s="68" t="n">
        <v>225801</v>
      </c>
      <c r="D78" s="68" t="n">
        <v>0</v>
      </c>
      <c r="E78" s="68" t="inlineStr">
        <is>
          <t>character_name_22580105</t>
        </is>
      </c>
      <c r="F78" s="68" t="n"/>
      <c r="G78" s="68" t="inlineStr">
        <is>
          <t>Normal</t>
        </is>
      </c>
      <c r="H78" s="68" t="inlineStr">
        <is>
          <t>Normal</t>
        </is>
      </c>
      <c r="I78" s="68" t="n">
        <v>5</v>
      </c>
      <c r="J78" s="24" t="inlineStr">
        <is>
          <t>1,1,1</t>
        </is>
      </c>
      <c r="K78" s="68" t="b">
        <v>1</v>
      </c>
      <c r="L78" s="24" t="inlineStr">
        <is>
          <t>0,0,0</t>
        </is>
      </c>
      <c r="M78" s="68" t="n">
        <v>2</v>
      </c>
      <c r="N78" s="68" t="inlineStr">
        <is>
          <t>Fire</t>
        </is>
      </c>
      <c r="O78" s="68" t="inlineStr">
        <is>
          <t>Attacker</t>
        </is>
      </c>
      <c r="P78" s="68" t="n">
        <v>200</v>
      </c>
      <c r="Q78" s="68">
        <f t="array" ref="Q78">_xlfn.IFS($O78="Attacker",6,$O78="Healer",3,$O78="Magician",4,$O78="Defender",3,$O78="Supporter",4)</f>
        <v/>
      </c>
      <c r="R78" s="68">
        <f t="array" ref="R78">_xlfn.IFS($O78="Attacker",6,$O78="Healer",3,$O78="Magician",4,$O78="Defender",3,$O78="Supporter",4)</f>
        <v/>
      </c>
      <c r="S78" s="68" t="n">
        <v>1</v>
      </c>
      <c r="T78" s="68" t="n">
        <v>0</v>
      </c>
      <c r="U78" s="68" t="n">
        <v>0</v>
      </c>
      <c r="V78" s="68" t="inlineStr">
        <is>
          <t>Spd</t>
        </is>
      </c>
      <c r="W78" s="68">
        <f t="array" ref="W78">_xlfn.IFS(O78="Attacker",80,O78="Healer",90,O78="Magician",100,O78="Defender",110,O78="Supporter",120)</f>
        <v/>
      </c>
      <c r="X78" s="68" t="inlineStr">
        <is>
          <t>Hp</t>
        </is>
      </c>
      <c r="Y78" s="68" t="n">
        <v>225000</v>
      </c>
      <c r="Z78" s="68" t="inlineStr">
        <is>
          <t>Atk</t>
        </is>
      </c>
      <c r="AA78" s="68" t="n">
        <v>1518</v>
      </c>
      <c r="AB78" s="68" t="inlineStr">
        <is>
          <t>Def</t>
        </is>
      </c>
      <c r="AC78" s="68" t="n">
        <v>0</v>
      </c>
      <c r="AD78" s="68" t="inlineStr">
        <is>
          <t>Penetration</t>
        </is>
      </c>
      <c r="AE78" s="68" t="n">
        <v>0</v>
      </c>
      <c r="AF78" s="68" t="inlineStr">
        <is>
          <t>Hit</t>
        </is>
      </c>
      <c r="AG78" s="68" t="n">
        <v>100</v>
      </c>
      <c r="AH78" s="68" t="inlineStr">
        <is>
          <t>Dodge</t>
        </is>
      </c>
      <c r="AI78" s="68" t="n">
        <v>80</v>
      </c>
      <c r="AJ78" s="68" t="inlineStr">
        <is>
          <t>CriRatio</t>
        </is>
      </c>
      <c r="AK78" s="68" t="n">
        <v>0</v>
      </c>
      <c r="AL78" s="68" t="inlineStr">
        <is>
          <t>CriDmgRatio</t>
        </is>
      </c>
      <c r="AM78" s="68" t="n">
        <v>150000</v>
      </c>
      <c r="AN78" s="68" t="n">
        <v>1811031</v>
      </c>
      <c r="AO78" s="68" t="b">
        <v>1</v>
      </c>
      <c r="AP78" s="68" t="n">
        <v>2811031</v>
      </c>
      <c r="AQ78" s="68" t="b">
        <v>1</v>
      </c>
      <c r="AR78" s="68" t="n">
        <v>0</v>
      </c>
      <c r="AS78" s="68" t="b">
        <v>0</v>
      </c>
      <c r="AT78" s="68" t="n">
        <v>0</v>
      </c>
      <c r="AU78" s="68" t="b">
        <v>0</v>
      </c>
    </row>
    <row r="79">
      <c r="A79" s="68" t="n">
        <v>22580205</v>
      </c>
      <c r="B79" s="68" t="inlineStr">
        <is>
          <t>픽시-수</t>
        </is>
      </c>
      <c r="C79" s="68" t="n">
        <v>225802</v>
      </c>
      <c r="D79" s="68" t="n">
        <v>0</v>
      </c>
      <c r="E79" s="68" t="inlineStr">
        <is>
          <t>character_name_22580205</t>
        </is>
      </c>
      <c r="G79" s="68" t="inlineStr">
        <is>
          <t>Normal</t>
        </is>
      </c>
      <c r="H79" s="68" t="inlineStr">
        <is>
          <t>Normal</t>
        </is>
      </c>
      <c r="I79" s="68" t="n">
        <v>5</v>
      </c>
      <c r="J79" s="24" t="inlineStr">
        <is>
          <t>1,1,1</t>
        </is>
      </c>
      <c r="K79" s="68" t="b">
        <v>1</v>
      </c>
      <c r="L79" s="24" t="inlineStr">
        <is>
          <t>0,0,0</t>
        </is>
      </c>
      <c r="M79" s="68" t="n">
        <v>2</v>
      </c>
      <c r="N79" s="68" t="inlineStr">
        <is>
          <t>Water</t>
        </is>
      </c>
      <c r="O79" s="68" t="inlineStr">
        <is>
          <t>Attacker</t>
        </is>
      </c>
      <c r="P79" s="68" t="n">
        <v>200</v>
      </c>
      <c r="Q79" s="68">
        <f t="array" ref="Q79">_xlfn.IFS($O79="Attacker",6,$O79="Healer",3,$O79="Magician",4,$O79="Defender",3,$O79="Supporter",4)</f>
        <v/>
      </c>
      <c r="R79" s="68">
        <f t="array" ref="R79">_xlfn.IFS($O79="Attacker",6,$O79="Healer",3,$O79="Magician",4,$O79="Defender",3,$O79="Supporter",4)</f>
        <v/>
      </c>
      <c r="S79" s="68" t="n">
        <v>1</v>
      </c>
      <c r="T79" s="68" t="n">
        <v>0</v>
      </c>
      <c r="U79" s="68" t="n">
        <v>0</v>
      </c>
      <c r="V79" s="68" t="inlineStr">
        <is>
          <t>Spd</t>
        </is>
      </c>
      <c r="W79" s="68">
        <f t="array" ref="W79">_xlfn.IFS(O79="Attacker",80,O79="Healer",90,O79="Magician",100,O79="Defender",110,O79="Supporter",120)</f>
        <v/>
      </c>
      <c r="X79" s="68" t="inlineStr">
        <is>
          <t>Hp</t>
        </is>
      </c>
      <c r="Y79" s="68" t="n">
        <v>225000</v>
      </c>
      <c r="Z79" s="68" t="inlineStr">
        <is>
          <t>Atk</t>
        </is>
      </c>
      <c r="AA79" s="68" t="n">
        <v>1518</v>
      </c>
      <c r="AB79" s="68" t="inlineStr">
        <is>
          <t>Def</t>
        </is>
      </c>
      <c r="AC79" s="68" t="n">
        <v>0</v>
      </c>
      <c r="AD79" s="68" t="inlineStr">
        <is>
          <t>Penetration</t>
        </is>
      </c>
      <c r="AE79" s="68" t="n">
        <v>0</v>
      </c>
      <c r="AF79" s="68" t="inlineStr">
        <is>
          <t>Hit</t>
        </is>
      </c>
      <c r="AG79" s="68" t="n">
        <v>120</v>
      </c>
      <c r="AH79" s="68" t="inlineStr">
        <is>
          <t>Dodge</t>
        </is>
      </c>
      <c r="AI79" s="68" t="n">
        <v>80</v>
      </c>
      <c r="AJ79" s="68" t="inlineStr">
        <is>
          <t>CriRatio</t>
        </is>
      </c>
      <c r="AK79" s="68" t="n">
        <v>0</v>
      </c>
      <c r="AL79" s="68" t="inlineStr">
        <is>
          <t>CriDmgRatio</t>
        </is>
      </c>
      <c r="AM79" s="68" t="n">
        <v>150000</v>
      </c>
      <c r="AN79" s="68" t="n">
        <v>1821031</v>
      </c>
      <c r="AO79" s="68" t="b">
        <v>1</v>
      </c>
      <c r="AP79" s="68" t="n">
        <v>2821031</v>
      </c>
      <c r="AQ79" s="68" t="b">
        <v>1</v>
      </c>
      <c r="AR79" s="68" t="n">
        <v>0</v>
      </c>
      <c r="AS79" s="68" t="b">
        <v>0</v>
      </c>
      <c r="AT79" s="68" t="n">
        <v>0</v>
      </c>
      <c r="AU79" s="68" t="b">
        <v>0</v>
      </c>
    </row>
    <row r="80">
      <c r="A80" s="68" t="n">
        <v>22580305</v>
      </c>
      <c r="B80" s="68" t="inlineStr">
        <is>
          <t>픽시-목</t>
        </is>
      </c>
      <c r="C80" s="68" t="n">
        <v>225803</v>
      </c>
      <c r="D80" s="68" t="n">
        <v>0</v>
      </c>
      <c r="E80" s="68" t="inlineStr">
        <is>
          <t>character_name_22580305</t>
        </is>
      </c>
      <c r="G80" s="68" t="inlineStr">
        <is>
          <t>Normal</t>
        </is>
      </c>
      <c r="H80" s="68" t="inlineStr">
        <is>
          <t>Normal</t>
        </is>
      </c>
      <c r="I80" s="68" t="n">
        <v>5</v>
      </c>
      <c r="J80" s="24" t="inlineStr">
        <is>
          <t>1,1,1</t>
        </is>
      </c>
      <c r="K80" s="68" t="b">
        <v>1</v>
      </c>
      <c r="L80" s="24" t="inlineStr">
        <is>
          <t>0,0,0</t>
        </is>
      </c>
      <c r="M80" s="68" t="n">
        <v>2</v>
      </c>
      <c r="N80" s="68" t="inlineStr">
        <is>
          <t>Forest</t>
        </is>
      </c>
      <c r="O80" s="68" t="inlineStr">
        <is>
          <t>Attacker</t>
        </is>
      </c>
      <c r="P80" s="68" t="n">
        <v>200</v>
      </c>
      <c r="Q80" s="68">
        <f t="array" ref="Q80">_xlfn.IFS($O80="Attacker",6,$O80="Healer",3,$O80="Magician",4,$O80="Defender",3,$O80="Supporter",4)</f>
        <v/>
      </c>
      <c r="R80" s="68">
        <f t="array" ref="R80">_xlfn.IFS($O80="Attacker",6,$O80="Healer",3,$O80="Magician",4,$O80="Defender",3,$O80="Supporter",4)</f>
        <v/>
      </c>
      <c r="S80" s="68" t="n">
        <v>1</v>
      </c>
      <c r="T80" s="68" t="n">
        <v>0</v>
      </c>
      <c r="U80" s="68" t="n">
        <v>0</v>
      </c>
      <c r="V80" s="68" t="inlineStr">
        <is>
          <t>Spd</t>
        </is>
      </c>
      <c r="W80" s="68">
        <f t="array" ref="W80">_xlfn.IFS(O80="Attacker",80,O80="Healer",90,O80="Magician",100,O80="Defender",110,O80="Supporter",120)</f>
        <v/>
      </c>
      <c r="X80" s="68" t="inlineStr">
        <is>
          <t>Hp</t>
        </is>
      </c>
      <c r="Y80" s="68" t="n">
        <v>247500</v>
      </c>
      <c r="Z80" s="68" t="inlineStr">
        <is>
          <t>Atk</t>
        </is>
      </c>
      <c r="AA80" s="68" t="n">
        <v>1518</v>
      </c>
      <c r="AB80" s="68" t="inlineStr">
        <is>
          <t>Def</t>
        </is>
      </c>
      <c r="AC80" s="68" t="n">
        <v>0</v>
      </c>
      <c r="AD80" s="68" t="inlineStr">
        <is>
          <t>Penetration</t>
        </is>
      </c>
      <c r="AE80" s="68" t="n">
        <v>0</v>
      </c>
      <c r="AF80" s="68" t="inlineStr">
        <is>
          <t>Hit</t>
        </is>
      </c>
      <c r="AG80" s="68" t="n">
        <v>100</v>
      </c>
      <c r="AH80" s="68" t="inlineStr">
        <is>
          <t>Dodge</t>
        </is>
      </c>
      <c r="AI80" s="68" t="n">
        <v>80</v>
      </c>
      <c r="AJ80" s="68" t="inlineStr">
        <is>
          <t>CriRatio</t>
        </is>
      </c>
      <c r="AK80" s="68" t="n">
        <v>0</v>
      </c>
      <c r="AL80" s="68" t="inlineStr">
        <is>
          <t>CriDmgRatio</t>
        </is>
      </c>
      <c r="AM80" s="68" t="n">
        <v>150000</v>
      </c>
      <c r="AN80" s="68" t="n">
        <v>1831031</v>
      </c>
      <c r="AO80" s="68" t="b">
        <v>1</v>
      </c>
      <c r="AP80" s="68" t="n">
        <v>2831031</v>
      </c>
      <c r="AQ80" s="68" t="b">
        <v>1</v>
      </c>
      <c r="AR80" s="68" t="n">
        <v>0</v>
      </c>
      <c r="AS80" s="68" t="b">
        <v>0</v>
      </c>
      <c r="AT80" s="68" t="n">
        <v>0</v>
      </c>
      <c r="AU80" s="68" t="b">
        <v>0</v>
      </c>
    </row>
    <row r="81">
      <c r="A81" s="68" t="n">
        <v>22580405</v>
      </c>
      <c r="B81" s="68" t="inlineStr">
        <is>
          <t>픽시-광</t>
        </is>
      </c>
      <c r="C81" s="68" t="n">
        <v>225804</v>
      </c>
      <c r="D81" s="68" t="n">
        <v>0</v>
      </c>
      <c r="E81" s="68" t="inlineStr">
        <is>
          <t>character_name_22580405</t>
        </is>
      </c>
      <c r="G81" s="68" t="inlineStr">
        <is>
          <t>Normal</t>
        </is>
      </c>
      <c r="H81" s="68" t="inlineStr">
        <is>
          <t>Normal</t>
        </is>
      </c>
      <c r="I81" s="68" t="n">
        <v>5</v>
      </c>
      <c r="J81" s="24" t="inlineStr">
        <is>
          <t>1,1,1</t>
        </is>
      </c>
      <c r="K81" s="68" t="b">
        <v>1</v>
      </c>
      <c r="L81" s="24" t="inlineStr">
        <is>
          <t>0,0,0</t>
        </is>
      </c>
      <c r="M81" s="68" t="n">
        <v>2</v>
      </c>
      <c r="N81" s="68" t="inlineStr">
        <is>
          <t>Light</t>
        </is>
      </c>
      <c r="O81" s="68" t="inlineStr">
        <is>
          <t>Attacker</t>
        </is>
      </c>
      <c r="P81" s="68" t="n">
        <v>200</v>
      </c>
      <c r="Q81" s="68">
        <f t="array" ref="Q81">_xlfn.IFS($O81="Attacker",6,$O81="Healer",3,$O81="Magician",4,$O81="Defender",3,$O81="Supporter",4)</f>
        <v/>
      </c>
      <c r="R81" s="68">
        <f t="array" ref="R81">_xlfn.IFS($O81="Attacker",6,$O81="Healer",3,$O81="Magician",4,$O81="Defender",3,$O81="Supporter",4)</f>
        <v/>
      </c>
      <c r="S81" s="68" t="n">
        <v>1</v>
      </c>
      <c r="T81" s="68" t="n">
        <v>0</v>
      </c>
      <c r="U81" s="68" t="n">
        <v>0</v>
      </c>
      <c r="V81" s="68" t="inlineStr">
        <is>
          <t>Spd</t>
        </is>
      </c>
      <c r="W81" s="68">
        <f t="array" ref="W81">_xlfn.IFS(O81="Attacker",80,O81="Healer",90,O81="Magician",100,O81="Defender",110,O81="Supporter",120)</f>
        <v/>
      </c>
      <c r="X81" s="68" t="inlineStr">
        <is>
          <t>Hp</t>
        </is>
      </c>
      <c r="Y81" s="68" t="n">
        <v>225000</v>
      </c>
      <c r="Z81" s="68" t="inlineStr">
        <is>
          <t>Atk</t>
        </is>
      </c>
      <c r="AA81" s="68" t="n">
        <v>1518</v>
      </c>
      <c r="AB81" s="68" t="inlineStr">
        <is>
          <t>Def</t>
        </is>
      </c>
      <c r="AC81" s="68" t="n">
        <v>0</v>
      </c>
      <c r="AD81" s="68" t="inlineStr">
        <is>
          <t>Penetration</t>
        </is>
      </c>
      <c r="AE81" s="68" t="n">
        <v>0</v>
      </c>
      <c r="AF81" s="68" t="inlineStr">
        <is>
          <t>Hit</t>
        </is>
      </c>
      <c r="AG81" s="68" t="n">
        <v>100</v>
      </c>
      <c r="AH81" s="68" t="inlineStr">
        <is>
          <t>Dodge</t>
        </is>
      </c>
      <c r="AI81" s="68" t="n">
        <v>104</v>
      </c>
      <c r="AJ81" s="68" t="inlineStr">
        <is>
          <t>CriRatio</t>
        </is>
      </c>
      <c r="AK81" s="68" t="n">
        <v>0</v>
      </c>
      <c r="AL81" s="68" t="inlineStr">
        <is>
          <t>CriDmgRatio</t>
        </is>
      </c>
      <c r="AM81" s="68" t="n">
        <v>150000</v>
      </c>
      <c r="AN81" s="68" t="n">
        <v>1841031</v>
      </c>
      <c r="AO81" s="68" t="b">
        <v>1</v>
      </c>
      <c r="AP81" s="68" t="n">
        <v>2841031</v>
      </c>
      <c r="AQ81" s="68" t="b">
        <v>1</v>
      </c>
      <c r="AR81" s="68" t="n">
        <v>0</v>
      </c>
      <c r="AS81" s="68" t="b">
        <v>0</v>
      </c>
      <c r="AT81" s="68" t="n">
        <v>0</v>
      </c>
      <c r="AU81" s="68" t="b">
        <v>0</v>
      </c>
    </row>
    <row r="82">
      <c r="A82" s="29" t="n">
        <v>22580505</v>
      </c>
      <c r="B82" s="29" t="inlineStr">
        <is>
          <t>픽시-암</t>
        </is>
      </c>
      <c r="C82" s="29" t="n">
        <v>225805</v>
      </c>
      <c r="D82" s="29" t="n">
        <v>0</v>
      </c>
      <c r="E82" s="29" t="inlineStr">
        <is>
          <t>character_name_22580505</t>
        </is>
      </c>
      <c r="F82" s="29" t="n"/>
      <c r="G82" s="29" t="inlineStr">
        <is>
          <t>Normal</t>
        </is>
      </c>
      <c r="H82" s="29" t="inlineStr">
        <is>
          <t>Normal</t>
        </is>
      </c>
      <c r="I82" s="29" t="n">
        <v>5</v>
      </c>
      <c r="J82" s="27" t="inlineStr">
        <is>
          <t>1,1,1</t>
        </is>
      </c>
      <c r="K82" s="68" t="b">
        <v>1</v>
      </c>
      <c r="L82" s="27" t="inlineStr">
        <is>
          <t>0,0,0</t>
        </is>
      </c>
      <c r="M82" s="29" t="n">
        <v>2</v>
      </c>
      <c r="N82" s="29" t="inlineStr">
        <is>
          <t>Dark</t>
        </is>
      </c>
      <c r="O82" s="29" t="inlineStr">
        <is>
          <t>Attacker</t>
        </is>
      </c>
      <c r="P82" s="29" t="n">
        <v>200</v>
      </c>
      <c r="Q82" s="29">
        <f t="array" ref="Q82">_xlfn.IFS($O82="Attacker",6,$O82="Healer",3,$O82="Magician",4,$O82="Defender",3,$O82="Supporter",4)</f>
        <v/>
      </c>
      <c r="R82" s="29">
        <f t="array" ref="R82">_xlfn.IFS($O82="Attacker",6,$O82="Healer",3,$O82="Magician",4,$O82="Defender",3,$O82="Supporter",4)</f>
        <v/>
      </c>
      <c r="S82" s="29" t="n">
        <v>1</v>
      </c>
      <c r="T82" s="29" t="n">
        <v>0</v>
      </c>
      <c r="U82" s="29" t="n">
        <v>0</v>
      </c>
      <c r="V82" s="29" t="inlineStr">
        <is>
          <t>Spd</t>
        </is>
      </c>
      <c r="W82" s="29">
        <f t="array" ref="W82">_xlfn.IFS(O82="Attacker",80,O82="Healer",90,O82="Magician",100,O82="Defender",110,O82="Supporter",120)</f>
        <v/>
      </c>
      <c r="X82" s="29" t="inlineStr">
        <is>
          <t>Hp</t>
        </is>
      </c>
      <c r="Y82" s="68" t="n">
        <v>225000</v>
      </c>
      <c r="Z82" s="29" t="inlineStr">
        <is>
          <t>Atk</t>
        </is>
      </c>
      <c r="AA82" s="68" t="n">
        <v>1518</v>
      </c>
      <c r="AB82" s="29" t="inlineStr">
        <is>
          <t>Def</t>
        </is>
      </c>
      <c r="AC82" s="68" t="n">
        <v>0</v>
      </c>
      <c r="AD82" s="29" t="inlineStr">
        <is>
          <t>Penetration</t>
        </is>
      </c>
      <c r="AE82" s="29" t="n">
        <v>0</v>
      </c>
      <c r="AF82" s="29" t="inlineStr">
        <is>
          <t>Hit</t>
        </is>
      </c>
      <c r="AG82" s="29" t="n">
        <v>100</v>
      </c>
      <c r="AH82" s="29" t="inlineStr">
        <is>
          <t>Dodge</t>
        </is>
      </c>
      <c r="AI82" s="29" t="n">
        <v>80</v>
      </c>
      <c r="AJ82" s="29" t="inlineStr">
        <is>
          <t>CriRatio</t>
        </is>
      </c>
      <c r="AK82" s="29" t="n">
        <v>0</v>
      </c>
      <c r="AL82" s="29" t="inlineStr">
        <is>
          <t>CriDmgRatio</t>
        </is>
      </c>
      <c r="AM82" s="29" t="n">
        <v>150000</v>
      </c>
      <c r="AN82" s="29" t="n">
        <v>1851031</v>
      </c>
      <c r="AO82" s="29" t="b">
        <v>1</v>
      </c>
      <c r="AP82" s="29" t="n">
        <v>2851031</v>
      </c>
      <c r="AQ82" s="29" t="b">
        <v>1</v>
      </c>
      <c r="AR82" s="29" t="n">
        <v>0</v>
      </c>
      <c r="AS82" s="29" t="b">
        <v>0</v>
      </c>
      <c r="AT82" s="29" t="n">
        <v>0</v>
      </c>
      <c r="AU82" s="29" t="b">
        <v>0</v>
      </c>
    </row>
    <row r="83" customFormat="1" s="11">
      <c r="A83" s="68" t="n">
        <v>29000101</v>
      </c>
      <c r="B83" s="68" t="inlineStr">
        <is>
          <t>슬라임킹-화</t>
        </is>
      </c>
      <c r="C83" s="68" t="n">
        <v>290001</v>
      </c>
      <c r="D83" s="68" t="n">
        <v>0</v>
      </c>
      <c r="E83" s="68" t="inlineStr">
        <is>
          <t>character_name_29000101</t>
        </is>
      </c>
      <c r="F83" s="68" t="n"/>
      <c r="G83" s="68" t="inlineStr">
        <is>
          <t>Boss</t>
        </is>
      </c>
      <c r="H83" s="68" t="inlineStr">
        <is>
          <t>Normal</t>
        </is>
      </c>
      <c r="I83" s="68" t="n">
        <v>1</v>
      </c>
      <c r="J83" s="24" t="inlineStr">
        <is>
          <t>1,1,1</t>
        </is>
      </c>
      <c r="K83" s="68" t="b">
        <v>0</v>
      </c>
      <c r="L83" s="24" t="inlineStr">
        <is>
          <t>0,0,0</t>
        </is>
      </c>
      <c r="M83" s="68" t="n">
        <v>2</v>
      </c>
      <c r="N83" s="68" t="inlineStr">
        <is>
          <t>Fire</t>
        </is>
      </c>
      <c r="O83" s="68" t="inlineStr">
        <is>
          <t>Defender</t>
        </is>
      </c>
      <c r="P83" s="68" t="n">
        <v>200</v>
      </c>
      <c r="Q83" s="68">
        <f t="array" ref="Q83">_xlfn.IFS($O83="Attacker",6,$O83="Healer",3,$O83="Magician",4,$O83="Defender",3,$O83="Supporter",4)</f>
        <v/>
      </c>
      <c r="R83" s="68">
        <f t="array" ref="R83">_xlfn.IFS($O83="Attacker",6,$O83="Healer",3,$O83="Magician",4,$O83="Defender",3,$O83="Supporter",4)</f>
        <v/>
      </c>
      <c r="S83" s="68" t="n">
        <v>1</v>
      </c>
      <c r="T83" s="68" t="n">
        <v>0</v>
      </c>
      <c r="U83" s="68" t="n">
        <v>0</v>
      </c>
      <c r="V83" s="68" t="inlineStr">
        <is>
          <t>Spd</t>
        </is>
      </c>
      <c r="W83" s="68">
        <f t="array" ref="W83">_xlfn.IFS(O83="Attacker",80,O83="Healer",90,O83="Magician",100,O83="Defender",110,O83="Supporter",120)</f>
        <v/>
      </c>
      <c r="X83" s="68" t="inlineStr">
        <is>
          <t>Hp</t>
        </is>
      </c>
      <c r="Y83" s="68" t="n">
        <v>1500</v>
      </c>
      <c r="Z83" s="68" t="inlineStr">
        <is>
          <t>Atk</t>
        </is>
      </c>
      <c r="AA83" s="68" t="n">
        <v>500</v>
      </c>
      <c r="AB83" s="68" t="inlineStr">
        <is>
          <t>Def</t>
        </is>
      </c>
      <c r="AC83" s="68" t="n">
        <v>0</v>
      </c>
      <c r="AD83" s="68" t="inlineStr">
        <is>
          <t>Penetration</t>
        </is>
      </c>
      <c r="AE83" s="68" t="n">
        <v>0</v>
      </c>
      <c r="AF83" s="68" t="inlineStr">
        <is>
          <t>Hit</t>
        </is>
      </c>
      <c r="AG83" s="68" t="n">
        <v>100</v>
      </c>
      <c r="AH83" s="68" t="inlineStr">
        <is>
          <t>Dodge</t>
        </is>
      </c>
      <c r="AI83" s="68" t="n">
        <v>100</v>
      </c>
      <c r="AJ83" s="68" t="inlineStr">
        <is>
          <t>CriRatio</t>
        </is>
      </c>
      <c r="AK83" s="68" t="n">
        <v>5000</v>
      </c>
      <c r="AL83" s="68" t="inlineStr">
        <is>
          <t>CriDmgRatio</t>
        </is>
      </c>
      <c r="AM83" s="68" t="n">
        <v>150000</v>
      </c>
      <c r="AN83" s="68" t="n">
        <v>1812021</v>
      </c>
      <c r="AO83" s="68" t="b">
        <v>1</v>
      </c>
      <c r="AP83" s="68" t="n">
        <v>0</v>
      </c>
      <c r="AQ83" s="68" t="b">
        <v>0</v>
      </c>
      <c r="AR83" s="68" t="n">
        <v>3812021</v>
      </c>
      <c r="AS83" s="68" t="b">
        <v>1</v>
      </c>
      <c r="AT83" s="68" t="n">
        <v>0</v>
      </c>
      <c r="AU83" s="68" t="b">
        <v>0</v>
      </c>
    </row>
    <row r="84">
      <c r="A84" s="68" t="n">
        <v>29000201</v>
      </c>
      <c r="B84" s="68" t="inlineStr">
        <is>
          <t>슬라임킹-수</t>
        </is>
      </c>
      <c r="C84" s="68" t="n">
        <v>290002</v>
      </c>
      <c r="D84" s="68" t="n">
        <v>0</v>
      </c>
      <c r="E84" s="68" t="inlineStr">
        <is>
          <t>character_name_29000201</t>
        </is>
      </c>
      <c r="G84" s="68" t="inlineStr">
        <is>
          <t>Boss</t>
        </is>
      </c>
      <c r="H84" s="68" t="inlineStr">
        <is>
          <t>Normal</t>
        </is>
      </c>
      <c r="I84" s="68" t="n">
        <v>1</v>
      </c>
      <c r="J84" s="24" t="inlineStr">
        <is>
          <t>1,1,1</t>
        </is>
      </c>
      <c r="K84" s="68" t="b">
        <v>0</v>
      </c>
      <c r="L84" s="24" t="inlineStr">
        <is>
          <t>0,0,0</t>
        </is>
      </c>
      <c r="M84" s="68" t="n">
        <v>2</v>
      </c>
      <c r="N84" s="68" t="inlineStr">
        <is>
          <t>Water</t>
        </is>
      </c>
      <c r="O84" s="68" t="inlineStr">
        <is>
          <t>Defender</t>
        </is>
      </c>
      <c r="P84" s="68" t="n">
        <v>200</v>
      </c>
      <c r="Q84" s="68">
        <f t="array" ref="Q84">_xlfn.IFS($O84="Attacker",6,$O84="Healer",3,$O84="Magician",4,$O84="Defender",3,$O84="Supporter",4)</f>
        <v/>
      </c>
      <c r="R84" s="68">
        <f t="array" ref="R84">_xlfn.IFS($O84="Attacker",6,$O84="Healer",3,$O84="Magician",4,$O84="Defender",3,$O84="Supporter",4)</f>
        <v/>
      </c>
      <c r="S84" s="68" t="n">
        <v>1</v>
      </c>
      <c r="T84" s="68" t="n">
        <v>0</v>
      </c>
      <c r="U84" s="68" t="n">
        <v>0</v>
      </c>
      <c r="V84" s="68" t="inlineStr">
        <is>
          <t>Spd</t>
        </is>
      </c>
      <c r="W84" s="68">
        <f t="array" ref="W84">_xlfn.IFS(O84="Attacker",80,O84="Healer",90,O84="Magician",100,O84="Defender",110,O84="Supporter",120)</f>
        <v/>
      </c>
      <c r="X84" s="68" t="inlineStr">
        <is>
          <t>Hp</t>
        </is>
      </c>
      <c r="Y84" s="68" t="n">
        <v>1500</v>
      </c>
      <c r="Z84" s="68" t="inlineStr">
        <is>
          <t>Atk</t>
        </is>
      </c>
      <c r="AA84" s="68" t="n">
        <v>500</v>
      </c>
      <c r="AB84" s="68" t="inlineStr">
        <is>
          <t>Def</t>
        </is>
      </c>
      <c r="AC84" s="68" t="n">
        <v>0</v>
      </c>
      <c r="AD84" s="68" t="inlineStr">
        <is>
          <t>Penetration</t>
        </is>
      </c>
      <c r="AE84" s="68" t="n">
        <v>0</v>
      </c>
      <c r="AF84" s="68" t="inlineStr">
        <is>
          <t>Hit</t>
        </is>
      </c>
      <c r="AG84" s="68" t="n">
        <v>100</v>
      </c>
      <c r="AH84" s="68" t="inlineStr">
        <is>
          <t>Dodge</t>
        </is>
      </c>
      <c r="AI84" s="68" t="n">
        <v>100</v>
      </c>
      <c r="AJ84" s="68" t="inlineStr">
        <is>
          <t>CriRatio</t>
        </is>
      </c>
      <c r="AK84" s="68" t="n">
        <v>5000</v>
      </c>
      <c r="AL84" s="68" t="inlineStr">
        <is>
          <t>CriDmgRatio</t>
        </is>
      </c>
      <c r="AM84" s="68" t="n">
        <v>150000</v>
      </c>
      <c r="AN84" s="68" t="n">
        <v>1822021</v>
      </c>
      <c r="AO84" s="68" t="b">
        <v>1</v>
      </c>
      <c r="AP84" s="68" t="n">
        <v>0</v>
      </c>
      <c r="AQ84" s="68" t="b">
        <v>0</v>
      </c>
      <c r="AR84" s="68" t="n">
        <v>3822021</v>
      </c>
      <c r="AS84" s="68" t="b">
        <v>1</v>
      </c>
      <c r="AT84" s="68" t="n">
        <v>0</v>
      </c>
      <c r="AU84" s="68" t="b">
        <v>0</v>
      </c>
    </row>
    <row r="85">
      <c r="A85" s="68" t="n">
        <v>29000301</v>
      </c>
      <c r="B85" s="68" t="inlineStr">
        <is>
          <t>슬라임킹-목</t>
        </is>
      </c>
      <c r="C85" s="68" t="n">
        <v>290003</v>
      </c>
      <c r="D85" s="68" t="n">
        <v>0</v>
      </c>
      <c r="E85" s="68" t="inlineStr">
        <is>
          <t>character_name_29000301</t>
        </is>
      </c>
      <c r="G85" s="68" t="inlineStr">
        <is>
          <t>Boss</t>
        </is>
      </c>
      <c r="H85" s="68" t="inlineStr">
        <is>
          <t>Normal</t>
        </is>
      </c>
      <c r="I85" s="68" t="n">
        <v>1</v>
      </c>
      <c r="J85" s="24" t="inlineStr">
        <is>
          <t>1,1,1</t>
        </is>
      </c>
      <c r="K85" s="68" t="b">
        <v>0</v>
      </c>
      <c r="L85" s="24" t="inlineStr">
        <is>
          <t>0,0,0</t>
        </is>
      </c>
      <c r="M85" s="68" t="n">
        <v>2</v>
      </c>
      <c r="N85" s="68" t="inlineStr">
        <is>
          <t>Forest</t>
        </is>
      </c>
      <c r="O85" s="68" t="inlineStr">
        <is>
          <t>Defender</t>
        </is>
      </c>
      <c r="P85" s="68" t="n">
        <v>200</v>
      </c>
      <c r="Q85" s="68">
        <f t="array" ref="Q85">_xlfn.IFS($O85="Attacker",6,$O85="Healer",3,$O85="Magician",4,$O85="Defender",3,$O85="Supporter",4)</f>
        <v/>
      </c>
      <c r="R85" s="68">
        <f t="array" ref="R85">_xlfn.IFS($O85="Attacker",6,$O85="Healer",3,$O85="Magician",4,$O85="Defender",3,$O85="Supporter",4)</f>
        <v/>
      </c>
      <c r="S85" s="68" t="n">
        <v>1</v>
      </c>
      <c r="T85" s="68" t="n">
        <v>0</v>
      </c>
      <c r="U85" s="68" t="n">
        <v>0</v>
      </c>
      <c r="V85" s="68" t="inlineStr">
        <is>
          <t>Spd</t>
        </is>
      </c>
      <c r="W85" s="68">
        <f t="array" ref="W85">_xlfn.IFS(O85="Attacker",80,O85="Healer",90,O85="Magician",100,O85="Defender",110,O85="Supporter",120)</f>
        <v/>
      </c>
      <c r="X85" s="68" t="inlineStr">
        <is>
          <t>Hp</t>
        </is>
      </c>
      <c r="Y85" s="68" t="n">
        <v>1500</v>
      </c>
      <c r="Z85" s="68" t="inlineStr">
        <is>
          <t>Atk</t>
        </is>
      </c>
      <c r="AA85" s="68" t="n">
        <v>500</v>
      </c>
      <c r="AB85" s="68" t="inlineStr">
        <is>
          <t>Def</t>
        </is>
      </c>
      <c r="AC85" s="68" t="n">
        <v>0</v>
      </c>
      <c r="AD85" s="68" t="inlineStr">
        <is>
          <t>Penetration</t>
        </is>
      </c>
      <c r="AE85" s="68" t="n">
        <v>0</v>
      </c>
      <c r="AF85" s="68" t="inlineStr">
        <is>
          <t>Hit</t>
        </is>
      </c>
      <c r="AG85" s="68" t="n">
        <v>100</v>
      </c>
      <c r="AH85" s="68" t="inlineStr">
        <is>
          <t>Dodge</t>
        </is>
      </c>
      <c r="AI85" s="68" t="n">
        <v>100</v>
      </c>
      <c r="AJ85" s="68" t="inlineStr">
        <is>
          <t>CriRatio</t>
        </is>
      </c>
      <c r="AK85" s="68" t="n">
        <v>5000</v>
      </c>
      <c r="AL85" s="68" t="inlineStr">
        <is>
          <t>CriDmgRatio</t>
        </is>
      </c>
      <c r="AM85" s="68" t="n">
        <v>150000</v>
      </c>
      <c r="AN85" s="68" t="n">
        <v>1832021</v>
      </c>
      <c r="AO85" s="68" t="b">
        <v>1</v>
      </c>
      <c r="AP85" s="68" t="n">
        <v>0</v>
      </c>
      <c r="AQ85" s="68" t="b">
        <v>0</v>
      </c>
      <c r="AR85" s="68" t="n">
        <v>3832021</v>
      </c>
      <c r="AS85" s="68" t="b">
        <v>1</v>
      </c>
      <c r="AT85" s="68" t="n">
        <v>0</v>
      </c>
      <c r="AU85" s="68" t="b">
        <v>0</v>
      </c>
    </row>
    <row r="86">
      <c r="A86" s="68" t="n">
        <v>29000401</v>
      </c>
      <c r="B86" s="68" t="inlineStr">
        <is>
          <t>슬라임킹-광</t>
        </is>
      </c>
      <c r="C86" s="68" t="n">
        <v>290004</v>
      </c>
      <c r="D86" s="68" t="n">
        <v>0</v>
      </c>
      <c r="E86" s="68" t="inlineStr">
        <is>
          <t>character_name_29000401</t>
        </is>
      </c>
      <c r="G86" s="68" t="inlineStr">
        <is>
          <t>Boss</t>
        </is>
      </c>
      <c r="H86" s="68" t="inlineStr">
        <is>
          <t>Normal</t>
        </is>
      </c>
      <c r="I86" s="68" t="n">
        <v>1</v>
      </c>
      <c r="J86" s="24" t="inlineStr">
        <is>
          <t>1,1,1</t>
        </is>
      </c>
      <c r="K86" s="68" t="b">
        <v>0</v>
      </c>
      <c r="L86" s="24" t="inlineStr">
        <is>
          <t>0,0,0</t>
        </is>
      </c>
      <c r="M86" s="68" t="n">
        <v>2</v>
      </c>
      <c r="N86" s="68" t="inlineStr">
        <is>
          <t>Light</t>
        </is>
      </c>
      <c r="O86" s="68" t="inlineStr">
        <is>
          <t>Defender</t>
        </is>
      </c>
      <c r="P86" s="68" t="n">
        <v>200</v>
      </c>
      <c r="Q86" s="68">
        <f t="array" ref="Q86">_xlfn.IFS($O86="Attacker",6,$O86="Healer",3,$O86="Magician",4,$O86="Defender",3,$O86="Supporter",4)</f>
        <v/>
      </c>
      <c r="R86" s="68">
        <f t="array" ref="R86">_xlfn.IFS($O86="Attacker",6,$O86="Healer",3,$O86="Magician",4,$O86="Defender",3,$O86="Supporter",4)</f>
        <v/>
      </c>
      <c r="S86" s="68" t="n">
        <v>1</v>
      </c>
      <c r="T86" s="68" t="n">
        <v>0</v>
      </c>
      <c r="U86" s="68" t="n">
        <v>0</v>
      </c>
      <c r="V86" s="68" t="inlineStr">
        <is>
          <t>Spd</t>
        </is>
      </c>
      <c r="W86" s="68">
        <f t="array" ref="W86">_xlfn.IFS(O86="Attacker",80,O86="Healer",90,O86="Magician",100,O86="Defender",110,O86="Supporter",120)</f>
        <v/>
      </c>
      <c r="X86" s="68" t="inlineStr">
        <is>
          <t>Hp</t>
        </is>
      </c>
      <c r="Y86" s="68" t="n">
        <v>1500</v>
      </c>
      <c r="Z86" s="68" t="inlineStr">
        <is>
          <t>Atk</t>
        </is>
      </c>
      <c r="AA86" s="68" t="n">
        <v>500</v>
      </c>
      <c r="AB86" s="68" t="inlineStr">
        <is>
          <t>Def</t>
        </is>
      </c>
      <c r="AC86" s="68" t="n">
        <v>0</v>
      </c>
      <c r="AD86" s="68" t="inlineStr">
        <is>
          <t>Penetration</t>
        </is>
      </c>
      <c r="AE86" s="68" t="n">
        <v>0</v>
      </c>
      <c r="AF86" s="68" t="inlineStr">
        <is>
          <t>Hit</t>
        </is>
      </c>
      <c r="AG86" s="68" t="n">
        <v>100</v>
      </c>
      <c r="AH86" s="68" t="inlineStr">
        <is>
          <t>Dodge</t>
        </is>
      </c>
      <c r="AI86" s="68" t="n">
        <v>100</v>
      </c>
      <c r="AJ86" s="68" t="inlineStr">
        <is>
          <t>CriRatio</t>
        </is>
      </c>
      <c r="AK86" s="68" t="n">
        <v>5000</v>
      </c>
      <c r="AL86" s="68" t="inlineStr">
        <is>
          <t>CriDmgRatio</t>
        </is>
      </c>
      <c r="AM86" s="68" t="n">
        <v>150000</v>
      </c>
      <c r="AN86" s="68" t="n">
        <v>1852021</v>
      </c>
      <c r="AO86" s="68" t="b">
        <v>1</v>
      </c>
      <c r="AP86" s="68" t="n">
        <v>0</v>
      </c>
      <c r="AQ86" s="68" t="b">
        <v>0</v>
      </c>
      <c r="AR86" s="68" t="n">
        <v>3852021</v>
      </c>
      <c r="AS86" s="68" t="b">
        <v>1</v>
      </c>
      <c r="AT86" s="68" t="n">
        <v>0</v>
      </c>
      <c r="AU86" s="68" t="b">
        <v>0</v>
      </c>
    </row>
    <row r="87">
      <c r="A87" s="29" t="n">
        <v>29000501</v>
      </c>
      <c r="B87" s="29" t="inlineStr">
        <is>
          <t>슬라임킹-암</t>
        </is>
      </c>
      <c r="C87" s="29" t="n">
        <v>290005</v>
      </c>
      <c r="D87" s="29" t="n">
        <v>0</v>
      </c>
      <c r="E87" s="29" t="inlineStr">
        <is>
          <t>character_name_29000501</t>
        </is>
      </c>
      <c r="F87" s="29" t="n"/>
      <c r="G87" s="29" t="inlineStr">
        <is>
          <t>Boss</t>
        </is>
      </c>
      <c r="H87" s="29" t="inlineStr">
        <is>
          <t>Normal</t>
        </is>
      </c>
      <c r="I87" s="29" t="n">
        <v>1</v>
      </c>
      <c r="J87" s="27" t="inlineStr">
        <is>
          <t>1,1,1</t>
        </is>
      </c>
      <c r="K87" s="68" t="b">
        <v>0</v>
      </c>
      <c r="L87" s="27" t="inlineStr">
        <is>
          <t>0,0,0</t>
        </is>
      </c>
      <c r="M87" s="29" t="n">
        <v>2</v>
      </c>
      <c r="N87" s="29" t="inlineStr">
        <is>
          <t>Dark</t>
        </is>
      </c>
      <c r="O87" s="29" t="inlineStr">
        <is>
          <t>Defender</t>
        </is>
      </c>
      <c r="P87" s="29" t="n">
        <v>200</v>
      </c>
      <c r="Q87" s="29">
        <f t="array" ref="Q87">_xlfn.IFS($O87="Attacker",6,$O87="Healer",3,$O87="Magician",4,$O87="Defender",3,$O87="Supporter",4)</f>
        <v/>
      </c>
      <c r="R87" s="29">
        <f t="array" ref="R87">_xlfn.IFS($O87="Attacker",6,$O87="Healer",3,$O87="Magician",4,$O87="Defender",3,$O87="Supporter",4)</f>
        <v/>
      </c>
      <c r="S87" s="29" t="n">
        <v>1</v>
      </c>
      <c r="T87" s="29" t="n">
        <v>0</v>
      </c>
      <c r="U87" s="29" t="n">
        <v>0</v>
      </c>
      <c r="V87" s="29" t="inlineStr">
        <is>
          <t>Spd</t>
        </is>
      </c>
      <c r="W87" s="29">
        <f t="array" ref="W87">_xlfn.IFS(O87="Attacker",80,O87="Healer",90,O87="Magician",100,O87="Defender",110,O87="Supporter",120)</f>
        <v/>
      </c>
      <c r="X87" s="29" t="inlineStr">
        <is>
          <t>Hp</t>
        </is>
      </c>
      <c r="Y87" s="29" t="n">
        <v>1500</v>
      </c>
      <c r="Z87" s="29" t="inlineStr">
        <is>
          <t>Atk</t>
        </is>
      </c>
      <c r="AA87" s="29" t="n">
        <v>500</v>
      </c>
      <c r="AB87" s="29" t="inlineStr">
        <is>
          <t>Def</t>
        </is>
      </c>
      <c r="AC87" s="68" t="n">
        <v>0</v>
      </c>
      <c r="AD87" s="29" t="inlineStr">
        <is>
          <t>Penetration</t>
        </is>
      </c>
      <c r="AE87" s="29" t="n">
        <v>0</v>
      </c>
      <c r="AF87" s="29" t="inlineStr">
        <is>
          <t>Hit</t>
        </is>
      </c>
      <c r="AG87" s="29" t="n">
        <v>100</v>
      </c>
      <c r="AH87" s="29" t="inlineStr">
        <is>
          <t>Dodge</t>
        </is>
      </c>
      <c r="AI87" s="29" t="n">
        <v>100</v>
      </c>
      <c r="AJ87" s="29" t="inlineStr">
        <is>
          <t>CriRatio</t>
        </is>
      </c>
      <c r="AK87" s="29" t="n">
        <v>5000</v>
      </c>
      <c r="AL87" s="29" t="inlineStr">
        <is>
          <t>CriDmgRatio</t>
        </is>
      </c>
      <c r="AM87" s="29" t="n">
        <v>150000</v>
      </c>
      <c r="AN87" s="29" t="n">
        <v>1852021</v>
      </c>
      <c r="AO87" s="29" t="b">
        <v>1</v>
      </c>
      <c r="AP87" s="29" t="n">
        <v>0</v>
      </c>
      <c r="AQ87" s="29" t="b">
        <v>0</v>
      </c>
      <c r="AR87" s="29" t="n">
        <v>3852021</v>
      </c>
      <c r="AS87" s="68" t="b">
        <v>1</v>
      </c>
      <c r="AT87" s="29" t="n">
        <v>0</v>
      </c>
      <c r="AU87" s="29" t="b">
        <v>0</v>
      </c>
    </row>
    <row r="88" customFormat="1" s="11">
      <c r="A88" s="68" t="n">
        <v>29000102</v>
      </c>
      <c r="B88" s="68" t="inlineStr">
        <is>
          <t>슬라임킹-화</t>
        </is>
      </c>
      <c r="C88" s="68" t="n">
        <v>290001</v>
      </c>
      <c r="D88" s="68" t="n">
        <v>0</v>
      </c>
      <c r="E88" s="68" t="inlineStr">
        <is>
          <t>character_name_29000102</t>
        </is>
      </c>
      <c r="F88" s="68" t="n"/>
      <c r="G88" s="68" t="inlineStr">
        <is>
          <t>Boss</t>
        </is>
      </c>
      <c r="H88" s="68" t="inlineStr">
        <is>
          <t>Normal</t>
        </is>
      </c>
      <c r="I88" s="68" t="n">
        <v>2</v>
      </c>
      <c r="J88" s="24" t="inlineStr">
        <is>
          <t>1,1,1</t>
        </is>
      </c>
      <c r="K88" s="68" t="b">
        <v>0</v>
      </c>
      <c r="L88" s="24" t="inlineStr">
        <is>
          <t>0,0,0</t>
        </is>
      </c>
      <c r="M88" s="68" t="n">
        <v>2</v>
      </c>
      <c r="N88" s="68" t="inlineStr">
        <is>
          <t>Fire</t>
        </is>
      </c>
      <c r="O88" s="68" t="inlineStr">
        <is>
          <t>Defender</t>
        </is>
      </c>
      <c r="P88" s="68" t="n">
        <v>200</v>
      </c>
      <c r="Q88" s="68">
        <f t="array" ref="Q88">_xlfn.IFS($O88="Attacker",6,$O88="Healer",3,$O88="Magician",4,$O88="Defender",3,$O88="Supporter",4)</f>
        <v/>
      </c>
      <c r="R88" s="68">
        <f t="array" ref="R88">_xlfn.IFS($O88="Attacker",6,$O88="Healer",3,$O88="Magician",4,$O88="Defender",3,$O88="Supporter",4)</f>
        <v/>
      </c>
      <c r="S88" s="68" t="n">
        <v>1</v>
      </c>
      <c r="T88" s="68" t="n">
        <v>0</v>
      </c>
      <c r="U88" s="68" t="n">
        <v>0</v>
      </c>
      <c r="V88" s="68" t="inlineStr">
        <is>
          <t>Spd</t>
        </is>
      </c>
      <c r="W88" s="68">
        <f t="array" ref="W88">_xlfn.IFS(O88="Attacker",80,O88="Healer",90,O88="Magician",100,O88="Defender",110,O88="Supporter",120)</f>
        <v/>
      </c>
      <c r="X88" s="68" t="inlineStr">
        <is>
          <t>Hp</t>
        </is>
      </c>
      <c r="Y88" s="68" t="n">
        <v>1500</v>
      </c>
      <c r="Z88" s="68" t="inlineStr">
        <is>
          <t>Atk</t>
        </is>
      </c>
      <c r="AA88" s="68" t="n">
        <v>500</v>
      </c>
      <c r="AB88" s="68" t="inlineStr">
        <is>
          <t>Def</t>
        </is>
      </c>
      <c r="AC88" s="68" t="n">
        <v>20</v>
      </c>
      <c r="AD88" s="68" t="inlineStr">
        <is>
          <t>Penetration</t>
        </is>
      </c>
      <c r="AE88" s="68" t="n">
        <v>0</v>
      </c>
      <c r="AF88" s="68" t="inlineStr">
        <is>
          <t>Hit</t>
        </is>
      </c>
      <c r="AG88" s="68" t="n">
        <v>100</v>
      </c>
      <c r="AH88" s="68" t="inlineStr">
        <is>
          <t>Dodge</t>
        </is>
      </c>
      <c r="AI88" s="68" t="n">
        <v>100</v>
      </c>
      <c r="AJ88" s="68" t="inlineStr">
        <is>
          <t>CriRatio</t>
        </is>
      </c>
      <c r="AK88" s="68" t="n">
        <v>5000</v>
      </c>
      <c r="AL88" s="68" t="inlineStr">
        <is>
          <t>CriDmgRatio</t>
        </is>
      </c>
      <c r="AM88" s="68" t="n">
        <v>150000</v>
      </c>
      <c r="AN88" s="68" t="n">
        <v>1812021</v>
      </c>
      <c r="AO88" s="68" t="b">
        <v>1</v>
      </c>
      <c r="AP88" s="68" t="n">
        <v>0</v>
      </c>
      <c r="AQ88" s="68" t="b">
        <v>0</v>
      </c>
      <c r="AR88" s="68" t="n">
        <v>3812021</v>
      </c>
      <c r="AS88" s="68" t="b">
        <v>1</v>
      </c>
      <c r="AT88" s="68" t="n">
        <v>0</v>
      </c>
      <c r="AU88" s="68" t="b">
        <v>0</v>
      </c>
    </row>
    <row r="89">
      <c r="A89" s="68" t="n">
        <v>29000202</v>
      </c>
      <c r="B89" s="68" t="inlineStr">
        <is>
          <t>슬라임킹-수</t>
        </is>
      </c>
      <c r="C89" s="68" t="n">
        <v>290002</v>
      </c>
      <c r="D89" s="68" t="n">
        <v>0</v>
      </c>
      <c r="E89" s="68" t="inlineStr">
        <is>
          <t>character_name_29000202</t>
        </is>
      </c>
      <c r="G89" s="68" t="inlineStr">
        <is>
          <t>Boss</t>
        </is>
      </c>
      <c r="H89" s="68" t="inlineStr">
        <is>
          <t>Normal</t>
        </is>
      </c>
      <c r="I89" s="68" t="n">
        <v>2</v>
      </c>
      <c r="J89" s="24" t="inlineStr">
        <is>
          <t>1,1,1</t>
        </is>
      </c>
      <c r="K89" s="68" t="b">
        <v>0</v>
      </c>
      <c r="L89" s="24" t="inlineStr">
        <is>
          <t>0,0,0</t>
        </is>
      </c>
      <c r="M89" s="68" t="n">
        <v>2</v>
      </c>
      <c r="N89" s="68" t="inlineStr">
        <is>
          <t>Water</t>
        </is>
      </c>
      <c r="O89" s="68" t="inlineStr">
        <is>
          <t>Defender</t>
        </is>
      </c>
      <c r="P89" s="68" t="n">
        <v>200</v>
      </c>
      <c r="Q89" s="68">
        <f t="array" ref="Q89">_xlfn.IFS($O89="Attacker",6,$O89="Healer",3,$O89="Magician",4,$O89="Defender",3,$O89="Supporter",4)</f>
        <v/>
      </c>
      <c r="R89" s="68">
        <f t="array" ref="R89">_xlfn.IFS($O89="Attacker",6,$O89="Healer",3,$O89="Magician",4,$O89="Defender",3,$O89="Supporter",4)</f>
        <v/>
      </c>
      <c r="S89" s="68" t="n">
        <v>1</v>
      </c>
      <c r="T89" s="68" t="n">
        <v>0</v>
      </c>
      <c r="U89" s="68" t="n">
        <v>0</v>
      </c>
      <c r="V89" s="68" t="inlineStr">
        <is>
          <t>Spd</t>
        </is>
      </c>
      <c r="W89" s="68">
        <f t="array" ref="W89">_xlfn.IFS(O89="Attacker",80,O89="Healer",90,O89="Magician",100,O89="Defender",110,O89="Supporter",120)</f>
        <v/>
      </c>
      <c r="X89" s="68" t="inlineStr">
        <is>
          <t>Hp</t>
        </is>
      </c>
      <c r="Y89" s="68" t="n">
        <v>1500</v>
      </c>
      <c r="Z89" s="68" t="inlineStr">
        <is>
          <t>Atk</t>
        </is>
      </c>
      <c r="AA89" s="68" t="n">
        <v>500</v>
      </c>
      <c r="AB89" s="68" t="inlineStr">
        <is>
          <t>Def</t>
        </is>
      </c>
      <c r="AC89" s="68" t="n">
        <v>20</v>
      </c>
      <c r="AD89" s="68" t="inlineStr">
        <is>
          <t>Penetration</t>
        </is>
      </c>
      <c r="AE89" s="68" t="n">
        <v>0</v>
      </c>
      <c r="AF89" s="68" t="inlineStr">
        <is>
          <t>Hit</t>
        </is>
      </c>
      <c r="AG89" s="68" t="n">
        <v>100</v>
      </c>
      <c r="AH89" s="68" t="inlineStr">
        <is>
          <t>Dodge</t>
        </is>
      </c>
      <c r="AI89" s="68" t="n">
        <v>100</v>
      </c>
      <c r="AJ89" s="68" t="inlineStr">
        <is>
          <t>CriRatio</t>
        </is>
      </c>
      <c r="AK89" s="68" t="n">
        <v>5000</v>
      </c>
      <c r="AL89" s="68" t="inlineStr">
        <is>
          <t>CriDmgRatio</t>
        </is>
      </c>
      <c r="AM89" s="68" t="n">
        <v>150000</v>
      </c>
      <c r="AN89" s="68" t="n">
        <v>1822021</v>
      </c>
      <c r="AO89" s="68" t="b">
        <v>1</v>
      </c>
      <c r="AP89" s="68" t="n">
        <v>0</v>
      </c>
      <c r="AQ89" s="68" t="b">
        <v>0</v>
      </c>
      <c r="AR89" s="68" t="n">
        <v>3822021</v>
      </c>
      <c r="AS89" s="68" t="b">
        <v>1</v>
      </c>
      <c r="AT89" s="68" t="n">
        <v>0</v>
      </c>
      <c r="AU89" s="68" t="b">
        <v>0</v>
      </c>
    </row>
    <row r="90">
      <c r="A90" s="68" t="n">
        <v>29000302</v>
      </c>
      <c r="B90" s="68" t="inlineStr">
        <is>
          <t>슬라임킹-목</t>
        </is>
      </c>
      <c r="C90" s="68" t="n">
        <v>290003</v>
      </c>
      <c r="D90" s="68" t="n">
        <v>0</v>
      </c>
      <c r="E90" s="68" t="inlineStr">
        <is>
          <t>character_name_29000302</t>
        </is>
      </c>
      <c r="G90" s="68" t="inlineStr">
        <is>
          <t>Boss</t>
        </is>
      </c>
      <c r="H90" s="68" t="inlineStr">
        <is>
          <t>Normal</t>
        </is>
      </c>
      <c r="I90" s="68" t="n">
        <v>2</v>
      </c>
      <c r="J90" s="24" t="inlineStr">
        <is>
          <t>1,1,1</t>
        </is>
      </c>
      <c r="K90" s="68" t="b">
        <v>0</v>
      </c>
      <c r="L90" s="24" t="inlineStr">
        <is>
          <t>0,0,0</t>
        </is>
      </c>
      <c r="M90" s="68" t="n">
        <v>2</v>
      </c>
      <c r="N90" s="68" t="inlineStr">
        <is>
          <t>Forest</t>
        </is>
      </c>
      <c r="O90" s="68" t="inlineStr">
        <is>
          <t>Defender</t>
        </is>
      </c>
      <c r="P90" s="68" t="n">
        <v>200</v>
      </c>
      <c r="Q90" s="68">
        <f t="array" ref="Q90">_xlfn.IFS($O90="Attacker",6,$O90="Healer",3,$O90="Magician",4,$O90="Defender",3,$O90="Supporter",4)</f>
        <v/>
      </c>
      <c r="R90" s="68">
        <f t="array" ref="R90">_xlfn.IFS($O90="Attacker",6,$O90="Healer",3,$O90="Magician",4,$O90="Defender",3,$O90="Supporter",4)</f>
        <v/>
      </c>
      <c r="S90" s="68" t="n">
        <v>1</v>
      </c>
      <c r="T90" s="68" t="n">
        <v>0</v>
      </c>
      <c r="U90" s="68" t="n">
        <v>0</v>
      </c>
      <c r="V90" s="68" t="inlineStr">
        <is>
          <t>Spd</t>
        </is>
      </c>
      <c r="W90" s="68">
        <f t="array" ref="W90">_xlfn.IFS(O90="Attacker",80,O90="Healer",90,O90="Magician",100,O90="Defender",110,O90="Supporter",120)</f>
        <v/>
      </c>
      <c r="X90" s="68" t="inlineStr">
        <is>
          <t>Hp</t>
        </is>
      </c>
      <c r="Y90" s="68" t="n">
        <v>1500</v>
      </c>
      <c r="Z90" s="68" t="inlineStr">
        <is>
          <t>Atk</t>
        </is>
      </c>
      <c r="AA90" s="68" t="n">
        <v>500</v>
      </c>
      <c r="AB90" s="68" t="inlineStr">
        <is>
          <t>Def</t>
        </is>
      </c>
      <c r="AC90" s="68" t="n">
        <v>20</v>
      </c>
      <c r="AD90" s="68" t="inlineStr">
        <is>
          <t>Penetration</t>
        </is>
      </c>
      <c r="AE90" s="68" t="n">
        <v>0</v>
      </c>
      <c r="AF90" s="68" t="inlineStr">
        <is>
          <t>Hit</t>
        </is>
      </c>
      <c r="AG90" s="68" t="n">
        <v>100</v>
      </c>
      <c r="AH90" s="68" t="inlineStr">
        <is>
          <t>Dodge</t>
        </is>
      </c>
      <c r="AI90" s="68" t="n">
        <v>100</v>
      </c>
      <c r="AJ90" s="68" t="inlineStr">
        <is>
          <t>CriRatio</t>
        </is>
      </c>
      <c r="AK90" s="68" t="n">
        <v>5000</v>
      </c>
      <c r="AL90" s="68" t="inlineStr">
        <is>
          <t>CriDmgRatio</t>
        </is>
      </c>
      <c r="AM90" s="68" t="n">
        <v>150000</v>
      </c>
      <c r="AN90" s="68" t="n">
        <v>1832021</v>
      </c>
      <c r="AO90" s="68" t="b">
        <v>1</v>
      </c>
      <c r="AP90" s="68" t="n">
        <v>0</v>
      </c>
      <c r="AQ90" s="68" t="b">
        <v>0</v>
      </c>
      <c r="AR90" s="68" t="n">
        <v>3832021</v>
      </c>
      <c r="AS90" s="68" t="b">
        <v>1</v>
      </c>
      <c r="AT90" s="68" t="n">
        <v>0</v>
      </c>
      <c r="AU90" s="68" t="b">
        <v>0</v>
      </c>
    </row>
    <row r="91">
      <c r="A91" s="68" t="n">
        <v>29000402</v>
      </c>
      <c r="B91" s="68" t="inlineStr">
        <is>
          <t>슬라임킹-광</t>
        </is>
      </c>
      <c r="C91" s="68" t="n">
        <v>290004</v>
      </c>
      <c r="D91" s="68" t="n">
        <v>0</v>
      </c>
      <c r="E91" s="68" t="inlineStr">
        <is>
          <t>character_name_29000402</t>
        </is>
      </c>
      <c r="G91" s="68" t="inlineStr">
        <is>
          <t>Boss</t>
        </is>
      </c>
      <c r="H91" s="68" t="inlineStr">
        <is>
          <t>Normal</t>
        </is>
      </c>
      <c r="I91" s="68" t="n">
        <v>2</v>
      </c>
      <c r="J91" s="24" t="inlineStr">
        <is>
          <t>1,1,1</t>
        </is>
      </c>
      <c r="K91" s="68" t="b">
        <v>0</v>
      </c>
      <c r="L91" s="24" t="inlineStr">
        <is>
          <t>0,0,0</t>
        </is>
      </c>
      <c r="M91" s="68" t="n">
        <v>2</v>
      </c>
      <c r="N91" s="68" t="inlineStr">
        <is>
          <t>Light</t>
        </is>
      </c>
      <c r="O91" s="68" t="inlineStr">
        <is>
          <t>Defender</t>
        </is>
      </c>
      <c r="P91" s="68" t="n">
        <v>200</v>
      </c>
      <c r="Q91" s="68">
        <f t="array" ref="Q91">_xlfn.IFS($O91="Attacker",6,$O91="Healer",3,$O91="Magician",4,$O91="Defender",3,$O91="Supporter",4)</f>
        <v/>
      </c>
      <c r="R91" s="68">
        <f t="array" ref="R91">_xlfn.IFS($O91="Attacker",6,$O91="Healer",3,$O91="Magician",4,$O91="Defender",3,$O91="Supporter",4)</f>
        <v/>
      </c>
      <c r="S91" s="68" t="n">
        <v>1</v>
      </c>
      <c r="T91" s="68" t="n">
        <v>0</v>
      </c>
      <c r="U91" s="68" t="n">
        <v>0</v>
      </c>
      <c r="V91" s="68" t="inlineStr">
        <is>
          <t>Spd</t>
        </is>
      </c>
      <c r="W91" s="68">
        <f t="array" ref="W91">_xlfn.IFS(O91="Attacker",80,O91="Healer",90,O91="Magician",100,O91="Defender",110,O91="Supporter",120)</f>
        <v/>
      </c>
      <c r="X91" s="68" t="inlineStr">
        <is>
          <t>Hp</t>
        </is>
      </c>
      <c r="Y91" s="68" t="n">
        <v>1500</v>
      </c>
      <c r="Z91" s="68" t="inlineStr">
        <is>
          <t>Atk</t>
        </is>
      </c>
      <c r="AA91" s="68" t="n">
        <v>500</v>
      </c>
      <c r="AB91" s="68" t="inlineStr">
        <is>
          <t>Def</t>
        </is>
      </c>
      <c r="AC91" s="68" t="n">
        <v>20</v>
      </c>
      <c r="AD91" s="68" t="inlineStr">
        <is>
          <t>Penetration</t>
        </is>
      </c>
      <c r="AE91" s="68" t="n">
        <v>0</v>
      </c>
      <c r="AF91" s="68" t="inlineStr">
        <is>
          <t>Hit</t>
        </is>
      </c>
      <c r="AG91" s="68" t="n">
        <v>100</v>
      </c>
      <c r="AH91" s="68" t="inlineStr">
        <is>
          <t>Dodge</t>
        </is>
      </c>
      <c r="AI91" s="68" t="n">
        <v>100</v>
      </c>
      <c r="AJ91" s="68" t="inlineStr">
        <is>
          <t>CriRatio</t>
        </is>
      </c>
      <c r="AK91" s="68" t="n">
        <v>5000</v>
      </c>
      <c r="AL91" s="68" t="inlineStr">
        <is>
          <t>CriDmgRatio</t>
        </is>
      </c>
      <c r="AM91" s="68" t="n">
        <v>150000</v>
      </c>
      <c r="AN91" s="68" t="n">
        <v>1842021</v>
      </c>
      <c r="AO91" s="68" t="b">
        <v>1</v>
      </c>
      <c r="AP91" s="68" t="n">
        <v>0</v>
      </c>
      <c r="AQ91" s="68" t="b">
        <v>0</v>
      </c>
      <c r="AR91" s="68" t="n">
        <v>3842021</v>
      </c>
      <c r="AS91" s="68" t="b">
        <v>1</v>
      </c>
      <c r="AT91" s="68" t="n">
        <v>0</v>
      </c>
      <c r="AU91" s="68" t="b">
        <v>0</v>
      </c>
    </row>
    <row r="92">
      <c r="A92" s="29" t="n">
        <v>29000502</v>
      </c>
      <c r="B92" s="29" t="inlineStr">
        <is>
          <t>슬라임킹-암</t>
        </is>
      </c>
      <c r="C92" s="29" t="n">
        <v>290005</v>
      </c>
      <c r="D92" s="29" t="n">
        <v>0</v>
      </c>
      <c r="E92" s="29" t="inlineStr">
        <is>
          <t>character_name_29000502</t>
        </is>
      </c>
      <c r="F92" s="29" t="n"/>
      <c r="G92" s="29" t="inlineStr">
        <is>
          <t>Boss</t>
        </is>
      </c>
      <c r="H92" s="29" t="inlineStr">
        <is>
          <t>Normal</t>
        </is>
      </c>
      <c r="I92" s="29" t="n">
        <v>2</v>
      </c>
      <c r="J92" s="27" t="inlineStr">
        <is>
          <t>1,1,1</t>
        </is>
      </c>
      <c r="K92" s="68" t="b">
        <v>0</v>
      </c>
      <c r="L92" s="27" t="inlineStr">
        <is>
          <t>0,0,0</t>
        </is>
      </c>
      <c r="M92" s="29" t="n">
        <v>2</v>
      </c>
      <c r="N92" s="29" t="inlineStr">
        <is>
          <t>Dark</t>
        </is>
      </c>
      <c r="O92" s="29" t="inlineStr">
        <is>
          <t>Defender</t>
        </is>
      </c>
      <c r="P92" s="29" t="n">
        <v>200</v>
      </c>
      <c r="Q92" s="29">
        <f t="array" ref="Q92">_xlfn.IFS($O92="Attacker",6,$O92="Healer",3,$O92="Magician",4,$O92="Defender",3,$O92="Supporter",4)</f>
        <v/>
      </c>
      <c r="R92" s="29">
        <f t="array" ref="R92">_xlfn.IFS($O92="Attacker",6,$O92="Healer",3,$O92="Magician",4,$O92="Defender",3,$O92="Supporter",4)</f>
        <v/>
      </c>
      <c r="S92" s="29" t="n">
        <v>1</v>
      </c>
      <c r="T92" s="29" t="n">
        <v>0</v>
      </c>
      <c r="U92" s="29" t="n">
        <v>0</v>
      </c>
      <c r="V92" s="29" t="inlineStr">
        <is>
          <t>Spd</t>
        </is>
      </c>
      <c r="W92" s="29">
        <f t="array" ref="W92">_xlfn.IFS(O92="Attacker",80,O92="Healer",90,O92="Magician",100,O92="Defender",110,O92="Supporter",120)</f>
        <v/>
      </c>
      <c r="X92" s="29" t="inlineStr">
        <is>
          <t>Hp</t>
        </is>
      </c>
      <c r="Y92" s="29" t="n">
        <v>1500</v>
      </c>
      <c r="Z92" s="29" t="inlineStr">
        <is>
          <t>Atk</t>
        </is>
      </c>
      <c r="AA92" s="29" t="n">
        <v>500</v>
      </c>
      <c r="AB92" s="29" t="inlineStr">
        <is>
          <t>Def</t>
        </is>
      </c>
      <c r="AC92" s="68" t="n">
        <v>20</v>
      </c>
      <c r="AD92" s="29" t="inlineStr">
        <is>
          <t>Penetration</t>
        </is>
      </c>
      <c r="AE92" s="29" t="n">
        <v>0</v>
      </c>
      <c r="AF92" s="29" t="inlineStr">
        <is>
          <t>Hit</t>
        </is>
      </c>
      <c r="AG92" s="29" t="n">
        <v>100</v>
      </c>
      <c r="AH92" s="29" t="inlineStr">
        <is>
          <t>Dodge</t>
        </is>
      </c>
      <c r="AI92" s="29" t="n">
        <v>100</v>
      </c>
      <c r="AJ92" s="29" t="inlineStr">
        <is>
          <t>CriRatio</t>
        </is>
      </c>
      <c r="AK92" s="29" t="n">
        <v>5000</v>
      </c>
      <c r="AL92" s="29" t="inlineStr">
        <is>
          <t>CriDmgRatio</t>
        </is>
      </c>
      <c r="AM92" s="29" t="n">
        <v>150000</v>
      </c>
      <c r="AN92" s="29" t="n">
        <v>1852021</v>
      </c>
      <c r="AO92" s="29" t="b">
        <v>1</v>
      </c>
      <c r="AP92" s="29" t="n">
        <v>0</v>
      </c>
      <c r="AQ92" s="29" t="b">
        <v>0</v>
      </c>
      <c r="AR92" s="29" t="n">
        <v>3852021</v>
      </c>
      <c r="AS92" s="68" t="b">
        <v>1</v>
      </c>
      <c r="AT92" s="29" t="n">
        <v>0</v>
      </c>
      <c r="AU92" s="29" t="b">
        <v>0</v>
      </c>
    </row>
    <row r="93" customFormat="1" s="11">
      <c r="A93" s="68" t="n">
        <v>29000103</v>
      </c>
      <c r="B93" s="68" t="inlineStr">
        <is>
          <t>슬라임킹-화</t>
        </is>
      </c>
      <c r="C93" s="68" t="n">
        <v>290001</v>
      </c>
      <c r="D93" s="68" t="n">
        <v>0</v>
      </c>
      <c r="E93" s="68" t="inlineStr">
        <is>
          <t>character_name_29000103</t>
        </is>
      </c>
      <c r="F93" s="68" t="n"/>
      <c r="G93" s="68" t="inlineStr">
        <is>
          <t>Boss</t>
        </is>
      </c>
      <c r="H93" s="68" t="inlineStr">
        <is>
          <t>Normal</t>
        </is>
      </c>
      <c r="I93" s="68" t="n">
        <v>3</v>
      </c>
      <c r="J93" s="24" t="inlineStr">
        <is>
          <t>1,1,1</t>
        </is>
      </c>
      <c r="K93" s="68" t="b">
        <v>0</v>
      </c>
      <c r="L93" s="24" t="inlineStr">
        <is>
          <t>0,0,0</t>
        </is>
      </c>
      <c r="M93" s="68" t="n">
        <v>2</v>
      </c>
      <c r="N93" s="68" t="inlineStr">
        <is>
          <t>Fire</t>
        </is>
      </c>
      <c r="O93" s="68" t="inlineStr">
        <is>
          <t>Defender</t>
        </is>
      </c>
      <c r="P93" s="68" t="n">
        <v>200</v>
      </c>
      <c r="Q93" s="68">
        <f t="array" ref="Q93">_xlfn.IFS($O93="Attacker",6,$O93="Healer",3,$O93="Magician",4,$O93="Defender",3,$O93="Supporter",4)</f>
        <v/>
      </c>
      <c r="R93" s="68">
        <f t="array" ref="R93">_xlfn.IFS($O93="Attacker",6,$O93="Healer",3,$O93="Magician",4,$O93="Defender",3,$O93="Supporter",4)</f>
        <v/>
      </c>
      <c r="S93" s="68" t="n">
        <v>1</v>
      </c>
      <c r="T93" s="68" t="n">
        <v>0</v>
      </c>
      <c r="U93" s="68" t="n">
        <v>0</v>
      </c>
      <c r="V93" s="68" t="inlineStr">
        <is>
          <t>Spd</t>
        </is>
      </c>
      <c r="W93" s="68">
        <f t="array" ref="W93">_xlfn.IFS(O93="Attacker",80,O93="Healer",90,O93="Magician",100,O93="Defender",110,O93="Supporter",120)</f>
        <v/>
      </c>
      <c r="X93" s="68" t="inlineStr">
        <is>
          <t>Hp</t>
        </is>
      </c>
      <c r="Y93" s="68" t="n">
        <v>281250</v>
      </c>
      <c r="Z93" s="68" t="inlineStr">
        <is>
          <t>Atk</t>
        </is>
      </c>
      <c r="AA93" s="68" t="n">
        <v>1125</v>
      </c>
      <c r="AB93" s="68" t="inlineStr">
        <is>
          <t>Def</t>
        </is>
      </c>
      <c r="AC93" s="68" t="n">
        <v>0</v>
      </c>
      <c r="AD93" s="68" t="inlineStr">
        <is>
          <t>Penetration</t>
        </is>
      </c>
      <c r="AE93" s="68" t="n">
        <v>0</v>
      </c>
      <c r="AF93" s="68" t="inlineStr">
        <is>
          <t>Hit</t>
        </is>
      </c>
      <c r="AG93" s="68" t="n">
        <v>100</v>
      </c>
      <c r="AH93" s="68" t="inlineStr">
        <is>
          <t>Dodge</t>
        </is>
      </c>
      <c r="AI93" s="68" t="n">
        <v>80</v>
      </c>
      <c r="AJ93" s="68" t="inlineStr">
        <is>
          <t>CriRatio</t>
        </is>
      </c>
      <c r="AK93" s="68" t="n">
        <v>5000</v>
      </c>
      <c r="AL93" s="68" t="inlineStr">
        <is>
          <t>CriDmgRatio</t>
        </is>
      </c>
      <c r="AM93" s="68" t="n">
        <v>150000</v>
      </c>
      <c r="AN93" s="68" t="n">
        <v>1812021</v>
      </c>
      <c r="AO93" s="68" t="b">
        <v>1</v>
      </c>
      <c r="AP93" s="68" t="n">
        <v>0</v>
      </c>
      <c r="AQ93" s="68" t="b">
        <v>0</v>
      </c>
      <c r="AR93" s="68" t="n">
        <v>3812021</v>
      </c>
      <c r="AS93" s="68" t="b">
        <v>1</v>
      </c>
      <c r="AT93" s="68" t="n">
        <v>0</v>
      </c>
      <c r="AU93" s="68" t="b">
        <v>0</v>
      </c>
    </row>
    <row r="94">
      <c r="A94" s="68" t="n">
        <v>29000203</v>
      </c>
      <c r="B94" s="68" t="inlineStr">
        <is>
          <t>슬라임킹-수</t>
        </is>
      </c>
      <c r="C94" s="68" t="n">
        <v>290002</v>
      </c>
      <c r="D94" s="68" t="n">
        <v>0</v>
      </c>
      <c r="E94" s="68" t="inlineStr">
        <is>
          <t>character_name_29000203</t>
        </is>
      </c>
      <c r="G94" s="68" t="inlineStr">
        <is>
          <t>Boss</t>
        </is>
      </c>
      <c r="H94" s="68" t="inlineStr">
        <is>
          <t>Normal</t>
        </is>
      </c>
      <c r="I94" s="68" t="n">
        <v>3</v>
      </c>
      <c r="J94" s="24" t="inlineStr">
        <is>
          <t>1,1,1</t>
        </is>
      </c>
      <c r="K94" s="68" t="b">
        <v>0</v>
      </c>
      <c r="L94" s="24" t="inlineStr">
        <is>
          <t>0,0,0</t>
        </is>
      </c>
      <c r="M94" s="68" t="n">
        <v>2</v>
      </c>
      <c r="N94" s="68" t="inlineStr">
        <is>
          <t>Water</t>
        </is>
      </c>
      <c r="O94" s="68" t="inlineStr">
        <is>
          <t>Defender</t>
        </is>
      </c>
      <c r="P94" s="68" t="n">
        <v>200</v>
      </c>
      <c r="Q94" s="68">
        <f t="array" ref="Q94">_xlfn.IFS($O94="Attacker",6,$O94="Healer",3,$O94="Magician",4,$O94="Defender",3,$O94="Supporter",4)</f>
        <v/>
      </c>
      <c r="R94" s="68">
        <f t="array" ref="R94">_xlfn.IFS($O94="Attacker",6,$O94="Healer",3,$O94="Magician",4,$O94="Defender",3,$O94="Supporter",4)</f>
        <v/>
      </c>
      <c r="S94" s="68" t="n">
        <v>1</v>
      </c>
      <c r="T94" s="68" t="n">
        <v>0</v>
      </c>
      <c r="U94" s="68" t="n">
        <v>0</v>
      </c>
      <c r="V94" s="68" t="inlineStr">
        <is>
          <t>Spd</t>
        </is>
      </c>
      <c r="W94" s="68">
        <f t="array" ref="W94">_xlfn.IFS(O94="Attacker",80,O94="Healer",90,O94="Magician",100,O94="Defender",110,O94="Supporter",120)</f>
        <v/>
      </c>
      <c r="X94" s="68" t="inlineStr">
        <is>
          <t>Hp</t>
        </is>
      </c>
      <c r="Y94" s="68" t="n">
        <v>281250</v>
      </c>
      <c r="Z94" s="68" t="inlineStr">
        <is>
          <t>Atk</t>
        </is>
      </c>
      <c r="AA94" s="68" t="n">
        <v>1125</v>
      </c>
      <c r="AB94" s="68" t="inlineStr">
        <is>
          <t>Def</t>
        </is>
      </c>
      <c r="AC94" s="68" t="n">
        <v>0</v>
      </c>
      <c r="AD94" s="68" t="inlineStr">
        <is>
          <t>Penetration</t>
        </is>
      </c>
      <c r="AE94" s="68" t="n">
        <v>0</v>
      </c>
      <c r="AF94" s="68" t="inlineStr">
        <is>
          <t>Hit</t>
        </is>
      </c>
      <c r="AG94" s="68" t="n">
        <v>120</v>
      </c>
      <c r="AH94" s="68" t="inlineStr">
        <is>
          <t>Dodge</t>
        </is>
      </c>
      <c r="AI94" s="68" t="n">
        <v>80</v>
      </c>
      <c r="AJ94" s="68" t="inlineStr">
        <is>
          <t>CriRatio</t>
        </is>
      </c>
      <c r="AK94" s="68" t="n">
        <v>5000</v>
      </c>
      <c r="AL94" s="68" t="inlineStr">
        <is>
          <t>CriDmgRatio</t>
        </is>
      </c>
      <c r="AM94" s="68" t="n">
        <v>150000</v>
      </c>
      <c r="AN94" s="68" t="n">
        <v>1822021</v>
      </c>
      <c r="AO94" s="68" t="b">
        <v>1</v>
      </c>
      <c r="AP94" s="68" t="n">
        <v>0</v>
      </c>
      <c r="AQ94" s="68" t="b">
        <v>0</v>
      </c>
      <c r="AR94" s="68" t="n">
        <v>3822021</v>
      </c>
      <c r="AS94" s="68" t="b">
        <v>1</v>
      </c>
      <c r="AT94" s="68" t="n">
        <v>0</v>
      </c>
      <c r="AU94" s="68" t="b">
        <v>0</v>
      </c>
    </row>
    <row r="95">
      <c r="A95" s="68" t="n">
        <v>29000303</v>
      </c>
      <c r="B95" s="68" t="inlineStr">
        <is>
          <t>슬라임킹-목</t>
        </is>
      </c>
      <c r="C95" s="68" t="n">
        <v>290003</v>
      </c>
      <c r="D95" s="68" t="n">
        <v>0</v>
      </c>
      <c r="E95" s="68" t="inlineStr">
        <is>
          <t>character_name_29000303</t>
        </is>
      </c>
      <c r="G95" s="68" t="inlineStr">
        <is>
          <t>Boss</t>
        </is>
      </c>
      <c r="H95" s="68" t="inlineStr">
        <is>
          <t>Normal</t>
        </is>
      </c>
      <c r="I95" s="68" t="n">
        <v>3</v>
      </c>
      <c r="J95" s="24" t="inlineStr">
        <is>
          <t>1,1,1</t>
        </is>
      </c>
      <c r="K95" s="68" t="b">
        <v>0</v>
      </c>
      <c r="L95" s="24" t="inlineStr">
        <is>
          <t>0,0,0</t>
        </is>
      </c>
      <c r="M95" s="68" t="n">
        <v>2</v>
      </c>
      <c r="N95" s="68" t="inlineStr">
        <is>
          <t>Forest</t>
        </is>
      </c>
      <c r="O95" s="68" t="inlineStr">
        <is>
          <t>Defender</t>
        </is>
      </c>
      <c r="P95" s="68" t="n">
        <v>200</v>
      </c>
      <c r="Q95" s="68">
        <f t="array" ref="Q95">_xlfn.IFS($O95="Attacker",6,$O95="Healer",3,$O95="Magician",4,$O95="Defender",3,$O95="Supporter",4)</f>
        <v/>
      </c>
      <c r="R95" s="68">
        <f t="array" ref="R95">_xlfn.IFS($O95="Attacker",6,$O95="Healer",3,$O95="Magician",4,$O95="Defender",3,$O95="Supporter",4)</f>
        <v/>
      </c>
      <c r="S95" s="68" t="n">
        <v>1</v>
      </c>
      <c r="T95" s="68" t="n">
        <v>0</v>
      </c>
      <c r="U95" s="68" t="n">
        <v>0</v>
      </c>
      <c r="V95" s="68" t="inlineStr">
        <is>
          <t>Spd</t>
        </is>
      </c>
      <c r="W95" s="68">
        <f t="array" ref="W95">_xlfn.IFS(O95="Attacker",80,O95="Healer",90,O95="Magician",100,O95="Defender",110,O95="Supporter",120)</f>
        <v/>
      </c>
      <c r="X95" s="68" t="inlineStr">
        <is>
          <t>Hp</t>
        </is>
      </c>
      <c r="Y95" s="68" t="n">
        <v>363750</v>
      </c>
      <c r="Z95" s="68" t="inlineStr">
        <is>
          <t>Atk</t>
        </is>
      </c>
      <c r="AA95" s="68" t="n">
        <v>1125</v>
      </c>
      <c r="AB95" s="68" t="inlineStr">
        <is>
          <t>Def</t>
        </is>
      </c>
      <c r="AC95" s="68" t="n">
        <v>0</v>
      </c>
      <c r="AD95" s="68" t="inlineStr">
        <is>
          <t>Penetration</t>
        </is>
      </c>
      <c r="AE95" s="68" t="n">
        <v>0</v>
      </c>
      <c r="AF95" s="68" t="inlineStr">
        <is>
          <t>Hit</t>
        </is>
      </c>
      <c r="AG95" s="68" t="n">
        <v>100</v>
      </c>
      <c r="AH95" s="68" t="inlineStr">
        <is>
          <t>Dodge</t>
        </is>
      </c>
      <c r="AI95" s="68" t="n">
        <v>80</v>
      </c>
      <c r="AJ95" s="68" t="inlineStr">
        <is>
          <t>CriRatio</t>
        </is>
      </c>
      <c r="AK95" s="68" t="n">
        <v>5000</v>
      </c>
      <c r="AL95" s="68" t="inlineStr">
        <is>
          <t>CriDmgRatio</t>
        </is>
      </c>
      <c r="AM95" s="68" t="n">
        <v>150000</v>
      </c>
      <c r="AN95" s="68" t="n">
        <v>1832021</v>
      </c>
      <c r="AO95" s="68" t="b">
        <v>1</v>
      </c>
      <c r="AP95" s="68" t="n">
        <v>0</v>
      </c>
      <c r="AQ95" s="68" t="b">
        <v>0</v>
      </c>
      <c r="AR95" s="68" t="n">
        <v>3832021</v>
      </c>
      <c r="AS95" s="68" t="b">
        <v>1</v>
      </c>
      <c r="AT95" s="68" t="n">
        <v>0</v>
      </c>
      <c r="AU95" s="68" t="b">
        <v>0</v>
      </c>
    </row>
    <row r="96">
      <c r="A96" s="68" t="n">
        <v>29000403</v>
      </c>
      <c r="B96" s="68" t="inlineStr">
        <is>
          <t>슬라임킹-광</t>
        </is>
      </c>
      <c r="C96" s="68" t="n">
        <v>290004</v>
      </c>
      <c r="D96" s="68" t="n">
        <v>0</v>
      </c>
      <c r="E96" s="68" t="inlineStr">
        <is>
          <t>character_name_29000403</t>
        </is>
      </c>
      <c r="G96" s="68" t="inlineStr">
        <is>
          <t>Boss</t>
        </is>
      </c>
      <c r="H96" s="68" t="inlineStr">
        <is>
          <t>Normal</t>
        </is>
      </c>
      <c r="I96" s="68" t="n">
        <v>3</v>
      </c>
      <c r="J96" s="24" t="inlineStr">
        <is>
          <t>1,1,1</t>
        </is>
      </c>
      <c r="K96" s="68" t="b">
        <v>0</v>
      </c>
      <c r="L96" s="24" t="inlineStr">
        <is>
          <t>0,0,0</t>
        </is>
      </c>
      <c r="M96" s="68" t="n">
        <v>2</v>
      </c>
      <c r="N96" s="68" t="inlineStr">
        <is>
          <t>Light</t>
        </is>
      </c>
      <c r="O96" s="68" t="inlineStr">
        <is>
          <t>Defender</t>
        </is>
      </c>
      <c r="P96" s="68" t="n">
        <v>200</v>
      </c>
      <c r="Q96" s="68">
        <f t="array" ref="Q96">_xlfn.IFS($O96="Attacker",6,$O96="Healer",3,$O96="Magician",4,$O96="Defender",3,$O96="Supporter",4)</f>
        <v/>
      </c>
      <c r="R96" s="68">
        <f t="array" ref="R96">_xlfn.IFS($O96="Attacker",6,$O96="Healer",3,$O96="Magician",4,$O96="Defender",3,$O96="Supporter",4)</f>
        <v/>
      </c>
      <c r="S96" s="68" t="n">
        <v>1</v>
      </c>
      <c r="T96" s="68" t="n">
        <v>0</v>
      </c>
      <c r="U96" s="68" t="n">
        <v>0</v>
      </c>
      <c r="V96" s="68" t="inlineStr">
        <is>
          <t>Spd</t>
        </is>
      </c>
      <c r="W96" s="68">
        <f t="array" ref="W96">_xlfn.IFS(O96="Attacker",80,O96="Healer",90,O96="Magician",100,O96="Defender",110,O96="Supporter",120)</f>
        <v/>
      </c>
      <c r="X96" s="68" t="inlineStr">
        <is>
          <t>Hp</t>
        </is>
      </c>
      <c r="Y96" s="68" t="n">
        <v>281250</v>
      </c>
      <c r="Z96" s="68" t="inlineStr">
        <is>
          <t>Atk</t>
        </is>
      </c>
      <c r="AA96" s="68" t="n">
        <v>1125</v>
      </c>
      <c r="AB96" s="68" t="inlineStr">
        <is>
          <t>Def</t>
        </is>
      </c>
      <c r="AC96" s="68" t="n">
        <v>0</v>
      </c>
      <c r="AD96" s="68" t="inlineStr">
        <is>
          <t>Penetration</t>
        </is>
      </c>
      <c r="AE96" s="68" t="n">
        <v>0</v>
      </c>
      <c r="AF96" s="68" t="inlineStr">
        <is>
          <t>Hit</t>
        </is>
      </c>
      <c r="AG96" s="68" t="n">
        <v>100</v>
      </c>
      <c r="AH96" s="68" t="inlineStr">
        <is>
          <t>Dodge</t>
        </is>
      </c>
      <c r="AI96" s="68" t="n">
        <v>104</v>
      </c>
      <c r="AJ96" s="68" t="inlineStr">
        <is>
          <t>CriRatio</t>
        </is>
      </c>
      <c r="AK96" s="68" t="n">
        <v>5000</v>
      </c>
      <c r="AL96" s="68" t="inlineStr">
        <is>
          <t>CriDmgRatio</t>
        </is>
      </c>
      <c r="AM96" s="68" t="n">
        <v>150000</v>
      </c>
      <c r="AN96" s="68" t="n">
        <v>1842021</v>
      </c>
      <c r="AO96" s="68" t="b">
        <v>1</v>
      </c>
      <c r="AP96" s="68" t="n">
        <v>0</v>
      </c>
      <c r="AQ96" s="68" t="b">
        <v>0</v>
      </c>
      <c r="AR96" s="68" t="n">
        <v>3842021</v>
      </c>
      <c r="AS96" s="68" t="b">
        <v>1</v>
      </c>
      <c r="AT96" s="68" t="n">
        <v>0</v>
      </c>
      <c r="AU96" s="68" t="b">
        <v>0</v>
      </c>
    </row>
    <row r="97">
      <c r="A97" s="29" t="n">
        <v>29000503</v>
      </c>
      <c r="B97" s="29" t="inlineStr">
        <is>
          <t>슬라임킹-암</t>
        </is>
      </c>
      <c r="C97" s="29" t="n">
        <v>290005</v>
      </c>
      <c r="D97" s="29" t="n">
        <v>0</v>
      </c>
      <c r="E97" s="29" t="inlineStr">
        <is>
          <t>character_name_29000503</t>
        </is>
      </c>
      <c r="F97" s="29" t="n"/>
      <c r="G97" s="29" t="inlineStr">
        <is>
          <t>Boss</t>
        </is>
      </c>
      <c r="H97" s="29" t="inlineStr">
        <is>
          <t>Normal</t>
        </is>
      </c>
      <c r="I97" s="29" t="n">
        <v>3</v>
      </c>
      <c r="J97" s="27" t="inlineStr">
        <is>
          <t>1,1,1</t>
        </is>
      </c>
      <c r="K97" s="68" t="b">
        <v>0</v>
      </c>
      <c r="L97" s="27" t="inlineStr">
        <is>
          <t>0,0,0</t>
        </is>
      </c>
      <c r="M97" s="29" t="n">
        <v>2</v>
      </c>
      <c r="N97" s="29" t="inlineStr">
        <is>
          <t>Dark</t>
        </is>
      </c>
      <c r="O97" s="29" t="inlineStr">
        <is>
          <t>Defender</t>
        </is>
      </c>
      <c r="P97" s="29" t="n">
        <v>200</v>
      </c>
      <c r="Q97" s="29">
        <f t="array" ref="Q97">_xlfn.IFS($O97="Attacker",6,$O97="Healer",3,$O97="Magician",4,$O97="Defender",3,$O97="Supporter",4)</f>
        <v/>
      </c>
      <c r="R97" s="29">
        <f t="array" ref="R97">_xlfn.IFS($O97="Attacker",6,$O97="Healer",3,$O97="Magician",4,$O97="Defender",3,$O97="Supporter",4)</f>
        <v/>
      </c>
      <c r="S97" s="29" t="n">
        <v>1</v>
      </c>
      <c r="T97" s="29" t="n">
        <v>0</v>
      </c>
      <c r="U97" s="29" t="n">
        <v>0</v>
      </c>
      <c r="V97" s="29" t="inlineStr">
        <is>
          <t>Spd</t>
        </is>
      </c>
      <c r="W97" s="29">
        <f t="array" ref="W97">_xlfn.IFS(O97="Attacker",80,O97="Healer",90,O97="Magician",100,O97="Defender",110,O97="Supporter",120)</f>
        <v/>
      </c>
      <c r="X97" s="29" t="inlineStr">
        <is>
          <t>Hp</t>
        </is>
      </c>
      <c r="Y97" s="68" t="n">
        <v>281250</v>
      </c>
      <c r="Z97" s="29" t="inlineStr">
        <is>
          <t>Atk</t>
        </is>
      </c>
      <c r="AA97" s="68" t="n">
        <v>1125</v>
      </c>
      <c r="AB97" s="29" t="inlineStr">
        <is>
          <t>Def</t>
        </is>
      </c>
      <c r="AC97" s="29" t="n">
        <v>0</v>
      </c>
      <c r="AD97" s="29" t="inlineStr">
        <is>
          <t>Penetration</t>
        </is>
      </c>
      <c r="AE97" s="29" t="n">
        <v>0</v>
      </c>
      <c r="AF97" s="29" t="inlineStr">
        <is>
          <t>Hit</t>
        </is>
      </c>
      <c r="AG97" s="29" t="n">
        <v>100</v>
      </c>
      <c r="AH97" s="29" t="inlineStr">
        <is>
          <t>Dodge</t>
        </is>
      </c>
      <c r="AI97" s="29" t="n">
        <v>80</v>
      </c>
      <c r="AJ97" s="29" t="inlineStr">
        <is>
          <t>CriRatio</t>
        </is>
      </c>
      <c r="AK97" s="29" t="n">
        <v>20000</v>
      </c>
      <c r="AL97" s="29" t="inlineStr">
        <is>
          <t>CriDmgRatio</t>
        </is>
      </c>
      <c r="AM97" s="29" t="n">
        <v>150000</v>
      </c>
      <c r="AN97" s="29" t="n">
        <v>1852021</v>
      </c>
      <c r="AO97" s="29" t="b">
        <v>1</v>
      </c>
      <c r="AP97" s="29" t="n">
        <v>0</v>
      </c>
      <c r="AQ97" s="29" t="b">
        <v>0</v>
      </c>
      <c r="AR97" s="29" t="n">
        <v>3852021</v>
      </c>
      <c r="AS97" s="68" t="b">
        <v>1</v>
      </c>
      <c r="AT97" s="29" t="n">
        <v>0</v>
      </c>
      <c r="AU97" s="29" t="b">
        <v>0</v>
      </c>
    </row>
    <row r="98" customFormat="1" s="11">
      <c r="A98" s="68" t="n">
        <v>29000104</v>
      </c>
      <c r="B98" s="68" t="inlineStr">
        <is>
          <t>슬라임킹-화</t>
        </is>
      </c>
      <c r="C98" s="68" t="n">
        <v>290001</v>
      </c>
      <c r="D98" s="68" t="n">
        <v>0</v>
      </c>
      <c r="E98" s="68" t="inlineStr">
        <is>
          <t>character_name_29000104</t>
        </is>
      </c>
      <c r="F98" s="68" t="n"/>
      <c r="G98" s="68" t="inlineStr">
        <is>
          <t>Boss</t>
        </is>
      </c>
      <c r="H98" s="68" t="inlineStr">
        <is>
          <t>Normal</t>
        </is>
      </c>
      <c r="I98" s="68" t="n">
        <v>4</v>
      </c>
      <c r="J98" s="24" t="inlineStr">
        <is>
          <t>1,1,1</t>
        </is>
      </c>
      <c r="K98" s="68" t="b">
        <v>0</v>
      </c>
      <c r="L98" s="24" t="inlineStr">
        <is>
          <t>0,0,0</t>
        </is>
      </c>
      <c r="M98" s="68" t="n">
        <v>2</v>
      </c>
      <c r="N98" s="68" t="inlineStr">
        <is>
          <t>Fire</t>
        </is>
      </c>
      <c r="O98" s="68" t="inlineStr">
        <is>
          <t>Defender</t>
        </is>
      </c>
      <c r="P98" s="68" t="n">
        <v>200</v>
      </c>
      <c r="Q98" s="68">
        <f t="array" ref="Q98">_xlfn.IFS($O98="Attacker",6,$O98="Healer",3,$O98="Magician",4,$O98="Defender",3,$O98="Supporter",4)</f>
        <v/>
      </c>
      <c r="R98" s="68">
        <f t="array" ref="R98">_xlfn.IFS($O98="Attacker",6,$O98="Healer",3,$O98="Magician",4,$O98="Defender",3,$O98="Supporter",4)</f>
        <v/>
      </c>
      <c r="S98" s="68" t="n">
        <v>1</v>
      </c>
      <c r="T98" s="68" t="n">
        <v>0</v>
      </c>
      <c r="U98" s="68" t="n">
        <v>0</v>
      </c>
      <c r="V98" s="68" t="inlineStr">
        <is>
          <t>Spd</t>
        </is>
      </c>
      <c r="W98" s="68">
        <f t="array" ref="W98">_xlfn.IFS(O98="Attacker",80,O98="Healer",90,O98="Magician",100,O98="Defender",110,O98="Supporter",120)</f>
        <v/>
      </c>
      <c r="X98" s="68" t="inlineStr">
        <is>
          <t>Hp</t>
        </is>
      </c>
      <c r="Y98" s="68" t="n">
        <v>703125</v>
      </c>
      <c r="Z98" s="68" t="inlineStr">
        <is>
          <t>Atk</t>
        </is>
      </c>
      <c r="AA98" s="68" t="n">
        <v>1687</v>
      </c>
      <c r="AB98" s="68" t="inlineStr">
        <is>
          <t>Def</t>
        </is>
      </c>
      <c r="AC98" s="68" t="n">
        <v>0</v>
      </c>
      <c r="AD98" s="68" t="inlineStr">
        <is>
          <t>Penetration</t>
        </is>
      </c>
      <c r="AE98" s="68" t="n">
        <v>0</v>
      </c>
      <c r="AF98" s="68" t="inlineStr">
        <is>
          <t>Hit</t>
        </is>
      </c>
      <c r="AG98" s="68" t="n">
        <v>100</v>
      </c>
      <c r="AH98" s="68" t="inlineStr">
        <is>
          <t>Dodge</t>
        </is>
      </c>
      <c r="AI98" s="68" t="n">
        <v>80</v>
      </c>
      <c r="AJ98" s="68" t="inlineStr">
        <is>
          <t>CriRatio</t>
        </is>
      </c>
      <c r="AK98" s="68" t="n">
        <v>5000</v>
      </c>
      <c r="AL98" s="68" t="inlineStr">
        <is>
          <t>CriDmgRatio</t>
        </is>
      </c>
      <c r="AM98" s="68" t="n">
        <v>150000</v>
      </c>
      <c r="AN98" s="68" t="n">
        <v>1812021</v>
      </c>
      <c r="AO98" s="68" t="b">
        <v>1</v>
      </c>
      <c r="AP98" s="68" t="n">
        <v>0</v>
      </c>
      <c r="AQ98" s="68" t="b">
        <v>0</v>
      </c>
      <c r="AR98" s="68" t="n">
        <v>3812021</v>
      </c>
      <c r="AS98" s="68" t="b">
        <v>1</v>
      </c>
      <c r="AT98" s="68" t="n">
        <v>0</v>
      </c>
      <c r="AU98" s="68" t="b">
        <v>0</v>
      </c>
    </row>
    <row r="99">
      <c r="A99" s="68" t="n">
        <v>29000204</v>
      </c>
      <c r="B99" s="68" t="inlineStr">
        <is>
          <t>슬라임킹-수</t>
        </is>
      </c>
      <c r="C99" s="68" t="n">
        <v>290002</v>
      </c>
      <c r="D99" s="68" t="n">
        <v>0</v>
      </c>
      <c r="E99" s="68" t="inlineStr">
        <is>
          <t>character_name_29000204</t>
        </is>
      </c>
      <c r="G99" s="68" t="inlineStr">
        <is>
          <t>Boss</t>
        </is>
      </c>
      <c r="H99" s="68" t="inlineStr">
        <is>
          <t>Normal</t>
        </is>
      </c>
      <c r="I99" s="68" t="n">
        <v>4</v>
      </c>
      <c r="J99" s="24" t="inlineStr">
        <is>
          <t>1,1,1</t>
        </is>
      </c>
      <c r="K99" s="68" t="b">
        <v>0</v>
      </c>
      <c r="L99" s="24" t="inlineStr">
        <is>
          <t>0,0,0</t>
        </is>
      </c>
      <c r="M99" s="68" t="n">
        <v>2</v>
      </c>
      <c r="N99" s="68" t="inlineStr">
        <is>
          <t>Water</t>
        </is>
      </c>
      <c r="O99" s="68" t="inlineStr">
        <is>
          <t>Defender</t>
        </is>
      </c>
      <c r="P99" s="68" t="n">
        <v>200</v>
      </c>
      <c r="Q99" s="68">
        <f t="array" ref="Q99">_xlfn.IFS($O99="Attacker",6,$O99="Healer",3,$O99="Magician",4,$O99="Defender",3,$O99="Supporter",4)</f>
        <v/>
      </c>
      <c r="R99" s="68">
        <f t="array" ref="R99">_xlfn.IFS($O99="Attacker",6,$O99="Healer",3,$O99="Magician",4,$O99="Defender",3,$O99="Supporter",4)</f>
        <v/>
      </c>
      <c r="S99" s="68" t="n">
        <v>1</v>
      </c>
      <c r="T99" s="68" t="n">
        <v>0</v>
      </c>
      <c r="U99" s="68" t="n">
        <v>0</v>
      </c>
      <c r="V99" s="68" t="inlineStr">
        <is>
          <t>Spd</t>
        </is>
      </c>
      <c r="W99" s="68">
        <f t="array" ref="W99">_xlfn.IFS(O99="Attacker",80,O99="Healer",90,O99="Magician",100,O99="Defender",110,O99="Supporter",120)</f>
        <v/>
      </c>
      <c r="X99" s="68" t="inlineStr">
        <is>
          <t>Hp</t>
        </is>
      </c>
      <c r="Y99" s="68" t="n">
        <v>703125</v>
      </c>
      <c r="Z99" s="68" t="inlineStr">
        <is>
          <t>Atk</t>
        </is>
      </c>
      <c r="AA99" s="68" t="n">
        <v>1687</v>
      </c>
      <c r="AB99" s="68" t="inlineStr">
        <is>
          <t>Def</t>
        </is>
      </c>
      <c r="AC99" s="68" t="n">
        <v>0</v>
      </c>
      <c r="AD99" s="68" t="inlineStr">
        <is>
          <t>Penetration</t>
        </is>
      </c>
      <c r="AE99" s="68" t="n">
        <v>0</v>
      </c>
      <c r="AF99" s="68" t="inlineStr">
        <is>
          <t>Hit</t>
        </is>
      </c>
      <c r="AG99" s="68" t="n">
        <v>120</v>
      </c>
      <c r="AH99" s="68" t="inlineStr">
        <is>
          <t>Dodge</t>
        </is>
      </c>
      <c r="AI99" s="68" t="n">
        <v>80</v>
      </c>
      <c r="AJ99" s="68" t="inlineStr">
        <is>
          <t>CriRatio</t>
        </is>
      </c>
      <c r="AK99" s="68" t="n">
        <v>5000</v>
      </c>
      <c r="AL99" s="68" t="inlineStr">
        <is>
          <t>CriDmgRatio</t>
        </is>
      </c>
      <c r="AM99" s="68" t="n">
        <v>150000</v>
      </c>
      <c r="AN99" s="68" t="n">
        <v>1822021</v>
      </c>
      <c r="AO99" s="68" t="b">
        <v>1</v>
      </c>
      <c r="AP99" s="68" t="n">
        <v>0</v>
      </c>
      <c r="AQ99" s="68" t="b">
        <v>0</v>
      </c>
      <c r="AR99" s="68" t="n">
        <v>3822021</v>
      </c>
      <c r="AS99" s="68" t="b">
        <v>1</v>
      </c>
      <c r="AT99" s="68" t="n">
        <v>0</v>
      </c>
      <c r="AU99" s="68" t="b">
        <v>0</v>
      </c>
    </row>
    <row r="100">
      <c r="A100" s="68" t="n">
        <v>29000304</v>
      </c>
      <c r="B100" s="68" t="inlineStr">
        <is>
          <t>슬라임킹-목</t>
        </is>
      </c>
      <c r="C100" s="68" t="n">
        <v>290003</v>
      </c>
      <c r="D100" s="68" t="n">
        <v>0</v>
      </c>
      <c r="E100" s="68" t="inlineStr">
        <is>
          <t>character_name_29000304</t>
        </is>
      </c>
      <c r="G100" s="68" t="inlineStr">
        <is>
          <t>Boss</t>
        </is>
      </c>
      <c r="H100" s="68" t="inlineStr">
        <is>
          <t>Normal</t>
        </is>
      </c>
      <c r="I100" s="68" t="n">
        <v>4</v>
      </c>
      <c r="J100" s="24" t="inlineStr">
        <is>
          <t>1,1,1</t>
        </is>
      </c>
      <c r="K100" s="68" t="b">
        <v>0</v>
      </c>
      <c r="L100" s="24" t="inlineStr">
        <is>
          <t>0,0,0</t>
        </is>
      </c>
      <c r="M100" s="68" t="n">
        <v>2</v>
      </c>
      <c r="N100" s="68" t="inlineStr">
        <is>
          <t>Forest</t>
        </is>
      </c>
      <c r="O100" s="68" t="inlineStr">
        <is>
          <t>Defender</t>
        </is>
      </c>
      <c r="P100" s="68" t="n">
        <v>200</v>
      </c>
      <c r="Q100" s="68">
        <f t="array" ref="Q100">_xlfn.IFS($O100="Attacker",6,$O100="Healer",3,$O100="Magician",4,$O100="Defender",3,$O100="Supporter",4)</f>
        <v/>
      </c>
      <c r="R100" s="68">
        <f t="array" ref="R100">_xlfn.IFS($O100="Attacker",6,$O100="Healer",3,$O100="Magician",4,$O100="Defender",3,$O100="Supporter",4)</f>
        <v/>
      </c>
      <c r="S100" s="68" t="n">
        <v>1</v>
      </c>
      <c r="T100" s="68" t="n">
        <v>0</v>
      </c>
      <c r="U100" s="68" t="n">
        <v>0</v>
      </c>
      <c r="V100" s="68" t="inlineStr">
        <is>
          <t>Spd</t>
        </is>
      </c>
      <c r="W100" s="68">
        <f t="array" ref="W100">_xlfn.IFS(O100="Attacker",80,O100="Healer",90,O100="Magician",100,O100="Defender",110,O100="Supporter",120)</f>
        <v/>
      </c>
      <c r="X100" s="68" t="inlineStr">
        <is>
          <t>Hp</t>
        </is>
      </c>
      <c r="Y100" s="68" t="n">
        <v>909375</v>
      </c>
      <c r="Z100" s="68" t="inlineStr">
        <is>
          <t>Atk</t>
        </is>
      </c>
      <c r="AA100" s="68" t="n">
        <v>1687</v>
      </c>
      <c r="AB100" s="68" t="inlineStr">
        <is>
          <t>Def</t>
        </is>
      </c>
      <c r="AC100" s="68" t="n">
        <v>0</v>
      </c>
      <c r="AD100" s="68" t="inlineStr">
        <is>
          <t>Penetration</t>
        </is>
      </c>
      <c r="AE100" s="68" t="n">
        <v>0</v>
      </c>
      <c r="AF100" s="68" t="inlineStr">
        <is>
          <t>Hit</t>
        </is>
      </c>
      <c r="AG100" s="68" t="n">
        <v>100</v>
      </c>
      <c r="AH100" s="68" t="inlineStr">
        <is>
          <t>Dodge</t>
        </is>
      </c>
      <c r="AI100" s="68" t="n">
        <v>80</v>
      </c>
      <c r="AJ100" s="68" t="inlineStr">
        <is>
          <t>CriRatio</t>
        </is>
      </c>
      <c r="AK100" s="68" t="n">
        <v>5000</v>
      </c>
      <c r="AL100" s="68" t="inlineStr">
        <is>
          <t>CriDmgRatio</t>
        </is>
      </c>
      <c r="AM100" s="68" t="n">
        <v>150000</v>
      </c>
      <c r="AN100" s="68" t="n">
        <v>1832021</v>
      </c>
      <c r="AO100" s="68" t="b">
        <v>1</v>
      </c>
      <c r="AP100" s="68" t="n">
        <v>0</v>
      </c>
      <c r="AQ100" s="68" t="b">
        <v>0</v>
      </c>
      <c r="AR100" s="68" t="n">
        <v>3832021</v>
      </c>
      <c r="AS100" s="68" t="b">
        <v>1</v>
      </c>
      <c r="AT100" s="68" t="n">
        <v>0</v>
      </c>
      <c r="AU100" s="68" t="b">
        <v>0</v>
      </c>
    </row>
    <row r="101">
      <c r="A101" s="68" t="n">
        <v>29000404</v>
      </c>
      <c r="B101" s="68" t="inlineStr">
        <is>
          <t>슬라임킹-광</t>
        </is>
      </c>
      <c r="C101" s="68" t="n">
        <v>290004</v>
      </c>
      <c r="D101" s="68" t="n">
        <v>0</v>
      </c>
      <c r="E101" s="68" t="inlineStr">
        <is>
          <t>character_name_29000404</t>
        </is>
      </c>
      <c r="G101" s="68" t="inlineStr">
        <is>
          <t>Boss</t>
        </is>
      </c>
      <c r="H101" s="68" t="inlineStr">
        <is>
          <t>Normal</t>
        </is>
      </c>
      <c r="I101" s="68" t="n">
        <v>4</v>
      </c>
      <c r="J101" s="24" t="inlineStr">
        <is>
          <t>1,1,1</t>
        </is>
      </c>
      <c r="K101" s="68" t="b">
        <v>0</v>
      </c>
      <c r="L101" s="24" t="inlineStr">
        <is>
          <t>0,0,0</t>
        </is>
      </c>
      <c r="M101" s="68" t="n">
        <v>2</v>
      </c>
      <c r="N101" s="68" t="inlineStr">
        <is>
          <t>Light</t>
        </is>
      </c>
      <c r="O101" s="68" t="inlineStr">
        <is>
          <t>Defender</t>
        </is>
      </c>
      <c r="P101" s="68" t="n">
        <v>200</v>
      </c>
      <c r="Q101" s="68">
        <f t="array" ref="Q101">_xlfn.IFS($O101="Attacker",6,$O101="Healer",3,$O101="Magician",4,$O101="Defender",3,$O101="Supporter",4)</f>
        <v/>
      </c>
      <c r="R101" s="68">
        <f t="array" ref="R101">_xlfn.IFS($O101="Attacker",6,$O101="Healer",3,$O101="Magician",4,$O101="Defender",3,$O101="Supporter",4)</f>
        <v/>
      </c>
      <c r="S101" s="68" t="n">
        <v>1</v>
      </c>
      <c r="T101" s="68" t="n">
        <v>0</v>
      </c>
      <c r="U101" s="68" t="n">
        <v>0</v>
      </c>
      <c r="V101" s="68" t="inlineStr">
        <is>
          <t>Spd</t>
        </is>
      </c>
      <c r="W101" s="68">
        <f t="array" ref="W101">_xlfn.IFS(O101="Attacker",80,O101="Healer",90,O101="Magician",100,O101="Defender",110,O101="Supporter",120)</f>
        <v/>
      </c>
      <c r="X101" s="68" t="inlineStr">
        <is>
          <t>Hp</t>
        </is>
      </c>
      <c r="Y101" s="68" t="n">
        <v>703125</v>
      </c>
      <c r="Z101" s="68" t="inlineStr">
        <is>
          <t>Atk</t>
        </is>
      </c>
      <c r="AA101" s="68" t="n">
        <v>1687</v>
      </c>
      <c r="AB101" s="68" t="inlineStr">
        <is>
          <t>Def</t>
        </is>
      </c>
      <c r="AC101" s="68" t="n">
        <v>0</v>
      </c>
      <c r="AD101" s="68" t="inlineStr">
        <is>
          <t>Penetration</t>
        </is>
      </c>
      <c r="AE101" s="68" t="n">
        <v>0</v>
      </c>
      <c r="AF101" s="68" t="inlineStr">
        <is>
          <t>Hit</t>
        </is>
      </c>
      <c r="AG101" s="68" t="n">
        <v>100</v>
      </c>
      <c r="AH101" s="68" t="inlineStr">
        <is>
          <t>Dodge</t>
        </is>
      </c>
      <c r="AI101" s="68" t="n">
        <v>104</v>
      </c>
      <c r="AJ101" s="68" t="inlineStr">
        <is>
          <t>CriRatio</t>
        </is>
      </c>
      <c r="AK101" s="68" t="n">
        <v>5000</v>
      </c>
      <c r="AL101" s="68" t="inlineStr">
        <is>
          <t>CriDmgRatio</t>
        </is>
      </c>
      <c r="AM101" s="68" t="n">
        <v>150000</v>
      </c>
      <c r="AN101" s="68" t="n">
        <v>1842021</v>
      </c>
      <c r="AO101" s="68" t="b">
        <v>1</v>
      </c>
      <c r="AP101" s="68" t="n">
        <v>0</v>
      </c>
      <c r="AQ101" s="68" t="b">
        <v>0</v>
      </c>
      <c r="AR101" s="68" t="n">
        <v>3842021</v>
      </c>
      <c r="AS101" s="68" t="b">
        <v>1</v>
      </c>
      <c r="AT101" s="68" t="n">
        <v>0</v>
      </c>
      <c r="AU101" s="68" t="b">
        <v>0</v>
      </c>
    </row>
    <row r="102">
      <c r="A102" s="29" t="n">
        <v>29000504</v>
      </c>
      <c r="B102" s="29" t="inlineStr">
        <is>
          <t>슬라임킹-암</t>
        </is>
      </c>
      <c r="C102" s="29" t="n">
        <v>290005</v>
      </c>
      <c r="D102" s="29" t="n">
        <v>0</v>
      </c>
      <c r="E102" s="29" t="inlineStr">
        <is>
          <t>character_name_29000504</t>
        </is>
      </c>
      <c r="F102" s="29" t="n"/>
      <c r="G102" s="29" t="inlineStr">
        <is>
          <t>Boss</t>
        </is>
      </c>
      <c r="H102" s="29" t="inlineStr">
        <is>
          <t>Normal</t>
        </is>
      </c>
      <c r="I102" s="29" t="n">
        <v>4</v>
      </c>
      <c r="J102" s="27" t="inlineStr">
        <is>
          <t>1,1,1</t>
        </is>
      </c>
      <c r="K102" s="68" t="b">
        <v>0</v>
      </c>
      <c r="L102" s="27" t="inlineStr">
        <is>
          <t>0,0,0</t>
        </is>
      </c>
      <c r="M102" s="29" t="n">
        <v>2</v>
      </c>
      <c r="N102" s="29" t="inlineStr">
        <is>
          <t>Dark</t>
        </is>
      </c>
      <c r="O102" s="29" t="inlineStr">
        <is>
          <t>Defender</t>
        </is>
      </c>
      <c r="P102" s="29" t="n">
        <v>200</v>
      </c>
      <c r="Q102" s="29">
        <f t="array" ref="Q102">_xlfn.IFS($O102="Attacker",6,$O102="Healer",3,$O102="Magician",4,$O102="Defender",3,$O102="Supporter",4)</f>
        <v/>
      </c>
      <c r="R102" s="29">
        <f t="array" ref="R102">_xlfn.IFS($O102="Attacker",6,$O102="Healer",3,$O102="Magician",4,$O102="Defender",3,$O102="Supporter",4)</f>
        <v/>
      </c>
      <c r="S102" s="29" t="n">
        <v>1</v>
      </c>
      <c r="T102" s="29" t="n">
        <v>0</v>
      </c>
      <c r="U102" s="29" t="n">
        <v>0</v>
      </c>
      <c r="V102" s="29" t="inlineStr">
        <is>
          <t>Spd</t>
        </is>
      </c>
      <c r="W102" s="29">
        <f t="array" ref="W102">_xlfn.IFS(O102="Attacker",80,O102="Healer",90,O102="Magician",100,O102="Defender",110,O102="Supporter",120)</f>
        <v/>
      </c>
      <c r="X102" s="29" t="inlineStr">
        <is>
          <t>Hp</t>
        </is>
      </c>
      <c r="Y102" s="68" t="n">
        <v>703125</v>
      </c>
      <c r="Z102" s="29" t="inlineStr">
        <is>
          <t>Atk</t>
        </is>
      </c>
      <c r="AA102" s="68" t="n">
        <v>1687</v>
      </c>
      <c r="AB102" s="29" t="inlineStr">
        <is>
          <t>Def</t>
        </is>
      </c>
      <c r="AC102" s="29" t="n">
        <v>0</v>
      </c>
      <c r="AD102" s="29" t="inlineStr">
        <is>
          <t>Penetration</t>
        </is>
      </c>
      <c r="AE102" s="29" t="n">
        <v>0</v>
      </c>
      <c r="AF102" s="29" t="inlineStr">
        <is>
          <t>Hit</t>
        </is>
      </c>
      <c r="AG102" s="29" t="n">
        <v>100</v>
      </c>
      <c r="AH102" s="29" t="inlineStr">
        <is>
          <t>Dodge</t>
        </is>
      </c>
      <c r="AI102" s="29" t="n">
        <v>104</v>
      </c>
      <c r="AJ102" s="29" t="inlineStr">
        <is>
          <t>CriRatio</t>
        </is>
      </c>
      <c r="AK102" s="29" t="n">
        <v>20000</v>
      </c>
      <c r="AL102" s="29" t="inlineStr">
        <is>
          <t>CriDmgRatio</t>
        </is>
      </c>
      <c r="AM102" s="29" t="n">
        <v>150000</v>
      </c>
      <c r="AN102" s="29" t="n">
        <v>1852021</v>
      </c>
      <c r="AO102" s="29" t="b">
        <v>1</v>
      </c>
      <c r="AP102" s="29" t="n">
        <v>0</v>
      </c>
      <c r="AQ102" s="29" t="b">
        <v>0</v>
      </c>
      <c r="AR102" s="29" t="n">
        <v>3852021</v>
      </c>
      <c r="AS102" s="68" t="b">
        <v>1</v>
      </c>
      <c r="AT102" s="29" t="n">
        <v>0</v>
      </c>
      <c r="AU102" s="29" t="b">
        <v>0</v>
      </c>
    </row>
    <row r="103" customFormat="1" s="11">
      <c r="A103" s="68" t="n">
        <v>29000105</v>
      </c>
      <c r="B103" s="68" t="inlineStr">
        <is>
          <t>슬라임킹-화</t>
        </is>
      </c>
      <c r="C103" s="68" t="n">
        <v>290001</v>
      </c>
      <c r="D103" s="68" t="n">
        <v>0</v>
      </c>
      <c r="E103" s="68" t="inlineStr">
        <is>
          <t>character_name_29000105</t>
        </is>
      </c>
      <c r="F103" s="68" t="n"/>
      <c r="G103" s="68" t="inlineStr">
        <is>
          <t>Boss</t>
        </is>
      </c>
      <c r="H103" s="68" t="inlineStr">
        <is>
          <t>Normal</t>
        </is>
      </c>
      <c r="I103" s="68" t="n">
        <v>5</v>
      </c>
      <c r="J103" s="24" t="inlineStr">
        <is>
          <t>1,1,1</t>
        </is>
      </c>
      <c r="K103" s="68" t="b">
        <v>0</v>
      </c>
      <c r="L103" s="24" t="inlineStr">
        <is>
          <t>0,0,0</t>
        </is>
      </c>
      <c r="M103" s="68" t="n">
        <v>2</v>
      </c>
      <c r="N103" s="68" t="inlineStr">
        <is>
          <t>Fire</t>
        </is>
      </c>
      <c r="O103" s="68" t="inlineStr">
        <is>
          <t>Defender</t>
        </is>
      </c>
      <c r="P103" s="68" t="n">
        <v>200</v>
      </c>
      <c r="Q103" s="68">
        <f t="array" ref="Q103">_xlfn.IFS($O103="Attacker",6,$O103="Healer",3,$O103="Magician",4,$O103="Defender",3,$O103="Supporter",4)</f>
        <v/>
      </c>
      <c r="R103" s="68">
        <f t="array" ref="R103">_xlfn.IFS($O103="Attacker",6,$O103="Healer",3,$O103="Magician",4,$O103="Defender",3,$O103="Supporter",4)</f>
        <v/>
      </c>
      <c r="S103" s="68" t="n">
        <v>1</v>
      </c>
      <c r="T103" s="68" t="n">
        <v>0</v>
      </c>
      <c r="U103" s="68" t="n">
        <v>0</v>
      </c>
      <c r="V103" s="68" t="inlineStr">
        <is>
          <t>Spd</t>
        </is>
      </c>
      <c r="W103" s="68">
        <f t="array" ref="W103">_xlfn.IFS(O103="Attacker",80,O103="Healer",90,O103="Magician",100,O103="Defender",110,O103="Supporter",120)</f>
        <v/>
      </c>
      <c r="X103" s="68" t="inlineStr">
        <is>
          <t>Hp</t>
        </is>
      </c>
      <c r="Y103" s="68" t="n">
        <v>1757812</v>
      </c>
      <c r="Z103" s="68" t="inlineStr">
        <is>
          <t>Atk</t>
        </is>
      </c>
      <c r="AA103" s="68" t="n">
        <v>2530</v>
      </c>
      <c r="AB103" s="68" t="inlineStr">
        <is>
          <t>Def</t>
        </is>
      </c>
      <c r="AC103" s="68" t="n">
        <v>0</v>
      </c>
      <c r="AD103" s="68" t="inlineStr">
        <is>
          <t>Penetration</t>
        </is>
      </c>
      <c r="AE103" s="68" t="n">
        <v>0</v>
      </c>
      <c r="AF103" s="68" t="inlineStr">
        <is>
          <t>Hit</t>
        </is>
      </c>
      <c r="AG103" s="68" t="n">
        <v>100</v>
      </c>
      <c r="AH103" s="68" t="inlineStr">
        <is>
          <t>Dodge</t>
        </is>
      </c>
      <c r="AI103" s="68" t="n">
        <v>104</v>
      </c>
      <c r="AJ103" s="68" t="inlineStr">
        <is>
          <t>CriRatio</t>
        </is>
      </c>
      <c r="AK103" s="68" t="n">
        <v>5000</v>
      </c>
      <c r="AL103" s="68" t="inlineStr">
        <is>
          <t>CriDmgRatio</t>
        </is>
      </c>
      <c r="AM103" s="68" t="n">
        <v>150000</v>
      </c>
      <c r="AN103" s="68" t="n">
        <v>1812021</v>
      </c>
      <c r="AO103" s="68" t="b">
        <v>1</v>
      </c>
      <c r="AP103" s="68" t="n">
        <v>0</v>
      </c>
      <c r="AQ103" s="68" t="b">
        <v>0</v>
      </c>
      <c r="AR103" s="68" t="n">
        <v>3812021</v>
      </c>
      <c r="AS103" s="68" t="b">
        <v>1</v>
      </c>
      <c r="AT103" s="68" t="n">
        <v>0</v>
      </c>
      <c r="AU103" s="68" t="b">
        <v>0</v>
      </c>
    </row>
    <row r="104">
      <c r="A104" s="68" t="n">
        <v>29000205</v>
      </c>
      <c r="B104" s="68" t="inlineStr">
        <is>
          <t>슬라임킹-수</t>
        </is>
      </c>
      <c r="C104" s="68" t="n">
        <v>290002</v>
      </c>
      <c r="D104" s="68" t="n">
        <v>0</v>
      </c>
      <c r="E104" s="68" t="inlineStr">
        <is>
          <t>character_name_29000205</t>
        </is>
      </c>
      <c r="G104" s="68" t="inlineStr">
        <is>
          <t>Boss</t>
        </is>
      </c>
      <c r="H104" s="68" t="inlineStr">
        <is>
          <t>Normal</t>
        </is>
      </c>
      <c r="I104" s="68" t="n">
        <v>5</v>
      </c>
      <c r="J104" s="24" t="inlineStr">
        <is>
          <t>1,1,1</t>
        </is>
      </c>
      <c r="K104" s="68" t="b">
        <v>0</v>
      </c>
      <c r="L104" s="24" t="inlineStr">
        <is>
          <t>0,0,0</t>
        </is>
      </c>
      <c r="M104" s="68" t="n">
        <v>2</v>
      </c>
      <c r="N104" s="68" t="inlineStr">
        <is>
          <t>Water</t>
        </is>
      </c>
      <c r="O104" s="68" t="inlineStr">
        <is>
          <t>Defender</t>
        </is>
      </c>
      <c r="P104" s="68" t="n">
        <v>200</v>
      </c>
      <c r="Q104" s="68">
        <f t="array" ref="Q104">_xlfn.IFS($O104="Attacker",6,$O104="Healer",3,$O104="Magician",4,$O104="Defender",3,$O104="Supporter",4)</f>
        <v/>
      </c>
      <c r="R104" s="68">
        <f t="array" ref="R104">_xlfn.IFS($O104="Attacker",6,$O104="Healer",3,$O104="Magician",4,$O104="Defender",3,$O104="Supporter",4)</f>
        <v/>
      </c>
      <c r="S104" s="68" t="n">
        <v>1</v>
      </c>
      <c r="T104" s="68" t="n">
        <v>0</v>
      </c>
      <c r="U104" s="68" t="n">
        <v>0</v>
      </c>
      <c r="V104" s="68" t="inlineStr">
        <is>
          <t>Spd</t>
        </is>
      </c>
      <c r="W104" s="68">
        <f t="array" ref="W104">_xlfn.IFS(O104="Attacker",80,O104="Healer",90,O104="Magician",100,O104="Defender",110,O104="Supporter",120)</f>
        <v/>
      </c>
      <c r="X104" s="68" t="inlineStr">
        <is>
          <t>Hp</t>
        </is>
      </c>
      <c r="Y104" s="68" t="n">
        <v>1757812</v>
      </c>
      <c r="Z104" s="68" t="inlineStr">
        <is>
          <t>Atk</t>
        </is>
      </c>
      <c r="AA104" s="68" t="n">
        <v>2530</v>
      </c>
      <c r="AB104" s="68" t="inlineStr">
        <is>
          <t>Def</t>
        </is>
      </c>
      <c r="AC104" s="68" t="n">
        <v>0</v>
      </c>
      <c r="AD104" s="68" t="inlineStr">
        <is>
          <t>Penetration</t>
        </is>
      </c>
      <c r="AE104" s="68" t="n">
        <v>0</v>
      </c>
      <c r="AF104" s="68" t="inlineStr">
        <is>
          <t>Hit</t>
        </is>
      </c>
      <c r="AG104" s="68" t="n">
        <v>120</v>
      </c>
      <c r="AH104" s="68" t="inlineStr">
        <is>
          <t>Dodge</t>
        </is>
      </c>
      <c r="AI104" s="68" t="n">
        <v>104</v>
      </c>
      <c r="AJ104" s="68" t="inlineStr">
        <is>
          <t>CriRatio</t>
        </is>
      </c>
      <c r="AK104" s="68" t="n">
        <v>5000</v>
      </c>
      <c r="AL104" s="68" t="inlineStr">
        <is>
          <t>CriDmgRatio</t>
        </is>
      </c>
      <c r="AM104" s="68" t="n">
        <v>150000</v>
      </c>
      <c r="AN104" s="68" t="n">
        <v>1822021</v>
      </c>
      <c r="AO104" s="68" t="b">
        <v>1</v>
      </c>
      <c r="AP104" s="68" t="n">
        <v>0</v>
      </c>
      <c r="AQ104" s="68" t="b">
        <v>0</v>
      </c>
      <c r="AR104" s="68" t="n">
        <v>3822021</v>
      </c>
      <c r="AS104" s="68" t="b">
        <v>1</v>
      </c>
      <c r="AT104" s="68" t="n">
        <v>0</v>
      </c>
      <c r="AU104" s="68" t="b">
        <v>0</v>
      </c>
    </row>
    <row r="105">
      <c r="A105" s="68" t="n">
        <v>29000305</v>
      </c>
      <c r="B105" s="68" t="inlineStr">
        <is>
          <t>슬라임킹-목</t>
        </is>
      </c>
      <c r="C105" s="68" t="n">
        <v>290003</v>
      </c>
      <c r="D105" s="68" t="n">
        <v>0</v>
      </c>
      <c r="E105" s="68" t="inlineStr">
        <is>
          <t>character_name_29000305</t>
        </is>
      </c>
      <c r="G105" s="68" t="inlineStr">
        <is>
          <t>Boss</t>
        </is>
      </c>
      <c r="H105" s="68" t="inlineStr">
        <is>
          <t>Normal</t>
        </is>
      </c>
      <c r="I105" s="68" t="n">
        <v>5</v>
      </c>
      <c r="J105" s="24" t="inlineStr">
        <is>
          <t>1,1,1</t>
        </is>
      </c>
      <c r="K105" s="68" t="b">
        <v>0</v>
      </c>
      <c r="L105" s="24" t="inlineStr">
        <is>
          <t>0,0,0</t>
        </is>
      </c>
      <c r="M105" s="68" t="n">
        <v>2</v>
      </c>
      <c r="N105" s="68" t="inlineStr">
        <is>
          <t>Forest</t>
        </is>
      </c>
      <c r="O105" s="68" t="inlineStr">
        <is>
          <t>Defender</t>
        </is>
      </c>
      <c r="P105" s="68" t="n">
        <v>200</v>
      </c>
      <c r="Q105" s="68">
        <f t="array" ref="Q105">_xlfn.IFS($O105="Attacker",6,$O105="Healer",3,$O105="Magician",4,$O105="Defender",3,$O105="Supporter",4)</f>
        <v/>
      </c>
      <c r="R105" s="68">
        <f t="array" ref="R105">_xlfn.IFS($O105="Attacker",6,$O105="Healer",3,$O105="Magician",4,$O105="Defender",3,$O105="Supporter",4)</f>
        <v/>
      </c>
      <c r="S105" s="68" t="n">
        <v>1</v>
      </c>
      <c r="T105" s="68" t="n">
        <v>0</v>
      </c>
      <c r="U105" s="68" t="n">
        <v>0</v>
      </c>
      <c r="V105" s="68" t="inlineStr">
        <is>
          <t>Spd</t>
        </is>
      </c>
      <c r="W105" s="68">
        <f t="array" ref="W105">_xlfn.IFS(O105="Attacker",80,O105="Healer",90,O105="Magician",100,O105="Defender",110,O105="Supporter",120)</f>
        <v/>
      </c>
      <c r="X105" s="68" t="inlineStr">
        <is>
          <t>Hp</t>
        </is>
      </c>
      <c r="Y105" s="68" t="n">
        <v>2273437</v>
      </c>
      <c r="Z105" s="68" t="inlineStr">
        <is>
          <t>Atk</t>
        </is>
      </c>
      <c r="AA105" s="68" t="n">
        <v>2530</v>
      </c>
      <c r="AB105" s="68" t="inlineStr">
        <is>
          <t>Def</t>
        </is>
      </c>
      <c r="AC105" s="68" t="n">
        <v>0</v>
      </c>
      <c r="AD105" s="68" t="inlineStr">
        <is>
          <t>Penetration</t>
        </is>
      </c>
      <c r="AE105" s="68" t="n">
        <v>0</v>
      </c>
      <c r="AF105" s="68" t="inlineStr">
        <is>
          <t>Hit</t>
        </is>
      </c>
      <c r="AG105" s="68" t="n">
        <v>100</v>
      </c>
      <c r="AH105" s="68" t="inlineStr">
        <is>
          <t>Dodge</t>
        </is>
      </c>
      <c r="AI105" s="68" t="n">
        <v>104</v>
      </c>
      <c r="AJ105" s="68" t="inlineStr">
        <is>
          <t>CriRatio</t>
        </is>
      </c>
      <c r="AK105" s="68" t="n">
        <v>5000</v>
      </c>
      <c r="AL105" s="68" t="inlineStr">
        <is>
          <t>CriDmgRatio</t>
        </is>
      </c>
      <c r="AM105" s="68" t="n">
        <v>150000</v>
      </c>
      <c r="AN105" s="68" t="n">
        <v>1832021</v>
      </c>
      <c r="AO105" s="68" t="b">
        <v>1</v>
      </c>
      <c r="AP105" s="68" t="n">
        <v>0</v>
      </c>
      <c r="AQ105" s="68" t="b">
        <v>0</v>
      </c>
      <c r="AR105" s="68" t="n">
        <v>3832021</v>
      </c>
      <c r="AS105" s="68" t="b">
        <v>1</v>
      </c>
      <c r="AT105" s="68" t="n">
        <v>0</v>
      </c>
      <c r="AU105" s="68" t="b">
        <v>0</v>
      </c>
    </row>
    <row r="106">
      <c r="A106" s="68" t="n">
        <v>29000405</v>
      </c>
      <c r="B106" s="68" t="inlineStr">
        <is>
          <t>슬라임킹-광</t>
        </is>
      </c>
      <c r="C106" s="68" t="n">
        <v>290004</v>
      </c>
      <c r="D106" s="68" t="n">
        <v>0</v>
      </c>
      <c r="E106" s="68" t="inlineStr">
        <is>
          <t>character_name_29000405</t>
        </is>
      </c>
      <c r="G106" s="68" t="inlineStr">
        <is>
          <t>Boss</t>
        </is>
      </c>
      <c r="H106" s="68" t="inlineStr">
        <is>
          <t>Normal</t>
        </is>
      </c>
      <c r="I106" s="68" t="n">
        <v>5</v>
      </c>
      <c r="J106" s="24" t="inlineStr">
        <is>
          <t>1,1,1</t>
        </is>
      </c>
      <c r="K106" s="68" t="b">
        <v>0</v>
      </c>
      <c r="L106" s="24" t="inlineStr">
        <is>
          <t>0,0,0</t>
        </is>
      </c>
      <c r="M106" s="68" t="n">
        <v>2</v>
      </c>
      <c r="N106" s="68" t="inlineStr">
        <is>
          <t>Light</t>
        </is>
      </c>
      <c r="O106" s="68" t="inlineStr">
        <is>
          <t>Defender</t>
        </is>
      </c>
      <c r="P106" s="68" t="n">
        <v>200</v>
      </c>
      <c r="Q106" s="68">
        <f t="array" ref="Q106">_xlfn.IFS($O106="Attacker",6,$O106="Healer",3,$O106="Magician",4,$O106="Defender",3,$O106="Supporter",4)</f>
        <v/>
      </c>
      <c r="R106" s="68">
        <f t="array" ref="R106">_xlfn.IFS($O106="Attacker",6,$O106="Healer",3,$O106="Magician",4,$O106="Defender",3,$O106="Supporter",4)</f>
        <v/>
      </c>
      <c r="S106" s="68" t="n">
        <v>1</v>
      </c>
      <c r="T106" s="68" t="n">
        <v>0</v>
      </c>
      <c r="U106" s="68" t="n">
        <v>0</v>
      </c>
      <c r="V106" s="68" t="inlineStr">
        <is>
          <t>Spd</t>
        </is>
      </c>
      <c r="W106" s="68">
        <f t="array" ref="W106">_xlfn.IFS(O106="Attacker",80,O106="Healer",90,O106="Magician",100,O106="Defender",110,O106="Supporter",120)</f>
        <v/>
      </c>
      <c r="X106" s="68" t="inlineStr">
        <is>
          <t>Hp</t>
        </is>
      </c>
      <c r="Y106" s="68" t="n">
        <v>1757812</v>
      </c>
      <c r="Z106" s="68" t="inlineStr">
        <is>
          <t>Atk</t>
        </is>
      </c>
      <c r="AA106" s="68" t="n">
        <v>2530</v>
      </c>
      <c r="AB106" s="68" t="inlineStr">
        <is>
          <t>Def</t>
        </is>
      </c>
      <c r="AC106" s="68" t="n">
        <v>0</v>
      </c>
      <c r="AD106" s="68" t="inlineStr">
        <is>
          <t>Penetration</t>
        </is>
      </c>
      <c r="AE106" s="68" t="n">
        <v>0</v>
      </c>
      <c r="AF106" s="68" t="inlineStr">
        <is>
          <t>Hit</t>
        </is>
      </c>
      <c r="AG106" s="68" t="n">
        <v>100</v>
      </c>
      <c r="AH106" s="68" t="inlineStr">
        <is>
          <t>Dodge</t>
        </is>
      </c>
      <c r="AI106" s="68" t="n">
        <v>104</v>
      </c>
      <c r="AJ106" s="68" t="inlineStr">
        <is>
          <t>CriRatio</t>
        </is>
      </c>
      <c r="AK106" s="68" t="n">
        <v>5000</v>
      </c>
      <c r="AL106" s="68" t="inlineStr">
        <is>
          <t>CriDmgRatio</t>
        </is>
      </c>
      <c r="AM106" s="68" t="n">
        <v>150000</v>
      </c>
      <c r="AN106" s="68" t="n">
        <v>1842021</v>
      </c>
      <c r="AO106" s="68" t="b">
        <v>1</v>
      </c>
      <c r="AP106" s="68" t="n">
        <v>0</v>
      </c>
      <c r="AQ106" s="68" t="b">
        <v>0</v>
      </c>
      <c r="AR106" s="68" t="n">
        <v>3842021</v>
      </c>
      <c r="AS106" s="68" t="b">
        <v>1</v>
      </c>
      <c r="AT106" s="68" t="n">
        <v>0</v>
      </c>
      <c r="AU106" s="68" t="b">
        <v>0</v>
      </c>
    </row>
    <row r="107">
      <c r="A107" s="29" t="n">
        <v>29000505</v>
      </c>
      <c r="B107" s="29" t="inlineStr">
        <is>
          <t>슬라임킹-암</t>
        </is>
      </c>
      <c r="C107" s="29" t="n">
        <v>290005</v>
      </c>
      <c r="D107" s="29" t="n">
        <v>0</v>
      </c>
      <c r="E107" s="29" t="inlineStr">
        <is>
          <t>character_name_29000505</t>
        </is>
      </c>
      <c r="F107" s="29" t="n"/>
      <c r="G107" s="29" t="inlineStr">
        <is>
          <t>Boss</t>
        </is>
      </c>
      <c r="H107" s="29" t="inlineStr">
        <is>
          <t>Normal</t>
        </is>
      </c>
      <c r="I107" s="29" t="n">
        <v>5</v>
      </c>
      <c r="J107" s="27" t="inlineStr">
        <is>
          <t>1,1,1</t>
        </is>
      </c>
      <c r="K107" s="68" t="b">
        <v>0</v>
      </c>
      <c r="L107" s="27" t="inlineStr">
        <is>
          <t>0,0,0</t>
        </is>
      </c>
      <c r="M107" s="29" t="n">
        <v>2</v>
      </c>
      <c r="N107" s="29" t="inlineStr">
        <is>
          <t>Dark</t>
        </is>
      </c>
      <c r="O107" s="29" t="inlineStr">
        <is>
          <t>Defender</t>
        </is>
      </c>
      <c r="P107" s="29" t="n">
        <v>200</v>
      </c>
      <c r="Q107" s="29">
        <f t="array" ref="Q107">_xlfn.IFS($O107="Attacker",6,$O107="Healer",3,$O107="Magician",4,$O107="Defender",3,$O107="Supporter",4)</f>
        <v/>
      </c>
      <c r="R107" s="29">
        <f t="array" ref="R107">_xlfn.IFS($O107="Attacker",6,$O107="Healer",3,$O107="Magician",4,$O107="Defender",3,$O107="Supporter",4)</f>
        <v/>
      </c>
      <c r="S107" s="29" t="n">
        <v>1</v>
      </c>
      <c r="T107" s="29" t="n">
        <v>0</v>
      </c>
      <c r="U107" s="29" t="n">
        <v>0</v>
      </c>
      <c r="V107" s="29" t="inlineStr">
        <is>
          <t>Spd</t>
        </is>
      </c>
      <c r="W107" s="29">
        <f t="array" ref="W107">_xlfn.IFS(O107="Attacker",80,O107="Healer",90,O107="Magician",100,O107="Defender",110,O107="Supporter",120)</f>
        <v/>
      </c>
      <c r="X107" s="29" t="inlineStr">
        <is>
          <t>Hp</t>
        </is>
      </c>
      <c r="Y107" s="68" t="n">
        <v>1757812</v>
      </c>
      <c r="Z107" s="29" t="inlineStr">
        <is>
          <t>Atk</t>
        </is>
      </c>
      <c r="AA107" s="68" t="n">
        <v>2530</v>
      </c>
      <c r="AB107" s="29" t="inlineStr">
        <is>
          <t>Def</t>
        </is>
      </c>
      <c r="AC107" s="29" t="n">
        <v>0</v>
      </c>
      <c r="AD107" s="29" t="inlineStr">
        <is>
          <t>Penetration</t>
        </is>
      </c>
      <c r="AE107" s="29" t="n">
        <v>0</v>
      </c>
      <c r="AF107" s="29" t="inlineStr">
        <is>
          <t>Hit</t>
        </is>
      </c>
      <c r="AG107" s="29" t="n">
        <v>100</v>
      </c>
      <c r="AH107" s="29" t="inlineStr">
        <is>
          <t>Dodge</t>
        </is>
      </c>
      <c r="AI107" s="29" t="n">
        <v>80</v>
      </c>
      <c r="AJ107" s="29" t="inlineStr">
        <is>
          <t>CriRatio</t>
        </is>
      </c>
      <c r="AK107" s="29" t="n">
        <v>20000</v>
      </c>
      <c r="AL107" s="29" t="inlineStr">
        <is>
          <t>CriDmgRatio</t>
        </is>
      </c>
      <c r="AM107" s="29" t="n">
        <v>150000</v>
      </c>
      <c r="AN107" s="29" t="n">
        <v>1852021</v>
      </c>
      <c r="AO107" s="29" t="b">
        <v>1</v>
      </c>
      <c r="AP107" s="29" t="n">
        <v>0</v>
      </c>
      <c r="AQ107" s="29" t="b">
        <v>0</v>
      </c>
      <c r="AR107" s="29" t="n">
        <v>3852021</v>
      </c>
      <c r="AS107" s="68" t="b">
        <v>1</v>
      </c>
      <c r="AT107" s="29" t="n">
        <v>0</v>
      </c>
      <c r="AU107" s="29" t="b">
        <v>0</v>
      </c>
    </row>
    <row r="108" customFormat="1" s="11">
      <c r="A108" s="29" t="n">
        <v>12240199</v>
      </c>
      <c r="B108" s="29" t="inlineStr">
        <is>
          <t>로키</t>
        </is>
      </c>
      <c r="C108" s="29" t="n">
        <v>122401</v>
      </c>
      <c r="D108" s="29" t="n">
        <v>0</v>
      </c>
      <c r="E108" s="29" t="inlineStr">
        <is>
          <t>character_name_12240199</t>
        </is>
      </c>
      <c r="F108" s="29" t="n"/>
      <c r="G108" s="29" t="inlineStr">
        <is>
          <t>Boss</t>
        </is>
      </c>
      <c r="H108" s="29" t="inlineStr">
        <is>
          <t>Normal</t>
        </is>
      </c>
      <c r="I108" s="29" t="n">
        <v>99</v>
      </c>
      <c r="J108" s="27" t="inlineStr">
        <is>
          <t>1,1,1</t>
        </is>
      </c>
      <c r="K108" s="68" t="b">
        <v>0</v>
      </c>
      <c r="L108" s="27" t="inlineStr">
        <is>
          <t>0,0,0</t>
        </is>
      </c>
      <c r="M108" s="29" t="n">
        <v>2</v>
      </c>
      <c r="N108" s="29" t="inlineStr">
        <is>
          <t>Dark</t>
        </is>
      </c>
      <c r="O108" s="29" t="inlineStr">
        <is>
          <t>Magician</t>
        </is>
      </c>
      <c r="P108" s="29" t="n">
        <v>200</v>
      </c>
      <c r="Q108" s="29">
        <f t="array" ref="Q108">_xlfn.IFS($O108="Attacker",6,$O108="Healer",3,$O108="Magician",4,$O108="Defender",3,$O108="Supporter",4)</f>
        <v/>
      </c>
      <c r="R108" s="29">
        <f t="array" ref="R108">_xlfn.IFS($O108="Attacker",6,$O108="Healer",3,$O108="Magician",4,$O108="Defender",3,$O108="Supporter",4)</f>
        <v/>
      </c>
      <c r="S108" s="29" t="n">
        <v>1</v>
      </c>
      <c r="T108" s="29" t="n">
        <v>0</v>
      </c>
      <c r="U108" s="29" t="n">
        <v>0</v>
      </c>
      <c r="V108" s="29" t="inlineStr">
        <is>
          <t>Spd</t>
        </is>
      </c>
      <c r="W108" s="29">
        <f t="array" ref="W108">_xlfn.IFS(O108="Attacker",80,O108="Healer",90,O108="Magician",100,O108="Defender",110,O108="Supporter",120)</f>
        <v/>
      </c>
      <c r="X108" s="29" t="inlineStr">
        <is>
          <t>Hp</t>
        </is>
      </c>
      <c r="Y108" s="29" t="n">
        <v>9999100000</v>
      </c>
      <c r="Z108" s="29" t="inlineStr">
        <is>
          <t>Atk</t>
        </is>
      </c>
      <c r="AA108" s="29" t="n">
        <v>99200000</v>
      </c>
      <c r="AB108" s="29" t="inlineStr">
        <is>
          <t>Def</t>
        </is>
      </c>
      <c r="AC108" s="29" t="n">
        <v>99200000</v>
      </c>
      <c r="AD108" s="29" t="inlineStr">
        <is>
          <t>Penetration</t>
        </is>
      </c>
      <c r="AE108" s="29" t="n">
        <v>3000</v>
      </c>
      <c r="AF108" s="29" t="inlineStr">
        <is>
          <t>Hit</t>
        </is>
      </c>
      <c r="AG108" s="29" t="n">
        <v>500</v>
      </c>
      <c r="AH108" s="29" t="inlineStr">
        <is>
          <t>Dodge</t>
        </is>
      </c>
      <c r="AI108" s="29" t="n">
        <v>80</v>
      </c>
      <c r="AJ108" s="29" t="inlineStr">
        <is>
          <t>CriRatio</t>
        </is>
      </c>
      <c r="AK108" s="29" t="n">
        <v>5000</v>
      </c>
      <c r="AL108" s="29" t="inlineStr">
        <is>
          <t>CriDmgRatio</t>
        </is>
      </c>
      <c r="AM108" s="29" t="n">
        <v>150000</v>
      </c>
      <c r="AN108" s="29" t="n">
        <v>1942041</v>
      </c>
      <c r="AO108" s="29" t="b">
        <v>1</v>
      </c>
      <c r="AP108" s="29" t="n">
        <v>0</v>
      </c>
      <c r="AQ108" s="29" t="b">
        <v>0</v>
      </c>
      <c r="AR108" s="29" t="n">
        <v>3942041</v>
      </c>
      <c r="AS108" s="29" t="b">
        <v>1</v>
      </c>
      <c r="AT108" s="29" t="n">
        <v>0</v>
      </c>
      <c r="AU108" s="29" t="b">
        <v>0</v>
      </c>
    </row>
    <row r="109">
      <c r="A109" s="30" t="n">
        <v>10510201</v>
      </c>
      <c r="B109" s="30" t="inlineStr">
        <is>
          <t>프레이</t>
        </is>
      </c>
      <c r="C109" s="30" t="n">
        <v>105102</v>
      </c>
      <c r="D109" s="30" t="n">
        <v>0</v>
      </c>
      <c r="E109" s="30" t="inlineStr">
        <is>
          <t>character_name_10510201</t>
        </is>
      </c>
      <c r="F109" s="30" t="n"/>
      <c r="G109" s="30" t="inlineStr">
        <is>
          <t>Boss</t>
        </is>
      </c>
      <c r="H109" s="30" t="inlineStr">
        <is>
          <t>Normal</t>
        </is>
      </c>
      <c r="I109" s="30" t="n">
        <v>1</v>
      </c>
      <c r="J109" s="38" t="inlineStr">
        <is>
          <t>1.2,1.2,1.2</t>
        </is>
      </c>
      <c r="K109" s="68" t="b">
        <v>0</v>
      </c>
      <c r="L109" s="38" t="inlineStr">
        <is>
          <t>0,0,0</t>
        </is>
      </c>
      <c r="M109" s="30" t="n">
        <v>2</v>
      </c>
      <c r="N109" s="30" t="inlineStr">
        <is>
          <t>Forest</t>
        </is>
      </c>
      <c r="O109" s="30" t="inlineStr">
        <is>
          <t>Defender</t>
        </is>
      </c>
      <c r="P109" s="30" t="n">
        <v>200</v>
      </c>
      <c r="Q109" s="30">
        <f t="array" ref="Q109">_xlfn.IFS($O109="Attacker",6,$O109="Healer",3,$O109="Magician",4,$O109="Defender",3,$O109="Supporter",4)</f>
        <v/>
      </c>
      <c r="R109" s="30">
        <f t="array" ref="R109">_xlfn.IFS($O109="Attacker",6,$O109="Healer",3,$O109="Magician",4,$O109="Defender",3,$O109="Supporter",4)</f>
        <v/>
      </c>
      <c r="S109" s="30" t="n">
        <v>1</v>
      </c>
      <c r="T109" s="30" t="n">
        <v>0</v>
      </c>
      <c r="U109" s="30" t="n">
        <v>0</v>
      </c>
      <c r="V109" s="30" t="inlineStr">
        <is>
          <t>Spd</t>
        </is>
      </c>
      <c r="W109" s="30">
        <f t="array" ref="W109">_xlfn.IFS(O109="Attacker",80,O109="Healer",90,O109="Magician",100,O109="Defender",110,O109="Supporter",120)</f>
        <v/>
      </c>
      <c r="X109" s="30" t="inlineStr">
        <is>
          <t>Hp</t>
        </is>
      </c>
      <c r="Y109" s="68" t="n">
        <v>123000</v>
      </c>
      <c r="Z109" s="30" t="inlineStr">
        <is>
          <t>Atk</t>
        </is>
      </c>
      <c r="AA109" s="68" t="n">
        <v>3500</v>
      </c>
      <c r="AB109" s="30" t="inlineStr">
        <is>
          <t>Def</t>
        </is>
      </c>
      <c r="AC109" s="30" t="n">
        <v>1800</v>
      </c>
      <c r="AD109" s="30" t="inlineStr">
        <is>
          <t>Penetration</t>
        </is>
      </c>
      <c r="AE109" s="30" t="n">
        <v>1800</v>
      </c>
      <c r="AF109" s="30" t="inlineStr">
        <is>
          <t>Hit</t>
        </is>
      </c>
      <c r="AG109" s="30" t="n">
        <v>100</v>
      </c>
      <c r="AH109" s="30" t="inlineStr">
        <is>
          <t>Dodge</t>
        </is>
      </c>
      <c r="AI109" s="30" t="n">
        <v>88</v>
      </c>
      <c r="AJ109" s="30" t="inlineStr">
        <is>
          <t>CriRatio</t>
        </is>
      </c>
      <c r="AK109" s="30" t="n">
        <v>75000</v>
      </c>
      <c r="AL109" s="30" t="inlineStr">
        <is>
          <t>CriDmgRatio</t>
        </is>
      </c>
      <c r="AM109" s="30" t="n">
        <v>150000</v>
      </c>
      <c r="AN109" s="30" t="n">
        <v>1551091</v>
      </c>
      <c r="AO109" s="30" t="b">
        <v>1</v>
      </c>
      <c r="AP109" s="30" t="n">
        <v>2551091</v>
      </c>
      <c r="AQ109" s="30" t="b">
        <v>1</v>
      </c>
      <c r="AR109" s="30" t="n">
        <v>3551091</v>
      </c>
      <c r="AS109" s="30" t="b">
        <v>1</v>
      </c>
      <c r="AT109" s="30" t="n">
        <v>0</v>
      </c>
      <c r="AU109" s="30" t="b">
        <v>0</v>
      </c>
    </row>
    <row r="110">
      <c r="A110" s="68" t="n">
        <v>21890101</v>
      </c>
      <c r="B110" s="68" t="inlineStr">
        <is>
          <t>보물상자</t>
        </is>
      </c>
      <c r="C110" s="68" t="n">
        <v>218901</v>
      </c>
      <c r="D110" s="68" t="n">
        <v>0</v>
      </c>
      <c r="E110" s="68" t="inlineStr">
        <is>
          <t>character_name_21890101</t>
        </is>
      </c>
      <c r="G110" s="68" t="inlineStr">
        <is>
          <t>Normal</t>
        </is>
      </c>
      <c r="H110" s="68" t="inlineStr">
        <is>
          <t>Normal</t>
        </is>
      </c>
      <c r="I110" s="68" t="n">
        <v>1</v>
      </c>
      <c r="J110" s="24" t="inlineStr">
        <is>
          <t>1,1,1</t>
        </is>
      </c>
      <c r="K110" s="68" t="b">
        <v>1</v>
      </c>
      <c r="L110" s="24" t="inlineStr">
        <is>
          <t>0,0,0</t>
        </is>
      </c>
      <c r="M110" s="68" t="n">
        <v>2</v>
      </c>
      <c r="N110" s="68" t="inlineStr">
        <is>
          <t>Fire</t>
        </is>
      </c>
      <c r="O110" s="68" t="inlineStr">
        <is>
          <t>Defender</t>
        </is>
      </c>
      <c r="P110" s="68" t="n">
        <v>200</v>
      </c>
      <c r="Q110" s="68">
        <f t="array" ref="Q110">_xlfn.IFS($O110="Attacker",6,$O110="Healer",3,$O110="Magician",4,$O110="Defender",3,$O110="Supporter",4)</f>
        <v/>
      </c>
      <c r="R110" s="68">
        <f t="array" ref="R110">_xlfn.IFS($O110="Attacker",6,$O110="Healer",3,$O110="Magician",4,$O110="Defender",3,$O110="Supporter",4)</f>
        <v/>
      </c>
      <c r="S110" s="68" t="n">
        <v>1</v>
      </c>
      <c r="T110" s="68" t="n">
        <v>0</v>
      </c>
      <c r="U110" s="68" t="n">
        <v>0</v>
      </c>
      <c r="V110" s="68" t="inlineStr">
        <is>
          <t>Spd</t>
        </is>
      </c>
      <c r="W110" s="68">
        <f t="array" ref="W110">_xlfn.IFS(O110="Attacker",80,O110="Healer",90,O110="Magician",100,O110="Defender",110,O110="Supporter",120)</f>
        <v/>
      </c>
      <c r="X110" s="68" t="inlineStr">
        <is>
          <t>Hp</t>
        </is>
      </c>
      <c r="Y110" s="68" t="n">
        <v>30000</v>
      </c>
      <c r="Z110" s="68" t="inlineStr">
        <is>
          <t>Atk</t>
        </is>
      </c>
      <c r="AA110" s="68" t="n">
        <v>500</v>
      </c>
      <c r="AB110" s="68" t="inlineStr">
        <is>
          <t>Def</t>
        </is>
      </c>
      <c r="AC110" s="68" t="n">
        <v>2000</v>
      </c>
      <c r="AD110" s="68" t="inlineStr">
        <is>
          <t>Penetration</t>
        </is>
      </c>
      <c r="AE110" s="68" t="n">
        <v>2000</v>
      </c>
      <c r="AF110" s="68" t="inlineStr">
        <is>
          <t>Hit</t>
        </is>
      </c>
      <c r="AG110" s="68" t="n">
        <v>100</v>
      </c>
      <c r="AH110" s="68" t="inlineStr">
        <is>
          <t>Dodge</t>
        </is>
      </c>
      <c r="AI110" s="68" t="n">
        <v>80</v>
      </c>
      <c r="AJ110" s="68" t="inlineStr">
        <is>
          <t>CriRatio</t>
        </is>
      </c>
      <c r="AK110" s="68" t="n">
        <v>5000</v>
      </c>
      <c r="AL110" s="68" t="inlineStr">
        <is>
          <t>CriDmgRatio</t>
        </is>
      </c>
      <c r="AM110" s="68" t="n">
        <v>150000</v>
      </c>
      <c r="AN110" s="68" t="n">
        <v>1842061</v>
      </c>
      <c r="AO110" s="68" t="b">
        <v>1</v>
      </c>
      <c r="AP110" s="68" t="n">
        <v>2842061</v>
      </c>
      <c r="AQ110" s="68" t="b">
        <v>1</v>
      </c>
      <c r="AR110" s="68" t="n">
        <v>0</v>
      </c>
      <c r="AS110" s="68" t="b">
        <v>0</v>
      </c>
      <c r="AT110" s="68" t="n">
        <v>0</v>
      </c>
      <c r="AU110" s="68" t="b">
        <v>0</v>
      </c>
    </row>
    <row r="111">
      <c r="A111" s="30" t="n">
        <v>21890102</v>
      </c>
      <c r="B111" s="30" t="inlineStr">
        <is>
          <t>보물상자</t>
        </is>
      </c>
      <c r="C111" s="30" t="n">
        <v>218901</v>
      </c>
      <c r="D111" s="30" t="n">
        <v>0</v>
      </c>
      <c r="E111" s="30" t="inlineStr">
        <is>
          <t>character_name_21890102</t>
        </is>
      </c>
      <c r="F111" s="30" t="n"/>
      <c r="G111" s="30" t="inlineStr">
        <is>
          <t>Normal</t>
        </is>
      </c>
      <c r="H111" s="30" t="inlineStr">
        <is>
          <t>Normal</t>
        </is>
      </c>
      <c r="I111" s="30" t="n">
        <v>2</v>
      </c>
      <c r="J111" s="38" t="inlineStr">
        <is>
          <t>1,1,1</t>
        </is>
      </c>
      <c r="K111" s="68" t="b">
        <v>1</v>
      </c>
      <c r="L111" s="38" t="inlineStr">
        <is>
          <t>0,0,0</t>
        </is>
      </c>
      <c r="M111" s="30" t="n">
        <v>2</v>
      </c>
      <c r="N111" s="30" t="inlineStr">
        <is>
          <t>Fire</t>
        </is>
      </c>
      <c r="O111" s="30" t="inlineStr">
        <is>
          <t>Defender</t>
        </is>
      </c>
      <c r="P111" s="30" t="n">
        <v>200</v>
      </c>
      <c r="Q111" s="30">
        <f t="array" ref="Q111">_xlfn.IFS($O111="Attacker",6,$O111="Healer",3,$O111="Magician",4,$O111="Defender",3,$O111="Supporter",4)</f>
        <v/>
      </c>
      <c r="R111" s="30">
        <f t="array" ref="R111">_xlfn.IFS($O111="Attacker",6,$O111="Healer",3,$O111="Magician",4,$O111="Defender",3,$O111="Supporter",4)</f>
        <v/>
      </c>
      <c r="S111" s="30" t="n">
        <v>1</v>
      </c>
      <c r="T111" s="30" t="n">
        <v>0</v>
      </c>
      <c r="U111" s="30" t="n">
        <v>0</v>
      </c>
      <c r="V111" s="30" t="inlineStr">
        <is>
          <t>Spd</t>
        </is>
      </c>
      <c r="W111" s="30">
        <f t="array" ref="W111">_xlfn.IFS(O111="Attacker",80,O111="Healer",90,O111="Magician",100,O111="Defender",110,O111="Supporter",120)</f>
        <v/>
      </c>
      <c r="X111" s="30" t="inlineStr">
        <is>
          <t>Hp</t>
        </is>
      </c>
      <c r="Y111" s="30" t="n">
        <v>30000</v>
      </c>
      <c r="Z111" s="30" t="inlineStr">
        <is>
          <t>Atk</t>
        </is>
      </c>
      <c r="AA111" s="30" t="n">
        <v>500</v>
      </c>
      <c r="AB111" s="30" t="inlineStr">
        <is>
          <t>Def</t>
        </is>
      </c>
      <c r="AC111" s="30" t="n">
        <v>5000</v>
      </c>
      <c r="AD111" s="30" t="inlineStr">
        <is>
          <t>Penetration</t>
        </is>
      </c>
      <c r="AE111" s="30" t="n">
        <v>5000</v>
      </c>
      <c r="AF111" s="30" t="inlineStr">
        <is>
          <t>Hit</t>
        </is>
      </c>
      <c r="AG111" s="30" t="n">
        <v>100</v>
      </c>
      <c r="AH111" s="30" t="inlineStr">
        <is>
          <t>Dodge</t>
        </is>
      </c>
      <c r="AI111" s="30" t="n">
        <v>80</v>
      </c>
      <c r="AJ111" s="30" t="inlineStr">
        <is>
          <t>CriRatio</t>
        </is>
      </c>
      <c r="AK111" s="30" t="n">
        <v>5000</v>
      </c>
      <c r="AL111" s="30" t="inlineStr">
        <is>
          <t>CriDmgRatio</t>
        </is>
      </c>
      <c r="AM111" s="30" t="n">
        <v>150000</v>
      </c>
      <c r="AN111" s="30" t="n">
        <v>1842061</v>
      </c>
      <c r="AO111" s="30" t="b">
        <v>1</v>
      </c>
      <c r="AP111" s="30" t="n">
        <v>2842061</v>
      </c>
      <c r="AQ111" s="30" t="b">
        <v>1</v>
      </c>
      <c r="AR111" s="30" t="n">
        <v>0</v>
      </c>
      <c r="AS111" s="30" t="b">
        <v>0</v>
      </c>
      <c r="AT111" s="30" t="n">
        <v>0</v>
      </c>
      <c r="AU111" s="30" t="b">
        <v>0</v>
      </c>
    </row>
    <row r="112">
      <c r="A112" s="29" t="n">
        <v>21800101</v>
      </c>
      <c r="B112" s="50" t="inlineStr">
        <is>
          <t>야망의 맘몬</t>
        </is>
      </c>
      <c r="C112" s="29" t="n">
        <v>218001</v>
      </c>
      <c r="D112" s="29" t="n">
        <v>0</v>
      </c>
      <c r="E112" s="29" t="inlineStr">
        <is>
          <t>character_name_21800101</t>
        </is>
      </c>
      <c r="F112" s="29" t="n"/>
      <c r="G112" s="29" t="inlineStr">
        <is>
          <t>Boss</t>
        </is>
      </c>
      <c r="H112" s="29" t="inlineStr">
        <is>
          <t>Normal</t>
        </is>
      </c>
      <c r="I112" s="29" t="n">
        <v>1</v>
      </c>
      <c r="J112" s="24" t="inlineStr">
        <is>
          <t>1,1,1</t>
        </is>
      </c>
      <c r="K112" s="68" t="b">
        <v>0</v>
      </c>
      <c r="L112" s="27" t="inlineStr">
        <is>
          <t>0,0,0</t>
        </is>
      </c>
      <c r="M112" s="29" t="n">
        <v>3</v>
      </c>
      <c r="N112" s="29" t="inlineStr">
        <is>
          <t>Forest</t>
        </is>
      </c>
      <c r="O112" s="29" t="inlineStr">
        <is>
          <t>Defender</t>
        </is>
      </c>
      <c r="P112" s="29" t="n">
        <v>200</v>
      </c>
      <c r="Q112" s="29">
        <f t="array" ref="Q112">_xlfn.IFS($O112="Attacker",6,$O112="Healer",3,$O112="Magician",4,$O112="Defender",3,$O112="Supporter",4)</f>
        <v/>
      </c>
      <c r="R112" s="29">
        <f t="array" ref="R112">_xlfn.IFS($O112="Attacker",6,$O112="Healer",3,$O112="Magician",4,$O112="Defender",3,$O112="Supporter",4)</f>
        <v/>
      </c>
      <c r="S112" s="29" t="n">
        <v>1</v>
      </c>
      <c r="T112" s="29" t="n">
        <v>0</v>
      </c>
      <c r="U112" s="29" t="n">
        <v>0</v>
      </c>
      <c r="V112" s="29" t="inlineStr">
        <is>
          <t>Spd</t>
        </is>
      </c>
      <c r="W112" s="29">
        <f t="array" ref="W112">_xlfn.IFS(O112="Attacker",80,O112="Healer",90,O112="Magician",100,O112="Defender",110,O112="Supporter",120)</f>
        <v/>
      </c>
      <c r="X112" s="29" t="inlineStr">
        <is>
          <t>Hp</t>
        </is>
      </c>
      <c r="Y112" s="68" t="n">
        <v>3000</v>
      </c>
      <c r="Z112" s="29" t="inlineStr">
        <is>
          <t>Atk</t>
        </is>
      </c>
      <c r="AA112" s="29" t="n">
        <v>800</v>
      </c>
      <c r="AB112" s="29" t="inlineStr">
        <is>
          <t>Def</t>
        </is>
      </c>
      <c r="AC112" s="29" t="n">
        <v>200</v>
      </c>
      <c r="AD112" s="29" t="inlineStr">
        <is>
          <t>Penetration</t>
        </is>
      </c>
      <c r="AE112" s="29" t="n">
        <v>0</v>
      </c>
      <c r="AF112" s="29" t="inlineStr">
        <is>
          <t>Hit</t>
        </is>
      </c>
      <c r="AG112" s="29" t="n">
        <v>100</v>
      </c>
      <c r="AH112" s="29" t="inlineStr">
        <is>
          <t>Dodge</t>
        </is>
      </c>
      <c r="AI112" s="29" t="n">
        <v>100</v>
      </c>
      <c r="AJ112" s="29" t="inlineStr">
        <is>
          <t>CriRatio</t>
        </is>
      </c>
      <c r="AK112" s="29" t="n">
        <v>5000</v>
      </c>
      <c r="AL112" s="29" t="inlineStr">
        <is>
          <t>CriDmgRatio</t>
        </is>
      </c>
      <c r="AM112" s="29" t="n">
        <v>150000</v>
      </c>
      <c r="AN112" s="29" t="n">
        <v>1532071</v>
      </c>
      <c r="AO112" s="29" t="b">
        <v>1</v>
      </c>
      <c r="AP112" s="29" t="n">
        <v>2532071</v>
      </c>
      <c r="AQ112" s="29" t="b">
        <v>1</v>
      </c>
      <c r="AR112" s="29" t="n">
        <v>3532071</v>
      </c>
      <c r="AS112" s="29" t="b">
        <v>1</v>
      </c>
      <c r="AT112" s="29" t="n">
        <v>0</v>
      </c>
      <c r="AU112" s="29" t="b">
        <v>0</v>
      </c>
    </row>
    <row r="113" customFormat="1" s="11">
      <c r="A113" s="68" t="n">
        <v>21800102</v>
      </c>
      <c r="B113" s="68" t="inlineStr">
        <is>
          <t>야망의 맘몬</t>
        </is>
      </c>
      <c r="C113" s="68" t="n">
        <v>218001</v>
      </c>
      <c r="D113" s="68" t="n">
        <v>0</v>
      </c>
      <c r="E113" s="68" t="inlineStr">
        <is>
          <t>character_name_21800102</t>
        </is>
      </c>
      <c r="F113" s="68" t="n"/>
      <c r="G113" s="68" t="inlineStr">
        <is>
          <t>Boss</t>
        </is>
      </c>
      <c r="H113" s="68" t="inlineStr">
        <is>
          <t>Normal</t>
        </is>
      </c>
      <c r="I113" s="68" t="n">
        <v>2</v>
      </c>
      <c r="J113" s="38" t="inlineStr">
        <is>
          <t>1,1,1</t>
        </is>
      </c>
      <c r="K113" s="68" t="b">
        <v>0</v>
      </c>
      <c r="L113" s="24" t="inlineStr">
        <is>
          <t>0,0,0</t>
        </is>
      </c>
      <c r="M113" s="68" t="n">
        <v>3</v>
      </c>
      <c r="N113" s="68" t="inlineStr">
        <is>
          <t>Forest</t>
        </is>
      </c>
      <c r="O113" s="68" t="inlineStr">
        <is>
          <t>Defender</t>
        </is>
      </c>
      <c r="P113" s="68" t="n">
        <v>200</v>
      </c>
      <c r="Q113" s="68">
        <f t="array" ref="Q113">_xlfn.IFS($O113="Attacker",6,$O113="Healer",3,$O113="Magician",4,$O113="Defender",3,$O113="Supporter",4)</f>
        <v/>
      </c>
      <c r="R113" s="68">
        <f t="array" ref="R113">_xlfn.IFS($O113="Attacker",6,$O113="Healer",3,$O113="Magician",4,$O113="Defender",3,$O113="Supporter",4)</f>
        <v/>
      </c>
      <c r="S113" s="68" t="n">
        <v>1</v>
      </c>
      <c r="T113" s="68" t="n">
        <v>0</v>
      </c>
      <c r="U113" s="68" t="n">
        <v>0</v>
      </c>
      <c r="V113" s="68" t="inlineStr">
        <is>
          <t>Spd</t>
        </is>
      </c>
      <c r="W113" s="68">
        <f t="array" ref="W113">_xlfn.IFS(O113="Attacker",80,O113="Healer",90,O113="Magician",100,O113="Defender",110,O113="Supporter",120)</f>
        <v/>
      </c>
      <c r="X113" s="68" t="inlineStr">
        <is>
          <t>Hp</t>
        </is>
      </c>
      <c r="Y113" s="68" t="n">
        <v>170400</v>
      </c>
      <c r="Z113" s="68" t="inlineStr">
        <is>
          <t>Atk</t>
        </is>
      </c>
      <c r="AA113" s="68" t="n">
        <v>2100</v>
      </c>
      <c r="AB113" s="68" t="inlineStr">
        <is>
          <t>Def</t>
        </is>
      </c>
      <c r="AC113" s="68" t="n">
        <v>2100</v>
      </c>
      <c r="AD113" s="68" t="inlineStr">
        <is>
          <t>Penetration</t>
        </is>
      </c>
      <c r="AE113" s="68" t="n">
        <v>2100</v>
      </c>
      <c r="AF113" s="68" t="inlineStr">
        <is>
          <t>Hit</t>
        </is>
      </c>
      <c r="AG113" s="68" t="n">
        <v>100</v>
      </c>
      <c r="AH113" s="68" t="inlineStr">
        <is>
          <t>Dodge</t>
        </is>
      </c>
      <c r="AI113" s="68" t="n">
        <v>80</v>
      </c>
      <c r="AJ113" s="68" t="inlineStr">
        <is>
          <t>CriRatio</t>
        </is>
      </c>
      <c r="AK113" s="68" t="n">
        <v>5000</v>
      </c>
      <c r="AL113" s="68" t="inlineStr">
        <is>
          <t>CriDmgRatio</t>
        </is>
      </c>
      <c r="AM113" s="68" t="n">
        <v>150000</v>
      </c>
      <c r="AN113" s="68" t="n">
        <v>1532071</v>
      </c>
      <c r="AO113" s="68" t="b">
        <v>1</v>
      </c>
      <c r="AP113" s="68" t="n">
        <v>2532071</v>
      </c>
      <c r="AQ113" s="68" t="b">
        <v>1</v>
      </c>
      <c r="AR113" s="68" t="n">
        <v>3532071</v>
      </c>
      <c r="AS113" s="68" t="b">
        <v>1</v>
      </c>
      <c r="AT113" s="68" t="n">
        <v>0</v>
      </c>
      <c r="AU113" s="68" t="b">
        <v>0</v>
      </c>
    </row>
    <row r="114" customFormat="1" s="11">
      <c r="A114" s="30" t="n">
        <v>20380199</v>
      </c>
      <c r="B114" s="30" t="inlineStr">
        <is>
          <t>디아블로</t>
        </is>
      </c>
      <c r="C114" s="30" t="n">
        <v>203801</v>
      </c>
      <c r="D114" s="30" t="n">
        <v>0</v>
      </c>
      <c r="E114" s="30" t="inlineStr">
        <is>
          <t>character_name_20380199</t>
        </is>
      </c>
      <c r="F114" s="30" t="n"/>
      <c r="G114" s="30" t="inlineStr">
        <is>
          <t>Boss</t>
        </is>
      </c>
      <c r="H114" s="30" t="inlineStr">
        <is>
          <t>Normal</t>
        </is>
      </c>
      <c r="I114" s="30" t="n">
        <v>99</v>
      </c>
      <c r="J114" s="38" t="inlineStr">
        <is>
          <t>1,1,1</t>
        </is>
      </c>
      <c r="K114" s="68" t="b">
        <v>0</v>
      </c>
      <c r="L114" s="38" t="inlineStr">
        <is>
          <t>0,0,0</t>
        </is>
      </c>
      <c r="M114" s="30" t="n">
        <v>2</v>
      </c>
      <c r="N114" s="30" t="inlineStr">
        <is>
          <t>Light</t>
        </is>
      </c>
      <c r="O114" s="30" t="inlineStr">
        <is>
          <t>Defender</t>
        </is>
      </c>
      <c r="P114" s="30" t="n">
        <v>200</v>
      </c>
      <c r="Q114" s="30">
        <f t="array" ref="Q114">_xlfn.IFS($O114="Attacker",6,$O114="Healer",3,$O114="Magician",4,$O114="Defender",3,$O114="Supporter",4)</f>
        <v/>
      </c>
      <c r="R114" s="30">
        <f t="array" ref="R114">_xlfn.IFS($O114="Attacker",6,$O114="Healer",3,$O114="Magician",4,$O114="Defender",3,$O114="Supporter",4)</f>
        <v/>
      </c>
      <c r="S114" s="30" t="n">
        <v>1</v>
      </c>
      <c r="T114" s="30" t="n">
        <v>0</v>
      </c>
      <c r="U114" s="30" t="n">
        <v>0</v>
      </c>
      <c r="V114" s="30" t="inlineStr">
        <is>
          <t>Spd</t>
        </is>
      </c>
      <c r="W114" s="30">
        <f t="array" ref="W114">_xlfn.IFS(O114="Attacker",80,O114="Healer",90,O114="Magician",100,O114="Defender",110,O114="Supporter",120)</f>
        <v/>
      </c>
      <c r="X114" s="30" t="inlineStr">
        <is>
          <t>Hp</t>
        </is>
      </c>
      <c r="Y114" s="30" t="n">
        <v>400000</v>
      </c>
      <c r="Z114" s="30" t="inlineStr">
        <is>
          <t>Atk</t>
        </is>
      </c>
      <c r="AA114" s="30" t="n">
        <v>2500</v>
      </c>
      <c r="AB114" s="30" t="inlineStr">
        <is>
          <t>Def</t>
        </is>
      </c>
      <c r="AC114" s="30" t="n">
        <v>15000</v>
      </c>
      <c r="AD114" s="30" t="inlineStr">
        <is>
          <t>Penetration</t>
        </is>
      </c>
      <c r="AE114" s="30" t="n">
        <v>15000</v>
      </c>
      <c r="AF114" s="30" t="inlineStr">
        <is>
          <t>Hit</t>
        </is>
      </c>
      <c r="AG114" s="30" t="n">
        <v>100</v>
      </c>
      <c r="AH114" s="30" t="inlineStr">
        <is>
          <t>Dodge</t>
        </is>
      </c>
      <c r="AI114" s="30" t="n">
        <v>80</v>
      </c>
      <c r="AJ114" s="30" t="inlineStr">
        <is>
          <t>CriRatio</t>
        </is>
      </c>
      <c r="AK114" s="30" t="n">
        <v>5000</v>
      </c>
      <c r="AL114" s="30" t="inlineStr">
        <is>
          <t>CriDmgRatio</t>
        </is>
      </c>
      <c r="AM114" s="30" t="n">
        <v>150000</v>
      </c>
      <c r="AN114" s="30" t="n">
        <v>1942011</v>
      </c>
      <c r="AO114" s="30" t="b">
        <v>1</v>
      </c>
      <c r="AP114" s="30" t="n">
        <v>0</v>
      </c>
      <c r="AQ114" s="30" t="b">
        <v>0</v>
      </c>
      <c r="AR114" s="30" t="n">
        <v>3942011</v>
      </c>
      <c r="AS114" s="30" t="b">
        <v>1</v>
      </c>
      <c r="AT114" s="30" t="n">
        <v>0</v>
      </c>
      <c r="AU114" s="30" t="b">
        <v>0</v>
      </c>
    </row>
    <row r="115" customFormat="1" s="31">
      <c r="A115" s="41" t="n">
        <v>20400199</v>
      </c>
      <c r="B115" s="68" t="inlineStr">
        <is>
          <t>체인킬러</t>
        </is>
      </c>
      <c r="C115" s="68" t="n">
        <v>204001</v>
      </c>
      <c r="D115" s="68" t="n">
        <v>0</v>
      </c>
      <c r="E115" s="68" t="inlineStr">
        <is>
          <t>character_name_20400199</t>
        </is>
      </c>
      <c r="F115" s="68" t="n"/>
      <c r="G115" s="68" t="inlineStr">
        <is>
          <t>Boss</t>
        </is>
      </c>
      <c r="H115" s="68" t="inlineStr">
        <is>
          <t>Normal</t>
        </is>
      </c>
      <c r="I115" s="68" t="n">
        <v>99</v>
      </c>
      <c r="J115" s="24" t="inlineStr">
        <is>
          <t>1,1,1</t>
        </is>
      </c>
      <c r="K115" s="68" t="b">
        <v>0</v>
      </c>
      <c r="L115" s="24" t="inlineStr">
        <is>
          <t>0,0,0</t>
        </is>
      </c>
      <c r="M115" s="68" t="n">
        <v>2</v>
      </c>
      <c r="N115" s="68" t="inlineStr">
        <is>
          <t>Fire</t>
        </is>
      </c>
      <c r="O115" s="68" t="inlineStr">
        <is>
          <t>Defender</t>
        </is>
      </c>
      <c r="P115" s="68" t="n">
        <v>201</v>
      </c>
      <c r="Q115" s="68">
        <f t="array" ref="Q115">_xlfn.IFS($O115="Attacker",6,$O115="Healer",3,$O115="Magician",4,$O115="Defender",3,$O115="Supporter",4)</f>
        <v/>
      </c>
      <c r="R115" s="68">
        <f t="array" ref="R115">_xlfn.IFS($O115="Attacker",6,$O115="Healer",3,$O115="Magician",4,$O115="Defender",3,$O115="Supporter",4)</f>
        <v/>
      </c>
      <c r="S115" s="68" t="n">
        <v>1</v>
      </c>
      <c r="T115" s="68" t="n">
        <v>0</v>
      </c>
      <c r="U115" s="68" t="n">
        <v>0</v>
      </c>
      <c r="V115" s="68" t="inlineStr">
        <is>
          <t>Spd</t>
        </is>
      </c>
      <c r="W115" s="68">
        <f t="array" ref="W115">_xlfn.IFS(O115="Attacker",80,O115="Healer",90,O115="Magician",100,O115="Defender",110,O115="Supporter",120)</f>
        <v/>
      </c>
      <c r="X115" s="68" t="inlineStr">
        <is>
          <t>Hp</t>
        </is>
      </c>
      <c r="Y115" s="68" t="n">
        <v>1</v>
      </c>
      <c r="Z115" s="68" t="inlineStr">
        <is>
          <t>Atk</t>
        </is>
      </c>
      <c r="AA115" s="68" t="n">
        <v>2500</v>
      </c>
      <c r="AB115" s="68" t="inlineStr">
        <is>
          <t>Def</t>
        </is>
      </c>
      <c r="AC115" s="68" t="n">
        <v>15000</v>
      </c>
      <c r="AD115" s="68" t="inlineStr">
        <is>
          <t>Penetration</t>
        </is>
      </c>
      <c r="AE115" s="68" t="n">
        <v>15000</v>
      </c>
      <c r="AF115" s="68" t="inlineStr">
        <is>
          <t>Hit</t>
        </is>
      </c>
      <c r="AG115" s="68" t="n">
        <v>100</v>
      </c>
      <c r="AH115" s="68" t="inlineStr">
        <is>
          <t>Dodge</t>
        </is>
      </c>
      <c r="AI115" s="68" t="n">
        <v>80</v>
      </c>
      <c r="AJ115" s="68" t="inlineStr">
        <is>
          <t>CriRatio</t>
        </is>
      </c>
      <c r="AK115" s="68" t="n">
        <v>5000</v>
      </c>
      <c r="AL115" s="68" t="inlineStr">
        <is>
          <t>CriDmgRatio</t>
        </is>
      </c>
      <c r="AM115" s="68" t="n">
        <v>150000</v>
      </c>
      <c r="AN115" s="68" t="n">
        <v>1942021</v>
      </c>
      <c r="AO115" s="68" t="b">
        <v>1</v>
      </c>
      <c r="AP115" s="68" t="n">
        <v>0</v>
      </c>
      <c r="AQ115" s="68" t="b">
        <v>0</v>
      </c>
      <c r="AR115" s="68" t="n">
        <v>3942021</v>
      </c>
      <c r="AS115" s="68" t="b">
        <v>1</v>
      </c>
      <c r="AT115" s="68" t="n">
        <v>4942021</v>
      </c>
      <c r="AU115" s="68" t="b">
        <v>1</v>
      </c>
    </row>
    <row r="116">
      <c r="A116" s="30" t="n">
        <v>20510199</v>
      </c>
      <c r="B116" s="30" t="inlineStr">
        <is>
          <t>하데스</t>
        </is>
      </c>
      <c r="C116" s="30" t="n">
        <v>205101</v>
      </c>
      <c r="D116" s="30" t="n">
        <v>0</v>
      </c>
      <c r="E116" s="30" t="inlineStr">
        <is>
          <t>character_name_20510199</t>
        </is>
      </c>
      <c r="F116" s="30" t="n"/>
      <c r="G116" s="30" t="inlineStr">
        <is>
          <t>Boss</t>
        </is>
      </c>
      <c r="H116" s="30" t="inlineStr">
        <is>
          <t>Normal</t>
        </is>
      </c>
      <c r="I116" s="30" t="n">
        <v>99</v>
      </c>
      <c r="J116" s="38" t="inlineStr">
        <is>
          <t>1,1,1</t>
        </is>
      </c>
      <c r="K116" s="68" t="b">
        <v>0</v>
      </c>
      <c r="L116" s="38" t="inlineStr">
        <is>
          <t>0,0,0</t>
        </is>
      </c>
      <c r="M116" s="30" t="n">
        <v>2</v>
      </c>
      <c r="N116" s="30" t="inlineStr">
        <is>
          <t>Fire</t>
        </is>
      </c>
      <c r="O116" s="30" t="inlineStr">
        <is>
          <t>Defender</t>
        </is>
      </c>
      <c r="P116" s="30" t="n">
        <v>200</v>
      </c>
      <c r="Q116" s="30">
        <f t="array" ref="Q116">_xlfn.IFS($O116="Attacker",6,$O116="Healer",3,$O116="Magician",4,$O116="Defender",3,$O116="Supporter",4)</f>
        <v/>
      </c>
      <c r="R116" s="30">
        <f t="array" ref="R116">_xlfn.IFS($O116="Attacker",6,$O116="Healer",3,$O116="Magician",4,$O116="Defender",3,$O116="Supporter",4)</f>
        <v/>
      </c>
      <c r="S116" s="30" t="n">
        <v>1</v>
      </c>
      <c r="T116" s="30" t="n">
        <v>0</v>
      </c>
      <c r="U116" s="30" t="n">
        <v>0</v>
      </c>
      <c r="V116" s="30" t="inlineStr">
        <is>
          <t>Spd</t>
        </is>
      </c>
      <c r="W116" s="30">
        <f t="array" ref="W116">_xlfn.IFS(O116="Attacker",80,O116="Healer",90,O116="Magician",100,O116="Defender",110,O116="Supporter",120)</f>
        <v/>
      </c>
      <c r="X116" s="30" t="inlineStr">
        <is>
          <t>Hp</t>
        </is>
      </c>
      <c r="Y116" s="30" t="n">
        <v>400000</v>
      </c>
      <c r="Z116" s="30" t="inlineStr">
        <is>
          <t>Atk</t>
        </is>
      </c>
      <c r="AA116" s="30" t="n">
        <v>2500</v>
      </c>
      <c r="AB116" s="30" t="inlineStr">
        <is>
          <t>Def</t>
        </is>
      </c>
      <c r="AC116" s="30" t="n">
        <v>15000</v>
      </c>
      <c r="AD116" s="30" t="inlineStr">
        <is>
          <t>Penetration</t>
        </is>
      </c>
      <c r="AE116" s="30" t="n">
        <v>15000</v>
      </c>
      <c r="AF116" s="30" t="inlineStr">
        <is>
          <t>Hit</t>
        </is>
      </c>
      <c r="AG116" s="30" t="n">
        <v>100</v>
      </c>
      <c r="AH116" s="30" t="inlineStr">
        <is>
          <t>Dodge</t>
        </is>
      </c>
      <c r="AI116" s="30" t="n">
        <v>80</v>
      </c>
      <c r="AJ116" s="30" t="inlineStr">
        <is>
          <t>CriRatio</t>
        </is>
      </c>
      <c r="AK116" s="30" t="n">
        <v>5000</v>
      </c>
      <c r="AL116" s="30" t="inlineStr">
        <is>
          <t>CriDmgRatio</t>
        </is>
      </c>
      <c r="AM116" s="30" t="n">
        <v>150000</v>
      </c>
      <c r="AN116" s="30" t="n">
        <v>1942031</v>
      </c>
      <c r="AO116" s="30" t="b">
        <v>1</v>
      </c>
      <c r="AP116" s="30" t="n">
        <v>0</v>
      </c>
      <c r="AQ116" s="30" t="b">
        <v>0</v>
      </c>
      <c r="AR116" s="30" t="n">
        <v>3942031</v>
      </c>
      <c r="AS116" s="30" t="b">
        <v>1</v>
      </c>
      <c r="AT116" s="30" t="n">
        <v>0</v>
      </c>
      <c r="AU116" s="30" t="b">
        <v>0</v>
      </c>
    </row>
    <row r="117" customFormat="1" s="31">
      <c r="A117" s="1" t="n">
        <v>13540102</v>
      </c>
      <c r="B117" s="1" t="inlineStr">
        <is>
          <t>드미테르</t>
        </is>
      </c>
      <c r="C117" s="1" t="n">
        <v>135411</v>
      </c>
      <c r="D117" s="1" t="n">
        <v>0</v>
      </c>
      <c r="E117" s="68" t="inlineStr">
        <is>
          <t>character_name_13540102</t>
        </is>
      </c>
      <c r="F117" s="68" t="n"/>
      <c r="G117" s="68" t="inlineStr">
        <is>
          <t>Normal</t>
        </is>
      </c>
      <c r="H117" s="68" t="inlineStr">
        <is>
          <t>Normal</t>
        </is>
      </c>
      <c r="I117" s="68" t="n">
        <v>2</v>
      </c>
      <c r="J117" s="68" t="inlineStr">
        <is>
          <t>0.95,0.95,0.95</t>
        </is>
      </c>
      <c r="K117" s="68" t="b">
        <v>1</v>
      </c>
      <c r="L117" s="40" t="inlineStr">
        <is>
          <t>0,0,0</t>
        </is>
      </c>
      <c r="M117" s="1" t="n">
        <v>2</v>
      </c>
      <c r="N117" s="33" t="inlineStr">
        <is>
          <t>Fire</t>
        </is>
      </c>
      <c r="O117" s="1" t="inlineStr">
        <is>
          <t>Attacker</t>
        </is>
      </c>
      <c r="P117" s="1" t="n">
        <v>200</v>
      </c>
      <c r="Q117" s="1">
        <f t="array" ref="Q117">_xlfn.IFS($O117="Attacker",6,$O117="Healer",3,$O117="Magician",4,$O117="Defender",3,$O117="Supporter",4)</f>
        <v/>
      </c>
      <c r="R117" s="1">
        <f t="array" ref="R117">_xlfn.IFS($O117="Attacker",6,$O117="Healer",3,$O117="Magician",4,$O117="Defender",3,$O117="Supporter",4)</f>
        <v/>
      </c>
      <c r="S117" s="1" t="n">
        <v>1</v>
      </c>
      <c r="T117" s="1" t="n">
        <v>0</v>
      </c>
      <c r="U117" s="1" t="n">
        <v>0</v>
      </c>
      <c r="V117" s="1" t="inlineStr">
        <is>
          <t>Spd</t>
        </is>
      </c>
      <c r="W117" s="1">
        <f t="array" ref="W117">_xlfn.IFS(O117="Attacker",80,O117="Healer",90,O117="Magician",100,O117="Defender",110,O117="Supporter",120)</f>
        <v/>
      </c>
      <c r="X117" s="1" t="inlineStr">
        <is>
          <t>Hp</t>
        </is>
      </c>
      <c r="Y117" s="1" t="n">
        <v>1700</v>
      </c>
      <c r="Z117" s="1" t="inlineStr">
        <is>
          <t>Atk</t>
        </is>
      </c>
      <c r="AA117" s="1" t="n">
        <v>163</v>
      </c>
      <c r="AB117" s="1" t="inlineStr">
        <is>
          <t>Def</t>
        </is>
      </c>
      <c r="AC117" s="1" t="n">
        <v>130</v>
      </c>
      <c r="AD117" s="1" t="inlineStr">
        <is>
          <t>Penetration</t>
        </is>
      </c>
      <c r="AE117" s="1" t="n">
        <v>130</v>
      </c>
      <c r="AF117" s="1" t="inlineStr">
        <is>
          <t>Hit</t>
        </is>
      </c>
      <c r="AG117" s="1" t="n">
        <v>100</v>
      </c>
      <c r="AH117" s="1" t="inlineStr">
        <is>
          <t>Dodge</t>
        </is>
      </c>
      <c r="AI117" s="1" t="n">
        <v>80</v>
      </c>
      <c r="AJ117" s="1" t="inlineStr">
        <is>
          <t>CriRatio</t>
        </is>
      </c>
      <c r="AK117" s="1" t="n">
        <v>5000</v>
      </c>
      <c r="AL117" s="1" t="inlineStr">
        <is>
          <t>CriDmgRatio</t>
        </is>
      </c>
      <c r="AM117" s="1" t="n">
        <v>150000</v>
      </c>
      <c r="AN117" s="1" t="n">
        <v>1513011</v>
      </c>
      <c r="AO117" s="1" t="b">
        <v>1</v>
      </c>
      <c r="AP117" s="1" t="n">
        <v>2513011</v>
      </c>
      <c r="AQ117" s="1" t="b">
        <v>1</v>
      </c>
      <c r="AR117" s="1" t="n">
        <v>3513011</v>
      </c>
      <c r="AS117" s="1" t="b">
        <v>1</v>
      </c>
      <c r="AT117" s="1" t="n">
        <v>4513011</v>
      </c>
      <c r="AU117" s="1" t="b">
        <v>1</v>
      </c>
    </row>
    <row r="118" customFormat="1" s="11">
      <c r="A118" s="1" t="n">
        <v>12960102</v>
      </c>
      <c r="B118" s="1" t="inlineStr">
        <is>
          <t>힐드</t>
        </is>
      </c>
      <c r="C118" s="1" t="n">
        <v>129611</v>
      </c>
      <c r="D118" s="1" t="n">
        <v>0</v>
      </c>
      <c r="E118" s="68" t="inlineStr">
        <is>
          <t>character_name_12960102</t>
        </is>
      </c>
      <c r="F118" s="68" t="n"/>
      <c r="G118" s="68" t="inlineStr">
        <is>
          <t>Normal</t>
        </is>
      </c>
      <c r="H118" s="68" t="inlineStr">
        <is>
          <t>Normal</t>
        </is>
      </c>
      <c r="I118" s="68" t="n">
        <v>2</v>
      </c>
      <c r="J118" s="68" t="inlineStr">
        <is>
          <t>0.95,0.95,0.95</t>
        </is>
      </c>
      <c r="K118" s="68" t="b">
        <v>1</v>
      </c>
      <c r="L118" s="24" t="inlineStr">
        <is>
          <t>0,0,0</t>
        </is>
      </c>
      <c r="M118" s="1" t="n">
        <v>2</v>
      </c>
      <c r="N118" s="37" t="inlineStr">
        <is>
          <t>Light</t>
        </is>
      </c>
      <c r="O118" s="1" t="inlineStr">
        <is>
          <t>Attacker</t>
        </is>
      </c>
      <c r="P118" s="1" t="n">
        <v>200</v>
      </c>
      <c r="Q118" s="1">
        <f t="array" ref="Q118">_xlfn.IFS($O118="Attacker",6,$O118="Healer",3,$O118="Magician",4,$O118="Defender",3,$O118="Supporter",4)</f>
        <v/>
      </c>
      <c r="R118" s="1">
        <f t="array" ref="R118">_xlfn.IFS($O118="Attacker",6,$O118="Healer",3,$O118="Magician",4,$O118="Defender",3,$O118="Supporter",4)</f>
        <v/>
      </c>
      <c r="S118" s="1" t="n">
        <v>1</v>
      </c>
      <c r="T118" s="1" t="n">
        <v>0</v>
      </c>
      <c r="U118" s="1" t="n">
        <v>0</v>
      </c>
      <c r="V118" s="1" t="inlineStr">
        <is>
          <t>Spd</t>
        </is>
      </c>
      <c r="W118" s="1">
        <f t="array" ref="W118">_xlfn.IFS(O118="Attacker",80,O118="Healer",90,O118="Magician",100,O118="Defender",110,O118="Supporter",120)</f>
        <v/>
      </c>
      <c r="X118" s="1" t="inlineStr">
        <is>
          <t>Hp</t>
        </is>
      </c>
      <c r="Y118" s="1" t="n">
        <v>3570</v>
      </c>
      <c r="Z118" s="1" t="inlineStr">
        <is>
          <t>Atk</t>
        </is>
      </c>
      <c r="AA118" s="1" t="n">
        <v>359</v>
      </c>
      <c r="AB118" s="1" t="inlineStr">
        <is>
          <t>Def</t>
        </is>
      </c>
      <c r="AC118" s="1" t="n">
        <v>187</v>
      </c>
      <c r="AD118" s="1" t="inlineStr">
        <is>
          <t>Penetration</t>
        </is>
      </c>
      <c r="AE118" s="1" t="n">
        <v>187</v>
      </c>
      <c r="AF118" s="1" t="inlineStr">
        <is>
          <t>Hit</t>
        </is>
      </c>
      <c r="AG118" s="1" t="n">
        <v>100</v>
      </c>
      <c r="AH118" s="1" t="inlineStr">
        <is>
          <t>Dodge</t>
        </is>
      </c>
      <c r="AI118" s="1" t="n">
        <v>80</v>
      </c>
      <c r="AJ118" s="1" t="inlineStr">
        <is>
          <t>CriRatio</t>
        </is>
      </c>
      <c r="AK118" s="1" t="n">
        <v>5000</v>
      </c>
      <c r="AL118" s="1" t="inlineStr">
        <is>
          <t>CriDmgRatio</t>
        </is>
      </c>
      <c r="AM118" s="1" t="n">
        <v>150000</v>
      </c>
      <c r="AN118" s="1" t="n">
        <v>1541021</v>
      </c>
      <c r="AO118" s="1" t="b">
        <v>1</v>
      </c>
      <c r="AP118" s="1" t="n">
        <v>2541021</v>
      </c>
      <c r="AQ118" s="1" t="b">
        <v>1</v>
      </c>
      <c r="AR118" s="1" t="n">
        <v>3541021</v>
      </c>
      <c r="AS118" s="1" t="b">
        <v>1</v>
      </c>
      <c r="AT118" s="1" t="n">
        <v>4541021</v>
      </c>
      <c r="AU118" s="1" t="b">
        <v>1</v>
      </c>
    </row>
    <row r="119">
      <c r="A119" s="1" t="n">
        <v>10030102</v>
      </c>
      <c r="B119" s="1" t="inlineStr">
        <is>
          <t>다비</t>
        </is>
      </c>
      <c r="C119" s="1" t="n">
        <v>100311</v>
      </c>
      <c r="D119" s="1" t="n">
        <v>0</v>
      </c>
      <c r="E119" s="68" t="inlineStr">
        <is>
          <t>character_name_10030102</t>
        </is>
      </c>
      <c r="G119" s="68" t="inlineStr">
        <is>
          <t>Normal</t>
        </is>
      </c>
      <c r="H119" s="68" t="inlineStr">
        <is>
          <t>Normal</t>
        </is>
      </c>
      <c r="I119" s="68" t="n">
        <v>2</v>
      </c>
      <c r="J119" s="68" t="inlineStr">
        <is>
          <t>0.95,0.95,0.95</t>
        </is>
      </c>
      <c r="K119" s="68" t="b">
        <v>1</v>
      </c>
      <c r="L119" s="24" t="inlineStr">
        <is>
          <t>0,0,0</t>
        </is>
      </c>
      <c r="M119" s="1" t="n">
        <v>2</v>
      </c>
      <c r="N119" s="33" t="inlineStr">
        <is>
          <t>Fire</t>
        </is>
      </c>
      <c r="O119" s="1" t="inlineStr">
        <is>
          <t>Magician</t>
        </is>
      </c>
      <c r="P119" s="1" t="n">
        <v>200</v>
      </c>
      <c r="Q119" s="1">
        <f t="array" ref="Q119">_xlfn.IFS($O119="Attacker",6,$O119="Healer",3,$O119="Magician",4,$O119="Defender",3,$O119="Supporter",4)</f>
        <v/>
      </c>
      <c r="R119" s="1">
        <f t="array" ref="R119">_xlfn.IFS($O119="Attacker",6,$O119="Healer",3,$O119="Magician",4,$O119="Defender",3,$O119="Supporter",4)</f>
        <v/>
      </c>
      <c r="S119" s="1" t="n">
        <v>1</v>
      </c>
      <c r="T119" s="1" t="n">
        <v>0</v>
      </c>
      <c r="U119" s="1" t="n">
        <v>0</v>
      </c>
      <c r="V119" s="1" t="inlineStr">
        <is>
          <t>Spd</t>
        </is>
      </c>
      <c r="W119" s="1">
        <f t="array" ref="W119">_xlfn.IFS(O119="Attacker",80,O119="Healer",90,O119="Magician",100,O119="Defender",110,O119="Supporter",120)</f>
        <v/>
      </c>
      <c r="X119" s="1" t="inlineStr">
        <is>
          <t>Hp</t>
        </is>
      </c>
      <c r="Y119" s="1" t="n">
        <v>1530</v>
      </c>
      <c r="Z119" s="1" t="inlineStr">
        <is>
          <t>Atk</t>
        </is>
      </c>
      <c r="AA119" s="1" t="n">
        <v>130</v>
      </c>
      <c r="AB119" s="1" t="inlineStr">
        <is>
          <t>Def</t>
        </is>
      </c>
      <c r="AC119" s="1" t="n">
        <v>130</v>
      </c>
      <c r="AD119" s="1" t="inlineStr">
        <is>
          <t>Penetration</t>
        </is>
      </c>
      <c r="AE119" s="1" t="n">
        <v>130</v>
      </c>
      <c r="AF119" s="1" t="inlineStr">
        <is>
          <t>Hit</t>
        </is>
      </c>
      <c r="AG119" s="1" t="n">
        <v>100</v>
      </c>
      <c r="AH119" s="1" t="inlineStr">
        <is>
          <t>Dodge</t>
        </is>
      </c>
      <c r="AI119" s="1" t="n">
        <v>80</v>
      </c>
      <c r="AJ119" s="1" t="inlineStr">
        <is>
          <t>CriRatio</t>
        </is>
      </c>
      <c r="AK119" s="1" t="n">
        <v>5000</v>
      </c>
      <c r="AL119" s="1" t="inlineStr">
        <is>
          <t>CriDmgRatio</t>
        </is>
      </c>
      <c r="AM119" s="1" t="n">
        <v>150000</v>
      </c>
      <c r="AN119" s="1" t="n">
        <v>1511031</v>
      </c>
      <c r="AO119" s="1" t="b">
        <v>1</v>
      </c>
      <c r="AP119" s="1" t="n">
        <v>2511031</v>
      </c>
      <c r="AQ119" s="1" t="b">
        <v>1</v>
      </c>
      <c r="AR119" s="1" t="n">
        <v>3511031</v>
      </c>
      <c r="AS119" s="1" t="b">
        <v>1</v>
      </c>
      <c r="AT119" s="1" t="n">
        <v>4511031</v>
      </c>
      <c r="AU119" s="1" t="b">
        <v>1</v>
      </c>
    </row>
    <row r="120" customFormat="1" s="31">
      <c r="A120" s="1" t="n">
        <v>14640102</v>
      </c>
      <c r="B120" s="1" t="inlineStr">
        <is>
          <t>아라한</t>
        </is>
      </c>
      <c r="C120" s="1" t="n">
        <v>146411</v>
      </c>
      <c r="D120" s="1" t="n">
        <v>0</v>
      </c>
      <c r="E120" s="68" t="inlineStr">
        <is>
          <t>character_name_14640102</t>
        </is>
      </c>
      <c r="F120" s="68" t="n"/>
      <c r="G120" s="68" t="inlineStr">
        <is>
          <t>Normal</t>
        </is>
      </c>
      <c r="H120" s="68" t="inlineStr">
        <is>
          <t>Normal</t>
        </is>
      </c>
      <c r="I120" s="68" t="n">
        <v>2</v>
      </c>
      <c r="J120" s="68" t="inlineStr">
        <is>
          <t>0.95,0.95,0.95</t>
        </is>
      </c>
      <c r="K120" s="68" t="b">
        <v>1</v>
      </c>
      <c r="L120" s="24" t="inlineStr">
        <is>
          <t>0,0,0</t>
        </is>
      </c>
      <c r="M120" s="1" t="n">
        <v>3</v>
      </c>
      <c r="N120" s="36" t="inlineStr">
        <is>
          <t>Water</t>
        </is>
      </c>
      <c r="O120" s="1" t="inlineStr">
        <is>
          <t>Healer</t>
        </is>
      </c>
      <c r="P120" s="1" t="n">
        <v>200</v>
      </c>
      <c r="Q120" s="1">
        <f t="array" ref="Q120">_xlfn.IFS($O120="Attacker",6,$O120="Healer",3,$O120="Magician",4,$O120="Defender",3,$O120="Supporter",4)</f>
        <v/>
      </c>
      <c r="R120" s="1">
        <f t="array" ref="R120">_xlfn.IFS($O120="Attacker",6,$O120="Healer",3,$O120="Magician",4,$O120="Defender",3,$O120="Supporter",4)</f>
        <v/>
      </c>
      <c r="S120" s="1" t="n">
        <v>1</v>
      </c>
      <c r="T120" s="1" t="n">
        <v>0</v>
      </c>
      <c r="U120" s="1" t="n">
        <v>0</v>
      </c>
      <c r="V120" s="1" t="inlineStr">
        <is>
          <t>Spd</t>
        </is>
      </c>
      <c r="W120" s="1">
        <f t="array" ref="W120">_xlfn.IFS(O120="Attacker",80,O120="Healer",90,O120="Magician",100,O120="Defender",110,O120="Supporter",120)</f>
        <v/>
      </c>
      <c r="X120" s="1" t="inlineStr">
        <is>
          <t>Hp</t>
        </is>
      </c>
      <c r="Y120" s="1" t="n">
        <v>3213</v>
      </c>
      <c r="Z120" s="1" t="inlineStr">
        <is>
          <t>Atk</t>
        </is>
      </c>
      <c r="AA120" s="1" t="n">
        <v>287</v>
      </c>
      <c r="AB120" s="1" t="inlineStr">
        <is>
          <t>Def</t>
        </is>
      </c>
      <c r="AC120" s="1" t="n">
        <v>187</v>
      </c>
      <c r="AD120" s="1" t="inlineStr">
        <is>
          <t>Penetration</t>
        </is>
      </c>
      <c r="AE120" s="1" t="n">
        <v>187</v>
      </c>
      <c r="AF120" s="1" t="inlineStr">
        <is>
          <t>Hit</t>
        </is>
      </c>
      <c r="AG120" s="1" t="n">
        <v>100</v>
      </c>
      <c r="AH120" s="1" t="inlineStr">
        <is>
          <t>Dodge</t>
        </is>
      </c>
      <c r="AI120" s="1" t="n">
        <v>80</v>
      </c>
      <c r="AJ120" s="1" t="inlineStr">
        <is>
          <t>CriRatio</t>
        </is>
      </c>
      <c r="AK120" s="1" t="n">
        <v>5000</v>
      </c>
      <c r="AL120" s="1" t="inlineStr">
        <is>
          <t>CriDmgRatio</t>
        </is>
      </c>
      <c r="AM120" s="1" t="n">
        <v>150000</v>
      </c>
      <c r="AN120" s="1" t="n">
        <v>1524041</v>
      </c>
      <c r="AO120" s="1" t="b">
        <v>1</v>
      </c>
      <c r="AP120" s="1" t="n">
        <v>2524041</v>
      </c>
      <c r="AQ120" s="1" t="b">
        <v>1</v>
      </c>
      <c r="AR120" s="1" t="n">
        <v>3524041</v>
      </c>
      <c r="AS120" s="1" t="b">
        <v>1</v>
      </c>
      <c r="AT120" s="1" t="n">
        <v>4524041</v>
      </c>
      <c r="AU120" s="1" t="b">
        <v>1</v>
      </c>
    </row>
    <row r="121">
      <c r="A121" s="1" t="n">
        <v>13530102</v>
      </c>
      <c r="B121" s="1" t="inlineStr">
        <is>
          <t>샤를</t>
        </is>
      </c>
      <c r="C121" s="1" t="n">
        <v>135311</v>
      </c>
      <c r="D121" s="1" t="n">
        <v>0</v>
      </c>
      <c r="E121" s="68" t="inlineStr">
        <is>
          <t>character_name_13530102</t>
        </is>
      </c>
      <c r="G121" s="68" t="inlineStr">
        <is>
          <t>Normal</t>
        </is>
      </c>
      <c r="H121" s="68" t="inlineStr">
        <is>
          <t>Normal</t>
        </is>
      </c>
      <c r="I121" s="68" t="n">
        <v>2</v>
      </c>
      <c r="J121" s="68" t="inlineStr">
        <is>
          <t>0.95,0.95,0.95</t>
        </is>
      </c>
      <c r="K121" s="68" t="b">
        <v>1</v>
      </c>
      <c r="L121" s="24" t="inlineStr">
        <is>
          <t>0,0,0</t>
        </is>
      </c>
      <c r="M121" s="1" t="n">
        <v>3</v>
      </c>
      <c r="N121" s="37" t="inlineStr">
        <is>
          <t>Light</t>
        </is>
      </c>
      <c r="O121" s="1" t="inlineStr">
        <is>
          <t>Defender</t>
        </is>
      </c>
      <c r="P121" s="1" t="n">
        <v>200</v>
      </c>
      <c r="Q121" s="1">
        <f t="array" ref="Q121">_xlfn.IFS($O121="Attacker",6,$O121="Healer",3,$O121="Magician",4,$O121="Defender",3,$O121="Supporter",4)</f>
        <v/>
      </c>
      <c r="R121" s="1">
        <f t="array" ref="R121">_xlfn.IFS($O121="Attacker",6,$O121="Healer",3,$O121="Magician",4,$O121="Defender",3,$O121="Supporter",4)</f>
        <v/>
      </c>
      <c r="S121" s="1" t="n">
        <v>1</v>
      </c>
      <c r="T121" s="1" t="n">
        <v>0</v>
      </c>
      <c r="U121" s="1" t="n">
        <v>0</v>
      </c>
      <c r="V121" s="1" t="inlineStr">
        <is>
          <t>Spd</t>
        </is>
      </c>
      <c r="W121" s="1">
        <f t="array" ref="W121">_xlfn.IFS(O121="Attacker",80,O121="Healer",90,O121="Magician",100,O121="Defender",110,O121="Supporter",120)</f>
        <v/>
      </c>
      <c r="X121" s="1" t="inlineStr">
        <is>
          <t>Hp</t>
        </is>
      </c>
      <c r="Y121" s="1" t="n">
        <v>2856</v>
      </c>
      <c r="Z121" s="1" t="inlineStr">
        <is>
          <t>Atk</t>
        </is>
      </c>
      <c r="AA121" s="1" t="n">
        <v>221</v>
      </c>
      <c r="AB121" s="1" t="inlineStr">
        <is>
          <t>Def</t>
        </is>
      </c>
      <c r="AC121" s="1" t="n">
        <v>195</v>
      </c>
      <c r="AD121" s="1" t="inlineStr">
        <is>
          <t>Penetration</t>
        </is>
      </c>
      <c r="AE121" s="1" t="n">
        <v>195</v>
      </c>
      <c r="AF121" s="1" t="inlineStr">
        <is>
          <t>Hit</t>
        </is>
      </c>
      <c r="AG121" s="1" t="n">
        <v>100</v>
      </c>
      <c r="AH121" s="1" t="inlineStr">
        <is>
          <t>Dodge</t>
        </is>
      </c>
      <c r="AI121" s="1" t="n">
        <v>80</v>
      </c>
      <c r="AJ121" s="1" t="inlineStr">
        <is>
          <t>CriRatio</t>
        </is>
      </c>
      <c r="AK121" s="1" t="n">
        <v>5000</v>
      </c>
      <c r="AL121" s="1" t="inlineStr">
        <is>
          <t>CriDmgRatio</t>
        </is>
      </c>
      <c r="AM121" s="1" t="n">
        <v>150000</v>
      </c>
      <c r="AN121" s="1" t="n">
        <v>1542051</v>
      </c>
      <c r="AO121" s="1" t="b">
        <v>1</v>
      </c>
      <c r="AP121" s="1" t="n">
        <v>2542051</v>
      </c>
      <c r="AQ121" s="1" t="b">
        <v>1</v>
      </c>
      <c r="AR121" s="1" t="n">
        <v>3542051</v>
      </c>
      <c r="AS121" s="1" t="b">
        <v>1</v>
      </c>
      <c r="AT121" s="1" t="n">
        <v>4542051</v>
      </c>
      <c r="AU121" s="1" t="b">
        <v>1</v>
      </c>
    </row>
    <row r="122" customFormat="1" s="31">
      <c r="A122" s="1" t="n">
        <v>12290102</v>
      </c>
      <c r="B122" s="1" t="inlineStr">
        <is>
          <t>브라우니</t>
        </is>
      </c>
      <c r="C122" s="1" t="n">
        <v>122911</v>
      </c>
      <c r="D122" s="1" t="n">
        <v>0</v>
      </c>
      <c r="E122" s="68" t="inlineStr">
        <is>
          <t>character_name_12290102</t>
        </is>
      </c>
      <c r="F122" s="68" t="n"/>
      <c r="G122" s="68" t="inlineStr">
        <is>
          <t>Normal</t>
        </is>
      </c>
      <c r="H122" s="68" t="inlineStr">
        <is>
          <t>Normal</t>
        </is>
      </c>
      <c r="I122" s="68" t="n">
        <v>2</v>
      </c>
      <c r="J122" s="68" t="inlineStr">
        <is>
          <t>0.95,0.95,0.95</t>
        </is>
      </c>
      <c r="K122" s="68" t="b">
        <v>1</v>
      </c>
      <c r="L122" s="24" t="inlineStr">
        <is>
          <t>0,0,0</t>
        </is>
      </c>
      <c r="M122" s="1" t="n">
        <v>3</v>
      </c>
      <c r="N122" s="35" t="inlineStr">
        <is>
          <t>Forest</t>
        </is>
      </c>
      <c r="O122" s="1" t="inlineStr">
        <is>
          <t>Supporter</t>
        </is>
      </c>
      <c r="P122" s="1" t="n">
        <v>200</v>
      </c>
      <c r="Q122" s="1">
        <f t="array" ref="Q122">_xlfn.IFS($O122="Attacker",6,$O122="Healer",3,$O122="Magician",4,$O122="Defender",3,$O122="Supporter",4)</f>
        <v/>
      </c>
      <c r="R122" s="1">
        <f t="array" ref="R122">_xlfn.IFS($O122="Attacker",6,$O122="Healer",3,$O122="Magician",4,$O122="Defender",3,$O122="Supporter",4)</f>
        <v/>
      </c>
      <c r="S122" s="1" t="n">
        <v>1</v>
      </c>
      <c r="T122" s="1" t="n">
        <v>0</v>
      </c>
      <c r="U122" s="1" t="n">
        <v>0</v>
      </c>
      <c r="V122" s="1" t="inlineStr">
        <is>
          <t>Spd</t>
        </is>
      </c>
      <c r="W122" s="1">
        <f t="array" ref="W122">_xlfn.IFS(O122="Attacker",80,O122="Healer",90,O122="Magician",100,O122="Defender",110,O122="Supporter",120)</f>
        <v/>
      </c>
      <c r="X122" s="1" t="inlineStr">
        <is>
          <t>Hp</t>
        </is>
      </c>
      <c r="Y122" s="1" t="n">
        <v>1904</v>
      </c>
      <c r="Z122" s="1" t="inlineStr">
        <is>
          <t>Atk</t>
        </is>
      </c>
      <c r="AA122" s="1" t="n">
        <v>221</v>
      </c>
      <c r="AB122" s="1" t="inlineStr">
        <is>
          <t>Def</t>
        </is>
      </c>
      <c r="AC122" s="1" t="n">
        <v>156</v>
      </c>
      <c r="AD122" s="1" t="inlineStr">
        <is>
          <t>Penetration</t>
        </is>
      </c>
      <c r="AE122" s="1" t="n">
        <v>156</v>
      </c>
      <c r="AF122" s="1" t="inlineStr">
        <is>
          <t>Hit</t>
        </is>
      </c>
      <c r="AG122" s="1" t="n">
        <v>100</v>
      </c>
      <c r="AH122" s="1" t="inlineStr">
        <is>
          <t>Dodge</t>
        </is>
      </c>
      <c r="AI122" s="1" t="n">
        <v>80</v>
      </c>
      <c r="AJ122" s="1" t="inlineStr">
        <is>
          <t>CriRatio</t>
        </is>
      </c>
      <c r="AK122" s="1" t="n">
        <v>5000</v>
      </c>
      <c r="AL122" s="1" t="inlineStr">
        <is>
          <t>CriDmgRatio</t>
        </is>
      </c>
      <c r="AM122" s="1" t="n">
        <v>150000</v>
      </c>
      <c r="AN122" s="1" t="n">
        <v>1534061</v>
      </c>
      <c r="AO122" s="1" t="b">
        <v>1</v>
      </c>
      <c r="AP122" s="1" t="n">
        <v>2534061</v>
      </c>
      <c r="AQ122" s="1" t="b">
        <v>1</v>
      </c>
      <c r="AR122" s="1" t="n">
        <v>3534061</v>
      </c>
      <c r="AS122" s="1" t="b">
        <v>1</v>
      </c>
      <c r="AT122" s="1" t="n">
        <v>4534061</v>
      </c>
      <c r="AU122" s="1" t="b">
        <v>1</v>
      </c>
    </row>
    <row r="123">
      <c r="A123" s="1" t="n">
        <v>11800102</v>
      </c>
      <c r="B123" s="1" t="inlineStr">
        <is>
          <t>맘몬</t>
        </is>
      </c>
      <c r="C123" s="1" t="n">
        <v>118011</v>
      </c>
      <c r="D123" s="1" t="n">
        <v>0</v>
      </c>
      <c r="E123" s="68" t="inlineStr">
        <is>
          <t>character_name_11800102</t>
        </is>
      </c>
      <c r="G123" s="68" t="inlineStr">
        <is>
          <t>Normal</t>
        </is>
      </c>
      <c r="H123" s="68" t="inlineStr">
        <is>
          <t>Normal</t>
        </is>
      </c>
      <c r="I123" s="68" t="n">
        <v>2</v>
      </c>
      <c r="J123" s="68" t="inlineStr">
        <is>
          <t>0.95,0.95,0.95</t>
        </is>
      </c>
      <c r="K123" s="68" t="b">
        <v>1</v>
      </c>
      <c r="L123" s="24" t="inlineStr">
        <is>
          <t>0,0,0</t>
        </is>
      </c>
      <c r="M123" s="1" t="n">
        <v>3</v>
      </c>
      <c r="N123" s="35" t="inlineStr">
        <is>
          <t>Forest</t>
        </is>
      </c>
      <c r="O123" s="1" t="inlineStr">
        <is>
          <t>Defender</t>
        </is>
      </c>
      <c r="P123" s="1" t="n">
        <v>200</v>
      </c>
      <c r="Q123" s="1">
        <f t="array" ref="Q123">_xlfn.IFS($O123="Attacker",6,$O123="Healer",3,$O123="Magician",4,$O123="Defender",3,$O123="Supporter",4)</f>
        <v/>
      </c>
      <c r="R123" s="1">
        <f t="array" ref="R123">_xlfn.IFS($O123="Attacker",6,$O123="Healer",3,$O123="Magician",4,$O123="Defender",3,$O123="Supporter",4)</f>
        <v/>
      </c>
      <c r="S123" s="1" t="n">
        <v>1</v>
      </c>
      <c r="T123" s="1" t="n">
        <v>0</v>
      </c>
      <c r="U123" s="1" t="n">
        <v>0</v>
      </c>
      <c r="V123" s="1" t="inlineStr">
        <is>
          <t>Spd</t>
        </is>
      </c>
      <c r="W123" s="1">
        <f t="array" ref="W123">_xlfn.IFS(O123="Attacker",80,O123="Healer",90,O123="Magician",100,O123="Defender",110,O123="Supporter",120)</f>
        <v/>
      </c>
      <c r="X123" s="1" t="inlineStr">
        <is>
          <t>Hp</t>
        </is>
      </c>
      <c r="Y123" s="1" t="n">
        <v>2040</v>
      </c>
      <c r="Z123" s="1" t="inlineStr">
        <is>
          <t>Atk</t>
        </is>
      </c>
      <c r="AA123" s="1" t="n">
        <v>130</v>
      </c>
      <c r="AB123" s="1" t="inlineStr">
        <is>
          <t>Def</t>
        </is>
      </c>
      <c r="AC123" s="1" t="n">
        <v>163</v>
      </c>
      <c r="AD123" s="1" t="inlineStr">
        <is>
          <t>Penetration</t>
        </is>
      </c>
      <c r="AE123" s="1" t="n">
        <v>163</v>
      </c>
      <c r="AF123" s="1" t="inlineStr">
        <is>
          <t>Hit</t>
        </is>
      </c>
      <c r="AG123" s="1" t="n">
        <v>100</v>
      </c>
      <c r="AH123" s="1" t="inlineStr">
        <is>
          <t>Dodge</t>
        </is>
      </c>
      <c r="AI123" s="1" t="n">
        <v>80</v>
      </c>
      <c r="AJ123" s="1" t="inlineStr">
        <is>
          <t>CriRatio</t>
        </is>
      </c>
      <c r="AK123" s="1" t="n">
        <v>5000</v>
      </c>
      <c r="AL123" s="1" t="inlineStr">
        <is>
          <t>CriDmgRatio</t>
        </is>
      </c>
      <c r="AM123" s="1" t="n">
        <v>150000</v>
      </c>
      <c r="AN123" s="1" t="n">
        <v>1532071</v>
      </c>
      <c r="AO123" s="1" t="b">
        <v>1</v>
      </c>
      <c r="AP123" s="1" t="n">
        <v>2532071</v>
      </c>
      <c r="AQ123" s="1" t="b">
        <v>1</v>
      </c>
      <c r="AR123" s="1" t="n">
        <v>3532071</v>
      </c>
      <c r="AS123" s="1" t="b">
        <v>1</v>
      </c>
      <c r="AT123" s="1" t="n">
        <v>4532071</v>
      </c>
      <c r="AU123" s="1" t="b">
        <v>1</v>
      </c>
    </row>
    <row r="124">
      <c r="A124" s="1" t="n">
        <v>11830102</v>
      </c>
      <c r="B124" s="1" t="inlineStr">
        <is>
          <t>다나</t>
        </is>
      </c>
      <c r="C124" s="1" t="n">
        <v>118311</v>
      </c>
      <c r="D124" s="1" t="n">
        <v>0</v>
      </c>
      <c r="E124" s="68" t="inlineStr">
        <is>
          <t>character_name_11830102</t>
        </is>
      </c>
      <c r="G124" s="68" t="inlineStr">
        <is>
          <t>Normal</t>
        </is>
      </c>
      <c r="H124" s="68" t="inlineStr">
        <is>
          <t>Normal</t>
        </is>
      </c>
      <c r="I124" s="68" t="n">
        <v>2</v>
      </c>
      <c r="J124" s="68" t="inlineStr">
        <is>
          <t>0.95,0.95,0.95</t>
        </is>
      </c>
      <c r="K124" s="68" t="b">
        <v>1</v>
      </c>
      <c r="L124" s="24" t="inlineStr">
        <is>
          <t>0,0,0</t>
        </is>
      </c>
      <c r="M124" s="1" t="n">
        <v>3</v>
      </c>
      <c r="N124" s="37" t="inlineStr">
        <is>
          <t>Light</t>
        </is>
      </c>
      <c r="O124" s="1" t="inlineStr">
        <is>
          <t>Healer</t>
        </is>
      </c>
      <c r="P124" s="1" t="n">
        <v>200</v>
      </c>
      <c r="Q124" s="1">
        <f t="array" ref="Q124">_xlfn.IFS($O124="Attacker",6,$O124="Healer",3,$O124="Magician",4,$O124="Defender",3,$O124="Supporter",4)</f>
        <v/>
      </c>
      <c r="R124" s="1">
        <f t="array" ref="R124">_xlfn.IFS($O124="Attacker",6,$O124="Healer",3,$O124="Magician",4,$O124="Defender",3,$O124="Supporter",4)</f>
        <v/>
      </c>
      <c r="S124" s="1" t="n">
        <v>1</v>
      </c>
      <c r="T124" s="1" t="n">
        <v>0</v>
      </c>
      <c r="U124" s="1" t="n">
        <v>0</v>
      </c>
      <c r="V124" s="1" t="inlineStr">
        <is>
          <t>Spd</t>
        </is>
      </c>
      <c r="W124" s="1">
        <f t="array" ref="W124">_xlfn.IFS(O124="Attacker",80,O124="Healer",90,O124="Magician",100,O124="Defender",110,O124="Supporter",120)</f>
        <v/>
      </c>
      <c r="X124" s="1" t="inlineStr">
        <is>
          <t>Hp</t>
        </is>
      </c>
      <c r="Y124" s="1" t="n">
        <v>2856</v>
      </c>
      <c r="Z124" s="1" t="inlineStr">
        <is>
          <t>Atk</t>
        </is>
      </c>
      <c r="AA124" s="1" t="n">
        <v>287</v>
      </c>
      <c r="AB124" s="1" t="inlineStr">
        <is>
          <t>Def</t>
        </is>
      </c>
      <c r="AC124" s="1" t="n">
        <v>187</v>
      </c>
      <c r="AD124" s="1" t="inlineStr">
        <is>
          <t>Penetration</t>
        </is>
      </c>
      <c r="AE124" s="1" t="n">
        <v>187</v>
      </c>
      <c r="AF124" s="1" t="inlineStr">
        <is>
          <t>Hit</t>
        </is>
      </c>
      <c r="AG124" s="1" t="n">
        <v>100</v>
      </c>
      <c r="AH124" s="1" t="inlineStr">
        <is>
          <t>Dodge</t>
        </is>
      </c>
      <c r="AI124" s="1" t="n">
        <v>80</v>
      </c>
      <c r="AJ124" s="1" t="inlineStr">
        <is>
          <t>CriRatio</t>
        </is>
      </c>
      <c r="AK124" s="1" t="n">
        <v>5000</v>
      </c>
      <c r="AL124" s="1" t="inlineStr">
        <is>
          <t>CriDmgRatio</t>
        </is>
      </c>
      <c r="AM124" s="1" t="n">
        <v>150000</v>
      </c>
      <c r="AN124" s="1" t="n">
        <v>1555081</v>
      </c>
      <c r="AO124" s="1" t="b">
        <v>1</v>
      </c>
      <c r="AP124" s="1" t="n">
        <v>2555081</v>
      </c>
      <c r="AQ124" s="1" t="b">
        <v>1</v>
      </c>
      <c r="AR124" s="1" t="n">
        <v>3555081</v>
      </c>
      <c r="AS124" s="1" t="b">
        <v>1</v>
      </c>
      <c r="AT124" s="1" t="n">
        <v>4555081</v>
      </c>
      <c r="AU124" s="1" t="b">
        <v>1</v>
      </c>
    </row>
    <row r="125">
      <c r="A125" s="1" t="n">
        <v>10510202</v>
      </c>
      <c r="B125" s="1" t="inlineStr">
        <is>
          <t>프레이</t>
        </is>
      </c>
      <c r="C125" s="1" t="n">
        <v>105111</v>
      </c>
      <c r="D125" s="1" t="n">
        <v>0</v>
      </c>
      <c r="E125" s="68" t="inlineStr">
        <is>
          <t>character_name_10510202</t>
        </is>
      </c>
      <c r="G125" s="68" t="inlineStr">
        <is>
          <t>Normal</t>
        </is>
      </c>
      <c r="H125" s="68" t="inlineStr">
        <is>
          <t>Normal</t>
        </is>
      </c>
      <c r="I125" s="68" t="n">
        <v>2</v>
      </c>
      <c r="J125" s="68" t="inlineStr">
        <is>
          <t>0.95,0.95,0.95</t>
        </is>
      </c>
      <c r="K125" s="68" t="b">
        <v>1</v>
      </c>
      <c r="L125" s="24" t="inlineStr">
        <is>
          <t>0,0,0</t>
        </is>
      </c>
      <c r="M125" s="1" t="n">
        <v>3</v>
      </c>
      <c r="N125" s="34" t="inlineStr">
        <is>
          <t>Dark</t>
        </is>
      </c>
      <c r="O125" s="1" t="inlineStr">
        <is>
          <t>Attacker</t>
        </is>
      </c>
      <c r="P125" s="1" t="n">
        <v>200</v>
      </c>
      <c r="Q125" s="1">
        <f t="array" ref="Q125">_xlfn.IFS($O125="Attacker",6,$O125="Healer",3,$O125="Magician",4,$O125="Defender",3,$O125="Supporter",4)</f>
        <v/>
      </c>
      <c r="R125" s="1">
        <f t="array" ref="R125">_xlfn.IFS($O125="Attacker",6,$O125="Healer",3,$O125="Magician",4,$O125="Defender",3,$O125="Supporter",4)</f>
        <v/>
      </c>
      <c r="S125" s="1" t="n">
        <v>1</v>
      </c>
      <c r="T125" s="1" t="n">
        <v>0</v>
      </c>
      <c r="U125" s="1" t="n">
        <v>0</v>
      </c>
      <c r="V125" s="1" t="inlineStr">
        <is>
          <t>Spd</t>
        </is>
      </c>
      <c r="W125" s="1">
        <f t="array" ref="W125">_xlfn.IFS(O125="Attacker",80,O125="Healer",90,O125="Magician",100,O125="Defender",110,O125="Supporter",120)</f>
        <v/>
      </c>
      <c r="X125" s="1" t="inlineStr">
        <is>
          <t>Hp</t>
        </is>
      </c>
      <c r="Y125" s="1" t="n">
        <v>4284</v>
      </c>
      <c r="Z125" s="1" t="inlineStr">
        <is>
          <t>Atk</t>
        </is>
      </c>
      <c r="AA125" s="1" t="n">
        <v>287</v>
      </c>
      <c r="AB125" s="1" t="inlineStr">
        <is>
          <t>Def</t>
        </is>
      </c>
      <c r="AC125" s="1" t="n">
        <v>234</v>
      </c>
      <c r="AD125" s="1" t="inlineStr">
        <is>
          <t>Penetration</t>
        </is>
      </c>
      <c r="AE125" s="1" t="n">
        <v>234</v>
      </c>
      <c r="AF125" s="1" t="inlineStr">
        <is>
          <t>Hit</t>
        </is>
      </c>
      <c r="AG125" s="1" t="n">
        <v>100</v>
      </c>
      <c r="AH125" s="1" t="inlineStr">
        <is>
          <t>Dodge</t>
        </is>
      </c>
      <c r="AI125" s="1" t="n">
        <v>80</v>
      </c>
      <c r="AJ125" s="1" t="inlineStr">
        <is>
          <t>CriRatio</t>
        </is>
      </c>
      <c r="AK125" s="1" t="n">
        <v>5000</v>
      </c>
      <c r="AL125" s="1" t="inlineStr">
        <is>
          <t>CriDmgRatio</t>
        </is>
      </c>
      <c r="AM125" s="1" t="n">
        <v>150000</v>
      </c>
      <c r="AN125" s="1" t="n">
        <v>1551091</v>
      </c>
      <c r="AO125" s="1" t="b">
        <v>1</v>
      </c>
      <c r="AP125" s="1" t="n">
        <v>2551091</v>
      </c>
      <c r="AQ125" s="1" t="b">
        <v>1</v>
      </c>
      <c r="AR125" s="1" t="n">
        <v>3551091</v>
      </c>
      <c r="AS125" s="1" t="b">
        <v>1</v>
      </c>
      <c r="AT125" s="1" t="n">
        <v>4551091</v>
      </c>
      <c r="AU125" s="1" t="b">
        <v>1</v>
      </c>
    </row>
    <row r="126">
      <c r="A126" s="1" t="n">
        <v>13640102</v>
      </c>
      <c r="B126" s="1" t="inlineStr">
        <is>
          <t>시트리</t>
        </is>
      </c>
      <c r="C126" s="1" t="n">
        <v>136411</v>
      </c>
      <c r="D126" s="1" t="n">
        <v>0</v>
      </c>
      <c r="E126" s="68" t="inlineStr">
        <is>
          <t>character_name_13640102</t>
        </is>
      </c>
      <c r="G126" s="68" t="inlineStr">
        <is>
          <t>Normal</t>
        </is>
      </c>
      <c r="H126" s="68" t="inlineStr">
        <is>
          <t>Normal</t>
        </is>
      </c>
      <c r="I126" s="68" t="n">
        <v>2</v>
      </c>
      <c r="J126" s="68" t="inlineStr">
        <is>
          <t>0.95,0.95,0.95</t>
        </is>
      </c>
      <c r="K126" s="68" t="b">
        <v>1</v>
      </c>
      <c r="L126" s="24" t="inlineStr">
        <is>
          <t>0,0,0</t>
        </is>
      </c>
      <c r="M126" s="1" t="n">
        <v>3</v>
      </c>
      <c r="N126" s="37" t="inlineStr">
        <is>
          <t>Light</t>
        </is>
      </c>
      <c r="O126" s="1" t="inlineStr">
        <is>
          <t>Supporter</t>
        </is>
      </c>
      <c r="P126" s="1" t="n">
        <v>200</v>
      </c>
      <c r="Q126" s="1">
        <f t="array" ref="Q126">_xlfn.IFS($O126="Attacker",6,$O126="Healer",3,$O126="Magician",4,$O126="Defender",3,$O126="Supporter",4)</f>
        <v/>
      </c>
      <c r="R126" s="1">
        <f t="array" ref="R126">_xlfn.IFS($O126="Attacker",6,$O126="Healer",3,$O126="Magician",4,$O126="Defender",3,$O126="Supporter",4)</f>
        <v/>
      </c>
      <c r="S126" s="1" t="n">
        <v>1</v>
      </c>
      <c r="T126" s="1" t="n">
        <v>0</v>
      </c>
      <c r="U126" s="1" t="n">
        <v>0</v>
      </c>
      <c r="V126" s="1" t="inlineStr">
        <is>
          <t>Spd</t>
        </is>
      </c>
      <c r="W126" s="1">
        <f t="array" ref="W126">_xlfn.IFS(O126="Attacker",80,O126="Healer",90,O126="Magician",100,O126="Defender",110,O126="Supporter",120)</f>
        <v/>
      </c>
      <c r="X126" s="1" t="inlineStr">
        <is>
          <t>Hp</t>
        </is>
      </c>
      <c r="Y126" s="1" t="n">
        <v>3213</v>
      </c>
      <c r="Z126" s="1" t="inlineStr">
        <is>
          <t>Atk</t>
        </is>
      </c>
      <c r="AA126" s="1" t="n">
        <v>287</v>
      </c>
      <c r="AB126" s="1" t="inlineStr">
        <is>
          <t>Def</t>
        </is>
      </c>
      <c r="AC126" s="1" t="n">
        <v>187</v>
      </c>
      <c r="AD126" s="1" t="inlineStr">
        <is>
          <t>Penetration</t>
        </is>
      </c>
      <c r="AE126" s="1" t="n">
        <v>187</v>
      </c>
      <c r="AF126" s="1" t="inlineStr">
        <is>
          <t>Hit</t>
        </is>
      </c>
      <c r="AG126" s="1" t="n">
        <v>100</v>
      </c>
      <c r="AH126" s="1" t="inlineStr">
        <is>
          <t>Dodge</t>
        </is>
      </c>
      <c r="AI126" s="1" t="n">
        <v>80</v>
      </c>
      <c r="AJ126" s="1" t="inlineStr">
        <is>
          <t>CriRatio</t>
        </is>
      </c>
      <c r="AK126" s="1" t="n">
        <v>5000</v>
      </c>
      <c r="AL126" s="1" t="inlineStr">
        <is>
          <t>CriDmgRatio</t>
        </is>
      </c>
      <c r="AM126" s="1" t="n">
        <v>150000</v>
      </c>
      <c r="AN126" s="1" t="n">
        <v>1554101</v>
      </c>
      <c r="AO126" s="1" t="b">
        <v>1</v>
      </c>
      <c r="AP126" s="1" t="n">
        <v>2554101</v>
      </c>
      <c r="AQ126" s="1" t="b">
        <v>1</v>
      </c>
      <c r="AR126" s="1" t="n">
        <v>3554101</v>
      </c>
      <c r="AS126" s="1" t="b">
        <v>1</v>
      </c>
      <c r="AT126" s="1" t="n">
        <v>4554101</v>
      </c>
      <c r="AU126" s="1" t="b">
        <v>1</v>
      </c>
    </row>
    <row r="127">
      <c r="A127" s="1" t="n">
        <v>10020102</v>
      </c>
      <c r="B127" s="1" t="inlineStr">
        <is>
          <t>리자</t>
        </is>
      </c>
      <c r="C127" s="1" t="n">
        <v>100211</v>
      </c>
      <c r="D127" s="1" t="n">
        <v>0</v>
      </c>
      <c r="E127" s="68" t="inlineStr">
        <is>
          <t>character_name_10020102</t>
        </is>
      </c>
      <c r="G127" s="68" t="inlineStr">
        <is>
          <t>Normal</t>
        </is>
      </c>
      <c r="H127" s="68" t="inlineStr">
        <is>
          <t>Normal</t>
        </is>
      </c>
      <c r="I127" s="68" t="n">
        <v>2</v>
      </c>
      <c r="J127" s="68" t="inlineStr">
        <is>
          <t>0.95,0.95,0.95</t>
        </is>
      </c>
      <c r="K127" s="68" t="b">
        <v>1</v>
      </c>
      <c r="L127" s="24" t="inlineStr">
        <is>
          <t>0,0,0</t>
        </is>
      </c>
      <c r="M127" s="1" t="n">
        <v>2</v>
      </c>
      <c r="N127" s="36" t="inlineStr">
        <is>
          <t>Water</t>
        </is>
      </c>
      <c r="O127" s="1" t="inlineStr">
        <is>
          <t>Supporter</t>
        </is>
      </c>
      <c r="P127" s="1" t="n">
        <v>200</v>
      </c>
      <c r="Q127" s="1">
        <f t="array" ref="Q127">_xlfn.IFS($O127="Attacker",6,$O127="Healer",3,$O127="Magician",4,$O127="Defender",3,$O127="Supporter",4)</f>
        <v/>
      </c>
      <c r="R127" s="1">
        <f t="array" ref="R127">_xlfn.IFS($O127="Attacker",6,$O127="Healer",3,$O127="Magician",4,$O127="Defender",3,$O127="Supporter",4)</f>
        <v/>
      </c>
      <c r="S127" s="1" t="n">
        <v>1</v>
      </c>
      <c r="T127" s="1" t="n">
        <v>0</v>
      </c>
      <c r="U127" s="1" t="n">
        <v>0</v>
      </c>
      <c r="V127" s="1" t="inlineStr">
        <is>
          <t>Spd</t>
        </is>
      </c>
      <c r="W127" s="1">
        <f t="array" ref="W127">_xlfn.IFS(O127="Attacker",80,O127="Healer",90,O127="Magician",100,O127="Defender",110,O127="Supporter",120)</f>
        <v/>
      </c>
      <c r="X127" s="1" t="inlineStr">
        <is>
          <t>Hp</t>
        </is>
      </c>
      <c r="Y127" s="1" t="n">
        <v>1530</v>
      </c>
      <c r="Z127" s="1" t="inlineStr">
        <is>
          <t>Atk</t>
        </is>
      </c>
      <c r="AA127" s="1" t="n">
        <v>130</v>
      </c>
      <c r="AB127" s="1" t="inlineStr">
        <is>
          <t>Def</t>
        </is>
      </c>
      <c r="AC127" s="1" t="n">
        <v>130</v>
      </c>
      <c r="AD127" s="1" t="inlineStr">
        <is>
          <t>Penetration</t>
        </is>
      </c>
      <c r="AE127" s="1" t="n">
        <v>130</v>
      </c>
      <c r="AF127" s="1" t="inlineStr">
        <is>
          <t>Hit</t>
        </is>
      </c>
      <c r="AG127" s="1" t="n">
        <v>100</v>
      </c>
      <c r="AH127" s="1" t="inlineStr">
        <is>
          <t>Dodge</t>
        </is>
      </c>
      <c r="AI127" s="1" t="n">
        <v>80</v>
      </c>
      <c r="AJ127" s="1" t="inlineStr">
        <is>
          <t>CriRatio</t>
        </is>
      </c>
      <c r="AK127" s="1" t="n">
        <v>5000</v>
      </c>
      <c r="AL127" s="1" t="inlineStr">
        <is>
          <t>CriDmgRatio</t>
        </is>
      </c>
      <c r="AM127" s="1" t="n">
        <v>150000</v>
      </c>
      <c r="AN127" s="1" t="n">
        <v>1325111</v>
      </c>
      <c r="AO127" s="1" t="b">
        <v>1</v>
      </c>
      <c r="AP127" s="1" t="n">
        <v>2325111</v>
      </c>
      <c r="AQ127" s="1" t="b">
        <v>1</v>
      </c>
      <c r="AR127" s="1" t="n">
        <v>3325111</v>
      </c>
      <c r="AS127" s="1" t="b">
        <v>1</v>
      </c>
      <c r="AT127" s="1" t="n">
        <v>4325111</v>
      </c>
      <c r="AU127" s="1" t="b">
        <v>1</v>
      </c>
    </row>
    <row r="128">
      <c r="A128" s="1" t="n">
        <v>14170102</v>
      </c>
      <c r="B128" s="1" t="inlineStr">
        <is>
          <t>구미호</t>
        </is>
      </c>
      <c r="C128" s="1" t="n">
        <v>141711</v>
      </c>
      <c r="D128" s="1" t="n">
        <v>0</v>
      </c>
      <c r="E128" s="68" t="inlineStr">
        <is>
          <t>character_name_14170102</t>
        </is>
      </c>
      <c r="G128" s="68" t="inlineStr">
        <is>
          <t>Normal</t>
        </is>
      </c>
      <c r="H128" s="68" t="inlineStr">
        <is>
          <t>Normal</t>
        </is>
      </c>
      <c r="I128" s="68" t="n">
        <v>2</v>
      </c>
      <c r="J128" s="68" t="inlineStr">
        <is>
          <t>0.95,0.95,0.95</t>
        </is>
      </c>
      <c r="K128" s="68" t="b">
        <v>1</v>
      </c>
      <c r="L128" s="24" t="inlineStr">
        <is>
          <t>0,0,0</t>
        </is>
      </c>
      <c r="M128" s="1" t="n">
        <v>3</v>
      </c>
      <c r="N128" s="33" t="inlineStr">
        <is>
          <t>Fire</t>
        </is>
      </c>
      <c r="O128" s="1" t="inlineStr">
        <is>
          <t>Magician</t>
        </is>
      </c>
      <c r="P128" s="1" t="n">
        <v>200</v>
      </c>
      <c r="Q128" s="1">
        <f t="array" ref="Q128">_xlfn.IFS($O128="Attacker",6,$O128="Healer",3,$O128="Magician",4,$O128="Defender",3,$O128="Supporter",4)</f>
        <v/>
      </c>
      <c r="R128" s="1">
        <f t="array" ref="R128">_xlfn.IFS($O128="Attacker",6,$O128="Healer",3,$O128="Magician",4,$O128="Defender",3,$O128="Supporter",4)</f>
        <v/>
      </c>
      <c r="S128" s="1" t="n">
        <v>1</v>
      </c>
      <c r="T128" s="1" t="n">
        <v>0</v>
      </c>
      <c r="U128" s="1" t="n">
        <v>0</v>
      </c>
      <c r="V128" s="1" t="inlineStr">
        <is>
          <t>Spd</t>
        </is>
      </c>
      <c r="W128" s="1">
        <f t="array" ref="W128">_xlfn.IFS(O128="Attacker",80,O128="Healer",90,O128="Magician",100,O128="Defender",110,O128="Supporter",120)</f>
        <v/>
      </c>
      <c r="X128" s="1" t="inlineStr">
        <is>
          <t>Hp</t>
        </is>
      </c>
      <c r="Y128" s="1" t="n">
        <v>3570</v>
      </c>
      <c r="Z128" s="1" t="inlineStr">
        <is>
          <t>Atk</t>
        </is>
      </c>
      <c r="AA128" s="1" t="n">
        <v>359</v>
      </c>
      <c r="AB128" s="1" t="inlineStr">
        <is>
          <t>Def</t>
        </is>
      </c>
      <c r="AC128" s="1" t="n">
        <v>187</v>
      </c>
      <c r="AD128" s="1" t="inlineStr">
        <is>
          <t>Penetration</t>
        </is>
      </c>
      <c r="AE128" s="1" t="n">
        <v>187</v>
      </c>
      <c r="AF128" s="1" t="inlineStr">
        <is>
          <t>Hit</t>
        </is>
      </c>
      <c r="AG128" s="1" t="n">
        <v>100</v>
      </c>
      <c r="AH128" s="1" t="inlineStr">
        <is>
          <t>Dodge</t>
        </is>
      </c>
      <c r="AI128" s="1" t="n">
        <v>80</v>
      </c>
      <c r="AJ128" s="1" t="inlineStr">
        <is>
          <t>CriRatio</t>
        </is>
      </c>
      <c r="AK128" s="1" t="n">
        <v>5000</v>
      </c>
      <c r="AL128" s="1" t="inlineStr">
        <is>
          <t>CriDmgRatio</t>
        </is>
      </c>
      <c r="AM128" s="1" t="n">
        <v>150000</v>
      </c>
      <c r="AN128" s="1" t="n">
        <v>1313121</v>
      </c>
      <c r="AO128" s="1" t="b">
        <v>1</v>
      </c>
      <c r="AP128" s="1" t="n">
        <v>2313121</v>
      </c>
      <c r="AQ128" s="1" t="b">
        <v>1</v>
      </c>
      <c r="AR128" s="1" t="n">
        <v>3313121</v>
      </c>
      <c r="AS128" s="1" t="b">
        <v>1</v>
      </c>
      <c r="AT128" s="1" t="n">
        <v>4313121</v>
      </c>
      <c r="AU128" s="1" t="b">
        <v>1</v>
      </c>
    </row>
    <row r="129">
      <c r="A129" s="1" t="n">
        <v>14320102</v>
      </c>
      <c r="B129" s="1" t="inlineStr">
        <is>
          <t>아르테미스</t>
        </is>
      </c>
      <c r="C129" s="1" t="n">
        <v>143211</v>
      </c>
      <c r="D129" s="1" t="n">
        <v>0</v>
      </c>
      <c r="E129" s="68" t="inlineStr">
        <is>
          <t>character_name_14320102</t>
        </is>
      </c>
      <c r="G129" s="68" t="inlineStr">
        <is>
          <t>Normal</t>
        </is>
      </c>
      <c r="H129" s="68" t="inlineStr">
        <is>
          <t>Normal</t>
        </is>
      </c>
      <c r="I129" s="68" t="n">
        <v>2</v>
      </c>
      <c r="J129" s="68" t="inlineStr">
        <is>
          <t>0.95,0.95,0.95</t>
        </is>
      </c>
      <c r="K129" s="68" t="b">
        <v>1</v>
      </c>
      <c r="L129" s="24" t="inlineStr">
        <is>
          <t>0,0,0</t>
        </is>
      </c>
      <c r="M129" s="1" t="n">
        <v>3</v>
      </c>
      <c r="N129" s="34" t="inlineStr">
        <is>
          <t>Dark</t>
        </is>
      </c>
      <c r="O129" s="1" t="inlineStr">
        <is>
          <t>Attacker</t>
        </is>
      </c>
      <c r="P129" s="1" t="n">
        <v>200</v>
      </c>
      <c r="Q129" s="1">
        <f t="array" ref="Q129">_xlfn.IFS($O129="Attacker",6,$O129="Healer",3,$O129="Magician",4,$O129="Defender",3,$O129="Supporter",4)</f>
        <v/>
      </c>
      <c r="R129" s="1">
        <f t="array" ref="R129">_xlfn.IFS($O129="Attacker",6,$O129="Healer",3,$O129="Magician",4,$O129="Defender",3,$O129="Supporter",4)</f>
        <v/>
      </c>
      <c r="S129" s="1" t="n">
        <v>1</v>
      </c>
      <c r="T129" s="1" t="n">
        <v>0</v>
      </c>
      <c r="U129" s="1" t="n">
        <v>0</v>
      </c>
      <c r="V129" s="1" t="inlineStr">
        <is>
          <t>Spd</t>
        </is>
      </c>
      <c r="W129" s="1">
        <f t="array" ref="W129">_xlfn.IFS(O129="Attacker",80,O129="Healer",90,O129="Magician",100,O129="Defender",110,O129="Supporter",120)</f>
        <v/>
      </c>
      <c r="X129" s="1" t="inlineStr">
        <is>
          <t>Hp</t>
        </is>
      </c>
      <c r="Y129" s="1" t="n">
        <v>2380</v>
      </c>
      <c r="Z129" s="1" t="inlineStr">
        <is>
          <t>Atk</t>
        </is>
      </c>
      <c r="AA129" s="1" t="n">
        <v>276</v>
      </c>
      <c r="AB129" s="1" t="inlineStr">
        <is>
          <t>Def</t>
        </is>
      </c>
      <c r="AC129" s="1" t="n">
        <v>156</v>
      </c>
      <c r="AD129" s="1" t="inlineStr">
        <is>
          <t>Penetration</t>
        </is>
      </c>
      <c r="AE129" s="1" t="n">
        <v>156</v>
      </c>
      <c r="AF129" s="1" t="inlineStr">
        <is>
          <t>Hit</t>
        </is>
      </c>
      <c r="AG129" s="1" t="n">
        <v>100</v>
      </c>
      <c r="AH129" s="1" t="inlineStr">
        <is>
          <t>Dodge</t>
        </is>
      </c>
      <c r="AI129" s="1" t="n">
        <v>80</v>
      </c>
      <c r="AJ129" s="1" t="inlineStr">
        <is>
          <t>CriRatio</t>
        </is>
      </c>
      <c r="AK129" s="1" t="n">
        <v>5000</v>
      </c>
      <c r="AL129" s="1" t="inlineStr">
        <is>
          <t>CriDmgRatio</t>
        </is>
      </c>
      <c r="AM129" s="1" t="n">
        <v>150000</v>
      </c>
      <c r="AN129" s="1" t="n">
        <v>1351161</v>
      </c>
      <c r="AO129" s="1" t="b">
        <v>1</v>
      </c>
      <c r="AP129" s="1" t="n">
        <v>2351161</v>
      </c>
      <c r="AQ129" s="1" t="b">
        <v>1</v>
      </c>
      <c r="AR129" s="1" t="n">
        <v>3351161</v>
      </c>
      <c r="AS129" s="1" t="b">
        <v>1</v>
      </c>
      <c r="AT129" s="1" t="n">
        <v>4351161</v>
      </c>
      <c r="AU129" s="1" t="b">
        <v>1</v>
      </c>
    </row>
    <row r="130">
      <c r="A130" s="1" t="n">
        <v>14860102</v>
      </c>
      <c r="B130" s="1" t="inlineStr">
        <is>
          <t>쿠바바</t>
        </is>
      </c>
      <c r="C130" s="1" t="n">
        <v>148611</v>
      </c>
      <c r="D130" s="1" t="n">
        <v>0</v>
      </c>
      <c r="E130" s="68" t="inlineStr">
        <is>
          <t>character_name_14860102</t>
        </is>
      </c>
      <c r="G130" s="68" t="inlineStr">
        <is>
          <t>Normal</t>
        </is>
      </c>
      <c r="H130" s="68" t="inlineStr">
        <is>
          <t>Normal</t>
        </is>
      </c>
      <c r="I130" s="68" t="n">
        <v>2</v>
      </c>
      <c r="J130" s="68" t="inlineStr">
        <is>
          <t>0.95,0.95,0.95</t>
        </is>
      </c>
      <c r="K130" s="68" t="b">
        <v>1</v>
      </c>
      <c r="L130" s="24" t="inlineStr">
        <is>
          <t>0,0,0</t>
        </is>
      </c>
      <c r="M130" s="1" t="n">
        <v>3</v>
      </c>
      <c r="N130" s="34" t="inlineStr">
        <is>
          <t>Dark</t>
        </is>
      </c>
      <c r="O130" s="1" t="inlineStr">
        <is>
          <t>Attacker</t>
        </is>
      </c>
      <c r="P130" s="1" t="n">
        <v>200</v>
      </c>
      <c r="Q130" s="1">
        <f t="array" ref="Q130">_xlfn.IFS($O130="Attacker",6,$O130="Healer",3,$O130="Magician",4,$O130="Defender",3,$O130="Supporter",4)</f>
        <v/>
      </c>
      <c r="R130" s="1">
        <f t="array" ref="R130">_xlfn.IFS($O130="Attacker",6,$O130="Healer",3,$O130="Magician",4,$O130="Defender",3,$O130="Supporter",4)</f>
        <v/>
      </c>
      <c r="S130" s="1" t="n">
        <v>1</v>
      </c>
      <c r="T130" s="1" t="n">
        <v>0</v>
      </c>
      <c r="U130" s="1" t="n">
        <v>0</v>
      </c>
      <c r="V130" s="1" t="inlineStr">
        <is>
          <t>Spd</t>
        </is>
      </c>
      <c r="W130" s="1">
        <f t="array" ref="W130">_xlfn.IFS(O130="Attacker",80,O130="Healer",90,O130="Magician",100,O130="Defender",110,O130="Supporter",120)</f>
        <v/>
      </c>
      <c r="X130" s="1" t="inlineStr">
        <is>
          <t>Hp</t>
        </is>
      </c>
      <c r="Y130" s="1" t="n">
        <v>3570</v>
      </c>
      <c r="Z130" s="1" t="inlineStr">
        <is>
          <t>Atk</t>
        </is>
      </c>
      <c r="AA130" s="1" t="n">
        <v>359</v>
      </c>
      <c r="AB130" s="1" t="inlineStr">
        <is>
          <t>Def</t>
        </is>
      </c>
      <c r="AC130" s="1" t="n">
        <v>187</v>
      </c>
      <c r="AD130" s="1" t="inlineStr">
        <is>
          <t>Penetration</t>
        </is>
      </c>
      <c r="AE130" s="1" t="n">
        <v>187</v>
      </c>
      <c r="AF130" s="1" t="inlineStr">
        <is>
          <t>Hit</t>
        </is>
      </c>
      <c r="AG130" s="1" t="n">
        <v>100</v>
      </c>
      <c r="AH130" s="1" t="inlineStr">
        <is>
          <t>Dodge</t>
        </is>
      </c>
      <c r="AI130" s="1" t="n">
        <v>80</v>
      </c>
      <c r="AJ130" s="1" t="inlineStr">
        <is>
          <t>CriRatio</t>
        </is>
      </c>
      <c r="AK130" s="1" t="n">
        <v>5000</v>
      </c>
      <c r="AL130" s="1" t="inlineStr">
        <is>
          <t>CriDmgRatio</t>
        </is>
      </c>
      <c r="AM130" s="1" t="n">
        <v>150000</v>
      </c>
      <c r="AN130" s="1" t="n">
        <v>1353141</v>
      </c>
      <c r="AO130" s="1" t="b">
        <v>1</v>
      </c>
      <c r="AP130" s="1" t="n">
        <v>2353141</v>
      </c>
      <c r="AQ130" s="1" t="b">
        <v>1</v>
      </c>
      <c r="AR130" s="1" t="n">
        <v>3353141</v>
      </c>
      <c r="AS130" s="1" t="b">
        <v>1</v>
      </c>
      <c r="AT130" s="1" t="n">
        <v>4353141</v>
      </c>
      <c r="AU130" s="1" t="b">
        <v>1</v>
      </c>
    </row>
    <row r="131">
      <c r="A131" s="1" t="n">
        <v>12940102</v>
      </c>
      <c r="B131" s="1" t="inlineStr">
        <is>
          <t>바토리</t>
        </is>
      </c>
      <c r="C131" s="1" t="n">
        <v>129411</v>
      </c>
      <c r="D131" s="1" t="n">
        <v>0</v>
      </c>
      <c r="E131" s="68" t="inlineStr">
        <is>
          <t>character_name_12940102</t>
        </is>
      </c>
      <c r="G131" s="68" t="inlineStr">
        <is>
          <t>Normal</t>
        </is>
      </c>
      <c r="H131" s="68" t="inlineStr">
        <is>
          <t>Normal</t>
        </is>
      </c>
      <c r="I131" s="68" t="n">
        <v>2</v>
      </c>
      <c r="J131" s="68" t="inlineStr">
        <is>
          <t>0.95,0.95,0.95</t>
        </is>
      </c>
      <c r="K131" s="68" t="b">
        <v>1</v>
      </c>
      <c r="L131" s="24" t="inlineStr">
        <is>
          <t>0,0,0</t>
        </is>
      </c>
      <c r="M131" s="1" t="n">
        <v>3</v>
      </c>
      <c r="N131" s="35" t="inlineStr">
        <is>
          <t>Forest</t>
        </is>
      </c>
      <c r="O131" s="1" t="inlineStr">
        <is>
          <t>Magician</t>
        </is>
      </c>
      <c r="P131" s="1" t="n">
        <v>200</v>
      </c>
      <c r="Q131" s="1">
        <f t="array" ref="Q131">_xlfn.IFS($O131="Attacker",6,$O131="Healer",3,$O131="Magician",4,$O131="Defender",3,$O131="Supporter",4)</f>
        <v/>
      </c>
      <c r="R131" s="1">
        <f t="array" ref="R131">_xlfn.IFS($O131="Attacker",6,$O131="Healer",3,$O131="Magician",4,$O131="Defender",3,$O131="Supporter",4)</f>
        <v/>
      </c>
      <c r="S131" s="1" t="n">
        <v>1</v>
      </c>
      <c r="T131" s="1" t="n">
        <v>0</v>
      </c>
      <c r="U131" s="1" t="n">
        <v>0</v>
      </c>
      <c r="V131" s="1" t="inlineStr">
        <is>
          <t>Spd</t>
        </is>
      </c>
      <c r="W131" s="1">
        <f t="array" ref="W131">_xlfn.IFS(O131="Attacker",80,O131="Healer",90,O131="Magician",100,O131="Defender",110,O131="Supporter",120)</f>
        <v/>
      </c>
      <c r="X131" s="1" t="inlineStr">
        <is>
          <t>Hp</t>
        </is>
      </c>
      <c r="Y131" s="1" t="n">
        <v>2142</v>
      </c>
      <c r="Z131" s="1" t="inlineStr">
        <is>
          <t>Atk</t>
        </is>
      </c>
      <c r="AA131" s="1" t="n">
        <v>221</v>
      </c>
      <c r="AB131" s="1" t="inlineStr">
        <is>
          <t>Def</t>
        </is>
      </c>
      <c r="AC131" s="1" t="n">
        <v>156</v>
      </c>
      <c r="AD131" s="1" t="inlineStr">
        <is>
          <t>Penetration</t>
        </is>
      </c>
      <c r="AE131" s="1" t="n">
        <v>156</v>
      </c>
      <c r="AF131" s="1" t="inlineStr">
        <is>
          <t>Hit</t>
        </is>
      </c>
      <c r="AG131" s="1" t="n">
        <v>100</v>
      </c>
      <c r="AH131" s="1" t="inlineStr">
        <is>
          <t>Dodge</t>
        </is>
      </c>
      <c r="AI131" s="1" t="n">
        <v>80</v>
      </c>
      <c r="AJ131" s="1" t="inlineStr">
        <is>
          <t>CriRatio</t>
        </is>
      </c>
      <c r="AK131" s="1" t="n">
        <v>5000</v>
      </c>
      <c r="AL131" s="1" t="inlineStr">
        <is>
          <t>CriDmgRatio</t>
        </is>
      </c>
      <c r="AM131" s="1" t="n">
        <v>150000</v>
      </c>
      <c r="AN131" s="1" t="n">
        <v>1333131</v>
      </c>
      <c r="AO131" s="1" t="b">
        <v>1</v>
      </c>
      <c r="AP131" s="1" t="n">
        <v>2333131</v>
      </c>
      <c r="AQ131" s="1" t="b">
        <v>1</v>
      </c>
      <c r="AR131" s="1" t="n">
        <v>3333131</v>
      </c>
      <c r="AS131" s="1" t="b">
        <v>1</v>
      </c>
      <c r="AT131" s="1" t="n">
        <v>4333131</v>
      </c>
      <c r="AU131" s="1" t="b">
        <v>1</v>
      </c>
    </row>
    <row r="132">
      <c r="A132" s="1" t="n">
        <v>15010102</v>
      </c>
      <c r="B132" s="1" t="inlineStr">
        <is>
          <t>라가라자</t>
        </is>
      </c>
      <c r="C132" s="1" t="n">
        <v>150111</v>
      </c>
      <c r="D132" s="1" t="n">
        <v>0</v>
      </c>
      <c r="E132" s="68" t="inlineStr">
        <is>
          <t>character_name_15010102</t>
        </is>
      </c>
      <c r="G132" s="68" t="inlineStr">
        <is>
          <t>Normal</t>
        </is>
      </c>
      <c r="H132" s="68" t="inlineStr">
        <is>
          <t>Normal</t>
        </is>
      </c>
      <c r="I132" s="68" t="n">
        <v>2</v>
      </c>
      <c r="J132" s="68" t="inlineStr">
        <is>
          <t>0.95,0.95,0.95</t>
        </is>
      </c>
      <c r="K132" s="68" t="b">
        <v>1</v>
      </c>
      <c r="L132" s="24" t="inlineStr">
        <is>
          <t>0,0,0</t>
        </is>
      </c>
      <c r="M132" s="1" t="n">
        <v>3</v>
      </c>
      <c r="N132" s="33" t="inlineStr">
        <is>
          <t>Fire</t>
        </is>
      </c>
      <c r="O132" s="1" t="inlineStr">
        <is>
          <t>Attacker</t>
        </is>
      </c>
      <c r="P132" s="1" t="n">
        <v>200</v>
      </c>
      <c r="Q132" s="1">
        <f t="array" ref="Q132">_xlfn.IFS($O132="Attacker",6,$O132="Healer",3,$O132="Magician",4,$O132="Defender",3,$O132="Supporter",4)</f>
        <v/>
      </c>
      <c r="R132" s="1">
        <f t="array" ref="R132">_xlfn.IFS($O132="Attacker",6,$O132="Healer",3,$O132="Magician",4,$O132="Defender",3,$O132="Supporter",4)</f>
        <v/>
      </c>
      <c r="S132" s="1" t="n">
        <v>1</v>
      </c>
      <c r="T132" s="1" t="n">
        <v>0</v>
      </c>
      <c r="U132" s="1" t="n">
        <v>0</v>
      </c>
      <c r="V132" s="1" t="inlineStr">
        <is>
          <t>Spd</t>
        </is>
      </c>
      <c r="W132" s="1">
        <f t="array" ref="W132">_xlfn.IFS(O132="Attacker",80,O132="Healer",90,O132="Magician",100,O132="Defender",110,O132="Supporter",120)</f>
        <v/>
      </c>
      <c r="X132" s="1" t="inlineStr">
        <is>
          <t>Hp</t>
        </is>
      </c>
      <c r="Y132" s="1" t="n">
        <v>4284</v>
      </c>
      <c r="Z132" s="1" t="inlineStr">
        <is>
          <t>Atk</t>
        </is>
      </c>
      <c r="AA132" s="1" t="n">
        <v>287</v>
      </c>
      <c r="AB132" s="1" t="inlineStr">
        <is>
          <t>Def</t>
        </is>
      </c>
      <c r="AC132" s="1" t="n">
        <v>234</v>
      </c>
      <c r="AD132" s="1" t="inlineStr">
        <is>
          <t>Penetration</t>
        </is>
      </c>
      <c r="AE132" s="1" t="n">
        <v>234</v>
      </c>
      <c r="AF132" s="1" t="inlineStr">
        <is>
          <t>Hit</t>
        </is>
      </c>
      <c r="AG132" s="1" t="n">
        <v>100</v>
      </c>
      <c r="AH132" s="1" t="inlineStr">
        <is>
          <t>Dodge</t>
        </is>
      </c>
      <c r="AI132" s="1" t="n">
        <v>80</v>
      </c>
      <c r="AJ132" s="1" t="inlineStr">
        <is>
          <t>CriRatio</t>
        </is>
      </c>
      <c r="AK132" s="1" t="n">
        <v>5000</v>
      </c>
      <c r="AL132" s="1" t="inlineStr">
        <is>
          <t>CriDmgRatio</t>
        </is>
      </c>
      <c r="AM132" s="1" t="n">
        <v>150000</v>
      </c>
      <c r="AN132" s="1" t="n">
        <v>1311151</v>
      </c>
      <c r="AO132" s="1" t="b">
        <v>1</v>
      </c>
      <c r="AP132" s="1" t="n">
        <v>2311151</v>
      </c>
      <c r="AQ132" s="1" t="b">
        <v>1</v>
      </c>
      <c r="AR132" s="1" t="n">
        <v>3311151</v>
      </c>
      <c r="AS132" s="1" t="b">
        <v>1</v>
      </c>
      <c r="AT132" s="1" t="n">
        <v>4311151</v>
      </c>
      <c r="AU132" s="1" t="b">
        <v>1</v>
      </c>
    </row>
    <row r="133">
      <c r="A133" s="1" t="n">
        <v>10010102</v>
      </c>
      <c r="B133" s="1" t="inlineStr">
        <is>
          <t>모나</t>
        </is>
      </c>
      <c r="C133" s="1" t="n">
        <v>100111</v>
      </c>
      <c r="D133" s="1" t="n">
        <v>0</v>
      </c>
      <c r="E133" s="68" t="inlineStr">
        <is>
          <t>character_name_10010102</t>
        </is>
      </c>
      <c r="G133" s="68" t="inlineStr">
        <is>
          <t>Normal</t>
        </is>
      </c>
      <c r="H133" s="68" t="inlineStr">
        <is>
          <t>Normal</t>
        </is>
      </c>
      <c r="I133" s="68" t="n">
        <v>2</v>
      </c>
      <c r="J133" s="68" t="inlineStr">
        <is>
          <t>0.95,0.95,0.95</t>
        </is>
      </c>
      <c r="K133" s="68" t="b">
        <v>1</v>
      </c>
      <c r="L133" s="24" t="inlineStr">
        <is>
          <t>0,0,0</t>
        </is>
      </c>
      <c r="M133" s="1" t="n">
        <v>2</v>
      </c>
      <c r="N133" s="34" t="inlineStr">
        <is>
          <t>Dark</t>
        </is>
      </c>
      <c r="O133" s="1" t="inlineStr">
        <is>
          <t>Defender</t>
        </is>
      </c>
      <c r="P133" s="1" t="n">
        <v>200</v>
      </c>
      <c r="Q133" s="1">
        <f t="array" ref="Q133">_xlfn.IFS($O133="Attacker",6,$O133="Healer",3,$O133="Magician",4,$O133="Defender",3,$O133="Supporter",4)</f>
        <v/>
      </c>
      <c r="R133" s="1">
        <f t="array" ref="R133">_xlfn.IFS($O133="Attacker",6,$O133="Healer",3,$O133="Magician",4,$O133="Defender",3,$O133="Supporter",4)</f>
        <v/>
      </c>
      <c r="S133" s="1" t="n">
        <v>1</v>
      </c>
      <c r="T133" s="1" t="n">
        <v>0</v>
      </c>
      <c r="U133" s="1" t="n">
        <v>0</v>
      </c>
      <c r="V133" s="1" t="inlineStr">
        <is>
          <t>Spd</t>
        </is>
      </c>
      <c r="W133" s="1">
        <f t="array" ref="W133">_xlfn.IFS(O133="Attacker",80,O133="Healer",90,O133="Magician",100,O133="Defender",110,O133="Supporter",120)</f>
        <v/>
      </c>
      <c r="X133" s="1" t="inlineStr">
        <is>
          <t>Hp</t>
        </is>
      </c>
      <c r="Y133" s="1" t="n">
        <v>2040</v>
      </c>
      <c r="Z133" s="1" t="inlineStr">
        <is>
          <t>Atk</t>
        </is>
      </c>
      <c r="AA133" s="1" t="n">
        <v>130</v>
      </c>
      <c r="AB133" s="1" t="inlineStr">
        <is>
          <t>Def</t>
        </is>
      </c>
      <c r="AC133" s="1" t="n">
        <v>163</v>
      </c>
      <c r="AD133" s="1" t="inlineStr">
        <is>
          <t>Penetration</t>
        </is>
      </c>
      <c r="AE133" s="1" t="n">
        <v>163</v>
      </c>
      <c r="AF133" s="1" t="inlineStr">
        <is>
          <t>Hit</t>
        </is>
      </c>
      <c r="AG133" s="1" t="n">
        <v>100</v>
      </c>
      <c r="AH133" s="1" t="inlineStr">
        <is>
          <t>Dodge</t>
        </is>
      </c>
      <c r="AI133" s="1" t="n">
        <v>80</v>
      </c>
      <c r="AJ133" s="1" t="inlineStr">
        <is>
          <t>CriRatio</t>
        </is>
      </c>
      <c r="AK133" s="1" t="n">
        <v>5000</v>
      </c>
      <c r="AL133" s="1" t="inlineStr">
        <is>
          <t>CriDmgRatio</t>
        </is>
      </c>
      <c r="AM133" s="1" t="n">
        <v>150000</v>
      </c>
      <c r="AN133" s="1" t="n">
        <v>1552111</v>
      </c>
      <c r="AO133" s="1" t="b">
        <v>1</v>
      </c>
      <c r="AP133" s="1" t="n">
        <v>2552111</v>
      </c>
      <c r="AQ133" s="1" t="b">
        <v>1</v>
      </c>
      <c r="AR133" s="1" t="n">
        <v>3552111</v>
      </c>
      <c r="AS133" s="1" t="b">
        <v>1</v>
      </c>
      <c r="AT133" s="1" t="n">
        <v>4552111</v>
      </c>
      <c r="AU133" s="1" t="b">
        <v>1</v>
      </c>
    </row>
    <row r="134">
      <c r="A134" s="1" t="n">
        <v>15020102</v>
      </c>
      <c r="B134" s="1" t="inlineStr">
        <is>
          <t>도계화</t>
        </is>
      </c>
      <c r="C134" s="1" t="n">
        <v>150211</v>
      </c>
      <c r="D134" s="1" t="n">
        <v>0</v>
      </c>
      <c r="E134" s="68" t="inlineStr">
        <is>
          <t>character_name_15020102</t>
        </is>
      </c>
      <c r="G134" s="68" t="inlineStr">
        <is>
          <t>Normal</t>
        </is>
      </c>
      <c r="H134" s="68" t="inlineStr">
        <is>
          <t>Normal</t>
        </is>
      </c>
      <c r="I134" s="68" t="n">
        <v>2</v>
      </c>
      <c r="J134" s="68" t="inlineStr">
        <is>
          <t>0.95,0.95,0.95</t>
        </is>
      </c>
      <c r="K134" s="68" t="b">
        <v>1</v>
      </c>
      <c r="L134" s="24" t="inlineStr">
        <is>
          <t>0,0,0</t>
        </is>
      </c>
      <c r="M134" s="1" t="n">
        <v>3</v>
      </c>
      <c r="N134" s="36" t="inlineStr">
        <is>
          <t>Water</t>
        </is>
      </c>
      <c r="O134" s="1" t="inlineStr">
        <is>
          <t>Attacker</t>
        </is>
      </c>
      <c r="P134" s="1" t="n">
        <v>200</v>
      </c>
      <c r="Q134" s="1">
        <f t="array" ref="Q134">_xlfn.IFS($O134="Attacker",6,$O134="Healer",3,$O134="Magician",4,$O134="Defender",3,$O134="Supporter",4)</f>
        <v/>
      </c>
      <c r="R134" s="1">
        <f t="array" ref="R134">_xlfn.IFS($O134="Attacker",6,$O134="Healer",3,$O134="Magician",4,$O134="Defender",3,$O134="Supporter",4)</f>
        <v/>
      </c>
      <c r="S134" s="1" t="n">
        <v>1</v>
      </c>
      <c r="T134" s="1" t="n">
        <v>0</v>
      </c>
      <c r="U134" s="1" t="n">
        <v>0</v>
      </c>
      <c r="V134" s="1" t="inlineStr">
        <is>
          <t>Spd</t>
        </is>
      </c>
      <c r="W134" s="1">
        <f t="array" ref="W134">_xlfn.IFS(O134="Attacker",80,O134="Healer",90,O134="Magician",100,O134="Defender",110,O134="Supporter",120)</f>
        <v/>
      </c>
      <c r="X134" s="1" t="inlineStr">
        <is>
          <t>Hp</t>
        </is>
      </c>
      <c r="Y134" s="1" t="n">
        <v>2380</v>
      </c>
      <c r="Z134" s="1" t="inlineStr">
        <is>
          <t>Atk</t>
        </is>
      </c>
      <c r="AA134" s="1" t="n">
        <v>276</v>
      </c>
      <c r="AB134" s="1" t="inlineStr">
        <is>
          <t>Def</t>
        </is>
      </c>
      <c r="AC134" s="1" t="n">
        <v>156</v>
      </c>
      <c r="AD134" s="1" t="inlineStr">
        <is>
          <t>Penetration</t>
        </is>
      </c>
      <c r="AE134" s="1" t="n">
        <v>156</v>
      </c>
      <c r="AF134" s="1" t="inlineStr">
        <is>
          <t>Hit</t>
        </is>
      </c>
      <c r="AG134" s="1" t="n">
        <v>100</v>
      </c>
      <c r="AH134" s="1" t="inlineStr">
        <is>
          <t>Dodge</t>
        </is>
      </c>
      <c r="AI134" s="1" t="n">
        <v>80</v>
      </c>
      <c r="AJ134" s="1" t="inlineStr">
        <is>
          <t>CriRatio</t>
        </is>
      </c>
      <c r="AK134" s="1" t="n">
        <v>5000</v>
      </c>
      <c r="AL134" s="1" t="inlineStr">
        <is>
          <t>CriDmgRatio</t>
        </is>
      </c>
      <c r="AM134" s="1" t="n">
        <v>150000</v>
      </c>
      <c r="AN134" s="1" t="n">
        <v>1321171</v>
      </c>
      <c r="AO134" s="1" t="b">
        <v>1</v>
      </c>
      <c r="AP134" s="1" t="n">
        <v>2321171</v>
      </c>
      <c r="AQ134" s="1" t="b">
        <v>1</v>
      </c>
      <c r="AR134" s="1" t="n">
        <v>3321171</v>
      </c>
      <c r="AS134" s="1" t="b">
        <v>1</v>
      </c>
      <c r="AT134" s="1" t="n">
        <v>4321171</v>
      </c>
      <c r="AU134" s="1" t="b">
        <v>1</v>
      </c>
    </row>
    <row r="135">
      <c r="A135" s="1" t="n">
        <v>14120102</v>
      </c>
      <c r="B135" s="1" t="inlineStr">
        <is>
          <t>카인</t>
        </is>
      </c>
      <c r="C135" s="1" t="n">
        <v>141211</v>
      </c>
      <c r="D135" s="1" t="n">
        <v>0</v>
      </c>
      <c r="E135" s="68" t="inlineStr">
        <is>
          <t>character_name_14120102</t>
        </is>
      </c>
      <c r="G135" s="68" t="inlineStr">
        <is>
          <t>Normal</t>
        </is>
      </c>
      <c r="H135" s="68" t="inlineStr">
        <is>
          <t>Normal</t>
        </is>
      </c>
      <c r="I135" s="68" t="n">
        <v>2</v>
      </c>
      <c r="J135" s="68" t="inlineStr">
        <is>
          <t>0.95,0.95,0.95</t>
        </is>
      </c>
      <c r="K135" s="68" t="b">
        <v>1</v>
      </c>
      <c r="L135" s="24" t="inlineStr">
        <is>
          <t>0,0,0</t>
        </is>
      </c>
      <c r="M135" s="1" t="n">
        <v>3</v>
      </c>
      <c r="N135" s="33" t="inlineStr">
        <is>
          <t>Fire</t>
        </is>
      </c>
      <c r="O135" s="1" t="inlineStr">
        <is>
          <t>Attacker</t>
        </is>
      </c>
      <c r="P135" s="1" t="n">
        <v>200</v>
      </c>
      <c r="Q135" s="1">
        <f t="array" ref="Q135">_xlfn.IFS($O135="Attacker",6,$O135="Healer",3,$O135="Magician",4,$O135="Defender",3,$O135="Supporter",4)</f>
        <v/>
      </c>
      <c r="R135" s="1">
        <f t="array" ref="R135">_xlfn.IFS($O135="Attacker",6,$O135="Healer",3,$O135="Magician",4,$O135="Defender",3,$O135="Supporter",4)</f>
        <v/>
      </c>
      <c r="S135" s="1" t="n">
        <v>1</v>
      </c>
      <c r="T135" s="1" t="n">
        <v>0</v>
      </c>
      <c r="U135" s="1" t="n">
        <v>0</v>
      </c>
      <c r="V135" s="1" t="inlineStr">
        <is>
          <t>Spd</t>
        </is>
      </c>
      <c r="W135" s="1">
        <f t="array" ref="W135">_xlfn.IFS(O135="Attacker",80,O135="Healer",90,O135="Magician",100,O135="Defender",110,O135="Supporter",120)</f>
        <v/>
      </c>
      <c r="X135" s="1" t="inlineStr">
        <is>
          <t>Hp</t>
        </is>
      </c>
      <c r="Y135" s="1" t="n">
        <v>1700</v>
      </c>
      <c r="Z135" s="1" t="inlineStr">
        <is>
          <t>Atk</t>
        </is>
      </c>
      <c r="AA135" s="1" t="n">
        <v>163</v>
      </c>
      <c r="AB135" s="1" t="inlineStr">
        <is>
          <t>Def</t>
        </is>
      </c>
      <c r="AC135" s="1" t="n">
        <v>130</v>
      </c>
      <c r="AD135" s="1" t="inlineStr">
        <is>
          <t>Penetration</t>
        </is>
      </c>
      <c r="AE135" s="1" t="n">
        <v>130</v>
      </c>
      <c r="AF135" s="1" t="inlineStr">
        <is>
          <t>Hit</t>
        </is>
      </c>
      <c r="AG135" s="1" t="n">
        <v>100</v>
      </c>
      <c r="AH135" s="1" t="inlineStr">
        <is>
          <t>Dodge</t>
        </is>
      </c>
      <c r="AI135" s="1" t="n">
        <v>80</v>
      </c>
      <c r="AJ135" s="1" t="inlineStr">
        <is>
          <t>CriRatio</t>
        </is>
      </c>
      <c r="AK135" s="1" t="n">
        <v>5000</v>
      </c>
      <c r="AL135" s="1" t="inlineStr">
        <is>
          <t>CriDmgRatio</t>
        </is>
      </c>
      <c r="AM135" s="1" t="n">
        <v>150000</v>
      </c>
      <c r="AN135" s="1" t="n">
        <v>1311181</v>
      </c>
      <c r="AO135" s="1" t="b">
        <v>1</v>
      </c>
      <c r="AP135" s="1" t="n">
        <v>2311181</v>
      </c>
      <c r="AQ135" s="1" t="b">
        <v>1</v>
      </c>
      <c r="AR135" s="1" t="n">
        <v>3311181</v>
      </c>
      <c r="AS135" s="1" t="b">
        <v>1</v>
      </c>
      <c r="AT135" s="1" t="n">
        <v>4311181</v>
      </c>
      <c r="AU135" s="1" t="b">
        <v>1</v>
      </c>
    </row>
    <row r="136">
      <c r="A136" s="1" t="n">
        <v>11560102</v>
      </c>
      <c r="B136" s="1" t="inlineStr">
        <is>
          <t>에르제베트</t>
        </is>
      </c>
      <c r="C136" s="1" t="n">
        <v>115611</v>
      </c>
      <c r="D136" s="1" t="n">
        <v>0</v>
      </c>
      <c r="E136" s="68" t="inlineStr">
        <is>
          <t>character_name_11560102</t>
        </is>
      </c>
      <c r="G136" s="68" t="inlineStr">
        <is>
          <t>Normal</t>
        </is>
      </c>
      <c r="H136" s="68" t="inlineStr">
        <is>
          <t>Normal</t>
        </is>
      </c>
      <c r="I136" s="68" t="n">
        <v>2</v>
      </c>
      <c r="J136" s="68" t="inlineStr">
        <is>
          <t>0.95,0.95,0.95</t>
        </is>
      </c>
      <c r="K136" s="68" t="b">
        <v>1</v>
      </c>
      <c r="L136" s="24" t="inlineStr">
        <is>
          <t>0,0,0</t>
        </is>
      </c>
      <c r="M136" s="1" t="n">
        <v>3</v>
      </c>
      <c r="N136" s="34" t="inlineStr">
        <is>
          <t>Dark</t>
        </is>
      </c>
      <c r="O136" s="1" t="inlineStr">
        <is>
          <t>Attacker</t>
        </is>
      </c>
      <c r="P136" s="1" t="n">
        <v>200</v>
      </c>
      <c r="Q136" s="1">
        <f t="array" ref="Q136">_xlfn.IFS($O136="Attacker",6,$O136="Healer",3,$O136="Magician",4,$O136="Defender",3,$O136="Supporter",4)</f>
        <v/>
      </c>
      <c r="R136" s="1">
        <f t="array" ref="R136">_xlfn.IFS($O136="Attacker",6,$O136="Healer",3,$O136="Magician",4,$O136="Defender",3,$O136="Supporter",4)</f>
        <v/>
      </c>
      <c r="S136" s="1" t="n">
        <v>1</v>
      </c>
      <c r="T136" s="1" t="n">
        <v>0</v>
      </c>
      <c r="U136" s="1" t="n">
        <v>0</v>
      </c>
      <c r="V136" s="1" t="inlineStr">
        <is>
          <t>Spd</t>
        </is>
      </c>
      <c r="W136" s="1">
        <f t="array" ref="W136">_xlfn.IFS(O136="Attacker",80,O136="Healer",90,O136="Magician",100,O136="Defender",110,O136="Supporter",120)</f>
        <v/>
      </c>
      <c r="X136" s="1" t="inlineStr">
        <is>
          <t>Hp</t>
        </is>
      </c>
      <c r="Y136" s="1" t="n">
        <v>3570</v>
      </c>
      <c r="Z136" s="1" t="inlineStr">
        <is>
          <t>Atk</t>
        </is>
      </c>
      <c r="AA136" s="1" t="n">
        <v>359</v>
      </c>
      <c r="AB136" s="1" t="inlineStr">
        <is>
          <t>Def</t>
        </is>
      </c>
      <c r="AC136" s="1" t="n">
        <v>187</v>
      </c>
      <c r="AD136" s="1" t="inlineStr">
        <is>
          <t>Penetration</t>
        </is>
      </c>
      <c r="AE136" s="1" t="n">
        <v>187</v>
      </c>
      <c r="AF136" s="1" t="inlineStr">
        <is>
          <t>Hit</t>
        </is>
      </c>
      <c r="AG136" s="1" t="n">
        <v>100</v>
      </c>
      <c r="AH136" s="1" t="inlineStr">
        <is>
          <t>Dodge</t>
        </is>
      </c>
      <c r="AI136" s="1" t="n">
        <v>80</v>
      </c>
      <c r="AJ136" s="1" t="inlineStr">
        <is>
          <t>CriRatio</t>
        </is>
      </c>
      <c r="AK136" s="1" t="n">
        <v>5000</v>
      </c>
      <c r="AL136" s="1" t="inlineStr">
        <is>
          <t>CriDmgRatio</t>
        </is>
      </c>
      <c r="AM136" s="1" t="n">
        <v>150000</v>
      </c>
      <c r="AN136" s="1" t="n">
        <v>1351191</v>
      </c>
      <c r="AO136" s="1" t="b">
        <v>1</v>
      </c>
      <c r="AP136" s="1" t="n">
        <v>2351191</v>
      </c>
      <c r="AQ136" s="1" t="b">
        <v>1</v>
      </c>
      <c r="AR136" s="1" t="n">
        <v>3351191</v>
      </c>
      <c r="AS136" s="1" t="b">
        <v>1</v>
      </c>
      <c r="AT136" s="1" t="n">
        <v>4351191</v>
      </c>
      <c r="AU136" s="1" t="b">
        <v>1</v>
      </c>
    </row>
    <row r="137">
      <c r="A137" s="1" t="n">
        <v>13180102</v>
      </c>
      <c r="B137" s="1" t="inlineStr">
        <is>
          <t>바리</t>
        </is>
      </c>
      <c r="C137" s="1" t="n">
        <v>131811</v>
      </c>
      <c r="D137" s="1" t="n">
        <v>0</v>
      </c>
      <c r="E137" s="68" t="inlineStr">
        <is>
          <t>character_name_13180102</t>
        </is>
      </c>
      <c r="G137" s="68" t="inlineStr">
        <is>
          <t>Normal</t>
        </is>
      </c>
      <c r="H137" s="68" t="inlineStr">
        <is>
          <t>Normal</t>
        </is>
      </c>
      <c r="I137" s="68" t="n">
        <v>2</v>
      </c>
      <c r="J137" s="68" t="inlineStr">
        <is>
          <t>0.95,0.95,0.95</t>
        </is>
      </c>
      <c r="K137" s="68" t="b">
        <v>1</v>
      </c>
      <c r="L137" s="24" t="inlineStr">
        <is>
          <t>0,0,0</t>
        </is>
      </c>
      <c r="M137" s="1" t="n">
        <v>3</v>
      </c>
      <c r="N137" s="36" t="inlineStr">
        <is>
          <t>Water</t>
        </is>
      </c>
      <c r="O137" s="1" t="inlineStr">
        <is>
          <t>Attacker</t>
        </is>
      </c>
      <c r="P137" s="1" t="n">
        <v>200</v>
      </c>
      <c r="Q137" s="1">
        <f t="array" ref="Q137">_xlfn.IFS($O137="Attacker",6,$O137="Healer",3,$O137="Magician",4,$O137="Defender",3,$O137="Supporter",4)</f>
        <v/>
      </c>
      <c r="R137" s="1">
        <f t="array" ref="R137">_xlfn.IFS($O137="Attacker",6,$O137="Healer",3,$O137="Magician",4,$O137="Defender",3,$O137="Supporter",4)</f>
        <v/>
      </c>
      <c r="S137" s="1" t="n">
        <v>1</v>
      </c>
      <c r="T137" s="1" t="n">
        <v>0</v>
      </c>
      <c r="U137" s="1" t="n">
        <v>0</v>
      </c>
      <c r="V137" s="1" t="inlineStr">
        <is>
          <t>Spd</t>
        </is>
      </c>
      <c r="W137" s="1">
        <f t="array" ref="W137">_xlfn.IFS(O137="Attacker",80,O137="Healer",90,O137="Magician",100,O137="Defender",110,O137="Supporter",120)</f>
        <v/>
      </c>
      <c r="X137" s="1" t="inlineStr">
        <is>
          <t>Hp</t>
        </is>
      </c>
      <c r="Y137" s="1" t="n">
        <v>2856</v>
      </c>
      <c r="Z137" s="1" t="inlineStr">
        <is>
          <t>Atk</t>
        </is>
      </c>
      <c r="AA137" s="1" t="n">
        <v>287</v>
      </c>
      <c r="AB137" s="1" t="inlineStr">
        <is>
          <t>Def</t>
        </is>
      </c>
      <c r="AC137" s="1" t="n">
        <v>187</v>
      </c>
      <c r="AD137" s="1" t="inlineStr">
        <is>
          <t>Penetration</t>
        </is>
      </c>
      <c r="AE137" s="1" t="n">
        <v>187</v>
      </c>
      <c r="AF137" s="1" t="inlineStr">
        <is>
          <t>Hit</t>
        </is>
      </c>
      <c r="AG137" s="1" t="n">
        <v>100</v>
      </c>
      <c r="AH137" s="1" t="inlineStr">
        <is>
          <t>Dodge</t>
        </is>
      </c>
      <c r="AI137" s="1" t="n">
        <v>80</v>
      </c>
      <c r="AJ137" s="1" t="inlineStr">
        <is>
          <t>CriRatio</t>
        </is>
      </c>
      <c r="AK137" s="1" t="n">
        <v>5000</v>
      </c>
      <c r="AL137" s="1" t="inlineStr">
        <is>
          <t>CriDmgRatio</t>
        </is>
      </c>
      <c r="AM137" s="1" t="n">
        <v>150000</v>
      </c>
      <c r="AN137" s="1" t="n">
        <v>1321201</v>
      </c>
      <c r="AO137" s="1" t="b">
        <v>1</v>
      </c>
      <c r="AP137" s="1" t="n">
        <v>2321201</v>
      </c>
      <c r="AQ137" s="1" t="b">
        <v>1</v>
      </c>
      <c r="AR137" s="1" t="n">
        <v>3321201</v>
      </c>
      <c r="AS137" s="1" t="b">
        <v>1</v>
      </c>
      <c r="AT137" s="1" t="n">
        <v>4321201</v>
      </c>
      <c r="AU137" s="1" t="b">
        <v>1</v>
      </c>
    </row>
    <row r="138">
      <c r="A138" s="1" t="n">
        <v>15250102</v>
      </c>
      <c r="B138" s="1" t="inlineStr">
        <is>
          <t>그릴라</t>
        </is>
      </c>
      <c r="C138" s="1" t="n">
        <v>152511</v>
      </c>
      <c r="D138" s="1" t="n">
        <v>0</v>
      </c>
      <c r="E138" s="68" t="inlineStr">
        <is>
          <t>character_name_15250102</t>
        </is>
      </c>
      <c r="G138" s="68" t="inlineStr">
        <is>
          <t>Normal</t>
        </is>
      </c>
      <c r="H138" s="68" t="inlineStr">
        <is>
          <t>Normal</t>
        </is>
      </c>
      <c r="I138" s="68" t="n">
        <v>2</v>
      </c>
      <c r="J138" s="68" t="inlineStr">
        <is>
          <t>0.95,0.95,0.95</t>
        </is>
      </c>
      <c r="K138" s="68" t="b">
        <v>1</v>
      </c>
      <c r="L138" s="24" t="inlineStr">
        <is>
          <t>0,0,0</t>
        </is>
      </c>
      <c r="M138" s="1" t="n">
        <v>3</v>
      </c>
      <c r="N138" s="35" t="inlineStr">
        <is>
          <t>Forest</t>
        </is>
      </c>
      <c r="O138" s="1" t="inlineStr">
        <is>
          <t>Supporter</t>
        </is>
      </c>
      <c r="P138" s="1" t="n">
        <v>200</v>
      </c>
      <c r="Q138" s="1">
        <f t="array" ref="Q138">_xlfn.IFS($O138="Attacker",6,$O138="Healer",3,$O138="Magician",4,$O138="Defender",3,$O138="Supporter",4)</f>
        <v/>
      </c>
      <c r="R138" s="1">
        <f t="array" ref="R138">_xlfn.IFS($O138="Attacker",6,$O138="Healer",3,$O138="Magician",4,$O138="Defender",3,$O138="Supporter",4)</f>
        <v/>
      </c>
      <c r="S138" s="1" t="n">
        <v>1</v>
      </c>
      <c r="T138" s="1" t="n">
        <v>0</v>
      </c>
      <c r="U138" s="1" t="n">
        <v>0</v>
      </c>
      <c r="V138" s="1" t="inlineStr">
        <is>
          <t>Spd</t>
        </is>
      </c>
      <c r="W138" s="1">
        <f t="array" ref="W138">_xlfn.IFS(O138="Attacker",80,O138="Healer",90,O138="Magician",100,O138="Defender",110,O138="Supporter",120)</f>
        <v/>
      </c>
      <c r="X138" s="1" t="inlineStr">
        <is>
          <t>Hp</t>
        </is>
      </c>
      <c r="Y138" s="1" t="n">
        <v>1904</v>
      </c>
      <c r="Z138" s="1" t="inlineStr">
        <is>
          <t>Atk</t>
        </is>
      </c>
      <c r="AA138" s="1" t="n">
        <v>221</v>
      </c>
      <c r="AB138" s="1" t="inlineStr">
        <is>
          <t>Def</t>
        </is>
      </c>
      <c r="AC138" s="1" t="n">
        <v>156</v>
      </c>
      <c r="AD138" s="1" t="inlineStr">
        <is>
          <t>Penetration</t>
        </is>
      </c>
      <c r="AE138" s="1" t="n">
        <v>156</v>
      </c>
      <c r="AF138" s="1" t="inlineStr">
        <is>
          <t>Hit</t>
        </is>
      </c>
      <c r="AG138" s="1" t="n">
        <v>100</v>
      </c>
      <c r="AH138" s="1" t="inlineStr">
        <is>
          <t>Dodge</t>
        </is>
      </c>
      <c r="AI138" s="1" t="n">
        <v>80</v>
      </c>
      <c r="AJ138" s="1" t="inlineStr">
        <is>
          <t>CriRatio</t>
        </is>
      </c>
      <c r="AK138" s="1" t="n">
        <v>5000</v>
      </c>
      <c r="AL138" s="1" t="inlineStr">
        <is>
          <t>CriDmgRatio</t>
        </is>
      </c>
      <c r="AM138" s="1" t="n">
        <v>150000</v>
      </c>
      <c r="AN138" s="1" t="n">
        <v>1334211</v>
      </c>
      <c r="AO138" s="1" t="b">
        <v>1</v>
      </c>
      <c r="AP138" s="1" t="n">
        <v>2334211</v>
      </c>
      <c r="AQ138" s="1" t="b">
        <v>1</v>
      </c>
      <c r="AR138" s="1" t="n">
        <v>3334211</v>
      </c>
      <c r="AS138" s="1" t="b">
        <v>1</v>
      </c>
      <c r="AT138" s="1" t="n">
        <v>4334211</v>
      </c>
      <c r="AU138" s="1" t="b">
        <v>1</v>
      </c>
    </row>
    <row r="139">
      <c r="A139" s="1" t="n">
        <v>14420102</v>
      </c>
      <c r="B139" s="1" t="inlineStr">
        <is>
          <t>니르티</t>
        </is>
      </c>
      <c r="C139" s="1" t="n">
        <v>144211</v>
      </c>
      <c r="D139" s="1" t="n">
        <v>0</v>
      </c>
      <c r="E139" s="68" t="inlineStr">
        <is>
          <t>character_name_14420102</t>
        </is>
      </c>
      <c r="G139" s="68" t="inlineStr">
        <is>
          <t>Normal</t>
        </is>
      </c>
      <c r="H139" s="68" t="inlineStr">
        <is>
          <t>Normal</t>
        </is>
      </c>
      <c r="I139" s="68" t="n">
        <v>2</v>
      </c>
      <c r="J139" s="68" t="inlineStr">
        <is>
          <t>0.95,0.95,0.95</t>
        </is>
      </c>
      <c r="K139" s="68" t="b">
        <v>1</v>
      </c>
      <c r="L139" s="24" t="inlineStr">
        <is>
          <t>0,0,0</t>
        </is>
      </c>
      <c r="M139" s="1" t="n">
        <v>3</v>
      </c>
      <c r="N139" s="36" t="inlineStr">
        <is>
          <t>Water</t>
        </is>
      </c>
      <c r="O139" s="1" t="inlineStr">
        <is>
          <t>Attacker</t>
        </is>
      </c>
      <c r="P139" s="1" t="n">
        <v>200</v>
      </c>
      <c r="Q139" s="1">
        <f t="array" ref="Q139">_xlfn.IFS($O139="Attacker",6,$O139="Healer",3,$O139="Magician",4,$O139="Defender",3,$O139="Supporter",4)</f>
        <v/>
      </c>
      <c r="R139" s="1">
        <f t="array" ref="R139">_xlfn.IFS($O139="Attacker",6,$O139="Healer",3,$O139="Magician",4,$O139="Defender",3,$O139="Supporter",4)</f>
        <v/>
      </c>
      <c r="S139" s="1" t="n">
        <v>1</v>
      </c>
      <c r="T139" s="1" t="n">
        <v>0</v>
      </c>
      <c r="U139" s="1" t="n">
        <v>0</v>
      </c>
      <c r="V139" s="1" t="inlineStr">
        <is>
          <t>Spd</t>
        </is>
      </c>
      <c r="W139" s="1">
        <f t="array" ref="W139">_xlfn.IFS(O139="Attacker",80,O139="Healer",90,O139="Magician",100,O139="Defender",110,O139="Supporter",120)</f>
        <v/>
      </c>
      <c r="X139" s="1" t="inlineStr">
        <is>
          <t>Hp</t>
        </is>
      </c>
      <c r="Y139" s="1" t="n">
        <v>3570</v>
      </c>
      <c r="Z139" s="1" t="inlineStr">
        <is>
          <t>Atk</t>
        </is>
      </c>
      <c r="AA139" s="1" t="n">
        <v>359</v>
      </c>
      <c r="AB139" s="1" t="inlineStr">
        <is>
          <t>Def</t>
        </is>
      </c>
      <c r="AC139" s="1" t="n">
        <v>187</v>
      </c>
      <c r="AD139" s="1" t="inlineStr">
        <is>
          <t>Penetration</t>
        </is>
      </c>
      <c r="AE139" s="1" t="n">
        <v>187</v>
      </c>
      <c r="AF139" s="1" t="inlineStr">
        <is>
          <t>Hit</t>
        </is>
      </c>
      <c r="AG139" s="1" t="n">
        <v>100</v>
      </c>
      <c r="AH139" s="1" t="inlineStr">
        <is>
          <t>Dodge</t>
        </is>
      </c>
      <c r="AI139" s="1" t="n">
        <v>80</v>
      </c>
      <c r="AJ139" s="1" t="inlineStr">
        <is>
          <t>CriRatio</t>
        </is>
      </c>
      <c r="AK139" s="1" t="n">
        <v>5000</v>
      </c>
      <c r="AL139" s="1" t="inlineStr">
        <is>
          <t>CriDmgRatio</t>
        </is>
      </c>
      <c r="AM139" s="1" t="n">
        <v>150000</v>
      </c>
      <c r="AN139" s="1" t="n">
        <v>1321221</v>
      </c>
      <c r="AO139" s="1" t="b">
        <v>1</v>
      </c>
      <c r="AP139" s="1" t="n">
        <v>2321221</v>
      </c>
      <c r="AQ139" s="1" t="b">
        <v>1</v>
      </c>
      <c r="AR139" s="1" t="n">
        <v>3321221</v>
      </c>
      <c r="AS139" s="1" t="b">
        <v>1</v>
      </c>
      <c r="AT139" s="1" t="n">
        <v>4321221</v>
      </c>
      <c r="AU139" s="1" t="b">
        <v>1</v>
      </c>
    </row>
    <row r="140">
      <c r="A140" s="1" t="n">
        <v>11940102</v>
      </c>
      <c r="B140" s="1" t="inlineStr">
        <is>
          <t>아슈토레스</t>
        </is>
      </c>
      <c r="C140" s="1" t="n">
        <v>119411</v>
      </c>
      <c r="D140" s="1" t="n">
        <v>0</v>
      </c>
      <c r="E140" s="68" t="inlineStr">
        <is>
          <t>character_name_11940102</t>
        </is>
      </c>
      <c r="G140" s="68" t="inlineStr">
        <is>
          <t>Normal</t>
        </is>
      </c>
      <c r="H140" s="68" t="inlineStr">
        <is>
          <t>Normal</t>
        </is>
      </c>
      <c r="I140" s="68" t="n">
        <v>2</v>
      </c>
      <c r="J140" s="68" t="inlineStr">
        <is>
          <t>0.95,0.95,0.95</t>
        </is>
      </c>
      <c r="K140" s="68" t="b">
        <v>1</v>
      </c>
      <c r="L140" s="24" t="inlineStr">
        <is>
          <t>0,0,0</t>
        </is>
      </c>
      <c r="M140" s="1" t="n">
        <v>3</v>
      </c>
      <c r="N140" s="37" t="inlineStr">
        <is>
          <t>Light</t>
        </is>
      </c>
      <c r="O140" s="1" t="inlineStr">
        <is>
          <t>Attacker</t>
        </is>
      </c>
      <c r="P140" s="1" t="n">
        <v>200</v>
      </c>
      <c r="Q140" s="1">
        <f t="array" ref="Q140">_xlfn.IFS($O140="Attacker",6,$O140="Healer",3,$O140="Magician",4,$O140="Defender",3,$O140="Supporter",4)</f>
        <v/>
      </c>
      <c r="R140" s="1">
        <f t="array" ref="R140">_xlfn.IFS($O140="Attacker",6,$O140="Healer",3,$O140="Magician",4,$O140="Defender",3,$O140="Supporter",4)</f>
        <v/>
      </c>
      <c r="S140" s="1" t="n">
        <v>1</v>
      </c>
      <c r="T140" s="1" t="n">
        <v>0</v>
      </c>
      <c r="U140" s="1" t="n">
        <v>0</v>
      </c>
      <c r="V140" s="1" t="inlineStr">
        <is>
          <t>Spd</t>
        </is>
      </c>
      <c r="W140" s="1">
        <f t="array" ref="W140">_xlfn.IFS(O140="Attacker",80,O140="Healer",90,O140="Magician",100,O140="Defender",110,O140="Supporter",120)</f>
        <v/>
      </c>
      <c r="X140" s="1" t="inlineStr">
        <is>
          <t>Hp</t>
        </is>
      </c>
      <c r="Y140" s="1" t="n">
        <v>1700</v>
      </c>
      <c r="Z140" s="1" t="inlineStr">
        <is>
          <t>Atk</t>
        </is>
      </c>
      <c r="AA140" s="1" t="n">
        <v>163</v>
      </c>
      <c r="AB140" s="1" t="inlineStr">
        <is>
          <t>Def</t>
        </is>
      </c>
      <c r="AC140" s="1" t="n">
        <v>130</v>
      </c>
      <c r="AD140" s="1" t="inlineStr">
        <is>
          <t>Penetration</t>
        </is>
      </c>
      <c r="AE140" s="1" t="n">
        <v>130</v>
      </c>
      <c r="AF140" s="1" t="inlineStr">
        <is>
          <t>Hit</t>
        </is>
      </c>
      <c r="AG140" s="1" t="n">
        <v>100</v>
      </c>
      <c r="AH140" s="1" t="inlineStr">
        <is>
          <t>Dodge</t>
        </is>
      </c>
      <c r="AI140" s="1" t="n">
        <v>80</v>
      </c>
      <c r="AJ140" s="1" t="inlineStr">
        <is>
          <t>CriRatio</t>
        </is>
      </c>
      <c r="AK140" s="1" t="n">
        <v>5000</v>
      </c>
      <c r="AL140" s="1" t="inlineStr">
        <is>
          <t>CriDmgRatio</t>
        </is>
      </c>
      <c r="AM140" s="1" t="n">
        <v>150000</v>
      </c>
      <c r="AN140" s="1" t="n">
        <v>1341231</v>
      </c>
      <c r="AO140" s="1" t="b">
        <v>1</v>
      </c>
      <c r="AP140" s="1" t="n">
        <v>2341231</v>
      </c>
      <c r="AQ140" s="1" t="b">
        <v>1</v>
      </c>
      <c r="AR140" s="1" t="n">
        <v>3341231</v>
      </c>
      <c r="AS140" s="1" t="b">
        <v>1</v>
      </c>
      <c r="AT140" s="1" t="n">
        <v>4341231</v>
      </c>
      <c r="AU140" s="1" t="b">
        <v>1</v>
      </c>
    </row>
    <row r="141">
      <c r="A141" s="1" t="n">
        <v>11240102</v>
      </c>
      <c r="B141" s="1" t="inlineStr">
        <is>
          <t>이브</t>
        </is>
      </c>
      <c r="C141" s="1" t="n">
        <v>112411</v>
      </c>
      <c r="D141" s="1" t="n">
        <v>0</v>
      </c>
      <c r="E141" s="68" t="inlineStr">
        <is>
          <t>character_name_11240102</t>
        </is>
      </c>
      <c r="G141" s="68" t="inlineStr">
        <is>
          <t>Normal</t>
        </is>
      </c>
      <c r="H141" s="68" t="inlineStr">
        <is>
          <t>Normal</t>
        </is>
      </c>
      <c r="I141" s="68" t="n">
        <v>2</v>
      </c>
      <c r="J141" s="68" t="inlineStr">
        <is>
          <t>0.95,0.95,0.95</t>
        </is>
      </c>
      <c r="K141" s="68" t="b">
        <v>1</v>
      </c>
      <c r="L141" s="24" t="inlineStr">
        <is>
          <t>0,0,0</t>
        </is>
      </c>
      <c r="M141" s="1" t="n">
        <v>3</v>
      </c>
      <c r="N141" s="36" t="inlineStr">
        <is>
          <t>Water</t>
        </is>
      </c>
      <c r="O141" s="1" t="inlineStr">
        <is>
          <t>Attacker</t>
        </is>
      </c>
      <c r="P141" s="1" t="n">
        <v>200</v>
      </c>
      <c r="Q141" s="1">
        <f t="array" ref="Q141">_xlfn.IFS($O141="Attacker",6,$O141="Healer",3,$O141="Magician",4,$O141="Defender",3,$O141="Supporter",4)</f>
        <v/>
      </c>
      <c r="R141" s="1">
        <f t="array" ref="R141">_xlfn.IFS($O141="Attacker",6,$O141="Healer",3,$O141="Magician",4,$O141="Defender",3,$O141="Supporter",4)</f>
        <v/>
      </c>
      <c r="S141" s="1" t="n">
        <v>1</v>
      </c>
      <c r="T141" s="1" t="n">
        <v>0</v>
      </c>
      <c r="U141" s="1" t="n">
        <v>0</v>
      </c>
      <c r="V141" s="1" t="inlineStr">
        <is>
          <t>Spd</t>
        </is>
      </c>
      <c r="W141" s="1">
        <f t="array" ref="W141">_xlfn.IFS(O141="Attacker",80,O141="Healer",90,O141="Magician",100,O141="Defender",110,O141="Supporter",120)</f>
        <v/>
      </c>
      <c r="X141" s="1" t="inlineStr">
        <is>
          <t>Hp</t>
        </is>
      </c>
      <c r="Y141" s="1" t="n">
        <v>2142</v>
      </c>
      <c r="Z141" s="1" t="inlineStr">
        <is>
          <t>Atk</t>
        </is>
      </c>
      <c r="AA141" s="1" t="n">
        <v>221</v>
      </c>
      <c r="AB141" s="1" t="inlineStr">
        <is>
          <t>Def</t>
        </is>
      </c>
      <c r="AC141" s="1" t="n">
        <v>156</v>
      </c>
      <c r="AD141" s="1" t="inlineStr">
        <is>
          <t>Penetration</t>
        </is>
      </c>
      <c r="AE141" s="1" t="n">
        <v>156</v>
      </c>
      <c r="AF141" s="1" t="inlineStr">
        <is>
          <t>Hit</t>
        </is>
      </c>
      <c r="AG141" s="1" t="n">
        <v>100</v>
      </c>
      <c r="AH141" s="1" t="inlineStr">
        <is>
          <t>Dodge</t>
        </is>
      </c>
      <c r="AI141" s="1" t="n">
        <v>80</v>
      </c>
      <c r="AJ141" s="1" t="inlineStr">
        <is>
          <t>CriRatio</t>
        </is>
      </c>
      <c r="AK141" s="1" t="n">
        <v>5000</v>
      </c>
      <c r="AL141" s="1" t="inlineStr">
        <is>
          <t>CriDmgRatio</t>
        </is>
      </c>
      <c r="AM141" s="1" t="n">
        <v>150000</v>
      </c>
      <c r="AN141" s="1" t="n">
        <v>1321241</v>
      </c>
      <c r="AO141" s="1" t="b">
        <v>1</v>
      </c>
      <c r="AP141" s="1" t="n">
        <v>2321241</v>
      </c>
      <c r="AQ141" s="1" t="b">
        <v>1</v>
      </c>
      <c r="AR141" s="1" t="n">
        <v>3321241</v>
      </c>
      <c r="AS141" s="1" t="b">
        <v>1</v>
      </c>
      <c r="AT141" s="1" t="n">
        <v>4321241</v>
      </c>
      <c r="AU141" s="1" t="b">
        <v>1</v>
      </c>
    </row>
    <row r="142">
      <c r="A142" s="1" t="n">
        <v>13360102</v>
      </c>
      <c r="B142" s="1" t="inlineStr">
        <is>
          <t>판</t>
        </is>
      </c>
      <c r="C142" s="1" t="n">
        <v>133611</v>
      </c>
      <c r="D142" s="1" t="n">
        <v>0</v>
      </c>
      <c r="E142" s="68">
        <f>"character_name_"&amp;A142</f>
        <v/>
      </c>
      <c r="G142" s="68" t="inlineStr">
        <is>
          <t>Normal</t>
        </is>
      </c>
      <c r="H142" s="68" t="inlineStr">
        <is>
          <t>Normal</t>
        </is>
      </c>
      <c r="I142" s="68" t="n">
        <v>2</v>
      </c>
      <c r="J142" s="68" t="inlineStr">
        <is>
          <t>0.95,0.95,0.95</t>
        </is>
      </c>
      <c r="K142" s="68" t="b">
        <v>1</v>
      </c>
      <c r="L142" s="24" t="inlineStr">
        <is>
          <t>0,0,0</t>
        </is>
      </c>
      <c r="M142" s="1" t="n">
        <v>3</v>
      </c>
      <c r="N142" s="35" t="inlineStr">
        <is>
          <t>Forest</t>
        </is>
      </c>
      <c r="O142" s="1" t="inlineStr">
        <is>
          <t>Supporter</t>
        </is>
      </c>
      <c r="P142" s="1">
        <f>100+M142</f>
        <v/>
      </c>
      <c r="Q142" s="1">
        <f t="array" ref="Q142">_xlfn.IFS($O142="Attacker",6,$O142="Healer",3,$O142="Magician",4,$O142="Defender",3,$O142="Supporter",4)</f>
        <v/>
      </c>
      <c r="R142" s="1">
        <f t="array" ref="R142">_xlfn.IFS($O142="Attacker",6,$O142="Healer",3,$O142="Magician",4,$O142="Defender",3,$O142="Supporter",4)</f>
        <v/>
      </c>
      <c r="S142" s="1" t="n">
        <v>1</v>
      </c>
      <c r="T142" s="1" t="n">
        <v>0</v>
      </c>
      <c r="U142" s="1" t="n">
        <v>0</v>
      </c>
      <c r="V142" s="1" t="inlineStr">
        <is>
          <t>Spd</t>
        </is>
      </c>
      <c r="W142" s="1">
        <f t="array" ref="W142">_xlfn.IFS(O142="Attacker",80,O142="Healer",90,O142="Magician",100,O142="Defender",110,O142="Supporter",120)</f>
        <v/>
      </c>
      <c r="X142" s="1" t="inlineStr">
        <is>
          <t>Hp</t>
        </is>
      </c>
      <c r="Y142" s="1">
        <f>ROUND($Y$16*0.9, 0)</f>
        <v/>
      </c>
      <c r="Z142" s="1" t="inlineStr">
        <is>
          <t>Atk</t>
        </is>
      </c>
      <c r="AA142" s="1" t="n">
        <v>221</v>
      </c>
      <c r="AB142" s="1" t="inlineStr">
        <is>
          <t>Def</t>
        </is>
      </c>
      <c r="AC142" s="1" t="n">
        <v>156</v>
      </c>
      <c r="AD142" s="1" t="inlineStr">
        <is>
          <t>Penetration</t>
        </is>
      </c>
      <c r="AE142" s="1">
        <f>AC142</f>
        <v/>
      </c>
      <c r="AF142" s="1" t="inlineStr">
        <is>
          <t>Hit</t>
        </is>
      </c>
      <c r="AG142" s="1" t="n">
        <v>100</v>
      </c>
      <c r="AH142" s="1" t="inlineStr">
        <is>
          <t>Dodge</t>
        </is>
      </c>
      <c r="AI142" s="1" t="n">
        <v>100</v>
      </c>
      <c r="AJ142" s="1" t="inlineStr">
        <is>
          <t>CriRatio</t>
        </is>
      </c>
      <c r="AK142" s="1" t="n">
        <v>5000</v>
      </c>
      <c r="AL142" s="1" t="inlineStr">
        <is>
          <t>CriDmgRatio</t>
        </is>
      </c>
      <c r="AM142" s="1" t="n">
        <v>150000</v>
      </c>
      <c r="AN142" s="1" t="n">
        <v>1535261</v>
      </c>
      <c r="AO142" s="1" t="b">
        <v>1</v>
      </c>
      <c r="AP142" s="1" t="n">
        <v>2535261</v>
      </c>
      <c r="AQ142" s="1" t="b">
        <v>1</v>
      </c>
      <c r="AR142" s="1" t="n">
        <v>3535261</v>
      </c>
      <c r="AS142" s="1" t="b">
        <v>1</v>
      </c>
      <c r="AT142" s="1" t="n">
        <v>4535261</v>
      </c>
      <c r="AU142" s="1" t="b">
        <v>1</v>
      </c>
    </row>
    <row r="143">
      <c r="A143" s="1" t="n">
        <v>14450102</v>
      </c>
      <c r="B143" s="1" t="inlineStr">
        <is>
          <t>카라라트리</t>
        </is>
      </c>
      <c r="C143" s="1" t="n">
        <v>144511</v>
      </c>
      <c r="D143" s="1" t="n">
        <v>0</v>
      </c>
      <c r="E143" s="68">
        <f>"character_name_"&amp;A143</f>
        <v/>
      </c>
      <c r="G143" s="68" t="inlineStr">
        <is>
          <t>Normal</t>
        </is>
      </c>
      <c r="H143" s="68" t="inlineStr">
        <is>
          <t>Normal</t>
        </is>
      </c>
      <c r="I143" s="68" t="n">
        <v>2</v>
      </c>
      <c r="J143" s="68" t="inlineStr">
        <is>
          <t>0.95,0.95,0.95</t>
        </is>
      </c>
      <c r="K143" s="68" t="b">
        <v>1</v>
      </c>
      <c r="L143" s="24" t="inlineStr">
        <is>
          <t>0,0,0</t>
        </is>
      </c>
      <c r="M143" s="1" t="n">
        <v>3</v>
      </c>
      <c r="N143" s="33" t="inlineStr">
        <is>
          <t>Fire</t>
        </is>
      </c>
      <c r="O143" s="1" t="inlineStr">
        <is>
          <t>Attacker</t>
        </is>
      </c>
      <c r="P143" s="1">
        <f>100+M143</f>
        <v/>
      </c>
      <c r="Q143" s="1">
        <f t="array" ref="Q143">_xlfn.IFS($O143="Attacker",6,$O143="Healer",3,$O143="Magician",4,$O143="Defender",3,$O143="Supporter",4)</f>
        <v/>
      </c>
      <c r="R143" s="1">
        <f t="array" ref="R143">_xlfn.IFS($O143="Attacker",6,$O143="Healer",3,$O143="Magician",4,$O143="Defender",3,$O143="Supporter",4)</f>
        <v/>
      </c>
      <c r="S143" s="1" t="n">
        <v>1</v>
      </c>
      <c r="T143" s="1" t="n">
        <v>0</v>
      </c>
      <c r="U143" s="1" t="n">
        <v>0</v>
      </c>
      <c r="V143" s="1" t="inlineStr">
        <is>
          <t>Spd</t>
        </is>
      </c>
      <c r="W143" s="1">
        <f t="array" ref="W143">_xlfn.IFS(O143="Attacker",80,O143="Healer",90,O143="Magician",100,O143="Defender",110,O143="Supporter",120)</f>
        <v/>
      </c>
      <c r="X143" s="1" t="inlineStr">
        <is>
          <t>Hp</t>
        </is>
      </c>
      <c r="Y143" s="1">
        <f>ROUND($Y$16*0.9, 0)</f>
        <v/>
      </c>
      <c r="Z143" s="1" t="inlineStr">
        <is>
          <t>Atk</t>
        </is>
      </c>
      <c r="AA143" s="1" t="n">
        <v>221</v>
      </c>
      <c r="AB143" s="1" t="inlineStr">
        <is>
          <t>Def</t>
        </is>
      </c>
      <c r="AC143" s="1" t="n">
        <v>156</v>
      </c>
      <c r="AD143" s="1" t="inlineStr">
        <is>
          <t>Penetration</t>
        </is>
      </c>
      <c r="AE143" s="1">
        <f>AC143</f>
        <v/>
      </c>
      <c r="AF143" s="1" t="inlineStr">
        <is>
          <t>Hit</t>
        </is>
      </c>
      <c r="AG143" s="1" t="n">
        <v>100</v>
      </c>
      <c r="AH143" s="1" t="inlineStr">
        <is>
          <t>Dodge</t>
        </is>
      </c>
      <c r="AI143" s="1" t="n">
        <v>100</v>
      </c>
      <c r="AJ143" s="1" t="inlineStr">
        <is>
          <t>CriRatio</t>
        </is>
      </c>
      <c r="AK143" s="1" t="n">
        <v>5000</v>
      </c>
      <c r="AL143" s="1" t="inlineStr">
        <is>
          <t>CriDmgRatio</t>
        </is>
      </c>
      <c r="AM143" s="1" t="n">
        <v>150000</v>
      </c>
      <c r="AN143" s="1" t="n">
        <v>1513271</v>
      </c>
      <c r="AO143" s="1" t="b">
        <v>1</v>
      </c>
      <c r="AP143" s="1" t="n">
        <v>2513271</v>
      </c>
      <c r="AQ143" s="1" t="b">
        <v>1</v>
      </c>
      <c r="AR143" s="1" t="n">
        <v>3513271</v>
      </c>
      <c r="AS143" s="1" t="b">
        <v>1</v>
      </c>
      <c r="AT143" s="1" t="n">
        <v>4513271</v>
      </c>
      <c r="AU143" s="1" t="b">
        <v>1</v>
      </c>
    </row>
    <row r="144">
      <c r="A144" s="1" t="n">
        <v>14610102</v>
      </c>
      <c r="B144" s="1" t="inlineStr">
        <is>
          <t>아우로라</t>
        </is>
      </c>
      <c r="C144" s="1" t="n">
        <v>146111</v>
      </c>
      <c r="D144" s="1" t="n">
        <v>0</v>
      </c>
      <c r="E144" s="68">
        <f>"character_name_"&amp;A144</f>
        <v/>
      </c>
      <c r="G144" s="68" t="inlineStr">
        <is>
          <t>Normal</t>
        </is>
      </c>
      <c r="H144" s="68" t="inlineStr">
        <is>
          <t>Normal</t>
        </is>
      </c>
      <c r="I144" s="68" t="n">
        <v>2</v>
      </c>
      <c r="J144" s="68" t="inlineStr">
        <is>
          <t>0.95,0.95,0.95</t>
        </is>
      </c>
      <c r="K144" s="68" t="b">
        <v>1</v>
      </c>
      <c r="L144" s="24" t="inlineStr">
        <is>
          <t>0,0,0</t>
        </is>
      </c>
      <c r="M144" s="1" t="n">
        <v>3</v>
      </c>
      <c r="N144" s="35" t="inlineStr">
        <is>
          <t>Forest</t>
        </is>
      </c>
      <c r="O144" s="1" t="inlineStr">
        <is>
          <t>Supporter</t>
        </is>
      </c>
      <c r="P144" s="1">
        <f>100+M144</f>
        <v/>
      </c>
      <c r="Q144" s="1">
        <f t="array" ref="Q144">_xlfn.IFS($O144="Attacker",6,$O144="Healer",3,$O144="Magician",4,$O144="Defender",3,$O144="Supporter",4)</f>
        <v/>
      </c>
      <c r="R144" s="1">
        <f t="array" ref="R144">_xlfn.IFS($O144="Attacker",6,$O144="Healer",3,$O144="Magician",4,$O144="Defender",3,$O144="Supporter",4)</f>
        <v/>
      </c>
      <c r="S144" s="1" t="n">
        <v>1</v>
      </c>
      <c r="T144" s="1" t="n">
        <v>0</v>
      </c>
      <c r="U144" s="1" t="n">
        <v>0</v>
      </c>
      <c r="V144" s="1" t="inlineStr">
        <is>
          <t>Spd</t>
        </is>
      </c>
      <c r="W144" s="1">
        <f t="array" ref="W144">_xlfn.IFS(O144="Attacker",80,O144="Healer",90,O144="Magician",100,O144="Defender",110,O144="Supporter",120)</f>
        <v/>
      </c>
      <c r="X144" s="1" t="inlineStr">
        <is>
          <t>Hp</t>
        </is>
      </c>
      <c r="Y144" s="1">
        <f>ROUND($Y$16*0.9, 0)</f>
        <v/>
      </c>
      <c r="Z144" s="1" t="inlineStr">
        <is>
          <t>Atk</t>
        </is>
      </c>
      <c r="AA144" s="1" t="n">
        <v>221</v>
      </c>
      <c r="AB144" s="1" t="inlineStr">
        <is>
          <t>Def</t>
        </is>
      </c>
      <c r="AC144" s="1" t="n">
        <v>156</v>
      </c>
      <c r="AD144" s="1" t="inlineStr">
        <is>
          <t>Penetration</t>
        </is>
      </c>
      <c r="AE144" s="1">
        <f>AC144</f>
        <v/>
      </c>
      <c r="AF144" s="1" t="inlineStr">
        <is>
          <t>Hit</t>
        </is>
      </c>
      <c r="AG144" s="1" t="n">
        <v>100</v>
      </c>
      <c r="AH144" s="1" t="inlineStr">
        <is>
          <t>Dodge</t>
        </is>
      </c>
      <c r="AI144" s="1" t="n">
        <v>100</v>
      </c>
      <c r="AJ144" s="1" t="inlineStr">
        <is>
          <t>CriRatio</t>
        </is>
      </c>
      <c r="AK144" s="1" t="n">
        <v>5000</v>
      </c>
      <c r="AL144" s="1" t="inlineStr">
        <is>
          <t>CriDmgRatio</t>
        </is>
      </c>
      <c r="AM144" s="1" t="n">
        <v>150000</v>
      </c>
      <c r="AN144" s="1" t="n">
        <v>1534281</v>
      </c>
      <c r="AO144" s="1" t="b">
        <v>1</v>
      </c>
      <c r="AP144" s="1" t="n">
        <v>2534281</v>
      </c>
      <c r="AQ144" s="1" t="b">
        <v>1</v>
      </c>
      <c r="AR144" s="1" t="n">
        <v>3534281</v>
      </c>
      <c r="AS144" s="1" t="b">
        <v>1</v>
      </c>
      <c r="AT144" s="1" t="n">
        <v>4534281</v>
      </c>
      <c r="AU144" s="1" t="b">
        <v>1</v>
      </c>
    </row>
    <row r="145">
      <c r="A145" s="1" t="n">
        <v>12830102</v>
      </c>
      <c r="B145" s="1" t="inlineStr">
        <is>
          <t>모건</t>
        </is>
      </c>
      <c r="C145" s="1" t="n">
        <v>128311</v>
      </c>
      <c r="D145" s="1" t="n">
        <v>0</v>
      </c>
      <c r="E145" s="68">
        <f>"character_name_"&amp;A145</f>
        <v/>
      </c>
      <c r="G145" s="68" t="inlineStr">
        <is>
          <t>Normal</t>
        </is>
      </c>
      <c r="H145" s="68" t="inlineStr">
        <is>
          <t>Normal</t>
        </is>
      </c>
      <c r="I145" s="68" t="n">
        <v>2</v>
      </c>
      <c r="J145" s="68" t="inlineStr">
        <is>
          <t>0.95,0.95,0.95</t>
        </is>
      </c>
      <c r="K145" s="68" t="b">
        <v>1</v>
      </c>
      <c r="L145" s="24" t="inlineStr">
        <is>
          <t>0,0,0</t>
        </is>
      </c>
      <c r="M145" s="1" t="n">
        <v>3</v>
      </c>
      <c r="N145" s="35" t="inlineStr">
        <is>
          <t>Forest</t>
        </is>
      </c>
      <c r="O145" s="1" t="inlineStr">
        <is>
          <t>Supporter</t>
        </is>
      </c>
      <c r="P145" s="1">
        <f>100+M145</f>
        <v/>
      </c>
      <c r="Q145" s="1">
        <f t="array" ref="Q145">_xlfn.IFS($O145="Attacker",6,$O145="Healer",3,$O145="Magician",4,$O145="Defender",3,$O145="Supporter",4)</f>
        <v/>
      </c>
      <c r="R145" s="1">
        <f t="array" ref="R145">_xlfn.IFS($O145="Attacker",6,$O145="Healer",3,$O145="Magician",4,$O145="Defender",3,$O145="Supporter",4)</f>
        <v/>
      </c>
      <c r="S145" s="1" t="n">
        <v>1</v>
      </c>
      <c r="T145" s="1" t="n">
        <v>0</v>
      </c>
      <c r="U145" s="1" t="n">
        <v>0</v>
      </c>
      <c r="V145" s="1" t="inlineStr">
        <is>
          <t>Spd</t>
        </is>
      </c>
      <c r="W145" s="1">
        <f t="array" ref="W145">_xlfn.IFS(O145="Attacker",80,O145="Healer",90,O145="Magician",100,O145="Defender",110,O145="Supporter",120)</f>
        <v/>
      </c>
      <c r="X145" s="1" t="inlineStr">
        <is>
          <t>Hp</t>
        </is>
      </c>
      <c r="Y145" s="1">
        <f>ROUND($Y$16*0.9, 0)</f>
        <v/>
      </c>
      <c r="Z145" s="1" t="inlineStr">
        <is>
          <t>Atk</t>
        </is>
      </c>
      <c r="AA145" s="1" t="n">
        <v>221</v>
      </c>
      <c r="AB145" s="1" t="inlineStr">
        <is>
          <t>Def</t>
        </is>
      </c>
      <c r="AC145" s="1" t="n">
        <v>156</v>
      </c>
      <c r="AD145" s="1" t="inlineStr">
        <is>
          <t>Penetration</t>
        </is>
      </c>
      <c r="AE145" s="1">
        <f>AC145</f>
        <v/>
      </c>
      <c r="AF145" s="1" t="inlineStr">
        <is>
          <t>Hit</t>
        </is>
      </c>
      <c r="AG145" s="1" t="n">
        <v>100</v>
      </c>
      <c r="AH145" s="1" t="inlineStr">
        <is>
          <t>Dodge</t>
        </is>
      </c>
      <c r="AI145" s="1" t="n">
        <v>100</v>
      </c>
      <c r="AJ145" s="1" t="inlineStr">
        <is>
          <t>CriRatio</t>
        </is>
      </c>
      <c r="AK145" s="1" t="n">
        <v>5000</v>
      </c>
      <c r="AL145" s="1" t="inlineStr">
        <is>
          <t>CriDmgRatio</t>
        </is>
      </c>
      <c r="AM145" s="1" t="n">
        <v>150000</v>
      </c>
      <c r="AN145" s="1" t="n">
        <v>1534281</v>
      </c>
      <c r="AO145" s="1" t="b">
        <v>1</v>
      </c>
      <c r="AP145" s="1" t="n">
        <v>2534281</v>
      </c>
      <c r="AQ145" s="1" t="b">
        <v>1</v>
      </c>
      <c r="AR145" s="1" t="n">
        <v>3534281</v>
      </c>
      <c r="AS145" s="1" t="b">
        <v>1</v>
      </c>
      <c r="AT145" s="1" t="n">
        <v>4534281</v>
      </c>
      <c r="AU145" s="1" t="b">
        <v>1</v>
      </c>
    </row>
    <row r="146">
      <c r="A146" s="1" t="n">
        <v>14000102</v>
      </c>
      <c r="B146" s="1" t="inlineStr">
        <is>
          <t>반시</t>
        </is>
      </c>
      <c r="C146" s="1" t="n">
        <v>140011</v>
      </c>
      <c r="D146" s="1" t="n">
        <v>0</v>
      </c>
      <c r="E146" s="68">
        <f>"character_name_"&amp;A146</f>
        <v/>
      </c>
      <c r="G146" s="68" t="inlineStr">
        <is>
          <t>Normal</t>
        </is>
      </c>
      <c r="H146" s="68" t="inlineStr">
        <is>
          <t>Normal</t>
        </is>
      </c>
      <c r="I146" s="68" t="n">
        <v>2</v>
      </c>
      <c r="J146" s="68" t="inlineStr">
        <is>
          <t>0.95,0.95,0.95</t>
        </is>
      </c>
      <c r="K146" s="68" t="b">
        <v>1</v>
      </c>
      <c r="L146" s="24" t="inlineStr">
        <is>
          <t>0,0,0</t>
        </is>
      </c>
      <c r="M146" s="1" t="n">
        <v>3</v>
      </c>
      <c r="N146" s="35" t="inlineStr">
        <is>
          <t>Forest</t>
        </is>
      </c>
      <c r="O146" s="1" t="inlineStr">
        <is>
          <t>Supporter</t>
        </is>
      </c>
      <c r="P146" s="1">
        <f>100+M146</f>
        <v/>
      </c>
      <c r="Q146" s="1">
        <f t="array" ref="Q146">_xlfn.IFS($O146="Attacker",6,$O146="Healer",3,$O146="Magician",4,$O146="Defender",3,$O146="Supporter",4)</f>
        <v/>
      </c>
      <c r="R146" s="1">
        <f t="array" ref="R146">_xlfn.IFS($O146="Attacker",6,$O146="Healer",3,$O146="Magician",4,$O146="Defender",3,$O146="Supporter",4)</f>
        <v/>
      </c>
      <c r="S146" s="1" t="n">
        <v>1</v>
      </c>
      <c r="T146" s="1" t="n">
        <v>0</v>
      </c>
      <c r="U146" s="1" t="n">
        <v>0</v>
      </c>
      <c r="V146" s="1" t="inlineStr">
        <is>
          <t>Spd</t>
        </is>
      </c>
      <c r="W146" s="1">
        <f t="array" ref="W146">_xlfn.IFS(O146="Attacker",80,O146="Healer",90,O146="Magician",100,O146="Defender",110,O146="Supporter",120)</f>
        <v/>
      </c>
      <c r="X146" s="1" t="inlineStr">
        <is>
          <t>Hp</t>
        </is>
      </c>
      <c r="Y146" s="1">
        <f>ROUND($Y$16*0.9, 0)</f>
        <v/>
      </c>
      <c r="Z146" s="1" t="inlineStr">
        <is>
          <t>Atk</t>
        </is>
      </c>
      <c r="AA146" s="1" t="n">
        <v>221</v>
      </c>
      <c r="AB146" s="1" t="inlineStr">
        <is>
          <t>Def</t>
        </is>
      </c>
      <c r="AC146" s="1" t="n">
        <v>156</v>
      </c>
      <c r="AD146" s="1" t="inlineStr">
        <is>
          <t>Penetration</t>
        </is>
      </c>
      <c r="AE146" s="1">
        <f>AC146</f>
        <v/>
      </c>
      <c r="AF146" s="1" t="inlineStr">
        <is>
          <t>Hit</t>
        </is>
      </c>
      <c r="AG146" s="1" t="n">
        <v>100</v>
      </c>
      <c r="AH146" s="1" t="inlineStr">
        <is>
          <t>Dodge</t>
        </is>
      </c>
      <c r="AI146" s="1" t="n">
        <v>100</v>
      </c>
      <c r="AJ146" s="1" t="inlineStr">
        <is>
          <t>CriRatio</t>
        </is>
      </c>
      <c r="AK146" s="1" t="n">
        <v>5000</v>
      </c>
      <c r="AL146" s="1" t="inlineStr">
        <is>
          <t>CriDmgRatio</t>
        </is>
      </c>
      <c r="AM146" s="1" t="n">
        <v>150000</v>
      </c>
      <c r="AN146" s="1" t="n">
        <v>1534281</v>
      </c>
      <c r="AO146" s="1" t="b">
        <v>1</v>
      </c>
      <c r="AP146" s="1" t="n">
        <v>2534281</v>
      </c>
      <c r="AQ146" s="1" t="b">
        <v>1</v>
      </c>
      <c r="AR146" s="1" t="n">
        <v>3534281</v>
      </c>
      <c r="AS146" s="1" t="b">
        <v>1</v>
      </c>
      <c r="AT146" s="1" t="n">
        <v>4534281</v>
      </c>
      <c r="AU146" s="1" t="b">
        <v>1</v>
      </c>
    </row>
    <row r="147">
      <c r="A147" s="1" t="n">
        <v>14470102</v>
      </c>
      <c r="B147" s="1" t="inlineStr">
        <is>
          <t>미리암</t>
        </is>
      </c>
      <c r="C147" s="1" t="n">
        <v>144711</v>
      </c>
      <c r="D147" s="1" t="n">
        <v>0</v>
      </c>
      <c r="E147" s="68">
        <f>"character_name_"&amp;A147</f>
        <v/>
      </c>
      <c r="G147" s="68" t="inlineStr">
        <is>
          <t>Normal</t>
        </is>
      </c>
      <c r="H147" s="68" t="inlineStr">
        <is>
          <t>Normal</t>
        </is>
      </c>
      <c r="I147" s="68" t="n">
        <v>2</v>
      </c>
      <c r="J147" s="68" t="inlineStr">
        <is>
          <t>0.95,0.95,0.95</t>
        </is>
      </c>
      <c r="K147" s="68" t="b">
        <v>1</v>
      </c>
      <c r="L147" s="24" t="inlineStr">
        <is>
          <t>0,0,0</t>
        </is>
      </c>
      <c r="M147" s="1" t="n">
        <v>3</v>
      </c>
      <c r="N147" s="35" t="inlineStr">
        <is>
          <t>Forest</t>
        </is>
      </c>
      <c r="O147" s="1" t="inlineStr">
        <is>
          <t>Supporter</t>
        </is>
      </c>
      <c r="P147" s="1">
        <f>100+M147</f>
        <v/>
      </c>
      <c r="Q147" s="1">
        <f t="array" ref="Q147">_xlfn.IFS($O147="Attacker",6,$O147="Healer",3,$O147="Magician",4,$O147="Defender",3,$O147="Supporter",4)</f>
        <v/>
      </c>
      <c r="R147" s="1">
        <f t="array" ref="R147">_xlfn.IFS($O147="Attacker",6,$O147="Healer",3,$O147="Magician",4,$O147="Defender",3,$O147="Supporter",4)</f>
        <v/>
      </c>
      <c r="S147" s="1" t="n">
        <v>1</v>
      </c>
      <c r="T147" s="1" t="n">
        <v>0</v>
      </c>
      <c r="U147" s="1" t="n">
        <v>0</v>
      </c>
      <c r="V147" s="1" t="inlineStr">
        <is>
          <t>Spd</t>
        </is>
      </c>
      <c r="W147" s="1">
        <f t="array" ref="W147">_xlfn.IFS(O147="Attacker",80,O147="Healer",90,O147="Magician",100,O147="Defender",110,O147="Supporter",120)</f>
        <v/>
      </c>
      <c r="X147" s="1" t="inlineStr">
        <is>
          <t>Hp</t>
        </is>
      </c>
      <c r="Y147" s="1">
        <f>ROUND($Y$16*0.9, 0)</f>
        <v/>
      </c>
      <c r="Z147" s="1" t="inlineStr">
        <is>
          <t>Atk</t>
        </is>
      </c>
      <c r="AA147" s="1" t="n">
        <v>221</v>
      </c>
      <c r="AB147" s="1" t="inlineStr">
        <is>
          <t>Def</t>
        </is>
      </c>
      <c r="AC147" s="1" t="n">
        <v>156</v>
      </c>
      <c r="AD147" s="1" t="inlineStr">
        <is>
          <t>Penetration</t>
        </is>
      </c>
      <c r="AE147" s="1">
        <f>AC147</f>
        <v/>
      </c>
      <c r="AF147" s="1" t="inlineStr">
        <is>
          <t>Hit</t>
        </is>
      </c>
      <c r="AG147" s="1" t="n">
        <v>100</v>
      </c>
      <c r="AH147" s="1" t="inlineStr">
        <is>
          <t>Dodge</t>
        </is>
      </c>
      <c r="AI147" s="1" t="n">
        <v>100</v>
      </c>
      <c r="AJ147" s="1" t="inlineStr">
        <is>
          <t>CriRatio</t>
        </is>
      </c>
      <c r="AK147" s="1" t="n">
        <v>5000</v>
      </c>
      <c r="AL147" s="1" t="inlineStr">
        <is>
          <t>CriDmgRatio</t>
        </is>
      </c>
      <c r="AM147" s="1" t="n">
        <v>150000</v>
      </c>
      <c r="AN147" s="1" t="n">
        <v>1534281</v>
      </c>
      <c r="AO147" s="1" t="b">
        <v>1</v>
      </c>
      <c r="AP147" s="1" t="n">
        <v>2534281</v>
      </c>
      <c r="AQ147" s="1" t="b">
        <v>1</v>
      </c>
      <c r="AR147" s="1" t="n">
        <v>3534281</v>
      </c>
      <c r="AS147" s="1" t="b">
        <v>1</v>
      </c>
      <c r="AT147" s="1" t="n">
        <v>4534281</v>
      </c>
      <c r="AU147" s="1" t="b">
        <v>1</v>
      </c>
    </row>
    <row r="148">
      <c r="A148" s="1" t="n">
        <v>14620102</v>
      </c>
      <c r="B148" s="1" t="inlineStr">
        <is>
          <t>데레사</t>
        </is>
      </c>
      <c r="C148" s="1" t="n">
        <v>146211</v>
      </c>
      <c r="D148" s="1" t="n">
        <v>0</v>
      </c>
      <c r="E148" s="68">
        <f>"character_name_"&amp;A148</f>
        <v/>
      </c>
      <c r="G148" s="68" t="inlineStr">
        <is>
          <t>Normal</t>
        </is>
      </c>
      <c r="H148" s="68" t="inlineStr">
        <is>
          <t>Normal</t>
        </is>
      </c>
      <c r="I148" s="68" t="n">
        <v>2</v>
      </c>
      <c r="J148" s="68" t="inlineStr">
        <is>
          <t>0.95,0.95,0.95</t>
        </is>
      </c>
      <c r="K148" s="68" t="b">
        <v>1</v>
      </c>
      <c r="L148" s="24" t="inlineStr">
        <is>
          <t>0,0,0</t>
        </is>
      </c>
      <c r="M148" s="1" t="n">
        <v>3</v>
      </c>
      <c r="N148" s="35" t="inlineStr">
        <is>
          <t>Forest</t>
        </is>
      </c>
      <c r="O148" s="1" t="inlineStr">
        <is>
          <t>Supporter</t>
        </is>
      </c>
      <c r="P148" s="1">
        <f>100+M148</f>
        <v/>
      </c>
      <c r="Q148" s="1">
        <f t="array" ref="Q148">_xlfn.IFS($O148="Attacker",6,$O148="Healer",3,$O148="Magician",4,$O148="Defender",3,$O148="Supporter",4)</f>
        <v/>
      </c>
      <c r="R148" s="1">
        <f t="array" ref="R148">_xlfn.IFS($O148="Attacker",6,$O148="Healer",3,$O148="Magician",4,$O148="Defender",3,$O148="Supporter",4)</f>
        <v/>
      </c>
      <c r="S148" s="1" t="n">
        <v>1</v>
      </c>
      <c r="T148" s="1" t="n">
        <v>0</v>
      </c>
      <c r="U148" s="1" t="n">
        <v>0</v>
      </c>
      <c r="V148" s="1" t="inlineStr">
        <is>
          <t>Spd</t>
        </is>
      </c>
      <c r="W148" s="1">
        <f t="array" ref="W148">_xlfn.IFS(O148="Attacker",80,O148="Healer",90,O148="Magician",100,O148="Defender",110,O148="Supporter",120)</f>
        <v/>
      </c>
      <c r="X148" s="1" t="inlineStr">
        <is>
          <t>Hp</t>
        </is>
      </c>
      <c r="Y148" s="1">
        <f>ROUND($Y$16*0.9, 0)</f>
        <v/>
      </c>
      <c r="Z148" s="1" t="inlineStr">
        <is>
          <t>Atk</t>
        </is>
      </c>
      <c r="AA148" s="1" t="n">
        <v>221</v>
      </c>
      <c r="AB148" s="1" t="inlineStr">
        <is>
          <t>Def</t>
        </is>
      </c>
      <c r="AC148" s="1" t="n">
        <v>156</v>
      </c>
      <c r="AD148" s="1" t="inlineStr">
        <is>
          <t>Penetration</t>
        </is>
      </c>
      <c r="AE148" s="1">
        <f>AC148</f>
        <v/>
      </c>
      <c r="AF148" s="1" t="inlineStr">
        <is>
          <t>Hit</t>
        </is>
      </c>
      <c r="AG148" s="1" t="n">
        <v>100</v>
      </c>
      <c r="AH148" s="1" t="inlineStr">
        <is>
          <t>Dodge</t>
        </is>
      </c>
      <c r="AI148" s="1" t="n">
        <v>100</v>
      </c>
      <c r="AJ148" s="1" t="inlineStr">
        <is>
          <t>CriRatio</t>
        </is>
      </c>
      <c r="AK148" s="1" t="n">
        <v>5000</v>
      </c>
      <c r="AL148" s="1" t="inlineStr">
        <is>
          <t>CriDmgRatio</t>
        </is>
      </c>
      <c r="AM148" s="1" t="n">
        <v>150000</v>
      </c>
      <c r="AN148" s="1" t="n">
        <v>1534281</v>
      </c>
      <c r="AO148" s="1" t="b">
        <v>1</v>
      </c>
      <c r="AP148" s="1" t="n">
        <v>2534281</v>
      </c>
      <c r="AQ148" s="1" t="b">
        <v>1</v>
      </c>
      <c r="AR148" s="1" t="n">
        <v>3534281</v>
      </c>
      <c r="AS148" s="1" t="b">
        <v>1</v>
      </c>
      <c r="AT148" s="1" t="n">
        <v>4534281</v>
      </c>
      <c r="AU148" s="1" t="b">
        <v>1</v>
      </c>
    </row>
    <row r="149">
      <c r="A149" s="1" t="n">
        <v>12810102</v>
      </c>
      <c r="B149" s="1" t="inlineStr">
        <is>
          <t>티스베</t>
        </is>
      </c>
      <c r="C149" s="1" t="n">
        <v>128101</v>
      </c>
      <c r="D149" s="1" t="n">
        <v>0</v>
      </c>
      <c r="E149" s="68">
        <f>"character_name_"&amp;A149</f>
        <v/>
      </c>
      <c r="G149" s="68" t="inlineStr">
        <is>
          <t>Normal</t>
        </is>
      </c>
      <c r="H149" s="68" t="inlineStr">
        <is>
          <t>Normal</t>
        </is>
      </c>
      <c r="I149" s="68" t="n">
        <v>2</v>
      </c>
      <c r="J149" s="68" t="inlineStr">
        <is>
          <t>0.95,0.95,0.95</t>
        </is>
      </c>
      <c r="K149" s="68" t="b">
        <v>1</v>
      </c>
      <c r="L149" s="24" t="inlineStr">
        <is>
          <t>0,0,0</t>
        </is>
      </c>
      <c r="M149" s="1" t="n">
        <v>3</v>
      </c>
      <c r="N149" s="36" t="inlineStr">
        <is>
          <t>Water</t>
        </is>
      </c>
      <c r="O149" s="1" t="inlineStr">
        <is>
          <t>Supporter</t>
        </is>
      </c>
      <c r="P149" s="1">
        <f>100+M149</f>
        <v/>
      </c>
      <c r="Q149" s="1">
        <f t="array" ref="Q149">_xlfn.IFS($O149="Attacker",6,$O149="Healer",3,$O149="Magician",4,$O149="Defender",3,$O149="Supporter",4)</f>
        <v/>
      </c>
      <c r="R149" s="1">
        <f t="array" ref="R149">_xlfn.IFS($O149="Attacker",6,$O149="Healer",3,$O149="Magician",4,$O149="Defender",3,$O149="Supporter",4)</f>
        <v/>
      </c>
      <c r="S149" s="1" t="n">
        <v>1</v>
      </c>
      <c r="T149" s="1" t="n">
        <v>0</v>
      </c>
      <c r="U149" s="1" t="n">
        <v>0</v>
      </c>
      <c r="V149" s="1" t="inlineStr">
        <is>
          <t>Spd</t>
        </is>
      </c>
      <c r="W149" s="1">
        <f t="array" ref="W149">_xlfn.IFS(O149="Attacker",80,O149="Healer",90,O149="Magician",100,O149="Defender",110,O149="Supporter",120)</f>
        <v/>
      </c>
      <c r="X149" s="1" t="inlineStr">
        <is>
          <t>Hp</t>
        </is>
      </c>
      <c r="Y149" s="1">
        <f>ROUND($Y$16*0.9, 0)</f>
        <v/>
      </c>
      <c r="Z149" s="1" t="inlineStr">
        <is>
          <t>Atk</t>
        </is>
      </c>
      <c r="AA149" s="1" t="n">
        <v>221</v>
      </c>
      <c r="AB149" s="1" t="inlineStr">
        <is>
          <t>Def</t>
        </is>
      </c>
      <c r="AC149" s="1" t="n">
        <v>156</v>
      </c>
      <c r="AD149" s="1" t="inlineStr">
        <is>
          <t>Penetration</t>
        </is>
      </c>
      <c r="AE149" s="1">
        <f>AC149</f>
        <v/>
      </c>
      <c r="AF149" s="1" t="inlineStr">
        <is>
          <t>Hit</t>
        </is>
      </c>
      <c r="AG149" s="1" t="n">
        <v>100</v>
      </c>
      <c r="AH149" s="1" t="inlineStr">
        <is>
          <t>Dodge</t>
        </is>
      </c>
      <c r="AI149" s="1" t="n">
        <v>100</v>
      </c>
      <c r="AJ149" s="1" t="inlineStr">
        <is>
          <t>CriRatio</t>
        </is>
      </c>
      <c r="AK149" s="1" t="n">
        <v>5000</v>
      </c>
      <c r="AL149" s="1" t="inlineStr">
        <is>
          <t>CriDmgRatio</t>
        </is>
      </c>
      <c r="AM149" s="1" t="n">
        <v>150000</v>
      </c>
      <c r="AN149" s="1" t="n">
        <v>1534281</v>
      </c>
      <c r="AO149" s="1" t="b">
        <v>1</v>
      </c>
      <c r="AP149" s="1" t="n">
        <v>2534281</v>
      </c>
      <c r="AQ149" s="1" t="b">
        <v>1</v>
      </c>
      <c r="AR149" s="1" t="n">
        <v>3534281</v>
      </c>
      <c r="AS149" s="1" t="b">
        <v>1</v>
      </c>
      <c r="AT149" s="1" t="n">
        <v>4534281</v>
      </c>
      <c r="AU149" s="1" t="b">
        <v>1</v>
      </c>
    </row>
    <row r="150">
      <c r="A150" s="1" t="n">
        <v>15140102</v>
      </c>
      <c r="B150" s="1" t="inlineStr">
        <is>
          <t>두엣샤</t>
        </is>
      </c>
      <c r="C150" s="1" t="n">
        <v>151401</v>
      </c>
      <c r="D150" s="1" t="n">
        <v>0</v>
      </c>
      <c r="E150" s="68">
        <f>"character_name_"&amp;A150</f>
        <v/>
      </c>
      <c r="G150" s="68" t="inlineStr">
        <is>
          <t>Normal</t>
        </is>
      </c>
      <c r="H150" s="68" t="inlineStr">
        <is>
          <t>Normal</t>
        </is>
      </c>
      <c r="I150" s="68" t="n">
        <v>2</v>
      </c>
      <c r="J150" s="68" t="inlineStr">
        <is>
          <t>0.95,0.95,0.95</t>
        </is>
      </c>
      <c r="K150" s="68" t="b">
        <v>1</v>
      </c>
      <c r="L150" s="24" t="inlineStr">
        <is>
          <t>0,0,0</t>
        </is>
      </c>
      <c r="M150" s="1" t="n">
        <v>2</v>
      </c>
      <c r="N150" s="34" t="inlineStr">
        <is>
          <t>Dark</t>
        </is>
      </c>
      <c r="O150" s="1" t="inlineStr">
        <is>
          <t>Attacker</t>
        </is>
      </c>
      <c r="P150" s="1">
        <f>100+M150</f>
        <v/>
      </c>
      <c r="Q150" s="1">
        <f t="array" ref="Q150">_xlfn.IFS($O150="Attacker",6,$O150="Healer",3,$O150="Magician",4,$O150="Defender",3,$O150="Supporter",4)</f>
        <v/>
      </c>
      <c r="R150" s="1">
        <f t="array" ref="R150">_xlfn.IFS($O150="Attacker",6,$O150="Healer",3,$O150="Magician",4,$O150="Defender",3,$O150="Supporter",4)</f>
        <v/>
      </c>
      <c r="S150" s="1" t="n">
        <v>1</v>
      </c>
      <c r="T150" s="1" t="n">
        <v>0</v>
      </c>
      <c r="U150" s="1" t="n">
        <v>0</v>
      </c>
      <c r="V150" s="1" t="inlineStr">
        <is>
          <t>Spd</t>
        </is>
      </c>
      <c r="W150" s="1">
        <f t="array" ref="W150">_xlfn.IFS(O150="Attacker",80,O150="Healer",90,O150="Magician",100,O150="Defender",110,O150="Supporter",120)</f>
        <v/>
      </c>
      <c r="X150" s="1" t="inlineStr">
        <is>
          <t>Hp</t>
        </is>
      </c>
      <c r="Y150" s="1">
        <f>ROUND($Y$16*0.9, 0)</f>
        <v/>
      </c>
      <c r="Z150" s="1" t="inlineStr">
        <is>
          <t>Atk</t>
        </is>
      </c>
      <c r="AA150" s="1" t="n">
        <v>221</v>
      </c>
      <c r="AB150" s="1" t="inlineStr">
        <is>
          <t>Def</t>
        </is>
      </c>
      <c r="AC150" s="1" t="n">
        <v>156</v>
      </c>
      <c r="AD150" s="1" t="inlineStr">
        <is>
          <t>Penetration</t>
        </is>
      </c>
      <c r="AE150" s="1">
        <f>AC150</f>
        <v/>
      </c>
      <c r="AF150" s="1" t="inlineStr">
        <is>
          <t>Hit</t>
        </is>
      </c>
      <c r="AG150" s="1" t="n">
        <v>100</v>
      </c>
      <c r="AH150" s="1" t="inlineStr">
        <is>
          <t>Dodge</t>
        </is>
      </c>
      <c r="AI150" s="1" t="n">
        <v>100</v>
      </c>
      <c r="AJ150" s="1" t="inlineStr">
        <is>
          <t>CriRatio</t>
        </is>
      </c>
      <c r="AK150" s="1" t="n">
        <v>5000</v>
      </c>
      <c r="AL150" s="1" t="inlineStr">
        <is>
          <t>CriDmgRatio</t>
        </is>
      </c>
      <c r="AM150" s="1" t="n">
        <v>150000</v>
      </c>
      <c r="AN150" s="1" t="n">
        <v>1534281</v>
      </c>
      <c r="AO150" s="1" t="b">
        <v>1</v>
      </c>
      <c r="AP150" s="1" t="n">
        <v>2534281</v>
      </c>
      <c r="AQ150" s="1" t="b">
        <v>1</v>
      </c>
      <c r="AR150" s="1" t="n">
        <v>3534281</v>
      </c>
      <c r="AS150" s="1" t="b">
        <v>1</v>
      </c>
      <c r="AT150" s="1" t="n">
        <v>4534281</v>
      </c>
      <c r="AU150" s="1" t="b">
        <v>1</v>
      </c>
    </row>
    <row r="151">
      <c r="A151" s="30" t="n">
        <v>29010199</v>
      </c>
      <c r="B151" s="30" t="inlineStr">
        <is>
          <t>크리스탈</t>
        </is>
      </c>
      <c r="C151" s="30" t="n">
        <v>290101</v>
      </c>
      <c r="D151" s="30" t="n">
        <v>0</v>
      </c>
      <c r="E151" s="30" t="inlineStr">
        <is>
          <t>character_name_29010199</t>
        </is>
      </c>
      <c r="F151" s="30" t="n"/>
      <c r="G151" s="30" t="inlineStr">
        <is>
          <t>Boss</t>
        </is>
      </c>
      <c r="H151" s="30" t="inlineStr">
        <is>
          <t>Normal</t>
        </is>
      </c>
      <c r="I151" s="30" t="n">
        <v>99</v>
      </c>
      <c r="J151" s="38" t="inlineStr">
        <is>
          <t>1.5,1.5,1.5</t>
        </is>
      </c>
      <c r="K151" s="68" t="b">
        <v>0</v>
      </c>
      <c r="L151" s="38" t="inlineStr">
        <is>
          <t>0,0,0</t>
        </is>
      </c>
      <c r="M151" s="30" t="n">
        <v>2</v>
      </c>
      <c r="N151" s="30" t="inlineStr">
        <is>
          <t>Fire</t>
        </is>
      </c>
      <c r="O151" s="30" t="inlineStr">
        <is>
          <t>Defender</t>
        </is>
      </c>
      <c r="P151" s="30" t="n">
        <v>201</v>
      </c>
      <c r="Q151" s="30">
        <f t="array" ref="Q151">_xlfn.IFS($O151="Attacker",6,$O151="Healer",3,$O151="Magician",4,$O151="Defender",3,$O151="Supporter",4)</f>
        <v/>
      </c>
      <c r="R151" s="30">
        <f t="array" ref="R151">_xlfn.IFS($O151="Attacker",6,$O151="Healer",3,$O151="Magician",4,$O151="Defender",3,$O151="Supporter",4)</f>
        <v/>
      </c>
      <c r="S151" s="30" t="n">
        <v>1</v>
      </c>
      <c r="T151" s="30" t="n">
        <v>0</v>
      </c>
      <c r="U151" s="30" t="n">
        <v>0</v>
      </c>
      <c r="V151" s="30" t="inlineStr">
        <is>
          <t>Spd</t>
        </is>
      </c>
      <c r="W151" s="30">
        <f t="array" ref="W151">_xlfn.IFS(O151="Attacker",80,O151="Healer",90,O151="Magician",100,O151="Defender",110,O151="Supporter",120)</f>
        <v/>
      </c>
      <c r="X151" s="30" t="inlineStr">
        <is>
          <t>Hp</t>
        </is>
      </c>
      <c r="Y151" s="30" t="n">
        <v>1</v>
      </c>
      <c r="Z151" s="30" t="inlineStr">
        <is>
          <t>Atk</t>
        </is>
      </c>
      <c r="AA151" s="30" t="n">
        <v>2500</v>
      </c>
      <c r="AB151" s="30" t="inlineStr">
        <is>
          <t>Def</t>
        </is>
      </c>
      <c r="AC151" s="30" t="n">
        <v>25000</v>
      </c>
      <c r="AD151" s="30" t="inlineStr">
        <is>
          <t>Penetration</t>
        </is>
      </c>
      <c r="AE151" s="30" t="n">
        <v>0</v>
      </c>
      <c r="AF151" s="30" t="inlineStr">
        <is>
          <t>Hit</t>
        </is>
      </c>
      <c r="AG151" s="30" t="n">
        <v>100</v>
      </c>
      <c r="AH151" s="30" t="inlineStr">
        <is>
          <t>Dodge</t>
        </is>
      </c>
      <c r="AI151" s="30" t="n">
        <v>80</v>
      </c>
      <c r="AJ151" s="30" t="inlineStr">
        <is>
          <t>CriRatio</t>
        </is>
      </c>
      <c r="AK151" s="30" t="n">
        <v>5000</v>
      </c>
      <c r="AL151" s="30" t="inlineStr">
        <is>
          <t>CriDmgRatio</t>
        </is>
      </c>
      <c r="AM151" s="30" t="n">
        <v>150000</v>
      </c>
      <c r="AN151" s="30" t="n">
        <v>0</v>
      </c>
      <c r="AO151" s="30" t="b">
        <v>0</v>
      </c>
      <c r="AP151" s="30" t="n">
        <v>2966011</v>
      </c>
      <c r="AQ151" s="30" t="b">
        <v>1</v>
      </c>
      <c r="AR151" s="30" t="n">
        <v>0</v>
      </c>
      <c r="AS151" s="30" t="b">
        <v>0</v>
      </c>
      <c r="AT151" s="30" t="n">
        <v>4966011</v>
      </c>
      <c r="AU151" s="30" t="b">
        <v>1</v>
      </c>
    </row>
    <row r="152">
      <c r="A152" s="32" t="n">
        <v>20400101</v>
      </c>
      <c r="B152" s="32" t="inlineStr">
        <is>
          <t>체인킬러</t>
        </is>
      </c>
      <c r="C152" s="32" t="n">
        <v>204001</v>
      </c>
      <c r="D152" s="32" t="n">
        <v>0</v>
      </c>
      <c r="E152" s="32" t="inlineStr">
        <is>
          <t>character_name_20400101</t>
        </is>
      </c>
      <c r="F152" s="32" t="n"/>
      <c r="G152" s="32" t="inlineStr">
        <is>
          <t>Boss</t>
        </is>
      </c>
      <c r="H152" s="32" t="inlineStr">
        <is>
          <t>Normal</t>
        </is>
      </c>
      <c r="I152" s="32" t="n">
        <v>1</v>
      </c>
      <c r="J152" s="42" t="inlineStr">
        <is>
          <t>1,1,1</t>
        </is>
      </c>
      <c r="K152" s="68" t="b">
        <v>0</v>
      </c>
      <c r="L152" s="42" t="inlineStr">
        <is>
          <t>0,0,0</t>
        </is>
      </c>
      <c r="M152" s="32" t="n">
        <v>2</v>
      </c>
      <c r="N152" s="32" t="inlineStr">
        <is>
          <t>Fire</t>
        </is>
      </c>
      <c r="O152" s="32" t="inlineStr">
        <is>
          <t>Defender</t>
        </is>
      </c>
      <c r="P152" s="32" t="n">
        <v>200</v>
      </c>
      <c r="Q152" s="32">
        <f t="array" ref="Q152">_xlfn.IFS($O152="Attacker",6,$O152="Healer",3,$O152="Magician",4,$O152="Defender",3,$O152="Supporter",4)</f>
        <v/>
      </c>
      <c r="R152" s="32">
        <f t="array" ref="R152">_xlfn.IFS($O152="Attacker",6,$O152="Healer",3,$O152="Magician",4,$O152="Defender",3,$O152="Supporter",4)</f>
        <v/>
      </c>
      <c r="S152" s="32" t="n">
        <v>1</v>
      </c>
      <c r="T152" s="32" t="n">
        <v>0</v>
      </c>
      <c r="U152" s="32" t="n">
        <v>0</v>
      </c>
      <c r="V152" s="32" t="inlineStr">
        <is>
          <t>Spd</t>
        </is>
      </c>
      <c r="W152" s="32">
        <f t="array" ref="W152">_xlfn.IFS(O152="Attacker",80,O152="Healer",90,O152="Magician",100,O152="Defender",110,O152="Supporter",120)</f>
        <v/>
      </c>
      <c r="X152" s="32" t="inlineStr">
        <is>
          <t>Hp</t>
        </is>
      </c>
      <c r="Y152" s="32" t="n">
        <v>7500</v>
      </c>
      <c r="Z152" s="32" t="inlineStr">
        <is>
          <t>Atk</t>
        </is>
      </c>
      <c r="AA152" s="32" t="n">
        <v>700</v>
      </c>
      <c r="AB152" s="32" t="inlineStr">
        <is>
          <t>Def</t>
        </is>
      </c>
      <c r="AC152" s="32" t="n">
        <v>0</v>
      </c>
      <c r="AD152" s="32" t="inlineStr">
        <is>
          <t>Penetration</t>
        </is>
      </c>
      <c r="AE152" s="32" t="n">
        <v>0</v>
      </c>
      <c r="AF152" s="32" t="inlineStr">
        <is>
          <t>Hit</t>
        </is>
      </c>
      <c r="AG152" s="32" t="n">
        <v>100</v>
      </c>
      <c r="AH152" s="32" t="inlineStr">
        <is>
          <t>Dodge</t>
        </is>
      </c>
      <c r="AI152" s="32" t="n">
        <v>100</v>
      </c>
      <c r="AJ152" s="32" t="inlineStr">
        <is>
          <t>CriRatio</t>
        </is>
      </c>
      <c r="AK152" s="32" t="n">
        <v>5000</v>
      </c>
      <c r="AL152" s="32" t="inlineStr">
        <is>
          <t>CriDmgRatio</t>
        </is>
      </c>
      <c r="AM152" s="32" t="n">
        <v>150000</v>
      </c>
      <c r="AN152" s="32" t="n">
        <v>1942021</v>
      </c>
      <c r="AO152" s="32" t="b">
        <v>1</v>
      </c>
      <c r="AP152" s="32" t="n">
        <v>0</v>
      </c>
      <c r="AQ152" s="32" t="b">
        <v>0</v>
      </c>
      <c r="AR152" s="32" t="n">
        <v>3942021</v>
      </c>
      <c r="AS152" s="32" t="b">
        <v>1</v>
      </c>
      <c r="AT152" s="32" t="n">
        <v>0</v>
      </c>
      <c r="AU152" s="32" t="b">
        <v>0</v>
      </c>
    </row>
    <row r="153">
      <c r="A153" s="48" t="n">
        <v>20540101</v>
      </c>
      <c r="B153" s="48" t="inlineStr">
        <is>
          <t>고모라</t>
        </is>
      </c>
      <c r="C153" s="48" t="n">
        <v>205401</v>
      </c>
      <c r="D153" s="48" t="n">
        <v>0</v>
      </c>
      <c r="E153" s="48" t="inlineStr">
        <is>
          <t>character_name_20540101</t>
        </is>
      </c>
      <c r="F153" s="48" t="n"/>
      <c r="G153" s="48" t="inlineStr">
        <is>
          <t>Boss</t>
        </is>
      </c>
      <c r="H153" s="48" t="inlineStr">
        <is>
          <t>Normal</t>
        </is>
      </c>
      <c r="I153" s="48" t="n">
        <v>1</v>
      </c>
      <c r="J153" s="46" t="inlineStr">
        <is>
          <t>1,1,1</t>
        </is>
      </c>
      <c r="K153" s="68" t="b">
        <v>0</v>
      </c>
      <c r="L153" s="49" t="inlineStr">
        <is>
          <t>0,0,0</t>
        </is>
      </c>
      <c r="M153" s="48" t="n">
        <v>2</v>
      </c>
      <c r="N153" s="48" t="inlineStr">
        <is>
          <t>Fire</t>
        </is>
      </c>
      <c r="O153" s="48" t="inlineStr">
        <is>
          <t>Defender</t>
        </is>
      </c>
      <c r="P153" s="48" t="n">
        <v>200</v>
      </c>
      <c r="Q153" s="48">
        <f t="array" ref="Q153">_xlfn.IFS($O153="Attacker",6,$O153="Healer",3,$O153="Magician",4,$O153="Defender",3,$O153="Supporter",4)</f>
        <v/>
      </c>
      <c r="R153" s="48">
        <f t="array" ref="R153">_xlfn.IFS($O153="Attacker",6,$O153="Healer",3,$O153="Magician",4,$O153="Defender",3,$O153="Supporter",4)</f>
        <v/>
      </c>
      <c r="S153" s="48" t="n">
        <v>1</v>
      </c>
      <c r="T153" s="48" t="n">
        <v>0</v>
      </c>
      <c r="U153" s="48" t="n">
        <v>0</v>
      </c>
      <c r="V153" s="48" t="inlineStr">
        <is>
          <t>Spd</t>
        </is>
      </c>
      <c r="W153" s="48">
        <f t="array" ref="W153">_xlfn.IFS(O153="Attacker",80,O153="Healer",90,O153="Magician",100,O153="Defender",110,O153="Supporter",120)</f>
        <v/>
      </c>
      <c r="X153" s="48" t="inlineStr">
        <is>
          <t>Hp</t>
        </is>
      </c>
      <c r="Y153" s="32" t="n">
        <v>7500</v>
      </c>
      <c r="Z153" s="32" t="inlineStr">
        <is>
          <t>Atk</t>
        </is>
      </c>
      <c r="AA153" s="32" t="n">
        <v>700</v>
      </c>
      <c r="AB153" s="32" t="inlineStr">
        <is>
          <t>Def</t>
        </is>
      </c>
      <c r="AC153" s="32" t="n">
        <v>0</v>
      </c>
      <c r="AD153" s="32" t="inlineStr">
        <is>
          <t>Penetration</t>
        </is>
      </c>
      <c r="AE153" s="32" t="n">
        <v>0</v>
      </c>
      <c r="AF153" s="48" t="inlineStr">
        <is>
          <t>Hit</t>
        </is>
      </c>
      <c r="AG153" s="48" t="n">
        <v>100</v>
      </c>
      <c r="AH153" s="48" t="inlineStr">
        <is>
          <t>Dodge</t>
        </is>
      </c>
      <c r="AI153" s="48" t="n">
        <v>100</v>
      </c>
      <c r="AJ153" s="48" t="inlineStr">
        <is>
          <t>CriRatio</t>
        </is>
      </c>
      <c r="AK153" s="48" t="n">
        <v>5000</v>
      </c>
      <c r="AL153" s="48" t="inlineStr">
        <is>
          <t>CriDmgRatio</t>
        </is>
      </c>
      <c r="AM153" s="48" t="n">
        <v>150000</v>
      </c>
      <c r="AN153" s="48" t="n">
        <v>1942051</v>
      </c>
      <c r="AO153" s="48" t="b">
        <v>1</v>
      </c>
      <c r="AP153" s="48" t="n">
        <v>2942051</v>
      </c>
      <c r="AQ153" s="48" t="b">
        <v>1</v>
      </c>
      <c r="AR153" s="48" t="n">
        <v>3942051</v>
      </c>
      <c r="AS153" s="48" t="b">
        <v>1</v>
      </c>
      <c r="AT153" s="48" t="n">
        <v>0</v>
      </c>
      <c r="AU153" s="48" t="b">
        <v>0</v>
      </c>
    </row>
    <row r="154">
      <c r="A154" s="48" t="n">
        <v>20380101</v>
      </c>
      <c r="B154" s="48" t="inlineStr">
        <is>
          <t>디아블로</t>
        </is>
      </c>
      <c r="C154" s="48" t="n">
        <v>203801</v>
      </c>
      <c r="D154" s="48" t="n">
        <v>0</v>
      </c>
      <c r="E154" s="48" t="inlineStr">
        <is>
          <t>character_name_20380101</t>
        </is>
      </c>
      <c r="F154" s="48" t="n"/>
      <c r="G154" s="48" t="inlineStr">
        <is>
          <t>Boss</t>
        </is>
      </c>
      <c r="H154" s="48" t="inlineStr">
        <is>
          <t>Normal</t>
        </is>
      </c>
      <c r="I154" s="48" t="n">
        <v>1</v>
      </c>
      <c r="J154" s="49" t="inlineStr">
        <is>
          <t>1,1,1</t>
        </is>
      </c>
      <c r="K154" s="68" t="b">
        <v>0</v>
      </c>
      <c r="L154" s="49" t="inlineStr">
        <is>
          <t>0,0,0</t>
        </is>
      </c>
      <c r="M154" s="48" t="n">
        <v>2</v>
      </c>
      <c r="N154" s="48" t="inlineStr">
        <is>
          <t>Light</t>
        </is>
      </c>
      <c r="O154" s="48" t="inlineStr">
        <is>
          <t>Defender</t>
        </is>
      </c>
      <c r="P154" s="48" t="n">
        <v>200</v>
      </c>
      <c r="Q154" s="48">
        <f t="array" ref="Q154">_xlfn.IFS($O154="Attacker",6,$O154="Healer",3,$O154="Magician",4,$O154="Defender",3,$O154="Supporter",4)</f>
        <v/>
      </c>
      <c r="R154" s="48">
        <f t="array" ref="R154">_xlfn.IFS($O154="Attacker",6,$O154="Healer",3,$O154="Magician",4,$O154="Defender",3,$O154="Supporter",4)</f>
        <v/>
      </c>
      <c r="S154" s="48" t="n">
        <v>1</v>
      </c>
      <c r="T154" s="48" t="n">
        <v>0</v>
      </c>
      <c r="U154" s="48" t="n">
        <v>0</v>
      </c>
      <c r="V154" s="48" t="inlineStr">
        <is>
          <t>Spd</t>
        </is>
      </c>
      <c r="W154" s="48">
        <f t="array" ref="W154">_xlfn.IFS(O154="Attacker",80,O154="Healer",90,O154="Magician",100,O154="Defender",110,O154="Supporter",120)</f>
        <v/>
      </c>
      <c r="X154" s="48" t="inlineStr">
        <is>
          <t>Hp</t>
        </is>
      </c>
      <c r="Y154" s="32" t="n">
        <v>7500</v>
      </c>
      <c r="Z154" s="32" t="inlineStr">
        <is>
          <t>Atk</t>
        </is>
      </c>
      <c r="AA154" s="32" t="n">
        <v>700</v>
      </c>
      <c r="AB154" s="32" t="inlineStr">
        <is>
          <t>Def</t>
        </is>
      </c>
      <c r="AC154" s="32" t="n">
        <v>0</v>
      </c>
      <c r="AD154" s="32" t="inlineStr">
        <is>
          <t>Penetration</t>
        </is>
      </c>
      <c r="AE154" s="32" t="n">
        <v>0</v>
      </c>
      <c r="AF154" s="48" t="inlineStr">
        <is>
          <t>Hit</t>
        </is>
      </c>
      <c r="AG154" s="48" t="n">
        <v>100</v>
      </c>
      <c r="AH154" s="48" t="inlineStr">
        <is>
          <t>Dodge</t>
        </is>
      </c>
      <c r="AI154" s="48" t="n">
        <v>100</v>
      </c>
      <c r="AJ154" s="48" t="inlineStr">
        <is>
          <t>CriRatio</t>
        </is>
      </c>
      <c r="AK154" s="48" t="n">
        <v>5000</v>
      </c>
      <c r="AL154" s="48" t="inlineStr">
        <is>
          <t>CriDmgRatio</t>
        </is>
      </c>
      <c r="AM154" s="48" t="n">
        <v>150000</v>
      </c>
      <c r="AN154" s="48" t="n">
        <v>1942011</v>
      </c>
      <c r="AO154" s="48" t="b">
        <v>1</v>
      </c>
      <c r="AP154" s="48" t="n">
        <v>0</v>
      </c>
      <c r="AQ154" s="48" t="b">
        <v>0</v>
      </c>
      <c r="AR154" s="48" t="n">
        <v>3942011</v>
      </c>
      <c r="AS154" s="48" t="b">
        <v>1</v>
      </c>
      <c r="AT154" s="48" t="n">
        <v>0</v>
      </c>
      <c r="AU154" s="48" t="b">
        <v>0</v>
      </c>
    </row>
    <row r="155">
      <c r="A155" s="45" t="n">
        <v>20510101</v>
      </c>
      <c r="B155" s="45" t="inlineStr">
        <is>
          <t>하데스</t>
        </is>
      </c>
      <c r="C155" s="45" t="n">
        <v>205101</v>
      </c>
      <c r="D155" s="45" t="n">
        <v>0</v>
      </c>
      <c r="E155" s="45" t="inlineStr">
        <is>
          <t>character_name_20510101</t>
        </is>
      </c>
      <c r="F155" s="45" t="n"/>
      <c r="G155" s="45" t="inlineStr">
        <is>
          <t>Boss</t>
        </is>
      </c>
      <c r="H155" s="45" t="inlineStr">
        <is>
          <t>Normal</t>
        </is>
      </c>
      <c r="I155" s="45" t="n">
        <v>1</v>
      </c>
      <c r="J155" s="46" t="inlineStr">
        <is>
          <t>1,1,1</t>
        </is>
      </c>
      <c r="K155" s="68" t="b">
        <v>0</v>
      </c>
      <c r="L155" s="46" t="inlineStr">
        <is>
          <t>0,0,0</t>
        </is>
      </c>
      <c r="M155" s="45" t="n">
        <v>2</v>
      </c>
      <c r="N155" s="45" t="inlineStr">
        <is>
          <t>Fire</t>
        </is>
      </c>
      <c r="O155" s="45" t="inlineStr">
        <is>
          <t>Defender</t>
        </is>
      </c>
      <c r="P155" s="45" t="n">
        <v>200</v>
      </c>
      <c r="Q155" s="45">
        <f t="array" ref="Q155">_xlfn.IFS($O155="Attacker",6,$O155="Healer",3,$O155="Magician",4,$O155="Defender",3,$O155="Supporter",4)</f>
        <v/>
      </c>
      <c r="R155" s="45">
        <f t="array" ref="R155">_xlfn.IFS($O155="Attacker",6,$O155="Healer",3,$O155="Magician",4,$O155="Defender",3,$O155="Supporter",4)</f>
        <v/>
      </c>
      <c r="S155" s="45" t="n">
        <v>1</v>
      </c>
      <c r="T155" s="45" t="n">
        <v>0</v>
      </c>
      <c r="U155" s="45" t="n">
        <v>0</v>
      </c>
      <c r="V155" s="45" t="inlineStr">
        <is>
          <t>Spd</t>
        </is>
      </c>
      <c r="W155" s="45">
        <f t="array" ref="W155">_xlfn.IFS(O155="Attacker",80,O155="Healer",90,O155="Magician",100,O155="Defender",110,O155="Supporter",120)</f>
        <v/>
      </c>
      <c r="X155" s="45" t="inlineStr">
        <is>
          <t>Hp</t>
        </is>
      </c>
      <c r="Y155" s="32" t="n">
        <v>7500</v>
      </c>
      <c r="Z155" s="32" t="inlineStr">
        <is>
          <t>Atk</t>
        </is>
      </c>
      <c r="AA155" s="32" t="n">
        <v>700</v>
      </c>
      <c r="AB155" s="32" t="inlineStr">
        <is>
          <t>Def</t>
        </is>
      </c>
      <c r="AC155" s="32" t="n">
        <v>0</v>
      </c>
      <c r="AD155" s="32" t="inlineStr">
        <is>
          <t>Penetration</t>
        </is>
      </c>
      <c r="AE155" s="32" t="n">
        <v>0</v>
      </c>
      <c r="AF155" s="45" t="inlineStr">
        <is>
          <t>Hit</t>
        </is>
      </c>
      <c r="AG155" s="45" t="n">
        <v>100</v>
      </c>
      <c r="AH155" s="45" t="inlineStr">
        <is>
          <t>Dodge</t>
        </is>
      </c>
      <c r="AI155" s="45" t="n">
        <v>100</v>
      </c>
      <c r="AJ155" s="45" t="inlineStr">
        <is>
          <t>CriRatio</t>
        </is>
      </c>
      <c r="AK155" s="45" t="n">
        <v>5000</v>
      </c>
      <c r="AL155" s="45" t="inlineStr">
        <is>
          <t>CriDmgRatio</t>
        </is>
      </c>
      <c r="AM155" s="45" t="n">
        <v>150000</v>
      </c>
      <c r="AN155" s="45" t="n">
        <v>1942031</v>
      </c>
      <c r="AO155" s="45" t="b">
        <v>1</v>
      </c>
      <c r="AP155" s="45" t="n">
        <v>0</v>
      </c>
      <c r="AQ155" s="45" t="b">
        <v>0</v>
      </c>
      <c r="AR155" s="45" t="n">
        <v>3942031</v>
      </c>
      <c r="AS155" s="45" t="b">
        <v>1</v>
      </c>
      <c r="AT155" s="45" t="n">
        <v>0</v>
      </c>
      <c r="AU155" s="45" t="b">
        <v>0</v>
      </c>
    </row>
    <row r="156">
      <c r="A156" s="45" t="n">
        <v>12240101</v>
      </c>
      <c r="B156" s="45" t="inlineStr">
        <is>
          <t>로키</t>
        </is>
      </c>
      <c r="C156" s="45" t="n">
        <v>122401</v>
      </c>
      <c r="D156" s="45" t="n">
        <v>0</v>
      </c>
      <c r="E156" s="45" t="inlineStr">
        <is>
          <t>character_name_12240101</t>
        </is>
      </c>
      <c r="F156" s="45" t="n"/>
      <c r="G156" s="45" t="inlineStr">
        <is>
          <t>Boss</t>
        </is>
      </c>
      <c r="H156" s="45" t="inlineStr">
        <is>
          <t>Normal</t>
        </is>
      </c>
      <c r="I156" s="45" t="n">
        <v>1</v>
      </c>
      <c r="J156" s="46" t="inlineStr">
        <is>
          <t>1,1,1</t>
        </is>
      </c>
      <c r="K156" s="68" t="b">
        <v>0</v>
      </c>
      <c r="L156" s="46" t="inlineStr">
        <is>
          <t>0,0,0</t>
        </is>
      </c>
      <c r="M156" s="45" t="n">
        <v>2</v>
      </c>
      <c r="N156" s="45" t="inlineStr">
        <is>
          <t>Dark</t>
        </is>
      </c>
      <c r="O156" s="45" t="inlineStr">
        <is>
          <t>Magician</t>
        </is>
      </c>
      <c r="P156" s="45" t="n">
        <v>200</v>
      </c>
      <c r="Q156" s="45">
        <f t="array" ref="Q156">_xlfn.IFS($O156="Attacker",6,$O156="Healer",3,$O156="Magician",4,$O156="Defender",3,$O156="Supporter",4)</f>
        <v/>
      </c>
      <c r="R156" s="45">
        <f t="array" ref="R156">_xlfn.IFS($O156="Attacker",6,$O156="Healer",3,$O156="Magician",4,$O156="Defender",3,$O156="Supporter",4)</f>
        <v/>
      </c>
      <c r="S156" s="45" t="n">
        <v>1</v>
      </c>
      <c r="T156" s="45" t="n">
        <v>0</v>
      </c>
      <c r="U156" s="45" t="n">
        <v>0</v>
      </c>
      <c r="V156" s="45" t="inlineStr">
        <is>
          <t>Spd</t>
        </is>
      </c>
      <c r="W156" s="45">
        <f t="array" ref="W156">_xlfn.IFS(O156="Attacker",80,O156="Healer",90,O156="Magician",100,O156="Defender",110,O156="Supporter",120)</f>
        <v/>
      </c>
      <c r="X156" s="45" t="inlineStr">
        <is>
          <t>Hp</t>
        </is>
      </c>
      <c r="Y156" s="32" t="n">
        <v>7500</v>
      </c>
      <c r="Z156" s="32" t="inlineStr">
        <is>
          <t>Atk</t>
        </is>
      </c>
      <c r="AA156" s="32" t="n">
        <v>700</v>
      </c>
      <c r="AB156" s="32" t="inlineStr">
        <is>
          <t>Def</t>
        </is>
      </c>
      <c r="AC156" s="32" t="n">
        <v>0</v>
      </c>
      <c r="AD156" s="32" t="inlineStr">
        <is>
          <t>Penetration</t>
        </is>
      </c>
      <c r="AE156" s="32" t="n">
        <v>0</v>
      </c>
      <c r="AF156" s="45" t="inlineStr">
        <is>
          <t>Hit</t>
        </is>
      </c>
      <c r="AG156" s="45" t="n">
        <v>100</v>
      </c>
      <c r="AH156" s="45" t="inlineStr">
        <is>
          <t>Dodge</t>
        </is>
      </c>
      <c r="AI156" s="45" t="n">
        <v>100</v>
      </c>
      <c r="AJ156" s="45" t="inlineStr">
        <is>
          <t>CriRatio</t>
        </is>
      </c>
      <c r="AK156" s="45" t="n">
        <v>5000</v>
      </c>
      <c r="AL156" s="45" t="inlineStr">
        <is>
          <t>CriDmgRatio</t>
        </is>
      </c>
      <c r="AM156" s="45" t="n">
        <v>150000</v>
      </c>
      <c r="AN156" s="45" t="n">
        <v>1942041</v>
      </c>
      <c r="AO156" s="45" t="b">
        <v>1</v>
      </c>
      <c r="AP156" s="45" t="n">
        <v>0</v>
      </c>
      <c r="AQ156" s="45" t="b">
        <v>0</v>
      </c>
      <c r="AR156" s="45" t="n">
        <v>3942041</v>
      </c>
      <c r="AS156" s="45" t="b">
        <v>1</v>
      </c>
      <c r="AT156" s="45" t="n">
        <v>0</v>
      </c>
      <c r="AU156" s="45" t="b">
        <v>0</v>
      </c>
    </row>
    <row r="157" customFormat="1" s="31">
      <c r="A157" s="68" t="n">
        <v>20400102</v>
      </c>
      <c r="B157" s="68" t="inlineStr">
        <is>
          <t>체인킬러</t>
        </is>
      </c>
      <c r="C157" s="68" t="n">
        <v>204001</v>
      </c>
      <c r="D157" s="68" t="n">
        <v>0</v>
      </c>
      <c r="E157" s="68" t="inlineStr">
        <is>
          <t>character_name_20400102</t>
        </is>
      </c>
      <c r="F157" s="68" t="n"/>
      <c r="G157" s="68" t="inlineStr">
        <is>
          <t>Boss</t>
        </is>
      </c>
      <c r="H157" s="68" t="inlineStr">
        <is>
          <t>Normal</t>
        </is>
      </c>
      <c r="I157" s="68" t="n">
        <v>2</v>
      </c>
      <c r="J157" s="24" t="inlineStr">
        <is>
          <t>1,1,1</t>
        </is>
      </c>
      <c r="K157" s="68" t="b">
        <v>0</v>
      </c>
      <c r="L157" s="24" t="inlineStr">
        <is>
          <t>0,0,0</t>
        </is>
      </c>
      <c r="M157" s="68" t="n">
        <v>2</v>
      </c>
      <c r="N157" s="68" t="inlineStr">
        <is>
          <t>Fire</t>
        </is>
      </c>
      <c r="O157" s="68" t="inlineStr">
        <is>
          <t>Defender</t>
        </is>
      </c>
      <c r="P157" s="68" t="n">
        <v>200</v>
      </c>
      <c r="Q157" s="68">
        <f t="array" ref="Q157">_xlfn.IFS($O157="Attacker",6,$O157="Healer",3,$O157="Magician",4,$O157="Defender",3,$O157="Supporter",4)</f>
        <v/>
      </c>
      <c r="R157" s="68">
        <f t="array" ref="R157">_xlfn.IFS($O157="Attacker",6,$O157="Healer",3,$O157="Magician",4,$O157="Defender",3,$O157="Supporter",4)</f>
        <v/>
      </c>
      <c r="S157" s="68" t="n">
        <v>1</v>
      </c>
      <c r="T157" s="68" t="n">
        <v>0</v>
      </c>
      <c r="U157" s="68" t="n">
        <v>0</v>
      </c>
      <c r="V157" s="68" t="inlineStr">
        <is>
          <t>Spd</t>
        </is>
      </c>
      <c r="W157" s="68">
        <f t="array" ref="W157">_xlfn.IFS(O157="Attacker",80,O157="Healer",90,O157="Magician",100,O157="Defender",110,O157="Supporter",120)</f>
        <v/>
      </c>
      <c r="X157" s="68" t="inlineStr">
        <is>
          <t>Hp</t>
        </is>
      </c>
      <c r="Y157" s="68" t="n">
        <v>7500</v>
      </c>
      <c r="Z157" s="68" t="inlineStr">
        <is>
          <t>Atk</t>
        </is>
      </c>
      <c r="AA157" s="68" t="n">
        <v>700</v>
      </c>
      <c r="AB157" s="68" t="inlineStr">
        <is>
          <t>Def</t>
        </is>
      </c>
      <c r="AC157" s="68" t="n">
        <v>20</v>
      </c>
      <c r="AD157" s="68" t="inlineStr">
        <is>
          <t>Penetration</t>
        </is>
      </c>
      <c r="AE157" s="68" t="n">
        <v>0</v>
      </c>
      <c r="AF157" s="68" t="inlineStr">
        <is>
          <t>Hit</t>
        </is>
      </c>
      <c r="AG157" s="68" t="n">
        <v>100</v>
      </c>
      <c r="AH157" s="68" t="inlineStr">
        <is>
          <t>Dodge</t>
        </is>
      </c>
      <c r="AI157" s="68" t="n">
        <v>100</v>
      </c>
      <c r="AJ157" s="68" t="inlineStr">
        <is>
          <t>CriRatio</t>
        </is>
      </c>
      <c r="AK157" s="68" t="n">
        <v>5000</v>
      </c>
      <c r="AL157" s="68" t="inlineStr">
        <is>
          <t>CriDmgRatio</t>
        </is>
      </c>
      <c r="AM157" s="68" t="n">
        <v>150000</v>
      </c>
      <c r="AN157" s="68" t="n">
        <v>1942021</v>
      </c>
      <c r="AO157" s="68" t="b">
        <v>1</v>
      </c>
      <c r="AP157" s="68" t="n">
        <v>0</v>
      </c>
      <c r="AQ157" s="68" t="b">
        <v>0</v>
      </c>
      <c r="AR157" s="68" t="n">
        <v>3942021</v>
      </c>
      <c r="AS157" s="68" t="b">
        <v>1</v>
      </c>
      <c r="AT157" s="68" t="n">
        <v>0</v>
      </c>
      <c r="AU157" s="68" t="b">
        <v>0</v>
      </c>
    </row>
    <row r="158" customFormat="1" s="43">
      <c r="A158" s="30" t="n">
        <v>20540102</v>
      </c>
      <c r="B158" s="30" t="inlineStr">
        <is>
          <t>고모라</t>
        </is>
      </c>
      <c r="C158" s="30" t="n">
        <v>205401</v>
      </c>
      <c r="D158" s="30" t="n">
        <v>0</v>
      </c>
      <c r="E158" s="30" t="inlineStr">
        <is>
          <t>character_name_20540102</t>
        </is>
      </c>
      <c r="F158" s="30" t="n"/>
      <c r="G158" s="30" t="inlineStr">
        <is>
          <t>Boss</t>
        </is>
      </c>
      <c r="H158" s="30" t="inlineStr">
        <is>
          <t>Normal</t>
        </is>
      </c>
      <c r="I158" s="30" t="n">
        <v>2</v>
      </c>
      <c r="J158" s="27" t="inlineStr">
        <is>
          <t>1,1,1</t>
        </is>
      </c>
      <c r="K158" s="68" t="b">
        <v>0</v>
      </c>
      <c r="L158" s="38" t="inlineStr">
        <is>
          <t>0,0,0</t>
        </is>
      </c>
      <c r="M158" s="30" t="n">
        <v>2</v>
      </c>
      <c r="N158" s="30" t="inlineStr">
        <is>
          <t>Light</t>
        </is>
      </c>
      <c r="O158" s="30" t="inlineStr">
        <is>
          <t>Defender</t>
        </is>
      </c>
      <c r="P158" s="30" t="n">
        <v>200</v>
      </c>
      <c r="Q158" s="30">
        <f t="array" ref="Q158">_xlfn.IFS($O158="Attacker",6,$O158="Healer",3,$O158="Magician",4,$O158="Defender",3,$O158="Supporter",4)</f>
        <v/>
      </c>
      <c r="R158" s="30">
        <f t="array" ref="R158">_xlfn.IFS($O158="Attacker",6,$O158="Healer",3,$O158="Magician",4,$O158="Defender",3,$O158="Supporter",4)</f>
        <v/>
      </c>
      <c r="S158" s="30" t="n">
        <v>1</v>
      </c>
      <c r="T158" s="30" t="n">
        <v>0</v>
      </c>
      <c r="U158" s="30" t="n">
        <v>0</v>
      </c>
      <c r="V158" s="30" t="inlineStr">
        <is>
          <t>Spd</t>
        </is>
      </c>
      <c r="W158" s="30">
        <f t="array" ref="W158">_xlfn.IFS(O158="Attacker",80,O158="Healer",90,O158="Magician",100,O158="Defender",110,O158="Supporter",120)</f>
        <v/>
      </c>
      <c r="X158" s="30" t="inlineStr">
        <is>
          <t>Hp</t>
        </is>
      </c>
      <c r="Y158" s="68" t="n">
        <v>7500</v>
      </c>
      <c r="Z158" s="68" t="inlineStr">
        <is>
          <t>Atk</t>
        </is>
      </c>
      <c r="AA158" s="68" t="n">
        <v>700</v>
      </c>
      <c r="AB158" s="68" t="inlineStr">
        <is>
          <t>Def</t>
        </is>
      </c>
      <c r="AC158" s="68" t="n">
        <v>20</v>
      </c>
      <c r="AD158" s="68" t="inlineStr">
        <is>
          <t>Penetration</t>
        </is>
      </c>
      <c r="AE158" s="68" t="n">
        <v>0</v>
      </c>
      <c r="AF158" s="30" t="inlineStr">
        <is>
          <t>Hit</t>
        </is>
      </c>
      <c r="AG158" s="30" t="n">
        <v>100</v>
      </c>
      <c r="AH158" s="30" t="inlineStr">
        <is>
          <t>Dodge</t>
        </is>
      </c>
      <c r="AI158" s="30" t="n">
        <v>100</v>
      </c>
      <c r="AJ158" s="30" t="inlineStr">
        <is>
          <t>CriRatio</t>
        </is>
      </c>
      <c r="AK158" s="30" t="n">
        <v>5000</v>
      </c>
      <c r="AL158" s="30" t="inlineStr">
        <is>
          <t>CriDmgRatio</t>
        </is>
      </c>
      <c r="AM158" s="30" t="n">
        <v>150000</v>
      </c>
      <c r="AN158" s="30" t="n">
        <v>1942051</v>
      </c>
      <c r="AO158" s="30" t="b">
        <v>1</v>
      </c>
      <c r="AP158" s="30" t="n">
        <v>2942051</v>
      </c>
      <c r="AQ158" s="30" t="b">
        <v>1</v>
      </c>
      <c r="AR158" s="30" t="n">
        <v>3942051</v>
      </c>
      <c r="AS158" s="30" t="b">
        <v>1</v>
      </c>
      <c r="AT158" s="30" t="n">
        <v>0</v>
      </c>
      <c r="AU158" s="30" t="b">
        <v>0</v>
      </c>
    </row>
    <row r="159" customFormat="1" s="44">
      <c r="A159" s="30" t="n">
        <v>20380102</v>
      </c>
      <c r="B159" s="30" t="inlineStr">
        <is>
          <t>디아블로</t>
        </is>
      </c>
      <c r="C159" s="30" t="n">
        <v>203801</v>
      </c>
      <c r="D159" s="30" t="n">
        <v>0</v>
      </c>
      <c r="E159" s="30" t="inlineStr">
        <is>
          <t>character_name_20380102</t>
        </is>
      </c>
      <c r="F159" s="30" t="n"/>
      <c r="G159" s="30" t="inlineStr">
        <is>
          <t>Boss</t>
        </is>
      </c>
      <c r="H159" s="30" t="inlineStr">
        <is>
          <t>Normal</t>
        </is>
      </c>
      <c r="I159" s="30" t="n">
        <v>2</v>
      </c>
      <c r="J159" s="38" t="inlineStr">
        <is>
          <t>1,1,1</t>
        </is>
      </c>
      <c r="K159" s="68" t="b">
        <v>0</v>
      </c>
      <c r="L159" s="38" t="inlineStr">
        <is>
          <t>0,0,0</t>
        </is>
      </c>
      <c r="M159" s="30" t="n">
        <v>2</v>
      </c>
      <c r="N159" s="30" t="inlineStr">
        <is>
          <t>Light</t>
        </is>
      </c>
      <c r="O159" s="30" t="inlineStr">
        <is>
          <t>Defender</t>
        </is>
      </c>
      <c r="P159" s="30" t="n">
        <v>200</v>
      </c>
      <c r="Q159" s="30">
        <f t="array" ref="Q159">_xlfn.IFS($O159="Attacker",6,$O159="Healer",3,$O159="Magician",4,$O159="Defender",3,$O159="Supporter",4)</f>
        <v/>
      </c>
      <c r="R159" s="30">
        <f t="array" ref="R159">_xlfn.IFS($O159="Attacker",6,$O159="Healer",3,$O159="Magician",4,$O159="Defender",3,$O159="Supporter",4)</f>
        <v/>
      </c>
      <c r="S159" s="30" t="n">
        <v>1</v>
      </c>
      <c r="T159" s="30" t="n">
        <v>0</v>
      </c>
      <c r="U159" s="30" t="n">
        <v>0</v>
      </c>
      <c r="V159" s="30" t="inlineStr">
        <is>
          <t>Spd</t>
        </is>
      </c>
      <c r="W159" s="30">
        <f t="array" ref="W159">_xlfn.IFS(O159="Attacker",80,O159="Healer",90,O159="Magician",100,O159="Defender",110,O159="Supporter",120)</f>
        <v/>
      </c>
      <c r="X159" s="30" t="inlineStr">
        <is>
          <t>Hp</t>
        </is>
      </c>
      <c r="Y159" s="68" t="n">
        <v>7500</v>
      </c>
      <c r="Z159" s="68" t="inlineStr">
        <is>
          <t>Atk</t>
        </is>
      </c>
      <c r="AA159" s="68" t="n">
        <v>700</v>
      </c>
      <c r="AB159" s="68" t="inlineStr">
        <is>
          <t>Def</t>
        </is>
      </c>
      <c r="AC159" s="68" t="n">
        <v>20</v>
      </c>
      <c r="AD159" s="68" t="inlineStr">
        <is>
          <t>Penetration</t>
        </is>
      </c>
      <c r="AE159" s="68" t="n">
        <v>0</v>
      </c>
      <c r="AF159" s="30" t="inlineStr">
        <is>
          <t>Hit</t>
        </is>
      </c>
      <c r="AG159" s="30" t="n">
        <v>100</v>
      </c>
      <c r="AH159" s="30" t="inlineStr">
        <is>
          <t>Dodge</t>
        </is>
      </c>
      <c r="AI159" s="30" t="n">
        <v>100</v>
      </c>
      <c r="AJ159" s="30" t="inlineStr">
        <is>
          <t>CriRatio</t>
        </is>
      </c>
      <c r="AK159" s="30" t="n">
        <v>5000</v>
      </c>
      <c r="AL159" s="30" t="inlineStr">
        <is>
          <t>CriDmgRatio</t>
        </is>
      </c>
      <c r="AM159" s="30" t="n">
        <v>150000</v>
      </c>
      <c r="AN159" s="30" t="n">
        <v>1942011</v>
      </c>
      <c r="AO159" s="30" t="b">
        <v>1</v>
      </c>
      <c r="AP159" s="30" t="n">
        <v>0</v>
      </c>
      <c r="AQ159" s="30" t="b">
        <v>0</v>
      </c>
      <c r="AR159" s="30" t="n">
        <v>3942011</v>
      </c>
      <c r="AS159" s="30" t="b">
        <v>1</v>
      </c>
      <c r="AT159" s="30" t="n">
        <v>0</v>
      </c>
      <c r="AU159" s="30" t="b">
        <v>0</v>
      </c>
    </row>
    <row r="160" customFormat="1" s="44">
      <c r="A160" s="29" t="n">
        <v>20510102</v>
      </c>
      <c r="B160" s="29" t="inlineStr">
        <is>
          <t>하데스</t>
        </is>
      </c>
      <c r="C160" s="29" t="n">
        <v>205101</v>
      </c>
      <c r="D160" s="29" t="n">
        <v>0</v>
      </c>
      <c r="E160" s="29" t="inlineStr">
        <is>
          <t>character_name_20510102</t>
        </is>
      </c>
      <c r="F160" s="29" t="n"/>
      <c r="G160" s="29" t="inlineStr">
        <is>
          <t>Boss</t>
        </is>
      </c>
      <c r="H160" s="29" t="inlineStr">
        <is>
          <t>Normal</t>
        </is>
      </c>
      <c r="I160" s="29" t="n">
        <v>2</v>
      </c>
      <c r="J160" s="27" t="inlineStr">
        <is>
          <t>1,1,1</t>
        </is>
      </c>
      <c r="K160" s="68" t="b">
        <v>0</v>
      </c>
      <c r="L160" s="27" t="inlineStr">
        <is>
          <t>0,0,0</t>
        </is>
      </c>
      <c r="M160" s="29" t="n">
        <v>2</v>
      </c>
      <c r="N160" s="29" t="inlineStr">
        <is>
          <t>Fire</t>
        </is>
      </c>
      <c r="O160" s="29" t="inlineStr">
        <is>
          <t>Defender</t>
        </is>
      </c>
      <c r="P160" s="29" t="n">
        <v>200</v>
      </c>
      <c r="Q160" s="29">
        <f t="array" ref="Q160">_xlfn.IFS($O160="Attacker",6,$O160="Healer",3,$O160="Magician",4,$O160="Defender",3,$O160="Supporter",4)</f>
        <v/>
      </c>
      <c r="R160" s="29">
        <f t="array" ref="R160">_xlfn.IFS($O160="Attacker",6,$O160="Healer",3,$O160="Magician",4,$O160="Defender",3,$O160="Supporter",4)</f>
        <v/>
      </c>
      <c r="S160" s="29" t="n">
        <v>1</v>
      </c>
      <c r="T160" s="29" t="n">
        <v>0</v>
      </c>
      <c r="U160" s="29" t="n">
        <v>0</v>
      </c>
      <c r="V160" s="29" t="inlineStr">
        <is>
          <t>Spd</t>
        </is>
      </c>
      <c r="W160" s="29">
        <f t="array" ref="W160">_xlfn.IFS(O160="Attacker",80,O160="Healer",90,O160="Magician",100,O160="Defender",110,O160="Supporter",120)</f>
        <v/>
      </c>
      <c r="X160" s="29" t="inlineStr">
        <is>
          <t>Hp</t>
        </is>
      </c>
      <c r="Y160" s="68" t="n">
        <v>7500</v>
      </c>
      <c r="Z160" s="68" t="inlineStr">
        <is>
          <t>Atk</t>
        </is>
      </c>
      <c r="AA160" s="68" t="n">
        <v>700</v>
      </c>
      <c r="AB160" s="68" t="inlineStr">
        <is>
          <t>Def</t>
        </is>
      </c>
      <c r="AC160" s="68" t="n">
        <v>20</v>
      </c>
      <c r="AD160" s="68" t="inlineStr">
        <is>
          <t>Penetration</t>
        </is>
      </c>
      <c r="AE160" s="68" t="n">
        <v>0</v>
      </c>
      <c r="AF160" s="29" t="inlineStr">
        <is>
          <t>Hit</t>
        </is>
      </c>
      <c r="AG160" s="29" t="n">
        <v>100</v>
      </c>
      <c r="AH160" s="29" t="inlineStr">
        <is>
          <t>Dodge</t>
        </is>
      </c>
      <c r="AI160" s="29" t="n">
        <v>100</v>
      </c>
      <c r="AJ160" s="29" t="inlineStr">
        <is>
          <t>CriRatio</t>
        </is>
      </c>
      <c r="AK160" s="29" t="n">
        <v>5000</v>
      </c>
      <c r="AL160" s="29" t="inlineStr">
        <is>
          <t>CriDmgRatio</t>
        </is>
      </c>
      <c r="AM160" s="29" t="n">
        <v>150000</v>
      </c>
      <c r="AN160" s="29" t="n">
        <v>1942031</v>
      </c>
      <c r="AO160" s="29" t="b">
        <v>1</v>
      </c>
      <c r="AP160" s="29" t="n">
        <v>0</v>
      </c>
      <c r="AQ160" s="29" t="b">
        <v>0</v>
      </c>
      <c r="AR160" s="29" t="n">
        <v>3942031</v>
      </c>
      <c r="AS160" s="29" t="b">
        <v>1</v>
      </c>
      <c r="AT160" s="29" t="n">
        <v>0</v>
      </c>
      <c r="AU160" s="29" t="b">
        <v>0</v>
      </c>
    </row>
    <row r="161" customFormat="1" s="47">
      <c r="A161" s="29" t="n">
        <v>12240102</v>
      </c>
      <c r="B161" s="29" t="inlineStr">
        <is>
          <t>로키</t>
        </is>
      </c>
      <c r="C161" s="29" t="n">
        <v>122401</v>
      </c>
      <c r="D161" s="29" t="n">
        <v>0</v>
      </c>
      <c r="E161" s="29" t="inlineStr">
        <is>
          <t>character_name_12240102</t>
        </is>
      </c>
      <c r="F161" s="29" t="n"/>
      <c r="G161" s="29" t="inlineStr">
        <is>
          <t>Boss</t>
        </is>
      </c>
      <c r="H161" s="29" t="inlineStr">
        <is>
          <t>Normal</t>
        </is>
      </c>
      <c r="I161" s="29" t="n">
        <v>2</v>
      </c>
      <c r="J161" s="27" t="inlineStr">
        <is>
          <t>1,1,1</t>
        </is>
      </c>
      <c r="K161" s="68" t="b">
        <v>0</v>
      </c>
      <c r="L161" s="27" t="inlineStr">
        <is>
          <t>0,0,0</t>
        </is>
      </c>
      <c r="M161" s="29" t="n">
        <v>2</v>
      </c>
      <c r="N161" s="29" t="inlineStr">
        <is>
          <t>Dark</t>
        </is>
      </c>
      <c r="O161" s="29" t="inlineStr">
        <is>
          <t>Magician</t>
        </is>
      </c>
      <c r="P161" s="29" t="n">
        <v>200</v>
      </c>
      <c r="Q161" s="29">
        <f t="array" ref="Q161">_xlfn.IFS($O161="Attacker",6,$O161="Healer",3,$O161="Magician",4,$O161="Defender",3,$O161="Supporter",4)</f>
        <v/>
      </c>
      <c r="R161" s="29">
        <f t="array" ref="R161">_xlfn.IFS($O161="Attacker",6,$O161="Healer",3,$O161="Magician",4,$O161="Defender",3,$O161="Supporter",4)</f>
        <v/>
      </c>
      <c r="S161" s="29" t="n">
        <v>1</v>
      </c>
      <c r="T161" s="29" t="n">
        <v>0</v>
      </c>
      <c r="U161" s="29" t="n">
        <v>0</v>
      </c>
      <c r="V161" s="29" t="inlineStr">
        <is>
          <t>Spd</t>
        </is>
      </c>
      <c r="W161" s="29">
        <f t="array" ref="W161">_xlfn.IFS(O161="Attacker",80,O161="Healer",90,O161="Magician",100,O161="Defender",110,O161="Supporter",120)</f>
        <v/>
      </c>
      <c r="X161" s="29" t="inlineStr">
        <is>
          <t>Hp</t>
        </is>
      </c>
      <c r="Y161" s="68" t="n">
        <v>7500</v>
      </c>
      <c r="Z161" s="68" t="inlineStr">
        <is>
          <t>Atk</t>
        </is>
      </c>
      <c r="AA161" s="68" t="n">
        <v>700</v>
      </c>
      <c r="AB161" s="68" t="inlineStr">
        <is>
          <t>Def</t>
        </is>
      </c>
      <c r="AC161" s="68" t="n">
        <v>20</v>
      </c>
      <c r="AD161" s="68" t="inlineStr">
        <is>
          <t>Penetration</t>
        </is>
      </c>
      <c r="AE161" s="68" t="n">
        <v>0</v>
      </c>
      <c r="AF161" s="29" t="inlineStr">
        <is>
          <t>Hit</t>
        </is>
      </c>
      <c r="AG161" s="29" t="n">
        <v>100</v>
      </c>
      <c r="AH161" s="29" t="inlineStr">
        <is>
          <t>Dodge</t>
        </is>
      </c>
      <c r="AI161" s="29" t="n">
        <v>100</v>
      </c>
      <c r="AJ161" s="29" t="inlineStr">
        <is>
          <t>CriRatio</t>
        </is>
      </c>
      <c r="AK161" s="29" t="n">
        <v>5000</v>
      </c>
      <c r="AL161" s="29" t="inlineStr">
        <is>
          <t>CriDmgRatio</t>
        </is>
      </c>
      <c r="AM161" s="29" t="n">
        <v>150000</v>
      </c>
      <c r="AN161" s="29" t="n">
        <v>1942041</v>
      </c>
      <c r="AO161" s="29" t="b">
        <v>1</v>
      </c>
      <c r="AP161" s="29" t="n">
        <v>0</v>
      </c>
      <c r="AQ161" s="29" t="b">
        <v>0</v>
      </c>
      <c r="AR161" s="29" t="n">
        <v>3942041</v>
      </c>
      <c r="AS161" s="29" t="b">
        <v>1</v>
      </c>
      <c r="AT161" s="29" t="n">
        <v>0</v>
      </c>
      <c r="AU161" s="29" t="b">
        <v>0</v>
      </c>
    </row>
    <row r="162" customFormat="1" s="47">
      <c r="A162" s="48" t="n">
        <v>20380103</v>
      </c>
      <c r="B162" s="48" t="inlineStr">
        <is>
          <t>디아블로</t>
        </is>
      </c>
      <c r="C162" s="48" t="n">
        <v>203801</v>
      </c>
      <c r="D162" s="48" t="n">
        <v>0</v>
      </c>
      <c r="E162" s="48" t="inlineStr">
        <is>
          <t>character_name_20380103</t>
        </is>
      </c>
      <c r="F162" s="48" t="n"/>
      <c r="G162" s="48" t="inlineStr">
        <is>
          <t>Boss</t>
        </is>
      </c>
      <c r="H162" s="48" t="inlineStr">
        <is>
          <t>Normal</t>
        </is>
      </c>
      <c r="I162" s="48" t="n">
        <v>3</v>
      </c>
      <c r="J162" s="49" t="inlineStr">
        <is>
          <t>1,1,1</t>
        </is>
      </c>
      <c r="K162" s="68" t="b">
        <v>0</v>
      </c>
      <c r="L162" s="49" t="inlineStr">
        <is>
          <t>0,0,0</t>
        </is>
      </c>
      <c r="M162" s="48" t="n">
        <v>2</v>
      </c>
      <c r="N162" s="48" t="inlineStr">
        <is>
          <t>Light</t>
        </is>
      </c>
      <c r="O162" s="48" t="inlineStr">
        <is>
          <t>Defender</t>
        </is>
      </c>
      <c r="P162" s="48" t="n">
        <v>200</v>
      </c>
      <c r="Q162" s="48">
        <f t="array" ref="Q162">_xlfn.IFS($O162="Attacker",6,$O162="Healer",3,$O162="Magician",4,$O162="Defender",3,$O162="Supporter",4)</f>
        <v/>
      </c>
      <c r="R162" s="48">
        <f t="array" ref="R162">_xlfn.IFS($O162="Attacker",6,$O162="Healer",3,$O162="Magician",4,$O162="Defender",3,$O162="Supporter",4)</f>
        <v/>
      </c>
      <c r="S162" s="48" t="n">
        <v>1</v>
      </c>
      <c r="T162" s="48" t="n">
        <v>0</v>
      </c>
      <c r="U162" s="48" t="n">
        <v>0</v>
      </c>
      <c r="V162" s="48" t="inlineStr">
        <is>
          <t>Spd</t>
        </is>
      </c>
      <c r="W162" s="48">
        <f t="array" ref="W162">_xlfn.IFS(O162="Attacker",80,O162="Healer",90,O162="Magician",100,O162="Defender",110,O162="Supporter",120)</f>
        <v/>
      </c>
      <c r="X162" s="48" t="inlineStr">
        <is>
          <t>Hp</t>
        </is>
      </c>
      <c r="Y162" s="32" t="n">
        <v>20000</v>
      </c>
      <c r="Z162" s="32" t="inlineStr">
        <is>
          <t>Atk</t>
        </is>
      </c>
      <c r="AA162" s="32" t="n">
        <v>1125</v>
      </c>
      <c r="AB162" s="32" t="inlineStr">
        <is>
          <t>Def</t>
        </is>
      </c>
      <c r="AC162" s="32" t="n">
        <v>0</v>
      </c>
      <c r="AD162" s="32" t="inlineStr">
        <is>
          <t>Penetration</t>
        </is>
      </c>
      <c r="AE162" s="32" t="n">
        <v>0</v>
      </c>
      <c r="AF162" s="48" t="inlineStr">
        <is>
          <t>Hit</t>
        </is>
      </c>
      <c r="AG162" s="48" t="n">
        <v>100</v>
      </c>
      <c r="AH162" s="48" t="inlineStr">
        <is>
          <t>Dodge</t>
        </is>
      </c>
      <c r="AI162" s="48" t="n">
        <v>80</v>
      </c>
      <c r="AJ162" s="48" t="inlineStr">
        <is>
          <t>CriRatio</t>
        </is>
      </c>
      <c r="AK162" s="48" t="n">
        <v>5000</v>
      </c>
      <c r="AL162" s="48" t="inlineStr">
        <is>
          <t>CriDmgRatio</t>
        </is>
      </c>
      <c r="AM162" s="48" t="n">
        <v>150000</v>
      </c>
      <c r="AN162" s="48" t="n">
        <v>1942011</v>
      </c>
      <c r="AO162" s="48" t="b">
        <v>1</v>
      </c>
      <c r="AP162" s="48" t="n">
        <v>0</v>
      </c>
      <c r="AQ162" s="48" t="b">
        <v>0</v>
      </c>
      <c r="AR162" s="48" t="n">
        <v>3942011</v>
      </c>
      <c r="AS162" s="48" t="b">
        <v>1</v>
      </c>
      <c r="AT162" s="48" t="n">
        <v>0</v>
      </c>
      <c r="AU162" s="48" t="b">
        <v>0</v>
      </c>
    </row>
    <row r="163">
      <c r="A163" s="32" t="n">
        <v>20400103</v>
      </c>
      <c r="B163" s="32" t="inlineStr">
        <is>
          <t>체인킬러</t>
        </is>
      </c>
      <c r="C163" s="32" t="n">
        <v>204001</v>
      </c>
      <c r="D163" s="32" t="n">
        <v>0</v>
      </c>
      <c r="E163" s="32" t="inlineStr">
        <is>
          <t>character_name_20400103</t>
        </is>
      </c>
      <c r="F163" s="32" t="n"/>
      <c r="G163" s="32" t="inlineStr">
        <is>
          <t>Boss</t>
        </is>
      </c>
      <c r="H163" s="32" t="inlineStr">
        <is>
          <t>Normal</t>
        </is>
      </c>
      <c r="I163" s="32" t="n">
        <v>3</v>
      </c>
      <c r="J163" s="42" t="inlineStr">
        <is>
          <t>1,1,1</t>
        </is>
      </c>
      <c r="K163" s="68" t="b">
        <v>0</v>
      </c>
      <c r="L163" s="42" t="inlineStr">
        <is>
          <t>0,0,0</t>
        </is>
      </c>
      <c r="M163" s="32" t="n">
        <v>2</v>
      </c>
      <c r="N163" s="32" t="inlineStr">
        <is>
          <t>Fire</t>
        </is>
      </c>
      <c r="O163" s="32" t="inlineStr">
        <is>
          <t>Defender</t>
        </is>
      </c>
      <c r="P163" s="32" t="n">
        <v>200</v>
      </c>
      <c r="Q163" s="32">
        <f t="array" ref="Q163">_xlfn.IFS($O163="Attacker",6,$O163="Healer",3,$O163="Magician",4,$O163="Defender",3,$O163="Supporter",4)</f>
        <v/>
      </c>
      <c r="R163" s="32">
        <f t="array" ref="R163">_xlfn.IFS($O163="Attacker",6,$O163="Healer",3,$O163="Magician",4,$O163="Defender",3,$O163="Supporter",4)</f>
        <v/>
      </c>
      <c r="S163" s="32" t="n">
        <v>1</v>
      </c>
      <c r="T163" s="32" t="n">
        <v>0</v>
      </c>
      <c r="U163" s="32" t="n">
        <v>0</v>
      </c>
      <c r="V163" s="32" t="inlineStr">
        <is>
          <t>Spd</t>
        </is>
      </c>
      <c r="W163" s="32">
        <f t="array" ref="W163">_xlfn.IFS(O163="Attacker",80,O163="Healer",90,O163="Magician",100,O163="Defender",110,O163="Supporter",120)</f>
        <v/>
      </c>
      <c r="X163" s="32" t="inlineStr">
        <is>
          <t>Hp</t>
        </is>
      </c>
      <c r="Y163" s="32" t="n">
        <v>20000</v>
      </c>
      <c r="Z163" s="32" t="inlineStr">
        <is>
          <t>Atk</t>
        </is>
      </c>
      <c r="AA163" s="32" t="n">
        <v>1125</v>
      </c>
      <c r="AB163" s="32" t="inlineStr">
        <is>
          <t>Def</t>
        </is>
      </c>
      <c r="AC163" s="32" t="n">
        <v>0</v>
      </c>
      <c r="AD163" s="32" t="inlineStr">
        <is>
          <t>Penetration</t>
        </is>
      </c>
      <c r="AE163" s="32" t="n">
        <v>0</v>
      </c>
      <c r="AF163" s="32" t="inlineStr">
        <is>
          <t>Hit</t>
        </is>
      </c>
      <c r="AG163" s="32" t="n">
        <v>100</v>
      </c>
      <c r="AH163" s="32" t="inlineStr">
        <is>
          <t>Dodge</t>
        </is>
      </c>
      <c r="AI163" s="32" t="n">
        <v>80</v>
      </c>
      <c r="AJ163" s="32" t="inlineStr">
        <is>
          <t>CriRatio</t>
        </is>
      </c>
      <c r="AK163" s="32" t="n">
        <v>5000</v>
      </c>
      <c r="AL163" s="32" t="inlineStr">
        <is>
          <t>CriDmgRatio</t>
        </is>
      </c>
      <c r="AM163" s="32" t="n">
        <v>150000</v>
      </c>
      <c r="AN163" s="32" t="n">
        <v>1942021</v>
      </c>
      <c r="AO163" s="32" t="b">
        <v>1</v>
      </c>
      <c r="AP163" s="32" t="n">
        <v>0</v>
      </c>
      <c r="AQ163" s="32" t="b">
        <v>0</v>
      </c>
      <c r="AR163" s="32" t="n">
        <v>3942021</v>
      </c>
      <c r="AS163" s="32" t="b">
        <v>1</v>
      </c>
      <c r="AT163" s="32" t="n">
        <v>0</v>
      </c>
      <c r="AU163" s="32" t="b">
        <v>0</v>
      </c>
    </row>
    <row r="164" customFormat="1" s="31">
      <c r="A164" s="45" t="n">
        <v>20510103</v>
      </c>
      <c r="B164" s="45" t="inlineStr">
        <is>
          <t>하데스</t>
        </is>
      </c>
      <c r="C164" s="45" t="n">
        <v>205101</v>
      </c>
      <c r="D164" s="45" t="n">
        <v>0</v>
      </c>
      <c r="E164" s="45" t="inlineStr">
        <is>
          <t>character_name_20510103</t>
        </is>
      </c>
      <c r="F164" s="45" t="n"/>
      <c r="G164" s="45" t="inlineStr">
        <is>
          <t>Boss</t>
        </is>
      </c>
      <c r="H164" s="45" t="inlineStr">
        <is>
          <t>Normal</t>
        </is>
      </c>
      <c r="I164" s="45" t="n">
        <v>3</v>
      </c>
      <c r="J164" s="46" t="inlineStr">
        <is>
          <t>1,1,1</t>
        </is>
      </c>
      <c r="K164" s="68" t="b">
        <v>0</v>
      </c>
      <c r="L164" s="46" t="inlineStr">
        <is>
          <t>0,0,0</t>
        </is>
      </c>
      <c r="M164" s="45" t="n">
        <v>2</v>
      </c>
      <c r="N164" s="45" t="inlineStr">
        <is>
          <t>Fire</t>
        </is>
      </c>
      <c r="O164" s="45" t="inlineStr">
        <is>
          <t>Defender</t>
        </is>
      </c>
      <c r="P164" s="45" t="n">
        <v>200</v>
      </c>
      <c r="Q164" s="45">
        <f t="array" ref="Q164">_xlfn.IFS($O164="Attacker",6,$O164="Healer",3,$O164="Magician",4,$O164="Defender",3,$O164="Supporter",4)</f>
        <v/>
      </c>
      <c r="R164" s="45">
        <f t="array" ref="R164">_xlfn.IFS($O164="Attacker",6,$O164="Healer",3,$O164="Magician",4,$O164="Defender",3,$O164="Supporter",4)</f>
        <v/>
      </c>
      <c r="S164" s="45" t="n">
        <v>1</v>
      </c>
      <c r="T164" s="45" t="n">
        <v>0</v>
      </c>
      <c r="U164" s="45" t="n">
        <v>0</v>
      </c>
      <c r="V164" s="45" t="inlineStr">
        <is>
          <t>Spd</t>
        </is>
      </c>
      <c r="W164" s="45">
        <f t="array" ref="W164">_xlfn.IFS(O164="Attacker",80,O164="Healer",90,O164="Magician",100,O164="Defender",110,O164="Supporter",120)</f>
        <v/>
      </c>
      <c r="X164" s="45" t="inlineStr">
        <is>
          <t>Hp</t>
        </is>
      </c>
      <c r="Y164" s="32" t="n">
        <v>20000</v>
      </c>
      <c r="Z164" s="32" t="inlineStr">
        <is>
          <t>Atk</t>
        </is>
      </c>
      <c r="AA164" s="32" t="n">
        <v>1125</v>
      </c>
      <c r="AB164" s="32" t="inlineStr">
        <is>
          <t>Def</t>
        </is>
      </c>
      <c r="AC164" s="32" t="n">
        <v>0</v>
      </c>
      <c r="AD164" s="32" t="inlineStr">
        <is>
          <t>Penetration</t>
        </is>
      </c>
      <c r="AE164" s="32" t="n">
        <v>0</v>
      </c>
      <c r="AF164" s="45" t="inlineStr">
        <is>
          <t>Hit</t>
        </is>
      </c>
      <c r="AG164" s="45" t="n">
        <v>100</v>
      </c>
      <c r="AH164" s="45" t="inlineStr">
        <is>
          <t>Dodge</t>
        </is>
      </c>
      <c r="AI164" s="45" t="n">
        <v>80</v>
      </c>
      <c r="AJ164" s="45" t="inlineStr">
        <is>
          <t>CriRatio</t>
        </is>
      </c>
      <c r="AK164" s="45" t="n">
        <v>5000</v>
      </c>
      <c r="AL164" s="45" t="inlineStr">
        <is>
          <t>CriDmgRatio</t>
        </is>
      </c>
      <c r="AM164" s="45" t="n">
        <v>150000</v>
      </c>
      <c r="AN164" s="45" t="n">
        <v>1942031</v>
      </c>
      <c r="AO164" s="45" t="b">
        <v>1</v>
      </c>
      <c r="AP164" s="45" t="n">
        <v>0</v>
      </c>
      <c r="AQ164" s="45" t="b">
        <v>0</v>
      </c>
      <c r="AR164" s="45" t="n">
        <v>3942031</v>
      </c>
      <c r="AS164" s="45" t="b">
        <v>1</v>
      </c>
      <c r="AT164" s="45" t="n">
        <v>0</v>
      </c>
      <c r="AU164" s="45" t="b">
        <v>0</v>
      </c>
    </row>
    <row r="165" customFormat="1" s="31">
      <c r="A165" s="48" t="n">
        <v>20540103</v>
      </c>
      <c r="B165" s="48" t="inlineStr">
        <is>
          <t>고모라</t>
        </is>
      </c>
      <c r="C165" s="48" t="n">
        <v>205401</v>
      </c>
      <c r="D165" s="48" t="n">
        <v>0</v>
      </c>
      <c r="E165" s="48" t="inlineStr">
        <is>
          <t>character_name_20540103</t>
        </is>
      </c>
      <c r="F165" s="48" t="n"/>
      <c r="G165" s="48" t="inlineStr">
        <is>
          <t>Boss</t>
        </is>
      </c>
      <c r="H165" s="48" t="inlineStr">
        <is>
          <t>Normal</t>
        </is>
      </c>
      <c r="I165" s="48" t="n">
        <v>3</v>
      </c>
      <c r="J165" s="46" t="inlineStr">
        <is>
          <t>1,1,1</t>
        </is>
      </c>
      <c r="K165" s="68" t="b">
        <v>0</v>
      </c>
      <c r="L165" s="49" t="inlineStr">
        <is>
          <t>0,0,0</t>
        </is>
      </c>
      <c r="M165" s="48" t="n">
        <v>2</v>
      </c>
      <c r="N165" s="48" t="inlineStr">
        <is>
          <t>Fire</t>
        </is>
      </c>
      <c r="O165" s="48" t="inlineStr">
        <is>
          <t>Defender</t>
        </is>
      </c>
      <c r="P165" s="48" t="n">
        <v>200</v>
      </c>
      <c r="Q165" s="48">
        <f t="array" ref="Q165">_xlfn.IFS($O165="Attacker",6,$O165="Healer",3,$O165="Magician",4,$O165="Defender",3,$O165="Supporter",4)</f>
        <v/>
      </c>
      <c r="R165" s="48">
        <f t="array" ref="R165">_xlfn.IFS($O165="Attacker",6,$O165="Healer",3,$O165="Magician",4,$O165="Defender",3,$O165="Supporter",4)</f>
        <v/>
      </c>
      <c r="S165" s="48" t="n">
        <v>1</v>
      </c>
      <c r="T165" s="48" t="n">
        <v>0</v>
      </c>
      <c r="U165" s="48" t="n">
        <v>0</v>
      </c>
      <c r="V165" s="48" t="inlineStr">
        <is>
          <t>Spd</t>
        </is>
      </c>
      <c r="W165" s="48">
        <f t="array" ref="W165">_xlfn.IFS(O165="Attacker",80,O165="Healer",90,O165="Magician",100,O165="Defender",110,O165="Supporter",120)</f>
        <v/>
      </c>
      <c r="X165" s="48" t="inlineStr">
        <is>
          <t>Hp</t>
        </is>
      </c>
      <c r="Y165" s="32" t="n">
        <v>20000</v>
      </c>
      <c r="Z165" s="32" t="inlineStr">
        <is>
          <t>Atk</t>
        </is>
      </c>
      <c r="AA165" s="32" t="n">
        <v>1125</v>
      </c>
      <c r="AB165" s="32" t="inlineStr">
        <is>
          <t>Def</t>
        </is>
      </c>
      <c r="AC165" s="32" t="n">
        <v>0</v>
      </c>
      <c r="AD165" s="32" t="inlineStr">
        <is>
          <t>Penetration</t>
        </is>
      </c>
      <c r="AE165" s="32" t="n">
        <v>0</v>
      </c>
      <c r="AF165" s="48" t="inlineStr">
        <is>
          <t>Hit</t>
        </is>
      </c>
      <c r="AG165" s="48" t="n">
        <v>100</v>
      </c>
      <c r="AH165" s="48" t="inlineStr">
        <is>
          <t>Dodge</t>
        </is>
      </c>
      <c r="AI165" s="48" t="n">
        <v>80</v>
      </c>
      <c r="AJ165" s="48" t="inlineStr">
        <is>
          <t>CriRatio</t>
        </is>
      </c>
      <c r="AK165" s="48" t="n">
        <v>5000</v>
      </c>
      <c r="AL165" s="48" t="inlineStr">
        <is>
          <t>CriDmgRatio</t>
        </is>
      </c>
      <c r="AM165" s="48" t="n">
        <v>150000</v>
      </c>
      <c r="AN165" s="48" t="n">
        <v>1942051</v>
      </c>
      <c r="AO165" s="48" t="b">
        <v>1</v>
      </c>
      <c r="AP165" s="48" t="n">
        <v>2942051</v>
      </c>
      <c r="AQ165" s="48" t="b">
        <v>1</v>
      </c>
      <c r="AR165" s="48" t="n">
        <v>3942051</v>
      </c>
      <c r="AS165" s="48" t="b">
        <v>1</v>
      </c>
      <c r="AT165" s="48" t="n">
        <v>0</v>
      </c>
      <c r="AU165" s="48" t="b">
        <v>0</v>
      </c>
    </row>
    <row r="166" customFormat="1" s="11">
      <c r="A166" s="45" t="n">
        <v>12240103</v>
      </c>
      <c r="B166" s="45" t="inlineStr">
        <is>
          <t>로키</t>
        </is>
      </c>
      <c r="C166" s="45" t="n">
        <v>122401</v>
      </c>
      <c r="D166" s="45" t="n">
        <v>0</v>
      </c>
      <c r="E166" s="45" t="inlineStr">
        <is>
          <t>character_name_12240103</t>
        </is>
      </c>
      <c r="F166" s="45" t="n"/>
      <c r="G166" s="45" t="inlineStr">
        <is>
          <t>Boss</t>
        </is>
      </c>
      <c r="H166" s="45" t="inlineStr">
        <is>
          <t>Normal</t>
        </is>
      </c>
      <c r="I166" s="45" t="n">
        <v>3</v>
      </c>
      <c r="J166" s="46" t="inlineStr">
        <is>
          <t>1,1,1</t>
        </is>
      </c>
      <c r="K166" s="68" t="b">
        <v>0</v>
      </c>
      <c r="L166" s="46" t="inlineStr">
        <is>
          <t>0,0,0</t>
        </is>
      </c>
      <c r="M166" s="45" t="n">
        <v>2</v>
      </c>
      <c r="N166" s="45" t="inlineStr">
        <is>
          <t>Dark</t>
        </is>
      </c>
      <c r="O166" s="45" t="inlineStr">
        <is>
          <t>Magician</t>
        </is>
      </c>
      <c r="P166" s="45" t="n">
        <v>200</v>
      </c>
      <c r="Q166" s="45">
        <f t="array" ref="Q166">_xlfn.IFS($O166="Attacker",6,$O166="Healer",3,$O166="Magician",4,$O166="Defender",3,$O166="Supporter",4)</f>
        <v/>
      </c>
      <c r="R166" s="45">
        <f t="array" ref="R166">_xlfn.IFS($O166="Attacker",6,$O166="Healer",3,$O166="Magician",4,$O166="Defender",3,$O166="Supporter",4)</f>
        <v/>
      </c>
      <c r="S166" s="45" t="n">
        <v>1</v>
      </c>
      <c r="T166" s="45" t="n">
        <v>0</v>
      </c>
      <c r="U166" s="45" t="n">
        <v>0</v>
      </c>
      <c r="V166" s="45" t="inlineStr">
        <is>
          <t>Spd</t>
        </is>
      </c>
      <c r="W166" s="45">
        <f t="array" ref="W166">_xlfn.IFS(O166="Attacker",80,O166="Healer",90,O166="Magician",100,O166="Defender",110,O166="Supporter",120)</f>
        <v/>
      </c>
      <c r="X166" s="45" t="inlineStr">
        <is>
          <t>Hp</t>
        </is>
      </c>
      <c r="Y166" s="32" t="n">
        <v>20000</v>
      </c>
      <c r="Z166" s="32" t="inlineStr">
        <is>
          <t>Atk</t>
        </is>
      </c>
      <c r="AA166" s="32" t="n">
        <v>1125</v>
      </c>
      <c r="AB166" s="32" t="inlineStr">
        <is>
          <t>Def</t>
        </is>
      </c>
      <c r="AC166" s="32" t="n">
        <v>0</v>
      </c>
      <c r="AD166" s="32" t="inlineStr">
        <is>
          <t>Penetration</t>
        </is>
      </c>
      <c r="AE166" s="32" t="n">
        <v>0</v>
      </c>
      <c r="AF166" s="45" t="inlineStr">
        <is>
          <t>Hit</t>
        </is>
      </c>
      <c r="AG166" s="45" t="n">
        <v>100</v>
      </c>
      <c r="AH166" s="45" t="inlineStr">
        <is>
          <t>Dodge</t>
        </is>
      </c>
      <c r="AI166" s="45" t="n">
        <v>80</v>
      </c>
      <c r="AJ166" s="45" t="inlineStr">
        <is>
          <t>CriRatio</t>
        </is>
      </c>
      <c r="AK166" s="45" t="n">
        <v>5000</v>
      </c>
      <c r="AL166" s="45" t="inlineStr">
        <is>
          <t>CriDmgRatio</t>
        </is>
      </c>
      <c r="AM166" s="45" t="n">
        <v>150000</v>
      </c>
      <c r="AN166" s="45" t="n">
        <v>1942041</v>
      </c>
      <c r="AO166" s="45" t="b">
        <v>1</v>
      </c>
      <c r="AP166" s="45" t="n">
        <v>0</v>
      </c>
      <c r="AQ166" s="45" t="b">
        <v>0</v>
      </c>
      <c r="AR166" s="45" t="n">
        <v>3942041</v>
      </c>
      <c r="AS166" s="45" t="b">
        <v>1</v>
      </c>
      <c r="AT166" s="45" t="n">
        <v>0</v>
      </c>
      <c r="AU166" s="45" t="b">
        <v>0</v>
      </c>
    </row>
    <row r="167" customFormat="1" s="11">
      <c r="A167" s="68" t="n">
        <v>20400104</v>
      </c>
      <c r="B167" s="68" t="inlineStr">
        <is>
          <t>체인킬러</t>
        </is>
      </c>
      <c r="C167" s="68" t="n">
        <v>204001</v>
      </c>
      <c r="D167" s="68" t="n">
        <v>0</v>
      </c>
      <c r="E167" s="68" t="inlineStr">
        <is>
          <t>character_name_20400104</t>
        </is>
      </c>
      <c r="F167" s="68" t="n"/>
      <c r="G167" s="68" t="inlineStr">
        <is>
          <t>Boss</t>
        </is>
      </c>
      <c r="H167" s="68" t="inlineStr">
        <is>
          <t>Normal</t>
        </is>
      </c>
      <c r="I167" s="68" t="n">
        <v>4</v>
      </c>
      <c r="J167" s="24" t="inlineStr">
        <is>
          <t>1,1,1</t>
        </is>
      </c>
      <c r="K167" s="68" t="b">
        <v>0</v>
      </c>
      <c r="L167" s="24" t="inlineStr">
        <is>
          <t>0,0,0</t>
        </is>
      </c>
      <c r="M167" s="68" t="n">
        <v>2</v>
      </c>
      <c r="N167" s="68" t="inlineStr">
        <is>
          <t>Fire</t>
        </is>
      </c>
      <c r="O167" s="68" t="inlineStr">
        <is>
          <t>Defender</t>
        </is>
      </c>
      <c r="P167" s="68" t="n">
        <v>200</v>
      </c>
      <c r="Q167" s="68">
        <f t="array" ref="Q167">_xlfn.IFS($O167="Attacker",6,$O167="Healer",3,$O167="Magician",4,$O167="Defender",3,$O167="Supporter",4)</f>
        <v/>
      </c>
      <c r="R167" s="68">
        <f t="array" ref="R167">_xlfn.IFS($O167="Attacker",6,$O167="Healer",3,$O167="Magician",4,$O167="Defender",3,$O167="Supporter",4)</f>
        <v/>
      </c>
      <c r="S167" s="68" t="n">
        <v>1</v>
      </c>
      <c r="T167" s="68" t="n">
        <v>0</v>
      </c>
      <c r="U167" s="68" t="n">
        <v>0</v>
      </c>
      <c r="V167" s="68" t="inlineStr">
        <is>
          <t>Spd</t>
        </is>
      </c>
      <c r="W167" s="68">
        <f t="array" ref="W167">_xlfn.IFS(O167="Attacker",80,O167="Healer",90,O167="Magician",100,O167="Defender",110,O167="Supporter",120)</f>
        <v/>
      </c>
      <c r="X167" s="68" t="inlineStr">
        <is>
          <t>Hp</t>
        </is>
      </c>
      <c r="Y167" s="68" t="n">
        <v>40000</v>
      </c>
      <c r="Z167" s="68" t="inlineStr">
        <is>
          <t>Atk</t>
        </is>
      </c>
      <c r="AA167" s="68" t="n">
        <v>1687</v>
      </c>
      <c r="AB167" s="68" t="inlineStr">
        <is>
          <t>Def</t>
        </is>
      </c>
      <c r="AC167" s="68" t="n">
        <v>0</v>
      </c>
      <c r="AD167" s="68" t="inlineStr">
        <is>
          <t>Penetration</t>
        </is>
      </c>
      <c r="AE167" s="68" t="n">
        <v>0</v>
      </c>
      <c r="AF167" s="68" t="inlineStr">
        <is>
          <t>Hit</t>
        </is>
      </c>
      <c r="AG167" s="68" t="n">
        <v>100</v>
      </c>
      <c r="AH167" s="68" t="inlineStr">
        <is>
          <t>Dodge</t>
        </is>
      </c>
      <c r="AI167" s="68" t="n">
        <v>80</v>
      </c>
      <c r="AJ167" s="68" t="inlineStr">
        <is>
          <t>CriRatio</t>
        </is>
      </c>
      <c r="AK167" s="68" t="n">
        <v>5000</v>
      </c>
      <c r="AL167" s="68" t="inlineStr">
        <is>
          <t>CriDmgRatio</t>
        </is>
      </c>
      <c r="AM167" s="68" t="n">
        <v>150000</v>
      </c>
      <c r="AN167" s="68" t="n">
        <v>1942021</v>
      </c>
      <c r="AO167" s="68" t="b">
        <v>1</v>
      </c>
      <c r="AP167" s="68" t="n">
        <v>0</v>
      </c>
      <c r="AQ167" s="68" t="b">
        <v>0</v>
      </c>
      <c r="AR167" s="68" t="n">
        <v>3942021</v>
      </c>
      <c r="AS167" s="68" t="b">
        <v>1</v>
      </c>
      <c r="AT167" s="68" t="n">
        <v>0</v>
      </c>
      <c r="AU167" s="68" t="b">
        <v>0</v>
      </c>
    </row>
    <row r="168" customFormat="1" s="44">
      <c r="A168" s="30" t="n">
        <v>20540104</v>
      </c>
      <c r="B168" s="30" t="inlineStr">
        <is>
          <t>고모라</t>
        </is>
      </c>
      <c r="C168" s="30" t="n">
        <v>205401</v>
      </c>
      <c r="D168" s="30" t="n">
        <v>0</v>
      </c>
      <c r="E168" s="30" t="inlineStr">
        <is>
          <t>character_name_20540104</t>
        </is>
      </c>
      <c r="F168" s="30" t="n"/>
      <c r="G168" s="30" t="inlineStr">
        <is>
          <t>Boss</t>
        </is>
      </c>
      <c r="H168" s="30" t="inlineStr">
        <is>
          <t>Normal</t>
        </is>
      </c>
      <c r="I168" s="30" t="n">
        <v>4</v>
      </c>
      <c r="J168" s="27" t="inlineStr">
        <is>
          <t>1,1,1</t>
        </is>
      </c>
      <c r="K168" s="68" t="b">
        <v>0</v>
      </c>
      <c r="L168" s="38" t="inlineStr">
        <is>
          <t>0,0,0</t>
        </is>
      </c>
      <c r="M168" s="30" t="n">
        <v>2</v>
      </c>
      <c r="N168" s="30" t="inlineStr">
        <is>
          <t>Light</t>
        </is>
      </c>
      <c r="O168" s="30" t="inlineStr">
        <is>
          <t>Defender</t>
        </is>
      </c>
      <c r="P168" s="30" t="n">
        <v>200</v>
      </c>
      <c r="Q168" s="30">
        <f t="array" ref="Q168">_xlfn.IFS($O168="Attacker",6,$O168="Healer",3,$O168="Magician",4,$O168="Defender",3,$O168="Supporter",4)</f>
        <v/>
      </c>
      <c r="R168" s="30">
        <f t="array" ref="R168">_xlfn.IFS($O168="Attacker",6,$O168="Healer",3,$O168="Magician",4,$O168="Defender",3,$O168="Supporter",4)</f>
        <v/>
      </c>
      <c r="S168" s="30" t="n">
        <v>1</v>
      </c>
      <c r="T168" s="30" t="n">
        <v>0</v>
      </c>
      <c r="U168" s="30" t="n">
        <v>0</v>
      </c>
      <c r="V168" s="30" t="inlineStr">
        <is>
          <t>Spd</t>
        </is>
      </c>
      <c r="W168" s="30">
        <f t="array" ref="W168">_xlfn.IFS(O168="Attacker",80,O168="Healer",90,O168="Magician",100,O168="Defender",110,O168="Supporter",120)</f>
        <v/>
      </c>
      <c r="X168" s="30" t="inlineStr">
        <is>
          <t>Hp</t>
        </is>
      </c>
      <c r="Y168" s="68" t="n">
        <v>40000</v>
      </c>
      <c r="Z168" s="68" t="inlineStr">
        <is>
          <t>Atk</t>
        </is>
      </c>
      <c r="AA168" s="68" t="n">
        <v>1687</v>
      </c>
      <c r="AB168" s="68" t="inlineStr">
        <is>
          <t>Def</t>
        </is>
      </c>
      <c r="AC168" s="68" t="n">
        <v>0</v>
      </c>
      <c r="AD168" s="68" t="inlineStr">
        <is>
          <t>Penetration</t>
        </is>
      </c>
      <c r="AE168" s="68" t="n">
        <v>0</v>
      </c>
      <c r="AF168" s="30" t="inlineStr">
        <is>
          <t>Hit</t>
        </is>
      </c>
      <c r="AG168" s="30" t="n">
        <v>100</v>
      </c>
      <c r="AH168" s="30" t="inlineStr">
        <is>
          <t>Dodge</t>
        </is>
      </c>
      <c r="AI168" s="30" t="n">
        <v>80</v>
      </c>
      <c r="AJ168" s="30" t="inlineStr">
        <is>
          <t>CriRatio</t>
        </is>
      </c>
      <c r="AK168" s="30" t="n">
        <v>5000</v>
      </c>
      <c r="AL168" s="30" t="inlineStr">
        <is>
          <t>CriDmgRatio</t>
        </is>
      </c>
      <c r="AM168" s="30" t="n">
        <v>150000</v>
      </c>
      <c r="AN168" s="30" t="n">
        <v>1942051</v>
      </c>
      <c r="AO168" s="30" t="b">
        <v>1</v>
      </c>
      <c r="AP168" s="30" t="n">
        <v>2942051</v>
      </c>
      <c r="AQ168" s="30" t="b">
        <v>1</v>
      </c>
      <c r="AR168" s="30" t="n">
        <v>3942051</v>
      </c>
      <c r="AS168" s="30" t="b">
        <v>1</v>
      </c>
      <c r="AT168" s="30" t="n">
        <v>0</v>
      </c>
      <c r="AU168" s="30" t="b">
        <v>0</v>
      </c>
    </row>
    <row r="169" customFormat="1" s="43">
      <c r="A169" s="30" t="n">
        <v>20380104</v>
      </c>
      <c r="B169" s="30" t="inlineStr">
        <is>
          <t>디아블로</t>
        </is>
      </c>
      <c r="C169" s="30" t="n">
        <v>203801</v>
      </c>
      <c r="D169" s="30" t="n">
        <v>0</v>
      </c>
      <c r="E169" s="30" t="inlineStr">
        <is>
          <t>character_name_20380104</t>
        </is>
      </c>
      <c r="F169" s="30" t="n"/>
      <c r="G169" s="30" t="inlineStr">
        <is>
          <t>Boss</t>
        </is>
      </c>
      <c r="H169" s="30" t="inlineStr">
        <is>
          <t>Normal</t>
        </is>
      </c>
      <c r="I169" s="30" t="n">
        <v>4</v>
      </c>
      <c r="J169" s="38" t="inlineStr">
        <is>
          <t>1,1,1</t>
        </is>
      </c>
      <c r="K169" s="68" t="b">
        <v>0</v>
      </c>
      <c r="L169" s="38" t="inlineStr">
        <is>
          <t>0,0,0</t>
        </is>
      </c>
      <c r="M169" s="30" t="n">
        <v>2</v>
      </c>
      <c r="N169" s="30" t="inlineStr">
        <is>
          <t>Light</t>
        </is>
      </c>
      <c r="O169" s="30" t="inlineStr">
        <is>
          <t>Defender</t>
        </is>
      </c>
      <c r="P169" s="30" t="n">
        <v>200</v>
      </c>
      <c r="Q169" s="30">
        <f t="array" ref="Q169">_xlfn.IFS($O169="Attacker",6,$O169="Healer",3,$O169="Magician",4,$O169="Defender",3,$O169="Supporter",4)</f>
        <v/>
      </c>
      <c r="R169" s="30">
        <f t="array" ref="R169">_xlfn.IFS($O169="Attacker",6,$O169="Healer",3,$O169="Magician",4,$O169="Defender",3,$O169="Supporter",4)</f>
        <v/>
      </c>
      <c r="S169" s="30" t="n">
        <v>1</v>
      </c>
      <c r="T169" s="30" t="n">
        <v>0</v>
      </c>
      <c r="U169" s="30" t="n">
        <v>0</v>
      </c>
      <c r="V169" s="30" t="inlineStr">
        <is>
          <t>Spd</t>
        </is>
      </c>
      <c r="W169" s="30">
        <f t="array" ref="W169">_xlfn.IFS(O169="Attacker",80,O169="Healer",90,O169="Magician",100,O169="Defender",110,O169="Supporter",120)</f>
        <v/>
      </c>
      <c r="X169" s="30" t="inlineStr">
        <is>
          <t>Hp</t>
        </is>
      </c>
      <c r="Y169" s="68" t="n">
        <v>40000</v>
      </c>
      <c r="Z169" s="68" t="inlineStr">
        <is>
          <t>Atk</t>
        </is>
      </c>
      <c r="AA169" s="68" t="n">
        <v>1687</v>
      </c>
      <c r="AB169" s="68" t="inlineStr">
        <is>
          <t>Def</t>
        </is>
      </c>
      <c r="AC169" s="68" t="n">
        <v>0</v>
      </c>
      <c r="AD169" s="68" t="inlineStr">
        <is>
          <t>Penetration</t>
        </is>
      </c>
      <c r="AE169" s="68" t="n">
        <v>0</v>
      </c>
      <c r="AF169" s="30" t="inlineStr">
        <is>
          <t>Hit</t>
        </is>
      </c>
      <c r="AG169" s="30" t="n">
        <v>100</v>
      </c>
      <c r="AH169" s="30" t="inlineStr">
        <is>
          <t>Dodge</t>
        </is>
      </c>
      <c r="AI169" s="30" t="n">
        <v>80</v>
      </c>
      <c r="AJ169" s="30" t="inlineStr">
        <is>
          <t>CriRatio</t>
        </is>
      </c>
      <c r="AK169" s="30" t="n">
        <v>5000</v>
      </c>
      <c r="AL169" s="30" t="inlineStr">
        <is>
          <t>CriDmgRatio</t>
        </is>
      </c>
      <c r="AM169" s="30" t="n">
        <v>150000</v>
      </c>
      <c r="AN169" s="30" t="n">
        <v>1942011</v>
      </c>
      <c r="AO169" s="30" t="b">
        <v>1</v>
      </c>
      <c r="AP169" s="30" t="n">
        <v>0</v>
      </c>
      <c r="AQ169" s="30" t="b">
        <v>0</v>
      </c>
      <c r="AR169" s="30" t="n">
        <v>3942011</v>
      </c>
      <c r="AS169" s="30" t="b">
        <v>1</v>
      </c>
      <c r="AT169" s="30" t="n">
        <v>0</v>
      </c>
      <c r="AU169" s="30" t="b">
        <v>0</v>
      </c>
    </row>
    <row r="170" customFormat="1" s="47">
      <c r="A170" s="29" t="n">
        <v>20510104</v>
      </c>
      <c r="B170" s="29" t="inlineStr">
        <is>
          <t>하데스</t>
        </is>
      </c>
      <c r="C170" s="29" t="n">
        <v>205101</v>
      </c>
      <c r="D170" s="29" t="n">
        <v>0</v>
      </c>
      <c r="E170" s="29" t="inlineStr">
        <is>
          <t>character_name_20510104</t>
        </is>
      </c>
      <c r="F170" s="29" t="n"/>
      <c r="G170" s="29" t="inlineStr">
        <is>
          <t>Boss</t>
        </is>
      </c>
      <c r="H170" s="29" t="inlineStr">
        <is>
          <t>Normal</t>
        </is>
      </c>
      <c r="I170" s="29" t="n">
        <v>4</v>
      </c>
      <c r="J170" s="27" t="inlineStr">
        <is>
          <t>1,1,1</t>
        </is>
      </c>
      <c r="K170" s="68" t="b">
        <v>0</v>
      </c>
      <c r="L170" s="27" t="inlineStr">
        <is>
          <t>0,0,0</t>
        </is>
      </c>
      <c r="M170" s="29" t="n">
        <v>2</v>
      </c>
      <c r="N170" s="29" t="inlineStr">
        <is>
          <t>Fire</t>
        </is>
      </c>
      <c r="O170" s="29" t="inlineStr">
        <is>
          <t>Defender</t>
        </is>
      </c>
      <c r="P170" s="29" t="n">
        <v>200</v>
      </c>
      <c r="Q170" s="29">
        <f t="array" ref="Q170">_xlfn.IFS($O170="Attacker",6,$O170="Healer",3,$O170="Magician",4,$O170="Defender",3,$O170="Supporter",4)</f>
        <v/>
      </c>
      <c r="R170" s="29">
        <f t="array" ref="R170">_xlfn.IFS($O170="Attacker",6,$O170="Healer",3,$O170="Magician",4,$O170="Defender",3,$O170="Supporter",4)</f>
        <v/>
      </c>
      <c r="S170" s="29" t="n">
        <v>1</v>
      </c>
      <c r="T170" s="29" t="n">
        <v>0</v>
      </c>
      <c r="U170" s="29" t="n">
        <v>0</v>
      </c>
      <c r="V170" s="29" t="inlineStr">
        <is>
          <t>Spd</t>
        </is>
      </c>
      <c r="W170" s="29">
        <f t="array" ref="W170">_xlfn.IFS(O170="Attacker",80,O170="Healer",90,O170="Magician",100,O170="Defender",110,O170="Supporter",120)</f>
        <v/>
      </c>
      <c r="X170" s="29" t="inlineStr">
        <is>
          <t>Hp</t>
        </is>
      </c>
      <c r="Y170" s="68" t="n">
        <v>40000</v>
      </c>
      <c r="Z170" s="68" t="inlineStr">
        <is>
          <t>Atk</t>
        </is>
      </c>
      <c r="AA170" s="68" t="n">
        <v>1687</v>
      </c>
      <c r="AB170" s="68" t="inlineStr">
        <is>
          <t>Def</t>
        </is>
      </c>
      <c r="AC170" s="68" t="n">
        <v>0</v>
      </c>
      <c r="AD170" s="68" t="inlineStr">
        <is>
          <t>Penetration</t>
        </is>
      </c>
      <c r="AE170" s="68" t="n">
        <v>0</v>
      </c>
      <c r="AF170" s="29" t="inlineStr">
        <is>
          <t>Hit</t>
        </is>
      </c>
      <c r="AG170" s="29" t="n">
        <v>100</v>
      </c>
      <c r="AH170" s="29" t="inlineStr">
        <is>
          <t>Dodge</t>
        </is>
      </c>
      <c r="AI170" s="29" t="n">
        <v>80</v>
      </c>
      <c r="AJ170" s="29" t="inlineStr">
        <is>
          <t>CriRatio</t>
        </is>
      </c>
      <c r="AK170" s="29" t="n">
        <v>5000</v>
      </c>
      <c r="AL170" s="29" t="inlineStr">
        <is>
          <t>CriDmgRatio</t>
        </is>
      </c>
      <c r="AM170" s="29" t="n">
        <v>150000</v>
      </c>
      <c r="AN170" s="29" t="n">
        <v>1942031</v>
      </c>
      <c r="AO170" s="29" t="b">
        <v>1</v>
      </c>
      <c r="AP170" s="29" t="n">
        <v>0</v>
      </c>
      <c r="AQ170" s="29" t="b">
        <v>0</v>
      </c>
      <c r="AR170" s="29" t="n">
        <v>3942031</v>
      </c>
      <c r="AS170" s="29" t="b">
        <v>1</v>
      </c>
      <c r="AT170" s="29" t="n">
        <v>0</v>
      </c>
      <c r="AU170" s="29" t="b">
        <v>0</v>
      </c>
    </row>
    <row r="171" customFormat="1" s="44">
      <c r="A171" s="29" t="n">
        <v>12240104</v>
      </c>
      <c r="B171" s="29" t="inlineStr">
        <is>
          <t>로키</t>
        </is>
      </c>
      <c r="C171" s="29" t="n">
        <v>122401</v>
      </c>
      <c r="D171" s="29" t="n">
        <v>0</v>
      </c>
      <c r="E171" s="29" t="inlineStr">
        <is>
          <t>character_name_12240104</t>
        </is>
      </c>
      <c r="F171" s="29" t="n"/>
      <c r="G171" s="29" t="inlineStr">
        <is>
          <t>Boss</t>
        </is>
      </c>
      <c r="H171" s="29" t="inlineStr">
        <is>
          <t>Normal</t>
        </is>
      </c>
      <c r="I171" s="29" t="n">
        <v>4</v>
      </c>
      <c r="J171" s="27" t="inlineStr">
        <is>
          <t>1,1,1</t>
        </is>
      </c>
      <c r="K171" s="68" t="b">
        <v>0</v>
      </c>
      <c r="L171" s="27" t="inlineStr">
        <is>
          <t>0,0,0</t>
        </is>
      </c>
      <c r="M171" s="29" t="n">
        <v>2</v>
      </c>
      <c r="N171" s="29" t="inlineStr">
        <is>
          <t>Dark</t>
        </is>
      </c>
      <c r="O171" s="29" t="inlineStr">
        <is>
          <t>Magician</t>
        </is>
      </c>
      <c r="P171" s="29" t="n">
        <v>200</v>
      </c>
      <c r="Q171" s="29">
        <f t="array" ref="Q171">_xlfn.IFS($O171="Attacker",6,$O171="Healer",3,$O171="Magician",4,$O171="Defender",3,$O171="Supporter",4)</f>
        <v/>
      </c>
      <c r="R171" s="29">
        <f t="array" ref="R171">_xlfn.IFS($O171="Attacker",6,$O171="Healer",3,$O171="Magician",4,$O171="Defender",3,$O171="Supporter",4)</f>
        <v/>
      </c>
      <c r="S171" s="29" t="n">
        <v>1</v>
      </c>
      <c r="T171" s="29" t="n">
        <v>0</v>
      </c>
      <c r="U171" s="29" t="n">
        <v>0</v>
      </c>
      <c r="V171" s="29" t="inlineStr">
        <is>
          <t>Spd</t>
        </is>
      </c>
      <c r="W171" s="29">
        <f t="array" ref="W171">_xlfn.IFS(O171="Attacker",80,O171="Healer",90,O171="Magician",100,O171="Defender",110,O171="Supporter",120)</f>
        <v/>
      </c>
      <c r="X171" s="29" t="inlineStr">
        <is>
          <t>Hp</t>
        </is>
      </c>
      <c r="Y171" s="68" t="n">
        <v>40000</v>
      </c>
      <c r="Z171" s="68" t="inlineStr">
        <is>
          <t>Atk</t>
        </is>
      </c>
      <c r="AA171" s="68" t="n">
        <v>1687</v>
      </c>
      <c r="AB171" s="68" t="inlineStr">
        <is>
          <t>Def</t>
        </is>
      </c>
      <c r="AC171" s="68" t="n">
        <v>0</v>
      </c>
      <c r="AD171" s="68" t="inlineStr">
        <is>
          <t>Penetration</t>
        </is>
      </c>
      <c r="AE171" s="68" t="n">
        <v>0</v>
      </c>
      <c r="AF171" s="29" t="inlineStr">
        <is>
          <t>Hit</t>
        </is>
      </c>
      <c r="AG171" s="29" t="n">
        <v>100</v>
      </c>
      <c r="AH171" s="29" t="inlineStr">
        <is>
          <t>Dodge</t>
        </is>
      </c>
      <c r="AI171" s="29" t="n">
        <v>80</v>
      </c>
      <c r="AJ171" s="29" t="inlineStr">
        <is>
          <t>CriRatio</t>
        </is>
      </c>
      <c r="AK171" s="29" t="n">
        <v>5000</v>
      </c>
      <c r="AL171" s="29" t="inlineStr">
        <is>
          <t>CriDmgRatio</t>
        </is>
      </c>
      <c r="AM171" s="29" t="n">
        <v>150000</v>
      </c>
      <c r="AN171" s="29" t="n">
        <v>1942041</v>
      </c>
      <c r="AO171" s="29" t="b">
        <v>1</v>
      </c>
      <c r="AP171" s="29" t="n">
        <v>0</v>
      </c>
      <c r="AQ171" s="29" t="b">
        <v>0</v>
      </c>
      <c r="AR171" s="29" t="n">
        <v>3942041</v>
      </c>
      <c r="AS171" s="29" t="b">
        <v>1</v>
      </c>
      <c r="AT171" s="29" t="n">
        <v>0</v>
      </c>
      <c r="AU171" s="29" t="b">
        <v>0</v>
      </c>
    </row>
    <row r="172" customFormat="1" s="47">
      <c r="A172" s="32" t="n">
        <v>20400105</v>
      </c>
      <c r="B172" s="32" t="inlineStr">
        <is>
          <t>체인킬러</t>
        </is>
      </c>
      <c r="C172" s="32" t="n">
        <v>204001</v>
      </c>
      <c r="D172" s="32" t="n">
        <v>0</v>
      </c>
      <c r="E172" s="32" t="inlineStr">
        <is>
          <t>character_name_20400105</t>
        </is>
      </c>
      <c r="F172" s="32" t="n"/>
      <c r="G172" s="32" t="inlineStr">
        <is>
          <t>Boss</t>
        </is>
      </c>
      <c r="H172" s="32" t="inlineStr">
        <is>
          <t>Normal</t>
        </is>
      </c>
      <c r="I172" s="32" t="n">
        <v>5</v>
      </c>
      <c r="J172" s="42" t="inlineStr">
        <is>
          <t>1,1,1</t>
        </is>
      </c>
      <c r="K172" s="68" t="b">
        <v>0</v>
      </c>
      <c r="L172" s="42" t="inlineStr">
        <is>
          <t>0,0,0</t>
        </is>
      </c>
      <c r="M172" s="32" t="n">
        <v>2</v>
      </c>
      <c r="N172" s="32" t="inlineStr">
        <is>
          <t>Fire</t>
        </is>
      </c>
      <c r="O172" s="32" t="inlineStr">
        <is>
          <t>Defender</t>
        </is>
      </c>
      <c r="P172" s="32" t="n">
        <v>200</v>
      </c>
      <c r="Q172" s="32">
        <f t="array" ref="Q172">_xlfn.IFS($O172="Attacker",6,$O172="Healer",3,$O172="Magician",4,$O172="Defender",3,$O172="Supporter",4)</f>
        <v/>
      </c>
      <c r="R172" s="32">
        <f t="array" ref="R172">_xlfn.IFS($O172="Attacker",6,$O172="Healer",3,$O172="Magician",4,$O172="Defender",3,$O172="Supporter",4)</f>
        <v/>
      </c>
      <c r="S172" s="32" t="n">
        <v>1</v>
      </c>
      <c r="T172" s="32" t="n">
        <v>0</v>
      </c>
      <c r="U172" s="32" t="n">
        <v>0</v>
      </c>
      <c r="V172" s="32" t="inlineStr">
        <is>
          <t>Spd</t>
        </is>
      </c>
      <c r="W172" s="32">
        <f t="array" ref="W172">_xlfn.IFS(O172="Attacker",80,O172="Healer",90,O172="Magician",100,O172="Defender",110,O172="Supporter",120)</f>
        <v/>
      </c>
      <c r="X172" s="32" t="inlineStr">
        <is>
          <t>Hp</t>
        </is>
      </c>
      <c r="Y172" s="32" t="n">
        <v>80000</v>
      </c>
      <c r="Z172" s="32" t="inlineStr">
        <is>
          <t>Atk</t>
        </is>
      </c>
      <c r="AA172" s="32" t="n">
        <v>2530</v>
      </c>
      <c r="AB172" s="32" t="inlineStr">
        <is>
          <t>Def</t>
        </is>
      </c>
      <c r="AC172" s="32" t="n">
        <v>0</v>
      </c>
      <c r="AD172" s="32" t="inlineStr">
        <is>
          <t>Penetration</t>
        </is>
      </c>
      <c r="AE172" s="32" t="n">
        <v>0</v>
      </c>
      <c r="AF172" s="32" t="inlineStr">
        <is>
          <t>Hit</t>
        </is>
      </c>
      <c r="AG172" s="32" t="n">
        <v>100</v>
      </c>
      <c r="AH172" s="32" t="inlineStr">
        <is>
          <t>Dodge</t>
        </is>
      </c>
      <c r="AI172" s="32" t="n">
        <v>80</v>
      </c>
      <c r="AJ172" s="32" t="inlineStr">
        <is>
          <t>CriRatio</t>
        </is>
      </c>
      <c r="AK172" s="32" t="n">
        <v>5000</v>
      </c>
      <c r="AL172" s="32" t="inlineStr">
        <is>
          <t>CriDmgRatio</t>
        </is>
      </c>
      <c r="AM172" s="32" t="n">
        <v>150000</v>
      </c>
      <c r="AN172" s="32" t="n">
        <v>1942021</v>
      </c>
      <c r="AO172" s="32" t="b">
        <v>1</v>
      </c>
      <c r="AP172" s="32" t="n">
        <v>0</v>
      </c>
      <c r="AQ172" s="32" t="b">
        <v>0</v>
      </c>
      <c r="AR172" s="32" t="n">
        <v>3942021</v>
      </c>
      <c r="AS172" s="32" t="b">
        <v>1</v>
      </c>
      <c r="AT172" s="32" t="n">
        <v>0</v>
      </c>
      <c r="AU172" s="32" t="b">
        <v>0</v>
      </c>
    </row>
    <row r="173">
      <c r="A173" s="48" t="n">
        <v>20540105</v>
      </c>
      <c r="B173" s="48" t="inlineStr">
        <is>
          <t>고모라</t>
        </is>
      </c>
      <c r="C173" s="48" t="n">
        <v>205401</v>
      </c>
      <c r="D173" s="48" t="n">
        <v>0</v>
      </c>
      <c r="E173" s="48" t="inlineStr">
        <is>
          <t>character_name_20540105</t>
        </is>
      </c>
      <c r="F173" s="48" t="n"/>
      <c r="G173" s="48" t="inlineStr">
        <is>
          <t>Boss</t>
        </is>
      </c>
      <c r="H173" s="48" t="inlineStr">
        <is>
          <t>Normal</t>
        </is>
      </c>
      <c r="I173" s="48" t="n">
        <v>5</v>
      </c>
      <c r="J173" s="46" t="inlineStr">
        <is>
          <t>1,1,1</t>
        </is>
      </c>
      <c r="K173" s="68" t="b">
        <v>0</v>
      </c>
      <c r="L173" s="49" t="inlineStr">
        <is>
          <t>0,0,0</t>
        </is>
      </c>
      <c r="M173" s="48" t="n">
        <v>2</v>
      </c>
      <c r="N173" s="48" t="inlineStr">
        <is>
          <t>Fire</t>
        </is>
      </c>
      <c r="O173" s="48" t="inlineStr">
        <is>
          <t>Defender</t>
        </is>
      </c>
      <c r="P173" s="48" t="n">
        <v>200</v>
      </c>
      <c r="Q173" s="48">
        <f t="array" ref="Q173">_xlfn.IFS($O173="Attacker",6,$O173="Healer",3,$O173="Magician",4,$O173="Defender",3,$O173="Supporter",4)</f>
        <v/>
      </c>
      <c r="R173" s="48">
        <f t="array" ref="R173">_xlfn.IFS($O173="Attacker",6,$O173="Healer",3,$O173="Magician",4,$O173="Defender",3,$O173="Supporter",4)</f>
        <v/>
      </c>
      <c r="S173" s="48" t="n">
        <v>1</v>
      </c>
      <c r="T173" s="48" t="n">
        <v>0</v>
      </c>
      <c r="U173" s="48" t="n">
        <v>0</v>
      </c>
      <c r="V173" s="48" t="inlineStr">
        <is>
          <t>Spd</t>
        </is>
      </c>
      <c r="W173" s="48">
        <f t="array" ref="W173">_xlfn.IFS(O173="Attacker",80,O173="Healer",90,O173="Magician",100,O173="Defender",110,O173="Supporter",120)</f>
        <v/>
      </c>
      <c r="X173" s="48" t="inlineStr">
        <is>
          <t>Hp</t>
        </is>
      </c>
      <c r="Y173" s="32" t="n">
        <v>80000</v>
      </c>
      <c r="Z173" s="32" t="inlineStr">
        <is>
          <t>Atk</t>
        </is>
      </c>
      <c r="AA173" s="32" t="n">
        <v>2530</v>
      </c>
      <c r="AB173" s="32" t="inlineStr">
        <is>
          <t>Def</t>
        </is>
      </c>
      <c r="AC173" s="32" t="n">
        <v>0</v>
      </c>
      <c r="AD173" s="32" t="inlineStr">
        <is>
          <t>Penetration</t>
        </is>
      </c>
      <c r="AE173" s="32" t="n">
        <v>0</v>
      </c>
      <c r="AF173" s="48" t="inlineStr">
        <is>
          <t>Hit</t>
        </is>
      </c>
      <c r="AG173" s="48" t="n">
        <v>100</v>
      </c>
      <c r="AH173" s="48" t="inlineStr">
        <is>
          <t>Dodge</t>
        </is>
      </c>
      <c r="AI173" s="48" t="n">
        <v>80</v>
      </c>
      <c r="AJ173" s="48" t="inlineStr">
        <is>
          <t>CriRatio</t>
        </is>
      </c>
      <c r="AK173" s="48" t="n">
        <v>5000</v>
      </c>
      <c r="AL173" s="48" t="inlineStr">
        <is>
          <t>CriDmgRatio</t>
        </is>
      </c>
      <c r="AM173" s="48" t="n">
        <v>150000</v>
      </c>
      <c r="AN173" s="48" t="n">
        <v>1942051</v>
      </c>
      <c r="AO173" s="48" t="b">
        <v>1</v>
      </c>
      <c r="AP173" s="48" t="n">
        <v>2942051</v>
      </c>
      <c r="AQ173" s="48" t="b">
        <v>1</v>
      </c>
      <c r="AR173" s="48" t="n">
        <v>3942051</v>
      </c>
      <c r="AS173" s="48" t="b">
        <v>1</v>
      </c>
      <c r="AT173" s="48" t="n">
        <v>0</v>
      </c>
      <c r="AU173" s="48" t="b">
        <v>0</v>
      </c>
    </row>
    <row r="174" customFormat="1" s="31">
      <c r="A174" s="48" t="n">
        <v>20380105</v>
      </c>
      <c r="B174" s="48" t="inlineStr">
        <is>
          <t>디아블로</t>
        </is>
      </c>
      <c r="C174" s="48" t="n">
        <v>203801</v>
      </c>
      <c r="D174" s="48" t="n">
        <v>0</v>
      </c>
      <c r="E174" s="48" t="inlineStr">
        <is>
          <t>character_name_20380105</t>
        </is>
      </c>
      <c r="F174" s="48" t="n"/>
      <c r="G174" s="48" t="inlineStr">
        <is>
          <t>Boss</t>
        </is>
      </c>
      <c r="H174" s="48" t="inlineStr">
        <is>
          <t>Normal</t>
        </is>
      </c>
      <c r="I174" s="48" t="n">
        <v>5</v>
      </c>
      <c r="J174" s="49" t="inlineStr">
        <is>
          <t>1,1,1</t>
        </is>
      </c>
      <c r="K174" s="68" t="b">
        <v>0</v>
      </c>
      <c r="L174" s="49" t="inlineStr">
        <is>
          <t>0,0,0</t>
        </is>
      </c>
      <c r="M174" s="48" t="n">
        <v>2</v>
      </c>
      <c r="N174" s="48" t="inlineStr">
        <is>
          <t>Light</t>
        </is>
      </c>
      <c r="O174" s="48" t="inlineStr">
        <is>
          <t>Defender</t>
        </is>
      </c>
      <c r="P174" s="48" t="n">
        <v>200</v>
      </c>
      <c r="Q174" s="48">
        <f t="array" ref="Q174">_xlfn.IFS($O174="Attacker",6,$O174="Healer",3,$O174="Magician",4,$O174="Defender",3,$O174="Supporter",4)</f>
        <v/>
      </c>
      <c r="R174" s="48">
        <f t="array" ref="R174">_xlfn.IFS($O174="Attacker",6,$O174="Healer",3,$O174="Magician",4,$O174="Defender",3,$O174="Supporter",4)</f>
        <v/>
      </c>
      <c r="S174" s="48" t="n">
        <v>1</v>
      </c>
      <c r="T174" s="48" t="n">
        <v>0</v>
      </c>
      <c r="U174" s="48" t="n">
        <v>0</v>
      </c>
      <c r="V174" s="48" t="inlineStr">
        <is>
          <t>Spd</t>
        </is>
      </c>
      <c r="W174" s="48">
        <f t="array" ref="W174">_xlfn.IFS(O174="Attacker",80,O174="Healer",90,O174="Magician",100,O174="Defender",110,O174="Supporter",120)</f>
        <v/>
      </c>
      <c r="X174" s="48" t="inlineStr">
        <is>
          <t>Hp</t>
        </is>
      </c>
      <c r="Y174" s="32" t="n">
        <v>80000</v>
      </c>
      <c r="Z174" s="32" t="inlineStr">
        <is>
          <t>Atk</t>
        </is>
      </c>
      <c r="AA174" s="32" t="n">
        <v>2530</v>
      </c>
      <c r="AB174" s="32" t="inlineStr">
        <is>
          <t>Def</t>
        </is>
      </c>
      <c r="AC174" s="32" t="n">
        <v>0</v>
      </c>
      <c r="AD174" s="32" t="inlineStr">
        <is>
          <t>Penetration</t>
        </is>
      </c>
      <c r="AE174" s="32" t="n">
        <v>0</v>
      </c>
      <c r="AF174" s="48" t="inlineStr">
        <is>
          <t>Hit</t>
        </is>
      </c>
      <c r="AG174" s="48" t="n">
        <v>100</v>
      </c>
      <c r="AH174" s="48" t="inlineStr">
        <is>
          <t>Dodge</t>
        </is>
      </c>
      <c r="AI174" s="48" t="n">
        <v>80</v>
      </c>
      <c r="AJ174" s="48" t="inlineStr">
        <is>
          <t>CriRatio</t>
        </is>
      </c>
      <c r="AK174" s="48" t="n">
        <v>5000</v>
      </c>
      <c r="AL174" s="48" t="inlineStr">
        <is>
          <t>CriDmgRatio</t>
        </is>
      </c>
      <c r="AM174" s="48" t="n">
        <v>150000</v>
      </c>
      <c r="AN174" s="48" t="n">
        <v>1942011</v>
      </c>
      <c r="AO174" s="48" t="b">
        <v>1</v>
      </c>
      <c r="AP174" s="48" t="n">
        <v>0</v>
      </c>
      <c r="AQ174" s="48" t="b">
        <v>0</v>
      </c>
      <c r="AR174" s="48" t="n">
        <v>3942011</v>
      </c>
      <c r="AS174" s="48" t="b">
        <v>1</v>
      </c>
      <c r="AT174" s="48" t="n">
        <v>0</v>
      </c>
      <c r="AU174" s="48" t="b">
        <v>0</v>
      </c>
    </row>
    <row r="175" customFormat="1" s="31">
      <c r="A175" s="45" t="n">
        <v>20510105</v>
      </c>
      <c r="B175" s="45" t="inlineStr">
        <is>
          <t>하데스</t>
        </is>
      </c>
      <c r="C175" s="45" t="n">
        <v>205101</v>
      </c>
      <c r="D175" s="45" t="n">
        <v>0</v>
      </c>
      <c r="E175" s="45" t="inlineStr">
        <is>
          <t>character_name_20510105</t>
        </is>
      </c>
      <c r="F175" s="45" t="n"/>
      <c r="G175" s="45" t="inlineStr">
        <is>
          <t>Boss</t>
        </is>
      </c>
      <c r="H175" s="45" t="inlineStr">
        <is>
          <t>Normal</t>
        </is>
      </c>
      <c r="I175" s="45" t="n">
        <v>5</v>
      </c>
      <c r="J175" s="46" t="inlineStr">
        <is>
          <t>1,1,1</t>
        </is>
      </c>
      <c r="K175" s="68" t="b">
        <v>0</v>
      </c>
      <c r="L175" s="46" t="inlineStr">
        <is>
          <t>0,0,0</t>
        </is>
      </c>
      <c r="M175" s="45" t="n">
        <v>2</v>
      </c>
      <c r="N175" s="45" t="inlineStr">
        <is>
          <t>Fire</t>
        </is>
      </c>
      <c r="O175" s="45" t="inlineStr">
        <is>
          <t>Defender</t>
        </is>
      </c>
      <c r="P175" s="45" t="n">
        <v>200</v>
      </c>
      <c r="Q175" s="45">
        <f t="array" ref="Q175">_xlfn.IFS($O175="Attacker",6,$O175="Healer",3,$O175="Magician",4,$O175="Defender",3,$O175="Supporter",4)</f>
        <v/>
      </c>
      <c r="R175" s="45">
        <f t="array" ref="R175">_xlfn.IFS($O175="Attacker",6,$O175="Healer",3,$O175="Magician",4,$O175="Defender",3,$O175="Supporter",4)</f>
        <v/>
      </c>
      <c r="S175" s="45" t="n">
        <v>1</v>
      </c>
      <c r="T175" s="45" t="n">
        <v>0</v>
      </c>
      <c r="U175" s="45" t="n">
        <v>0</v>
      </c>
      <c r="V175" s="45" t="inlineStr">
        <is>
          <t>Spd</t>
        </is>
      </c>
      <c r="W175" s="45">
        <f t="array" ref="W175">_xlfn.IFS(O175="Attacker",80,O175="Healer",90,O175="Magician",100,O175="Defender",110,O175="Supporter",120)</f>
        <v/>
      </c>
      <c r="X175" s="45" t="inlineStr">
        <is>
          <t>Hp</t>
        </is>
      </c>
      <c r="Y175" s="32" t="n">
        <v>80000</v>
      </c>
      <c r="Z175" s="32" t="inlineStr">
        <is>
          <t>Atk</t>
        </is>
      </c>
      <c r="AA175" s="32" t="n">
        <v>2530</v>
      </c>
      <c r="AB175" s="32" t="inlineStr">
        <is>
          <t>Def</t>
        </is>
      </c>
      <c r="AC175" s="32" t="n">
        <v>0</v>
      </c>
      <c r="AD175" s="32" t="inlineStr">
        <is>
          <t>Penetration</t>
        </is>
      </c>
      <c r="AE175" s="32" t="n">
        <v>0</v>
      </c>
      <c r="AF175" s="45" t="inlineStr">
        <is>
          <t>Hit</t>
        </is>
      </c>
      <c r="AG175" s="45" t="n">
        <v>100</v>
      </c>
      <c r="AH175" s="45" t="inlineStr">
        <is>
          <t>Dodge</t>
        </is>
      </c>
      <c r="AI175" s="45" t="n">
        <v>80</v>
      </c>
      <c r="AJ175" s="45" t="inlineStr">
        <is>
          <t>CriRatio</t>
        </is>
      </c>
      <c r="AK175" s="45" t="n">
        <v>5000</v>
      </c>
      <c r="AL175" s="45" t="inlineStr">
        <is>
          <t>CriDmgRatio</t>
        </is>
      </c>
      <c r="AM175" s="45" t="n">
        <v>150000</v>
      </c>
      <c r="AN175" s="45" t="n">
        <v>1942031</v>
      </c>
      <c r="AO175" s="45" t="b">
        <v>1</v>
      </c>
      <c r="AP175" s="45" t="n">
        <v>0</v>
      </c>
      <c r="AQ175" s="45" t="b">
        <v>0</v>
      </c>
      <c r="AR175" s="45" t="n">
        <v>3942031</v>
      </c>
      <c r="AS175" s="45" t="b">
        <v>1</v>
      </c>
      <c r="AT175" s="45" t="n">
        <v>0</v>
      </c>
      <c r="AU175" s="45" t="b">
        <v>0</v>
      </c>
    </row>
    <row r="176" customFormat="1" s="11">
      <c r="A176" s="45" t="n">
        <v>12240105</v>
      </c>
      <c r="B176" s="45" t="inlineStr">
        <is>
          <t>로키</t>
        </is>
      </c>
      <c r="C176" s="45" t="n">
        <v>122401</v>
      </c>
      <c r="D176" s="45" t="n">
        <v>0</v>
      </c>
      <c r="E176" s="45" t="inlineStr">
        <is>
          <t>character_name_12240105</t>
        </is>
      </c>
      <c r="F176" s="45" t="n"/>
      <c r="G176" s="45" t="inlineStr">
        <is>
          <t>Boss</t>
        </is>
      </c>
      <c r="H176" s="45" t="inlineStr">
        <is>
          <t>Normal</t>
        </is>
      </c>
      <c r="I176" s="45" t="n">
        <v>5</v>
      </c>
      <c r="J176" s="46" t="inlineStr">
        <is>
          <t>1,1,1</t>
        </is>
      </c>
      <c r="K176" s="68" t="b">
        <v>0</v>
      </c>
      <c r="L176" s="46" t="inlineStr">
        <is>
          <t>0,0,0</t>
        </is>
      </c>
      <c r="M176" s="45" t="n">
        <v>2</v>
      </c>
      <c r="N176" s="45" t="inlineStr">
        <is>
          <t>Dark</t>
        </is>
      </c>
      <c r="O176" s="45" t="inlineStr">
        <is>
          <t>Magician</t>
        </is>
      </c>
      <c r="P176" s="45" t="n">
        <v>200</v>
      </c>
      <c r="Q176" s="45">
        <f t="array" ref="Q176">_xlfn.IFS($O176="Attacker",6,$O176="Healer",3,$O176="Magician",4,$O176="Defender",3,$O176="Supporter",4)</f>
        <v/>
      </c>
      <c r="R176" s="45">
        <f t="array" ref="R176">_xlfn.IFS($O176="Attacker",6,$O176="Healer",3,$O176="Magician",4,$O176="Defender",3,$O176="Supporter",4)</f>
        <v/>
      </c>
      <c r="S176" s="45" t="n">
        <v>1</v>
      </c>
      <c r="T176" s="45" t="n">
        <v>0</v>
      </c>
      <c r="U176" s="45" t="n">
        <v>0</v>
      </c>
      <c r="V176" s="45" t="inlineStr">
        <is>
          <t>Spd</t>
        </is>
      </c>
      <c r="W176" s="45">
        <f t="array" ref="W176">_xlfn.IFS(O176="Attacker",80,O176="Healer",90,O176="Magician",100,O176="Defender",110,O176="Supporter",120)</f>
        <v/>
      </c>
      <c r="X176" s="45" t="inlineStr">
        <is>
          <t>Hp</t>
        </is>
      </c>
      <c r="Y176" s="32" t="n">
        <v>80000</v>
      </c>
      <c r="Z176" s="32" t="inlineStr">
        <is>
          <t>Atk</t>
        </is>
      </c>
      <c r="AA176" s="32" t="n">
        <v>2530</v>
      </c>
      <c r="AB176" s="32" t="inlineStr">
        <is>
          <t>Def</t>
        </is>
      </c>
      <c r="AC176" s="32" t="n">
        <v>0</v>
      </c>
      <c r="AD176" s="32" t="inlineStr">
        <is>
          <t>Penetration</t>
        </is>
      </c>
      <c r="AE176" s="32" t="n">
        <v>0</v>
      </c>
      <c r="AF176" s="45" t="inlineStr">
        <is>
          <t>Hit</t>
        </is>
      </c>
      <c r="AG176" s="45" t="n">
        <v>100</v>
      </c>
      <c r="AH176" s="45" t="inlineStr">
        <is>
          <t>Dodge</t>
        </is>
      </c>
      <c r="AI176" s="45" t="n">
        <v>80</v>
      </c>
      <c r="AJ176" s="45" t="inlineStr">
        <is>
          <t>CriRatio</t>
        </is>
      </c>
      <c r="AK176" s="45" t="n">
        <v>5000</v>
      </c>
      <c r="AL176" s="45" t="inlineStr">
        <is>
          <t>CriDmgRatio</t>
        </is>
      </c>
      <c r="AM176" s="45" t="n">
        <v>150000</v>
      </c>
      <c r="AN176" s="45" t="n">
        <v>1942041</v>
      </c>
      <c r="AO176" s="45" t="b">
        <v>1</v>
      </c>
      <c r="AP176" s="45" t="n">
        <v>0</v>
      </c>
      <c r="AQ176" s="45" t="b">
        <v>0</v>
      </c>
      <c r="AR176" s="45" t="n">
        <v>3942041</v>
      </c>
      <c r="AS176" s="45" t="b">
        <v>1</v>
      </c>
      <c r="AT176" s="45" t="n">
        <v>0</v>
      </c>
      <c r="AU176" s="45" t="b">
        <v>0</v>
      </c>
    </row>
  </sheetData>
  <autoFilter ref="A3:AV157"/>
  <conditionalFormatting sqref="A1:A110 A112 A114:A116 A151:A1048576">
    <cfRule type="duplicateValues" priority="18" dxfId="0"/>
    <cfRule type="duplicateValues" priority="19" dxfId="0"/>
  </conditionalFormatting>
  <conditionalFormatting sqref="A111">
    <cfRule type="duplicateValues" priority="14" dxfId="0"/>
    <cfRule type="duplicateValues" priority="15" dxfId="0"/>
  </conditionalFormatting>
  <conditionalFormatting sqref="A113">
    <cfRule type="duplicateValues" priority="16" dxfId="0"/>
    <cfRule type="duplicateValues" priority="17" dxfId="0"/>
  </conditionalFormatting>
  <conditionalFormatting sqref="AN117 AP117 AR117 AT117">
    <cfRule type="duplicateValues" priority="4" dxfId="0"/>
  </conditionalFormatting>
  <conditionalFormatting sqref="AN118 AP118 AR118 AT118">
    <cfRule type="duplicateValues" priority="5" dxfId="0"/>
  </conditionalFormatting>
  <conditionalFormatting sqref="AN119 AP119 AR119 AT119">
    <cfRule type="duplicateValues" priority="6" dxfId="0"/>
  </conditionalFormatting>
  <conditionalFormatting sqref="AN120">
    <cfRule type="duplicateValues" priority="8" dxfId="0"/>
  </conditionalFormatting>
  <conditionalFormatting sqref="AN121 AP121 AR121 AT121">
    <cfRule type="duplicateValues" priority="9" dxfId="0"/>
  </conditionalFormatting>
  <conditionalFormatting sqref="AN122">
    <cfRule type="duplicateValues" priority="11" dxfId="0"/>
  </conditionalFormatting>
  <conditionalFormatting sqref="AN123:AN124 AP123:AP124 AR123:AR124 AT123:AT124">
    <cfRule type="duplicateValues" priority="12" dxfId="0"/>
  </conditionalFormatting>
  <conditionalFormatting sqref="AN125 AP125 AR125 AT125">
    <cfRule type="duplicateValues" priority="3" dxfId="0"/>
  </conditionalFormatting>
  <conditionalFormatting sqref="AN126:AN141 AP126:AP141 AR126:AR141 AT126:AT141">
    <cfRule type="duplicateValues" priority="13" dxfId="0"/>
  </conditionalFormatting>
  <conditionalFormatting sqref="AN142:AN143 AP142:AP143 AR142:AR143 AT142:AT143">
    <cfRule type="duplicateValues" priority="2" dxfId="0"/>
  </conditionalFormatting>
  <conditionalFormatting sqref="AN144:AN150 AP144:AP150 AR144:AR150 AT144:AT150">
    <cfRule type="duplicateValues" priority="1" dxfId="0"/>
  </conditionalFormatting>
  <conditionalFormatting sqref="AP120 AR120 AT120">
    <cfRule type="duplicateValues" priority="7" dxfId="0"/>
  </conditionalFormatting>
  <conditionalFormatting sqref="AP122 AR122 AT122">
    <cfRule type="duplicateValues" priority="10" dxfId="0"/>
  </conditionalFormatting>
  <conditionalFormatting sqref="AV16">
    <cfRule type="duplicateValues" priority="116" dxfId="0"/>
    <cfRule type="duplicateValues" priority="117" dxfId="0"/>
  </conditionalFormatting>
  <conditionalFormatting sqref="AV21">
    <cfRule type="duplicateValues" priority="68" dxfId="0"/>
    <cfRule type="duplicateValues" priority="69" dxfId="0"/>
  </conditionalFormatting>
  <conditionalFormatting sqref="AV26">
    <cfRule type="duplicateValues" priority="66" dxfId="0"/>
    <cfRule type="duplicateValues" priority="67" dxfId="0"/>
  </conditionalFormatting>
  <conditionalFormatting sqref="AV31">
    <cfRule type="duplicateValues" priority="64" dxfId="0"/>
    <cfRule type="duplicateValues" priority="65" dxfId="0"/>
  </conditionalFormatting>
  <conditionalFormatting sqref="AV36">
    <cfRule type="duplicateValues" priority="62" dxfId="0"/>
    <cfRule type="duplicateValues" priority="63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02"/>
  <sheetViews>
    <sheetView topLeftCell="A85" workbookViewId="0">
      <selection activeCell="D49" sqref="D49"/>
    </sheetView>
  </sheetViews>
  <sheetFormatPr baseColWidth="8" defaultRowHeight="12"/>
  <cols>
    <col width="10.25" bestFit="1" customWidth="1" style="24" min="1" max="1"/>
    <col width="9" customWidth="1" style="23" min="2" max="2"/>
    <col width="14.25" customWidth="1" style="25" min="3" max="3"/>
    <col width="9" customWidth="1" style="25" min="4" max="4"/>
    <col width="12.5" customWidth="1" style="68" min="5" max="5"/>
    <col width="12.5" customWidth="1" style="23" min="6" max="9"/>
    <col width="11.25" bestFit="1" customWidth="1" style="68" min="10" max="10"/>
    <col width="11.125" bestFit="1" customWidth="1" style="68" min="11" max="11"/>
    <col width="11.125" customWidth="1" style="68" min="12" max="13"/>
    <col width="10.375" bestFit="1" customWidth="1" style="68" min="14" max="14"/>
    <col width="10.875" bestFit="1" customWidth="1" style="68" min="15" max="15"/>
    <col width="8.75" bestFit="1" customWidth="1" style="68" min="16" max="16"/>
    <col width="13" bestFit="1" customWidth="1" style="68" min="17" max="17"/>
    <col width="17.25" bestFit="1" customWidth="1" style="68" min="18" max="18"/>
    <col width="13" bestFit="1" customWidth="1" style="68" min="19" max="19"/>
    <col width="28" bestFit="1" customWidth="1" style="68" min="20" max="20"/>
    <col width="9.875" bestFit="1" customWidth="1" style="68" min="21" max="21"/>
    <col width="27.75" bestFit="1" customWidth="1" style="68" min="22" max="22"/>
    <col width="9" customWidth="1" style="68" min="23" max="27"/>
    <col width="9" customWidth="1" style="68" min="28" max="16384"/>
  </cols>
  <sheetData>
    <row r="1">
      <c r="A1" s="24" t="inlineStr">
        <is>
          <t>Id</t>
        </is>
      </c>
      <c r="B1" s="23" t="inlineStr">
        <is>
          <t>#Vid</t>
        </is>
      </c>
      <c r="C1" s="25" t="inlineStr">
        <is>
          <t>#SkinNumber</t>
        </is>
      </c>
      <c r="D1" s="25" t="inlineStr">
        <is>
          <t>#Skeleton</t>
        </is>
      </c>
      <c r="E1" s="68" t="inlineStr">
        <is>
          <t>ChildId</t>
        </is>
      </c>
      <c r="F1" s="23" t="inlineStr">
        <is>
          <t>#ChildName</t>
        </is>
      </c>
      <c r="G1" s="23" t="inlineStr">
        <is>
          <t>#SkinType</t>
        </is>
      </c>
      <c r="H1" s="23" t="inlineStr">
        <is>
          <t>#SkinName</t>
        </is>
      </c>
      <c r="I1" s="23" t="inlineStr">
        <is>
          <t>#SkinDesc</t>
        </is>
      </c>
      <c r="J1" s="68" t="inlineStr">
        <is>
          <t>SkinPrefix</t>
        </is>
      </c>
      <c r="K1" s="68" t="inlineStr">
        <is>
          <t>SkinName</t>
        </is>
      </c>
      <c r="L1" s="68" t="inlineStr">
        <is>
          <t>SkinDesc</t>
        </is>
      </c>
      <c r="M1" s="68" t="inlineStr">
        <is>
          <t>SkinCV</t>
        </is>
      </c>
      <c r="N1" s="68" t="inlineStr">
        <is>
          <t>Icon</t>
        </is>
      </c>
      <c r="O1" s="68" t="inlineStr">
        <is>
          <t>IconAtlas</t>
        </is>
      </c>
      <c r="P1" s="68" t="inlineStr">
        <is>
          <t>Portrait</t>
        </is>
      </c>
      <c r="Q1" s="68" t="inlineStr">
        <is>
          <t>PortraitAtlas</t>
        </is>
      </c>
      <c r="R1" s="68" t="inlineStr">
        <is>
          <t>Promotion</t>
        </is>
      </c>
      <c r="S1" s="68" t="inlineStr">
        <is>
          <t>PromotionAtlas</t>
        </is>
      </c>
      <c r="T1" s="68" t="inlineStr">
        <is>
          <t>Skeleton</t>
        </is>
      </c>
      <c r="U1" s="68" t="inlineStr">
        <is>
          <t>Skin</t>
        </is>
      </c>
      <c r="V1" s="68" t="inlineStr">
        <is>
          <t>IllustName</t>
        </is>
      </c>
      <c r="W1" s="68" t="inlineStr">
        <is>
          <t>SkillType</t>
        </is>
      </c>
      <c r="X1" s="68" t="inlineStr">
        <is>
          <t>Timeline</t>
        </is>
      </c>
      <c r="Y1" s="68" t="inlineStr">
        <is>
          <t>SkillType</t>
        </is>
      </c>
      <c r="Z1" s="68" t="inlineStr">
        <is>
          <t>Timeline</t>
        </is>
      </c>
      <c r="AA1" s="68" t="inlineStr">
        <is>
          <t>SkillType</t>
        </is>
      </c>
      <c r="AB1" s="68" t="inlineStr">
        <is>
          <t>Timeline</t>
        </is>
      </c>
      <c r="AC1" s="68" t="inlineStr">
        <is>
          <t>SkillType</t>
        </is>
      </c>
      <c r="AD1" s="68" t="inlineStr">
        <is>
          <t>Timeline</t>
        </is>
      </c>
    </row>
    <row r="2">
      <c r="G2" s="23" t="inlineStr">
        <is>
          <t>Enum.SkinType</t>
        </is>
      </c>
    </row>
    <row r="4">
      <c r="A4" s="24">
        <f>INT(TEXT(IF(LEFT(B4,1)="c",1,2)&amp;MID(B4,2,3),"000")&amp;TEXT(C4,"00"))</f>
        <v/>
      </c>
      <c r="B4" s="23" t="inlineStr">
        <is>
          <t>c000</t>
        </is>
      </c>
      <c r="C4" s="25" t="n">
        <v>1</v>
      </c>
      <c r="D4" s="25" t="inlineStr">
        <is>
          <t>a</t>
        </is>
      </c>
      <c r="E4" s="68" t="n">
        <v>0</v>
      </c>
      <c r="F4" s="23" t="inlineStr">
        <is>
          <t>Devil</t>
        </is>
      </c>
      <c r="G4" s="23" t="inlineStr">
        <is>
          <t>Base</t>
        </is>
      </c>
      <c r="H4" s="23" t="inlineStr">
        <is>
          <t>주인공</t>
        </is>
      </c>
      <c r="J4" s="68">
        <f>$B4&amp;"_"&amp;TEXT($C4,"00")&amp;"_F"</f>
        <v/>
      </c>
      <c r="K4" s="68">
        <f>$B4&amp;"_"&amp;TEXT($C4,"00")&amp;"_L"</f>
        <v/>
      </c>
      <c r="L4" s="68">
        <f>LEFT(J4, 7)&amp;"_Desc"</f>
        <v/>
      </c>
      <c r="M4" s="68">
        <f>$B4&amp;"_"&amp;TEXT($C4,"00")&amp;"_CV"</f>
        <v/>
      </c>
      <c r="N4" s="68">
        <f>LEFT(J4, 7)&amp;"_ci_F"</f>
        <v/>
      </c>
      <c r="O4" s="68" t="inlineStr">
        <is>
          <t>CharacterIcon</t>
        </is>
      </c>
      <c r="T4" s="68">
        <f>B4&amp;"_"&amp;D4&amp;"_SkeletonData.asset"</f>
        <v/>
      </c>
      <c r="U4" s="68">
        <f>B4&amp;"_"&amp;TEXT(C4,"00")&amp;"_"&amp;D4</f>
        <v/>
      </c>
      <c r="V4" s="68">
        <f>"Naninovel/Characters/"&amp;B4&amp;"_"&amp;TEXT(C4,"00")&amp;""</f>
        <v/>
      </c>
      <c r="W4" s="68" t="inlineStr">
        <is>
          <t>Normal</t>
        </is>
      </c>
      <c r="X4" s="68" t="n">
        <v>0</v>
      </c>
      <c r="Y4" s="68" t="inlineStr">
        <is>
          <t>Active</t>
        </is>
      </c>
      <c r="Z4" s="68" t="n">
        <v>0</v>
      </c>
      <c r="AA4" s="68" t="inlineStr">
        <is>
          <t>Ultimate</t>
        </is>
      </c>
      <c r="AB4" s="68" t="n">
        <v>0</v>
      </c>
      <c r="AC4" s="68" t="inlineStr">
        <is>
          <t>Passive</t>
        </is>
      </c>
      <c r="AD4" s="68" t="n">
        <v>0</v>
      </c>
    </row>
    <row r="5">
      <c r="A5" s="24">
        <f>INT(TEXT(IF(LEFT(B5,1)="c",1,2)&amp;MID(B5,2,3),"000")&amp;TEXT(C5,"00"))</f>
        <v/>
      </c>
      <c r="B5" s="23" t="inlineStr">
        <is>
          <t>c354</t>
        </is>
      </c>
      <c r="C5" s="25" t="n">
        <v>1</v>
      </c>
      <c r="D5" s="25" t="inlineStr">
        <is>
          <t>a</t>
        </is>
      </c>
      <c r="E5" s="68">
        <f>_xlfn.XLOOKUP(A5,'Detail&lt;Child&gt;'!C:C,'Detail&lt;Child&gt;'!A:A)</f>
        <v/>
      </c>
      <c r="F5" s="23" t="inlineStr">
        <is>
          <t>Demeter</t>
        </is>
      </c>
      <c r="G5" s="23" t="inlineStr">
        <is>
          <t>Base</t>
        </is>
      </c>
      <c r="H5" s="23" t="inlineStr">
        <is>
          <t>허세의 드미테르</t>
        </is>
      </c>
      <c r="J5" s="68" t="inlineStr">
        <is>
          <t>c010_01_F</t>
        </is>
      </c>
      <c r="K5" s="68" t="inlineStr">
        <is>
          <t>c010_01_L</t>
        </is>
      </c>
      <c r="L5" s="68" t="inlineStr">
        <is>
          <t>c354_01_Desc</t>
        </is>
      </c>
      <c r="M5" s="68">
        <f>$B5&amp;"_"&amp;TEXT($C5,"00")&amp;"_CV"</f>
        <v/>
      </c>
      <c r="N5" s="68" t="inlineStr">
        <is>
          <t>c354_01_ci_F</t>
        </is>
      </c>
      <c r="O5" s="68" t="inlineStr">
        <is>
          <t>CharacterIcon</t>
        </is>
      </c>
      <c r="P5" s="68" t="inlineStr">
        <is>
          <t>c010_01_p</t>
        </is>
      </c>
      <c r="Q5" s="68" t="inlineStr">
        <is>
          <t>CharacterPortrait</t>
        </is>
      </c>
      <c r="R5" s="68">
        <f>"Promotion_"&amp;P5</f>
        <v/>
      </c>
      <c r="S5" s="68" t="inlineStr">
        <is>
          <t>CharacterPromotion</t>
        </is>
      </c>
      <c r="T5" s="68">
        <f>B5&amp;"_"&amp;D5&amp;"_SkeletonData.asset"</f>
        <v/>
      </c>
      <c r="U5" s="68">
        <f>B5&amp;"_"&amp;TEXT(C5,"00")&amp;"_"&amp;D5</f>
        <v/>
      </c>
      <c r="V5" s="68">
        <f>"Naninovel/Characters/"&amp;B5&amp;"_"&amp;TEXT(C5,"00")&amp;""</f>
        <v/>
      </c>
      <c r="W5" s="68" t="inlineStr">
        <is>
          <t>Normal</t>
        </is>
      </c>
      <c r="X5" s="1" t="n">
        <v>1513011</v>
      </c>
      <c r="Y5" s="68" t="inlineStr">
        <is>
          <t>Active</t>
        </is>
      </c>
      <c r="Z5" s="1" t="n">
        <v>2513011</v>
      </c>
      <c r="AA5" s="68" t="inlineStr">
        <is>
          <t>Ultimate</t>
        </is>
      </c>
      <c r="AB5" s="1" t="n">
        <v>3513011</v>
      </c>
      <c r="AC5" s="68" t="inlineStr">
        <is>
          <t>Passive</t>
        </is>
      </c>
      <c r="AD5" s="1" t="n">
        <v>4513011</v>
      </c>
      <c r="AE5" s="1" t="n"/>
    </row>
    <row r="6">
      <c r="A6" s="24">
        <f>INT(TEXT(IF(LEFT(B6,1)="c",1,2)&amp;MID(B6,2,3),"000")&amp;TEXT(C6,"00"))</f>
        <v/>
      </c>
      <c r="B6" s="23" t="inlineStr">
        <is>
          <t>c296</t>
        </is>
      </c>
      <c r="C6" s="25" t="n">
        <v>1</v>
      </c>
      <c r="D6" s="25" t="inlineStr">
        <is>
          <t>a</t>
        </is>
      </c>
      <c r="E6" s="68">
        <f>_xlfn.XLOOKUP(A6,'Detail&lt;Child&gt;'!C:C,'Detail&lt;Child&gt;'!A:A)</f>
        <v/>
      </c>
      <c r="F6" s="23" t="inlineStr">
        <is>
          <t>Hildr</t>
        </is>
      </c>
      <c r="G6" s="23" t="inlineStr">
        <is>
          <t>Base</t>
        </is>
      </c>
      <c r="H6" s="23" t="inlineStr">
        <is>
          <t>건슬링거 힐드</t>
        </is>
      </c>
      <c r="J6" s="68">
        <f>$B6&amp;"_"&amp;TEXT($C6,"00")&amp;"_F"</f>
        <v/>
      </c>
      <c r="K6" s="68">
        <f>$B6&amp;"_"&amp;TEXT($C6,"00")&amp;"_L"</f>
        <v/>
      </c>
      <c r="L6" s="68">
        <f>LEFT(J6, 7)&amp;"_Desc"</f>
        <v/>
      </c>
      <c r="M6" s="68">
        <f>$B6&amp;"_"&amp;TEXT($C6,"00")&amp;"_CV"</f>
        <v/>
      </c>
      <c r="N6" s="68">
        <f>LEFT(J6, 7)&amp;"_ci_F"</f>
        <v/>
      </c>
      <c r="O6" s="68" t="inlineStr">
        <is>
          <t>CharacterIcon</t>
        </is>
      </c>
      <c r="P6" s="68">
        <f>B6&amp;"_"&amp;TEXT(C6,"00")&amp;"_p"</f>
        <v/>
      </c>
      <c r="Q6" s="68" t="inlineStr">
        <is>
          <t>CharacterPortrait</t>
        </is>
      </c>
      <c r="R6" s="68">
        <f>"Promotion_"&amp;P6</f>
        <v/>
      </c>
      <c r="S6" s="68" t="inlineStr">
        <is>
          <t>CharacterPromotion</t>
        </is>
      </c>
      <c r="T6" s="68">
        <f>B6&amp;"_"&amp;D6&amp;"_SkeletonData.asset"</f>
        <v/>
      </c>
      <c r="U6" s="68">
        <f>B6&amp;"_"&amp;TEXT(C6,"00")&amp;"_"&amp;D6</f>
        <v/>
      </c>
      <c r="V6" s="68">
        <f>"Naninovel/Characters/"&amp;B6&amp;"_"&amp;TEXT(C6,"00")&amp;""</f>
        <v/>
      </c>
      <c r="W6" s="68" t="inlineStr">
        <is>
          <t>Normal</t>
        </is>
      </c>
      <c r="X6" s="1" t="n">
        <v>1541021</v>
      </c>
      <c r="Y6" s="68" t="inlineStr">
        <is>
          <t>Active</t>
        </is>
      </c>
      <c r="Z6" s="1" t="n">
        <v>2541021</v>
      </c>
      <c r="AA6" s="68" t="inlineStr">
        <is>
          <t>Ultimate</t>
        </is>
      </c>
      <c r="AB6" s="1" t="n">
        <v>3541021</v>
      </c>
      <c r="AC6" s="68" t="inlineStr">
        <is>
          <t>Passive</t>
        </is>
      </c>
      <c r="AD6" s="1" t="n">
        <v>4541021</v>
      </c>
      <c r="AE6" s="1" t="n"/>
    </row>
    <row r="7">
      <c r="A7" s="24">
        <f>INT(TEXT(IF(LEFT(B7,1)="c",1,2)&amp;MID(B7,2,3),"000")&amp;TEXT(C7,"00"))</f>
        <v/>
      </c>
      <c r="B7" s="23" t="inlineStr">
        <is>
          <t>c003</t>
        </is>
      </c>
      <c r="C7" s="25" t="n">
        <v>1</v>
      </c>
      <c r="D7" s="25" t="inlineStr">
        <is>
          <t>a</t>
        </is>
      </c>
      <c r="E7" s="68">
        <f>_xlfn.XLOOKUP(A7,'Detail&lt;Child&gt;'!C:C,'Detail&lt;Child&gt;'!A:A)</f>
        <v/>
      </c>
      <c r="F7" s="23" t="inlineStr">
        <is>
          <t>Davi</t>
        </is>
      </c>
      <c r="G7" s="23" t="inlineStr">
        <is>
          <t>Base</t>
        </is>
      </c>
      <c r="H7" s="23" t="inlineStr">
        <is>
          <t>다비</t>
        </is>
      </c>
      <c r="J7" s="68">
        <f>$B7&amp;"_"&amp;TEXT($C7,"00")&amp;"_F"</f>
        <v/>
      </c>
      <c r="K7" s="68">
        <f>$B7&amp;"_"&amp;TEXT($C7,"00")&amp;"_L"</f>
        <v/>
      </c>
      <c r="L7" s="68">
        <f>LEFT(J7, 7)&amp;"_Desc"</f>
        <v/>
      </c>
      <c r="M7" s="68">
        <f>$B7&amp;"_"&amp;TEXT($C7,"00")&amp;"_CV"</f>
        <v/>
      </c>
      <c r="N7" s="68">
        <f>LEFT(J7, 7)&amp;"_ci_F"</f>
        <v/>
      </c>
      <c r="O7" s="68" t="inlineStr">
        <is>
          <t>CharacterIcon</t>
        </is>
      </c>
      <c r="P7" s="68">
        <f>B7&amp;"_"&amp;TEXT(C7,"00")&amp;"_p"</f>
        <v/>
      </c>
      <c r="Q7" s="68" t="inlineStr">
        <is>
          <t>CharacterPortrait</t>
        </is>
      </c>
      <c r="R7" s="68">
        <f>"Promotion_"&amp;P7</f>
        <v/>
      </c>
      <c r="S7" s="68" t="inlineStr">
        <is>
          <t>CharacterPromotion</t>
        </is>
      </c>
      <c r="T7" s="68">
        <f>B7&amp;"_"&amp;D7&amp;"_SkeletonData.asset"</f>
        <v/>
      </c>
      <c r="U7" s="68">
        <f>B7&amp;"_"&amp;TEXT(C7,"00")&amp;"_"&amp;D7</f>
        <v/>
      </c>
      <c r="V7" s="68">
        <f>"Naninovel/Characters/"&amp;B7&amp;"_"&amp;TEXT(C7,"00")&amp;""</f>
        <v/>
      </c>
      <c r="W7" s="68" t="inlineStr">
        <is>
          <t>Normal</t>
        </is>
      </c>
      <c r="X7" s="1" t="n">
        <v>1511031</v>
      </c>
      <c r="Y7" s="68" t="inlineStr">
        <is>
          <t>Active</t>
        </is>
      </c>
      <c r="Z7" s="1" t="n">
        <v>2511031</v>
      </c>
      <c r="AA7" s="68" t="inlineStr">
        <is>
          <t>Ultimate</t>
        </is>
      </c>
      <c r="AB7" s="1" t="n">
        <v>3511031</v>
      </c>
      <c r="AC7" s="68" t="inlineStr">
        <is>
          <t>Passive</t>
        </is>
      </c>
      <c r="AD7" s="1" t="n">
        <v>4511031</v>
      </c>
      <c r="AE7" s="1" t="n"/>
    </row>
    <row r="8">
      <c r="A8" s="24">
        <f>INT(TEXT(IF(LEFT(B8,1)="c",1,2)&amp;MID(B8,2,3),"000")&amp;TEXT(C8,"00"))</f>
        <v/>
      </c>
      <c r="B8" s="23" t="inlineStr">
        <is>
          <t>c464</t>
        </is>
      </c>
      <c r="C8" s="25" t="n">
        <v>1</v>
      </c>
      <c r="D8" s="25" t="inlineStr">
        <is>
          <t>a</t>
        </is>
      </c>
      <c r="E8" s="68">
        <f>_xlfn.XLOOKUP(A8,'Detail&lt;Child&gt;'!C:C,'Detail&lt;Child&gt;'!A:A)</f>
        <v/>
      </c>
      <c r="F8" s="23" t="inlineStr">
        <is>
          <t>Arhat</t>
        </is>
      </c>
      <c r="G8" s="23" t="inlineStr">
        <is>
          <t>Base</t>
        </is>
      </c>
      <c r="H8" s="23" t="inlineStr">
        <is>
          <t>장엄 아라한</t>
        </is>
      </c>
      <c r="J8" s="68">
        <f>$B8&amp;"_"&amp;TEXT($C8,"00")&amp;"_F"</f>
        <v/>
      </c>
      <c r="K8" s="68">
        <f>$B8&amp;"_"&amp;TEXT($C8,"00")&amp;"_L"</f>
        <v/>
      </c>
      <c r="L8" s="68">
        <f>LEFT(J8, 7)&amp;"_Desc"</f>
        <v/>
      </c>
      <c r="M8" s="68">
        <f>$B8&amp;"_"&amp;TEXT($C8,"00")&amp;"_CV"</f>
        <v/>
      </c>
      <c r="N8" s="68">
        <f>LEFT(J8, 7)&amp;"_ci_F"</f>
        <v/>
      </c>
      <c r="O8" s="68" t="inlineStr">
        <is>
          <t>CharacterIcon</t>
        </is>
      </c>
      <c r="P8" s="68" t="inlineStr">
        <is>
          <t>c464_02_p</t>
        </is>
      </c>
      <c r="Q8" s="68" t="inlineStr">
        <is>
          <t>CharacterPortrait</t>
        </is>
      </c>
      <c r="R8" s="68">
        <f>"Promotion_"&amp;P8</f>
        <v/>
      </c>
      <c r="S8" s="68" t="inlineStr">
        <is>
          <t>CharacterPromotion</t>
        </is>
      </c>
      <c r="T8" s="68">
        <f>B8&amp;"_"&amp;D8&amp;"_SkeletonData.asset"</f>
        <v/>
      </c>
      <c r="U8" s="68">
        <f>B8&amp;"_"&amp;TEXT(C8,"00")&amp;"_"&amp;D8</f>
        <v/>
      </c>
      <c r="V8" s="68">
        <f>"Naninovel/Characters/"&amp;B8&amp;"_"&amp;TEXT(C8,"00")&amp;""</f>
        <v/>
      </c>
      <c r="W8" s="68" t="inlineStr">
        <is>
          <t>Normal</t>
        </is>
      </c>
      <c r="X8" s="1" t="n">
        <v>1524041</v>
      </c>
      <c r="Y8" s="68" t="inlineStr">
        <is>
          <t>Active</t>
        </is>
      </c>
      <c r="Z8" s="1" t="n">
        <v>2524041</v>
      </c>
      <c r="AA8" s="68" t="inlineStr">
        <is>
          <t>Ultimate</t>
        </is>
      </c>
      <c r="AB8" s="1" t="n">
        <v>3524041</v>
      </c>
      <c r="AC8" s="68" t="inlineStr">
        <is>
          <t>Passive</t>
        </is>
      </c>
      <c r="AD8" s="1" t="n">
        <v>4524041</v>
      </c>
      <c r="AE8" s="1" t="n"/>
    </row>
    <row r="9">
      <c r="A9" s="24">
        <f>INT(TEXT(IF(LEFT(B9,1)="c",1,2)&amp;MID(B9,2,3),"000")&amp;TEXT(C9,"00"))</f>
        <v/>
      </c>
      <c r="B9" s="23" t="inlineStr">
        <is>
          <t>c353</t>
        </is>
      </c>
      <c r="C9" s="25" t="n">
        <v>1</v>
      </c>
      <c r="D9" s="25" t="inlineStr">
        <is>
          <t>a</t>
        </is>
      </c>
      <c r="E9" s="68">
        <f>_xlfn.XLOOKUP(A9,'Detail&lt;Child&gt;'!C:C,'Detail&lt;Child&gt;'!A:A)</f>
        <v/>
      </c>
      <c r="F9" s="23" t="inlineStr">
        <is>
          <t>Charlotte</t>
        </is>
      </c>
      <c r="G9" s="23" t="inlineStr">
        <is>
          <t>Base</t>
        </is>
      </c>
      <c r="H9" s="23" t="inlineStr">
        <is>
          <t>철창의 샤를</t>
        </is>
      </c>
      <c r="J9" s="68">
        <f>$B9&amp;"_"&amp;TEXT($C9,"00")&amp;"_F"</f>
        <v/>
      </c>
      <c r="K9" s="68">
        <f>$B9&amp;"_"&amp;TEXT($C9,"00")&amp;"_L"</f>
        <v/>
      </c>
      <c r="L9" s="68">
        <f>LEFT(J9, 7)&amp;"_Desc"</f>
        <v/>
      </c>
      <c r="M9" s="68">
        <f>$B9&amp;"_"&amp;TEXT($C9,"00")&amp;"_CV"</f>
        <v/>
      </c>
      <c r="N9" s="68">
        <f>LEFT(J9, 7)&amp;"_ci_F"</f>
        <v/>
      </c>
      <c r="O9" s="68" t="inlineStr">
        <is>
          <t>CharacterIcon</t>
        </is>
      </c>
      <c r="P9" s="68">
        <f>B9&amp;"_"&amp;TEXT(C9,"00")&amp;"_p"</f>
        <v/>
      </c>
      <c r="Q9" s="68" t="inlineStr">
        <is>
          <t>CharacterPortrait</t>
        </is>
      </c>
      <c r="R9" s="68">
        <f>"Promotion_"&amp;P9</f>
        <v/>
      </c>
      <c r="S9" s="68" t="inlineStr">
        <is>
          <t>CharacterPromotion</t>
        </is>
      </c>
      <c r="T9" s="68">
        <f>B9&amp;"_"&amp;D9&amp;"_SkeletonData.asset"</f>
        <v/>
      </c>
      <c r="U9" s="68">
        <f>B9&amp;"_"&amp;TEXT(C9,"00")&amp;"_"&amp;D9</f>
        <v/>
      </c>
      <c r="V9" s="68">
        <f>"Naninovel/Characters/"&amp;B9&amp;"_"&amp;TEXT(C9,"00")&amp;""</f>
        <v/>
      </c>
      <c r="W9" s="68" t="inlineStr">
        <is>
          <t>Normal</t>
        </is>
      </c>
      <c r="X9" s="1" t="n">
        <v>1542051</v>
      </c>
      <c r="Y9" s="68" t="inlineStr">
        <is>
          <t>Active</t>
        </is>
      </c>
      <c r="Z9" s="1" t="n">
        <v>2542051</v>
      </c>
      <c r="AA9" s="68" t="inlineStr">
        <is>
          <t>Ultimate</t>
        </is>
      </c>
      <c r="AB9" s="1" t="n">
        <v>3542051</v>
      </c>
      <c r="AC9" s="68" t="inlineStr">
        <is>
          <t>Passive</t>
        </is>
      </c>
      <c r="AD9" s="1" t="n">
        <v>4542051</v>
      </c>
      <c r="AE9" s="1" t="n"/>
    </row>
    <row r="10">
      <c r="A10" s="24">
        <f>INT(TEXT(IF(LEFT(B10,1)="c",1,2)&amp;MID(B10,2,3),"000")&amp;TEXT(C10,"00"))</f>
        <v/>
      </c>
      <c r="B10" s="23" t="inlineStr">
        <is>
          <t>c229</t>
        </is>
      </c>
      <c r="C10" s="25" t="n">
        <v>1</v>
      </c>
      <c r="D10" s="25" t="inlineStr">
        <is>
          <t>a</t>
        </is>
      </c>
      <c r="E10" s="68">
        <f>_xlfn.XLOOKUP(A10,'Detail&lt;Child&gt;'!C:C,'Detail&lt;Child&gt;'!A:A)</f>
        <v/>
      </c>
      <c r="F10" s="23" t="inlineStr">
        <is>
          <t>Brownie</t>
        </is>
      </c>
      <c r="G10" s="23" t="inlineStr">
        <is>
          <t>Base</t>
        </is>
      </c>
      <c r="H10" s="23" t="inlineStr">
        <is>
          <t>소식통 브라우니</t>
        </is>
      </c>
      <c r="J10" s="68">
        <f>$B10&amp;"_"&amp;TEXT($C10,"00")&amp;"_F"</f>
        <v/>
      </c>
      <c r="K10" s="68">
        <f>$B10&amp;"_"&amp;TEXT($C10,"00")&amp;"_L"</f>
        <v/>
      </c>
      <c r="L10" s="68">
        <f>LEFT(J10, 7)&amp;"_Desc"</f>
        <v/>
      </c>
      <c r="M10" s="68">
        <f>$B10&amp;"_"&amp;TEXT($C10,"00")&amp;"_CV"</f>
        <v/>
      </c>
      <c r="N10" s="68">
        <f>LEFT(J10, 7)&amp;"_ci_F"</f>
        <v/>
      </c>
      <c r="O10" s="68" t="inlineStr">
        <is>
          <t>CharacterIcon</t>
        </is>
      </c>
      <c r="P10" s="68">
        <f>B10&amp;"_"&amp;TEXT(C10,"00")&amp;"_p"</f>
        <v/>
      </c>
      <c r="Q10" s="68" t="inlineStr">
        <is>
          <t>CharacterPortrait</t>
        </is>
      </c>
      <c r="R10" s="68">
        <f>"Promotion_"&amp;P10</f>
        <v/>
      </c>
      <c r="S10" s="68" t="inlineStr">
        <is>
          <t>CharacterPromotion</t>
        </is>
      </c>
      <c r="T10" s="68">
        <f>B10&amp;"_"&amp;D10&amp;"_SkeletonData.asset"</f>
        <v/>
      </c>
      <c r="U10" s="68">
        <f>B10&amp;"_"&amp;TEXT(C10,"00")&amp;"_"&amp;D10</f>
        <v/>
      </c>
      <c r="V10" s="68">
        <f>"Naninovel/Characters/"&amp;B10&amp;"_"&amp;TEXT(C10,"00")&amp;""</f>
        <v/>
      </c>
      <c r="W10" s="68" t="inlineStr">
        <is>
          <t>Normal</t>
        </is>
      </c>
      <c r="X10" s="1" t="n">
        <v>1534061</v>
      </c>
      <c r="Y10" s="68" t="inlineStr">
        <is>
          <t>Active</t>
        </is>
      </c>
      <c r="Z10" s="1" t="n">
        <v>2534061</v>
      </c>
      <c r="AA10" s="68" t="inlineStr">
        <is>
          <t>Ultimate</t>
        </is>
      </c>
      <c r="AB10" s="1" t="n">
        <v>3534061</v>
      </c>
      <c r="AC10" s="68" t="inlineStr">
        <is>
          <t>Passive</t>
        </is>
      </c>
      <c r="AD10" s="1" t="n">
        <v>4534061</v>
      </c>
      <c r="AE10" s="1" t="n"/>
    </row>
    <row r="11">
      <c r="A11" s="24">
        <f>INT(TEXT(IF(LEFT(B11,1)="c",1,2)&amp;MID(B11,2,3),"000")&amp;TEXT(C11,"00"))</f>
        <v/>
      </c>
      <c r="B11" s="23" t="inlineStr">
        <is>
          <t>c180</t>
        </is>
      </c>
      <c r="C11" s="25" t="n">
        <v>1</v>
      </c>
      <c r="D11" s="25" t="inlineStr">
        <is>
          <t>a</t>
        </is>
      </c>
      <c r="E11" s="68">
        <f>_xlfn.XLOOKUP(A11,'Detail&lt;Child&gt;'!C:C,'Detail&lt;Child&gt;'!A:A)</f>
        <v/>
      </c>
      <c r="F11" s="23" t="inlineStr">
        <is>
          <t>Mommon</t>
        </is>
      </c>
      <c r="G11" s="23" t="inlineStr">
        <is>
          <t>Base</t>
        </is>
      </c>
      <c r="H11" s="23" t="inlineStr">
        <is>
          <t>야망의 맘몬</t>
        </is>
      </c>
      <c r="J11" s="68">
        <f>$B11&amp;"_"&amp;TEXT($C11,"00")&amp;"_F"</f>
        <v/>
      </c>
      <c r="K11" s="68">
        <f>$B11&amp;"_"&amp;TEXT($C11,"00")&amp;"_L"</f>
        <v/>
      </c>
      <c r="L11" s="68">
        <f>LEFT(J11, 7)&amp;"_Desc"</f>
        <v/>
      </c>
      <c r="M11" s="68">
        <f>$B11&amp;"_"&amp;TEXT($C11,"00")&amp;"_CV"</f>
        <v/>
      </c>
      <c r="N11" s="68">
        <f>LEFT(J11, 7)&amp;"_ci_F"</f>
        <v/>
      </c>
      <c r="O11" s="68" t="inlineStr">
        <is>
          <t>CharacterIcon</t>
        </is>
      </c>
      <c r="P11" s="68">
        <f>B11&amp;"_"&amp;TEXT(C11,"00")&amp;"_p"</f>
        <v/>
      </c>
      <c r="Q11" s="68" t="inlineStr">
        <is>
          <t>CharacterPortrait</t>
        </is>
      </c>
      <c r="R11" s="68">
        <f>"Promotion_"&amp;P11</f>
        <v/>
      </c>
      <c r="S11" s="68" t="inlineStr">
        <is>
          <t>CharacterPromotion</t>
        </is>
      </c>
      <c r="T11" s="68">
        <f>B11&amp;"_"&amp;D11&amp;"_SkeletonData.asset"</f>
        <v/>
      </c>
      <c r="U11" s="68">
        <f>B11&amp;"_"&amp;TEXT(C11,"00")&amp;"_"&amp;D11</f>
        <v/>
      </c>
      <c r="V11" s="68">
        <f>"Naninovel/Characters/"&amp;B11&amp;"_"&amp;TEXT(C11,"00")&amp;""</f>
        <v/>
      </c>
      <c r="W11" s="68" t="inlineStr">
        <is>
          <t>Normal</t>
        </is>
      </c>
      <c r="X11" s="1" t="n">
        <v>1532071</v>
      </c>
      <c r="Y11" s="68" t="inlineStr">
        <is>
          <t>Active</t>
        </is>
      </c>
      <c r="Z11" s="1" t="n">
        <v>2532071</v>
      </c>
      <c r="AA11" s="68" t="inlineStr">
        <is>
          <t>Ultimate</t>
        </is>
      </c>
      <c r="AB11" s="1" t="n">
        <v>3532071</v>
      </c>
      <c r="AC11" s="68" t="inlineStr">
        <is>
          <t>Passive</t>
        </is>
      </c>
      <c r="AD11" s="1" t="n">
        <v>4532071</v>
      </c>
      <c r="AE11" s="1" t="n"/>
    </row>
    <row r="12">
      <c r="A12" s="24">
        <f>INT(TEXT(IF(LEFT(B12,1)="c",1,2)&amp;MID(B12,2,3),"000")&amp;TEXT(C12,"00"))</f>
        <v/>
      </c>
      <c r="B12" s="23" t="inlineStr">
        <is>
          <t>c183</t>
        </is>
      </c>
      <c r="C12" s="25" t="n">
        <v>1</v>
      </c>
      <c r="D12" s="25" t="inlineStr">
        <is>
          <t>a</t>
        </is>
      </c>
      <c r="E12" s="68">
        <f>_xlfn.XLOOKUP(A12,'Detail&lt;Child&gt;'!C:C,'Detail&lt;Child&gt;'!A:A)</f>
        <v/>
      </c>
      <c r="F12" s="23" t="inlineStr">
        <is>
          <t>Dana</t>
        </is>
      </c>
      <c r="G12" s="23" t="inlineStr">
        <is>
          <t>Base</t>
        </is>
      </c>
      <c r="H12" s="23" t="inlineStr">
        <is>
          <t>설교하는 다나</t>
        </is>
      </c>
      <c r="J12" s="68">
        <f>$B12&amp;"_"&amp;TEXT($C12,"00")&amp;"_F"</f>
        <v/>
      </c>
      <c r="K12" s="68">
        <f>$B12&amp;"_"&amp;TEXT($C12,"00")&amp;"_L"</f>
        <v/>
      </c>
      <c r="L12" s="68">
        <f>LEFT(J12, 7)&amp;"_Desc"</f>
        <v/>
      </c>
      <c r="M12" s="68">
        <f>$B12&amp;"_"&amp;TEXT($C12,"00")&amp;"_CV"</f>
        <v/>
      </c>
      <c r="N12" s="68">
        <f>LEFT(J12, 7)&amp;"_ci_F"</f>
        <v/>
      </c>
      <c r="O12" s="68" t="inlineStr">
        <is>
          <t>CharacterIcon</t>
        </is>
      </c>
      <c r="P12" s="68">
        <f>B12&amp;"_"&amp;TEXT(C12,"00")&amp;"_p"</f>
        <v/>
      </c>
      <c r="Q12" s="68" t="inlineStr">
        <is>
          <t>CharacterPortrait</t>
        </is>
      </c>
      <c r="R12" s="68">
        <f>"Promotion_"&amp;P12</f>
        <v/>
      </c>
      <c r="S12" s="68" t="inlineStr">
        <is>
          <t>CharacterPromotion</t>
        </is>
      </c>
      <c r="T12" s="68">
        <f>B12&amp;"_"&amp;D12&amp;"_SkeletonData.asset"</f>
        <v/>
      </c>
      <c r="U12" s="68">
        <f>B12&amp;"_"&amp;TEXT(C12,"00")&amp;"_"&amp;D12</f>
        <v/>
      </c>
      <c r="V12" s="68">
        <f>"Naninovel/Characters/"&amp;B12&amp;"_"&amp;TEXT(C12,"00")&amp;""</f>
        <v/>
      </c>
      <c r="W12" s="68" t="inlineStr">
        <is>
          <t>Normal</t>
        </is>
      </c>
      <c r="X12" s="1" t="n">
        <v>1555081</v>
      </c>
      <c r="Y12" s="68" t="inlineStr">
        <is>
          <t>Active</t>
        </is>
      </c>
      <c r="Z12" s="1" t="n">
        <v>2555081</v>
      </c>
      <c r="AA12" s="68" t="inlineStr">
        <is>
          <t>Ultimate</t>
        </is>
      </c>
      <c r="AB12" s="1" t="n">
        <v>3555081</v>
      </c>
      <c r="AC12" s="68" t="inlineStr">
        <is>
          <t>Passive</t>
        </is>
      </c>
      <c r="AD12" s="1" t="n">
        <v>4555081</v>
      </c>
      <c r="AE12" s="1" t="n"/>
    </row>
    <row r="13">
      <c r="A13" s="24">
        <f>INT(TEXT(IF(LEFT(B13,1)="c",1,2)&amp;MID(B13,2,3),"000")&amp;TEXT(C13,"00"))</f>
        <v/>
      </c>
      <c r="B13" s="23" t="inlineStr">
        <is>
          <t>c051</t>
        </is>
      </c>
      <c r="C13" s="25" t="n">
        <v>2</v>
      </c>
      <c r="D13" s="25" t="inlineStr">
        <is>
          <t>a</t>
        </is>
      </c>
      <c r="E13" s="68">
        <f>_xlfn.XLOOKUP(A13,'Detail&lt;Child&gt;'!C:C,'Detail&lt;Child&gt;'!A:A)</f>
        <v/>
      </c>
      <c r="F13" s="23" t="inlineStr">
        <is>
          <t>Frej</t>
        </is>
      </c>
      <c r="G13" s="23" t="inlineStr">
        <is>
          <t>Base</t>
        </is>
      </c>
      <c r="H13" s="23" t="inlineStr">
        <is>
          <t>프레이</t>
        </is>
      </c>
      <c r="J13" s="68">
        <f>$B13&amp;"_"&amp;TEXT($C13,"00")&amp;"_F"</f>
        <v/>
      </c>
      <c r="K13" s="68">
        <f>$B13&amp;"_"&amp;TEXT($C13,"00")&amp;"_L"</f>
        <v/>
      </c>
      <c r="L13" s="68">
        <f>LEFT(J13, 7)&amp;"_Desc"</f>
        <v/>
      </c>
      <c r="M13" s="68">
        <f>$B13&amp;"_"&amp;TEXT($C13,"00")&amp;"_CV"</f>
        <v/>
      </c>
      <c r="N13" s="68" t="inlineStr">
        <is>
          <t>c051_02_ci_F</t>
        </is>
      </c>
      <c r="O13" s="68" t="inlineStr">
        <is>
          <t>CharacterIcon</t>
        </is>
      </c>
      <c r="P13" s="68">
        <f>B13&amp;"_"&amp;TEXT(C13,"00")&amp;"_p"</f>
        <v/>
      </c>
      <c r="Q13" s="68" t="inlineStr">
        <is>
          <t>CharacterPortrait</t>
        </is>
      </c>
      <c r="R13" s="68">
        <f>"Promotion_"&amp;P13</f>
        <v/>
      </c>
      <c r="S13" s="68" t="inlineStr">
        <is>
          <t>CharacterPromotion</t>
        </is>
      </c>
      <c r="T13" s="68">
        <f>B13&amp;"_"&amp;D13&amp;"_SkeletonData.asset"</f>
        <v/>
      </c>
      <c r="U13" s="68">
        <f>B13&amp;"_"&amp;TEXT(C13,"00")&amp;"_"&amp;D13</f>
        <v/>
      </c>
      <c r="V13" s="68">
        <f>"Naninovel/Characters/"&amp;B13&amp;"_"&amp;TEXT(C13,"00")&amp;""</f>
        <v/>
      </c>
      <c r="W13" s="68" t="inlineStr">
        <is>
          <t>Normal</t>
        </is>
      </c>
      <c r="X13" s="68" t="n">
        <v>1551091</v>
      </c>
      <c r="Y13" s="68" t="inlineStr">
        <is>
          <t>Active</t>
        </is>
      </c>
      <c r="Z13" s="68" t="n">
        <v>2551091</v>
      </c>
      <c r="AA13" s="68" t="inlineStr">
        <is>
          <t>Ultimate</t>
        </is>
      </c>
      <c r="AB13" s="68" t="n">
        <v>3551091</v>
      </c>
      <c r="AC13" s="68" t="inlineStr">
        <is>
          <t>Passive</t>
        </is>
      </c>
      <c r="AD13" s="68" t="n">
        <v>4551091</v>
      </c>
    </row>
    <row r="14">
      <c r="A14" s="24">
        <f>INT(TEXT(IF(LEFT(B14,1)="c",1,2)&amp;MID(B14,2,3),"000")&amp;TEXT(C14,"00"))</f>
        <v/>
      </c>
      <c r="B14" s="23" t="inlineStr">
        <is>
          <t>c364</t>
        </is>
      </c>
      <c r="C14" s="25" t="n">
        <v>1</v>
      </c>
      <c r="D14" s="25" t="inlineStr">
        <is>
          <t>a</t>
        </is>
      </c>
      <c r="E14" s="68">
        <f>_xlfn.XLOOKUP(A14,'Detail&lt;Child&gt;'!C:C,'Detail&lt;Child&gt;'!A:A)</f>
        <v/>
      </c>
      <c r="F14" s="23" t="inlineStr">
        <is>
          <t>Sytry</t>
        </is>
      </c>
      <c r="G14" s="23" t="inlineStr">
        <is>
          <t>Base</t>
        </is>
      </c>
      <c r="H14" s="23" t="inlineStr">
        <is>
          <t>스위트 시트리</t>
        </is>
      </c>
      <c r="J14" s="68">
        <f>$B14&amp;"_"&amp;TEXT($C14,"00")&amp;"_F"</f>
        <v/>
      </c>
      <c r="K14" s="68">
        <f>$B14&amp;"_"&amp;TEXT($C14,"00")&amp;"_L"</f>
        <v/>
      </c>
      <c r="L14" s="68">
        <f>LEFT(J14, 7)&amp;"_Desc"</f>
        <v/>
      </c>
      <c r="M14" s="68">
        <f>$B14&amp;"_"&amp;TEXT($C14,"00")&amp;"_CV"</f>
        <v/>
      </c>
      <c r="N14" s="68">
        <f>LEFT(J14, 7)&amp;"_ci_F"</f>
        <v/>
      </c>
      <c r="O14" s="68" t="inlineStr">
        <is>
          <t>CharacterIcon</t>
        </is>
      </c>
      <c r="P14" s="68">
        <f>B14&amp;"_"&amp;TEXT(C14,"00")&amp;"_p"</f>
        <v/>
      </c>
      <c r="Q14" s="68" t="inlineStr">
        <is>
          <t>CharacterPortrait</t>
        </is>
      </c>
      <c r="R14" s="68">
        <f>"Promotion_"&amp;P14</f>
        <v/>
      </c>
      <c r="S14" s="68" t="inlineStr">
        <is>
          <t>CharacterPromotion</t>
        </is>
      </c>
      <c r="T14" s="68">
        <f>B14&amp;"_"&amp;D14&amp;"_SkeletonData.asset"</f>
        <v/>
      </c>
      <c r="U14" s="68">
        <f>B14&amp;"_"&amp;TEXT(C14,"00")&amp;"_"&amp;D14</f>
        <v/>
      </c>
      <c r="V14" s="68">
        <f>"Naninovel/Characters/"&amp;B14&amp;"_"&amp;TEXT(C14,"00")&amp;""</f>
        <v/>
      </c>
      <c r="W14" s="68" t="inlineStr">
        <is>
          <t>Normal</t>
        </is>
      </c>
      <c r="X14" s="68" t="n">
        <v>1554101</v>
      </c>
      <c r="Y14" s="68" t="inlineStr">
        <is>
          <t>Active</t>
        </is>
      </c>
      <c r="Z14" s="68" t="n">
        <v>2554101</v>
      </c>
      <c r="AA14" s="68" t="inlineStr">
        <is>
          <t>Ultimate</t>
        </is>
      </c>
      <c r="AB14" s="68" t="n">
        <v>3554101</v>
      </c>
      <c r="AC14" s="68" t="inlineStr">
        <is>
          <t>Passive</t>
        </is>
      </c>
      <c r="AD14" s="68" t="n">
        <v>4554101</v>
      </c>
    </row>
    <row r="15">
      <c r="A15" s="24">
        <f>INT(TEXT(IF(LEFT(B15,1)="c",1,2)&amp;MID(B15,2,3),"000")&amp;TEXT(C15,"00"))</f>
        <v/>
      </c>
      <c r="B15" s="23" t="inlineStr">
        <is>
          <t>c002</t>
        </is>
      </c>
      <c r="C15" s="25" t="n">
        <v>1</v>
      </c>
      <c r="D15" s="25" t="inlineStr">
        <is>
          <t>a</t>
        </is>
      </c>
      <c r="E15" s="68">
        <f>_xlfn.XLOOKUP(A15,'Detail&lt;Child&gt;'!C:C,'Detail&lt;Child&gt;'!A:A)</f>
        <v/>
      </c>
      <c r="F15" s="23" t="inlineStr">
        <is>
          <t>Lisa</t>
        </is>
      </c>
      <c r="G15" s="23" t="inlineStr">
        <is>
          <t>Base</t>
        </is>
      </c>
      <c r="H15" s="23" t="inlineStr">
        <is>
          <t>리자</t>
        </is>
      </c>
      <c r="J15" s="68">
        <f>$B15&amp;"_"&amp;TEXT($C15,"00")&amp;"_F"</f>
        <v/>
      </c>
      <c r="K15" s="68">
        <f>$B15&amp;"_"&amp;TEXT($C15,"00")&amp;"_L"</f>
        <v/>
      </c>
      <c r="L15" s="68">
        <f>LEFT(J15, 7)&amp;"_Desc"</f>
        <v/>
      </c>
      <c r="M15" s="68">
        <f>$B15&amp;"_"&amp;TEXT($C15,"00")&amp;"_CV"</f>
        <v/>
      </c>
      <c r="N15" s="68">
        <f>LEFT(J15, 7)&amp;"_ci_F"</f>
        <v/>
      </c>
      <c r="O15" s="68" t="inlineStr">
        <is>
          <t>CharacterIcon</t>
        </is>
      </c>
      <c r="P15" s="68">
        <f>B15&amp;"_"&amp;TEXT(C15,"00")&amp;"_p"</f>
        <v/>
      </c>
      <c r="Q15" s="68" t="inlineStr">
        <is>
          <t>CharacterPortrait</t>
        </is>
      </c>
      <c r="R15" s="68">
        <f>"Promotion_"&amp;P15</f>
        <v/>
      </c>
      <c r="S15" s="68" t="inlineStr">
        <is>
          <t>CharacterPromotion</t>
        </is>
      </c>
      <c r="T15" s="68">
        <f>B15&amp;"_"&amp;D15&amp;"_SkeletonData.asset"</f>
        <v/>
      </c>
      <c r="U15" s="68">
        <f>B15&amp;"_"&amp;TEXT(C15,"00")&amp;"_"&amp;D15</f>
        <v/>
      </c>
      <c r="V15" s="68">
        <f>"Naninovel/Characters/"&amp;B15&amp;"_"&amp;TEXT(C15,"00")&amp;""</f>
        <v/>
      </c>
      <c r="W15" s="68" t="inlineStr">
        <is>
          <t>Normal</t>
        </is>
      </c>
      <c r="X15" s="68" t="n">
        <v>1325111</v>
      </c>
      <c r="Y15" s="68" t="inlineStr">
        <is>
          <t>Active</t>
        </is>
      </c>
      <c r="Z15" s="68" t="n">
        <v>2325111</v>
      </c>
      <c r="AA15" s="68" t="inlineStr">
        <is>
          <t>Ultimate</t>
        </is>
      </c>
      <c r="AB15" s="68" t="n">
        <v>3325111</v>
      </c>
      <c r="AC15" s="68" t="inlineStr">
        <is>
          <t>Passive</t>
        </is>
      </c>
      <c r="AD15" s="68" t="n">
        <v>4325111</v>
      </c>
    </row>
    <row r="16">
      <c r="A16" s="24">
        <f>INT(TEXT(IF(LEFT(B16,1)="c",1,2)&amp;MID(B16,2,3),"000")&amp;TEXT(C16,"00"))</f>
        <v/>
      </c>
      <c r="B16" s="23" t="inlineStr">
        <is>
          <t>c417</t>
        </is>
      </c>
      <c r="C16" s="25" t="n">
        <v>1</v>
      </c>
      <c r="D16" s="25" t="inlineStr">
        <is>
          <t>a</t>
        </is>
      </c>
      <c r="E16" s="68">
        <f>_xlfn.XLOOKUP(A16,'Detail&lt;Child&gt;'!C:C,'Detail&lt;Child&gt;'!A:A)</f>
        <v/>
      </c>
      <c r="F16" s="23" t="inlineStr">
        <is>
          <t>Tamamo</t>
        </is>
      </c>
      <c r="G16" s="23" t="inlineStr">
        <is>
          <t>Base</t>
        </is>
      </c>
      <c r="H16" s="23" t="inlineStr">
        <is>
          <t>구미호</t>
        </is>
      </c>
      <c r="J16" s="68">
        <f>$B16&amp;"_"&amp;TEXT($C16,"00")&amp;"_F"</f>
        <v/>
      </c>
      <c r="K16" s="68">
        <f>$B16&amp;"_"&amp;TEXT($C16,"00")&amp;"_L"</f>
        <v/>
      </c>
      <c r="L16" s="68">
        <f>LEFT(J16, 7)&amp;"_Desc"</f>
        <v/>
      </c>
      <c r="M16" s="68">
        <f>$B16&amp;"_"&amp;TEXT($C16,"00")&amp;"_CV"</f>
        <v/>
      </c>
      <c r="N16" s="68">
        <f>LEFT(J16, 7)&amp;"_ci_F"</f>
        <v/>
      </c>
      <c r="O16" s="68" t="inlineStr">
        <is>
          <t>CharacterIcon</t>
        </is>
      </c>
      <c r="P16" s="68">
        <f>B16&amp;"_"&amp;TEXT(C16,"00")&amp;"_p"</f>
        <v/>
      </c>
      <c r="Q16" s="68" t="inlineStr">
        <is>
          <t>CharacterPortrait</t>
        </is>
      </c>
      <c r="R16" s="68">
        <f>"Promotion_"&amp;P16</f>
        <v/>
      </c>
      <c r="S16" s="68" t="inlineStr">
        <is>
          <t>CharacterPromotion</t>
        </is>
      </c>
      <c r="T16" s="68">
        <f>B16&amp;"_"&amp;D16&amp;"_SkeletonData.asset"</f>
        <v/>
      </c>
      <c r="U16" s="68">
        <f>B16&amp;"_"&amp;TEXT(C16,"00")&amp;"_"&amp;D16</f>
        <v/>
      </c>
      <c r="V16" s="68">
        <f>"Naninovel/Characters/"&amp;B16&amp;"_"&amp;TEXT(C16,"00")&amp;""</f>
        <v/>
      </c>
      <c r="W16" s="68" t="inlineStr">
        <is>
          <t>Normal</t>
        </is>
      </c>
      <c r="X16" s="68" t="n">
        <v>1313121</v>
      </c>
      <c r="Y16" s="68" t="inlineStr">
        <is>
          <t>Active</t>
        </is>
      </c>
      <c r="Z16" s="68" t="n">
        <v>2313121</v>
      </c>
      <c r="AA16" s="68" t="inlineStr">
        <is>
          <t>Ultimate</t>
        </is>
      </c>
      <c r="AB16" s="68" t="n">
        <v>3313121</v>
      </c>
      <c r="AC16" s="68" t="inlineStr">
        <is>
          <t>Passive</t>
        </is>
      </c>
      <c r="AD16" s="68" t="n">
        <v>4313121</v>
      </c>
    </row>
    <row r="17">
      <c r="A17" s="24">
        <f>INT(TEXT(IF(LEFT(B17,1)="c",1,2)&amp;MID(B17,2,3),"000")&amp;TEXT(C17,"00"))</f>
        <v/>
      </c>
      <c r="B17" s="23" t="inlineStr">
        <is>
          <t>c432</t>
        </is>
      </c>
      <c r="C17" s="25" t="n">
        <v>1</v>
      </c>
      <c r="D17" s="25" t="inlineStr">
        <is>
          <t>a</t>
        </is>
      </c>
      <c r="E17" s="68">
        <f>_xlfn.XLOOKUP(A17,'Detail&lt;Child&gt;'!C:C,'Detail&lt;Child&gt;'!A:A)</f>
        <v/>
      </c>
      <c r="F17" s="23" t="inlineStr">
        <is>
          <t>Artemis</t>
        </is>
      </c>
      <c r="G17" s="23" t="inlineStr">
        <is>
          <t>Base</t>
        </is>
      </c>
      <c r="H17" s="23" t="inlineStr">
        <is>
          <t>아르테미스</t>
        </is>
      </c>
      <c r="J17" s="68">
        <f>$B17&amp;"_"&amp;TEXT($C17,"00")&amp;"_F"</f>
        <v/>
      </c>
      <c r="K17" s="68">
        <f>$B17&amp;"_"&amp;TEXT($C17,"00")&amp;"_L"</f>
        <v/>
      </c>
      <c r="L17" s="68">
        <f>LEFT(J17, 7)&amp;"_Desc"</f>
        <v/>
      </c>
      <c r="M17" s="68">
        <f>$B17&amp;"_"&amp;TEXT($C17,"00")&amp;"_CV"</f>
        <v/>
      </c>
      <c r="N17" s="68">
        <f>LEFT(J17, 7)&amp;"_ci_F"</f>
        <v/>
      </c>
      <c r="O17" s="68" t="inlineStr">
        <is>
          <t>CharacterIcon</t>
        </is>
      </c>
      <c r="P17" s="68">
        <f>B17&amp;"_"&amp;TEXT(C17,"00")&amp;"_p"</f>
        <v/>
      </c>
      <c r="Q17" s="68" t="inlineStr">
        <is>
          <t>CharacterPortrait</t>
        </is>
      </c>
      <c r="R17" s="68">
        <f>"Promotion_"&amp;P17</f>
        <v/>
      </c>
      <c r="S17" s="68" t="inlineStr">
        <is>
          <t>CharacterPromotion</t>
        </is>
      </c>
      <c r="T17" s="68">
        <f>B17&amp;"_"&amp;D17&amp;"_SkeletonData.asset"</f>
        <v/>
      </c>
      <c r="U17" s="68">
        <f>B17&amp;"_"&amp;TEXT(C17,"00")&amp;"_"&amp;D17</f>
        <v/>
      </c>
      <c r="V17" s="68">
        <f>"Naninovel/Characters/"&amp;B17&amp;"_"&amp;TEXT(C17,"00")&amp;""</f>
        <v/>
      </c>
      <c r="W17" s="68" t="inlineStr">
        <is>
          <t>Normal</t>
        </is>
      </c>
      <c r="X17" s="68" t="n">
        <v>1351161</v>
      </c>
      <c r="Y17" s="68" t="inlineStr">
        <is>
          <t>Active</t>
        </is>
      </c>
      <c r="Z17" s="68" t="n">
        <v>2351161</v>
      </c>
      <c r="AA17" s="68" t="inlineStr">
        <is>
          <t>Ultimate</t>
        </is>
      </c>
      <c r="AB17" s="68" t="n">
        <v>3351161</v>
      </c>
      <c r="AC17" s="68" t="inlineStr">
        <is>
          <t>Passive</t>
        </is>
      </c>
      <c r="AD17" s="68" t="n">
        <v>4351161</v>
      </c>
    </row>
    <row r="18">
      <c r="A18" s="24">
        <f>INT(TEXT(IF(LEFT(B18,1)="c",1,2)&amp;MID(B18,2,3),"000")&amp;TEXT(C18,"00"))</f>
        <v/>
      </c>
      <c r="B18" s="23" t="inlineStr">
        <is>
          <t>c486</t>
        </is>
      </c>
      <c r="C18" s="25" t="n">
        <v>1</v>
      </c>
      <c r="D18" s="25" t="inlineStr">
        <is>
          <t>a</t>
        </is>
      </c>
      <c r="E18" s="68">
        <f>_xlfn.XLOOKUP(A18,'Detail&lt;Child&gt;'!C:C,'Detail&lt;Child&gt;'!A:A)</f>
        <v/>
      </c>
      <c r="F18" s="23" t="inlineStr">
        <is>
          <t>Kubaba</t>
        </is>
      </c>
      <c r="G18" s="23" t="inlineStr">
        <is>
          <t>Base</t>
        </is>
      </c>
      <c r="H18" s="23" t="inlineStr">
        <is>
          <t>쿠바바</t>
        </is>
      </c>
      <c r="J18" s="68">
        <f>$B18&amp;"_"&amp;TEXT($C18,"00")&amp;"_F"</f>
        <v/>
      </c>
      <c r="K18" s="68">
        <f>$B18&amp;"_"&amp;TEXT($C18,"00")&amp;"_L"</f>
        <v/>
      </c>
      <c r="L18" s="68">
        <f>LEFT(J18, 7)&amp;"_Desc"</f>
        <v/>
      </c>
      <c r="M18" s="68">
        <f>$B18&amp;"_"&amp;TEXT($C18,"00")&amp;"_CV"</f>
        <v/>
      </c>
      <c r="N18" s="68">
        <f>LEFT(J18, 7)&amp;"_ci_F"</f>
        <v/>
      </c>
      <c r="O18" s="68" t="inlineStr">
        <is>
          <t>CharacterIcon</t>
        </is>
      </c>
      <c r="P18" s="68">
        <f>B18&amp;"_"&amp;TEXT(C18,"00")&amp;"_p"</f>
        <v/>
      </c>
      <c r="Q18" s="68" t="inlineStr">
        <is>
          <t>CharacterPortrait</t>
        </is>
      </c>
      <c r="R18" s="68">
        <f>"Promotion_"&amp;P18</f>
        <v/>
      </c>
      <c r="S18" s="68" t="inlineStr">
        <is>
          <t>CharacterPromotion</t>
        </is>
      </c>
      <c r="T18" s="68">
        <f>B18&amp;"_"&amp;D18&amp;"_SkeletonData.asset"</f>
        <v/>
      </c>
      <c r="U18" s="68">
        <f>B18&amp;"_"&amp;TEXT(C18,"00")&amp;"_"&amp;D18</f>
        <v/>
      </c>
      <c r="V18" s="68">
        <f>"Naninovel/Characters/"&amp;B18&amp;"_"&amp;TEXT(C18,"00")&amp;""</f>
        <v/>
      </c>
      <c r="W18" s="68" t="inlineStr">
        <is>
          <t>Normal</t>
        </is>
      </c>
      <c r="X18" s="68" t="n">
        <v>1353141</v>
      </c>
      <c r="Y18" s="68" t="inlineStr">
        <is>
          <t>Active</t>
        </is>
      </c>
      <c r="Z18" s="68" t="n">
        <v>2353141</v>
      </c>
      <c r="AA18" s="68" t="inlineStr">
        <is>
          <t>Ultimate</t>
        </is>
      </c>
      <c r="AB18" s="68" t="n">
        <v>3353141</v>
      </c>
      <c r="AC18" s="68" t="inlineStr">
        <is>
          <t>Passive</t>
        </is>
      </c>
      <c r="AD18" s="68" t="n">
        <v>4353141</v>
      </c>
    </row>
    <row r="19">
      <c r="A19" s="24">
        <f>INT(TEXT(IF(LEFT(B19,1)="c",1,2)&amp;MID(B19,2,3),"000")&amp;TEXT(C19,"00"))</f>
        <v/>
      </c>
      <c r="B19" s="23" t="inlineStr">
        <is>
          <t>c294</t>
        </is>
      </c>
      <c r="C19" s="25" t="n">
        <v>1</v>
      </c>
      <c r="D19" s="25" t="inlineStr">
        <is>
          <t>a</t>
        </is>
      </c>
      <c r="E19" s="68">
        <f>_xlfn.XLOOKUP(A19,'Detail&lt;Child&gt;'!C:C,'Detail&lt;Child&gt;'!A:A)</f>
        <v/>
      </c>
      <c r="F19" s="23" t="inlineStr">
        <is>
          <t>Bathory</t>
        </is>
      </c>
      <c r="G19" s="23" t="inlineStr">
        <is>
          <t>Base</t>
        </is>
      </c>
      <c r="H19" s="23" t="inlineStr">
        <is>
          <t>바토리</t>
        </is>
      </c>
      <c r="J19" s="68">
        <f>$B19&amp;"_"&amp;TEXT($C19,"00")&amp;"_F"</f>
        <v/>
      </c>
      <c r="K19" s="68">
        <f>$B19&amp;"_"&amp;TEXT($C19,"00")&amp;"_L"</f>
        <v/>
      </c>
      <c r="L19" s="68">
        <f>LEFT(J19, 7)&amp;"_Desc"</f>
        <v/>
      </c>
      <c r="M19" s="68">
        <f>$B19&amp;"_"&amp;TEXT($C19,"00")&amp;"_CV"</f>
        <v/>
      </c>
      <c r="N19" s="68">
        <f>LEFT(J19, 7)&amp;"_ci_F"</f>
        <v/>
      </c>
      <c r="O19" s="68" t="inlineStr">
        <is>
          <t>CharacterIcon</t>
        </is>
      </c>
      <c r="P19" s="68">
        <f>B19&amp;"_"&amp;TEXT(C19,"00")&amp;"_p"</f>
        <v/>
      </c>
      <c r="Q19" s="68" t="inlineStr">
        <is>
          <t>CharacterPortrait</t>
        </is>
      </c>
      <c r="R19" s="68">
        <f>"Promotion_"&amp;P19</f>
        <v/>
      </c>
      <c r="S19" s="68" t="inlineStr">
        <is>
          <t>CharacterPromotion</t>
        </is>
      </c>
      <c r="T19" s="68">
        <f>B19&amp;"_"&amp;D19&amp;"_SkeletonData.asset"</f>
        <v/>
      </c>
      <c r="U19" s="68">
        <f>B19&amp;"_"&amp;TEXT(C19,"00")&amp;"_"&amp;D19</f>
        <v/>
      </c>
      <c r="V19" s="68">
        <f>"Naninovel/Characters/"&amp;B19&amp;"_"&amp;TEXT(C19,"00")&amp;""</f>
        <v/>
      </c>
      <c r="W19" s="68" t="inlineStr">
        <is>
          <t>Normal</t>
        </is>
      </c>
      <c r="X19" s="68" t="n">
        <v>1333131</v>
      </c>
      <c r="Y19" s="68" t="inlineStr">
        <is>
          <t>Active</t>
        </is>
      </c>
      <c r="Z19" s="68" t="n">
        <v>2333131</v>
      </c>
      <c r="AA19" s="68" t="inlineStr">
        <is>
          <t>Ultimate</t>
        </is>
      </c>
      <c r="AB19" s="68" t="n">
        <v>3333131</v>
      </c>
      <c r="AC19" s="68" t="inlineStr">
        <is>
          <t>Passive</t>
        </is>
      </c>
      <c r="AD19" s="68" t="n">
        <v>4333131</v>
      </c>
    </row>
    <row r="20">
      <c r="A20" s="24">
        <f>INT(TEXT(IF(LEFT(B20,1)="c",1,2)&amp;MID(B20,2,3),"000")&amp;TEXT(C20,"00"))</f>
        <v/>
      </c>
      <c r="B20" s="23" t="inlineStr">
        <is>
          <t>c501</t>
        </is>
      </c>
      <c r="C20" s="25" t="n">
        <v>1</v>
      </c>
      <c r="D20" s="25" t="inlineStr">
        <is>
          <t>a</t>
        </is>
      </c>
      <c r="E20" s="68">
        <f>_xlfn.XLOOKUP(A20,'Detail&lt;Child&gt;'!C:C,'Detail&lt;Child&gt;'!A:A)</f>
        <v/>
      </c>
      <c r="F20" s="23" t="inlineStr">
        <is>
          <t>Ragaraja</t>
        </is>
      </c>
      <c r="G20" s="23" t="inlineStr">
        <is>
          <t>Base</t>
        </is>
      </c>
      <c r="H20" s="23" t="inlineStr">
        <is>
          <t>라가라자</t>
        </is>
      </c>
      <c r="J20" s="68">
        <f>$B20&amp;"_"&amp;TEXT($C20,"00")&amp;"_F"</f>
        <v/>
      </c>
      <c r="K20" s="68">
        <f>$B20&amp;"_"&amp;TEXT($C20,"00")&amp;"_L"</f>
        <v/>
      </c>
      <c r="L20" s="68">
        <f>LEFT(J20, 7)&amp;"_Desc"</f>
        <v/>
      </c>
      <c r="M20" s="68">
        <f>$B20&amp;"_"&amp;TEXT($C20,"00")&amp;"_CV"</f>
        <v/>
      </c>
      <c r="N20" s="68">
        <f>LEFT(J20, 7)&amp;"_ci_F"</f>
        <v/>
      </c>
      <c r="O20" s="68" t="inlineStr">
        <is>
          <t>CharacterIcon</t>
        </is>
      </c>
      <c r="P20" s="68">
        <f>B20&amp;"_"&amp;TEXT(C20,"00")&amp;"_p"</f>
        <v/>
      </c>
      <c r="Q20" s="68" t="inlineStr">
        <is>
          <t>CharacterPortrait</t>
        </is>
      </c>
      <c r="R20" s="68">
        <f>"Promotion_"&amp;P20</f>
        <v/>
      </c>
      <c r="S20" s="68" t="inlineStr">
        <is>
          <t>CharacterPromotion</t>
        </is>
      </c>
      <c r="T20" s="68">
        <f>B20&amp;"_"&amp;D20&amp;"_SkeletonData.asset"</f>
        <v/>
      </c>
      <c r="U20" s="68">
        <f>B20&amp;"_"&amp;TEXT(C20,"00")&amp;"_"&amp;D20</f>
        <v/>
      </c>
      <c r="V20" s="68">
        <f>"Naninovel/Characters/"&amp;B20&amp;"_"&amp;TEXT(C20,"00")&amp;""</f>
        <v/>
      </c>
      <c r="W20" s="68" t="inlineStr">
        <is>
          <t>Normal</t>
        </is>
      </c>
      <c r="X20" s="68" t="n">
        <v>1311151</v>
      </c>
      <c r="Y20" s="68" t="inlineStr">
        <is>
          <t>Active</t>
        </is>
      </c>
      <c r="Z20" s="68" t="n">
        <v>2311151</v>
      </c>
      <c r="AA20" s="68" t="inlineStr">
        <is>
          <t>Ultimate</t>
        </is>
      </c>
      <c r="AB20" s="68" t="n">
        <v>3311151</v>
      </c>
      <c r="AC20" s="68" t="inlineStr">
        <is>
          <t>Passive</t>
        </is>
      </c>
      <c r="AD20" s="68" t="n">
        <v>4311151</v>
      </c>
    </row>
    <row r="21">
      <c r="A21" s="24">
        <f>INT(TEXT(IF(LEFT(B21,1)="c",1,2)&amp;MID(B21,2,3),"000")&amp;TEXT(C21,"00"))</f>
        <v/>
      </c>
      <c r="B21" s="23" t="inlineStr">
        <is>
          <t>c001</t>
        </is>
      </c>
      <c r="C21" s="25" t="n">
        <v>1</v>
      </c>
      <c r="D21" s="25" t="inlineStr">
        <is>
          <t>a</t>
        </is>
      </c>
      <c r="E21" s="68">
        <f>_xlfn.XLOOKUP(A21,'Detail&lt;Child&gt;'!C:C,'Detail&lt;Child&gt;'!A:A)</f>
        <v/>
      </c>
      <c r="F21" s="23" t="inlineStr">
        <is>
          <t>Mona</t>
        </is>
      </c>
      <c r="G21" s="23" t="inlineStr">
        <is>
          <t>Base</t>
        </is>
      </c>
      <c r="H21" s="23" t="inlineStr">
        <is>
          <t>모나</t>
        </is>
      </c>
      <c r="J21" s="68">
        <f>$B21&amp;"_"&amp;TEXT($C21,"00")&amp;"_F"</f>
        <v/>
      </c>
      <c r="K21" s="68">
        <f>$B21&amp;"_"&amp;TEXT($C21,"00")&amp;"_L"</f>
        <v/>
      </c>
      <c r="L21" s="68">
        <f>LEFT(J21, 7)&amp;"_Desc"</f>
        <v/>
      </c>
      <c r="M21" s="68">
        <f>$B21&amp;"_"&amp;TEXT($C21,"00")&amp;"_CV"</f>
        <v/>
      </c>
      <c r="N21" s="68">
        <f>LEFT(J21, 7)&amp;"_ci_F"</f>
        <v/>
      </c>
      <c r="O21" s="68" t="inlineStr">
        <is>
          <t>CharacterIcon</t>
        </is>
      </c>
      <c r="P21" s="68">
        <f>B21&amp;"_"&amp;TEXT(C21,"00")&amp;"_p"</f>
        <v/>
      </c>
      <c r="Q21" s="68" t="inlineStr">
        <is>
          <t>CharacterPortrait</t>
        </is>
      </c>
      <c r="R21" s="68">
        <f>"Promotion_"&amp;P21</f>
        <v/>
      </c>
      <c r="S21" s="68" t="inlineStr">
        <is>
          <t>CharacterPromotion</t>
        </is>
      </c>
      <c r="T21" s="68">
        <f>B21&amp;"_"&amp;D21&amp;"_SkeletonData.asset"</f>
        <v/>
      </c>
      <c r="U21" s="68">
        <f>B21&amp;"_"&amp;TEXT(C21,"00")&amp;"_"&amp;D21</f>
        <v/>
      </c>
      <c r="V21" s="68">
        <f>"Naninovel/Characters/"&amp;B21&amp;"_"&amp;TEXT(C21,"00")&amp;""</f>
        <v/>
      </c>
      <c r="W21" s="68" t="inlineStr">
        <is>
          <t>Normal</t>
        </is>
      </c>
      <c r="X21" s="68" t="n">
        <v>1552111</v>
      </c>
      <c r="Y21" s="68" t="inlineStr">
        <is>
          <t>Active</t>
        </is>
      </c>
      <c r="Z21" s="68" t="n">
        <v>2552111</v>
      </c>
      <c r="AA21" s="68" t="inlineStr">
        <is>
          <t>Ultimate</t>
        </is>
      </c>
      <c r="AB21" s="68" t="n">
        <v>3552111</v>
      </c>
      <c r="AC21" s="68" t="inlineStr">
        <is>
          <t>Passive</t>
        </is>
      </c>
      <c r="AD21" s="68" t="n">
        <v>4552111</v>
      </c>
    </row>
    <row r="22">
      <c r="A22" s="24">
        <f>INT(TEXT(IF(LEFT(B22,1)="c",1,2)&amp;MID(B22,2,3),"000")&amp;TEXT(C22,"00"))</f>
        <v/>
      </c>
      <c r="B22" s="23" t="inlineStr">
        <is>
          <t>c502</t>
        </is>
      </c>
      <c r="C22" s="25" t="n">
        <v>1</v>
      </c>
      <c r="D22" s="25" t="inlineStr">
        <is>
          <t>a</t>
        </is>
      </c>
      <c r="E22" s="68">
        <f>_xlfn.XLOOKUP(A22,'Detail&lt;Child&gt;'!C:C,'Detail&lt;Child&gt;'!A:A)</f>
        <v/>
      </c>
      <c r="F22" s="23" t="inlineStr">
        <is>
          <t>To Keika</t>
        </is>
      </c>
      <c r="G22" s="23" t="inlineStr">
        <is>
          <t>Base</t>
        </is>
      </c>
      <c r="H22" s="23" t="inlineStr">
        <is>
          <t>도계화</t>
        </is>
      </c>
      <c r="J22" s="68">
        <f>$B22&amp;"_"&amp;TEXT($C22,"00")&amp;"_F"</f>
        <v/>
      </c>
      <c r="K22" s="68">
        <f>$B22&amp;"_"&amp;TEXT($C22,"00")&amp;"_L"</f>
        <v/>
      </c>
      <c r="L22" s="68">
        <f>LEFT(J22, 7)&amp;"_Desc"</f>
        <v/>
      </c>
      <c r="M22" s="68">
        <f>$B22&amp;"_"&amp;TEXT($C22,"00")&amp;"_CV"</f>
        <v/>
      </c>
      <c r="N22" s="68">
        <f>LEFT(J22, 7)&amp;"_ci_F"</f>
        <v/>
      </c>
      <c r="O22" s="68" t="inlineStr">
        <is>
          <t>CharacterIcon</t>
        </is>
      </c>
      <c r="P22" s="68">
        <f>B22&amp;"_"&amp;TEXT(C22,"00")&amp;"_p"</f>
        <v/>
      </c>
      <c r="Q22" s="68" t="inlineStr">
        <is>
          <t>CharacterPortrait</t>
        </is>
      </c>
      <c r="R22" s="68">
        <f>"Promotion_"&amp;P22</f>
        <v/>
      </c>
      <c r="S22" s="68" t="inlineStr">
        <is>
          <t>CharacterPromotion</t>
        </is>
      </c>
      <c r="T22" s="68">
        <f>B22&amp;"_"&amp;D22&amp;"_SkeletonData.asset"</f>
        <v/>
      </c>
      <c r="U22" s="68">
        <f>B22&amp;"_"&amp;TEXT(C22,"00")&amp;"_"&amp;D22</f>
        <v/>
      </c>
      <c r="V22" s="68">
        <f>"Naninovel/Characters/"&amp;B22&amp;"_"&amp;TEXT(C22,"00")&amp;""</f>
        <v/>
      </c>
      <c r="W22" s="68" t="inlineStr">
        <is>
          <t>Normal</t>
        </is>
      </c>
      <c r="X22" s="68" t="n">
        <v>1321171</v>
      </c>
      <c r="Y22" s="68" t="inlineStr">
        <is>
          <t>Active</t>
        </is>
      </c>
      <c r="Z22" s="68" t="n">
        <v>2321171</v>
      </c>
      <c r="AA22" s="68" t="inlineStr">
        <is>
          <t>Ultimate</t>
        </is>
      </c>
      <c r="AB22" s="68" t="n">
        <v>3321171</v>
      </c>
      <c r="AC22" s="68" t="inlineStr">
        <is>
          <t>Passive</t>
        </is>
      </c>
      <c r="AD22" s="68" t="n">
        <v>4321171</v>
      </c>
    </row>
    <row r="23">
      <c r="A23" s="24">
        <f>INT(TEXT(IF(LEFT(B23,1)="c",1,2)&amp;MID(B23,2,3),"000")&amp;TEXT(C23,"00"))</f>
        <v/>
      </c>
      <c r="B23" s="23" t="inlineStr">
        <is>
          <t>c412</t>
        </is>
      </c>
      <c r="C23" s="25" t="n">
        <v>1</v>
      </c>
      <c r="D23" s="25" t="inlineStr">
        <is>
          <t>a</t>
        </is>
      </c>
      <c r="E23" s="68">
        <f>_xlfn.XLOOKUP(A23,'Detail&lt;Child&gt;'!C:C,'Detail&lt;Child&gt;'!A:A)</f>
        <v/>
      </c>
      <c r="F23" s="23" t="inlineStr">
        <is>
          <t>Cain</t>
        </is>
      </c>
      <c r="G23" s="23" t="inlineStr">
        <is>
          <t>Base</t>
        </is>
      </c>
      <c r="H23" s="23" t="inlineStr">
        <is>
          <t>카인</t>
        </is>
      </c>
      <c r="J23" s="68">
        <f>$B23&amp;"_"&amp;TEXT($C23,"00")&amp;"_F"</f>
        <v/>
      </c>
      <c r="K23" s="68">
        <f>$B23&amp;"_"&amp;TEXT($C23,"00")&amp;"_L"</f>
        <v/>
      </c>
      <c r="L23" s="68">
        <f>LEFT(J23, 7)&amp;"_Desc"</f>
        <v/>
      </c>
      <c r="M23" s="68">
        <f>$B23&amp;"_"&amp;TEXT($C23,"00")&amp;"_CV"</f>
        <v/>
      </c>
      <c r="N23" s="68">
        <f>LEFT(J23, 7)&amp;"_ci_F"</f>
        <v/>
      </c>
      <c r="O23" s="68" t="inlineStr">
        <is>
          <t>CharacterIcon</t>
        </is>
      </c>
      <c r="P23" s="68">
        <f>B23&amp;"_"&amp;TEXT(C23,"00")&amp;"_p"</f>
        <v/>
      </c>
      <c r="Q23" s="68" t="inlineStr">
        <is>
          <t>CharacterPortrait</t>
        </is>
      </c>
      <c r="R23" s="68">
        <f>"Promotion_"&amp;P23</f>
        <v/>
      </c>
      <c r="S23" s="68" t="inlineStr">
        <is>
          <t>CharacterPromotion</t>
        </is>
      </c>
      <c r="T23" s="68">
        <f>B23&amp;"_"&amp;D23&amp;"_SkeletonData.asset"</f>
        <v/>
      </c>
      <c r="U23" s="68">
        <f>B23&amp;"_"&amp;TEXT(C23,"00")&amp;"_"&amp;D23</f>
        <v/>
      </c>
      <c r="V23" s="68">
        <f>"Naninovel/Characters/"&amp;B23&amp;"_"&amp;TEXT(C23,"00")&amp;""</f>
        <v/>
      </c>
      <c r="W23" s="68" t="inlineStr">
        <is>
          <t>Normal</t>
        </is>
      </c>
      <c r="X23" s="68" t="n">
        <v>1311181</v>
      </c>
      <c r="Y23" s="68" t="inlineStr">
        <is>
          <t>Active</t>
        </is>
      </c>
      <c r="Z23" s="68" t="n">
        <v>2311181</v>
      </c>
      <c r="AA23" s="68" t="inlineStr">
        <is>
          <t>Ultimate</t>
        </is>
      </c>
      <c r="AB23" s="68" t="n">
        <v>3311181</v>
      </c>
      <c r="AC23" s="68" t="inlineStr">
        <is>
          <t>Passive</t>
        </is>
      </c>
      <c r="AD23" s="68" t="n">
        <v>4311181</v>
      </c>
    </row>
    <row r="24">
      <c r="A24" s="24">
        <f>INT(TEXT(IF(LEFT(B24,1)="c",1,2)&amp;MID(B24,2,3),"000")&amp;TEXT(C24,"00"))</f>
        <v/>
      </c>
      <c r="B24" s="23" t="inlineStr">
        <is>
          <t>c156</t>
        </is>
      </c>
      <c r="C24" s="25" t="n">
        <v>1</v>
      </c>
      <c r="D24" s="25" t="inlineStr">
        <is>
          <t>a</t>
        </is>
      </c>
      <c r="E24" s="68">
        <f>_xlfn.XLOOKUP(A24,'Detail&lt;Child&gt;'!C:C,'Detail&lt;Child&gt;'!A:A)</f>
        <v/>
      </c>
      <c r="F24" s="23" t="inlineStr">
        <is>
          <t>Elizabeth</t>
        </is>
      </c>
      <c r="G24" s="23" t="inlineStr">
        <is>
          <t>Base</t>
        </is>
      </c>
      <c r="H24" s="23" t="inlineStr">
        <is>
          <t>에르제베트</t>
        </is>
      </c>
      <c r="J24" s="68">
        <f>$B24&amp;"_"&amp;TEXT($C24,"00")&amp;"_F"</f>
        <v/>
      </c>
      <c r="K24" s="68">
        <f>$B24&amp;"_"&amp;TEXT($C24,"00")&amp;"_L"</f>
        <v/>
      </c>
      <c r="L24" s="68">
        <f>LEFT(J24, 7)&amp;"_Desc"</f>
        <v/>
      </c>
      <c r="M24" s="68">
        <f>$B24&amp;"_"&amp;TEXT($C24,"00")&amp;"_CV"</f>
        <v/>
      </c>
      <c r="N24" s="68">
        <f>LEFT(J24, 7)&amp;"_ci_F"</f>
        <v/>
      </c>
      <c r="O24" s="68" t="inlineStr">
        <is>
          <t>CharacterIcon</t>
        </is>
      </c>
      <c r="P24" s="68">
        <f>B24&amp;"_"&amp;TEXT(C24,"00")&amp;"_p"</f>
        <v/>
      </c>
      <c r="Q24" s="68" t="inlineStr">
        <is>
          <t>CharacterPortrait</t>
        </is>
      </c>
      <c r="R24" s="68">
        <f>"Promotion_"&amp;P24</f>
        <v/>
      </c>
      <c r="S24" s="68" t="inlineStr">
        <is>
          <t>CharacterPromotion</t>
        </is>
      </c>
      <c r="T24" s="68">
        <f>B24&amp;"_"&amp;D24&amp;"_SkeletonData.asset"</f>
        <v/>
      </c>
      <c r="U24" s="68">
        <f>B24&amp;"_"&amp;TEXT(C24,"00")&amp;"_"&amp;D24</f>
        <v/>
      </c>
      <c r="V24" s="68">
        <f>"Naninovel/Characters/"&amp;B24&amp;"_"&amp;TEXT(C24,"00")&amp;""</f>
        <v/>
      </c>
      <c r="W24" s="68" t="inlineStr">
        <is>
          <t>Normal</t>
        </is>
      </c>
      <c r="X24" s="68" t="n">
        <v>1351191</v>
      </c>
      <c r="Y24" s="68" t="inlineStr">
        <is>
          <t>Active</t>
        </is>
      </c>
      <c r="Z24" s="68" t="n">
        <v>2351191</v>
      </c>
      <c r="AA24" s="68" t="inlineStr">
        <is>
          <t>Ultimate</t>
        </is>
      </c>
      <c r="AB24" s="68" t="n">
        <v>3351191</v>
      </c>
      <c r="AC24" s="68" t="inlineStr">
        <is>
          <t>Passive</t>
        </is>
      </c>
      <c r="AD24" s="68" t="n">
        <v>4351191</v>
      </c>
    </row>
    <row r="25">
      <c r="A25" s="24">
        <f>INT(TEXT(IF(LEFT(B25,1)="c",1,2)&amp;MID(B25,2,3),"000")&amp;TEXT(C25,"00"))</f>
        <v/>
      </c>
      <c r="B25" s="23" t="inlineStr">
        <is>
          <t>c318</t>
        </is>
      </c>
      <c r="C25" s="25" t="n">
        <v>1</v>
      </c>
      <c r="D25" s="25" t="inlineStr">
        <is>
          <t>a</t>
        </is>
      </c>
      <c r="E25" s="68">
        <f>_xlfn.XLOOKUP(A25,'Detail&lt;Child&gt;'!C:C,'Detail&lt;Child&gt;'!A:A)</f>
        <v/>
      </c>
      <c r="F25" s="23" t="inlineStr">
        <is>
          <t>Bari</t>
        </is>
      </c>
      <c r="G25" s="23" t="inlineStr">
        <is>
          <t>Base</t>
        </is>
      </c>
      <c r="H25" s="23" t="inlineStr">
        <is>
          <t>바리</t>
        </is>
      </c>
      <c r="J25" s="68">
        <f>$B25&amp;"_"&amp;TEXT($C25,"00")&amp;"_F"</f>
        <v/>
      </c>
      <c r="K25" s="68">
        <f>$B25&amp;"_"&amp;TEXT($C25,"00")&amp;"_L"</f>
        <v/>
      </c>
      <c r="L25" s="68">
        <f>LEFT(J25, 7)&amp;"_Desc"</f>
        <v/>
      </c>
      <c r="M25" s="68">
        <f>$B25&amp;"_"&amp;TEXT($C25,"00")&amp;"_CV"</f>
        <v/>
      </c>
      <c r="N25" s="68">
        <f>LEFT(J25, 7)&amp;"_ci_F"</f>
        <v/>
      </c>
      <c r="O25" s="68" t="inlineStr">
        <is>
          <t>CharacterIcon</t>
        </is>
      </c>
      <c r="P25" s="68">
        <f>B25&amp;"_"&amp;TEXT(C25,"00")&amp;"_p"</f>
        <v/>
      </c>
      <c r="Q25" s="68" t="inlineStr">
        <is>
          <t>CharacterPortrait</t>
        </is>
      </c>
      <c r="R25" s="68">
        <f>"Promotion_"&amp;P25</f>
        <v/>
      </c>
      <c r="S25" s="68" t="inlineStr">
        <is>
          <t>CharacterPromotion</t>
        </is>
      </c>
      <c r="T25" s="68">
        <f>B25&amp;"_"&amp;D25&amp;"_SkeletonData.asset"</f>
        <v/>
      </c>
      <c r="U25" s="68">
        <f>B25&amp;"_"&amp;TEXT(C25,"00")&amp;"_"&amp;D25</f>
        <v/>
      </c>
      <c r="V25" s="68">
        <f>"Naninovel/Characters/"&amp;B25&amp;"_"&amp;TEXT(C25,"00")&amp;""</f>
        <v/>
      </c>
      <c r="W25" s="68" t="inlineStr">
        <is>
          <t>Normal</t>
        </is>
      </c>
      <c r="X25" s="68" t="n">
        <v>1321201</v>
      </c>
      <c r="Y25" s="68" t="inlineStr">
        <is>
          <t>Active</t>
        </is>
      </c>
      <c r="Z25" s="68" t="n">
        <v>2321201</v>
      </c>
      <c r="AA25" s="68" t="inlineStr">
        <is>
          <t>Ultimate</t>
        </is>
      </c>
      <c r="AB25" s="68" t="n">
        <v>3321201</v>
      </c>
      <c r="AC25" s="68" t="inlineStr">
        <is>
          <t>Passive</t>
        </is>
      </c>
      <c r="AD25" s="68" t="n">
        <v>4321201</v>
      </c>
    </row>
    <row r="26">
      <c r="A26" s="24">
        <f>INT(TEXT(IF(LEFT(B26,1)="c",1,2)&amp;MID(B26,2,3),"000")&amp;TEXT(C26,"00"))</f>
        <v/>
      </c>
      <c r="B26" s="23" t="inlineStr">
        <is>
          <t>c525</t>
        </is>
      </c>
      <c r="C26" s="25" t="n">
        <v>1</v>
      </c>
      <c r="D26" s="25" t="inlineStr">
        <is>
          <t>a</t>
        </is>
      </c>
      <c r="E26" s="68">
        <f>_xlfn.XLOOKUP(A26,'Detail&lt;Child&gt;'!C:C,'Detail&lt;Child&gt;'!A:A)</f>
        <v/>
      </c>
      <c r="F26" s="23" t="inlineStr">
        <is>
          <t>Grilla</t>
        </is>
      </c>
      <c r="G26" s="23" t="inlineStr">
        <is>
          <t>Base</t>
        </is>
      </c>
      <c r="H26" s="23" t="inlineStr">
        <is>
          <t>그릴라</t>
        </is>
      </c>
      <c r="J26" s="68">
        <f>$B26&amp;"_"&amp;TEXT($C26,"00")&amp;"_F"</f>
        <v/>
      </c>
      <c r="K26" s="68">
        <f>$B26&amp;"_"&amp;TEXT($C26,"00")&amp;"_L"</f>
        <v/>
      </c>
      <c r="L26" s="68">
        <f>LEFT(J26, 7)&amp;"_Desc"</f>
        <v/>
      </c>
      <c r="M26" s="68">
        <f>$B26&amp;"_"&amp;TEXT($C26,"00")&amp;"_CV"</f>
        <v/>
      </c>
      <c r="N26" s="68">
        <f>LEFT(J26, 7)&amp;"_ci_F"</f>
        <v/>
      </c>
      <c r="O26" s="68" t="inlineStr">
        <is>
          <t>CharacterIcon</t>
        </is>
      </c>
      <c r="P26" s="68">
        <f>B26&amp;"_"&amp;TEXT(C26,"00")&amp;"_p"</f>
        <v/>
      </c>
      <c r="Q26" s="68" t="inlineStr">
        <is>
          <t>CharacterPortrait</t>
        </is>
      </c>
      <c r="R26" s="68">
        <f>"Promotion_"&amp;P26</f>
        <v/>
      </c>
      <c r="S26" s="68" t="inlineStr">
        <is>
          <t>CharacterPromotion</t>
        </is>
      </c>
      <c r="T26" s="68">
        <f>B26&amp;"_"&amp;D26&amp;"_SkeletonData.asset"</f>
        <v/>
      </c>
      <c r="U26" s="68">
        <f>B26&amp;"_"&amp;TEXT(C26,"00")&amp;"_"&amp;D26</f>
        <v/>
      </c>
      <c r="V26" s="68">
        <f>"Naninovel/Characters/"&amp;B26&amp;"_"&amp;TEXT(C26,"00")&amp;""</f>
        <v/>
      </c>
      <c r="W26" s="68" t="inlineStr">
        <is>
          <t>Normal</t>
        </is>
      </c>
      <c r="X26" s="68" t="n">
        <v>1334211</v>
      </c>
      <c r="Y26" s="68" t="inlineStr">
        <is>
          <t>Active</t>
        </is>
      </c>
      <c r="Z26" s="68" t="n">
        <v>2334211</v>
      </c>
      <c r="AA26" s="68" t="inlineStr">
        <is>
          <t>Ultimate</t>
        </is>
      </c>
      <c r="AB26" s="68" t="n">
        <v>3334211</v>
      </c>
      <c r="AC26" s="68" t="inlineStr">
        <is>
          <t>Passive</t>
        </is>
      </c>
      <c r="AD26" s="68" t="n">
        <v>4334211</v>
      </c>
    </row>
    <row r="27">
      <c r="A27" s="24">
        <f>INT(TEXT(IF(LEFT(B27,1)="c",1,2)&amp;MID(B27,2,3),"000")&amp;TEXT(C27,"00"))</f>
        <v/>
      </c>
      <c r="B27" s="23" t="inlineStr">
        <is>
          <t>c442</t>
        </is>
      </c>
      <c r="C27" s="25" t="n">
        <v>1</v>
      </c>
      <c r="D27" s="25" t="inlineStr">
        <is>
          <t>a</t>
        </is>
      </c>
      <c r="E27" s="68">
        <f>_xlfn.XLOOKUP(A27,'Detail&lt;Child&gt;'!C:C,'Detail&lt;Child&gt;'!A:A)</f>
        <v/>
      </c>
      <c r="F27" s="23" t="inlineStr">
        <is>
          <t>Nirrti</t>
        </is>
      </c>
      <c r="G27" s="23" t="inlineStr">
        <is>
          <t>Base</t>
        </is>
      </c>
      <c r="H27" s="23" t="inlineStr">
        <is>
          <t>니르티</t>
        </is>
      </c>
      <c r="J27" s="68">
        <f>$B27&amp;"_"&amp;TEXT($C27,"00")&amp;"_F"</f>
        <v/>
      </c>
      <c r="K27" s="68">
        <f>$B27&amp;"_"&amp;TEXT($C27,"00")&amp;"_L"</f>
        <v/>
      </c>
      <c r="L27" s="68">
        <f>LEFT(J27, 7)&amp;"_Desc"</f>
        <v/>
      </c>
      <c r="M27" s="68">
        <f>$B27&amp;"_"&amp;TEXT($C27,"00")&amp;"_CV"</f>
        <v/>
      </c>
      <c r="N27" s="68">
        <f>LEFT(J27, 7)&amp;"_ci_F"</f>
        <v/>
      </c>
      <c r="O27" s="68" t="inlineStr">
        <is>
          <t>CharacterIcon</t>
        </is>
      </c>
      <c r="P27" s="68">
        <f>B27&amp;"_"&amp;TEXT(C27,"00")&amp;"_p"</f>
        <v/>
      </c>
      <c r="Q27" s="68" t="inlineStr">
        <is>
          <t>CharacterPortrait</t>
        </is>
      </c>
      <c r="R27" s="68">
        <f>"Promotion_"&amp;P27</f>
        <v/>
      </c>
      <c r="S27" s="68" t="inlineStr">
        <is>
          <t>CharacterPromotion</t>
        </is>
      </c>
      <c r="T27" s="68">
        <f>B27&amp;"_"&amp;D27&amp;"_SkeletonData.asset"</f>
        <v/>
      </c>
      <c r="U27" s="68">
        <f>B27&amp;"_"&amp;TEXT(C27,"00")&amp;"_"&amp;D27</f>
        <v/>
      </c>
      <c r="V27" s="68">
        <f>"Naninovel/Characters/"&amp;B27&amp;"_"&amp;TEXT(C27,"00")&amp;""</f>
        <v/>
      </c>
      <c r="W27" s="68" t="inlineStr">
        <is>
          <t>Normal</t>
        </is>
      </c>
      <c r="X27" s="68" t="n">
        <v>1321221</v>
      </c>
      <c r="Y27" s="68" t="inlineStr">
        <is>
          <t>Active</t>
        </is>
      </c>
      <c r="Z27" s="68" t="n">
        <v>2321221</v>
      </c>
      <c r="AA27" s="68" t="inlineStr">
        <is>
          <t>Ultimate</t>
        </is>
      </c>
      <c r="AB27" s="68" t="n">
        <v>3321221</v>
      </c>
      <c r="AC27" s="68" t="inlineStr">
        <is>
          <t>Passive</t>
        </is>
      </c>
      <c r="AD27" s="68" t="n">
        <v>4321221</v>
      </c>
    </row>
    <row r="28">
      <c r="A28" s="24">
        <f>INT(TEXT(IF(LEFT(B28,1)="c",1,2)&amp;MID(B28,2,3),"000")&amp;TEXT(C28,"00"))</f>
        <v/>
      </c>
      <c r="B28" s="23" t="inlineStr">
        <is>
          <t>c194</t>
        </is>
      </c>
      <c r="C28" s="25" t="n">
        <v>1</v>
      </c>
      <c r="D28" s="25" t="inlineStr">
        <is>
          <t>a</t>
        </is>
      </c>
      <c r="E28" s="68">
        <f>_xlfn.XLOOKUP(A28,'Detail&lt;Child&gt;'!C:C,'Detail&lt;Child&gt;'!A:A)</f>
        <v/>
      </c>
      <c r="F28" s="23" t="inlineStr">
        <is>
          <t>Ashtoreth</t>
        </is>
      </c>
      <c r="G28" s="23" t="inlineStr">
        <is>
          <t>Base</t>
        </is>
      </c>
      <c r="H28" s="23" t="inlineStr">
        <is>
          <t>아슈토레스</t>
        </is>
      </c>
      <c r="J28" s="68">
        <f>$B28&amp;"_"&amp;TEXT($C28,"00")&amp;"_F"</f>
        <v/>
      </c>
      <c r="K28" s="68">
        <f>$B28&amp;"_"&amp;TEXT($C28,"00")&amp;"_L"</f>
        <v/>
      </c>
      <c r="L28" s="68">
        <f>LEFT(J28, 7)&amp;"_Desc"</f>
        <v/>
      </c>
      <c r="M28" s="68">
        <f>$B28&amp;"_"&amp;TEXT($C28,"00")&amp;"_CV"</f>
        <v/>
      </c>
      <c r="N28" s="68">
        <f>LEFT(J28, 7)&amp;"_ci_F"</f>
        <v/>
      </c>
      <c r="O28" s="68" t="inlineStr">
        <is>
          <t>CharacterIcon</t>
        </is>
      </c>
      <c r="P28" s="68">
        <f>B28&amp;"_"&amp;TEXT(C28,"00")&amp;"_p"</f>
        <v/>
      </c>
      <c r="Q28" s="68" t="inlineStr">
        <is>
          <t>CharacterPortrait</t>
        </is>
      </c>
      <c r="R28" s="68">
        <f>"Promotion_"&amp;P28</f>
        <v/>
      </c>
      <c r="S28" s="68" t="inlineStr">
        <is>
          <t>CharacterPromotion</t>
        </is>
      </c>
      <c r="T28" s="68">
        <f>B28&amp;"_"&amp;D28&amp;"_SkeletonData.asset"</f>
        <v/>
      </c>
      <c r="U28" s="68">
        <f>B28&amp;"_"&amp;TEXT(C28,"00")&amp;"_"&amp;D28</f>
        <v/>
      </c>
      <c r="V28" s="68">
        <f>"Naninovel/Characters/"&amp;B28&amp;"_"&amp;TEXT(C28,"00")&amp;""</f>
        <v/>
      </c>
      <c r="W28" s="68" t="inlineStr">
        <is>
          <t>Normal</t>
        </is>
      </c>
      <c r="X28" s="68" t="n">
        <v>1341231</v>
      </c>
      <c r="Y28" s="68" t="inlineStr">
        <is>
          <t>Active</t>
        </is>
      </c>
      <c r="Z28" s="68" t="n">
        <v>2341231</v>
      </c>
      <c r="AA28" s="68" t="inlineStr">
        <is>
          <t>Ultimate</t>
        </is>
      </c>
      <c r="AB28" s="68" t="n">
        <v>3341231</v>
      </c>
      <c r="AC28" s="68" t="inlineStr">
        <is>
          <t>Passive</t>
        </is>
      </c>
      <c r="AD28" s="68" t="n">
        <v>4341231</v>
      </c>
    </row>
    <row r="29">
      <c r="A29" s="24">
        <f>INT(TEXT(IF(LEFT(B29,1)="c",1,2)&amp;MID(B29,2,3),"000")&amp;TEXT(C29,"00"))</f>
        <v/>
      </c>
      <c r="B29" s="23" t="inlineStr">
        <is>
          <t>c124</t>
        </is>
      </c>
      <c r="C29" s="25" t="n">
        <v>1</v>
      </c>
      <c r="D29" s="25" t="inlineStr">
        <is>
          <t>a</t>
        </is>
      </c>
      <c r="E29" s="68">
        <f>_xlfn.XLOOKUP(A29,'Detail&lt;Child&gt;'!C:C,'Detail&lt;Child&gt;'!A:A)</f>
        <v/>
      </c>
      <c r="F29" s="23" t="inlineStr">
        <is>
          <t>Eve</t>
        </is>
      </c>
      <c r="G29" s="23" t="inlineStr">
        <is>
          <t>Base</t>
        </is>
      </c>
      <c r="H29" s="23" t="inlineStr">
        <is>
          <t>이브</t>
        </is>
      </c>
      <c r="J29" s="68">
        <f>$B29&amp;"_"&amp;TEXT($C29,"00")&amp;"_F"</f>
        <v/>
      </c>
      <c r="K29" s="68">
        <f>$B29&amp;"_"&amp;TEXT($C29,"00")&amp;"_L"</f>
        <v/>
      </c>
      <c r="L29" s="68">
        <f>LEFT(J29, 7)&amp;"_Desc"</f>
        <v/>
      </c>
      <c r="M29" s="68">
        <f>$B29&amp;"_"&amp;TEXT($C29,"00")&amp;"_CV"</f>
        <v/>
      </c>
      <c r="N29" s="68">
        <f>LEFT(J29, 7)&amp;"_ci_F"</f>
        <v/>
      </c>
      <c r="O29" s="68" t="inlineStr">
        <is>
          <t>CharacterIcon</t>
        </is>
      </c>
      <c r="P29" s="68">
        <f>B29&amp;"_"&amp;TEXT(C29,"00")&amp;"_p"</f>
        <v/>
      </c>
      <c r="Q29" s="68" t="inlineStr">
        <is>
          <t>CharacterPortrait</t>
        </is>
      </c>
      <c r="R29" s="68">
        <f>"Promotion_"&amp;P29</f>
        <v/>
      </c>
      <c r="S29" s="68" t="inlineStr">
        <is>
          <t>CharacterPromotion</t>
        </is>
      </c>
      <c r="T29" s="68">
        <f>B29&amp;"_"&amp;D29&amp;"_SkeletonData.asset"</f>
        <v/>
      </c>
      <c r="U29" s="68">
        <f>B29&amp;"_"&amp;TEXT(C29,"00")&amp;"_"&amp;D29</f>
        <v/>
      </c>
      <c r="V29" s="68">
        <f>"Naninovel/Characters/"&amp;B29&amp;"_"&amp;TEXT(C29,"00")&amp;""</f>
        <v/>
      </c>
      <c r="W29" s="68" t="inlineStr">
        <is>
          <t>Normal</t>
        </is>
      </c>
      <c r="X29" s="68" t="n">
        <v>1321241</v>
      </c>
      <c r="Y29" s="68" t="inlineStr">
        <is>
          <t>Active</t>
        </is>
      </c>
      <c r="Z29" s="68" t="n">
        <v>2321241</v>
      </c>
      <c r="AA29" s="68" t="inlineStr">
        <is>
          <t>Ultimate</t>
        </is>
      </c>
      <c r="AB29" s="68" t="n">
        <v>3321241</v>
      </c>
      <c r="AC29" s="68" t="inlineStr">
        <is>
          <t>Passive</t>
        </is>
      </c>
      <c r="AD29" s="68" t="n">
        <v>4321241</v>
      </c>
    </row>
    <row r="30">
      <c r="A30" s="24">
        <f>INT(TEXT(IF(LEFT(B30,1)="c",1,2)&amp;MID(B30,2,3),"000")&amp;TEXT(C30,"00"))</f>
        <v/>
      </c>
      <c r="B30" s="23" t="inlineStr">
        <is>
          <t>c336</t>
        </is>
      </c>
      <c r="C30" s="25" t="n">
        <v>1</v>
      </c>
      <c r="D30" s="25" t="inlineStr">
        <is>
          <t>a</t>
        </is>
      </c>
      <c r="E30" s="68">
        <f>_xlfn.XLOOKUP(A30,'Detail&lt;Child&gt;'!C:C,'Detail&lt;Child&gt;'!A:A)</f>
        <v/>
      </c>
      <c r="F30" s="23" t="inlineStr">
        <is>
          <t>Pan</t>
        </is>
      </c>
      <c r="G30" s="23" t="inlineStr">
        <is>
          <t>Base</t>
        </is>
      </c>
      <c r="H30" s="23" t="inlineStr">
        <is>
          <t>판</t>
        </is>
      </c>
      <c r="J30" s="68">
        <f>$B30&amp;"_"&amp;TEXT($C30,"00")&amp;"_F"</f>
        <v/>
      </c>
      <c r="K30" s="68">
        <f>$B30&amp;"_"&amp;TEXT($C30,"00")&amp;"_L"</f>
        <v/>
      </c>
      <c r="L30" s="68">
        <f>LEFT(J30, 7)&amp;"_Desc"</f>
        <v/>
      </c>
      <c r="M30" s="68">
        <f>$B30&amp;"_"&amp;TEXT($C30,"00")&amp;"_CV"</f>
        <v/>
      </c>
      <c r="N30" s="68">
        <f>LEFT(J30, 7)&amp;"_ci_F"</f>
        <v/>
      </c>
      <c r="O30" s="68" t="inlineStr">
        <is>
          <t>CharacterIcon</t>
        </is>
      </c>
      <c r="P30" s="68">
        <f>B30&amp;"_"&amp;TEXT(C30,"00")&amp;"_p"</f>
        <v/>
      </c>
      <c r="Q30" s="68" t="inlineStr">
        <is>
          <t>CharacterPortrait</t>
        </is>
      </c>
      <c r="R30" s="68">
        <f>"Promotion_"&amp;P30</f>
        <v/>
      </c>
      <c r="S30" s="68" t="inlineStr">
        <is>
          <t>CharacterPromotion</t>
        </is>
      </c>
      <c r="T30" s="68">
        <f>B30&amp;"_"&amp;D30&amp;"_SkeletonData.asset"</f>
        <v/>
      </c>
      <c r="U30" s="68">
        <f>B30&amp;"_"&amp;TEXT(C30,"00")&amp;"_"&amp;D30</f>
        <v/>
      </c>
      <c r="V30" s="68">
        <f>"Naninovel/Characters/"&amp;B30&amp;"_"&amp;TEXT(C30,"00")&amp;""</f>
        <v/>
      </c>
      <c r="W30" s="68" t="inlineStr">
        <is>
          <t>Normal</t>
        </is>
      </c>
      <c r="X30" s="68" t="n">
        <v>1535261</v>
      </c>
      <c r="Y30" s="68" t="inlineStr">
        <is>
          <t>Active</t>
        </is>
      </c>
      <c r="Z30" s="68" t="n">
        <v>2535261</v>
      </c>
      <c r="AA30" s="68" t="inlineStr">
        <is>
          <t>Ultimate</t>
        </is>
      </c>
      <c r="AB30" s="68" t="n">
        <v>3535261</v>
      </c>
      <c r="AC30" s="68" t="inlineStr">
        <is>
          <t>Passive</t>
        </is>
      </c>
      <c r="AD30" s="68" t="n">
        <v>4535261</v>
      </c>
    </row>
    <row r="31">
      <c r="A31" s="24">
        <f>INT(TEXT(IF(LEFT(B31,1)="c",1,2)&amp;MID(B31,2,3),"000")&amp;TEXT(C31,"00"))</f>
        <v/>
      </c>
      <c r="B31" s="23" t="inlineStr">
        <is>
          <t>c445</t>
        </is>
      </c>
      <c r="C31" s="25" t="n">
        <v>1</v>
      </c>
      <c r="D31" s="25" t="inlineStr">
        <is>
          <t>a</t>
        </is>
      </c>
      <c r="E31" s="68">
        <f>_xlfn.XLOOKUP(A31,'Detail&lt;Child&gt;'!C:C,'Detail&lt;Child&gt;'!A:A)</f>
        <v/>
      </c>
      <c r="F31" s="23" t="inlineStr">
        <is>
          <t>Kalaratri</t>
        </is>
      </c>
      <c r="G31" s="23" t="inlineStr">
        <is>
          <t>Base</t>
        </is>
      </c>
      <c r="H31" s="23" t="inlineStr">
        <is>
          <t>카라라트리</t>
        </is>
      </c>
      <c r="J31" s="68">
        <f>$B31&amp;"_"&amp;TEXT($C31,"00")&amp;"_F"</f>
        <v/>
      </c>
      <c r="K31" s="68">
        <f>$B31&amp;"_"&amp;TEXT($C31,"00")&amp;"_L"</f>
        <v/>
      </c>
      <c r="L31" s="68">
        <f>LEFT(J31, 7)&amp;"_Desc"</f>
        <v/>
      </c>
      <c r="M31" s="68">
        <f>$B31&amp;"_"&amp;TEXT($C31,"00")&amp;"_CV"</f>
        <v/>
      </c>
      <c r="N31" s="68">
        <f>LEFT(J31, 7)&amp;"_ci_F"</f>
        <v/>
      </c>
      <c r="O31" s="68" t="inlineStr">
        <is>
          <t>CharacterIcon</t>
        </is>
      </c>
      <c r="P31" s="68">
        <f>B31&amp;"_"&amp;TEXT(C31,"00")&amp;"_p"</f>
        <v/>
      </c>
      <c r="Q31" s="68" t="inlineStr">
        <is>
          <t>CharacterPortrait</t>
        </is>
      </c>
      <c r="R31" s="68">
        <f>"Promotion_"&amp;P31</f>
        <v/>
      </c>
      <c r="S31" s="68" t="inlineStr">
        <is>
          <t>CharacterPromotion</t>
        </is>
      </c>
      <c r="T31" s="68">
        <f>B31&amp;"_"&amp;D31&amp;"_SkeletonData.asset"</f>
        <v/>
      </c>
      <c r="U31" s="68">
        <f>B31&amp;"_"&amp;TEXT(C31,"00")&amp;"_"&amp;D31</f>
        <v/>
      </c>
      <c r="V31" s="68">
        <f>"Naninovel/Characters/"&amp;B31&amp;"_"&amp;TEXT(C31,"00")&amp;""</f>
        <v/>
      </c>
      <c r="W31" s="68" t="inlineStr">
        <is>
          <t>Normal</t>
        </is>
      </c>
      <c r="X31" s="68" t="n">
        <v>1513271</v>
      </c>
      <c r="Y31" s="68" t="inlineStr">
        <is>
          <t>Active</t>
        </is>
      </c>
      <c r="Z31" s="68" t="n">
        <v>2513271</v>
      </c>
      <c r="AA31" s="68" t="inlineStr">
        <is>
          <t>Ultimate</t>
        </is>
      </c>
      <c r="AB31" s="68" t="n">
        <v>3513271</v>
      </c>
      <c r="AC31" s="68" t="inlineStr">
        <is>
          <t>Passive</t>
        </is>
      </c>
      <c r="AD31" s="68" t="n">
        <v>4513271</v>
      </c>
    </row>
    <row r="32">
      <c r="A32" s="24">
        <f>INT(TEXT(IF(LEFT(B32,1)="c",1,2)&amp;MID(B32,2,3),"000")&amp;TEXT(C32,"00"))</f>
        <v/>
      </c>
      <c r="B32" s="23" t="inlineStr">
        <is>
          <t>c461</t>
        </is>
      </c>
      <c r="C32" s="25" t="n">
        <v>1</v>
      </c>
      <c r="D32" s="25" t="inlineStr">
        <is>
          <t>a</t>
        </is>
      </c>
      <c r="E32" s="68">
        <f>_xlfn.XLOOKUP(A32,'Detail&lt;Child&gt;'!C:C,'Detail&lt;Child&gt;'!A:A)</f>
        <v/>
      </c>
      <c r="F32" s="23" t="inlineStr">
        <is>
          <t>Aurora</t>
        </is>
      </c>
      <c r="G32" s="23" t="inlineStr">
        <is>
          <t>Base</t>
        </is>
      </c>
      <c r="H32" s="23" t="inlineStr">
        <is>
          <t>아우로라</t>
        </is>
      </c>
      <c r="J32" s="68">
        <f>$B32&amp;"_"&amp;TEXT($C32,"00")&amp;"_F"</f>
        <v/>
      </c>
      <c r="K32" s="68">
        <f>$B32&amp;"_"&amp;TEXT($C32,"00")&amp;"_L"</f>
        <v/>
      </c>
      <c r="L32" s="68">
        <f>LEFT(J32, 7)&amp;"_Desc"</f>
        <v/>
      </c>
      <c r="M32" s="68">
        <f>$B32&amp;"_"&amp;TEXT($C32,"00")&amp;"_CV"</f>
        <v/>
      </c>
      <c r="N32" s="68">
        <f>LEFT(J32, 7)&amp;"_ci_F"</f>
        <v/>
      </c>
      <c r="O32" s="68" t="inlineStr">
        <is>
          <t>CharacterIcon</t>
        </is>
      </c>
      <c r="P32" s="68">
        <f>B32&amp;"_"&amp;TEXT(C32,"00")&amp;"_p"</f>
        <v/>
      </c>
      <c r="Q32" s="68" t="inlineStr">
        <is>
          <t>CharacterPortrait</t>
        </is>
      </c>
      <c r="R32" s="68">
        <f>"Promotion_"&amp;P32</f>
        <v/>
      </c>
      <c r="S32" s="68" t="inlineStr">
        <is>
          <t>CharacterPromotion</t>
        </is>
      </c>
      <c r="T32" s="68">
        <f>B32&amp;"_"&amp;D32&amp;"_SkeletonData.asset"</f>
        <v/>
      </c>
      <c r="U32" s="68">
        <f>B32&amp;"_"&amp;TEXT(C32,"00")&amp;"_"&amp;D32</f>
        <v/>
      </c>
      <c r="V32" s="68">
        <f>"Naninovel/Characters/"&amp;B32&amp;"_"&amp;TEXT(C32,"00")&amp;""</f>
        <v/>
      </c>
      <c r="W32" s="68" t="inlineStr">
        <is>
          <t>Normal</t>
        </is>
      </c>
      <c r="X32" s="68" t="n">
        <v>1534281</v>
      </c>
      <c r="Y32" s="68" t="inlineStr">
        <is>
          <t>Active</t>
        </is>
      </c>
      <c r="Z32" s="68" t="n">
        <v>2534281</v>
      </c>
      <c r="AA32" s="68" t="inlineStr">
        <is>
          <t>Ultimate</t>
        </is>
      </c>
      <c r="AB32" s="68" t="n">
        <v>3534281</v>
      </c>
      <c r="AC32" s="68" t="inlineStr">
        <is>
          <t>Passive</t>
        </is>
      </c>
      <c r="AD32" s="68" t="n">
        <v>4534281</v>
      </c>
    </row>
    <row r="33">
      <c r="A33" s="24">
        <f>INT(TEXT(IF(LEFT(B33,1)="c",1,2)&amp;MID(B33,2,3),"000")&amp;TEXT(C33,"00"))</f>
        <v/>
      </c>
      <c r="B33" s="23" t="inlineStr">
        <is>
          <t>c283</t>
        </is>
      </c>
      <c r="C33" s="25" t="n">
        <v>1</v>
      </c>
      <c r="D33" s="25" t="inlineStr">
        <is>
          <t>a</t>
        </is>
      </c>
      <c r="E33" s="68">
        <f>_xlfn.XLOOKUP(A33,'Detail&lt;Child&gt;'!C:C,'Detail&lt;Child&gt;'!A:A)</f>
        <v/>
      </c>
      <c r="F33" s="23" t="inlineStr">
        <is>
          <t>Morgan</t>
        </is>
      </c>
      <c r="G33" s="23" t="inlineStr">
        <is>
          <t>Base</t>
        </is>
      </c>
      <c r="H33" s="23" t="inlineStr">
        <is>
          <t>모건</t>
        </is>
      </c>
      <c r="J33" s="68">
        <f>$B33&amp;"_"&amp;TEXT($C33,"00")&amp;"_F"</f>
        <v/>
      </c>
      <c r="K33" s="68">
        <f>$B33&amp;"_"&amp;TEXT($C33,"00")&amp;"_L"</f>
        <v/>
      </c>
      <c r="L33" s="68">
        <f>LEFT(J33, 7)&amp;"_Desc"</f>
        <v/>
      </c>
      <c r="M33" s="68">
        <f>$B33&amp;"_"&amp;TEXT($C33,"00")&amp;"_CV"</f>
        <v/>
      </c>
      <c r="N33" s="68">
        <f>LEFT(J33, 7)&amp;"_ci_F"</f>
        <v/>
      </c>
      <c r="O33" s="68" t="inlineStr">
        <is>
          <t>CharacterIcon</t>
        </is>
      </c>
      <c r="P33" s="68">
        <f>B33&amp;"_"&amp;TEXT(C33,"00")&amp;"_p"</f>
        <v/>
      </c>
      <c r="Q33" s="68" t="inlineStr">
        <is>
          <t>CharacterPortrait</t>
        </is>
      </c>
      <c r="R33" s="68">
        <f>"Promotion_"&amp;P33</f>
        <v/>
      </c>
      <c r="S33" s="68" t="inlineStr">
        <is>
          <t>CharacterPromotion</t>
        </is>
      </c>
      <c r="T33" s="68">
        <f>B33&amp;"_"&amp;D33&amp;"_SkeletonData.asset"</f>
        <v/>
      </c>
      <c r="U33" s="68">
        <f>B33&amp;"_"&amp;TEXT(C33,"00")&amp;"_"&amp;D33</f>
        <v/>
      </c>
      <c r="V33" s="68">
        <f>"Naninovel/Characters/"&amp;B33&amp;"_"&amp;TEXT(C33,"00")&amp;""</f>
        <v/>
      </c>
      <c r="W33" s="68" t="inlineStr">
        <is>
          <t>Normal</t>
        </is>
      </c>
      <c r="X33" s="68" t="n">
        <v>1511291</v>
      </c>
      <c r="Y33" s="68" t="inlineStr">
        <is>
          <t>Active</t>
        </is>
      </c>
      <c r="Z33" s="68" t="n">
        <v>2511291</v>
      </c>
      <c r="AA33" s="68" t="inlineStr">
        <is>
          <t>Ultimate</t>
        </is>
      </c>
      <c r="AB33" s="68" t="n">
        <v>3511291</v>
      </c>
      <c r="AC33" s="68" t="inlineStr">
        <is>
          <t>Passive</t>
        </is>
      </c>
      <c r="AD33" s="68" t="n">
        <v>4511291</v>
      </c>
    </row>
    <row r="34">
      <c r="A34" s="24">
        <f>INT(TEXT(IF(LEFT(B34,1)="c",1,2)&amp;MID(B34,2,3),"000")&amp;TEXT(C34,"00"))</f>
        <v/>
      </c>
      <c r="B34" s="23" t="inlineStr">
        <is>
          <t>c400</t>
        </is>
      </c>
      <c r="C34" s="25" t="n">
        <v>1</v>
      </c>
      <c r="D34" s="25" t="inlineStr">
        <is>
          <t>a</t>
        </is>
      </c>
      <c r="E34" s="68">
        <f>_xlfn.XLOOKUP(A34,'Detail&lt;Child&gt;'!C:C,'Detail&lt;Child&gt;'!A:A)</f>
        <v/>
      </c>
      <c r="F34" s="23" t="inlineStr">
        <is>
          <t>Banshee</t>
        </is>
      </c>
      <c r="G34" s="23" t="inlineStr">
        <is>
          <t>Base</t>
        </is>
      </c>
      <c r="H34" s="23" t="inlineStr">
        <is>
          <t>반시</t>
        </is>
      </c>
      <c r="J34" s="68">
        <f>$B34&amp;"_"&amp;TEXT($C34,"00")&amp;"_F"</f>
        <v/>
      </c>
      <c r="K34" s="68">
        <f>$B34&amp;"_"&amp;TEXT($C34,"00")&amp;"_L"</f>
        <v/>
      </c>
      <c r="L34" s="68">
        <f>LEFT(J34, 7)&amp;"_Desc"</f>
        <v/>
      </c>
      <c r="M34" s="68">
        <f>$B34&amp;"_"&amp;TEXT($C34,"00")&amp;"_CV"</f>
        <v/>
      </c>
      <c r="N34" s="68">
        <f>LEFT(J34, 7)&amp;"_ci_F"</f>
        <v/>
      </c>
      <c r="O34" s="68" t="inlineStr">
        <is>
          <t>CharacterIcon</t>
        </is>
      </c>
      <c r="P34" s="68">
        <f>B34&amp;"_"&amp;TEXT(C34,"00")&amp;"_p"</f>
        <v/>
      </c>
      <c r="Q34" s="68" t="inlineStr">
        <is>
          <t>CharacterPortrait</t>
        </is>
      </c>
      <c r="R34" s="68">
        <f>"Promotion_"&amp;P34</f>
        <v/>
      </c>
      <c r="S34" s="68" t="inlineStr">
        <is>
          <t>CharacterPromotion</t>
        </is>
      </c>
      <c r="T34" s="68">
        <f>B34&amp;"_"&amp;D34&amp;"_SkeletonData.asset"</f>
        <v/>
      </c>
      <c r="U34" s="68">
        <f>B34&amp;"_"&amp;TEXT(C34,"00")&amp;"_"&amp;D34</f>
        <v/>
      </c>
      <c r="V34" s="68">
        <f>"Naninovel/Characters/"&amp;B34&amp;"_"&amp;TEXT(C34,"00")&amp;""</f>
        <v/>
      </c>
      <c r="W34" s="68" t="inlineStr">
        <is>
          <t>Normal</t>
        </is>
      </c>
      <c r="X34" s="68" t="n">
        <v>1551301</v>
      </c>
      <c r="Y34" s="68" t="inlineStr">
        <is>
          <t>Active</t>
        </is>
      </c>
      <c r="Z34" s="68" t="n">
        <v>2551301</v>
      </c>
      <c r="AA34" s="68" t="inlineStr">
        <is>
          <t>Ultimate</t>
        </is>
      </c>
      <c r="AB34" s="68" t="n">
        <v>3551301</v>
      </c>
      <c r="AC34" s="68" t="inlineStr">
        <is>
          <t>Passive</t>
        </is>
      </c>
      <c r="AD34" s="68" t="n">
        <v>4551301</v>
      </c>
    </row>
    <row r="35">
      <c r="A35" s="24">
        <f>INT(TEXT(IF(LEFT(B35,1)="c",1,2)&amp;MID(B35,2,3),"000")&amp;TEXT(C35,"00"))</f>
        <v/>
      </c>
      <c r="B35" s="23" t="inlineStr">
        <is>
          <t>c447</t>
        </is>
      </c>
      <c r="C35" s="25" t="n">
        <v>1</v>
      </c>
      <c r="D35" s="25" t="inlineStr">
        <is>
          <t>a</t>
        </is>
      </c>
      <c r="E35" s="68">
        <f>_xlfn.XLOOKUP(A35,'Detail&lt;Child&gt;'!C:C,'Detail&lt;Child&gt;'!A:A)</f>
        <v/>
      </c>
      <c r="F35" s="23" t="inlineStr">
        <is>
          <t>Miriam</t>
        </is>
      </c>
      <c r="G35" s="23" t="inlineStr">
        <is>
          <t>Base</t>
        </is>
      </c>
      <c r="H35" s="23" t="inlineStr">
        <is>
          <t>미리암</t>
        </is>
      </c>
      <c r="J35" s="68">
        <f>$B35&amp;"_"&amp;TEXT($C35,"00")&amp;"_F"</f>
        <v/>
      </c>
      <c r="K35" s="68">
        <f>$B35&amp;"_"&amp;TEXT($C35,"00")&amp;"_L"</f>
        <v/>
      </c>
      <c r="L35" s="68">
        <f>LEFT(J35, 7)&amp;"_Desc"</f>
        <v/>
      </c>
      <c r="M35" s="68">
        <f>$B35&amp;"_"&amp;TEXT($C35,"00")&amp;"_CV"</f>
        <v/>
      </c>
      <c r="N35" s="68">
        <f>LEFT(J35, 7)&amp;"_ci_F"</f>
        <v/>
      </c>
      <c r="O35" s="68" t="inlineStr">
        <is>
          <t>CharacterIcon</t>
        </is>
      </c>
      <c r="P35" s="68">
        <f>B35&amp;"_"&amp;TEXT(C35,"00")&amp;"_p"</f>
        <v/>
      </c>
      <c r="Q35" s="68" t="inlineStr">
        <is>
          <t>CharacterPortrait</t>
        </is>
      </c>
      <c r="R35" s="68">
        <f>"Promotion_"&amp;P35</f>
        <v/>
      </c>
      <c r="S35" s="68" t="inlineStr">
        <is>
          <t>CharacterPromotion</t>
        </is>
      </c>
      <c r="T35" s="68">
        <f>B35&amp;"_"&amp;D35&amp;"_SkeletonData.asset"</f>
        <v/>
      </c>
      <c r="U35" s="68">
        <f>B35&amp;"_"&amp;TEXT(C35,"00")&amp;"_"&amp;D35</f>
        <v/>
      </c>
      <c r="V35" s="68">
        <f>"Naninovel/Characters/"&amp;B35&amp;"_"&amp;TEXT(C35,"00")&amp;""</f>
        <v/>
      </c>
      <c r="W35" s="68" t="inlineStr">
        <is>
          <t>Normal</t>
        </is>
      </c>
      <c r="X35" s="68" t="n">
        <v>1531311</v>
      </c>
      <c r="Y35" s="68" t="inlineStr">
        <is>
          <t>Active</t>
        </is>
      </c>
      <c r="Z35" s="68" t="n">
        <v>2531311</v>
      </c>
      <c r="AA35" s="68" t="inlineStr">
        <is>
          <t>Ultimate</t>
        </is>
      </c>
      <c r="AB35" s="68" t="n">
        <v>3531311</v>
      </c>
      <c r="AC35" s="68" t="inlineStr">
        <is>
          <t>Passive</t>
        </is>
      </c>
      <c r="AD35" s="68" t="n">
        <v>4531311</v>
      </c>
    </row>
    <row r="36">
      <c r="A36" s="24">
        <f>INT(TEXT(IF(LEFT(B36,1)="c",1,2)&amp;MID(B36,2,3),"000")&amp;TEXT(C36,"00"))</f>
        <v/>
      </c>
      <c r="B36" s="23" t="inlineStr">
        <is>
          <t>c462</t>
        </is>
      </c>
      <c r="C36" s="25" t="n">
        <v>1</v>
      </c>
      <c r="D36" s="25" t="inlineStr">
        <is>
          <t>a</t>
        </is>
      </c>
      <c r="E36" s="68">
        <f>_xlfn.XLOOKUP(A36,'Detail&lt;Child&gt;'!C:C,'Detail&lt;Child&gt;'!A:A)</f>
        <v/>
      </c>
      <c r="F36" s="23" t="inlineStr">
        <is>
          <t>Theresa</t>
        </is>
      </c>
      <c r="G36" s="23" t="inlineStr">
        <is>
          <t>Base</t>
        </is>
      </c>
      <c r="H36" s="23" t="inlineStr">
        <is>
          <t>데레사</t>
        </is>
      </c>
      <c r="J36" s="68">
        <f>$B36&amp;"_"&amp;TEXT($C36,"00")&amp;"_F"</f>
        <v/>
      </c>
      <c r="K36" s="68">
        <f>$B36&amp;"_"&amp;TEXT($C36,"00")&amp;"_L"</f>
        <v/>
      </c>
      <c r="L36" s="68">
        <f>LEFT(J36, 7)&amp;"_Desc"</f>
        <v/>
      </c>
      <c r="M36" s="68">
        <f>$B36&amp;"_"&amp;TEXT($C36,"00")&amp;"_CV"</f>
        <v/>
      </c>
      <c r="N36" s="68">
        <f>LEFT(J36, 7)&amp;"_ci_F"</f>
        <v/>
      </c>
      <c r="O36" s="68" t="inlineStr">
        <is>
          <t>CharacterIcon</t>
        </is>
      </c>
      <c r="P36" s="68">
        <f>B36&amp;"_"&amp;TEXT(C36,"00")&amp;"_p"</f>
        <v/>
      </c>
      <c r="Q36" s="68" t="inlineStr">
        <is>
          <t>CharacterPortrait</t>
        </is>
      </c>
      <c r="R36" s="68">
        <f>"Promotion_"&amp;P36</f>
        <v/>
      </c>
      <c r="S36" s="68" t="inlineStr">
        <is>
          <t>CharacterPromotion</t>
        </is>
      </c>
      <c r="T36" s="68">
        <f>B36&amp;"_"&amp;D36&amp;"_SkeletonData.asset"</f>
        <v/>
      </c>
      <c r="U36" s="68">
        <f>B36&amp;"_"&amp;TEXT(C36,"00")&amp;"_"&amp;D36</f>
        <v/>
      </c>
      <c r="V36" s="68">
        <f>"Naninovel/Characters/"&amp;B36&amp;"_"&amp;TEXT(C36,"00")&amp;""</f>
        <v/>
      </c>
      <c r="W36" s="68" t="inlineStr">
        <is>
          <t>Normal</t>
        </is>
      </c>
      <c r="X36" s="1" t="n">
        <v>1512321</v>
      </c>
      <c r="Y36" s="68" t="inlineStr">
        <is>
          <t>Active</t>
        </is>
      </c>
      <c r="Z36" s="1" t="n">
        <v>2512321</v>
      </c>
      <c r="AA36" s="68" t="inlineStr">
        <is>
          <t>Ultimate</t>
        </is>
      </c>
      <c r="AB36" s="1" t="n">
        <v>3512321</v>
      </c>
      <c r="AC36" s="68" t="inlineStr">
        <is>
          <t>Passive</t>
        </is>
      </c>
      <c r="AD36" s="1" t="n">
        <v>4512321</v>
      </c>
    </row>
    <row r="37">
      <c r="A37" s="24">
        <f>INT(TEXT(IF(LEFT(B37,1)="c",1,2)&amp;MID(B37,2,3),"000")&amp;TEXT(C37,"00"))</f>
        <v/>
      </c>
      <c r="B37" s="23" t="inlineStr">
        <is>
          <t>c281</t>
        </is>
      </c>
      <c r="C37" s="25" t="n">
        <v>1</v>
      </c>
      <c r="D37" s="25" t="inlineStr">
        <is>
          <t>a</t>
        </is>
      </c>
      <c r="E37" s="68">
        <f>_xlfn.XLOOKUP(A37,'Detail&lt;Child&gt;'!C:C,'Detail&lt;Child&gt;'!A:A)</f>
        <v/>
      </c>
      <c r="F37" s="23" t="inlineStr">
        <is>
          <t xml:space="preserve">Thisbe </t>
        </is>
      </c>
      <c r="G37" s="23" t="inlineStr">
        <is>
          <t>Base</t>
        </is>
      </c>
      <c r="H37" s="23" t="inlineStr">
        <is>
          <t>티스베</t>
        </is>
      </c>
      <c r="J37" s="68">
        <f>$B37&amp;"_"&amp;TEXT($C37,"00")&amp;"_F"</f>
        <v/>
      </c>
      <c r="K37" s="68">
        <f>$B37&amp;"_"&amp;TEXT($C37,"00")&amp;"_L"</f>
        <v/>
      </c>
      <c r="L37" s="68">
        <f>LEFT(J37, 7)&amp;"_Desc"</f>
        <v/>
      </c>
      <c r="M37" s="68">
        <f>$B37&amp;"_"&amp;TEXT($C37,"00")&amp;"_CV"</f>
        <v/>
      </c>
      <c r="N37" s="68">
        <f>LEFT(J37, 7)&amp;"_ci_F"</f>
        <v/>
      </c>
      <c r="O37" s="68" t="inlineStr">
        <is>
          <t>CharacterIcon</t>
        </is>
      </c>
      <c r="P37" s="68">
        <f>B37&amp;"_"&amp;TEXT(C37,"00")&amp;"_p"</f>
        <v/>
      </c>
      <c r="Q37" s="68" t="inlineStr">
        <is>
          <t>CharacterPortrait</t>
        </is>
      </c>
      <c r="R37" s="68">
        <f>"Promotion_"&amp;P37</f>
        <v/>
      </c>
      <c r="S37" s="68" t="inlineStr">
        <is>
          <t>CharacterPromotion</t>
        </is>
      </c>
      <c r="T37" s="68">
        <f>B37&amp;"_"&amp;D37&amp;"_SkeletonData.asset"</f>
        <v/>
      </c>
      <c r="U37" s="68">
        <f>B37&amp;"_"&amp;TEXT(C37,"00")&amp;"_"&amp;D37</f>
        <v/>
      </c>
      <c r="V37" s="68">
        <f>"Naninovel/Characters/"&amp;B37&amp;"_"&amp;TEXT(C37,"00")&amp;""</f>
        <v/>
      </c>
      <c r="W37" s="68" t="inlineStr">
        <is>
          <t>Normal</t>
        </is>
      </c>
      <c r="X37" s="68" t="n">
        <v>1524331</v>
      </c>
      <c r="Y37" s="68" t="inlineStr">
        <is>
          <t>Active</t>
        </is>
      </c>
      <c r="Z37" s="68" t="n">
        <v>2524331</v>
      </c>
      <c r="AA37" s="68" t="inlineStr">
        <is>
          <t>Ultimate</t>
        </is>
      </c>
      <c r="AB37" s="68" t="n">
        <v>3524331</v>
      </c>
      <c r="AC37" s="68" t="inlineStr">
        <is>
          <t>Passive</t>
        </is>
      </c>
      <c r="AD37" s="68" t="n">
        <v>4524331</v>
      </c>
    </row>
    <row r="38">
      <c r="A38" s="24">
        <f>INT(TEXT(IF(LEFT(B38,1)="c",1,2)&amp;MID(B38,2,3),"000")&amp;TEXT(C38,"00"))</f>
        <v/>
      </c>
      <c r="B38" s="23" t="inlineStr">
        <is>
          <t>c514</t>
        </is>
      </c>
      <c r="C38" s="25" t="n">
        <v>1</v>
      </c>
      <c r="D38" s="25" t="inlineStr">
        <is>
          <t>a</t>
        </is>
      </c>
      <c r="E38" s="68">
        <f>_xlfn.XLOOKUP(A38,'Detail&lt;Child&gt;'!C:C,'Detail&lt;Child&gt;'!A:A)</f>
        <v/>
      </c>
      <c r="F38" s="23" t="inlineStr">
        <is>
          <t xml:space="preserve">Duetsha </t>
        </is>
      </c>
      <c r="G38" s="23" t="inlineStr">
        <is>
          <t>Base</t>
        </is>
      </c>
      <c r="H38" s="23" t="inlineStr">
        <is>
          <t>두엣샤</t>
        </is>
      </c>
      <c r="J38" s="68">
        <f>$B38&amp;"_"&amp;TEXT($C38,"00")&amp;"_F"</f>
        <v/>
      </c>
      <c r="K38" s="68">
        <f>$B38&amp;"_"&amp;TEXT($C38,"00")&amp;"_L"</f>
        <v/>
      </c>
      <c r="L38" s="68">
        <f>LEFT(J38, 7)&amp;"_Desc"</f>
        <v/>
      </c>
      <c r="M38" s="68">
        <f>$B38&amp;"_"&amp;TEXT($C38,"00")&amp;"_CV"</f>
        <v/>
      </c>
      <c r="N38" s="68">
        <f>LEFT(J38, 7)&amp;"_ci_F"</f>
        <v/>
      </c>
      <c r="O38" s="68" t="inlineStr">
        <is>
          <t>CharacterIcon</t>
        </is>
      </c>
      <c r="P38" s="68">
        <f>B38&amp;"_"&amp;TEXT(C38,"00")&amp;"_p"</f>
        <v/>
      </c>
      <c r="Q38" s="68" t="inlineStr">
        <is>
          <t>CharacterPortrait</t>
        </is>
      </c>
      <c r="R38" s="68">
        <f>"Promotion_"&amp;P38</f>
        <v/>
      </c>
      <c r="S38" s="68" t="inlineStr">
        <is>
          <t>CharacterPromotion</t>
        </is>
      </c>
      <c r="T38" s="68">
        <f>B38&amp;"_"&amp;D38&amp;"_SkeletonData.asset"</f>
        <v/>
      </c>
      <c r="U38" s="68">
        <f>B38&amp;"_"&amp;TEXT(C38,"00")&amp;"_"&amp;D38</f>
        <v/>
      </c>
      <c r="V38" s="68">
        <f>"Naninovel/Characters/"&amp;B38&amp;"_"&amp;TEXT(C38,"00")&amp;""</f>
        <v/>
      </c>
      <c r="W38" s="68" t="inlineStr">
        <is>
          <t>Normal</t>
        </is>
      </c>
      <c r="X38" s="68" t="n">
        <v>1451341</v>
      </c>
      <c r="Y38" s="68" t="inlineStr">
        <is>
          <t>Active</t>
        </is>
      </c>
      <c r="Z38" s="68" t="n">
        <v>2451341</v>
      </c>
      <c r="AA38" s="68" t="inlineStr">
        <is>
          <t>Ultimate</t>
        </is>
      </c>
      <c r="AB38" s="68" t="n">
        <v>3451341</v>
      </c>
      <c r="AC38" s="68" t="inlineStr">
        <is>
          <t>Passive</t>
        </is>
      </c>
      <c r="AD38" s="68" t="n">
        <v>4451341</v>
      </c>
    </row>
    <row r="39" customFormat="1" s="41">
      <c r="A39" s="40">
        <f>INT(TEXT(IF(LEFT(B39,1)="c",1,2)&amp;MID(B39,2,3),"000")&amp;TEXT(C39,"00"))</f>
        <v/>
      </c>
      <c r="B39" s="63" t="inlineStr">
        <is>
          <t>m155</t>
        </is>
      </c>
      <c r="C39" s="64" t="n">
        <v>1</v>
      </c>
      <c r="D39" s="64" t="inlineStr">
        <is>
          <t>a</t>
        </is>
      </c>
      <c r="E39" s="41">
        <f>_xlfn.XLOOKUP(A39,'Detail&lt;Monster&gt;'!C:C,'Detail&lt;Monster&gt;'!A:A)</f>
        <v/>
      </c>
      <c r="F39" s="63" t="inlineStr">
        <is>
          <t>slime</t>
        </is>
      </c>
      <c r="G39" s="63" t="inlineStr">
        <is>
          <t>Base</t>
        </is>
      </c>
      <c r="H39" s="63" t="inlineStr">
        <is>
          <t>슬라임-화</t>
        </is>
      </c>
      <c r="I39" s="63" t="n"/>
      <c r="J39" s="41">
        <f>$B39&amp;"_"&amp;TEXT($C39,"00")&amp;"_F"</f>
        <v/>
      </c>
      <c r="K39" s="41">
        <f>$B39&amp;"_"&amp;TEXT($C39,"00")&amp;"_L"</f>
        <v/>
      </c>
      <c r="L39" s="41">
        <f>LEFT(J39, 7)&amp;"_Desc"</f>
        <v/>
      </c>
      <c r="M39" s="41">
        <f>$B39&amp;"_"&amp;TEXT($C39,"00")&amp;"_CV"</f>
        <v/>
      </c>
      <c r="N39" s="41">
        <f>LEFT(J39, 7)&amp;"_ci_F"</f>
        <v/>
      </c>
      <c r="O39" s="41" t="inlineStr">
        <is>
          <t>CharacterIcon</t>
        </is>
      </c>
      <c r="T39" s="41">
        <f>B39&amp;"_"&amp;D39&amp;"_SkeletonData.asset"</f>
        <v/>
      </c>
      <c r="U39" s="41">
        <f>B39&amp;"_"&amp;TEXT(C39,"00")&amp;"_"&amp;D39</f>
        <v/>
      </c>
      <c r="V39" s="41">
        <f>B39&amp;"/"&amp;B39&amp;"_"&amp;TEXT(C39,"00")&amp;".png"</f>
        <v/>
      </c>
      <c r="W39" s="41" t="inlineStr">
        <is>
          <t>Normal</t>
        </is>
      </c>
      <c r="X39" s="65" t="n">
        <v>1812011</v>
      </c>
      <c r="Y39" s="41" t="inlineStr">
        <is>
          <t>Active</t>
        </is>
      </c>
      <c r="Z39" s="41">
        <f>X39+1000000</f>
        <v/>
      </c>
      <c r="AA39" s="41" t="inlineStr">
        <is>
          <t>Ultimate</t>
        </is>
      </c>
      <c r="AB39" s="41" t="n">
        <v>0</v>
      </c>
      <c r="AC39" s="41" t="inlineStr">
        <is>
          <t>Passive</t>
        </is>
      </c>
      <c r="AD39" s="41" t="n">
        <v>0</v>
      </c>
    </row>
    <row r="40">
      <c r="A40" s="24">
        <f>INT(TEXT(IF(LEFT(B40,1)="c",1,2)&amp;MID(B40,2,3),"000")&amp;TEXT(C40,"00"))</f>
        <v/>
      </c>
      <c r="B40" s="23" t="inlineStr">
        <is>
          <t>m155</t>
        </is>
      </c>
      <c r="C40" s="25" t="n">
        <v>2</v>
      </c>
      <c r="D40" s="25" t="inlineStr">
        <is>
          <t>a</t>
        </is>
      </c>
      <c r="E40" s="68">
        <f>_xlfn.XLOOKUP(A40,'Detail&lt;Monster&gt;'!C:C,'Detail&lt;Monster&gt;'!A:A)</f>
        <v/>
      </c>
      <c r="F40" s="23" t="inlineStr">
        <is>
          <t>slime</t>
        </is>
      </c>
      <c r="G40" s="23" t="inlineStr">
        <is>
          <t>Base</t>
        </is>
      </c>
      <c r="H40" s="23" t="inlineStr">
        <is>
          <t>슬라임-수</t>
        </is>
      </c>
      <c r="J40" s="68">
        <f>$B40&amp;"_"&amp;TEXT($C40,"00")&amp;"_F"</f>
        <v/>
      </c>
      <c r="K40" s="68">
        <f>$B40&amp;"_"&amp;TEXT($C40,"00")&amp;"_L"</f>
        <v/>
      </c>
      <c r="L40" s="68">
        <f>LEFT(J40, 7)&amp;"_Desc"</f>
        <v/>
      </c>
      <c r="M40" s="68">
        <f>$B40&amp;"_"&amp;TEXT($C40,"00")&amp;"_CV"</f>
        <v/>
      </c>
      <c r="N40" s="68">
        <f>LEFT(J40, 7)&amp;"_ci_F"</f>
        <v/>
      </c>
      <c r="O40" s="68" t="inlineStr">
        <is>
          <t>CharacterIcon</t>
        </is>
      </c>
      <c r="T40" s="68">
        <f>B40&amp;"_"&amp;D40&amp;"_SkeletonData.asset"</f>
        <v/>
      </c>
      <c r="U40" s="68">
        <f>B40&amp;"_"&amp;TEXT(C40,"00")&amp;"_"&amp;D40</f>
        <v/>
      </c>
      <c r="V40" s="68">
        <f>B40&amp;"/"&amp;B40&amp;"_"&amp;TEXT(C40,"00")&amp;".png"</f>
        <v/>
      </c>
      <c r="W40" s="68" t="inlineStr">
        <is>
          <t>Normal</t>
        </is>
      </c>
      <c r="X40" s="1" t="n">
        <v>1822011</v>
      </c>
      <c r="Y40" s="68" t="inlineStr">
        <is>
          <t>Active</t>
        </is>
      </c>
      <c r="Z40" s="68">
        <f>X40+1000000</f>
        <v/>
      </c>
      <c r="AA40" s="68" t="inlineStr">
        <is>
          <t>Ultimate</t>
        </is>
      </c>
      <c r="AB40" s="68" t="n">
        <v>0</v>
      </c>
      <c r="AC40" s="68" t="inlineStr">
        <is>
          <t>Passive</t>
        </is>
      </c>
      <c r="AD40" s="68" t="n">
        <v>0</v>
      </c>
    </row>
    <row r="41">
      <c r="A41" s="24">
        <f>INT(TEXT(IF(LEFT(B41,1)="c",1,2)&amp;MID(B41,2,3),"000")&amp;TEXT(C41,"00"))</f>
        <v/>
      </c>
      <c r="B41" s="23" t="inlineStr">
        <is>
          <t>m155</t>
        </is>
      </c>
      <c r="C41" s="25" t="n">
        <v>3</v>
      </c>
      <c r="D41" s="25" t="inlineStr">
        <is>
          <t>a</t>
        </is>
      </c>
      <c r="E41" s="68">
        <f>_xlfn.XLOOKUP(A41,'Detail&lt;Monster&gt;'!C:C,'Detail&lt;Monster&gt;'!A:A)</f>
        <v/>
      </c>
      <c r="F41" s="23" t="inlineStr">
        <is>
          <t>slime</t>
        </is>
      </c>
      <c r="G41" s="23" t="inlineStr">
        <is>
          <t>Base</t>
        </is>
      </c>
      <c r="H41" s="23" t="inlineStr">
        <is>
          <t>슬라임-목</t>
        </is>
      </c>
      <c r="J41" s="68">
        <f>$B41&amp;"_"&amp;TEXT($C41,"00")&amp;"_F"</f>
        <v/>
      </c>
      <c r="K41" s="68">
        <f>$B41&amp;"_"&amp;TEXT($C41,"00")&amp;"_L"</f>
        <v/>
      </c>
      <c r="L41" s="68">
        <f>LEFT(J41, 7)&amp;"_Desc"</f>
        <v/>
      </c>
      <c r="M41" s="68">
        <f>$B41&amp;"_"&amp;TEXT($C41,"00")&amp;"_CV"</f>
        <v/>
      </c>
      <c r="N41" s="68">
        <f>LEFT(J41, 7)&amp;"_ci_F"</f>
        <v/>
      </c>
      <c r="O41" s="68" t="inlineStr">
        <is>
          <t>CharacterIcon</t>
        </is>
      </c>
      <c r="T41" s="68">
        <f>B41&amp;"_"&amp;D41&amp;"_SkeletonData.asset"</f>
        <v/>
      </c>
      <c r="U41" s="68">
        <f>B41&amp;"_"&amp;TEXT(C41,"00")&amp;"_"&amp;D41</f>
        <v/>
      </c>
      <c r="V41" s="68">
        <f>B41&amp;"/"&amp;B41&amp;"_"&amp;TEXT(C41,"00")&amp;".png"</f>
        <v/>
      </c>
      <c r="W41" s="68" t="inlineStr">
        <is>
          <t>Normal</t>
        </is>
      </c>
      <c r="X41" s="1" t="n">
        <v>1832011</v>
      </c>
      <c r="Y41" s="68" t="inlineStr">
        <is>
          <t>Active</t>
        </is>
      </c>
      <c r="Z41" s="68">
        <f>X41+1000000</f>
        <v/>
      </c>
      <c r="AA41" s="68" t="inlineStr">
        <is>
          <t>Ultimate</t>
        </is>
      </c>
      <c r="AB41" s="68" t="n">
        <v>0</v>
      </c>
      <c r="AC41" s="68" t="inlineStr">
        <is>
          <t>Passive</t>
        </is>
      </c>
      <c r="AD41" s="68" t="n">
        <v>0</v>
      </c>
    </row>
    <row r="42">
      <c r="A42" s="24">
        <f>INT(TEXT(IF(LEFT(B42,1)="c",1,2)&amp;MID(B42,2,3),"000")&amp;TEXT(C42,"00"))</f>
        <v/>
      </c>
      <c r="B42" s="23" t="inlineStr">
        <is>
          <t>m155</t>
        </is>
      </c>
      <c r="C42" s="25" t="n">
        <v>4</v>
      </c>
      <c r="D42" s="25" t="inlineStr">
        <is>
          <t>a</t>
        </is>
      </c>
      <c r="E42" s="68">
        <f>_xlfn.XLOOKUP(A42,'Detail&lt;Monster&gt;'!C:C,'Detail&lt;Monster&gt;'!A:A)</f>
        <v/>
      </c>
      <c r="F42" s="23" t="inlineStr">
        <is>
          <t>slime</t>
        </is>
      </c>
      <c r="G42" s="23" t="inlineStr">
        <is>
          <t>Base</t>
        </is>
      </c>
      <c r="H42" s="23" t="inlineStr">
        <is>
          <t>슬라임-광</t>
        </is>
      </c>
      <c r="J42" s="68">
        <f>$B42&amp;"_"&amp;TEXT($C42,"00")&amp;"_F"</f>
        <v/>
      </c>
      <c r="K42" s="68">
        <f>$B42&amp;"_"&amp;TEXT($C42,"00")&amp;"_L"</f>
        <v/>
      </c>
      <c r="L42" s="68">
        <f>LEFT(J42, 7)&amp;"_Desc"</f>
        <v/>
      </c>
      <c r="M42" s="68">
        <f>$B42&amp;"_"&amp;TEXT($C42,"00")&amp;"_CV"</f>
        <v/>
      </c>
      <c r="N42" s="68">
        <f>LEFT(J42, 7)&amp;"_ci_F"</f>
        <v/>
      </c>
      <c r="O42" s="68" t="inlineStr">
        <is>
          <t>CharacterIcon</t>
        </is>
      </c>
      <c r="T42" s="68">
        <f>B42&amp;"_"&amp;D42&amp;"_SkeletonData.asset"</f>
        <v/>
      </c>
      <c r="U42" s="68">
        <f>B42&amp;"_"&amp;TEXT(C42,"00")&amp;"_"&amp;D42</f>
        <v/>
      </c>
      <c r="V42" s="68">
        <f>B42&amp;"/"&amp;B42&amp;"_"&amp;TEXT(C42,"00")&amp;".png"</f>
        <v/>
      </c>
      <c r="W42" s="68" t="inlineStr">
        <is>
          <t>Normal</t>
        </is>
      </c>
      <c r="X42" s="1" t="n">
        <v>1842011</v>
      </c>
      <c r="Y42" s="68" t="inlineStr">
        <is>
          <t>Active</t>
        </is>
      </c>
      <c r="Z42" s="68">
        <f>X42+1000000</f>
        <v/>
      </c>
      <c r="AA42" s="68" t="inlineStr">
        <is>
          <t>Ultimate</t>
        </is>
      </c>
      <c r="AB42" s="68" t="n">
        <v>0</v>
      </c>
      <c r="AC42" s="68" t="inlineStr">
        <is>
          <t>Passive</t>
        </is>
      </c>
      <c r="AD42" s="68" t="n">
        <v>0</v>
      </c>
    </row>
    <row r="43">
      <c r="A43" s="24">
        <f>INT(TEXT(IF(LEFT(B43,1)="c",1,2)&amp;MID(B43,2,3),"000")&amp;TEXT(C43,"00"))</f>
        <v/>
      </c>
      <c r="B43" s="23" t="inlineStr">
        <is>
          <t>m155</t>
        </is>
      </c>
      <c r="C43" s="25" t="n">
        <v>5</v>
      </c>
      <c r="D43" s="25" t="inlineStr">
        <is>
          <t>a</t>
        </is>
      </c>
      <c r="E43" s="68">
        <f>_xlfn.XLOOKUP(A43,'Detail&lt;Monster&gt;'!C:C,'Detail&lt;Monster&gt;'!A:A)</f>
        <v/>
      </c>
      <c r="F43" s="23" t="inlineStr">
        <is>
          <t>slime</t>
        </is>
      </c>
      <c r="G43" s="23" t="inlineStr">
        <is>
          <t>Base</t>
        </is>
      </c>
      <c r="H43" s="23" t="inlineStr">
        <is>
          <t>슬라임-암</t>
        </is>
      </c>
      <c r="J43" s="68">
        <f>$B43&amp;"_"&amp;TEXT($C43,"00")&amp;"_F"</f>
        <v/>
      </c>
      <c r="K43" s="68">
        <f>$B43&amp;"_"&amp;TEXT($C43,"00")&amp;"_L"</f>
        <v/>
      </c>
      <c r="L43" s="68">
        <f>LEFT(J43, 7)&amp;"_Desc"</f>
        <v/>
      </c>
      <c r="M43" s="68">
        <f>$B43&amp;"_"&amp;TEXT($C43,"00")&amp;"_CV"</f>
        <v/>
      </c>
      <c r="N43" s="68">
        <f>LEFT(J43, 7)&amp;"_ci_F"</f>
        <v/>
      </c>
      <c r="O43" s="68" t="inlineStr">
        <is>
          <t>CharacterIcon</t>
        </is>
      </c>
      <c r="T43" s="68">
        <f>B43&amp;"_"&amp;D43&amp;"_SkeletonData.asset"</f>
        <v/>
      </c>
      <c r="U43" s="68">
        <f>B43&amp;"_"&amp;TEXT(C43,"00")&amp;"_"&amp;D43</f>
        <v/>
      </c>
      <c r="V43" s="68">
        <f>B43&amp;"/"&amp;B43&amp;"_"&amp;TEXT(C43,"00")&amp;".png"</f>
        <v/>
      </c>
      <c r="W43" s="68" t="inlineStr">
        <is>
          <t>Normal</t>
        </is>
      </c>
      <c r="X43" s="1" t="n">
        <v>1852011</v>
      </c>
      <c r="Y43" s="68" t="inlineStr">
        <is>
          <t>Active</t>
        </is>
      </c>
      <c r="Z43" s="68">
        <f>X43+1000000</f>
        <v/>
      </c>
      <c r="AA43" s="68" t="inlineStr">
        <is>
          <t>Ultimate</t>
        </is>
      </c>
      <c r="AB43" s="68" t="n">
        <v>0</v>
      </c>
      <c r="AC43" s="68" t="inlineStr">
        <is>
          <t>Passive</t>
        </is>
      </c>
      <c r="AD43" s="68" t="n">
        <v>0</v>
      </c>
    </row>
    <row r="44">
      <c r="A44" s="24">
        <f>INT(TEXT(IF(LEFT(B44,1)="c",1,2)&amp;MID(B44,2,3),"000")&amp;TEXT(C44,"00"))</f>
        <v/>
      </c>
      <c r="B44" s="23" t="inlineStr">
        <is>
          <t>m900</t>
        </is>
      </c>
      <c r="C44" s="25" t="n">
        <v>1</v>
      </c>
      <c r="D44" s="25" t="inlineStr">
        <is>
          <t>a</t>
        </is>
      </c>
      <c r="E44" s="68">
        <f>_xlfn.XLOOKUP(A44,'Detail&lt;Monster&gt;'!C:C,'Detail&lt;Monster&gt;'!A:A)</f>
        <v/>
      </c>
      <c r="F44" s="23" t="inlineStr">
        <is>
          <t>slimeking</t>
        </is>
      </c>
      <c r="G44" s="23" t="inlineStr">
        <is>
          <t>Base</t>
        </is>
      </c>
      <c r="H44" s="23" t="inlineStr">
        <is>
          <t>슬라임킹-화</t>
        </is>
      </c>
      <c r="J44" s="68">
        <f>$B44&amp;"_"&amp;TEXT($C44,"00")&amp;"_F"</f>
        <v/>
      </c>
      <c r="K44" s="68">
        <f>$B44&amp;"_"&amp;TEXT($C44,"00")&amp;"_L"</f>
        <v/>
      </c>
      <c r="L44" s="68">
        <f>LEFT(J44, 7)&amp;"_Desc"</f>
        <v/>
      </c>
      <c r="M44" s="68">
        <f>$B44&amp;"_"&amp;TEXT($C44,"00")&amp;"_CV"</f>
        <v/>
      </c>
      <c r="N44" s="68">
        <f>LEFT(J44, 7)&amp;"_ci_F"</f>
        <v/>
      </c>
      <c r="O44" s="68" t="inlineStr">
        <is>
          <t>CharacterIcon</t>
        </is>
      </c>
      <c r="T44" s="68">
        <f>B44&amp;"_"&amp;D44&amp;"_SkeletonData.asset"</f>
        <v/>
      </c>
      <c r="U44" s="68">
        <f>B44&amp;"_"&amp;TEXT(C44,"00")&amp;"_"&amp;D44</f>
        <v/>
      </c>
      <c r="V44" s="68">
        <f>B44&amp;"/"&amp;B44&amp;"_"&amp;TEXT(C44,"00")&amp;".png"</f>
        <v/>
      </c>
      <c r="W44" s="68" t="inlineStr">
        <is>
          <t>Normal</t>
        </is>
      </c>
      <c r="X44" s="1" t="n">
        <v>1812021</v>
      </c>
      <c r="Y44" s="68" t="inlineStr">
        <is>
          <t>Active</t>
        </is>
      </c>
      <c r="Z44" s="68" t="n">
        <v>0</v>
      </c>
      <c r="AA44" s="68" t="inlineStr">
        <is>
          <t>Ultimate</t>
        </is>
      </c>
      <c r="AB44" s="68" t="n">
        <v>3812021</v>
      </c>
      <c r="AC44" s="68" t="inlineStr">
        <is>
          <t>Passive</t>
        </is>
      </c>
      <c r="AD44" s="68" t="n">
        <v>0</v>
      </c>
    </row>
    <row r="45">
      <c r="A45" s="24">
        <f>INT(TEXT(IF(LEFT(B45,1)="c",1,2)&amp;MID(B45,2,3),"000")&amp;TEXT(C45,"00"))</f>
        <v/>
      </c>
      <c r="B45" s="23" t="inlineStr">
        <is>
          <t>m900</t>
        </is>
      </c>
      <c r="C45" s="25" t="n">
        <v>2</v>
      </c>
      <c r="D45" s="25" t="inlineStr">
        <is>
          <t>b</t>
        </is>
      </c>
      <c r="E45" s="68">
        <f>_xlfn.XLOOKUP(A45,'Detail&lt;Monster&gt;'!C:C,'Detail&lt;Monster&gt;'!A:A)</f>
        <v/>
      </c>
      <c r="F45" s="23" t="inlineStr">
        <is>
          <t>slimeking</t>
        </is>
      </c>
      <c r="G45" s="23" t="inlineStr">
        <is>
          <t>Base</t>
        </is>
      </c>
      <c r="H45" s="23" t="inlineStr">
        <is>
          <t>슬라임킹-수</t>
        </is>
      </c>
      <c r="J45" s="68">
        <f>$B45&amp;"_"&amp;TEXT($C45,"00")&amp;"_F"</f>
        <v/>
      </c>
      <c r="K45" s="68">
        <f>$B45&amp;"_"&amp;TEXT($C45,"00")&amp;"_L"</f>
        <v/>
      </c>
      <c r="L45" s="68">
        <f>LEFT(J45, 7)&amp;"_Desc"</f>
        <v/>
      </c>
      <c r="M45" s="68">
        <f>$B45&amp;"_"&amp;TEXT($C45,"00")&amp;"_CV"</f>
        <v/>
      </c>
      <c r="N45" s="68">
        <f>LEFT(J45, 7)&amp;"_ci_F"</f>
        <v/>
      </c>
      <c r="O45" s="68" t="inlineStr">
        <is>
          <t>CharacterIcon</t>
        </is>
      </c>
      <c r="T45" s="68">
        <f>B45&amp;"_"&amp;D45&amp;"_SkeletonData.asset"</f>
        <v/>
      </c>
      <c r="U45" s="68">
        <f>B45&amp;"_"&amp;TEXT(C45,"00")&amp;"_"&amp;D45</f>
        <v/>
      </c>
      <c r="V45" s="68">
        <f>B45&amp;"/"&amp;B45&amp;"_"&amp;TEXT(C45,"00")&amp;".png"</f>
        <v/>
      </c>
      <c r="W45" s="68" t="inlineStr">
        <is>
          <t>Normal</t>
        </is>
      </c>
      <c r="X45" s="1" t="n">
        <v>1822021</v>
      </c>
      <c r="Y45" s="68" t="inlineStr">
        <is>
          <t>Active</t>
        </is>
      </c>
      <c r="Z45" s="68" t="n">
        <v>0</v>
      </c>
      <c r="AA45" s="68" t="inlineStr">
        <is>
          <t>Ultimate</t>
        </is>
      </c>
      <c r="AB45" s="68" t="n">
        <v>3822021</v>
      </c>
      <c r="AC45" s="68" t="inlineStr">
        <is>
          <t>Passive</t>
        </is>
      </c>
      <c r="AD45" s="68" t="n">
        <v>0</v>
      </c>
    </row>
    <row r="46">
      <c r="A46" s="24">
        <f>INT(TEXT(IF(LEFT(B46,1)="c",1,2)&amp;MID(B46,2,3),"000")&amp;TEXT(C46,"00"))</f>
        <v/>
      </c>
      <c r="B46" s="23" t="inlineStr">
        <is>
          <t>m900</t>
        </is>
      </c>
      <c r="C46" s="25" t="n">
        <v>3</v>
      </c>
      <c r="D46" s="25" t="inlineStr">
        <is>
          <t>c</t>
        </is>
      </c>
      <c r="E46" s="68">
        <f>_xlfn.XLOOKUP(A46,'Detail&lt;Monster&gt;'!C:C,'Detail&lt;Monster&gt;'!A:A)</f>
        <v/>
      </c>
      <c r="F46" s="23" t="inlineStr">
        <is>
          <t>slimeking</t>
        </is>
      </c>
      <c r="G46" s="23" t="inlineStr">
        <is>
          <t>Base</t>
        </is>
      </c>
      <c r="H46" s="23" t="inlineStr">
        <is>
          <t>슬라임킹-목</t>
        </is>
      </c>
      <c r="J46" s="68">
        <f>$B46&amp;"_"&amp;TEXT($C46,"00")&amp;"_F"</f>
        <v/>
      </c>
      <c r="K46" s="68">
        <f>$B46&amp;"_"&amp;TEXT($C46,"00")&amp;"_L"</f>
        <v/>
      </c>
      <c r="L46" s="68">
        <f>LEFT(J46, 7)&amp;"_Desc"</f>
        <v/>
      </c>
      <c r="M46" s="68">
        <f>$B46&amp;"_"&amp;TEXT($C46,"00")&amp;"_CV"</f>
        <v/>
      </c>
      <c r="N46" s="68">
        <f>LEFT(J46, 7)&amp;"_ci_F"</f>
        <v/>
      </c>
      <c r="O46" s="68" t="inlineStr">
        <is>
          <t>CharacterIcon</t>
        </is>
      </c>
      <c r="T46" s="68">
        <f>B46&amp;"_"&amp;D46&amp;"_SkeletonData.asset"</f>
        <v/>
      </c>
      <c r="U46" s="68">
        <f>B46&amp;"_"&amp;TEXT(C46,"00")&amp;"_"&amp;D46</f>
        <v/>
      </c>
      <c r="V46" s="68">
        <f>B46&amp;"/"&amp;B46&amp;"_"&amp;TEXT(C46,"00")&amp;".png"</f>
        <v/>
      </c>
      <c r="W46" s="68" t="inlineStr">
        <is>
          <t>Normal</t>
        </is>
      </c>
      <c r="X46" s="1" t="n">
        <v>1832021</v>
      </c>
      <c r="Y46" s="68" t="inlineStr">
        <is>
          <t>Active</t>
        </is>
      </c>
      <c r="Z46" s="68" t="n">
        <v>0</v>
      </c>
      <c r="AA46" s="68" t="inlineStr">
        <is>
          <t>Ultimate</t>
        </is>
      </c>
      <c r="AB46" s="68" t="n">
        <v>3832021</v>
      </c>
      <c r="AC46" s="68" t="inlineStr">
        <is>
          <t>Passive</t>
        </is>
      </c>
      <c r="AD46" s="68" t="n">
        <v>0</v>
      </c>
    </row>
    <row r="47">
      <c r="A47" s="24">
        <f>INT(TEXT(IF(LEFT(B47,1)="c",1,2)&amp;MID(B47,2,3),"000")&amp;TEXT(C47,"00"))</f>
        <v/>
      </c>
      <c r="B47" s="23" t="inlineStr">
        <is>
          <t>m900</t>
        </is>
      </c>
      <c r="C47" s="25" t="n">
        <v>4</v>
      </c>
      <c r="D47" s="25" t="inlineStr">
        <is>
          <t>d</t>
        </is>
      </c>
      <c r="E47" s="68">
        <f>_xlfn.XLOOKUP(A47,'Detail&lt;Monster&gt;'!C:C,'Detail&lt;Monster&gt;'!A:A)</f>
        <v/>
      </c>
      <c r="F47" s="23" t="inlineStr">
        <is>
          <t>slimeking</t>
        </is>
      </c>
      <c r="G47" s="23" t="inlineStr">
        <is>
          <t>Base</t>
        </is>
      </c>
      <c r="H47" s="23" t="inlineStr">
        <is>
          <t>슬라임킹-광</t>
        </is>
      </c>
      <c r="J47" s="68">
        <f>$B47&amp;"_"&amp;TEXT($C47,"00")&amp;"_F"</f>
        <v/>
      </c>
      <c r="K47" s="68">
        <f>$B47&amp;"_"&amp;TEXT($C47,"00")&amp;"_L"</f>
        <v/>
      </c>
      <c r="L47" s="68">
        <f>LEFT(J47, 7)&amp;"_Desc"</f>
        <v/>
      </c>
      <c r="M47" s="68">
        <f>$B47&amp;"_"&amp;TEXT($C47,"00")&amp;"_CV"</f>
        <v/>
      </c>
      <c r="N47" s="68">
        <f>LEFT(J47, 7)&amp;"_ci_F"</f>
        <v/>
      </c>
      <c r="O47" s="68" t="inlineStr">
        <is>
          <t>CharacterIcon</t>
        </is>
      </c>
      <c r="T47" s="68">
        <f>B47&amp;"_"&amp;D47&amp;"_SkeletonData.asset"</f>
        <v/>
      </c>
      <c r="U47" s="68">
        <f>B47&amp;"_"&amp;TEXT(C47,"00")&amp;"_"&amp;D47</f>
        <v/>
      </c>
      <c r="V47" s="68">
        <f>B47&amp;"/"&amp;B47&amp;"_"&amp;TEXT(C47,"00")&amp;".png"</f>
        <v/>
      </c>
      <c r="W47" s="68" t="inlineStr">
        <is>
          <t>Normal</t>
        </is>
      </c>
      <c r="X47" s="1" t="n">
        <v>1842021</v>
      </c>
      <c r="Y47" s="68" t="inlineStr">
        <is>
          <t>Active</t>
        </is>
      </c>
      <c r="Z47" s="68" t="n">
        <v>0</v>
      </c>
      <c r="AA47" s="68" t="inlineStr">
        <is>
          <t>Ultimate</t>
        </is>
      </c>
      <c r="AB47" s="68" t="n">
        <v>3842021</v>
      </c>
      <c r="AC47" s="68" t="inlineStr">
        <is>
          <t>Passive</t>
        </is>
      </c>
      <c r="AD47" s="68" t="n">
        <v>0</v>
      </c>
    </row>
    <row r="48">
      <c r="A48" s="24">
        <f>INT(TEXT(IF(LEFT(B48,1)="c",1,2)&amp;MID(B48,2,3),"000")&amp;TEXT(C48,"00"))</f>
        <v/>
      </c>
      <c r="B48" s="23" t="inlineStr">
        <is>
          <t>m900</t>
        </is>
      </c>
      <c r="C48" s="25" t="n">
        <v>5</v>
      </c>
      <c r="D48" s="25" t="inlineStr">
        <is>
          <t>e</t>
        </is>
      </c>
      <c r="E48" s="68">
        <f>_xlfn.XLOOKUP(A48,'Detail&lt;Monster&gt;'!C:C,'Detail&lt;Monster&gt;'!A:A)</f>
        <v/>
      </c>
      <c r="F48" s="23" t="inlineStr">
        <is>
          <t>slimeking</t>
        </is>
      </c>
      <c r="G48" s="23" t="inlineStr">
        <is>
          <t>Base</t>
        </is>
      </c>
      <c r="H48" s="23" t="inlineStr">
        <is>
          <t>슬라임킹-암</t>
        </is>
      </c>
      <c r="J48" s="68">
        <f>$B48&amp;"_"&amp;TEXT($C48,"00")&amp;"_F"</f>
        <v/>
      </c>
      <c r="K48" s="68">
        <f>$B48&amp;"_"&amp;TEXT($C48,"00")&amp;"_L"</f>
        <v/>
      </c>
      <c r="L48" s="68">
        <f>LEFT(J48, 7)&amp;"_Desc"</f>
        <v/>
      </c>
      <c r="M48" s="68">
        <f>$B48&amp;"_"&amp;TEXT($C48,"00")&amp;"_CV"</f>
        <v/>
      </c>
      <c r="N48" s="68">
        <f>LEFT(J48, 7)&amp;"_ci_F"</f>
        <v/>
      </c>
      <c r="O48" s="68" t="inlineStr">
        <is>
          <t>CharacterIcon</t>
        </is>
      </c>
      <c r="T48" s="68">
        <f>B48&amp;"_"&amp;D48&amp;"_SkeletonData.asset"</f>
        <v/>
      </c>
      <c r="U48" s="68">
        <f>B48&amp;"_"&amp;TEXT(C48,"00")&amp;"_"&amp;D48</f>
        <v/>
      </c>
      <c r="V48" s="68">
        <f>B48&amp;"/"&amp;B48&amp;"_"&amp;TEXT(C48,"00")&amp;".png"</f>
        <v/>
      </c>
      <c r="W48" s="68" t="inlineStr">
        <is>
          <t>Normal</t>
        </is>
      </c>
      <c r="X48" s="1" t="n">
        <v>1852021</v>
      </c>
      <c r="Y48" s="68" t="inlineStr">
        <is>
          <t>Active</t>
        </is>
      </c>
      <c r="Z48" s="68" t="n">
        <v>0</v>
      </c>
      <c r="AA48" s="68" t="inlineStr">
        <is>
          <t>Ultimate</t>
        </is>
      </c>
      <c r="AB48" s="68" t="n">
        <v>3852021</v>
      </c>
      <c r="AC48" s="68" t="inlineStr">
        <is>
          <t>Passive</t>
        </is>
      </c>
      <c r="AD48" s="68" t="n">
        <v>0</v>
      </c>
    </row>
    <row r="49">
      <c r="A49" s="24">
        <f>INT(TEXT(IF(LEFT(B49,1)="c",1,2)&amp;MID(B49,2,3),"000")&amp;TEXT(C49,"00"))</f>
        <v/>
      </c>
      <c r="B49" s="23" t="inlineStr">
        <is>
          <t>m258</t>
        </is>
      </c>
      <c r="C49" s="25" t="n">
        <v>1</v>
      </c>
      <c r="D49" s="25" t="inlineStr">
        <is>
          <t>a</t>
        </is>
      </c>
      <c r="E49" s="68">
        <f>_xlfn.XLOOKUP(A49,'Detail&lt;Monster&gt;'!C:C,'Detail&lt;Monster&gt;'!A:A)</f>
        <v/>
      </c>
      <c r="F49" s="23" t="inlineStr">
        <is>
          <t>pixie</t>
        </is>
      </c>
      <c r="G49" s="23" t="inlineStr">
        <is>
          <t>Base</t>
        </is>
      </c>
      <c r="H49" s="23" t="inlineStr">
        <is>
          <t>픽시-화</t>
        </is>
      </c>
      <c r="J49" s="68">
        <f>$B49&amp;"_"&amp;TEXT($C49,"00")&amp;"_F"</f>
        <v/>
      </c>
      <c r="K49" s="68">
        <f>$B49&amp;"_"&amp;TEXT($C49,"00")&amp;"_L"</f>
        <v/>
      </c>
      <c r="L49" s="68">
        <f>LEFT(J49, 7)&amp;"_Desc"</f>
        <v/>
      </c>
      <c r="M49" s="68">
        <f>$B49&amp;"_"&amp;TEXT($C49,"00")&amp;"_CV"</f>
        <v/>
      </c>
      <c r="N49" s="68">
        <f>LEFT(J49, 7)&amp;"_ci_F"</f>
        <v/>
      </c>
      <c r="O49" s="68" t="inlineStr">
        <is>
          <t>CharacterIcon</t>
        </is>
      </c>
      <c r="P49" s="68">
        <f>B49&amp;"_"&amp;TEXT(C49,"00")&amp;"_p"</f>
        <v/>
      </c>
      <c r="Q49" s="68" t="inlineStr">
        <is>
          <t>CharacterPortrait</t>
        </is>
      </c>
      <c r="T49" s="68">
        <f>B49&amp;"_"&amp;D49&amp;"_SkeletonData.asset"</f>
        <v/>
      </c>
      <c r="U49" s="68">
        <f>B49&amp;"_"&amp;TEXT(C49,"00")&amp;"_"&amp;D49</f>
        <v/>
      </c>
      <c r="V49" s="68">
        <f>B49&amp;"/"&amp;B49&amp;"_"&amp;TEXT(C49,"00")&amp;".png"</f>
        <v/>
      </c>
      <c r="W49" s="68" t="inlineStr">
        <is>
          <t>Normal</t>
        </is>
      </c>
      <c r="X49" s="1" t="n">
        <v>1811031</v>
      </c>
      <c r="Y49" s="68" t="inlineStr">
        <is>
          <t>Active</t>
        </is>
      </c>
      <c r="Z49" s="68" t="n">
        <v>2811031</v>
      </c>
      <c r="AA49" s="68" t="inlineStr">
        <is>
          <t>Ultimate</t>
        </is>
      </c>
      <c r="AB49" s="1" t="n">
        <v>3811031</v>
      </c>
      <c r="AC49" s="68" t="inlineStr">
        <is>
          <t>Passive</t>
        </is>
      </c>
      <c r="AD49" s="68" t="n">
        <v>0</v>
      </c>
    </row>
    <row r="50">
      <c r="A50" s="24">
        <f>INT(TEXT(IF(LEFT(B50,1)="c",1,2)&amp;MID(B50,2,3),"000")&amp;TEXT(C50,"00"))</f>
        <v/>
      </c>
      <c r="B50" s="23" t="inlineStr">
        <is>
          <t>m258</t>
        </is>
      </c>
      <c r="C50" s="25" t="n">
        <v>2</v>
      </c>
      <c r="D50" s="25" t="inlineStr">
        <is>
          <t>a</t>
        </is>
      </c>
      <c r="E50" s="68">
        <f>_xlfn.XLOOKUP(A50,'Detail&lt;Monster&gt;'!C:C,'Detail&lt;Monster&gt;'!A:A)</f>
        <v/>
      </c>
      <c r="F50" s="23" t="inlineStr">
        <is>
          <t>pixie</t>
        </is>
      </c>
      <c r="G50" s="23" t="inlineStr">
        <is>
          <t>Base</t>
        </is>
      </c>
      <c r="H50" s="23" t="inlineStr">
        <is>
          <t>픽시-수</t>
        </is>
      </c>
      <c r="J50" s="68">
        <f>$B50&amp;"_"&amp;TEXT($C50,"00")&amp;"_F"</f>
        <v/>
      </c>
      <c r="K50" s="68">
        <f>$B50&amp;"_"&amp;TEXT($C50,"00")&amp;"_L"</f>
        <v/>
      </c>
      <c r="L50" s="68">
        <f>LEFT(J50, 7)&amp;"_Desc"</f>
        <v/>
      </c>
      <c r="M50" s="68">
        <f>$B50&amp;"_"&amp;TEXT($C50,"00")&amp;"_CV"</f>
        <v/>
      </c>
      <c r="N50" s="68">
        <f>LEFT(J50, 7)&amp;"_ci_F"</f>
        <v/>
      </c>
      <c r="O50" s="68" t="inlineStr">
        <is>
          <t>CharacterIcon</t>
        </is>
      </c>
      <c r="P50" s="68">
        <f>B50&amp;"_"&amp;TEXT(C50,"00")&amp;"_p"</f>
        <v/>
      </c>
      <c r="Q50" s="68" t="inlineStr">
        <is>
          <t>CharacterPortrait</t>
        </is>
      </c>
      <c r="T50" s="68">
        <f>B50&amp;"_"&amp;D50&amp;"_SkeletonData.asset"</f>
        <v/>
      </c>
      <c r="U50" s="68">
        <f>B50&amp;"_"&amp;TEXT(C50,"00")&amp;"_"&amp;D50</f>
        <v/>
      </c>
      <c r="V50" s="68">
        <f>B50&amp;"/"&amp;B50&amp;"_"&amp;TEXT(C50,"00")&amp;".png"</f>
        <v/>
      </c>
      <c r="W50" s="68" t="inlineStr">
        <is>
          <t>Normal</t>
        </is>
      </c>
      <c r="X50" s="1" t="n">
        <v>1821031</v>
      </c>
      <c r="Y50" s="68" t="inlineStr">
        <is>
          <t>Active</t>
        </is>
      </c>
      <c r="Z50" s="68" t="n">
        <v>2821031</v>
      </c>
      <c r="AA50" s="68" t="inlineStr">
        <is>
          <t>Ultimate</t>
        </is>
      </c>
      <c r="AB50" s="1" t="n">
        <v>3821031</v>
      </c>
      <c r="AC50" s="68" t="inlineStr">
        <is>
          <t>Passive</t>
        </is>
      </c>
      <c r="AD50" s="68" t="n">
        <v>0</v>
      </c>
    </row>
    <row r="51">
      <c r="A51" s="24">
        <f>INT(TEXT(IF(LEFT(B51,1)="c",1,2)&amp;MID(B51,2,3),"000")&amp;TEXT(C51,"00"))</f>
        <v/>
      </c>
      <c r="B51" s="23" t="inlineStr">
        <is>
          <t>m258</t>
        </is>
      </c>
      <c r="C51" s="25" t="n">
        <v>3</v>
      </c>
      <c r="D51" s="25" t="inlineStr">
        <is>
          <t>a</t>
        </is>
      </c>
      <c r="E51" s="68">
        <f>_xlfn.XLOOKUP(A51,'Detail&lt;Monster&gt;'!C:C,'Detail&lt;Monster&gt;'!A:A)</f>
        <v/>
      </c>
      <c r="F51" s="23" t="inlineStr">
        <is>
          <t>pixie</t>
        </is>
      </c>
      <c r="G51" s="23" t="inlineStr">
        <is>
          <t>Base</t>
        </is>
      </c>
      <c r="H51" s="23" t="inlineStr">
        <is>
          <t>픽시-목</t>
        </is>
      </c>
      <c r="J51" s="68">
        <f>$B51&amp;"_"&amp;TEXT($C51,"00")&amp;"_F"</f>
        <v/>
      </c>
      <c r="K51" s="68">
        <f>$B51&amp;"_"&amp;TEXT($C51,"00")&amp;"_L"</f>
        <v/>
      </c>
      <c r="L51" s="68">
        <f>LEFT(J51, 7)&amp;"_Desc"</f>
        <v/>
      </c>
      <c r="M51" s="68">
        <f>$B51&amp;"_"&amp;TEXT($C51,"00")&amp;"_CV"</f>
        <v/>
      </c>
      <c r="N51" s="68">
        <f>LEFT(J51, 7)&amp;"_ci_F"</f>
        <v/>
      </c>
      <c r="O51" s="68" t="inlineStr">
        <is>
          <t>CharacterIcon</t>
        </is>
      </c>
      <c r="P51" s="68">
        <f>B51&amp;"_"&amp;TEXT(C51,"00")&amp;"_p"</f>
        <v/>
      </c>
      <c r="Q51" s="68" t="inlineStr">
        <is>
          <t>CharacterPortrait</t>
        </is>
      </c>
      <c r="T51" s="68">
        <f>B51&amp;"_"&amp;D51&amp;"_SkeletonData.asset"</f>
        <v/>
      </c>
      <c r="U51" s="68">
        <f>B51&amp;"_"&amp;TEXT(C51,"00")&amp;"_"&amp;D51</f>
        <v/>
      </c>
      <c r="V51" s="68">
        <f>B51&amp;"/"&amp;B51&amp;"_"&amp;TEXT(C51,"00")&amp;".png"</f>
        <v/>
      </c>
      <c r="W51" s="68" t="inlineStr">
        <is>
          <t>Normal</t>
        </is>
      </c>
      <c r="X51" s="1" t="n">
        <v>1831031</v>
      </c>
      <c r="Y51" s="68" t="inlineStr">
        <is>
          <t>Active</t>
        </is>
      </c>
      <c r="Z51" s="68" t="n">
        <v>2831031</v>
      </c>
      <c r="AA51" s="68" t="inlineStr">
        <is>
          <t>Ultimate</t>
        </is>
      </c>
      <c r="AB51" s="1" t="n">
        <v>3831031</v>
      </c>
      <c r="AC51" s="68" t="inlineStr">
        <is>
          <t>Passive</t>
        </is>
      </c>
      <c r="AD51" s="68" t="n">
        <v>0</v>
      </c>
    </row>
    <row r="52">
      <c r="A52" s="24">
        <f>INT(TEXT(IF(LEFT(B52,1)="c",1,2)&amp;MID(B52,2,3),"000")&amp;TEXT(C52,"00"))</f>
        <v/>
      </c>
      <c r="B52" s="23" t="inlineStr">
        <is>
          <t>m258</t>
        </is>
      </c>
      <c r="C52" s="25" t="n">
        <v>4</v>
      </c>
      <c r="D52" s="25" t="inlineStr">
        <is>
          <t>a</t>
        </is>
      </c>
      <c r="E52" s="68">
        <f>_xlfn.XLOOKUP(A52,'Detail&lt;Monster&gt;'!C:C,'Detail&lt;Monster&gt;'!A:A)</f>
        <v/>
      </c>
      <c r="F52" s="23" t="inlineStr">
        <is>
          <t>pixie</t>
        </is>
      </c>
      <c r="G52" s="23" t="inlineStr">
        <is>
          <t>Base</t>
        </is>
      </c>
      <c r="H52" s="23" t="inlineStr">
        <is>
          <t>픽시-광</t>
        </is>
      </c>
      <c r="J52" s="68">
        <f>$B52&amp;"_"&amp;TEXT($C52,"00")&amp;"_F"</f>
        <v/>
      </c>
      <c r="K52" s="68">
        <f>$B52&amp;"_"&amp;TEXT($C52,"00")&amp;"_L"</f>
        <v/>
      </c>
      <c r="L52" s="68">
        <f>LEFT(J52, 7)&amp;"_Desc"</f>
        <v/>
      </c>
      <c r="M52" s="68">
        <f>$B52&amp;"_"&amp;TEXT($C52,"00")&amp;"_CV"</f>
        <v/>
      </c>
      <c r="N52" s="68">
        <f>LEFT(J52, 7)&amp;"_ci_F"</f>
        <v/>
      </c>
      <c r="O52" s="68" t="inlineStr">
        <is>
          <t>CharacterIcon</t>
        </is>
      </c>
      <c r="P52" s="68">
        <f>B52&amp;"_"&amp;TEXT(C52,"00")&amp;"_p"</f>
        <v/>
      </c>
      <c r="Q52" s="68" t="inlineStr">
        <is>
          <t>CharacterPortrait</t>
        </is>
      </c>
      <c r="T52" s="68">
        <f>B52&amp;"_"&amp;D52&amp;"_SkeletonData.asset"</f>
        <v/>
      </c>
      <c r="U52" s="68">
        <f>B52&amp;"_"&amp;TEXT(C52,"00")&amp;"_"&amp;D52</f>
        <v/>
      </c>
      <c r="V52" s="68">
        <f>B52&amp;"/"&amp;B52&amp;"_"&amp;TEXT(C52,"00")&amp;".png"</f>
        <v/>
      </c>
      <c r="W52" s="68" t="inlineStr">
        <is>
          <t>Normal</t>
        </is>
      </c>
      <c r="X52" s="1" t="n">
        <v>1841031</v>
      </c>
      <c r="Y52" s="68" t="inlineStr">
        <is>
          <t>Active</t>
        </is>
      </c>
      <c r="Z52" s="68" t="n">
        <v>2841031</v>
      </c>
      <c r="AA52" s="68" t="inlineStr">
        <is>
          <t>Ultimate</t>
        </is>
      </c>
      <c r="AB52" s="1" t="n">
        <v>3841031</v>
      </c>
      <c r="AC52" s="68" t="inlineStr">
        <is>
          <t>Passive</t>
        </is>
      </c>
      <c r="AD52" s="68" t="n">
        <v>0</v>
      </c>
    </row>
    <row r="53">
      <c r="A53" s="24">
        <f>INT(TEXT(IF(LEFT(B53,1)="c",1,2)&amp;MID(B53,2,3),"000")&amp;TEXT(C53,"00"))</f>
        <v/>
      </c>
      <c r="B53" s="23" t="inlineStr">
        <is>
          <t>m258</t>
        </is>
      </c>
      <c r="C53" s="25" t="n">
        <v>5</v>
      </c>
      <c r="D53" s="25" t="inlineStr">
        <is>
          <t>a</t>
        </is>
      </c>
      <c r="E53" s="68">
        <f>_xlfn.XLOOKUP(A53,'Detail&lt;Monster&gt;'!C:C,'Detail&lt;Monster&gt;'!A:A)</f>
        <v/>
      </c>
      <c r="F53" s="23" t="inlineStr">
        <is>
          <t>pixie</t>
        </is>
      </c>
      <c r="G53" s="23" t="inlineStr">
        <is>
          <t>Base</t>
        </is>
      </c>
      <c r="H53" s="23" t="inlineStr">
        <is>
          <t>픽시-암</t>
        </is>
      </c>
      <c r="J53" s="68">
        <f>$B53&amp;"_"&amp;TEXT($C53,"00")&amp;"_F"</f>
        <v/>
      </c>
      <c r="K53" s="68">
        <f>$B53&amp;"_"&amp;TEXT($C53,"00")&amp;"_L"</f>
        <v/>
      </c>
      <c r="L53" s="68">
        <f>LEFT(J53, 7)&amp;"_Desc"</f>
        <v/>
      </c>
      <c r="M53" s="68">
        <f>$B53&amp;"_"&amp;TEXT($C53,"00")&amp;"_CV"</f>
        <v/>
      </c>
      <c r="N53" s="68">
        <f>LEFT(J53, 7)&amp;"_ci_F"</f>
        <v/>
      </c>
      <c r="O53" s="68" t="inlineStr">
        <is>
          <t>CharacterIcon</t>
        </is>
      </c>
      <c r="P53" s="68">
        <f>B53&amp;"_"&amp;TEXT(C53,"00")&amp;"_p"</f>
        <v/>
      </c>
      <c r="Q53" s="68" t="inlineStr">
        <is>
          <t>CharacterPortrait</t>
        </is>
      </c>
      <c r="T53" s="68">
        <f>B53&amp;"_"&amp;D53&amp;"_SkeletonData.asset"</f>
        <v/>
      </c>
      <c r="U53" s="68">
        <f>B53&amp;"_"&amp;TEXT(C53,"00")&amp;"_"&amp;D53</f>
        <v/>
      </c>
      <c r="V53" s="68">
        <f>B53&amp;"/"&amp;B53&amp;"_"&amp;TEXT(C53,"00")&amp;".png"</f>
        <v/>
      </c>
      <c r="W53" s="68" t="inlineStr">
        <is>
          <t>Normal</t>
        </is>
      </c>
      <c r="X53" s="1" t="n">
        <v>1851031</v>
      </c>
      <c r="Y53" s="68" t="inlineStr">
        <is>
          <t>Active</t>
        </is>
      </c>
      <c r="Z53" s="68" t="n">
        <v>2851031</v>
      </c>
      <c r="AA53" s="68" t="inlineStr">
        <is>
          <t>Ultimate</t>
        </is>
      </c>
      <c r="AB53" s="1" t="n">
        <v>3851031</v>
      </c>
      <c r="AC53" s="68" t="inlineStr">
        <is>
          <t>Passive</t>
        </is>
      </c>
      <c r="AD53" s="68" t="n">
        <v>0</v>
      </c>
    </row>
    <row r="54">
      <c r="A54" s="24">
        <f>INT(TEXT(IF(LEFT(B54,1)="c",1,2)&amp;MID(B54,2,3),"000")&amp;TEXT(C54,"00"))</f>
        <v/>
      </c>
      <c r="B54" s="23" t="inlineStr">
        <is>
          <t>m038</t>
        </is>
      </c>
      <c r="C54" s="25" t="n">
        <v>1</v>
      </c>
      <c r="D54" s="25" t="inlineStr">
        <is>
          <t>a</t>
        </is>
      </c>
      <c r="E54" s="68">
        <f>_xlfn.XLOOKUP(A54,'Detail&lt;Monster&gt;'!C:C,'Detail&lt;Monster&gt;'!A:A)</f>
        <v/>
      </c>
      <c r="F54" s="23" t="inlineStr">
        <is>
          <t>diablo</t>
        </is>
      </c>
      <c r="G54" s="23" t="inlineStr">
        <is>
          <t>Base</t>
        </is>
      </c>
      <c r="H54" s="23" t="inlineStr">
        <is>
          <t>디아블로</t>
        </is>
      </c>
      <c r="J54" s="68">
        <f>$B54&amp;"_"&amp;TEXT($C54,"00")&amp;"_F"</f>
        <v/>
      </c>
      <c r="K54" s="68">
        <f>$B54&amp;"_"&amp;TEXT($C54,"00")&amp;"_L"</f>
        <v/>
      </c>
      <c r="L54" s="68">
        <f>LEFT(J54, 7)&amp;"_Desc"</f>
        <v/>
      </c>
      <c r="M54" s="68">
        <f>$B54&amp;"_"&amp;TEXT($C54,"00")&amp;"_CV"</f>
        <v/>
      </c>
      <c r="N54" s="68">
        <f>LEFT(J54, 7)&amp;"_ci_F"</f>
        <v/>
      </c>
      <c r="O54" s="68" t="inlineStr">
        <is>
          <t>CharacterIcon</t>
        </is>
      </c>
      <c r="P54" s="68">
        <f>B54&amp;"_"&amp;TEXT(C54,"00")&amp;"_p"</f>
        <v/>
      </c>
      <c r="Q54" s="68" t="inlineStr">
        <is>
          <t>CharacterPortrait</t>
        </is>
      </c>
      <c r="T54" s="68">
        <f>B54&amp;"_"&amp;D54&amp;"_SkeletonData.asset"</f>
        <v/>
      </c>
      <c r="U54" s="68">
        <f>B54&amp;"_"&amp;TEXT(C54,"00")&amp;"_"&amp;D54</f>
        <v/>
      </c>
      <c r="V54" s="68">
        <f>B54&amp;"/"&amp;B54&amp;"_"&amp;TEXT(C54,"00")&amp;".png"</f>
        <v/>
      </c>
      <c r="W54" s="68" t="inlineStr">
        <is>
          <t>Normal</t>
        </is>
      </c>
      <c r="X54" s="1" t="n">
        <v>1942011</v>
      </c>
      <c r="Y54" s="68" t="inlineStr">
        <is>
          <t>Active</t>
        </is>
      </c>
      <c r="Z54" s="68" t="n">
        <v>0</v>
      </c>
      <c r="AA54" s="68" t="inlineStr">
        <is>
          <t>Ultimate</t>
        </is>
      </c>
      <c r="AB54" s="1" t="n">
        <v>3942011</v>
      </c>
      <c r="AC54" s="68" t="inlineStr">
        <is>
          <t>Passive</t>
        </is>
      </c>
      <c r="AD54" s="68" t="n">
        <v>0</v>
      </c>
    </row>
    <row r="55">
      <c r="A55" s="24">
        <f>INT(TEXT(IF(LEFT(B55,1)="c",1,2)&amp;MID(B55,2,3),"000")&amp;TEXT(C55,"00"))</f>
        <v/>
      </c>
      <c r="B55" s="23" t="inlineStr">
        <is>
          <t>m013</t>
        </is>
      </c>
      <c r="C55" s="25" t="n">
        <v>1</v>
      </c>
      <c r="D55" s="25" t="inlineStr">
        <is>
          <t>a</t>
        </is>
      </c>
      <c r="E55" s="68">
        <f>_xlfn.XLOOKUP(A55,'Detail&lt;Monster&gt;'!C:C,'Detail&lt;Monster&gt;'!A:A)</f>
        <v/>
      </c>
      <c r="F55" s="23" t="inlineStr">
        <is>
          <t>Teddy</t>
        </is>
      </c>
      <c r="G55" s="23" t="inlineStr">
        <is>
          <t>Base</t>
        </is>
      </c>
      <c r="H55" s="23" t="inlineStr">
        <is>
          <t>봉제인형</t>
        </is>
      </c>
      <c r="J55" s="68">
        <f>$B55&amp;"_"&amp;TEXT($C55,"00")&amp;"_F"</f>
        <v/>
      </c>
      <c r="K55" s="68">
        <f>$B55&amp;"_"&amp;TEXT($C55,"00")&amp;"_L"</f>
        <v/>
      </c>
      <c r="L55" s="68">
        <f>LEFT(J55, 7)&amp;"_Desc"</f>
        <v/>
      </c>
      <c r="M55" s="68">
        <f>$B55&amp;"_"&amp;TEXT($C55,"00")&amp;"_CV"</f>
        <v/>
      </c>
      <c r="N55" s="68">
        <f>LEFT(J55, 7)&amp;"_ci_F"</f>
        <v/>
      </c>
      <c r="O55" s="68" t="inlineStr">
        <is>
          <t>CharacterIcon</t>
        </is>
      </c>
      <c r="P55" s="68">
        <f>B55&amp;"_"&amp;TEXT(C55,"00")&amp;"_p"</f>
        <v/>
      </c>
      <c r="Q55" s="68" t="inlineStr">
        <is>
          <t>CharacterPortrait</t>
        </is>
      </c>
      <c r="T55" s="68">
        <f>B55&amp;"_"&amp;D55&amp;"_SkeletonData.asset"</f>
        <v/>
      </c>
      <c r="U55" s="68">
        <f>B55&amp;"_"&amp;TEXT(C55,"00")&amp;"_"&amp;D55</f>
        <v/>
      </c>
      <c r="V55" s="68">
        <f>B55&amp;"/"&amp;B55&amp;"_"&amp;TEXT(C55,"00")&amp;".png"</f>
        <v/>
      </c>
      <c r="W55" s="68" t="inlineStr">
        <is>
          <t>Normal</t>
        </is>
      </c>
      <c r="X55" s="1" t="n">
        <v>1842051</v>
      </c>
      <c r="Y55" s="68" t="inlineStr">
        <is>
          <t>Active</t>
        </is>
      </c>
      <c r="Z55" s="68" t="n">
        <v>2842051</v>
      </c>
      <c r="AA55" s="68" t="inlineStr">
        <is>
          <t>Ultimate</t>
        </is>
      </c>
      <c r="AB55" s="1" t="n">
        <v>0</v>
      </c>
      <c r="AC55" s="68" t="inlineStr">
        <is>
          <t>Passive</t>
        </is>
      </c>
      <c r="AD55" s="68" t="n">
        <v>0</v>
      </c>
    </row>
    <row r="56">
      <c r="A56" s="24">
        <f>INT(TEXT(IF(LEFT(B56,1)="c",1,2)&amp;MID(B56,2,3),"000")&amp;TEXT(C56,"00"))</f>
        <v/>
      </c>
      <c r="B56" s="23" t="inlineStr">
        <is>
          <t>m040</t>
        </is>
      </c>
      <c r="C56" s="25" t="n">
        <v>1</v>
      </c>
      <c r="D56" s="25" t="inlineStr">
        <is>
          <t>a</t>
        </is>
      </c>
      <c r="E56" s="68">
        <f>_xlfn.XLOOKUP(A56,'Detail&lt;Monster&gt;'!C:C,'Detail&lt;Monster&gt;'!A:A)</f>
        <v/>
      </c>
      <c r="F56" s="23" t="inlineStr">
        <is>
          <t>ChainKiller</t>
        </is>
      </c>
      <c r="G56" s="23" t="inlineStr">
        <is>
          <t>Base</t>
        </is>
      </c>
      <c r="H56" s="23" t="inlineStr">
        <is>
          <t>체인킬러</t>
        </is>
      </c>
      <c r="J56" s="68">
        <f>$B56&amp;"_"&amp;TEXT($C56,"00")&amp;"_F"</f>
        <v/>
      </c>
      <c r="K56" s="68">
        <f>$B56&amp;"_"&amp;TEXT($C56,"00")&amp;"_L"</f>
        <v/>
      </c>
      <c r="L56" s="68">
        <f>LEFT(J56, 7)&amp;"_Desc"</f>
        <v/>
      </c>
      <c r="M56" s="68">
        <f>$B56&amp;"_"&amp;TEXT($C56,"00")&amp;"_CV"</f>
        <v/>
      </c>
      <c r="N56" s="68">
        <f>LEFT(J56, 7)&amp;"_ci_F"</f>
        <v/>
      </c>
      <c r="O56" s="68" t="inlineStr">
        <is>
          <t>CharacterIcon</t>
        </is>
      </c>
      <c r="P56" s="68">
        <f>B56&amp;"_"&amp;TEXT(C56,"00")&amp;"_p"</f>
        <v/>
      </c>
      <c r="Q56" s="68" t="inlineStr">
        <is>
          <t>CharacterPortrait</t>
        </is>
      </c>
      <c r="T56" s="68">
        <f>B56&amp;"_"&amp;D56&amp;"_SkeletonData.asset"</f>
        <v/>
      </c>
      <c r="U56" s="68">
        <f>B56&amp;"_"&amp;TEXT(C56,"00")&amp;"_"&amp;D56</f>
        <v/>
      </c>
      <c r="V56" s="68">
        <f>B56&amp;"/"&amp;B56&amp;"_"&amp;TEXT(C56,"00")&amp;".png"</f>
        <v/>
      </c>
      <c r="W56" s="68" t="inlineStr">
        <is>
          <t>Normal</t>
        </is>
      </c>
      <c r="X56" s="1" t="n">
        <v>1942021</v>
      </c>
      <c r="Y56" s="68" t="inlineStr">
        <is>
          <t>Active</t>
        </is>
      </c>
      <c r="Z56" s="68" t="n">
        <v>0</v>
      </c>
      <c r="AA56" s="68" t="inlineStr">
        <is>
          <t>Ultimate</t>
        </is>
      </c>
      <c r="AB56" s="1" t="n">
        <v>3942021</v>
      </c>
      <c r="AC56" s="68" t="inlineStr">
        <is>
          <t>Passive</t>
        </is>
      </c>
      <c r="AD56" s="68" t="n">
        <v>0</v>
      </c>
    </row>
    <row r="57">
      <c r="A57" s="24">
        <f>INT(TEXT(IF(LEFT(B57,1)="c",1,2)&amp;MID(B57,2,3),"000")&amp;TEXT(C57,"00"))</f>
        <v/>
      </c>
      <c r="B57" s="23" t="inlineStr">
        <is>
          <t>m073</t>
        </is>
      </c>
      <c r="C57" s="25" t="n">
        <v>1</v>
      </c>
      <c r="D57" s="25" t="inlineStr">
        <is>
          <t>a</t>
        </is>
      </c>
      <c r="E57" s="68">
        <f>_xlfn.XLOOKUP(A57,'Detail&lt;Monster&gt;'!C:C,'Detail&lt;Monster&gt;'!A:A)</f>
        <v/>
      </c>
      <c r="F57" s="23" t="inlineStr">
        <is>
          <t>Cube</t>
        </is>
      </c>
      <c r="G57" s="23" t="inlineStr">
        <is>
          <t>Base</t>
        </is>
      </c>
      <c r="H57" s="23" t="inlineStr">
        <is>
          <t>큐브-화</t>
        </is>
      </c>
      <c r="J57" s="68">
        <f>$B57&amp;"_"&amp;TEXT($C57,"00")&amp;"_F"</f>
        <v/>
      </c>
      <c r="K57" s="68">
        <f>$B57&amp;"_"&amp;TEXT($C57,"00")&amp;"_L"</f>
        <v/>
      </c>
      <c r="L57" s="68">
        <f>LEFT(J57, 7)&amp;"_Desc"</f>
        <v/>
      </c>
      <c r="M57" s="68">
        <f>$B57&amp;"_"&amp;TEXT($C57,"00")&amp;"_CV"</f>
        <v/>
      </c>
      <c r="N57" s="68">
        <f>LEFT(J57, 7)&amp;"_ci_F"</f>
        <v/>
      </c>
      <c r="O57" s="68" t="inlineStr">
        <is>
          <t>CharacterIcon</t>
        </is>
      </c>
      <c r="T57" s="68">
        <f>B57&amp;"_"&amp;D57&amp;"_SkeletonData.asset"</f>
        <v/>
      </c>
      <c r="U57" s="68">
        <f>B57&amp;"_"&amp;TEXT(C57,"00")&amp;"_"&amp;D57</f>
        <v/>
      </c>
      <c r="V57" s="68">
        <f>B57&amp;"/"&amp;B57&amp;"_"&amp;TEXT(C57,"00")&amp;".png"</f>
        <v/>
      </c>
      <c r="W57" s="68" t="inlineStr">
        <is>
          <t>Normal</t>
        </is>
      </c>
      <c r="X57" s="1" t="n">
        <v>1811041</v>
      </c>
      <c r="Y57" s="68" t="inlineStr">
        <is>
          <t>Active</t>
        </is>
      </c>
      <c r="Z57" s="68" t="n">
        <v>2811041</v>
      </c>
      <c r="AA57" s="68" t="inlineStr">
        <is>
          <t>Ultimate</t>
        </is>
      </c>
      <c r="AB57" s="1" t="n">
        <v>3811041</v>
      </c>
      <c r="AC57" s="68" t="inlineStr">
        <is>
          <t>Passive</t>
        </is>
      </c>
      <c r="AD57" s="68" t="n">
        <v>0</v>
      </c>
    </row>
    <row r="58">
      <c r="A58" s="24">
        <f>INT(TEXT(IF(LEFT(B58,1)="c",1,2)&amp;MID(B58,2,3),"000")&amp;TEXT(C58,"00"))</f>
        <v/>
      </c>
      <c r="B58" s="23" t="inlineStr">
        <is>
          <t>m073</t>
        </is>
      </c>
      <c r="C58" s="25" t="n">
        <v>2</v>
      </c>
      <c r="D58" s="25" t="inlineStr">
        <is>
          <t>a</t>
        </is>
      </c>
      <c r="E58" s="68">
        <f>_xlfn.XLOOKUP(A58,'Detail&lt;Monster&gt;'!C:C,'Detail&lt;Monster&gt;'!A:A)</f>
        <v/>
      </c>
      <c r="F58" s="23" t="inlineStr">
        <is>
          <t>Cube</t>
        </is>
      </c>
      <c r="G58" s="23" t="inlineStr">
        <is>
          <t>Base</t>
        </is>
      </c>
      <c r="H58" s="23" t="inlineStr">
        <is>
          <t>큐브-수</t>
        </is>
      </c>
      <c r="J58" s="68">
        <f>$B58&amp;"_"&amp;TEXT($C58,"00")&amp;"_F"</f>
        <v/>
      </c>
      <c r="K58" s="68">
        <f>$B58&amp;"_"&amp;TEXT($C58,"00")&amp;"_L"</f>
        <v/>
      </c>
      <c r="L58" s="68">
        <f>LEFT(J58, 7)&amp;"_Desc"</f>
        <v/>
      </c>
      <c r="M58" s="68">
        <f>$B58&amp;"_"&amp;TEXT($C58,"00")&amp;"_CV"</f>
        <v/>
      </c>
      <c r="N58" s="68">
        <f>LEFT(J58, 7)&amp;"_ci_F"</f>
        <v/>
      </c>
      <c r="O58" s="68" t="inlineStr">
        <is>
          <t>CharacterIcon</t>
        </is>
      </c>
      <c r="T58" s="68">
        <f>B58&amp;"_"&amp;D58&amp;"_SkeletonData.asset"</f>
        <v/>
      </c>
      <c r="U58" s="68">
        <f>B58&amp;"_"&amp;TEXT(C58,"00")&amp;"_"&amp;D58</f>
        <v/>
      </c>
      <c r="V58" s="68">
        <f>B58&amp;"/"&amp;B58&amp;"_"&amp;TEXT(C58,"00")&amp;".png"</f>
        <v/>
      </c>
      <c r="W58" s="68" t="inlineStr">
        <is>
          <t>Normal</t>
        </is>
      </c>
      <c r="X58" s="1" t="n">
        <v>1821041</v>
      </c>
      <c r="Y58" s="68" t="inlineStr">
        <is>
          <t>Active</t>
        </is>
      </c>
      <c r="Z58" s="68" t="n">
        <v>2821041</v>
      </c>
      <c r="AA58" s="68" t="inlineStr">
        <is>
          <t>Ultimate</t>
        </is>
      </c>
      <c r="AB58" s="1" t="n">
        <v>3821041</v>
      </c>
      <c r="AC58" s="68" t="inlineStr">
        <is>
          <t>Passive</t>
        </is>
      </c>
      <c r="AD58" s="68" t="n">
        <v>0</v>
      </c>
    </row>
    <row r="59">
      <c r="A59" s="24">
        <f>INT(TEXT(IF(LEFT(B59,1)="c",1,2)&amp;MID(B59,2,3),"000")&amp;TEXT(C59,"00"))</f>
        <v/>
      </c>
      <c r="B59" s="23" t="inlineStr">
        <is>
          <t>m073</t>
        </is>
      </c>
      <c r="C59" s="25" t="n">
        <v>3</v>
      </c>
      <c r="D59" s="25" t="inlineStr">
        <is>
          <t>a</t>
        </is>
      </c>
      <c r="E59" s="68">
        <f>_xlfn.XLOOKUP(A59,'Detail&lt;Monster&gt;'!C:C,'Detail&lt;Monster&gt;'!A:A)</f>
        <v/>
      </c>
      <c r="F59" s="23" t="inlineStr">
        <is>
          <t>Cube</t>
        </is>
      </c>
      <c r="G59" s="23" t="inlineStr">
        <is>
          <t>Base</t>
        </is>
      </c>
      <c r="H59" s="23" t="inlineStr">
        <is>
          <t>큐브-목</t>
        </is>
      </c>
      <c r="J59" s="68">
        <f>$B59&amp;"_"&amp;TEXT($C59,"00")&amp;"_F"</f>
        <v/>
      </c>
      <c r="K59" s="68">
        <f>$B59&amp;"_"&amp;TEXT($C59,"00")&amp;"_L"</f>
        <v/>
      </c>
      <c r="L59" s="68">
        <f>LEFT(J59, 7)&amp;"_Desc"</f>
        <v/>
      </c>
      <c r="M59" s="68">
        <f>$B59&amp;"_"&amp;TEXT($C59,"00")&amp;"_CV"</f>
        <v/>
      </c>
      <c r="N59" s="68">
        <f>LEFT(J59, 7)&amp;"_ci_F"</f>
        <v/>
      </c>
      <c r="O59" s="68" t="inlineStr">
        <is>
          <t>CharacterIcon</t>
        </is>
      </c>
      <c r="T59" s="68">
        <f>B59&amp;"_"&amp;D59&amp;"_SkeletonData.asset"</f>
        <v/>
      </c>
      <c r="U59" s="68">
        <f>B59&amp;"_"&amp;TEXT(C59,"00")&amp;"_"&amp;D59</f>
        <v/>
      </c>
      <c r="V59" s="68">
        <f>B59&amp;"/"&amp;B59&amp;"_"&amp;TEXT(C59,"00")&amp;".png"</f>
        <v/>
      </c>
      <c r="W59" s="68" t="inlineStr">
        <is>
          <t>Normal</t>
        </is>
      </c>
      <c r="X59" s="1" t="n">
        <v>1831041</v>
      </c>
      <c r="Y59" s="68" t="inlineStr">
        <is>
          <t>Active</t>
        </is>
      </c>
      <c r="Z59" s="68" t="n">
        <v>2831041</v>
      </c>
      <c r="AA59" s="68" t="inlineStr">
        <is>
          <t>Ultimate</t>
        </is>
      </c>
      <c r="AB59" s="1" t="n">
        <v>3831041</v>
      </c>
      <c r="AC59" s="68" t="inlineStr">
        <is>
          <t>Passive</t>
        </is>
      </c>
      <c r="AD59" s="68" t="n">
        <v>0</v>
      </c>
    </row>
    <row r="60">
      <c r="A60" s="24">
        <f>INT(TEXT(IF(LEFT(B60,1)="c",1,2)&amp;MID(B60,2,3),"000")&amp;TEXT(C60,"00"))</f>
        <v/>
      </c>
      <c r="B60" s="23" t="inlineStr">
        <is>
          <t>m073</t>
        </is>
      </c>
      <c r="C60" s="25" t="n">
        <v>4</v>
      </c>
      <c r="D60" s="25" t="inlineStr">
        <is>
          <t>a</t>
        </is>
      </c>
      <c r="E60" s="68">
        <f>_xlfn.XLOOKUP(A60,'Detail&lt;Monster&gt;'!C:C,'Detail&lt;Monster&gt;'!A:A)</f>
        <v/>
      </c>
      <c r="F60" s="23" t="inlineStr">
        <is>
          <t>Cube</t>
        </is>
      </c>
      <c r="G60" s="23" t="inlineStr">
        <is>
          <t>Base</t>
        </is>
      </c>
      <c r="H60" s="23" t="inlineStr">
        <is>
          <t>큐브-광</t>
        </is>
      </c>
      <c r="J60" s="68">
        <f>$B60&amp;"_"&amp;TEXT($C60,"00")&amp;"_F"</f>
        <v/>
      </c>
      <c r="K60" s="68">
        <f>$B60&amp;"_"&amp;TEXT($C60,"00")&amp;"_L"</f>
        <v/>
      </c>
      <c r="L60" s="68">
        <f>LEFT(J60, 7)&amp;"_Desc"</f>
        <v/>
      </c>
      <c r="M60" s="68">
        <f>$B60&amp;"_"&amp;TEXT($C60,"00")&amp;"_CV"</f>
        <v/>
      </c>
      <c r="N60" s="68">
        <f>LEFT(J60, 7)&amp;"_ci_F"</f>
        <v/>
      </c>
      <c r="O60" s="68" t="inlineStr">
        <is>
          <t>CharacterIcon</t>
        </is>
      </c>
      <c r="T60" s="68">
        <f>B60&amp;"_"&amp;D60&amp;"_SkeletonData.asset"</f>
        <v/>
      </c>
      <c r="U60" s="68">
        <f>B60&amp;"_"&amp;TEXT(C60,"00")&amp;"_"&amp;D60</f>
        <v/>
      </c>
      <c r="V60" s="68">
        <f>B60&amp;"/"&amp;B60&amp;"_"&amp;TEXT(C60,"00")&amp;".png"</f>
        <v/>
      </c>
      <c r="W60" s="68" t="inlineStr">
        <is>
          <t>Normal</t>
        </is>
      </c>
      <c r="X60" s="1" t="n">
        <v>1841041</v>
      </c>
      <c r="Y60" s="68" t="inlineStr">
        <is>
          <t>Active</t>
        </is>
      </c>
      <c r="Z60" s="68" t="n">
        <v>2841041</v>
      </c>
      <c r="AA60" s="68" t="inlineStr">
        <is>
          <t>Ultimate</t>
        </is>
      </c>
      <c r="AB60" s="1" t="n">
        <v>3841041</v>
      </c>
      <c r="AC60" s="68" t="inlineStr">
        <is>
          <t>Passive</t>
        </is>
      </c>
      <c r="AD60" s="68" t="n">
        <v>0</v>
      </c>
    </row>
    <row r="61">
      <c r="A61" s="24">
        <f>INT(TEXT(IF(LEFT(B61,1)="c",1,2)&amp;MID(B61,2,3),"000")&amp;TEXT(C61,"00"))</f>
        <v/>
      </c>
      <c r="B61" s="23" t="inlineStr">
        <is>
          <t>m073</t>
        </is>
      </c>
      <c r="C61" s="25" t="n">
        <v>5</v>
      </c>
      <c r="D61" s="25" t="inlineStr">
        <is>
          <t>a</t>
        </is>
      </c>
      <c r="E61" s="68">
        <f>_xlfn.XLOOKUP(A61,'Detail&lt;Monster&gt;'!C:C,'Detail&lt;Monster&gt;'!A:A)</f>
        <v/>
      </c>
      <c r="F61" s="23" t="inlineStr">
        <is>
          <t>Cube</t>
        </is>
      </c>
      <c r="G61" s="23" t="inlineStr">
        <is>
          <t>Base</t>
        </is>
      </c>
      <c r="H61" s="23" t="inlineStr">
        <is>
          <t>큐브-암</t>
        </is>
      </c>
      <c r="J61" s="68">
        <f>$B61&amp;"_"&amp;TEXT($C61,"00")&amp;"_F"</f>
        <v/>
      </c>
      <c r="K61" s="68">
        <f>$B61&amp;"_"&amp;TEXT($C61,"00")&amp;"_L"</f>
        <v/>
      </c>
      <c r="L61" s="68">
        <f>LEFT(J61, 7)&amp;"_Desc"</f>
        <v/>
      </c>
      <c r="M61" s="68">
        <f>$B61&amp;"_"&amp;TEXT($C61,"00")&amp;"_CV"</f>
        <v/>
      </c>
      <c r="N61" s="68">
        <f>LEFT(J61, 7)&amp;"_ci_F"</f>
        <v/>
      </c>
      <c r="O61" s="68" t="inlineStr">
        <is>
          <t>CharacterIcon</t>
        </is>
      </c>
      <c r="T61" s="68">
        <f>B61&amp;"_"&amp;D61&amp;"_SkeletonData.asset"</f>
        <v/>
      </c>
      <c r="U61" s="68">
        <f>B61&amp;"_"&amp;TEXT(C61,"00")&amp;"_"&amp;D61</f>
        <v/>
      </c>
      <c r="V61" s="68">
        <f>B61&amp;"/"&amp;B61&amp;"_"&amp;TEXT(C61,"00")&amp;".png"</f>
        <v/>
      </c>
      <c r="W61" s="68" t="inlineStr">
        <is>
          <t>Normal</t>
        </is>
      </c>
      <c r="X61" s="1" t="n">
        <v>1851041</v>
      </c>
      <c r="Y61" s="68" t="inlineStr">
        <is>
          <t>Active</t>
        </is>
      </c>
      <c r="Z61" s="68" t="n">
        <v>2851041</v>
      </c>
      <c r="AA61" s="68" t="inlineStr">
        <is>
          <t>Ultimate</t>
        </is>
      </c>
      <c r="AB61" s="1" t="n">
        <v>3851041</v>
      </c>
      <c r="AC61" s="68" t="inlineStr">
        <is>
          <t>Passive</t>
        </is>
      </c>
      <c r="AD61" s="68" t="n">
        <v>0</v>
      </c>
    </row>
    <row r="62">
      <c r="A62" s="24">
        <f>INT(TEXT(IF(LEFT(B62,1)="c",1,2)&amp;MID(B62,2,3),"000")&amp;TEXT(C62,"00"))</f>
        <v/>
      </c>
      <c r="B62" s="23" t="inlineStr">
        <is>
          <t>m189</t>
        </is>
      </c>
      <c r="C62" s="25" t="n">
        <v>1</v>
      </c>
      <c r="D62" s="25" t="inlineStr">
        <is>
          <t>a</t>
        </is>
      </c>
      <c r="E62" s="68">
        <f>_xlfn.XLOOKUP(A62,'Detail&lt;Monster&gt;'!C:C,'Detail&lt;Monster&gt;'!A:A)</f>
        <v/>
      </c>
      <c r="F62" s="23" t="inlineStr">
        <is>
          <t>Mimic</t>
        </is>
      </c>
      <c r="G62" s="23" t="inlineStr">
        <is>
          <t>Base</t>
        </is>
      </c>
      <c r="H62" s="23" t="inlineStr">
        <is>
          <t>보물상자</t>
        </is>
      </c>
      <c r="J62" s="68">
        <f>$B62&amp;"_"&amp;TEXT($C62,"00")&amp;"_F"</f>
        <v/>
      </c>
      <c r="K62" s="68">
        <f>$B62&amp;"_"&amp;TEXT($C62,"00")&amp;"_L"</f>
        <v/>
      </c>
      <c r="L62" s="68">
        <f>LEFT(J62, 7)&amp;"_Desc"</f>
        <v/>
      </c>
      <c r="M62" s="68">
        <f>$B62&amp;"_"&amp;TEXT($C62,"00")&amp;"_CV"</f>
        <v/>
      </c>
      <c r="N62" s="68">
        <f>LEFT(J62, 7)&amp;"_ci_F"</f>
        <v/>
      </c>
      <c r="O62" s="68" t="inlineStr">
        <is>
          <t>CharacterIcon</t>
        </is>
      </c>
      <c r="P62" s="68">
        <f>B62&amp;"_"&amp;TEXT(C62,"00")&amp;"_p"</f>
        <v/>
      </c>
      <c r="Q62" s="68" t="inlineStr">
        <is>
          <t>CharacterPortrait</t>
        </is>
      </c>
      <c r="T62" s="68">
        <f>B62&amp;"_"&amp;D62&amp;"_SkeletonData.asset"</f>
        <v/>
      </c>
      <c r="U62" s="68">
        <f>B62&amp;"_"&amp;TEXT(C62,"00")&amp;"_"&amp;D62</f>
        <v/>
      </c>
      <c r="V62" s="68">
        <f>B62&amp;"/"&amp;B62&amp;"_"&amp;TEXT(C62,"00")&amp;".png"</f>
        <v/>
      </c>
      <c r="W62" s="68" t="inlineStr">
        <is>
          <t>Normal</t>
        </is>
      </c>
      <c r="X62" s="1" t="n">
        <v>1842061</v>
      </c>
      <c r="Y62" s="68" t="inlineStr">
        <is>
          <t>Active</t>
        </is>
      </c>
      <c r="Z62" s="68" t="n">
        <v>2842061</v>
      </c>
      <c r="AA62" s="68" t="inlineStr">
        <is>
          <t>Ultimate</t>
        </is>
      </c>
      <c r="AB62" s="1" t="n">
        <v>0</v>
      </c>
      <c r="AC62" s="68" t="inlineStr">
        <is>
          <t>Passive</t>
        </is>
      </c>
      <c r="AD62" s="68" t="n">
        <v>0</v>
      </c>
    </row>
    <row r="63">
      <c r="A63" s="24">
        <f>INT(TEXT(IF(LEFT(B63,1)="c",1,2)&amp;MID(B63,2,3),"000")&amp;TEXT(C63,"00"))</f>
        <v/>
      </c>
      <c r="B63" s="23" t="inlineStr">
        <is>
          <t>m051</t>
        </is>
      </c>
      <c r="C63" s="25" t="n">
        <v>1</v>
      </c>
      <c r="D63" s="25" t="inlineStr">
        <is>
          <t>a</t>
        </is>
      </c>
      <c r="E63" s="68">
        <f>_xlfn.XLOOKUP(A63,'Detail&lt;Monster&gt;'!C:C,'Detail&lt;Monster&gt;'!A:A)</f>
        <v/>
      </c>
      <c r="F63" s="23" t="inlineStr">
        <is>
          <t>Hades</t>
        </is>
      </c>
      <c r="G63" s="23" t="inlineStr">
        <is>
          <t>Base</t>
        </is>
      </c>
      <c r="H63" s="23" t="inlineStr">
        <is>
          <t>하데스</t>
        </is>
      </c>
      <c r="J63" s="68">
        <f>$B63&amp;"_"&amp;TEXT($C63,"00")&amp;"_F"</f>
        <v/>
      </c>
      <c r="K63" s="68">
        <f>$B63&amp;"_"&amp;TEXT($C63,"00")&amp;"_L"</f>
        <v/>
      </c>
      <c r="L63" s="68">
        <f>LEFT(J63, 7)&amp;"_Desc"</f>
        <v/>
      </c>
      <c r="M63" s="68">
        <f>$B63&amp;"_"&amp;TEXT($C63,"00")&amp;"_CV"</f>
        <v/>
      </c>
      <c r="N63" s="68">
        <f>LEFT(J63, 7)&amp;"_ci_F"</f>
        <v/>
      </c>
      <c r="O63" s="68" t="inlineStr">
        <is>
          <t>CharacterIcon</t>
        </is>
      </c>
      <c r="P63" s="68">
        <f>B63&amp;"_"&amp;TEXT(C63,"00")&amp;"_p"</f>
        <v/>
      </c>
      <c r="Q63" s="68" t="inlineStr">
        <is>
          <t>CharacterPortrait</t>
        </is>
      </c>
      <c r="T63" s="68">
        <f>B63&amp;"_"&amp;D63&amp;"_SkeletonData.asset"</f>
        <v/>
      </c>
      <c r="U63" s="68">
        <f>B63&amp;"_"&amp;TEXT(C63,"00")&amp;"_"&amp;D63</f>
        <v/>
      </c>
      <c r="V63" s="68">
        <f>B63&amp;"/"&amp;B63&amp;"_"&amp;TEXT(C63,"00")&amp;".png"</f>
        <v/>
      </c>
      <c r="W63" s="68" t="inlineStr">
        <is>
          <t>Normal</t>
        </is>
      </c>
      <c r="X63" s="1" t="n">
        <v>1942031</v>
      </c>
      <c r="Y63" s="68" t="inlineStr">
        <is>
          <t>Active</t>
        </is>
      </c>
      <c r="Z63" s="68" t="n">
        <v>0</v>
      </c>
      <c r="AA63" s="68" t="inlineStr">
        <is>
          <t>Ultimate</t>
        </is>
      </c>
      <c r="AB63" s="1" t="n">
        <v>3942031</v>
      </c>
      <c r="AC63" s="68" t="inlineStr">
        <is>
          <t>Passive</t>
        </is>
      </c>
      <c r="AD63" s="68" t="n">
        <v>0</v>
      </c>
    </row>
    <row r="64">
      <c r="A64" s="24">
        <f>INT(TEXT(IF(LEFT(B64,1)="c",1,2)&amp;MID(B64,2,3),"000")&amp;TEXT(C64,"00"))</f>
        <v/>
      </c>
      <c r="B64" s="23" t="inlineStr">
        <is>
          <t>c224</t>
        </is>
      </c>
      <c r="C64" s="25" t="n">
        <v>1</v>
      </c>
      <c r="D64" s="25" t="inlineStr">
        <is>
          <t>a</t>
        </is>
      </c>
      <c r="E64" s="68">
        <f>_xlfn.XLOOKUP(A64,'Detail&lt;Monster&gt;'!C:C,'Detail&lt;Monster&gt;'!A:A)</f>
        <v/>
      </c>
      <c r="F64" s="23" t="inlineStr">
        <is>
          <t>Loki</t>
        </is>
      </c>
      <c r="G64" s="23" t="inlineStr">
        <is>
          <t>Base</t>
        </is>
      </c>
      <c r="H64" s="23" t="inlineStr">
        <is>
          <t>로키</t>
        </is>
      </c>
      <c r="J64" s="68">
        <f>$B64&amp;"_"&amp;TEXT($C64,"00")&amp;"_F"</f>
        <v/>
      </c>
      <c r="K64" s="68">
        <f>$B64&amp;"_"&amp;TEXT($C64,"00")&amp;"_L"</f>
        <v/>
      </c>
      <c r="L64" s="68">
        <f>LEFT(J64, 7)&amp;"_Desc"</f>
        <v/>
      </c>
      <c r="M64" s="68">
        <f>$B64&amp;"_"&amp;TEXT($C64,"00")&amp;"_CV"</f>
        <v/>
      </c>
      <c r="N64" s="68">
        <f>LEFT(J64, 7)&amp;"_ci_F"</f>
        <v/>
      </c>
      <c r="O64" s="68" t="inlineStr">
        <is>
          <t>CharacterIcon</t>
        </is>
      </c>
      <c r="P64" s="68">
        <f>B64&amp;"_"&amp;TEXT(C64,"00")&amp;"_p"</f>
        <v/>
      </c>
      <c r="Q64" s="68" t="inlineStr">
        <is>
          <t>CharacterPortrait</t>
        </is>
      </c>
      <c r="T64" s="68">
        <f>B64&amp;"_"&amp;D64&amp;"_SkeletonData.asset"</f>
        <v/>
      </c>
      <c r="U64" s="68">
        <f>B64&amp;"_"&amp;TEXT(C64,"00")&amp;"_"&amp;D64</f>
        <v/>
      </c>
      <c r="V64" s="68">
        <f>B64&amp;"/"&amp;B64&amp;"_"&amp;TEXT(C64,"00")&amp;".png"</f>
        <v/>
      </c>
      <c r="W64" s="68" t="inlineStr">
        <is>
          <t>Normal</t>
        </is>
      </c>
      <c r="X64" s="1" t="n">
        <v>1942041</v>
      </c>
      <c r="Y64" s="68" t="inlineStr">
        <is>
          <t>Active</t>
        </is>
      </c>
      <c r="Z64" s="68" t="n">
        <v>0</v>
      </c>
      <c r="AA64" s="68" t="inlineStr">
        <is>
          <t>Ultimate</t>
        </is>
      </c>
      <c r="AB64" s="1" t="n">
        <v>3942041</v>
      </c>
      <c r="AC64" s="68" t="inlineStr">
        <is>
          <t>Passive</t>
        </is>
      </c>
      <c r="AD64" s="68" t="n">
        <v>0</v>
      </c>
    </row>
    <row r="65">
      <c r="A65" s="24">
        <f>INT(TEXT(IF(LEFT(B65,1)="c",1,2)&amp;MID(B65,2,3),"000")&amp;TEXT(C65,"00"))</f>
        <v/>
      </c>
      <c r="B65" s="23" t="inlineStr">
        <is>
          <t>m013</t>
        </is>
      </c>
      <c r="C65" s="25" t="n">
        <v>2</v>
      </c>
      <c r="D65" s="25" t="inlineStr">
        <is>
          <t>a</t>
        </is>
      </c>
      <c r="E65" s="68">
        <f>_xlfn.XLOOKUP(A65,'Detail&lt;Monster&gt;'!C:C,'Detail&lt;Monster&gt;'!A:A)</f>
        <v/>
      </c>
      <c r="F65" s="23" t="inlineStr">
        <is>
          <t>Teddy</t>
        </is>
      </c>
      <c r="G65" s="23" t="inlineStr">
        <is>
          <t>Base</t>
        </is>
      </c>
      <c r="H65" s="23" t="inlineStr">
        <is>
          <t>봉제인형</t>
        </is>
      </c>
      <c r="J65" s="68">
        <f>$B65&amp;"_"&amp;TEXT($C65,"00")&amp;"_F"</f>
        <v/>
      </c>
      <c r="K65" s="68">
        <f>$B65&amp;"_"&amp;TEXT($C65,"00")&amp;"_L"</f>
        <v/>
      </c>
      <c r="L65" s="68">
        <f>LEFT(J65, 7)&amp;"_Desc"</f>
        <v/>
      </c>
      <c r="M65" s="68">
        <f>$B65&amp;"_"&amp;TEXT($C65,"00")&amp;"_CV"</f>
        <v/>
      </c>
      <c r="N65" s="68">
        <f>LEFT(J65, 7)&amp;"_ci_F"</f>
        <v/>
      </c>
      <c r="O65" s="68" t="inlineStr">
        <is>
          <t>CharacterIcon</t>
        </is>
      </c>
      <c r="P65" s="68">
        <f>B65&amp;"_"&amp;TEXT(C65,"00")&amp;"_p"</f>
        <v/>
      </c>
      <c r="Q65" s="68" t="inlineStr">
        <is>
          <t>CharacterPortrait</t>
        </is>
      </c>
      <c r="T65" s="68">
        <f>B65&amp;"_"&amp;D65&amp;"_SkeletonData.asset"</f>
        <v/>
      </c>
      <c r="U65" s="68">
        <f>B65&amp;"_"&amp;TEXT(C65,"00")&amp;"_"&amp;D65</f>
        <v/>
      </c>
      <c r="V65" s="68">
        <f>B65&amp;"/"&amp;B65&amp;"_"&amp;TEXT(C65,"00")&amp;".png"</f>
        <v/>
      </c>
      <c r="W65" s="68" t="inlineStr">
        <is>
          <t>Normal</t>
        </is>
      </c>
      <c r="X65" s="1" t="n">
        <v>1842051</v>
      </c>
      <c r="Y65" s="68" t="inlineStr">
        <is>
          <t>Active</t>
        </is>
      </c>
      <c r="Z65" s="68" t="n">
        <v>2842051</v>
      </c>
      <c r="AA65" s="68" t="inlineStr">
        <is>
          <t>Ultimate</t>
        </is>
      </c>
      <c r="AB65" s="1" t="n">
        <v>0</v>
      </c>
      <c r="AC65" s="68" t="inlineStr">
        <is>
          <t>Passive</t>
        </is>
      </c>
      <c r="AD65" s="68" t="n">
        <v>0</v>
      </c>
    </row>
    <row r="66">
      <c r="A66" s="24" t="n">
        <v>218001</v>
      </c>
      <c r="B66" s="23" t="inlineStr">
        <is>
          <t>c180</t>
        </is>
      </c>
      <c r="C66" s="25" t="n">
        <v>2</v>
      </c>
      <c r="D66" s="25" t="inlineStr">
        <is>
          <t>a</t>
        </is>
      </c>
      <c r="E66" s="68">
        <f>_xlfn.XLOOKUP(A66,'Detail&lt;Monster&gt;'!C:C,'Detail&lt;Monster&gt;'!A:A)</f>
        <v/>
      </c>
      <c r="F66" s="23" t="inlineStr">
        <is>
          <t>Mommon</t>
        </is>
      </c>
      <c r="G66" s="23" t="inlineStr">
        <is>
          <t>Base</t>
        </is>
      </c>
      <c r="H66" s="23" t="inlineStr">
        <is>
          <t>야망의 맘몬</t>
        </is>
      </c>
      <c r="J66" s="68">
        <f>$B66&amp;"_"&amp;TEXT($C66,"00")&amp;"_F"</f>
        <v/>
      </c>
      <c r="K66" s="68">
        <f>$B66&amp;"_"&amp;TEXT($C66,"00")&amp;"_L"</f>
        <v/>
      </c>
      <c r="L66" s="68">
        <f>LEFT(J66, 7)&amp;"_Desc"</f>
        <v/>
      </c>
      <c r="M66" s="68">
        <f>$B66&amp;"_"&amp;TEXT($C66,"00")&amp;"_CV"</f>
        <v/>
      </c>
      <c r="N66" s="68">
        <f>LEFT(J66, 7)&amp;"_ci_F"</f>
        <v/>
      </c>
      <c r="O66" s="68" t="inlineStr">
        <is>
          <t>CharacterIcon</t>
        </is>
      </c>
      <c r="P66" s="68">
        <f>B66&amp;"_"&amp;TEXT(C66,"00")&amp;"_p"</f>
        <v/>
      </c>
      <c r="Q66" s="68" t="inlineStr">
        <is>
          <t>CharacterPortrait</t>
        </is>
      </c>
      <c r="R66" s="68">
        <f>D66&amp;"_"&amp;TEXT(E66,"00")&amp;"_p"</f>
        <v/>
      </c>
      <c r="S66" s="68" t="inlineStr">
        <is>
          <t>CharacterPortrait</t>
        </is>
      </c>
      <c r="T66" s="68">
        <f>B66&amp;"_"&amp;D66&amp;"_SkeletonData.asset"</f>
        <v/>
      </c>
      <c r="U66" s="68">
        <f>B66&amp;"_"&amp;TEXT(C66,"00")&amp;"_"&amp;D66</f>
        <v/>
      </c>
      <c r="V66" s="68">
        <f>B66&amp;"/"&amp;B66&amp;"_"&amp;TEXT(C66,"00")&amp;".png"</f>
        <v/>
      </c>
      <c r="W66" s="68" t="inlineStr">
        <is>
          <t>Normal</t>
        </is>
      </c>
      <c r="X66" s="1" t="n">
        <v>1932071</v>
      </c>
      <c r="Y66" s="68" t="inlineStr">
        <is>
          <t>Active</t>
        </is>
      </c>
      <c r="Z66" s="1" t="n">
        <v>2932071</v>
      </c>
      <c r="AA66" s="68" t="inlineStr">
        <is>
          <t>Ultimate</t>
        </is>
      </c>
      <c r="AB66" s="1" t="n">
        <v>3932079</v>
      </c>
      <c r="AC66" s="68" t="inlineStr">
        <is>
          <t>Passive</t>
        </is>
      </c>
      <c r="AD66" s="1" t="n">
        <v>4932071</v>
      </c>
      <c r="AE66" s="1" t="n"/>
    </row>
    <row r="67">
      <c r="A67" s="24">
        <f>INT(TEXT(IF(LEFT(B67,1)="c",1,2)&amp;MID(B67,2,3),"000")&amp;TEXT(C67,"00"))</f>
        <v/>
      </c>
      <c r="B67" s="23" t="inlineStr">
        <is>
          <t>m054</t>
        </is>
      </c>
      <c r="C67" s="25" t="n">
        <v>1</v>
      </c>
      <c r="D67" s="25" t="inlineStr">
        <is>
          <t>a</t>
        </is>
      </c>
      <c r="E67" s="68">
        <f>_xlfn.XLOOKUP(A67,'Detail&lt;Monster&gt;'!C:C,'Detail&lt;Monster&gt;'!A:A)</f>
        <v/>
      </c>
      <c r="F67" s="23" t="inlineStr">
        <is>
          <t>Gomorrah</t>
        </is>
      </c>
      <c r="G67" s="23" t="inlineStr">
        <is>
          <t>Base</t>
        </is>
      </c>
      <c r="H67" s="23" t="inlineStr">
        <is>
          <t>고모라</t>
        </is>
      </c>
      <c r="J67" s="68">
        <f>$B67&amp;"_"&amp;TEXT($C67,"00")&amp;"_F"</f>
        <v/>
      </c>
      <c r="K67" s="68">
        <f>$B67&amp;"_"&amp;TEXT($C67,"00")&amp;"_L"</f>
        <v/>
      </c>
      <c r="L67" s="68">
        <f>LEFT(J67, 7)&amp;"_Desc"</f>
        <v/>
      </c>
      <c r="M67" s="68">
        <f>$B67&amp;"_"&amp;TEXT($C67,"00")&amp;"_CV"</f>
        <v/>
      </c>
      <c r="N67" s="68">
        <f>LEFT(J67, 7)&amp;"_ci_F"</f>
        <v/>
      </c>
      <c r="O67" s="68" t="inlineStr">
        <is>
          <t>CharacterIcon</t>
        </is>
      </c>
      <c r="P67" s="68">
        <f>B67&amp;"_"&amp;TEXT(C67,"00")&amp;"_p"</f>
        <v/>
      </c>
      <c r="Q67" s="68" t="inlineStr">
        <is>
          <t>CharacterPortrait</t>
        </is>
      </c>
      <c r="T67" s="68">
        <f>B67&amp;"_"&amp;D67&amp;"_SkeletonData.asset"</f>
        <v/>
      </c>
      <c r="U67" s="68">
        <f>B67&amp;"_"&amp;TEXT(C67,"00")&amp;"_"&amp;D67</f>
        <v/>
      </c>
      <c r="V67" s="68">
        <f>B67&amp;"/"&amp;B67&amp;"_"&amp;TEXT(C67,"00")&amp;".png"</f>
        <v/>
      </c>
      <c r="W67" s="68" t="inlineStr">
        <is>
          <t>Normal</t>
        </is>
      </c>
      <c r="X67" s="1" t="n">
        <v>1942051</v>
      </c>
      <c r="Y67" s="68" t="inlineStr">
        <is>
          <t>Active</t>
        </is>
      </c>
      <c r="Z67" s="68" t="n">
        <v>2942051</v>
      </c>
      <c r="AA67" s="68" t="inlineStr">
        <is>
          <t>Ultimate</t>
        </is>
      </c>
      <c r="AB67" s="1" t="n">
        <v>3942051</v>
      </c>
      <c r="AC67" s="68" t="inlineStr">
        <is>
          <t>Passive</t>
        </is>
      </c>
      <c r="AD67" s="68" t="n">
        <v>4942051</v>
      </c>
    </row>
    <row r="68">
      <c r="A68" s="24">
        <f>INT(TEXT(IF(LEFT(B68,1)="c",1,2)&amp;MID(B68,2,3),"000")&amp;TEXT(C68,"00"))</f>
        <v/>
      </c>
      <c r="B68" s="23" t="inlineStr">
        <is>
          <t>m901</t>
        </is>
      </c>
      <c r="C68" s="25" t="n">
        <v>1</v>
      </c>
      <c r="D68" s="25" t="inlineStr">
        <is>
          <t>a</t>
        </is>
      </c>
      <c r="E68" s="68">
        <f>_xlfn.XLOOKUP(A68,'Detail&lt;Monster&gt;'!C:C,'Detail&lt;Monster&gt;'!A:A)</f>
        <v/>
      </c>
      <c r="F68" s="23" t="inlineStr">
        <is>
          <t>Crystal</t>
        </is>
      </c>
      <c r="G68" s="23" t="inlineStr">
        <is>
          <t>Base</t>
        </is>
      </c>
      <c r="H68" s="23" t="inlineStr">
        <is>
          <t>크리스탈</t>
        </is>
      </c>
      <c r="J68" s="68">
        <f>$B68&amp;"_"&amp;TEXT($C68,"00")&amp;"_F"</f>
        <v/>
      </c>
      <c r="K68" s="68">
        <f>$B68&amp;"_"&amp;TEXT($C68,"00")&amp;"_L"</f>
        <v/>
      </c>
      <c r="L68" s="68">
        <f>LEFT(J68, 7)&amp;"_Desc"</f>
        <v/>
      </c>
      <c r="M68" s="68">
        <f>$B68&amp;"_"&amp;TEXT($C68,"00")&amp;"_CV"</f>
        <v/>
      </c>
      <c r="N68" s="68">
        <f>LEFT(J68, 7)&amp;"_ci_F"</f>
        <v/>
      </c>
      <c r="O68" s="68" t="inlineStr">
        <is>
          <t>CharacterIcon</t>
        </is>
      </c>
      <c r="T68" s="68">
        <f>B68&amp;"_"&amp;D68&amp;"_SkeletonData.asset"</f>
        <v/>
      </c>
      <c r="U68" s="68">
        <f>B68&amp;"_"&amp;TEXT(C68,"00")&amp;"_"&amp;D68</f>
        <v/>
      </c>
      <c r="V68" s="68">
        <f>B68&amp;"/"&amp;B68&amp;"_"&amp;TEXT(C68,"00")&amp;".png"</f>
        <v/>
      </c>
      <c r="W68" s="68" t="inlineStr">
        <is>
          <t>Normal</t>
        </is>
      </c>
      <c r="X68" s="1" t="n">
        <v>1966011</v>
      </c>
      <c r="Y68" s="68" t="inlineStr">
        <is>
          <t>Active</t>
        </is>
      </c>
      <c r="Z68" s="68" t="n">
        <v>2966011</v>
      </c>
      <c r="AA68" s="68" t="inlineStr">
        <is>
          <t>Ultimate</t>
        </is>
      </c>
      <c r="AB68" s="1" t="n">
        <v>3966011</v>
      </c>
      <c r="AC68" s="68" t="inlineStr">
        <is>
          <t>Passive</t>
        </is>
      </c>
      <c r="AD68" s="68" t="n">
        <v>4966011</v>
      </c>
    </row>
    <row r="69">
      <c r="A69" s="24">
        <f>INT(TEXT(IF(LEFT(B69,1)="c",1,2)&amp;MID(B69,2,3),"000")&amp;TEXT(C69,"00"))</f>
        <v/>
      </c>
      <c r="B69" s="23" t="inlineStr">
        <is>
          <t>c354</t>
        </is>
      </c>
      <c r="C69" s="62" t="n">
        <v>11</v>
      </c>
      <c r="D69" s="25" t="inlineStr">
        <is>
          <t>a</t>
        </is>
      </c>
      <c r="E69" s="68" t="n">
        <v>13540102</v>
      </c>
      <c r="F69" s="23" t="inlineStr">
        <is>
          <t>Demeter</t>
        </is>
      </c>
      <c r="G69" s="23" t="inlineStr">
        <is>
          <t>Base</t>
        </is>
      </c>
      <c r="H69" s="23" t="inlineStr">
        <is>
          <t>허세의 드미테르</t>
        </is>
      </c>
      <c r="J69" s="68" t="inlineStr">
        <is>
          <t>c010_01_F</t>
        </is>
      </c>
      <c r="K69" s="68" t="inlineStr">
        <is>
          <t>c010_01_L</t>
        </is>
      </c>
      <c r="L69" s="68" t="inlineStr">
        <is>
          <t>c354_01_Desc</t>
        </is>
      </c>
      <c r="M69" s="68">
        <f>$B69&amp;"_"&amp;TEXT($C69,"00")&amp;"_CV"</f>
        <v/>
      </c>
      <c r="N69" s="68" t="inlineStr">
        <is>
          <t>c354_01_ci_F</t>
        </is>
      </c>
      <c r="O69" s="68" t="inlineStr">
        <is>
          <t>CharacterIcon</t>
        </is>
      </c>
      <c r="P69" s="68" t="inlineStr">
        <is>
          <t>c010_01_p</t>
        </is>
      </c>
      <c r="Q69" s="68" t="inlineStr">
        <is>
          <t>CharacterPortrait</t>
        </is>
      </c>
      <c r="R69" s="68" t="inlineStr">
        <is>
          <t>Promotion_c010_01_p</t>
        </is>
      </c>
      <c r="S69" s="68" t="inlineStr">
        <is>
          <t>CharacterPromotion</t>
        </is>
      </c>
      <c r="T69" s="68">
        <f>B69&amp;"_"&amp;D69&amp;"_SkeletonData.asset"</f>
        <v/>
      </c>
      <c r="U69" s="68" t="inlineStr">
        <is>
          <t>c354_01_a</t>
        </is>
      </c>
      <c r="V69" s="68" t="inlineStr">
        <is>
          <t>Naninovel/Characters/c354_01</t>
        </is>
      </c>
      <c r="W69" s="68" t="inlineStr">
        <is>
          <t>Normal</t>
        </is>
      </c>
      <c r="X69" s="1" t="n">
        <v>1513011</v>
      </c>
      <c r="Y69" s="68" t="inlineStr">
        <is>
          <t>Active</t>
        </is>
      </c>
      <c r="Z69" s="1" t="n">
        <v>2513011</v>
      </c>
      <c r="AA69" s="68" t="inlineStr">
        <is>
          <t>Ultimate</t>
        </is>
      </c>
      <c r="AB69" s="1" t="n">
        <v>3513011</v>
      </c>
      <c r="AC69" s="68" t="inlineStr">
        <is>
          <t>Passive</t>
        </is>
      </c>
      <c r="AD69" s="1" t="n">
        <v>4513011</v>
      </c>
      <c r="AE69" s="1" t="n"/>
    </row>
    <row r="70">
      <c r="A70" s="24">
        <f>INT(TEXT(IF(LEFT(B70,1)="c",1,2)&amp;MID(B70,2,3),"000")&amp;TEXT(C70,"00"))</f>
        <v/>
      </c>
      <c r="B70" s="23" t="inlineStr">
        <is>
          <t>c296</t>
        </is>
      </c>
      <c r="C70" s="62" t="n">
        <v>11</v>
      </c>
      <c r="D70" s="25" t="inlineStr">
        <is>
          <t>a</t>
        </is>
      </c>
      <c r="E70" s="68" t="n">
        <v>12960102</v>
      </c>
      <c r="F70" s="23" t="inlineStr">
        <is>
          <t>Hildr</t>
        </is>
      </c>
      <c r="G70" s="23" t="inlineStr">
        <is>
          <t>Base</t>
        </is>
      </c>
      <c r="H70" s="23" t="inlineStr">
        <is>
          <t>건슬링거 힐드</t>
        </is>
      </c>
      <c r="J70" s="68" t="inlineStr">
        <is>
          <t>c296_01_F</t>
        </is>
      </c>
      <c r="K70" s="68" t="inlineStr">
        <is>
          <t>c296_01_L</t>
        </is>
      </c>
      <c r="L70" s="68" t="inlineStr">
        <is>
          <t>c296_01_Desc</t>
        </is>
      </c>
      <c r="M70" s="68">
        <f>$B70&amp;"_"&amp;TEXT($C70,"00")&amp;"_CV"</f>
        <v/>
      </c>
      <c r="N70" s="68" t="inlineStr">
        <is>
          <t>c296_01_ci_F</t>
        </is>
      </c>
      <c r="O70" s="68" t="inlineStr">
        <is>
          <t>CharacterIcon</t>
        </is>
      </c>
      <c r="P70" s="68" t="inlineStr">
        <is>
          <t>c296_01_p</t>
        </is>
      </c>
      <c r="Q70" s="68" t="inlineStr">
        <is>
          <t>CharacterPortrait</t>
        </is>
      </c>
      <c r="R70" s="68" t="inlineStr">
        <is>
          <t>Promotion_c296_01_p</t>
        </is>
      </c>
      <c r="S70" s="68" t="inlineStr">
        <is>
          <t>CharacterPromotion</t>
        </is>
      </c>
      <c r="T70" s="68">
        <f>B70&amp;"_"&amp;D70&amp;"_SkeletonData.asset"</f>
        <v/>
      </c>
      <c r="U70" s="68" t="inlineStr">
        <is>
          <t>c296_01_a</t>
        </is>
      </c>
      <c r="V70" s="68" t="inlineStr">
        <is>
          <t>Naninovel/Characters/c296_01</t>
        </is>
      </c>
      <c r="W70" s="68" t="inlineStr">
        <is>
          <t>Normal</t>
        </is>
      </c>
      <c r="X70" s="1" t="n">
        <v>1541021</v>
      </c>
      <c r="Y70" s="68" t="inlineStr">
        <is>
          <t>Active</t>
        </is>
      </c>
      <c r="Z70" s="1" t="n">
        <v>2541021</v>
      </c>
      <c r="AA70" s="68" t="inlineStr">
        <is>
          <t>Ultimate</t>
        </is>
      </c>
      <c r="AB70" s="1" t="n">
        <v>3541021</v>
      </c>
      <c r="AC70" s="68" t="inlineStr">
        <is>
          <t>Passive</t>
        </is>
      </c>
      <c r="AD70" s="1" t="n">
        <v>4541021</v>
      </c>
      <c r="AE70" s="1" t="n"/>
    </row>
    <row r="71">
      <c r="A71" s="24">
        <f>INT(TEXT(IF(LEFT(B71,1)="c",1,2)&amp;MID(B71,2,3),"000")&amp;TEXT(C71,"00"))</f>
        <v/>
      </c>
      <c r="B71" s="23" t="inlineStr">
        <is>
          <t>c003</t>
        </is>
      </c>
      <c r="C71" s="62" t="n">
        <v>11</v>
      </c>
      <c r="D71" s="25" t="inlineStr">
        <is>
          <t>a</t>
        </is>
      </c>
      <c r="E71" s="68" t="n">
        <v>10030102</v>
      </c>
      <c r="F71" s="23" t="inlineStr">
        <is>
          <t>Davi</t>
        </is>
      </c>
      <c r="G71" s="23" t="inlineStr">
        <is>
          <t>Base</t>
        </is>
      </c>
      <c r="H71" s="23" t="inlineStr">
        <is>
          <t>다비</t>
        </is>
      </c>
      <c r="J71" s="68" t="inlineStr">
        <is>
          <t>c003_01_F</t>
        </is>
      </c>
      <c r="K71" s="68" t="inlineStr">
        <is>
          <t>c003_01_L</t>
        </is>
      </c>
      <c r="L71" s="68" t="inlineStr">
        <is>
          <t>c003_01_Desc</t>
        </is>
      </c>
      <c r="M71" s="68">
        <f>$B71&amp;"_"&amp;TEXT($C71,"00")&amp;"_CV"</f>
        <v/>
      </c>
      <c r="N71" s="68" t="inlineStr">
        <is>
          <t>c003_01_ci_F</t>
        </is>
      </c>
      <c r="O71" s="68" t="inlineStr">
        <is>
          <t>CharacterIcon</t>
        </is>
      </c>
      <c r="P71" s="68" t="inlineStr">
        <is>
          <t>c003_01_p</t>
        </is>
      </c>
      <c r="Q71" s="68" t="inlineStr">
        <is>
          <t>CharacterPortrait</t>
        </is>
      </c>
      <c r="R71" s="68" t="inlineStr">
        <is>
          <t>Promotion_c003_01_p</t>
        </is>
      </c>
      <c r="S71" s="68" t="inlineStr">
        <is>
          <t>CharacterPromotion</t>
        </is>
      </c>
      <c r="T71" s="68">
        <f>B71&amp;"_"&amp;D71&amp;"_SkeletonData.asset"</f>
        <v/>
      </c>
      <c r="U71" s="68" t="inlineStr">
        <is>
          <t>c003_01_a</t>
        </is>
      </c>
      <c r="V71" s="68" t="inlineStr">
        <is>
          <t>Naninovel/Characters/c003_01</t>
        </is>
      </c>
      <c r="W71" s="68" t="inlineStr">
        <is>
          <t>Normal</t>
        </is>
      </c>
      <c r="X71" s="1" t="n">
        <v>1511031</v>
      </c>
      <c r="Y71" s="68" t="inlineStr">
        <is>
          <t>Active</t>
        </is>
      </c>
      <c r="Z71" s="1" t="n">
        <v>2511031</v>
      </c>
      <c r="AA71" s="68" t="inlineStr">
        <is>
          <t>Ultimate</t>
        </is>
      </c>
      <c r="AB71" s="1" t="n">
        <v>3511031</v>
      </c>
      <c r="AC71" s="68" t="inlineStr">
        <is>
          <t>Passive</t>
        </is>
      </c>
      <c r="AD71" s="1" t="n">
        <v>4511031</v>
      </c>
      <c r="AE71" s="1" t="n"/>
    </row>
    <row r="72">
      <c r="A72" s="24">
        <f>INT(TEXT(IF(LEFT(B72,1)="c",1,2)&amp;MID(B72,2,3),"000")&amp;TEXT(C72,"00"))</f>
        <v/>
      </c>
      <c r="B72" s="23" t="inlineStr">
        <is>
          <t>c464</t>
        </is>
      </c>
      <c r="C72" s="62" t="n">
        <v>11</v>
      </c>
      <c r="D72" s="25" t="inlineStr">
        <is>
          <t>a</t>
        </is>
      </c>
      <c r="E72" s="68" t="n">
        <v>14640102</v>
      </c>
      <c r="F72" s="23" t="inlineStr">
        <is>
          <t>Arhat</t>
        </is>
      </c>
      <c r="G72" s="23" t="inlineStr">
        <is>
          <t>Base</t>
        </is>
      </c>
      <c r="H72" s="23" t="inlineStr">
        <is>
          <t>장엄 아라한</t>
        </is>
      </c>
      <c r="J72" s="68" t="inlineStr">
        <is>
          <t>c464_01_F</t>
        </is>
      </c>
      <c r="K72" s="68" t="inlineStr">
        <is>
          <t>c464_01_L</t>
        </is>
      </c>
      <c r="L72" s="68" t="inlineStr">
        <is>
          <t>c464_01_Desc</t>
        </is>
      </c>
      <c r="M72" s="68">
        <f>$B72&amp;"_"&amp;TEXT($C72,"00")&amp;"_CV"</f>
        <v/>
      </c>
      <c r="N72" s="68" t="inlineStr">
        <is>
          <t>c464_01_ci_F</t>
        </is>
      </c>
      <c r="O72" s="68" t="inlineStr">
        <is>
          <t>CharacterIcon</t>
        </is>
      </c>
      <c r="P72" s="68" t="inlineStr">
        <is>
          <t>c464_02_p</t>
        </is>
      </c>
      <c r="Q72" s="68" t="inlineStr">
        <is>
          <t>CharacterPortrait</t>
        </is>
      </c>
      <c r="R72" s="68" t="inlineStr">
        <is>
          <t>Promotion_c464_02_p</t>
        </is>
      </c>
      <c r="S72" s="68" t="inlineStr">
        <is>
          <t>CharacterPromotion</t>
        </is>
      </c>
      <c r="T72" s="68">
        <f>B72&amp;"_"&amp;D72&amp;"_SkeletonData.asset"</f>
        <v/>
      </c>
      <c r="U72" s="68" t="inlineStr">
        <is>
          <t>c464_01_a</t>
        </is>
      </c>
      <c r="V72" s="68" t="inlineStr">
        <is>
          <t>Naninovel/Characters/c464_01</t>
        </is>
      </c>
      <c r="W72" s="68" t="inlineStr">
        <is>
          <t>Normal</t>
        </is>
      </c>
      <c r="X72" s="1" t="n">
        <v>1524041</v>
      </c>
      <c r="Y72" s="68" t="inlineStr">
        <is>
          <t>Active</t>
        </is>
      </c>
      <c r="Z72" s="1" t="n">
        <v>2524041</v>
      </c>
      <c r="AA72" s="68" t="inlineStr">
        <is>
          <t>Ultimate</t>
        </is>
      </c>
      <c r="AB72" s="1" t="n">
        <v>3524041</v>
      </c>
      <c r="AC72" s="68" t="inlineStr">
        <is>
          <t>Passive</t>
        </is>
      </c>
      <c r="AD72" s="1" t="n">
        <v>4524041</v>
      </c>
      <c r="AE72" s="1" t="n"/>
    </row>
    <row r="73">
      <c r="A73" s="24">
        <f>INT(TEXT(IF(LEFT(B73,1)="c",1,2)&amp;MID(B73,2,3),"000")&amp;TEXT(C73,"00"))</f>
        <v/>
      </c>
      <c r="B73" s="23" t="inlineStr">
        <is>
          <t>c353</t>
        </is>
      </c>
      <c r="C73" s="62" t="n">
        <v>11</v>
      </c>
      <c r="D73" s="25" t="inlineStr">
        <is>
          <t>a</t>
        </is>
      </c>
      <c r="E73" s="68" t="n">
        <v>13530102</v>
      </c>
      <c r="F73" s="23" t="inlineStr">
        <is>
          <t>Charlotte</t>
        </is>
      </c>
      <c r="G73" s="23" t="inlineStr">
        <is>
          <t>Base</t>
        </is>
      </c>
      <c r="H73" s="23" t="inlineStr">
        <is>
          <t>철창의 샤를</t>
        </is>
      </c>
      <c r="J73" s="68" t="inlineStr">
        <is>
          <t>c353_01_F</t>
        </is>
      </c>
      <c r="K73" s="68" t="inlineStr">
        <is>
          <t>c353_01_L</t>
        </is>
      </c>
      <c r="L73" s="68" t="inlineStr">
        <is>
          <t>c353_01_Desc</t>
        </is>
      </c>
      <c r="M73" s="68">
        <f>$B73&amp;"_"&amp;TEXT($C73,"00")&amp;"_CV"</f>
        <v/>
      </c>
      <c r="N73" s="68" t="inlineStr">
        <is>
          <t>c353_01_ci_F</t>
        </is>
      </c>
      <c r="O73" s="68" t="inlineStr">
        <is>
          <t>CharacterIcon</t>
        </is>
      </c>
      <c r="P73" s="68" t="inlineStr">
        <is>
          <t>c353_01_p</t>
        </is>
      </c>
      <c r="Q73" s="68" t="inlineStr">
        <is>
          <t>CharacterPortrait</t>
        </is>
      </c>
      <c r="R73" s="68" t="inlineStr">
        <is>
          <t>Promotion_c353_01_p</t>
        </is>
      </c>
      <c r="S73" s="68" t="inlineStr">
        <is>
          <t>CharacterPromotion</t>
        </is>
      </c>
      <c r="T73" s="68">
        <f>B73&amp;"_"&amp;D73&amp;"_SkeletonData.asset"</f>
        <v/>
      </c>
      <c r="U73" s="68" t="inlineStr">
        <is>
          <t>c353_01_a</t>
        </is>
      </c>
      <c r="V73" s="68" t="inlineStr">
        <is>
          <t>Naninovel/Characters/c353_01</t>
        </is>
      </c>
      <c r="W73" s="68" t="inlineStr">
        <is>
          <t>Normal</t>
        </is>
      </c>
      <c r="X73" s="1" t="n">
        <v>1542051</v>
      </c>
      <c r="Y73" s="68" t="inlineStr">
        <is>
          <t>Active</t>
        </is>
      </c>
      <c r="Z73" s="1" t="n">
        <v>2542051</v>
      </c>
      <c r="AA73" s="68" t="inlineStr">
        <is>
          <t>Ultimate</t>
        </is>
      </c>
      <c r="AB73" s="1" t="n">
        <v>3542051</v>
      </c>
      <c r="AC73" s="68" t="inlineStr">
        <is>
          <t>Passive</t>
        </is>
      </c>
      <c r="AD73" s="1" t="n">
        <v>4542051</v>
      </c>
      <c r="AE73" s="1" t="n"/>
    </row>
    <row r="74">
      <c r="A74" s="24">
        <f>INT(TEXT(IF(LEFT(B74,1)="c",1,2)&amp;MID(B74,2,3),"000")&amp;TEXT(C74,"00"))</f>
        <v/>
      </c>
      <c r="B74" s="23" t="inlineStr">
        <is>
          <t>c229</t>
        </is>
      </c>
      <c r="C74" s="62" t="n">
        <v>11</v>
      </c>
      <c r="D74" s="25" t="inlineStr">
        <is>
          <t>a</t>
        </is>
      </c>
      <c r="E74" s="68" t="n">
        <v>12290102</v>
      </c>
      <c r="F74" s="23" t="inlineStr">
        <is>
          <t>Brownie</t>
        </is>
      </c>
      <c r="G74" s="23" t="inlineStr">
        <is>
          <t>Base</t>
        </is>
      </c>
      <c r="H74" s="23" t="inlineStr">
        <is>
          <t>소식통 브라우니</t>
        </is>
      </c>
      <c r="J74" s="68" t="inlineStr">
        <is>
          <t>c229_01_F</t>
        </is>
      </c>
      <c r="K74" s="68" t="inlineStr">
        <is>
          <t>c229_01_L</t>
        </is>
      </c>
      <c r="L74" s="68" t="inlineStr">
        <is>
          <t>c229_01_Desc</t>
        </is>
      </c>
      <c r="M74" s="68">
        <f>$B74&amp;"_"&amp;TEXT($C74,"00")&amp;"_CV"</f>
        <v/>
      </c>
      <c r="N74" s="68" t="inlineStr">
        <is>
          <t>c229_01_ci_F</t>
        </is>
      </c>
      <c r="O74" s="68" t="inlineStr">
        <is>
          <t>CharacterIcon</t>
        </is>
      </c>
      <c r="P74" s="68" t="inlineStr">
        <is>
          <t>c229_01_p</t>
        </is>
      </c>
      <c r="Q74" s="68" t="inlineStr">
        <is>
          <t>CharacterPortrait</t>
        </is>
      </c>
      <c r="R74" s="68" t="inlineStr">
        <is>
          <t>Promotion_c229_01_p</t>
        </is>
      </c>
      <c r="S74" s="68" t="inlineStr">
        <is>
          <t>CharacterPromotion</t>
        </is>
      </c>
      <c r="T74" s="68">
        <f>B74&amp;"_"&amp;D74&amp;"_SkeletonData.asset"</f>
        <v/>
      </c>
      <c r="U74" s="68" t="inlineStr">
        <is>
          <t>c229_01_a</t>
        </is>
      </c>
      <c r="V74" s="68" t="inlineStr">
        <is>
          <t>Naninovel/Characters/c229_01</t>
        </is>
      </c>
      <c r="W74" s="68" t="inlineStr">
        <is>
          <t>Normal</t>
        </is>
      </c>
      <c r="X74" s="1" t="n">
        <v>1534061</v>
      </c>
      <c r="Y74" s="68" t="inlineStr">
        <is>
          <t>Active</t>
        </is>
      </c>
      <c r="Z74" s="1" t="n">
        <v>2534061</v>
      </c>
      <c r="AA74" s="68" t="inlineStr">
        <is>
          <t>Ultimate</t>
        </is>
      </c>
      <c r="AB74" s="1" t="n">
        <v>3534061</v>
      </c>
      <c r="AC74" s="68" t="inlineStr">
        <is>
          <t>Passive</t>
        </is>
      </c>
      <c r="AD74" s="1" t="n">
        <v>4534061</v>
      </c>
      <c r="AE74" s="1" t="n"/>
    </row>
    <row r="75">
      <c r="A75" s="24">
        <f>INT(TEXT(IF(LEFT(B75,1)="c",1,2)&amp;MID(B75,2,3),"000")&amp;TEXT(C75,"00"))</f>
        <v/>
      </c>
      <c r="B75" s="23" t="inlineStr">
        <is>
          <t>c180</t>
        </is>
      </c>
      <c r="C75" s="62" t="n">
        <v>11</v>
      </c>
      <c r="D75" s="25" t="inlineStr">
        <is>
          <t>a</t>
        </is>
      </c>
      <c r="E75" s="68" t="n">
        <v>11800102</v>
      </c>
      <c r="F75" s="23" t="inlineStr">
        <is>
          <t>Mommon</t>
        </is>
      </c>
      <c r="G75" s="23" t="inlineStr">
        <is>
          <t>Base</t>
        </is>
      </c>
      <c r="H75" s="23" t="inlineStr">
        <is>
          <t>야망의 맘몬</t>
        </is>
      </c>
      <c r="J75" s="68" t="inlineStr">
        <is>
          <t>c180_01_F</t>
        </is>
      </c>
      <c r="K75" s="68" t="inlineStr">
        <is>
          <t>c180_01_L</t>
        </is>
      </c>
      <c r="L75" s="68" t="inlineStr">
        <is>
          <t>c180_01_Desc</t>
        </is>
      </c>
      <c r="M75" s="68">
        <f>$B75&amp;"_"&amp;TEXT($C75,"00")&amp;"_CV"</f>
        <v/>
      </c>
      <c r="N75" s="68" t="inlineStr">
        <is>
          <t>c180_01_ci_F</t>
        </is>
      </c>
      <c r="O75" s="68" t="inlineStr">
        <is>
          <t>CharacterIcon</t>
        </is>
      </c>
      <c r="P75" s="68" t="inlineStr">
        <is>
          <t>c180_01_p</t>
        </is>
      </c>
      <c r="Q75" s="68" t="inlineStr">
        <is>
          <t>CharacterPortrait</t>
        </is>
      </c>
      <c r="R75" s="68" t="inlineStr">
        <is>
          <t>Promotion_c180_01_p</t>
        </is>
      </c>
      <c r="S75" s="68" t="inlineStr">
        <is>
          <t>CharacterPromotion</t>
        </is>
      </c>
      <c r="T75" s="68">
        <f>B75&amp;"_"&amp;D75&amp;"_SkeletonData.asset"</f>
        <v/>
      </c>
      <c r="U75" s="68" t="inlineStr">
        <is>
          <t>c180_01_a</t>
        </is>
      </c>
      <c r="V75" s="68" t="inlineStr">
        <is>
          <t>Naninovel/Characters/c180_01</t>
        </is>
      </c>
      <c r="W75" s="68" t="inlineStr">
        <is>
          <t>Normal</t>
        </is>
      </c>
      <c r="X75" s="1" t="n">
        <v>1532071</v>
      </c>
      <c r="Y75" s="68" t="inlineStr">
        <is>
          <t>Active</t>
        </is>
      </c>
      <c r="Z75" s="1" t="n">
        <v>2532071</v>
      </c>
      <c r="AA75" s="68" t="inlineStr">
        <is>
          <t>Ultimate</t>
        </is>
      </c>
      <c r="AB75" s="1" t="n">
        <v>3532071</v>
      </c>
      <c r="AC75" s="68" t="inlineStr">
        <is>
          <t>Passive</t>
        </is>
      </c>
      <c r="AD75" s="1" t="n">
        <v>4532071</v>
      </c>
      <c r="AE75" s="1" t="n"/>
    </row>
    <row r="76">
      <c r="A76" s="24">
        <f>INT(TEXT(IF(LEFT(B76,1)="c",1,2)&amp;MID(B76,2,3),"000")&amp;TEXT(C76,"00"))</f>
        <v/>
      </c>
      <c r="B76" s="23" t="inlineStr">
        <is>
          <t>c183</t>
        </is>
      </c>
      <c r="C76" s="62" t="n">
        <v>11</v>
      </c>
      <c r="D76" s="25" t="inlineStr">
        <is>
          <t>a</t>
        </is>
      </c>
      <c r="E76" s="68" t="n">
        <v>11830102</v>
      </c>
      <c r="F76" s="23" t="inlineStr">
        <is>
          <t>Dana</t>
        </is>
      </c>
      <c r="G76" s="23" t="inlineStr">
        <is>
          <t>Base</t>
        </is>
      </c>
      <c r="H76" s="23" t="inlineStr">
        <is>
          <t>설교하는 다나</t>
        </is>
      </c>
      <c r="J76" s="68" t="inlineStr">
        <is>
          <t>c183_01_F</t>
        </is>
      </c>
      <c r="K76" s="68" t="inlineStr">
        <is>
          <t>c183_01_L</t>
        </is>
      </c>
      <c r="L76" s="68" t="inlineStr">
        <is>
          <t>c183_01_Desc</t>
        </is>
      </c>
      <c r="M76" s="68">
        <f>$B76&amp;"_"&amp;TEXT($C76,"00")&amp;"_CV"</f>
        <v/>
      </c>
      <c r="N76" s="68" t="inlineStr">
        <is>
          <t>c183_01_ci_F</t>
        </is>
      </c>
      <c r="O76" s="68" t="inlineStr">
        <is>
          <t>CharacterIcon</t>
        </is>
      </c>
      <c r="P76" s="68" t="inlineStr">
        <is>
          <t>c183_01_p</t>
        </is>
      </c>
      <c r="Q76" s="68" t="inlineStr">
        <is>
          <t>CharacterPortrait</t>
        </is>
      </c>
      <c r="R76" s="68" t="inlineStr">
        <is>
          <t>Promotion_c183_01_p</t>
        </is>
      </c>
      <c r="S76" s="68" t="inlineStr">
        <is>
          <t>CharacterPromotion</t>
        </is>
      </c>
      <c r="T76" s="68">
        <f>B76&amp;"_"&amp;D76&amp;"_SkeletonData.asset"</f>
        <v/>
      </c>
      <c r="U76" s="68" t="inlineStr">
        <is>
          <t>c183_01_a</t>
        </is>
      </c>
      <c r="V76" s="68" t="inlineStr">
        <is>
          <t>Naninovel/Characters/c183_01</t>
        </is>
      </c>
      <c r="W76" s="68" t="inlineStr">
        <is>
          <t>Normal</t>
        </is>
      </c>
      <c r="X76" s="1" t="n">
        <v>1555081</v>
      </c>
      <c r="Y76" s="68" t="inlineStr">
        <is>
          <t>Active</t>
        </is>
      </c>
      <c r="Z76" s="1" t="n">
        <v>2555081</v>
      </c>
      <c r="AA76" s="68" t="inlineStr">
        <is>
          <t>Ultimate</t>
        </is>
      </c>
      <c r="AB76" s="1" t="n">
        <v>3555081</v>
      </c>
      <c r="AC76" s="68" t="inlineStr">
        <is>
          <t>Passive</t>
        </is>
      </c>
      <c r="AD76" s="1" t="n">
        <v>4555081</v>
      </c>
      <c r="AE76" s="1" t="n"/>
    </row>
    <row r="77">
      <c r="A77" s="24">
        <f>INT(TEXT(IF(LEFT(B77,1)="c",1,2)&amp;MID(B77,2,3),"000")&amp;TEXT(C77,"00"))</f>
        <v/>
      </c>
      <c r="B77" s="23" t="inlineStr">
        <is>
          <t>c051</t>
        </is>
      </c>
      <c r="C77" s="62" t="n">
        <v>11</v>
      </c>
      <c r="D77" s="25" t="inlineStr">
        <is>
          <t>a</t>
        </is>
      </c>
      <c r="E77" s="68" t="n">
        <v>10510202</v>
      </c>
      <c r="F77" s="23" t="inlineStr">
        <is>
          <t>Frej</t>
        </is>
      </c>
      <c r="G77" s="23" t="inlineStr">
        <is>
          <t>Base</t>
        </is>
      </c>
      <c r="H77" s="23" t="inlineStr">
        <is>
          <t>프레이</t>
        </is>
      </c>
      <c r="J77" s="68" t="inlineStr">
        <is>
          <t>c051_02_F</t>
        </is>
      </c>
      <c r="K77" s="68" t="inlineStr">
        <is>
          <t>c051_02_L</t>
        </is>
      </c>
      <c r="L77" s="68" t="inlineStr">
        <is>
          <t>c051_02_Desc</t>
        </is>
      </c>
      <c r="M77" s="68">
        <f>$B77&amp;"_"&amp;TEXT($C77,"00")&amp;"_CV"</f>
        <v/>
      </c>
      <c r="N77" s="68" t="inlineStr">
        <is>
          <t>c051_02_ci_F</t>
        </is>
      </c>
      <c r="O77" s="68" t="inlineStr">
        <is>
          <t>CharacterIcon</t>
        </is>
      </c>
      <c r="P77" s="68" t="inlineStr">
        <is>
          <t>c051_02_p</t>
        </is>
      </c>
      <c r="Q77" s="68" t="inlineStr">
        <is>
          <t>CharacterPortrait</t>
        </is>
      </c>
      <c r="R77" s="68" t="inlineStr">
        <is>
          <t>Promotion_c051_02_p</t>
        </is>
      </c>
      <c r="S77" s="68" t="inlineStr">
        <is>
          <t>CharacterPromotion</t>
        </is>
      </c>
      <c r="T77" s="68">
        <f>B77&amp;"_"&amp;D77&amp;"_SkeletonData.asset"</f>
        <v/>
      </c>
      <c r="U77" s="68" t="inlineStr">
        <is>
          <t>c051_02_a</t>
        </is>
      </c>
      <c r="V77" s="68" t="inlineStr">
        <is>
          <t>Naninovel/Characters/c051_02</t>
        </is>
      </c>
      <c r="W77" s="68" t="inlineStr">
        <is>
          <t>Normal</t>
        </is>
      </c>
      <c r="X77" s="68" t="n">
        <v>1551091</v>
      </c>
      <c r="Y77" s="68" t="inlineStr">
        <is>
          <t>Active</t>
        </is>
      </c>
      <c r="Z77" s="68" t="n">
        <v>2551091</v>
      </c>
      <c r="AA77" s="68" t="inlineStr">
        <is>
          <t>Ultimate</t>
        </is>
      </c>
      <c r="AB77" s="68" t="n">
        <v>3551091</v>
      </c>
      <c r="AC77" s="68" t="inlineStr">
        <is>
          <t>Passive</t>
        </is>
      </c>
      <c r="AD77" s="68" t="n">
        <v>4551091</v>
      </c>
    </row>
    <row r="78">
      <c r="A78" s="24">
        <f>INT(TEXT(IF(LEFT(B78,1)="c",1,2)&amp;MID(B78,2,3),"000")&amp;TEXT(C78,"00"))</f>
        <v/>
      </c>
      <c r="B78" s="23" t="inlineStr">
        <is>
          <t>c364</t>
        </is>
      </c>
      <c r="C78" s="62" t="n">
        <v>11</v>
      </c>
      <c r="D78" s="25" t="inlineStr">
        <is>
          <t>a</t>
        </is>
      </c>
      <c r="E78" s="68" t="n">
        <v>13640102</v>
      </c>
      <c r="F78" s="23" t="inlineStr">
        <is>
          <t>Sytry</t>
        </is>
      </c>
      <c r="G78" s="23" t="inlineStr">
        <is>
          <t>Base</t>
        </is>
      </c>
      <c r="H78" s="23" t="inlineStr">
        <is>
          <t>스위트 시트리</t>
        </is>
      </c>
      <c r="J78" s="68" t="inlineStr">
        <is>
          <t>c364_01_F</t>
        </is>
      </c>
      <c r="K78" s="68" t="inlineStr">
        <is>
          <t>c364_01_L</t>
        </is>
      </c>
      <c r="L78" s="68" t="inlineStr">
        <is>
          <t>c364_01_Desc</t>
        </is>
      </c>
      <c r="M78" s="68">
        <f>$B78&amp;"_"&amp;TEXT($C78,"00")&amp;"_CV"</f>
        <v/>
      </c>
      <c r="N78" s="68" t="inlineStr">
        <is>
          <t>c364_01_ci_F</t>
        </is>
      </c>
      <c r="O78" s="68" t="inlineStr">
        <is>
          <t>CharacterIcon</t>
        </is>
      </c>
      <c r="P78" s="68" t="inlineStr">
        <is>
          <t>c364_01_p</t>
        </is>
      </c>
      <c r="Q78" s="68" t="inlineStr">
        <is>
          <t>CharacterPortrait</t>
        </is>
      </c>
      <c r="R78" s="68" t="inlineStr">
        <is>
          <t>Promotion_c364_01_p</t>
        </is>
      </c>
      <c r="S78" s="68" t="inlineStr">
        <is>
          <t>CharacterPromotion</t>
        </is>
      </c>
      <c r="T78" s="68">
        <f>B78&amp;"_"&amp;D78&amp;"_SkeletonData.asset"</f>
        <v/>
      </c>
      <c r="U78" s="68" t="inlineStr">
        <is>
          <t>c364_01_a</t>
        </is>
      </c>
      <c r="V78" s="68" t="inlineStr">
        <is>
          <t>Naninovel/Characters/c364_01</t>
        </is>
      </c>
      <c r="W78" s="68" t="inlineStr">
        <is>
          <t>Normal</t>
        </is>
      </c>
      <c r="X78" s="68" t="n">
        <v>1554101</v>
      </c>
      <c r="Y78" s="68" t="inlineStr">
        <is>
          <t>Active</t>
        </is>
      </c>
      <c r="Z78" s="68" t="n">
        <v>2554101</v>
      </c>
      <c r="AA78" s="68" t="inlineStr">
        <is>
          <t>Ultimate</t>
        </is>
      </c>
      <c r="AB78" s="68" t="n">
        <v>3554101</v>
      </c>
      <c r="AC78" s="68" t="inlineStr">
        <is>
          <t>Passive</t>
        </is>
      </c>
      <c r="AD78" s="68" t="n">
        <v>4554101</v>
      </c>
    </row>
    <row r="79">
      <c r="A79" s="24">
        <f>INT(TEXT(IF(LEFT(B79,1)="c",1,2)&amp;MID(B79,2,3),"000")&amp;TEXT(C79,"00"))</f>
        <v/>
      </c>
      <c r="B79" s="23" t="inlineStr">
        <is>
          <t>c002</t>
        </is>
      </c>
      <c r="C79" s="62" t="n">
        <v>11</v>
      </c>
      <c r="D79" s="25" t="inlineStr">
        <is>
          <t>a</t>
        </is>
      </c>
      <c r="E79" s="68" t="n">
        <v>10020102</v>
      </c>
      <c r="F79" s="23" t="inlineStr">
        <is>
          <t>Lisa</t>
        </is>
      </c>
      <c r="G79" s="23" t="inlineStr">
        <is>
          <t>Base</t>
        </is>
      </c>
      <c r="H79" s="23" t="inlineStr">
        <is>
          <t>리자</t>
        </is>
      </c>
      <c r="J79" s="68" t="inlineStr">
        <is>
          <t>c002_01_F</t>
        </is>
      </c>
      <c r="K79" s="68" t="inlineStr">
        <is>
          <t>c002_01_L</t>
        </is>
      </c>
      <c r="L79" s="68" t="inlineStr">
        <is>
          <t>c002_01_Desc</t>
        </is>
      </c>
      <c r="M79" s="68">
        <f>$B79&amp;"_"&amp;TEXT($C79,"00")&amp;"_CV"</f>
        <v/>
      </c>
      <c r="N79" s="68" t="inlineStr">
        <is>
          <t>c002_01_ci_F</t>
        </is>
      </c>
      <c r="O79" s="68" t="inlineStr">
        <is>
          <t>CharacterIcon</t>
        </is>
      </c>
      <c r="P79" s="68" t="inlineStr">
        <is>
          <t>c002_01_p</t>
        </is>
      </c>
      <c r="Q79" s="68" t="inlineStr">
        <is>
          <t>CharacterPortrait</t>
        </is>
      </c>
      <c r="R79" s="68" t="inlineStr">
        <is>
          <t>Promotion_c002_01_p</t>
        </is>
      </c>
      <c r="S79" s="68" t="inlineStr">
        <is>
          <t>CharacterPromotion</t>
        </is>
      </c>
      <c r="T79" s="68">
        <f>B79&amp;"_"&amp;D79&amp;"_SkeletonData.asset"</f>
        <v/>
      </c>
      <c r="U79" s="68" t="inlineStr">
        <is>
          <t>c002_01_a</t>
        </is>
      </c>
      <c r="V79" s="68" t="inlineStr">
        <is>
          <t>Naninovel/Characters/c002_01</t>
        </is>
      </c>
      <c r="W79" s="68" t="inlineStr">
        <is>
          <t>Normal</t>
        </is>
      </c>
      <c r="X79" s="68" t="n">
        <v>1325111</v>
      </c>
      <c r="Y79" s="68" t="inlineStr">
        <is>
          <t>Active</t>
        </is>
      </c>
      <c r="Z79" s="68" t="n">
        <v>2325111</v>
      </c>
      <c r="AA79" s="68" t="inlineStr">
        <is>
          <t>Ultimate</t>
        </is>
      </c>
      <c r="AB79" s="68" t="n">
        <v>3325111</v>
      </c>
      <c r="AC79" s="68" t="inlineStr">
        <is>
          <t>Passive</t>
        </is>
      </c>
      <c r="AD79" s="68" t="n">
        <v>4325111</v>
      </c>
    </row>
    <row r="80">
      <c r="A80" s="24">
        <f>INT(TEXT(IF(LEFT(B80,1)="c",1,2)&amp;MID(B80,2,3),"000")&amp;TEXT(C80,"00"))</f>
        <v/>
      </c>
      <c r="B80" s="23" t="inlineStr">
        <is>
          <t>c417</t>
        </is>
      </c>
      <c r="C80" s="62" t="n">
        <v>11</v>
      </c>
      <c r="D80" s="25" t="inlineStr">
        <is>
          <t>a</t>
        </is>
      </c>
      <c r="E80" s="68" t="n">
        <v>14170102</v>
      </c>
      <c r="F80" s="23" t="inlineStr">
        <is>
          <t>Tamamo</t>
        </is>
      </c>
      <c r="G80" s="23" t="inlineStr">
        <is>
          <t>Base</t>
        </is>
      </c>
      <c r="H80" s="23" t="inlineStr">
        <is>
          <t>구미호</t>
        </is>
      </c>
      <c r="J80" s="68" t="inlineStr">
        <is>
          <t>c417_01_F</t>
        </is>
      </c>
      <c r="K80" s="68" t="inlineStr">
        <is>
          <t>c417_01_L</t>
        </is>
      </c>
      <c r="L80" s="68" t="inlineStr">
        <is>
          <t>c417_01_Desc</t>
        </is>
      </c>
      <c r="M80" s="68">
        <f>$B80&amp;"_"&amp;TEXT($C80,"00")&amp;"_CV"</f>
        <v/>
      </c>
      <c r="N80" s="68" t="inlineStr">
        <is>
          <t>c417_01_ci_F</t>
        </is>
      </c>
      <c r="O80" s="68" t="inlineStr">
        <is>
          <t>CharacterIcon</t>
        </is>
      </c>
      <c r="P80" s="68" t="inlineStr">
        <is>
          <t>c417_01_p</t>
        </is>
      </c>
      <c r="Q80" s="68" t="inlineStr">
        <is>
          <t>CharacterPortrait</t>
        </is>
      </c>
      <c r="R80" s="68" t="inlineStr">
        <is>
          <t>Promotion_c417_01_p</t>
        </is>
      </c>
      <c r="S80" s="68" t="inlineStr">
        <is>
          <t>CharacterPromotion</t>
        </is>
      </c>
      <c r="T80" s="68">
        <f>B80&amp;"_"&amp;D80&amp;"_SkeletonData.asset"</f>
        <v/>
      </c>
      <c r="U80" s="68" t="inlineStr">
        <is>
          <t>c417_01_a</t>
        </is>
      </c>
      <c r="V80" s="68" t="inlineStr">
        <is>
          <t>Naninovel/Characters/c417_01</t>
        </is>
      </c>
      <c r="W80" s="68" t="inlineStr">
        <is>
          <t>Normal</t>
        </is>
      </c>
      <c r="X80" s="68" t="n">
        <v>1313121</v>
      </c>
      <c r="Y80" s="68" t="inlineStr">
        <is>
          <t>Active</t>
        </is>
      </c>
      <c r="Z80" s="68" t="n">
        <v>2313121</v>
      </c>
      <c r="AA80" s="68" t="inlineStr">
        <is>
          <t>Ultimate</t>
        </is>
      </c>
      <c r="AB80" s="68" t="n">
        <v>3313121</v>
      </c>
      <c r="AC80" s="68" t="inlineStr">
        <is>
          <t>Passive</t>
        </is>
      </c>
      <c r="AD80" s="68" t="n">
        <v>4313121</v>
      </c>
    </row>
    <row r="81">
      <c r="A81" s="24">
        <f>INT(TEXT(IF(LEFT(B81,1)="c",1,2)&amp;MID(B81,2,3),"000")&amp;TEXT(C81,"00"))</f>
        <v/>
      </c>
      <c r="B81" s="23" t="inlineStr">
        <is>
          <t>c432</t>
        </is>
      </c>
      <c r="C81" s="62" t="n">
        <v>11</v>
      </c>
      <c r="D81" s="25" t="inlineStr">
        <is>
          <t>a</t>
        </is>
      </c>
      <c r="E81" s="68" t="n">
        <v>14320102</v>
      </c>
      <c r="F81" s="23" t="inlineStr">
        <is>
          <t>Artemis</t>
        </is>
      </c>
      <c r="G81" s="23" t="inlineStr">
        <is>
          <t>Base</t>
        </is>
      </c>
      <c r="H81" s="23" t="inlineStr">
        <is>
          <t>아르테미스</t>
        </is>
      </c>
      <c r="J81" s="68" t="inlineStr">
        <is>
          <t>c432_01_F</t>
        </is>
      </c>
      <c r="K81" s="68" t="inlineStr">
        <is>
          <t>c432_01_L</t>
        </is>
      </c>
      <c r="L81" s="68" t="inlineStr">
        <is>
          <t>c432_01_Desc</t>
        </is>
      </c>
      <c r="M81" s="68">
        <f>$B81&amp;"_"&amp;TEXT($C81,"00")&amp;"_CV"</f>
        <v/>
      </c>
      <c r="N81" s="68" t="inlineStr">
        <is>
          <t>c432_01_ci_F</t>
        </is>
      </c>
      <c r="O81" s="68" t="inlineStr">
        <is>
          <t>CharacterIcon</t>
        </is>
      </c>
      <c r="P81" s="68" t="inlineStr">
        <is>
          <t>c432_01_p</t>
        </is>
      </c>
      <c r="Q81" s="68" t="inlineStr">
        <is>
          <t>CharacterPortrait</t>
        </is>
      </c>
      <c r="R81" s="68" t="inlineStr">
        <is>
          <t>Promotion_c432_01_p</t>
        </is>
      </c>
      <c r="S81" s="68" t="inlineStr">
        <is>
          <t>CharacterPromotion</t>
        </is>
      </c>
      <c r="T81" s="68">
        <f>B81&amp;"_"&amp;D81&amp;"_SkeletonData.asset"</f>
        <v/>
      </c>
      <c r="U81" s="68" t="inlineStr">
        <is>
          <t>c432_01_a</t>
        </is>
      </c>
      <c r="V81" s="68" t="inlineStr">
        <is>
          <t>Naninovel/Characters/c432_01</t>
        </is>
      </c>
      <c r="W81" s="68" t="inlineStr">
        <is>
          <t>Normal</t>
        </is>
      </c>
      <c r="X81" s="68" t="n">
        <v>1351161</v>
      </c>
      <c r="Y81" s="68" t="inlineStr">
        <is>
          <t>Active</t>
        </is>
      </c>
      <c r="Z81" s="68" t="n">
        <v>2351161</v>
      </c>
      <c r="AA81" s="68" t="inlineStr">
        <is>
          <t>Ultimate</t>
        </is>
      </c>
      <c r="AB81" s="68" t="n">
        <v>3351161</v>
      </c>
      <c r="AC81" s="68" t="inlineStr">
        <is>
          <t>Passive</t>
        </is>
      </c>
      <c r="AD81" s="68" t="n">
        <v>4351161</v>
      </c>
    </row>
    <row r="82">
      <c r="A82" s="24">
        <f>INT(TEXT(IF(LEFT(B82,1)="c",1,2)&amp;MID(B82,2,3),"000")&amp;TEXT(C82,"00"))</f>
        <v/>
      </c>
      <c r="B82" s="23" t="inlineStr">
        <is>
          <t>c486</t>
        </is>
      </c>
      <c r="C82" s="62" t="n">
        <v>11</v>
      </c>
      <c r="D82" s="25" t="inlineStr">
        <is>
          <t>a</t>
        </is>
      </c>
      <c r="E82" s="68" t="n">
        <v>14860102</v>
      </c>
      <c r="F82" s="23" t="inlineStr">
        <is>
          <t>Kubaba</t>
        </is>
      </c>
      <c r="G82" s="23" t="inlineStr">
        <is>
          <t>Base</t>
        </is>
      </c>
      <c r="H82" s="23" t="inlineStr">
        <is>
          <t>쿠바바</t>
        </is>
      </c>
      <c r="J82" s="68" t="inlineStr">
        <is>
          <t>c486_01_F</t>
        </is>
      </c>
      <c r="K82" s="68" t="inlineStr">
        <is>
          <t>c486_01_L</t>
        </is>
      </c>
      <c r="L82" s="68" t="inlineStr">
        <is>
          <t>c486_01_Desc</t>
        </is>
      </c>
      <c r="M82" s="68">
        <f>$B82&amp;"_"&amp;TEXT($C82,"00")&amp;"_CV"</f>
        <v/>
      </c>
      <c r="N82" s="68" t="inlineStr">
        <is>
          <t>c486_01_ci_F</t>
        </is>
      </c>
      <c r="O82" s="68" t="inlineStr">
        <is>
          <t>CharacterIcon</t>
        </is>
      </c>
      <c r="P82" s="68" t="inlineStr">
        <is>
          <t>c486_01_p</t>
        </is>
      </c>
      <c r="Q82" s="68" t="inlineStr">
        <is>
          <t>CharacterPortrait</t>
        </is>
      </c>
      <c r="R82" s="68" t="inlineStr">
        <is>
          <t>Promotion_c486_01_p</t>
        </is>
      </c>
      <c r="S82" s="68" t="inlineStr">
        <is>
          <t>CharacterPromotion</t>
        </is>
      </c>
      <c r="T82" s="68">
        <f>B82&amp;"_"&amp;D82&amp;"_SkeletonData.asset"</f>
        <v/>
      </c>
      <c r="U82" s="68" t="inlineStr">
        <is>
          <t>c486_01_a</t>
        </is>
      </c>
      <c r="V82" s="68" t="inlineStr">
        <is>
          <t>Naninovel/Characters/c486_01</t>
        </is>
      </c>
      <c r="W82" s="68" t="inlineStr">
        <is>
          <t>Normal</t>
        </is>
      </c>
      <c r="X82" s="68" t="n">
        <v>1353141</v>
      </c>
      <c r="Y82" s="68" t="inlineStr">
        <is>
          <t>Active</t>
        </is>
      </c>
      <c r="Z82" s="68" t="n">
        <v>2353141</v>
      </c>
      <c r="AA82" s="68" t="inlineStr">
        <is>
          <t>Ultimate</t>
        </is>
      </c>
      <c r="AB82" s="68" t="n">
        <v>3353141</v>
      </c>
      <c r="AC82" s="68" t="inlineStr">
        <is>
          <t>Passive</t>
        </is>
      </c>
      <c r="AD82" s="68" t="n">
        <v>4353141</v>
      </c>
    </row>
    <row r="83">
      <c r="A83" s="24">
        <f>INT(TEXT(IF(LEFT(B83,1)="c",1,2)&amp;MID(B83,2,3),"000")&amp;TEXT(C83,"00"))</f>
        <v/>
      </c>
      <c r="B83" s="23" t="inlineStr">
        <is>
          <t>c294</t>
        </is>
      </c>
      <c r="C83" s="62" t="n">
        <v>11</v>
      </c>
      <c r="D83" s="25" t="inlineStr">
        <is>
          <t>a</t>
        </is>
      </c>
      <c r="E83" s="68" t="n">
        <v>12940102</v>
      </c>
      <c r="F83" s="23" t="inlineStr">
        <is>
          <t>Bathory</t>
        </is>
      </c>
      <c r="G83" s="23" t="inlineStr">
        <is>
          <t>Base</t>
        </is>
      </c>
      <c r="H83" s="23" t="inlineStr">
        <is>
          <t>바토리</t>
        </is>
      </c>
      <c r="J83" s="68" t="inlineStr">
        <is>
          <t>c294_01_F</t>
        </is>
      </c>
      <c r="K83" s="68" t="inlineStr">
        <is>
          <t>c294_01_L</t>
        </is>
      </c>
      <c r="L83" s="68" t="inlineStr">
        <is>
          <t>c294_01_Desc</t>
        </is>
      </c>
      <c r="M83" s="68">
        <f>$B83&amp;"_"&amp;TEXT($C83,"00")&amp;"_CV"</f>
        <v/>
      </c>
      <c r="N83" s="68" t="inlineStr">
        <is>
          <t>c294_01_ci_F</t>
        </is>
      </c>
      <c r="O83" s="68" t="inlineStr">
        <is>
          <t>CharacterIcon</t>
        </is>
      </c>
      <c r="P83" s="68" t="inlineStr">
        <is>
          <t>c294_01_p</t>
        </is>
      </c>
      <c r="Q83" s="68" t="inlineStr">
        <is>
          <t>CharacterPortrait</t>
        </is>
      </c>
      <c r="R83" s="68" t="inlineStr">
        <is>
          <t>Promotion_c294_01_p</t>
        </is>
      </c>
      <c r="S83" s="68" t="inlineStr">
        <is>
          <t>CharacterPromotion</t>
        </is>
      </c>
      <c r="T83" s="68">
        <f>B83&amp;"_"&amp;D83&amp;"_SkeletonData.asset"</f>
        <v/>
      </c>
      <c r="U83" s="68" t="inlineStr">
        <is>
          <t>c294_01_a</t>
        </is>
      </c>
      <c r="V83" s="68" t="inlineStr">
        <is>
          <t>Naninovel/Characters/c294_01</t>
        </is>
      </c>
      <c r="W83" s="68" t="inlineStr">
        <is>
          <t>Normal</t>
        </is>
      </c>
      <c r="X83" s="68" t="n">
        <v>1333131</v>
      </c>
      <c r="Y83" s="68" t="inlineStr">
        <is>
          <t>Active</t>
        </is>
      </c>
      <c r="Z83" s="68" t="n">
        <v>2333131</v>
      </c>
      <c r="AA83" s="68" t="inlineStr">
        <is>
          <t>Ultimate</t>
        </is>
      </c>
      <c r="AB83" s="68" t="n">
        <v>3333131</v>
      </c>
      <c r="AC83" s="68" t="inlineStr">
        <is>
          <t>Passive</t>
        </is>
      </c>
      <c r="AD83" s="68" t="n">
        <v>4333131</v>
      </c>
    </row>
    <row r="84">
      <c r="A84" s="24">
        <f>INT(TEXT(IF(LEFT(B84,1)="c",1,2)&amp;MID(B84,2,3),"000")&amp;TEXT(C84,"00"))</f>
        <v/>
      </c>
      <c r="B84" s="23" t="inlineStr">
        <is>
          <t>c501</t>
        </is>
      </c>
      <c r="C84" s="62" t="n">
        <v>11</v>
      </c>
      <c r="D84" s="25" t="inlineStr">
        <is>
          <t>a</t>
        </is>
      </c>
      <c r="E84" s="68" t="n">
        <v>15010102</v>
      </c>
      <c r="F84" s="23" t="inlineStr">
        <is>
          <t>Ragaraja</t>
        </is>
      </c>
      <c r="G84" s="23" t="inlineStr">
        <is>
          <t>Base</t>
        </is>
      </c>
      <c r="H84" s="23" t="inlineStr">
        <is>
          <t>라가라자</t>
        </is>
      </c>
      <c r="J84" s="68" t="inlineStr">
        <is>
          <t>c501_01_F</t>
        </is>
      </c>
      <c r="K84" s="68" t="inlineStr">
        <is>
          <t>c501_01_L</t>
        </is>
      </c>
      <c r="L84" s="68" t="inlineStr">
        <is>
          <t>c501_01_Desc</t>
        </is>
      </c>
      <c r="M84" s="68">
        <f>$B84&amp;"_"&amp;TEXT($C84,"00")&amp;"_CV"</f>
        <v/>
      </c>
      <c r="N84" s="68" t="inlineStr">
        <is>
          <t>c501_01_ci_F</t>
        </is>
      </c>
      <c r="O84" s="68" t="inlineStr">
        <is>
          <t>CharacterIcon</t>
        </is>
      </c>
      <c r="P84" s="68" t="inlineStr">
        <is>
          <t>c501_01_p</t>
        </is>
      </c>
      <c r="Q84" s="68" t="inlineStr">
        <is>
          <t>CharacterPortrait</t>
        </is>
      </c>
      <c r="R84" s="68" t="inlineStr">
        <is>
          <t>Promotion_c501_01_p</t>
        </is>
      </c>
      <c r="S84" s="68" t="inlineStr">
        <is>
          <t>CharacterPromotion</t>
        </is>
      </c>
      <c r="T84" s="68">
        <f>B84&amp;"_"&amp;D84&amp;"_SkeletonData.asset"</f>
        <v/>
      </c>
      <c r="U84" s="68" t="inlineStr">
        <is>
          <t>c501_01_a</t>
        </is>
      </c>
      <c r="V84" s="68" t="inlineStr">
        <is>
          <t>Naninovel/Characters/c501_01</t>
        </is>
      </c>
      <c r="W84" s="68" t="inlineStr">
        <is>
          <t>Normal</t>
        </is>
      </c>
      <c r="X84" s="68" t="n">
        <v>1311151</v>
      </c>
      <c r="Y84" s="68" t="inlineStr">
        <is>
          <t>Active</t>
        </is>
      </c>
      <c r="Z84" s="68" t="n">
        <v>2311151</v>
      </c>
      <c r="AA84" s="68" t="inlineStr">
        <is>
          <t>Ultimate</t>
        </is>
      </c>
      <c r="AB84" s="68" t="n">
        <v>3311151</v>
      </c>
      <c r="AC84" s="68" t="inlineStr">
        <is>
          <t>Passive</t>
        </is>
      </c>
      <c r="AD84" s="68" t="n">
        <v>4311151</v>
      </c>
    </row>
    <row r="85">
      <c r="A85" s="24">
        <f>INT(TEXT(IF(LEFT(B85,1)="c",1,2)&amp;MID(B85,2,3),"000")&amp;TEXT(C85,"00"))</f>
        <v/>
      </c>
      <c r="B85" s="23" t="inlineStr">
        <is>
          <t>c001</t>
        </is>
      </c>
      <c r="C85" s="62" t="n">
        <v>11</v>
      </c>
      <c r="D85" s="25" t="inlineStr">
        <is>
          <t>a</t>
        </is>
      </c>
      <c r="E85" s="68" t="n">
        <v>10010102</v>
      </c>
      <c r="F85" s="23" t="inlineStr">
        <is>
          <t>Mona</t>
        </is>
      </c>
      <c r="G85" s="23" t="inlineStr">
        <is>
          <t>Base</t>
        </is>
      </c>
      <c r="H85" s="23" t="inlineStr">
        <is>
          <t>모나</t>
        </is>
      </c>
      <c r="J85" s="68" t="inlineStr">
        <is>
          <t>c001_01_F</t>
        </is>
      </c>
      <c r="K85" s="68" t="inlineStr">
        <is>
          <t>c001_01_L</t>
        </is>
      </c>
      <c r="L85" s="68" t="inlineStr">
        <is>
          <t>c001_01_Desc</t>
        </is>
      </c>
      <c r="M85" s="68">
        <f>$B85&amp;"_"&amp;TEXT($C85,"00")&amp;"_CV"</f>
        <v/>
      </c>
      <c r="N85" s="68" t="inlineStr">
        <is>
          <t>c001_01_ci_F</t>
        </is>
      </c>
      <c r="O85" s="68" t="inlineStr">
        <is>
          <t>CharacterIcon</t>
        </is>
      </c>
      <c r="P85" s="68" t="inlineStr">
        <is>
          <t>c001_01_p</t>
        </is>
      </c>
      <c r="Q85" s="68" t="inlineStr">
        <is>
          <t>CharacterPortrait</t>
        </is>
      </c>
      <c r="R85" s="68" t="inlineStr">
        <is>
          <t>Promotion_c001_01_p</t>
        </is>
      </c>
      <c r="S85" s="68" t="inlineStr">
        <is>
          <t>CharacterPromotion</t>
        </is>
      </c>
      <c r="T85" s="68">
        <f>B85&amp;"_"&amp;D85&amp;"_SkeletonData.asset"</f>
        <v/>
      </c>
      <c r="U85" s="68" t="inlineStr">
        <is>
          <t>c001_01_a</t>
        </is>
      </c>
      <c r="V85" s="68" t="inlineStr">
        <is>
          <t>Naninovel/Characters/c001_01</t>
        </is>
      </c>
      <c r="W85" s="68" t="inlineStr">
        <is>
          <t>Normal</t>
        </is>
      </c>
      <c r="X85" s="68" t="n">
        <v>1552111</v>
      </c>
      <c r="Y85" s="68" t="inlineStr">
        <is>
          <t>Active</t>
        </is>
      </c>
      <c r="Z85" s="68" t="n">
        <v>2552111</v>
      </c>
      <c r="AA85" s="68" t="inlineStr">
        <is>
          <t>Ultimate</t>
        </is>
      </c>
      <c r="AB85" s="68" t="n">
        <v>3552111</v>
      </c>
      <c r="AC85" s="68" t="inlineStr">
        <is>
          <t>Passive</t>
        </is>
      </c>
      <c r="AD85" s="68" t="n">
        <v>4552111</v>
      </c>
    </row>
    <row r="86">
      <c r="A86" s="24">
        <f>INT(TEXT(IF(LEFT(B86,1)="c",1,2)&amp;MID(B86,2,3),"000")&amp;TEXT(C86,"00"))</f>
        <v/>
      </c>
      <c r="B86" s="23" t="inlineStr">
        <is>
          <t>c502</t>
        </is>
      </c>
      <c r="C86" s="62" t="n">
        <v>11</v>
      </c>
      <c r="D86" s="25" t="inlineStr">
        <is>
          <t>a</t>
        </is>
      </c>
      <c r="E86" s="68" t="n">
        <v>15020102</v>
      </c>
      <c r="F86" s="23" t="inlineStr">
        <is>
          <t>To Keika</t>
        </is>
      </c>
      <c r="G86" s="23" t="inlineStr">
        <is>
          <t>Base</t>
        </is>
      </c>
      <c r="H86" s="23" t="inlineStr">
        <is>
          <t>도계화</t>
        </is>
      </c>
      <c r="J86" s="68" t="inlineStr">
        <is>
          <t>c502_01_F</t>
        </is>
      </c>
      <c r="K86" s="68" t="inlineStr">
        <is>
          <t>c502_01_L</t>
        </is>
      </c>
      <c r="L86" s="68" t="inlineStr">
        <is>
          <t>c502_01_Desc</t>
        </is>
      </c>
      <c r="M86" s="68">
        <f>$B86&amp;"_"&amp;TEXT($C86,"00")&amp;"_CV"</f>
        <v/>
      </c>
      <c r="N86" s="68" t="inlineStr">
        <is>
          <t>c502_01_ci_F</t>
        </is>
      </c>
      <c r="O86" s="68" t="inlineStr">
        <is>
          <t>CharacterIcon</t>
        </is>
      </c>
      <c r="P86" s="68" t="inlineStr">
        <is>
          <t>c502_01_p</t>
        </is>
      </c>
      <c r="Q86" s="68" t="inlineStr">
        <is>
          <t>CharacterPortrait</t>
        </is>
      </c>
      <c r="R86" s="68" t="inlineStr">
        <is>
          <t>Promotion_c502_01_p</t>
        </is>
      </c>
      <c r="S86" s="68" t="inlineStr">
        <is>
          <t>CharacterPromotion</t>
        </is>
      </c>
      <c r="T86" s="68">
        <f>B86&amp;"_"&amp;D86&amp;"_SkeletonData.asset"</f>
        <v/>
      </c>
      <c r="U86" s="68" t="inlineStr">
        <is>
          <t>c502_01_a</t>
        </is>
      </c>
      <c r="V86" s="68" t="inlineStr">
        <is>
          <t>Naninovel/Characters/c502_01</t>
        </is>
      </c>
      <c r="W86" s="68" t="inlineStr">
        <is>
          <t>Normal</t>
        </is>
      </c>
      <c r="X86" s="68" t="n">
        <v>1321171</v>
      </c>
      <c r="Y86" s="68" t="inlineStr">
        <is>
          <t>Active</t>
        </is>
      </c>
      <c r="Z86" s="68" t="n">
        <v>2321171</v>
      </c>
      <c r="AA86" s="68" t="inlineStr">
        <is>
          <t>Ultimate</t>
        </is>
      </c>
      <c r="AB86" s="68" t="n">
        <v>3321171</v>
      </c>
      <c r="AC86" s="68" t="inlineStr">
        <is>
          <t>Passive</t>
        </is>
      </c>
      <c r="AD86" s="68" t="n">
        <v>4321171</v>
      </c>
    </row>
    <row r="87">
      <c r="A87" s="24">
        <f>INT(TEXT(IF(LEFT(B87,1)="c",1,2)&amp;MID(B87,2,3),"000")&amp;TEXT(C87,"00"))</f>
        <v/>
      </c>
      <c r="B87" s="23" t="inlineStr">
        <is>
          <t>c412</t>
        </is>
      </c>
      <c r="C87" s="62" t="n">
        <v>11</v>
      </c>
      <c r="D87" s="25" t="inlineStr">
        <is>
          <t>a</t>
        </is>
      </c>
      <c r="E87" s="68" t="n">
        <v>14120102</v>
      </c>
      <c r="F87" s="23" t="inlineStr">
        <is>
          <t>Cain</t>
        </is>
      </c>
      <c r="G87" s="23" t="inlineStr">
        <is>
          <t>Base</t>
        </is>
      </c>
      <c r="H87" s="23" t="inlineStr">
        <is>
          <t>카인</t>
        </is>
      </c>
      <c r="J87" s="68" t="inlineStr">
        <is>
          <t>c412_01_F</t>
        </is>
      </c>
      <c r="K87" s="68" t="inlineStr">
        <is>
          <t>c412_01_L</t>
        </is>
      </c>
      <c r="L87" s="68" t="inlineStr">
        <is>
          <t>c412_01_Desc</t>
        </is>
      </c>
      <c r="M87" s="68">
        <f>$B87&amp;"_"&amp;TEXT($C87,"00")&amp;"_CV"</f>
        <v/>
      </c>
      <c r="N87" s="68" t="inlineStr">
        <is>
          <t>c412_01_ci_F</t>
        </is>
      </c>
      <c r="O87" s="68" t="inlineStr">
        <is>
          <t>CharacterIcon</t>
        </is>
      </c>
      <c r="P87" s="68" t="inlineStr">
        <is>
          <t>c412_01_p</t>
        </is>
      </c>
      <c r="Q87" s="68" t="inlineStr">
        <is>
          <t>CharacterPortrait</t>
        </is>
      </c>
      <c r="R87" s="68" t="inlineStr">
        <is>
          <t>Promotion_c412_01_p</t>
        </is>
      </c>
      <c r="S87" s="68" t="inlineStr">
        <is>
          <t>CharacterPromotion</t>
        </is>
      </c>
      <c r="T87" s="68">
        <f>B87&amp;"_"&amp;D87&amp;"_SkeletonData.asset"</f>
        <v/>
      </c>
      <c r="U87" s="68" t="inlineStr">
        <is>
          <t>c412_01_a</t>
        </is>
      </c>
      <c r="V87" s="68" t="inlineStr">
        <is>
          <t>Naninovel/Characters/c412_01</t>
        </is>
      </c>
      <c r="W87" s="68" t="inlineStr">
        <is>
          <t>Normal</t>
        </is>
      </c>
      <c r="X87" s="68" t="n">
        <v>1311181</v>
      </c>
      <c r="Y87" s="68" t="inlineStr">
        <is>
          <t>Active</t>
        </is>
      </c>
      <c r="Z87" s="68" t="n">
        <v>2311181</v>
      </c>
      <c r="AA87" s="68" t="inlineStr">
        <is>
          <t>Ultimate</t>
        </is>
      </c>
      <c r="AB87" s="68" t="n">
        <v>3311181</v>
      </c>
      <c r="AC87" s="68" t="inlineStr">
        <is>
          <t>Passive</t>
        </is>
      </c>
      <c r="AD87" s="68" t="n">
        <v>4311181</v>
      </c>
    </row>
    <row r="88">
      <c r="A88" s="24">
        <f>INT(TEXT(IF(LEFT(B88,1)="c",1,2)&amp;MID(B88,2,3),"000")&amp;TEXT(C88,"00"))</f>
        <v/>
      </c>
      <c r="B88" s="23" t="inlineStr">
        <is>
          <t>c156</t>
        </is>
      </c>
      <c r="C88" s="62" t="n">
        <v>11</v>
      </c>
      <c r="D88" s="25" t="inlineStr">
        <is>
          <t>a</t>
        </is>
      </c>
      <c r="E88" s="68" t="n">
        <v>11560102</v>
      </c>
      <c r="F88" s="23" t="inlineStr">
        <is>
          <t>Elizabeth</t>
        </is>
      </c>
      <c r="G88" s="23" t="inlineStr">
        <is>
          <t>Base</t>
        </is>
      </c>
      <c r="H88" s="23" t="inlineStr">
        <is>
          <t>에르제베트</t>
        </is>
      </c>
      <c r="J88" s="68" t="inlineStr">
        <is>
          <t>c156_01_F</t>
        </is>
      </c>
      <c r="K88" s="68" t="inlineStr">
        <is>
          <t>c156_01_L</t>
        </is>
      </c>
      <c r="L88" s="68" t="inlineStr">
        <is>
          <t>c156_01_Desc</t>
        </is>
      </c>
      <c r="M88" s="68">
        <f>$B88&amp;"_"&amp;TEXT($C88,"00")&amp;"_CV"</f>
        <v/>
      </c>
      <c r="N88" s="68" t="inlineStr">
        <is>
          <t>c156_01_ci_F</t>
        </is>
      </c>
      <c r="O88" s="68" t="inlineStr">
        <is>
          <t>CharacterIcon</t>
        </is>
      </c>
      <c r="P88" s="68" t="inlineStr">
        <is>
          <t>c156_01_p</t>
        </is>
      </c>
      <c r="Q88" s="68" t="inlineStr">
        <is>
          <t>CharacterPortrait</t>
        </is>
      </c>
      <c r="R88" s="68" t="inlineStr">
        <is>
          <t>Promotion_c156_01_p</t>
        </is>
      </c>
      <c r="S88" s="68" t="inlineStr">
        <is>
          <t>CharacterPromotion</t>
        </is>
      </c>
      <c r="T88" s="68">
        <f>B88&amp;"_"&amp;D88&amp;"_SkeletonData.asset"</f>
        <v/>
      </c>
      <c r="U88" s="68" t="inlineStr">
        <is>
          <t>c156_01_a</t>
        </is>
      </c>
      <c r="V88" s="68" t="inlineStr">
        <is>
          <t>Naninovel/Characters/c156_01</t>
        </is>
      </c>
      <c r="W88" s="68" t="inlineStr">
        <is>
          <t>Normal</t>
        </is>
      </c>
      <c r="X88" s="68" t="n">
        <v>1351191</v>
      </c>
      <c r="Y88" s="68" t="inlineStr">
        <is>
          <t>Active</t>
        </is>
      </c>
      <c r="Z88" s="68" t="n">
        <v>2351191</v>
      </c>
      <c r="AA88" s="68" t="inlineStr">
        <is>
          <t>Ultimate</t>
        </is>
      </c>
      <c r="AB88" s="68" t="n">
        <v>3351191</v>
      </c>
      <c r="AC88" s="68" t="inlineStr">
        <is>
          <t>Passive</t>
        </is>
      </c>
      <c r="AD88" s="68" t="n">
        <v>4351191</v>
      </c>
    </row>
    <row r="89">
      <c r="A89" s="24">
        <f>INT(TEXT(IF(LEFT(B89,1)="c",1,2)&amp;MID(B89,2,3),"000")&amp;TEXT(C89,"00"))</f>
        <v/>
      </c>
      <c r="B89" s="23" t="inlineStr">
        <is>
          <t>c318</t>
        </is>
      </c>
      <c r="C89" s="62" t="n">
        <v>11</v>
      </c>
      <c r="D89" s="25" t="inlineStr">
        <is>
          <t>a</t>
        </is>
      </c>
      <c r="E89" s="68" t="n">
        <v>13180102</v>
      </c>
      <c r="F89" s="23" t="inlineStr">
        <is>
          <t>Bari</t>
        </is>
      </c>
      <c r="G89" s="23" t="inlineStr">
        <is>
          <t>Base</t>
        </is>
      </c>
      <c r="H89" s="23" t="inlineStr">
        <is>
          <t>바리</t>
        </is>
      </c>
      <c r="J89" s="68" t="inlineStr">
        <is>
          <t>c318_01_F</t>
        </is>
      </c>
      <c r="K89" s="68" t="inlineStr">
        <is>
          <t>c318_01_L</t>
        </is>
      </c>
      <c r="L89" s="68" t="inlineStr">
        <is>
          <t>c318_01_Desc</t>
        </is>
      </c>
      <c r="M89" s="68">
        <f>$B89&amp;"_"&amp;TEXT($C89,"00")&amp;"_CV"</f>
        <v/>
      </c>
      <c r="N89" s="68" t="inlineStr">
        <is>
          <t>c318_01_ci_F</t>
        </is>
      </c>
      <c r="O89" s="68" t="inlineStr">
        <is>
          <t>CharacterIcon</t>
        </is>
      </c>
      <c r="P89" s="68" t="inlineStr">
        <is>
          <t>c318_01_p</t>
        </is>
      </c>
      <c r="Q89" s="68" t="inlineStr">
        <is>
          <t>CharacterPortrait</t>
        </is>
      </c>
      <c r="R89" s="68" t="inlineStr">
        <is>
          <t>Promotion_c318_01_p</t>
        </is>
      </c>
      <c r="S89" s="68" t="inlineStr">
        <is>
          <t>CharacterPromotion</t>
        </is>
      </c>
      <c r="T89" s="68">
        <f>B89&amp;"_"&amp;D89&amp;"_SkeletonData.asset"</f>
        <v/>
      </c>
      <c r="U89" s="68" t="inlineStr">
        <is>
          <t>c318_01_a</t>
        </is>
      </c>
      <c r="V89" s="68" t="inlineStr">
        <is>
          <t>Naninovel/Characters/c318_01</t>
        </is>
      </c>
      <c r="W89" s="68" t="inlineStr">
        <is>
          <t>Normal</t>
        </is>
      </c>
      <c r="X89" s="68" t="n">
        <v>1321201</v>
      </c>
      <c r="Y89" s="68" t="inlineStr">
        <is>
          <t>Active</t>
        </is>
      </c>
      <c r="Z89" s="68" t="n">
        <v>2321201</v>
      </c>
      <c r="AA89" s="68" t="inlineStr">
        <is>
          <t>Ultimate</t>
        </is>
      </c>
      <c r="AB89" s="68" t="n">
        <v>3321201</v>
      </c>
      <c r="AC89" s="68" t="inlineStr">
        <is>
          <t>Passive</t>
        </is>
      </c>
      <c r="AD89" s="68" t="n">
        <v>4321201</v>
      </c>
    </row>
    <row r="90">
      <c r="A90" s="24">
        <f>INT(TEXT(IF(LEFT(B90,1)="c",1,2)&amp;MID(B90,2,3),"000")&amp;TEXT(C90,"00"))</f>
        <v/>
      </c>
      <c r="B90" s="23" t="inlineStr">
        <is>
          <t>c525</t>
        </is>
      </c>
      <c r="C90" s="62" t="n">
        <v>11</v>
      </c>
      <c r="D90" s="25" t="inlineStr">
        <is>
          <t>a</t>
        </is>
      </c>
      <c r="E90" s="68" t="n">
        <v>15250102</v>
      </c>
      <c r="F90" s="23" t="inlineStr">
        <is>
          <t>Grilla</t>
        </is>
      </c>
      <c r="G90" s="23" t="inlineStr">
        <is>
          <t>Base</t>
        </is>
      </c>
      <c r="H90" s="23" t="inlineStr">
        <is>
          <t>그릴라</t>
        </is>
      </c>
      <c r="J90" s="68" t="inlineStr">
        <is>
          <t>c525_01_F</t>
        </is>
      </c>
      <c r="K90" s="68" t="inlineStr">
        <is>
          <t>c525_01_L</t>
        </is>
      </c>
      <c r="L90" s="68" t="inlineStr">
        <is>
          <t>c525_01_Desc</t>
        </is>
      </c>
      <c r="M90" s="68">
        <f>$B90&amp;"_"&amp;TEXT($C90,"00")&amp;"_CV"</f>
        <v/>
      </c>
      <c r="N90" s="68" t="inlineStr">
        <is>
          <t>c525_01_ci_F</t>
        </is>
      </c>
      <c r="O90" s="68" t="inlineStr">
        <is>
          <t>CharacterIcon</t>
        </is>
      </c>
      <c r="P90" s="68" t="inlineStr">
        <is>
          <t>c525_01_p</t>
        </is>
      </c>
      <c r="Q90" s="68" t="inlineStr">
        <is>
          <t>CharacterPortrait</t>
        </is>
      </c>
      <c r="R90" s="68" t="inlineStr">
        <is>
          <t>Promotion_c525_01_p</t>
        </is>
      </c>
      <c r="S90" s="68" t="inlineStr">
        <is>
          <t>CharacterPromotion</t>
        </is>
      </c>
      <c r="T90" s="68">
        <f>B90&amp;"_"&amp;D90&amp;"_SkeletonData.asset"</f>
        <v/>
      </c>
      <c r="U90" s="68" t="inlineStr">
        <is>
          <t>c525_01_a</t>
        </is>
      </c>
      <c r="V90" s="68" t="inlineStr">
        <is>
          <t>Naninovel/Characters/c525_01</t>
        </is>
      </c>
      <c r="W90" s="68" t="inlineStr">
        <is>
          <t>Normal</t>
        </is>
      </c>
      <c r="X90" s="68" t="n">
        <v>1334211</v>
      </c>
      <c r="Y90" s="68" t="inlineStr">
        <is>
          <t>Active</t>
        </is>
      </c>
      <c r="Z90" s="68" t="n">
        <v>2334211</v>
      </c>
      <c r="AA90" s="68" t="inlineStr">
        <is>
          <t>Ultimate</t>
        </is>
      </c>
      <c r="AB90" s="68" t="n">
        <v>3334211</v>
      </c>
      <c r="AC90" s="68" t="inlineStr">
        <is>
          <t>Passive</t>
        </is>
      </c>
      <c r="AD90" s="68" t="n">
        <v>4334211</v>
      </c>
    </row>
    <row r="91">
      <c r="A91" s="24">
        <f>INT(TEXT(IF(LEFT(B91,1)="c",1,2)&amp;MID(B91,2,3),"000")&amp;TEXT(C91,"00"))</f>
        <v/>
      </c>
      <c r="B91" s="23" t="inlineStr">
        <is>
          <t>c442</t>
        </is>
      </c>
      <c r="C91" s="62" t="n">
        <v>11</v>
      </c>
      <c r="D91" s="25" t="inlineStr">
        <is>
          <t>a</t>
        </is>
      </c>
      <c r="E91" s="68" t="n">
        <v>14420102</v>
      </c>
      <c r="F91" s="23" t="inlineStr">
        <is>
          <t>Nirrti</t>
        </is>
      </c>
      <c r="G91" s="23" t="inlineStr">
        <is>
          <t>Base</t>
        </is>
      </c>
      <c r="H91" s="23" t="inlineStr">
        <is>
          <t>니르티</t>
        </is>
      </c>
      <c r="J91" s="68" t="inlineStr">
        <is>
          <t>c442_01_F</t>
        </is>
      </c>
      <c r="K91" s="68" t="inlineStr">
        <is>
          <t>c442_01_L</t>
        </is>
      </c>
      <c r="L91" s="68" t="inlineStr">
        <is>
          <t>c442_01_Desc</t>
        </is>
      </c>
      <c r="M91" s="68">
        <f>$B91&amp;"_"&amp;TEXT($C91,"00")&amp;"_CV"</f>
        <v/>
      </c>
      <c r="N91" s="68" t="inlineStr">
        <is>
          <t>c442_01_ci_F</t>
        </is>
      </c>
      <c r="O91" s="68" t="inlineStr">
        <is>
          <t>CharacterIcon</t>
        </is>
      </c>
      <c r="P91" s="68" t="inlineStr">
        <is>
          <t>c442_01_p</t>
        </is>
      </c>
      <c r="Q91" s="68" t="inlineStr">
        <is>
          <t>CharacterPortrait</t>
        </is>
      </c>
      <c r="R91" s="68" t="inlineStr">
        <is>
          <t>Promotion_c442_01_p</t>
        </is>
      </c>
      <c r="S91" s="68" t="inlineStr">
        <is>
          <t>CharacterPromotion</t>
        </is>
      </c>
      <c r="T91" s="68">
        <f>B91&amp;"_"&amp;D91&amp;"_SkeletonData.asset"</f>
        <v/>
      </c>
      <c r="U91" s="68" t="inlineStr">
        <is>
          <t>c442_01_a</t>
        </is>
      </c>
      <c r="V91" s="68" t="inlineStr">
        <is>
          <t>Naninovel/Characters/c442_01</t>
        </is>
      </c>
      <c r="W91" s="68" t="inlineStr">
        <is>
          <t>Normal</t>
        </is>
      </c>
      <c r="X91" s="68" t="n">
        <v>1321221</v>
      </c>
      <c r="Y91" s="68" t="inlineStr">
        <is>
          <t>Active</t>
        </is>
      </c>
      <c r="Z91" s="68" t="n">
        <v>2321221</v>
      </c>
      <c r="AA91" s="68" t="inlineStr">
        <is>
          <t>Ultimate</t>
        </is>
      </c>
      <c r="AB91" s="68" t="n">
        <v>3321221</v>
      </c>
      <c r="AC91" s="68" t="inlineStr">
        <is>
          <t>Passive</t>
        </is>
      </c>
      <c r="AD91" s="68" t="n">
        <v>4321221</v>
      </c>
    </row>
    <row r="92">
      <c r="A92" s="24">
        <f>INT(TEXT(IF(LEFT(B92,1)="c",1,2)&amp;MID(B92,2,3),"000")&amp;TEXT(C92,"00"))</f>
        <v/>
      </c>
      <c r="B92" s="23" t="inlineStr">
        <is>
          <t>c194</t>
        </is>
      </c>
      <c r="C92" s="62" t="n">
        <v>11</v>
      </c>
      <c r="D92" s="25" t="inlineStr">
        <is>
          <t>a</t>
        </is>
      </c>
      <c r="E92" s="68" t="n">
        <v>11940102</v>
      </c>
      <c r="F92" s="23" t="inlineStr">
        <is>
          <t>Ashtoreth</t>
        </is>
      </c>
      <c r="G92" s="23" t="inlineStr">
        <is>
          <t>Base</t>
        </is>
      </c>
      <c r="H92" s="23" t="inlineStr">
        <is>
          <t>아슈토레스</t>
        </is>
      </c>
      <c r="J92" s="68" t="inlineStr">
        <is>
          <t>c194_01_F</t>
        </is>
      </c>
      <c r="K92" s="68" t="inlineStr">
        <is>
          <t>c194_01_L</t>
        </is>
      </c>
      <c r="L92" s="68" t="inlineStr">
        <is>
          <t>c194_01_Desc</t>
        </is>
      </c>
      <c r="M92" s="68">
        <f>$B92&amp;"_"&amp;TEXT($C92,"00")&amp;"_CV"</f>
        <v/>
      </c>
      <c r="N92" s="68" t="inlineStr">
        <is>
          <t>c194_01_ci_F</t>
        </is>
      </c>
      <c r="O92" s="68" t="inlineStr">
        <is>
          <t>CharacterIcon</t>
        </is>
      </c>
      <c r="P92" s="68" t="inlineStr">
        <is>
          <t>c194_01_p</t>
        </is>
      </c>
      <c r="Q92" s="68" t="inlineStr">
        <is>
          <t>CharacterPortrait</t>
        </is>
      </c>
      <c r="R92" s="68" t="inlineStr">
        <is>
          <t>Promotion_c194_01_p</t>
        </is>
      </c>
      <c r="S92" s="68" t="inlineStr">
        <is>
          <t>CharacterPromotion</t>
        </is>
      </c>
      <c r="T92" s="68">
        <f>B92&amp;"_"&amp;D92&amp;"_SkeletonData.asset"</f>
        <v/>
      </c>
      <c r="U92" s="68" t="inlineStr">
        <is>
          <t>c194_01_a</t>
        </is>
      </c>
      <c r="V92" s="68" t="inlineStr">
        <is>
          <t>Naninovel/Characters/c194_01</t>
        </is>
      </c>
      <c r="W92" s="68" t="inlineStr">
        <is>
          <t>Normal</t>
        </is>
      </c>
      <c r="X92" s="68" t="n">
        <v>1341231</v>
      </c>
      <c r="Y92" s="68" t="inlineStr">
        <is>
          <t>Active</t>
        </is>
      </c>
      <c r="Z92" s="68" t="n">
        <v>2341231</v>
      </c>
      <c r="AA92" s="68" t="inlineStr">
        <is>
          <t>Ultimate</t>
        </is>
      </c>
      <c r="AB92" s="68" t="n">
        <v>3341231</v>
      </c>
      <c r="AC92" s="68" t="inlineStr">
        <is>
          <t>Passive</t>
        </is>
      </c>
      <c r="AD92" s="68" t="n">
        <v>4341231</v>
      </c>
    </row>
    <row r="93">
      <c r="A93" s="24">
        <f>INT(TEXT(IF(LEFT(B93,1)="c",1,2)&amp;MID(B93,2,3),"000")&amp;TEXT(C93,"00"))</f>
        <v/>
      </c>
      <c r="B93" s="23" t="inlineStr">
        <is>
          <t>c124</t>
        </is>
      </c>
      <c r="C93" s="62" t="n">
        <v>11</v>
      </c>
      <c r="D93" s="25" t="inlineStr">
        <is>
          <t>a</t>
        </is>
      </c>
      <c r="E93" s="68" t="n">
        <v>11240102</v>
      </c>
      <c r="F93" s="23" t="inlineStr">
        <is>
          <t>Eve</t>
        </is>
      </c>
      <c r="G93" s="23" t="inlineStr">
        <is>
          <t>Base</t>
        </is>
      </c>
      <c r="H93" s="23" t="inlineStr">
        <is>
          <t>이브</t>
        </is>
      </c>
      <c r="J93" s="68" t="inlineStr">
        <is>
          <t>c124_01_F</t>
        </is>
      </c>
      <c r="K93" s="68" t="inlineStr">
        <is>
          <t>c124_01_L</t>
        </is>
      </c>
      <c r="L93" s="68" t="inlineStr">
        <is>
          <t>c124_01_Desc</t>
        </is>
      </c>
      <c r="M93" s="68">
        <f>$B93&amp;"_"&amp;TEXT($C93,"00")&amp;"_CV"</f>
        <v/>
      </c>
      <c r="N93" s="68" t="inlineStr">
        <is>
          <t>c124_01_ci_F</t>
        </is>
      </c>
      <c r="O93" s="68" t="inlineStr">
        <is>
          <t>CharacterIcon</t>
        </is>
      </c>
      <c r="P93" s="68" t="inlineStr">
        <is>
          <t>c124_01_p</t>
        </is>
      </c>
      <c r="Q93" s="68" t="inlineStr">
        <is>
          <t>CharacterPortrait</t>
        </is>
      </c>
      <c r="R93" s="68" t="inlineStr">
        <is>
          <t>Promotion_c124_01_p</t>
        </is>
      </c>
      <c r="S93" s="68" t="inlineStr">
        <is>
          <t>CharacterPromotion</t>
        </is>
      </c>
      <c r="T93" s="68">
        <f>B93&amp;"_"&amp;D93&amp;"_SkeletonData.asset"</f>
        <v/>
      </c>
      <c r="U93" s="68" t="inlineStr">
        <is>
          <t>c124_01_a</t>
        </is>
      </c>
      <c r="V93" s="68" t="inlineStr">
        <is>
          <t>Naninovel/Characters/c124_01</t>
        </is>
      </c>
      <c r="W93" s="68" t="inlineStr">
        <is>
          <t>Normal</t>
        </is>
      </c>
      <c r="X93" s="68" t="n">
        <v>1321241</v>
      </c>
      <c r="Y93" s="68" t="inlineStr">
        <is>
          <t>Active</t>
        </is>
      </c>
      <c r="Z93" s="68" t="n">
        <v>2321241</v>
      </c>
      <c r="AA93" s="68" t="inlineStr">
        <is>
          <t>Ultimate</t>
        </is>
      </c>
      <c r="AB93" s="68" t="n">
        <v>3321241</v>
      </c>
      <c r="AC93" s="68" t="inlineStr">
        <is>
          <t>Passive</t>
        </is>
      </c>
      <c r="AD93" s="68" t="n">
        <v>4321241</v>
      </c>
    </row>
    <row r="94">
      <c r="A94" s="24">
        <f>INT(TEXT(IF(LEFT(B94,1)="c",1,2)&amp;MID(B94,2,3),"000")&amp;TEXT(C94,"00"))</f>
        <v/>
      </c>
      <c r="B94" s="23" t="inlineStr">
        <is>
          <t>c336</t>
        </is>
      </c>
      <c r="C94" s="62" t="n">
        <v>11</v>
      </c>
      <c r="D94" s="25" t="inlineStr">
        <is>
          <t>a</t>
        </is>
      </c>
      <c r="E94" s="68" t="n">
        <v>13360102</v>
      </c>
      <c r="F94" s="23" t="inlineStr">
        <is>
          <t>Pan</t>
        </is>
      </c>
      <c r="G94" s="23" t="inlineStr">
        <is>
          <t>Base</t>
        </is>
      </c>
      <c r="H94" s="23" t="inlineStr">
        <is>
          <t>판</t>
        </is>
      </c>
      <c r="J94" s="68" t="inlineStr">
        <is>
          <t>c336_01_F</t>
        </is>
      </c>
      <c r="K94" s="68" t="inlineStr">
        <is>
          <t>c336_01_L</t>
        </is>
      </c>
      <c r="L94" s="68" t="inlineStr">
        <is>
          <t>c336_01_Desc</t>
        </is>
      </c>
      <c r="M94" s="68" t="inlineStr">
        <is>
          <t>c336_11_CV</t>
        </is>
      </c>
      <c r="N94" s="68" t="inlineStr">
        <is>
          <t>c336_01_ci_F</t>
        </is>
      </c>
      <c r="O94" s="68" t="inlineStr">
        <is>
          <t>CharacterIcon</t>
        </is>
      </c>
      <c r="P94" s="68" t="inlineStr">
        <is>
          <t>c336_01_p</t>
        </is>
      </c>
      <c r="Q94" s="68" t="inlineStr">
        <is>
          <t>CharacterPortrait</t>
        </is>
      </c>
      <c r="R94" s="68" t="inlineStr">
        <is>
          <t>Promotion_c336_01_p</t>
        </is>
      </c>
      <c r="S94" s="68" t="inlineStr">
        <is>
          <t>CharacterPromotion</t>
        </is>
      </c>
      <c r="T94" s="68">
        <f>B94&amp;"_"&amp;D94&amp;"_SkeletonData.asset"</f>
        <v/>
      </c>
      <c r="U94" s="68" t="inlineStr">
        <is>
          <t>c336_01_a</t>
        </is>
      </c>
      <c r="V94" s="68" t="inlineStr">
        <is>
          <t>Naninovel/Characters/c336_01</t>
        </is>
      </c>
      <c r="W94" s="68" t="inlineStr">
        <is>
          <t>Normal</t>
        </is>
      </c>
      <c r="X94" s="68" t="n">
        <v>1535261</v>
      </c>
      <c r="Y94" s="68" t="inlineStr">
        <is>
          <t>Active</t>
        </is>
      </c>
      <c r="Z94" s="68" t="n">
        <v>2535261</v>
      </c>
      <c r="AA94" s="68" t="inlineStr">
        <is>
          <t>Ultimate</t>
        </is>
      </c>
      <c r="AB94" s="68" t="n">
        <v>3535261</v>
      </c>
      <c r="AC94" s="68" t="inlineStr">
        <is>
          <t>Passive</t>
        </is>
      </c>
      <c r="AD94" s="68" t="n">
        <v>4535261</v>
      </c>
    </row>
    <row r="95">
      <c r="A95" s="24">
        <f>INT(TEXT(IF(LEFT(B95,1)="c",1,2)&amp;MID(B95,2,3),"000")&amp;TEXT(C95,"00"))</f>
        <v/>
      </c>
      <c r="B95" s="23" t="inlineStr">
        <is>
          <t>c445</t>
        </is>
      </c>
      <c r="C95" s="62" t="n">
        <v>11</v>
      </c>
      <c r="D95" s="25" t="inlineStr">
        <is>
          <t>a</t>
        </is>
      </c>
      <c r="E95" s="68" t="n">
        <v>14450102</v>
      </c>
      <c r="F95" s="23" t="inlineStr">
        <is>
          <t>Kalaratri</t>
        </is>
      </c>
      <c r="G95" s="23" t="inlineStr">
        <is>
          <t>Base</t>
        </is>
      </c>
      <c r="H95" s="23" t="inlineStr">
        <is>
          <t>카라라트리</t>
        </is>
      </c>
      <c r="J95" s="68" t="inlineStr">
        <is>
          <t>c445_01_F</t>
        </is>
      </c>
      <c r="K95" s="68" t="inlineStr">
        <is>
          <t>c445_01_L</t>
        </is>
      </c>
      <c r="L95" s="68" t="inlineStr">
        <is>
          <t>c445_01_Desc</t>
        </is>
      </c>
      <c r="M95" s="68" t="inlineStr">
        <is>
          <t>c445_01_CV</t>
        </is>
      </c>
      <c r="N95" s="68" t="inlineStr">
        <is>
          <t>c445_01_ci_F</t>
        </is>
      </c>
      <c r="O95" s="68" t="inlineStr">
        <is>
          <t>CharacterIcon</t>
        </is>
      </c>
      <c r="P95" s="68" t="inlineStr">
        <is>
          <t>c445_01_p</t>
        </is>
      </c>
      <c r="Q95" s="68" t="inlineStr">
        <is>
          <t>CharacterPortrait</t>
        </is>
      </c>
      <c r="R95" s="68" t="inlineStr">
        <is>
          <t>Promotion_c445_01_p</t>
        </is>
      </c>
      <c r="S95" s="68" t="inlineStr">
        <is>
          <t>CharacterPromotion</t>
        </is>
      </c>
      <c r="T95" s="68">
        <f>B95&amp;"_"&amp;D95&amp;"_SkeletonData.asset"</f>
        <v/>
      </c>
      <c r="U95" s="68" t="inlineStr">
        <is>
          <t>c445_01_a</t>
        </is>
      </c>
      <c r="V95" s="68" t="inlineStr">
        <is>
          <t>Naninovel/Characters/c445_01</t>
        </is>
      </c>
      <c r="W95" s="68" t="inlineStr">
        <is>
          <t>Normal</t>
        </is>
      </c>
      <c r="X95" s="68" t="n">
        <v>1513271</v>
      </c>
      <c r="Y95" s="68" t="inlineStr">
        <is>
          <t>Active</t>
        </is>
      </c>
      <c r="Z95" s="68" t="n">
        <v>2513271</v>
      </c>
      <c r="AA95" s="68" t="inlineStr">
        <is>
          <t>Ultimate</t>
        </is>
      </c>
      <c r="AB95" s="68" t="n">
        <v>3513271</v>
      </c>
      <c r="AC95" s="68" t="inlineStr">
        <is>
          <t>Passive</t>
        </is>
      </c>
      <c r="AD95" s="68" t="n">
        <v>4513271</v>
      </c>
    </row>
    <row r="96">
      <c r="A96" s="24">
        <f>INT(TEXT(IF(LEFT(B96,1)="c",1,2)&amp;MID(B96,2,3),"000")&amp;TEXT(C96,"00"))</f>
        <v/>
      </c>
      <c r="B96" s="23" t="inlineStr">
        <is>
          <t>c461</t>
        </is>
      </c>
      <c r="C96" s="62" t="n">
        <v>11</v>
      </c>
      <c r="D96" s="25" t="inlineStr">
        <is>
          <t>a</t>
        </is>
      </c>
      <c r="E96" s="68" t="n">
        <v>14610102</v>
      </c>
      <c r="F96" s="23" t="inlineStr">
        <is>
          <t>Aurora</t>
        </is>
      </c>
      <c r="G96" s="23" t="inlineStr">
        <is>
          <t>Base</t>
        </is>
      </c>
      <c r="H96" s="23" t="inlineStr">
        <is>
          <t>아우로라</t>
        </is>
      </c>
      <c r="J96" s="68" t="inlineStr">
        <is>
          <t>c461_01_F</t>
        </is>
      </c>
      <c r="K96" s="68" t="inlineStr">
        <is>
          <t>c461_01_L</t>
        </is>
      </c>
      <c r="L96" s="68" t="inlineStr">
        <is>
          <t>c461_01_Desc</t>
        </is>
      </c>
      <c r="M96" s="68" t="inlineStr">
        <is>
          <t>c461_01_CV</t>
        </is>
      </c>
      <c r="N96" s="68" t="inlineStr">
        <is>
          <t>c461_01_ci_F</t>
        </is>
      </c>
      <c r="O96" s="68" t="inlineStr">
        <is>
          <t>CharacterIcon</t>
        </is>
      </c>
      <c r="P96" s="68" t="inlineStr">
        <is>
          <t>c461_01_p</t>
        </is>
      </c>
      <c r="Q96" s="68" t="inlineStr">
        <is>
          <t>CharacterPortrait</t>
        </is>
      </c>
      <c r="R96" s="68" t="inlineStr">
        <is>
          <t>Promotion_c461_01_p</t>
        </is>
      </c>
      <c r="S96" s="68" t="inlineStr">
        <is>
          <t>CharacterPromotion</t>
        </is>
      </c>
      <c r="T96" s="68">
        <f>B96&amp;"_"&amp;D96&amp;"_SkeletonData.asset"</f>
        <v/>
      </c>
      <c r="U96" s="68" t="inlineStr">
        <is>
          <t>c461_01_a</t>
        </is>
      </c>
      <c r="V96" s="68" t="inlineStr">
        <is>
          <t>Naninovel/Characters/c461_01</t>
        </is>
      </c>
      <c r="W96" s="68" t="inlineStr">
        <is>
          <t>Normal</t>
        </is>
      </c>
      <c r="X96" s="68" t="n">
        <v>1534281</v>
      </c>
      <c r="Y96" s="68" t="inlineStr">
        <is>
          <t>Active</t>
        </is>
      </c>
      <c r="Z96" s="68" t="n">
        <v>2534281</v>
      </c>
      <c r="AA96" s="68" t="inlineStr">
        <is>
          <t>Ultimate</t>
        </is>
      </c>
      <c r="AB96" s="68" t="n">
        <v>3534281</v>
      </c>
      <c r="AC96" s="68" t="inlineStr">
        <is>
          <t>Passive</t>
        </is>
      </c>
      <c r="AD96" s="68" t="n">
        <v>4534281</v>
      </c>
    </row>
    <row r="97">
      <c r="A97" s="24">
        <f>INT(TEXT(IF(LEFT(B97,1)="c",1,2)&amp;MID(B97,2,3),"000")&amp;TEXT(C97,"00"))</f>
        <v/>
      </c>
      <c r="B97" s="23" t="inlineStr">
        <is>
          <t>c283</t>
        </is>
      </c>
      <c r="C97" s="62" t="n">
        <v>11</v>
      </c>
      <c r="D97" s="25" t="inlineStr">
        <is>
          <t>a</t>
        </is>
      </c>
      <c r="E97" s="68" t="n">
        <v>12830102</v>
      </c>
      <c r="F97" s="23" t="inlineStr">
        <is>
          <t>Morgan</t>
        </is>
      </c>
      <c r="G97" s="23" t="inlineStr">
        <is>
          <t>Base</t>
        </is>
      </c>
      <c r="H97" s="23" t="inlineStr">
        <is>
          <t>모건</t>
        </is>
      </c>
      <c r="J97" s="68" t="inlineStr">
        <is>
          <t>c283_01_F</t>
        </is>
      </c>
      <c r="K97" s="68" t="inlineStr">
        <is>
          <t>c283_01_L</t>
        </is>
      </c>
      <c r="L97" s="68" t="inlineStr">
        <is>
          <t>c283_01_Desc</t>
        </is>
      </c>
      <c r="M97" s="68" t="inlineStr">
        <is>
          <t>c283_01_CV</t>
        </is>
      </c>
      <c r="N97" s="68" t="inlineStr">
        <is>
          <t>c283_01_ci_F</t>
        </is>
      </c>
      <c r="O97" s="68" t="inlineStr">
        <is>
          <t>CharacterIcon</t>
        </is>
      </c>
      <c r="P97" s="68" t="inlineStr">
        <is>
          <t>c283_01_p</t>
        </is>
      </c>
      <c r="Q97" s="68" t="inlineStr">
        <is>
          <t>CharacterPortrait</t>
        </is>
      </c>
      <c r="R97" s="68" t="inlineStr">
        <is>
          <t>Promotion_c283_01_p</t>
        </is>
      </c>
      <c r="S97" s="68" t="inlineStr">
        <is>
          <t>CharacterPromotion</t>
        </is>
      </c>
      <c r="T97" s="68">
        <f>B97&amp;"_"&amp;D97&amp;"_SkeletonData.asset"</f>
        <v/>
      </c>
      <c r="U97" s="68" t="inlineStr">
        <is>
          <t>c283_01_a</t>
        </is>
      </c>
      <c r="V97" s="68" t="inlineStr">
        <is>
          <t>Naninovel/Characters/c283_01</t>
        </is>
      </c>
      <c r="W97" s="68" t="inlineStr">
        <is>
          <t>Normal</t>
        </is>
      </c>
      <c r="X97" s="68" t="n">
        <v>1511291</v>
      </c>
      <c r="Y97" s="68" t="inlineStr">
        <is>
          <t>Active</t>
        </is>
      </c>
      <c r="Z97" s="68" t="n">
        <v>2511291</v>
      </c>
      <c r="AA97" s="68" t="inlineStr">
        <is>
          <t>Ultimate</t>
        </is>
      </c>
      <c r="AB97" s="68" t="n">
        <v>3511291</v>
      </c>
      <c r="AC97" s="68" t="inlineStr">
        <is>
          <t>Passive</t>
        </is>
      </c>
      <c r="AD97" s="68" t="n">
        <v>4511291</v>
      </c>
    </row>
    <row r="98">
      <c r="A98" s="24">
        <f>INT(TEXT(IF(LEFT(B98,1)="c",1,2)&amp;MID(B98,2,3),"000")&amp;TEXT(C98,"00"))</f>
        <v/>
      </c>
      <c r="B98" s="23" t="inlineStr">
        <is>
          <t>c400</t>
        </is>
      </c>
      <c r="C98" s="62" t="n">
        <v>11</v>
      </c>
      <c r="D98" s="25" t="inlineStr">
        <is>
          <t>a</t>
        </is>
      </c>
      <c r="E98" s="68" t="n">
        <v>14000102</v>
      </c>
      <c r="F98" s="23" t="inlineStr">
        <is>
          <t>Banshee</t>
        </is>
      </c>
      <c r="G98" s="23" t="inlineStr">
        <is>
          <t>Base</t>
        </is>
      </c>
      <c r="H98" s="23" t="inlineStr">
        <is>
          <t>반시</t>
        </is>
      </c>
      <c r="J98" s="68" t="inlineStr">
        <is>
          <t>c400_01_F</t>
        </is>
      </c>
      <c r="K98" s="68" t="inlineStr">
        <is>
          <t>c400_01_L</t>
        </is>
      </c>
      <c r="L98" s="68" t="inlineStr">
        <is>
          <t>c400_01_Desc</t>
        </is>
      </c>
      <c r="M98" s="68" t="inlineStr">
        <is>
          <t>c400_01_CV</t>
        </is>
      </c>
      <c r="N98" s="68" t="inlineStr">
        <is>
          <t>c400_01_ci_F</t>
        </is>
      </c>
      <c r="O98" s="68" t="inlineStr">
        <is>
          <t>CharacterIcon</t>
        </is>
      </c>
      <c r="P98" s="68" t="inlineStr">
        <is>
          <t>c400_01_p</t>
        </is>
      </c>
      <c r="Q98" s="68" t="inlineStr">
        <is>
          <t>CharacterPortrait</t>
        </is>
      </c>
      <c r="R98" s="68" t="inlineStr">
        <is>
          <t>Promotion_c400_01_p</t>
        </is>
      </c>
      <c r="S98" s="68" t="inlineStr">
        <is>
          <t>CharacterPromotion</t>
        </is>
      </c>
      <c r="T98" s="68">
        <f>B98&amp;"_"&amp;D98&amp;"_SkeletonData.asset"</f>
        <v/>
      </c>
      <c r="U98" s="68" t="inlineStr">
        <is>
          <t>c400_01_a</t>
        </is>
      </c>
      <c r="V98" s="68" t="inlineStr">
        <is>
          <t>Naninovel/Characters/c400_01</t>
        </is>
      </c>
      <c r="W98" s="68" t="inlineStr">
        <is>
          <t>Normal</t>
        </is>
      </c>
      <c r="X98" s="68" t="n">
        <v>1551301</v>
      </c>
      <c r="Y98" s="68" t="inlineStr">
        <is>
          <t>Active</t>
        </is>
      </c>
      <c r="Z98" s="68" t="n">
        <v>2551301</v>
      </c>
      <c r="AA98" s="68" t="inlineStr">
        <is>
          <t>Ultimate</t>
        </is>
      </c>
      <c r="AB98" s="68" t="n">
        <v>3551301</v>
      </c>
      <c r="AC98" s="68" t="inlineStr">
        <is>
          <t>Passive</t>
        </is>
      </c>
      <c r="AD98" s="68" t="n">
        <v>4551301</v>
      </c>
    </row>
    <row r="99">
      <c r="A99" s="24">
        <f>INT(TEXT(IF(LEFT(B99,1)="c",1,2)&amp;MID(B99,2,3),"000")&amp;TEXT(C99,"00"))</f>
        <v/>
      </c>
      <c r="B99" s="23" t="inlineStr">
        <is>
          <t>c447</t>
        </is>
      </c>
      <c r="C99" s="62" t="n">
        <v>11</v>
      </c>
      <c r="D99" s="25" t="inlineStr">
        <is>
          <t>a</t>
        </is>
      </c>
      <c r="E99" s="68" t="n">
        <v>14470102</v>
      </c>
      <c r="F99" s="23" t="inlineStr">
        <is>
          <t>Miriam</t>
        </is>
      </c>
      <c r="G99" s="23" t="inlineStr">
        <is>
          <t>Base</t>
        </is>
      </c>
      <c r="H99" s="23" t="inlineStr">
        <is>
          <t>미리암</t>
        </is>
      </c>
      <c r="J99" s="68" t="inlineStr">
        <is>
          <t>c447_01_F</t>
        </is>
      </c>
      <c r="K99" s="68" t="inlineStr">
        <is>
          <t>c447_01_L</t>
        </is>
      </c>
      <c r="L99" s="68" t="inlineStr">
        <is>
          <t>c447_01_Desc</t>
        </is>
      </c>
      <c r="M99" s="68" t="inlineStr">
        <is>
          <t>c447_01_CV</t>
        </is>
      </c>
      <c r="N99" s="68" t="inlineStr">
        <is>
          <t>c447_01_ci_F</t>
        </is>
      </c>
      <c r="O99" s="68" t="inlineStr">
        <is>
          <t>CharacterIcon</t>
        </is>
      </c>
      <c r="P99" s="68" t="inlineStr">
        <is>
          <t>c447_01_p</t>
        </is>
      </c>
      <c r="Q99" s="68" t="inlineStr">
        <is>
          <t>CharacterPortrait</t>
        </is>
      </c>
      <c r="R99" s="68" t="inlineStr">
        <is>
          <t>Promotion_c447_01_p</t>
        </is>
      </c>
      <c r="S99" s="68" t="inlineStr">
        <is>
          <t>CharacterPromotion</t>
        </is>
      </c>
      <c r="T99" s="68">
        <f>B99&amp;"_"&amp;D99&amp;"_SkeletonData.asset"</f>
        <v/>
      </c>
      <c r="U99" s="68" t="inlineStr">
        <is>
          <t>c447_01_a</t>
        </is>
      </c>
      <c r="V99" s="68" t="inlineStr">
        <is>
          <t>Naninovel/Characters/c447_01</t>
        </is>
      </c>
      <c r="W99" s="68" t="inlineStr">
        <is>
          <t>Normal</t>
        </is>
      </c>
      <c r="X99" s="68" t="n">
        <v>1531311</v>
      </c>
      <c r="Y99" s="68" t="inlineStr">
        <is>
          <t>Active</t>
        </is>
      </c>
      <c r="Z99" s="68" t="n">
        <v>2531311</v>
      </c>
      <c r="AA99" s="68" t="inlineStr">
        <is>
          <t>Ultimate</t>
        </is>
      </c>
      <c r="AB99" s="68" t="n">
        <v>3531311</v>
      </c>
      <c r="AC99" s="68" t="inlineStr">
        <is>
          <t>Passive</t>
        </is>
      </c>
      <c r="AD99" s="68" t="n">
        <v>4531311</v>
      </c>
    </row>
    <row r="100">
      <c r="A100" s="24">
        <f>INT(TEXT(IF(LEFT(B100,1)="c",1,2)&amp;MID(B100,2,3),"000")&amp;TEXT(C100,"00"))</f>
        <v/>
      </c>
      <c r="B100" s="23" t="inlineStr">
        <is>
          <t>c462</t>
        </is>
      </c>
      <c r="C100" s="62" t="n">
        <v>11</v>
      </c>
      <c r="D100" s="25" t="inlineStr">
        <is>
          <t>a</t>
        </is>
      </c>
      <c r="E100" s="68" t="n">
        <v>14620102</v>
      </c>
      <c r="F100" s="23" t="inlineStr">
        <is>
          <t>Theresa</t>
        </is>
      </c>
      <c r="G100" s="23" t="inlineStr">
        <is>
          <t>Base</t>
        </is>
      </c>
      <c r="H100" s="23" t="inlineStr">
        <is>
          <t>데레사</t>
        </is>
      </c>
      <c r="J100" s="68" t="inlineStr">
        <is>
          <t>c462_01_F</t>
        </is>
      </c>
      <c r="K100" s="68" t="inlineStr">
        <is>
          <t>c462_01_L</t>
        </is>
      </c>
      <c r="L100" s="68" t="inlineStr">
        <is>
          <t>c462_01_Desc</t>
        </is>
      </c>
      <c r="M100" s="68" t="inlineStr">
        <is>
          <t>c462_01_CV</t>
        </is>
      </c>
      <c r="N100" s="68" t="inlineStr">
        <is>
          <t>c462_01_ci_F</t>
        </is>
      </c>
      <c r="O100" s="68" t="inlineStr">
        <is>
          <t>CharacterIcon</t>
        </is>
      </c>
      <c r="P100" s="68" t="inlineStr">
        <is>
          <t>c462_01_p</t>
        </is>
      </c>
      <c r="Q100" s="68" t="inlineStr">
        <is>
          <t>CharacterPortrait</t>
        </is>
      </c>
      <c r="R100" s="68" t="inlineStr">
        <is>
          <t>Promotion_c462_01_p</t>
        </is>
      </c>
      <c r="S100" s="68" t="inlineStr">
        <is>
          <t>CharacterPromotion</t>
        </is>
      </c>
      <c r="T100" s="68">
        <f>B100&amp;"_"&amp;D100&amp;"_SkeletonData.asset"</f>
        <v/>
      </c>
      <c r="U100" s="68" t="inlineStr">
        <is>
          <t>c462_01_a</t>
        </is>
      </c>
      <c r="V100" s="68" t="inlineStr">
        <is>
          <t>Naninovel/Characters/c462_01</t>
        </is>
      </c>
      <c r="W100" s="68" t="inlineStr">
        <is>
          <t>Normal</t>
        </is>
      </c>
      <c r="X100" s="68" t="n">
        <v>1512321</v>
      </c>
      <c r="Y100" s="68" t="inlineStr">
        <is>
          <t>Active</t>
        </is>
      </c>
      <c r="Z100" s="68" t="n">
        <v>2512321</v>
      </c>
      <c r="AA100" s="68" t="inlineStr">
        <is>
          <t>Ultimate</t>
        </is>
      </c>
      <c r="AB100" s="68" t="n">
        <v>3512321</v>
      </c>
      <c r="AC100" s="68" t="inlineStr">
        <is>
          <t>Passive</t>
        </is>
      </c>
      <c r="AD100" s="68" t="n">
        <v>4512321</v>
      </c>
    </row>
    <row r="101">
      <c r="A101" s="24">
        <f>INT(TEXT(IF(LEFT(B101,1)="c",1,2)&amp;MID(B101,2,3),"000")&amp;TEXT(C101,"00"))</f>
        <v/>
      </c>
      <c r="B101" s="23" t="inlineStr">
        <is>
          <t>c281</t>
        </is>
      </c>
      <c r="C101" s="62" t="n">
        <v>11</v>
      </c>
      <c r="D101" s="25" t="inlineStr">
        <is>
          <t>a</t>
        </is>
      </c>
      <c r="E101" s="68" t="n">
        <v>14620102</v>
      </c>
      <c r="F101" s="23" t="inlineStr">
        <is>
          <t xml:space="preserve">Thisbe </t>
        </is>
      </c>
      <c r="G101" s="23" t="inlineStr">
        <is>
          <t>Base</t>
        </is>
      </c>
      <c r="H101" s="23" t="inlineStr">
        <is>
          <t>티스베</t>
        </is>
      </c>
      <c r="J101" s="68" t="inlineStr">
        <is>
          <t>c281_01_F</t>
        </is>
      </c>
      <c r="K101" s="68" t="inlineStr">
        <is>
          <t>c281_01_L</t>
        </is>
      </c>
      <c r="L101" s="68" t="inlineStr">
        <is>
          <t>c281_01_Desc</t>
        </is>
      </c>
      <c r="M101" s="68" t="inlineStr">
        <is>
          <t>c281_01_CV</t>
        </is>
      </c>
      <c r="N101" s="68" t="inlineStr">
        <is>
          <t>c281_01_ci_F</t>
        </is>
      </c>
      <c r="O101" s="68" t="inlineStr">
        <is>
          <t>CharacterIcon</t>
        </is>
      </c>
      <c r="P101" s="68" t="inlineStr">
        <is>
          <t>c281_01_p</t>
        </is>
      </c>
      <c r="Q101" s="68" t="inlineStr">
        <is>
          <t>CharacterPortrait</t>
        </is>
      </c>
      <c r="R101" s="68" t="inlineStr">
        <is>
          <t>Promotion_c281_01_p</t>
        </is>
      </c>
      <c r="S101" s="68" t="inlineStr">
        <is>
          <t>CharacterPromotion</t>
        </is>
      </c>
      <c r="T101" s="68">
        <f>B101&amp;"_"&amp;D101&amp;"_SkeletonData.asset"</f>
        <v/>
      </c>
      <c r="U101" s="68" t="inlineStr">
        <is>
          <t>c281_01_a</t>
        </is>
      </c>
      <c r="V101" s="68" t="inlineStr">
        <is>
          <t>Naninovel/Characters/c281_01</t>
        </is>
      </c>
      <c r="W101" s="68" t="inlineStr">
        <is>
          <t>Normal</t>
        </is>
      </c>
      <c r="X101" s="68" t="n">
        <v>1524331</v>
      </c>
      <c r="Y101" s="68" t="inlineStr">
        <is>
          <t>Active</t>
        </is>
      </c>
      <c r="Z101" s="68" t="n">
        <v>2524331</v>
      </c>
      <c r="AA101" s="68" t="inlineStr">
        <is>
          <t>Ultimate</t>
        </is>
      </c>
      <c r="AB101" s="68" t="n">
        <v>3524331</v>
      </c>
      <c r="AC101" s="68" t="inlineStr">
        <is>
          <t>Passive</t>
        </is>
      </c>
      <c r="AD101" s="68" t="n">
        <v>4524331</v>
      </c>
    </row>
    <row r="102">
      <c r="A102" s="24">
        <f>INT(TEXT(IF(LEFT(B102,1)="c",1,2)&amp;MID(B102,2,3),"000")&amp;TEXT(C102,"00"))</f>
        <v/>
      </c>
      <c r="B102" s="23" t="inlineStr">
        <is>
          <t>c514</t>
        </is>
      </c>
      <c r="C102" s="62" t="n">
        <v>11</v>
      </c>
      <c r="D102" s="25" t="inlineStr">
        <is>
          <t>a</t>
        </is>
      </c>
      <c r="E102" s="68" t="n">
        <v>14620102</v>
      </c>
      <c r="F102" s="23" t="inlineStr">
        <is>
          <t xml:space="preserve">Duetsha </t>
        </is>
      </c>
      <c r="G102" s="23" t="inlineStr">
        <is>
          <t>Base</t>
        </is>
      </c>
      <c r="H102" s="23" t="inlineStr">
        <is>
          <t>두엣샤</t>
        </is>
      </c>
      <c r="J102" s="68" t="inlineStr">
        <is>
          <t>c514_01_F</t>
        </is>
      </c>
      <c r="K102" s="68" t="inlineStr">
        <is>
          <t>c514_01_L</t>
        </is>
      </c>
      <c r="L102" s="68" t="inlineStr">
        <is>
          <t>c514_01_Desc</t>
        </is>
      </c>
      <c r="M102" s="68" t="inlineStr">
        <is>
          <t>c514_01_CV</t>
        </is>
      </c>
      <c r="N102" s="68" t="inlineStr">
        <is>
          <t>c514_01_ci_F</t>
        </is>
      </c>
      <c r="O102" s="68" t="inlineStr">
        <is>
          <t>CharacterIcon</t>
        </is>
      </c>
      <c r="P102" s="68" t="inlineStr">
        <is>
          <t>c514_01_p</t>
        </is>
      </c>
      <c r="Q102" s="68" t="inlineStr">
        <is>
          <t>CharacterPortrait</t>
        </is>
      </c>
      <c r="R102" s="68" t="inlineStr">
        <is>
          <t>Promotion_c514_01_p</t>
        </is>
      </c>
      <c r="S102" s="68" t="inlineStr">
        <is>
          <t>CharacterPromotion</t>
        </is>
      </c>
      <c r="T102" s="68">
        <f>B102&amp;"_"&amp;D102&amp;"_SkeletonData.asset"</f>
        <v/>
      </c>
      <c r="U102" s="68" t="inlineStr">
        <is>
          <t>c514_01_a</t>
        </is>
      </c>
      <c r="V102" s="68" t="inlineStr">
        <is>
          <t>Naninovel/Characters/c514_01</t>
        </is>
      </c>
      <c r="W102" s="68" t="inlineStr">
        <is>
          <t>Normal</t>
        </is>
      </c>
      <c r="X102" s="68" t="n">
        <v>1451341</v>
      </c>
      <c r="Y102" s="68" t="inlineStr">
        <is>
          <t>Active</t>
        </is>
      </c>
      <c r="Z102" s="68" t="n">
        <v>2451341</v>
      </c>
      <c r="AA102" s="68" t="inlineStr">
        <is>
          <t>Ultimate</t>
        </is>
      </c>
      <c r="AB102" s="68" t="n">
        <v>3451341</v>
      </c>
      <c r="AC102" s="68" t="inlineStr">
        <is>
          <t>Passive</t>
        </is>
      </c>
      <c r="AD102" s="68" t="n">
        <v>4451341</v>
      </c>
    </row>
  </sheetData>
  <autoFilter ref="A3:V3">
    <sortState ref="A4:V30">
      <sortCondition ref="E3"/>
    </sortState>
  </autoFilter>
  <conditionalFormatting sqref="A1:A1048576">
    <cfRule type="duplicateValues" priority="18" dxfId="0"/>
  </conditionalFormatting>
  <conditionalFormatting sqref="X36">
    <cfRule type="duplicateValues" priority="12" dxfId="0"/>
  </conditionalFormatting>
  <conditionalFormatting sqref="Z36">
    <cfRule type="duplicateValues" priority="11" dxfId="0"/>
  </conditionalFormatting>
  <conditionalFormatting sqref="AB36">
    <cfRule type="duplicateValues" priority="10" dxfId="0"/>
  </conditionalFormatting>
  <conditionalFormatting sqref="AD36">
    <cfRule type="duplicateValues" priority="9" dxfId="0"/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7"/>
  <sheetViews>
    <sheetView topLeftCell="A130" zoomScaleNormal="100" workbookViewId="0">
      <selection activeCell="D181" sqref="D181"/>
    </sheetView>
  </sheetViews>
  <sheetFormatPr baseColWidth="8" defaultRowHeight="12"/>
  <cols>
    <col width="9" customWidth="1" style="1" min="1" max="4"/>
    <col width="33.875" bestFit="1" customWidth="1" style="1" min="5" max="5"/>
    <col width="33.75" bestFit="1" customWidth="1" style="1" min="6" max="6"/>
    <col width="23.875" bestFit="1" customWidth="1" style="1" min="7" max="7"/>
    <col width="9" customWidth="1" style="1" min="8" max="12"/>
    <col width="9" customWidth="1" style="1" min="13" max="16384"/>
  </cols>
  <sheetData>
    <row r="1">
      <c r="A1" s="1" t="inlineStr">
        <is>
          <t>Id</t>
        </is>
      </c>
      <c r="B1" s="1" t="inlineStr">
        <is>
          <t>#캐릭터</t>
        </is>
      </c>
      <c r="C1" s="1" t="inlineStr">
        <is>
          <t>#SkillType</t>
        </is>
      </c>
      <c r="D1" s="1" t="inlineStr">
        <is>
          <t>#Name</t>
        </is>
      </c>
      <c r="E1" s="1" t="inlineStr">
        <is>
          <t>Front</t>
        </is>
      </c>
      <c r="F1" s="1" t="inlineStr">
        <is>
          <t>Back</t>
        </is>
      </c>
      <c r="G1" s="1" t="inlineStr">
        <is>
          <t>CutIn</t>
        </is>
      </c>
    </row>
    <row r="4">
      <c r="A4" s="1" t="n">
        <v>1511031</v>
      </c>
      <c r="C4" s="1">
        <f t="array" ref="C4">_xlfn.IFS(INT(LEFT(A4,1))=1,"Normal", INT(LEFT(A4,1))=2,"Active", INT(LEFT(A4,1))=3,"Ultimate", INT(LEFT(A4,1))=4,"Passive")</f>
        <v/>
      </c>
      <c r="D4" s="1" t="inlineStr">
        <is>
          <t>c003_a</t>
        </is>
      </c>
      <c r="E4" s="1">
        <f>IF(C4="Passive","NULL",$D4&amp;"/"&amp;LOWER($D4&amp;"_"&amp;$C4&amp;"_front.prefab"))</f>
        <v/>
      </c>
      <c r="F4" s="1">
        <f>IF(C4="Passive","NULL",$D4&amp;"/"&amp;LOWER($D4&amp;"_"&amp;$C4&amp;"_Back.prefab"))</f>
        <v/>
      </c>
      <c r="G4" s="1" t="inlineStr">
        <is>
          <t>NULL</t>
        </is>
      </c>
    </row>
    <row r="5">
      <c r="A5" s="1" t="n">
        <v>2511031</v>
      </c>
      <c r="C5" s="1">
        <f t="array" ref="C5">_xlfn.IFS(INT(LEFT(A5,1))=1,"Normal", INT(LEFT(A5,1))=2,"Active", INT(LEFT(A5,1))=3,"Ultimate", INT(LEFT(A5,1))=4,"Passive")</f>
        <v/>
      </c>
      <c r="D5" s="1" t="inlineStr">
        <is>
          <t>c003_a</t>
        </is>
      </c>
      <c r="E5" s="1">
        <f>IF(C5="Passive","NULL",$D5&amp;"/"&amp;LOWER($D5&amp;"_"&amp;$C5&amp;"_front.prefab"))</f>
        <v/>
      </c>
      <c r="F5" s="1">
        <f>IF(C5="Passive","NULL",$D5&amp;"/"&amp;LOWER($D5&amp;"_"&amp;$C5&amp;"_Back.prefab"))</f>
        <v/>
      </c>
      <c r="G5" s="1" t="inlineStr">
        <is>
          <t>NULL</t>
        </is>
      </c>
    </row>
    <row r="6">
      <c r="A6" s="1" t="n">
        <v>3511031</v>
      </c>
      <c r="C6" s="1">
        <f t="array" ref="C6">_xlfn.IFS(INT(LEFT(A6,1))=1,"Normal", INT(LEFT(A6,1))=2,"Active", INT(LEFT(A6,1))=3,"Ultimate", INT(LEFT(A6,1))=4,"Passive")</f>
        <v/>
      </c>
      <c r="D6" s="1" t="inlineStr">
        <is>
          <t>c003_a</t>
        </is>
      </c>
      <c r="E6" s="1">
        <f>IF(C6="Passive","NULL",$D6&amp;"/"&amp;LOWER($D6&amp;"_"&amp;$C6&amp;"_front.prefab"))</f>
        <v/>
      </c>
      <c r="F6" s="1">
        <f>IF(C6="Passive","NULL",$D6&amp;"/"&amp;LOWER($D6&amp;"_"&amp;$C6&amp;"_Back.prefab"))</f>
        <v/>
      </c>
      <c r="G6" s="1" t="inlineStr">
        <is>
          <t>NULL</t>
        </is>
      </c>
    </row>
    <row r="7">
      <c r="A7" s="1" t="n">
        <v>4511031</v>
      </c>
      <c r="C7" s="1">
        <f t="array" ref="C7">_xlfn.IFS(INT(LEFT(A7,1))=1,"Normal", INT(LEFT(A7,1))=2,"Active", INT(LEFT(A7,1))=3,"Ultimate", INT(LEFT(A7,1))=4,"Passive")</f>
        <v/>
      </c>
      <c r="D7" s="1" t="inlineStr">
        <is>
          <t>c003_a</t>
        </is>
      </c>
      <c r="E7" s="1">
        <f>IF(C7="Passive","NULL",$D7&amp;"/"&amp;LOWER($D7&amp;"_"&amp;$C7&amp;"_front.prefab"))</f>
        <v/>
      </c>
      <c r="F7" s="1">
        <f>IF(C7="Passive","NULL",$D7&amp;"/"&amp;LOWER($D7&amp;"_"&amp;$C7&amp;"_Back.prefab"))</f>
        <v/>
      </c>
      <c r="G7" s="1" t="inlineStr">
        <is>
          <t>NULL</t>
        </is>
      </c>
    </row>
    <row r="8">
      <c r="A8" s="1" t="n">
        <v>1532071</v>
      </c>
      <c r="C8" s="1">
        <f t="array" ref="C8">_xlfn.IFS(INT(LEFT(A8,1))=1,"Normal", INT(LEFT(A8,1))=2,"Active", INT(LEFT(A8,1))=3,"Ultimate", INT(LEFT(A8,1))=4,"Passive")</f>
        <v/>
      </c>
      <c r="D8" s="1" t="inlineStr">
        <is>
          <t>c180_a</t>
        </is>
      </c>
      <c r="E8" s="1">
        <f>IF(C8="Passive","NULL",$D8&amp;"/"&amp;LOWER($D8&amp;"_"&amp;$C8&amp;"_front.prefab"))</f>
        <v/>
      </c>
      <c r="F8" s="1">
        <f>IF(C8="Passive","NULL",$D8&amp;"/"&amp;LOWER($D8&amp;"_"&amp;$C8&amp;"_Back.prefab"))</f>
        <v/>
      </c>
      <c r="G8" s="1" t="inlineStr">
        <is>
          <t>NULL</t>
        </is>
      </c>
    </row>
    <row r="9">
      <c r="A9" s="1" t="n">
        <v>2532071</v>
      </c>
      <c r="C9" s="1">
        <f t="array" ref="C9">_xlfn.IFS(INT(LEFT(A9,1))=1,"Normal", INT(LEFT(A9,1))=2,"Active", INT(LEFT(A9,1))=3,"Ultimate", INT(LEFT(A9,1))=4,"Passive")</f>
        <v/>
      </c>
      <c r="D9" s="1" t="inlineStr">
        <is>
          <t>c180_a</t>
        </is>
      </c>
      <c r="E9" s="1">
        <f>IF(C9="Passive","NULL",$D9&amp;"/"&amp;LOWER($D9&amp;"_"&amp;$C9&amp;"_front.prefab"))</f>
        <v/>
      </c>
      <c r="F9" s="1">
        <f>IF(C9="Passive","NULL",$D9&amp;"/"&amp;LOWER($D9&amp;"_"&amp;$C9&amp;"_Back.prefab"))</f>
        <v/>
      </c>
      <c r="G9" s="1" t="inlineStr">
        <is>
          <t>NULL</t>
        </is>
      </c>
    </row>
    <row r="10">
      <c r="A10" s="1" t="n">
        <v>3532071</v>
      </c>
      <c r="C10" s="1">
        <f t="array" ref="C10">_xlfn.IFS(INT(LEFT(A10,1))=1,"Normal", INT(LEFT(A10,1))=2,"Active", INT(LEFT(A10,1))=3,"Ultimate", INT(LEFT(A10,1))=4,"Passive")</f>
        <v/>
      </c>
      <c r="D10" s="1" t="inlineStr">
        <is>
          <t>c180_a</t>
        </is>
      </c>
      <c r="E10" s="1">
        <f>IF(C10="Passive","NULL",$D10&amp;"/"&amp;LOWER($D10&amp;"_"&amp;$C10&amp;"_front.prefab"))</f>
        <v/>
      </c>
      <c r="F10" s="1">
        <f>IF(C10="Passive","NULL",$D10&amp;"/"&amp;LOWER($D10&amp;"_"&amp;$C10&amp;"_Back.prefab"))</f>
        <v/>
      </c>
      <c r="G10" s="1" t="inlineStr">
        <is>
          <t>NULL</t>
        </is>
      </c>
    </row>
    <row r="11">
      <c r="A11" s="1" t="n">
        <v>4532071</v>
      </c>
      <c r="C11" s="1">
        <f t="array" ref="C11">_xlfn.IFS(INT(LEFT(A11,1))=1,"Normal", INT(LEFT(A11,1))=2,"Active", INT(LEFT(A11,1))=3,"Ultimate", INT(LEFT(A11,1))=4,"Passive")</f>
        <v/>
      </c>
      <c r="D11" s="1" t="inlineStr">
        <is>
          <t>c180_a</t>
        </is>
      </c>
      <c r="E11" s="1">
        <f>IF(C11="Passive","NULL",$D11&amp;"/"&amp;LOWER($D11&amp;"_"&amp;$C11&amp;"_front.prefab"))</f>
        <v/>
      </c>
      <c r="F11" s="1">
        <f>IF(C11="Passive","NULL",$D11&amp;"/"&amp;LOWER($D11&amp;"_"&amp;$C11&amp;"_Back.prefab"))</f>
        <v/>
      </c>
      <c r="G11" s="1" t="inlineStr">
        <is>
          <t>NULL</t>
        </is>
      </c>
    </row>
    <row r="12">
      <c r="A12" s="1" t="n">
        <v>1534061</v>
      </c>
      <c r="C12" s="1">
        <f t="array" ref="C12">_xlfn.IFS(INT(LEFT(A12,1))=1,"Normal", INT(LEFT(A12,1))=2,"Active", INT(LEFT(A12,1))=3,"Ultimate", INT(LEFT(A12,1))=4,"Passive")</f>
        <v/>
      </c>
      <c r="D12" s="1" t="inlineStr">
        <is>
          <t>c229_a</t>
        </is>
      </c>
      <c r="E12" s="1">
        <f>IF(C12="Passive","NULL",$D12&amp;"/"&amp;LOWER($D12&amp;"_"&amp;$C12&amp;"_front.prefab"))</f>
        <v/>
      </c>
      <c r="F12" s="1">
        <f>IF(C12="Passive","NULL",$D12&amp;"/"&amp;LOWER($D12&amp;"_"&amp;$C12&amp;"_Back.prefab"))</f>
        <v/>
      </c>
      <c r="G12" s="1" t="inlineStr">
        <is>
          <t>NULL</t>
        </is>
      </c>
    </row>
    <row r="13">
      <c r="A13" s="1" t="n">
        <v>2534061</v>
      </c>
      <c r="C13" s="1">
        <f t="array" ref="C13">_xlfn.IFS(INT(LEFT(A13,1))=1,"Normal", INT(LEFT(A13,1))=2,"Active", INT(LEFT(A13,1))=3,"Ultimate", INT(LEFT(A13,1))=4,"Passive")</f>
        <v/>
      </c>
      <c r="D13" s="1" t="inlineStr">
        <is>
          <t>c229_a</t>
        </is>
      </c>
      <c r="E13" s="1">
        <f>IF(C13="Passive","NULL",$D13&amp;"/"&amp;LOWER($D13&amp;"_"&amp;$C13&amp;"_front.prefab"))</f>
        <v/>
      </c>
      <c r="F13" s="1">
        <f>IF(C13="Passive","NULL",$D13&amp;"/"&amp;LOWER($D13&amp;"_"&amp;$C13&amp;"_Back.prefab"))</f>
        <v/>
      </c>
      <c r="G13" s="1" t="inlineStr">
        <is>
          <t>NULL</t>
        </is>
      </c>
    </row>
    <row r="14">
      <c r="A14" s="1" t="n">
        <v>3534061</v>
      </c>
      <c r="C14" s="1">
        <f t="array" ref="C14">_xlfn.IFS(INT(LEFT(A14,1))=1,"Normal", INT(LEFT(A14,1))=2,"Active", INT(LEFT(A14,1))=3,"Ultimate", INT(LEFT(A14,1))=4,"Passive")</f>
        <v/>
      </c>
      <c r="D14" s="1" t="inlineStr">
        <is>
          <t>c229_a</t>
        </is>
      </c>
      <c r="E14" s="1">
        <f>IF(C14="Passive","NULL",$D14&amp;"/"&amp;LOWER($D14&amp;"_"&amp;$C14&amp;"_front.prefab"))</f>
        <v/>
      </c>
      <c r="F14" s="1">
        <f>IF(C14="Passive","NULL",$D14&amp;"/"&amp;LOWER($D14&amp;"_"&amp;$C14&amp;"_Back.prefab"))</f>
        <v/>
      </c>
      <c r="G14" s="1" t="inlineStr">
        <is>
          <t>NULL</t>
        </is>
      </c>
    </row>
    <row r="15">
      <c r="A15" s="1" t="n">
        <v>4534061</v>
      </c>
      <c r="C15" s="1">
        <f t="array" ref="C15">_xlfn.IFS(INT(LEFT(A15,1))=1,"Normal", INT(LEFT(A15,1))=2,"Active", INT(LEFT(A15,1))=3,"Ultimate", INT(LEFT(A15,1))=4,"Passive")</f>
        <v/>
      </c>
      <c r="D15" s="1" t="inlineStr">
        <is>
          <t>c229_a</t>
        </is>
      </c>
      <c r="E15" s="1">
        <f>IF(C15="Passive","NULL",$D15&amp;"/"&amp;LOWER($D15&amp;"_"&amp;$C15&amp;"_front.prefab"))</f>
        <v/>
      </c>
      <c r="F15" s="1">
        <f>IF(C15="Passive","NULL",$D15&amp;"/"&amp;LOWER($D15&amp;"_"&amp;$C15&amp;"_Back.prefab"))</f>
        <v/>
      </c>
      <c r="G15" s="1" t="inlineStr">
        <is>
          <t>NULL</t>
        </is>
      </c>
    </row>
    <row r="16">
      <c r="A16" s="1" t="n">
        <v>1541021</v>
      </c>
      <c r="C16" s="1">
        <f t="array" ref="C16">_xlfn.IFS(INT(LEFT(A16,1))=1,"Normal", INT(LEFT(A16,1))=2,"Active", INT(LEFT(A16,1))=3,"Ultimate", INT(LEFT(A16,1))=4,"Passive")</f>
        <v/>
      </c>
      <c r="D16" s="1" t="inlineStr">
        <is>
          <t>c296_a</t>
        </is>
      </c>
      <c r="E16" s="1">
        <f>IF(C16="Passive","NULL",$D16&amp;"/"&amp;LOWER($D16&amp;"_"&amp;$C16&amp;"_front.prefab"))</f>
        <v/>
      </c>
      <c r="F16" s="1">
        <f>IF(C16="Passive","NULL",$D16&amp;"/"&amp;LOWER($D16&amp;"_"&amp;$C16&amp;"_Back.prefab"))</f>
        <v/>
      </c>
      <c r="G16" s="1" t="inlineStr">
        <is>
          <t>NULL</t>
        </is>
      </c>
    </row>
    <row r="17">
      <c r="A17" s="1" t="n">
        <v>2541021</v>
      </c>
      <c r="C17" s="1">
        <f t="array" ref="C17">_xlfn.IFS(INT(LEFT(A17,1))=1,"Normal", INT(LEFT(A17,1))=2,"Active", INT(LEFT(A17,1))=3,"Ultimate", INT(LEFT(A17,1))=4,"Passive")</f>
        <v/>
      </c>
      <c r="D17" s="1" t="inlineStr">
        <is>
          <t>c296_a</t>
        </is>
      </c>
      <c r="E17" s="1">
        <f>IF(C17="Passive","NULL",$D17&amp;"/"&amp;LOWER($D17&amp;"_"&amp;$C17&amp;"_front.prefab"))</f>
        <v/>
      </c>
      <c r="F17" s="1">
        <f>IF(C17="Passive","NULL",$D17&amp;"/"&amp;LOWER($D17&amp;"_"&amp;$C17&amp;"_Back.prefab"))</f>
        <v/>
      </c>
      <c r="G17" s="1" t="inlineStr">
        <is>
          <t>NULL</t>
        </is>
      </c>
    </row>
    <row r="18">
      <c r="A18" s="1" t="n">
        <v>3541021</v>
      </c>
      <c r="C18" s="1">
        <f t="array" ref="C18">_xlfn.IFS(INT(LEFT(A18,1))=1,"Normal", INT(LEFT(A18,1))=2,"Active", INT(LEFT(A18,1))=3,"Ultimate", INT(LEFT(A18,1))=4,"Passive")</f>
        <v/>
      </c>
      <c r="D18" s="1" t="inlineStr">
        <is>
          <t>c296_a</t>
        </is>
      </c>
      <c r="E18" s="1">
        <f>IF(C18="Passive","NULL",$D18&amp;"/"&amp;LOWER($D18&amp;"_"&amp;$C18&amp;"_front.prefab"))</f>
        <v/>
      </c>
      <c r="F18" s="1">
        <f>IF(C18="Passive","NULL",$D18&amp;"/"&amp;LOWER($D18&amp;"_"&amp;$C18&amp;"_Back.prefab"))</f>
        <v/>
      </c>
      <c r="G18" s="1" t="inlineStr">
        <is>
          <t>NULL</t>
        </is>
      </c>
    </row>
    <row r="19">
      <c r="A19" s="1" t="n">
        <v>4541021</v>
      </c>
      <c r="C19" s="1">
        <f t="array" ref="C19">_xlfn.IFS(INT(LEFT(A19,1))=1,"Normal", INT(LEFT(A19,1))=2,"Active", INT(LEFT(A19,1))=3,"Ultimate", INT(LEFT(A19,1))=4,"Passive")</f>
        <v/>
      </c>
      <c r="D19" s="1" t="inlineStr">
        <is>
          <t>c296_a</t>
        </is>
      </c>
      <c r="E19" s="1">
        <f>IF(C19="Passive","NULL",$D19&amp;"/"&amp;LOWER($D19&amp;"_"&amp;$C19&amp;"_front.prefab"))</f>
        <v/>
      </c>
      <c r="F19" s="1">
        <f>IF(C19="Passive","NULL",$D19&amp;"/"&amp;LOWER($D19&amp;"_"&amp;$C19&amp;"_Back.prefab"))</f>
        <v/>
      </c>
      <c r="G19" s="1" t="inlineStr">
        <is>
          <t>NULL</t>
        </is>
      </c>
    </row>
    <row r="20">
      <c r="A20" s="1" t="n">
        <v>1542051</v>
      </c>
      <c r="C20" s="1">
        <f t="array" ref="C20">_xlfn.IFS(INT(LEFT(A20,1))=1,"Normal", INT(LEFT(A20,1))=2,"Active", INT(LEFT(A20,1))=3,"Ultimate", INT(LEFT(A20,1))=4,"Passive")</f>
        <v/>
      </c>
      <c r="D20" s="1" t="inlineStr">
        <is>
          <t>c353_a</t>
        </is>
      </c>
      <c r="E20" s="1">
        <f>IF(C20="Passive","NULL",$D20&amp;"/"&amp;LOWER($D20&amp;"_"&amp;$C20&amp;"_front.prefab"))</f>
        <v/>
      </c>
      <c r="F20" s="1">
        <f>IF(C20="Passive","NULL",$D20&amp;"/"&amp;LOWER($D20&amp;"_"&amp;$C20&amp;"_Back.prefab"))</f>
        <v/>
      </c>
      <c r="G20" s="1" t="inlineStr">
        <is>
          <t>NULL</t>
        </is>
      </c>
    </row>
    <row r="21">
      <c r="A21" s="1" t="n">
        <v>2542051</v>
      </c>
      <c r="C21" s="1">
        <f t="array" ref="C21">_xlfn.IFS(INT(LEFT(A21,1))=1,"Normal", INT(LEFT(A21,1))=2,"Active", INT(LEFT(A21,1))=3,"Ultimate", INT(LEFT(A21,1))=4,"Passive")</f>
        <v/>
      </c>
      <c r="D21" s="1" t="inlineStr">
        <is>
          <t>c353_a</t>
        </is>
      </c>
      <c r="E21" s="1">
        <f>IF(C21="Passive","NULL",$D21&amp;"/"&amp;LOWER($D21&amp;"_"&amp;$C21&amp;"_front.prefab"))</f>
        <v/>
      </c>
      <c r="F21" s="1">
        <f>IF(C21="Passive","NULL",$D21&amp;"/"&amp;LOWER($D21&amp;"_"&amp;$C21&amp;"_Back.prefab"))</f>
        <v/>
      </c>
      <c r="G21" s="1" t="inlineStr">
        <is>
          <t>NULL</t>
        </is>
      </c>
    </row>
    <row r="22">
      <c r="A22" s="1" t="n">
        <v>3542051</v>
      </c>
      <c r="C22" s="1">
        <f t="array" ref="C22">_xlfn.IFS(INT(LEFT(A22,1))=1,"Normal", INT(LEFT(A22,1))=2,"Active", INT(LEFT(A22,1))=3,"Ultimate", INT(LEFT(A22,1))=4,"Passive")</f>
        <v/>
      </c>
      <c r="D22" s="1" t="inlineStr">
        <is>
          <t>c353_a</t>
        </is>
      </c>
      <c r="E22" s="1">
        <f>IF(C22="Passive","NULL",$D22&amp;"/"&amp;LOWER($D22&amp;"_"&amp;$C22&amp;"_front.prefab"))</f>
        <v/>
      </c>
      <c r="F22" s="1">
        <f>IF(C22="Passive","NULL",$D22&amp;"/"&amp;LOWER($D22&amp;"_"&amp;$C22&amp;"_Back.prefab"))</f>
        <v/>
      </c>
      <c r="G22" s="1" t="inlineStr">
        <is>
          <t>NULL</t>
        </is>
      </c>
    </row>
    <row r="23">
      <c r="A23" s="1" t="n">
        <v>4542051</v>
      </c>
      <c r="C23" s="1">
        <f t="array" ref="C23">_xlfn.IFS(INT(LEFT(A23,1))=1,"Normal", INT(LEFT(A23,1))=2,"Active", INT(LEFT(A23,1))=3,"Ultimate", INT(LEFT(A23,1))=4,"Passive")</f>
        <v/>
      </c>
      <c r="D23" s="1" t="inlineStr">
        <is>
          <t>c353_a</t>
        </is>
      </c>
      <c r="E23" s="1">
        <f>IF(C23="Passive","NULL",$D23&amp;"/"&amp;LOWER($D23&amp;"_"&amp;$C23&amp;"_front.prefab"))</f>
        <v/>
      </c>
      <c r="F23" s="1">
        <f>IF(C23="Passive","NULL",$D23&amp;"/"&amp;LOWER($D23&amp;"_"&amp;$C23&amp;"_Back.prefab"))</f>
        <v/>
      </c>
      <c r="G23" s="1" t="inlineStr">
        <is>
          <t>NULL</t>
        </is>
      </c>
    </row>
    <row r="24">
      <c r="A24" s="1" t="n">
        <v>1513011</v>
      </c>
      <c r="C24" s="1">
        <f t="array" ref="C24">_xlfn.IFS(INT(LEFT(A24,1))=1,"Normal", INT(LEFT(A24,1))=2,"Active", INT(LEFT(A24,1))=3,"Ultimate", INT(LEFT(A24,1))=4,"Passive")</f>
        <v/>
      </c>
      <c r="D24" s="1" t="inlineStr">
        <is>
          <t>c354_a</t>
        </is>
      </c>
      <c r="E24" s="1">
        <f>IF(C24="Passive","NULL",$D24&amp;"/"&amp;LOWER($D24&amp;"_"&amp;$C24&amp;"_front.prefab"))</f>
        <v/>
      </c>
      <c r="F24" s="1">
        <f>IF(C24="Passive","NULL",$D24&amp;"/"&amp;LOWER($D24&amp;"_"&amp;$C24&amp;"_Back.prefab"))</f>
        <v/>
      </c>
      <c r="G24" s="1" t="inlineStr">
        <is>
          <t>NULL</t>
        </is>
      </c>
    </row>
    <row r="25">
      <c r="A25" s="1" t="n">
        <v>2513011</v>
      </c>
      <c r="C25" s="1">
        <f t="array" ref="C25">_xlfn.IFS(INT(LEFT(A25,1))=1,"Normal", INT(LEFT(A25,1))=2,"Active", INT(LEFT(A25,1))=3,"Ultimate", INT(LEFT(A25,1))=4,"Passive")</f>
        <v/>
      </c>
      <c r="D25" s="1" t="inlineStr">
        <is>
          <t>c354_a</t>
        </is>
      </c>
      <c r="E25" s="1">
        <f>IF(C25="Passive","NULL",$D25&amp;"/"&amp;LOWER($D25&amp;"_"&amp;$C25&amp;"_front.prefab"))</f>
        <v/>
      </c>
      <c r="F25" s="1">
        <f>IF(C25="Passive","NULL",$D25&amp;"/"&amp;LOWER($D25&amp;"_"&amp;$C25&amp;"_Back.prefab"))</f>
        <v/>
      </c>
      <c r="G25" s="1" t="inlineStr">
        <is>
          <t>NULL</t>
        </is>
      </c>
    </row>
    <row r="26">
      <c r="A26" s="1" t="n">
        <v>3513011</v>
      </c>
      <c r="C26" s="1">
        <f t="array" ref="C26">_xlfn.IFS(INT(LEFT(A26,1))=1,"Normal", INT(LEFT(A26,1))=2,"Active", INT(LEFT(A26,1))=3,"Ultimate", INT(LEFT(A26,1))=4,"Passive")</f>
        <v/>
      </c>
      <c r="D26" s="1" t="inlineStr">
        <is>
          <t>c354_a</t>
        </is>
      </c>
      <c r="E26" s="1">
        <f>IF(C26="Passive","NULL",$D26&amp;"/"&amp;LOWER($D26&amp;"_"&amp;$C26&amp;"_front.prefab"))</f>
        <v/>
      </c>
      <c r="F26" s="1">
        <f>IF(C26="Passive","NULL",$D26&amp;"/"&amp;LOWER($D26&amp;"_"&amp;$C26&amp;"_Back.prefab"))</f>
        <v/>
      </c>
      <c r="G26" s="1" t="inlineStr">
        <is>
          <t>NULL</t>
        </is>
      </c>
    </row>
    <row r="27">
      <c r="A27" s="1" t="n">
        <v>4513011</v>
      </c>
      <c r="C27" s="1">
        <f t="array" ref="C27">_xlfn.IFS(INT(LEFT(A27,1))=1,"Normal", INT(LEFT(A27,1))=2,"Active", INT(LEFT(A27,1))=3,"Ultimate", INT(LEFT(A27,1))=4,"Passive")</f>
        <v/>
      </c>
      <c r="D27" s="1" t="inlineStr">
        <is>
          <t>c354_a</t>
        </is>
      </c>
      <c r="E27" s="1">
        <f>IF(C27="Passive","NULL",$D27&amp;"/"&amp;LOWER($D27&amp;"_"&amp;$C27&amp;"_front.prefab"))</f>
        <v/>
      </c>
      <c r="F27" s="1">
        <f>IF(C27="Passive","NULL",$D27&amp;"/"&amp;LOWER($D27&amp;"_"&amp;$C27&amp;"_Back.prefab"))</f>
        <v/>
      </c>
      <c r="G27" s="1" t="inlineStr">
        <is>
          <t>NULL</t>
        </is>
      </c>
    </row>
    <row r="28">
      <c r="A28" s="1" t="n">
        <v>1524041</v>
      </c>
      <c r="C28" s="1">
        <f t="array" ref="C28">_xlfn.IFS(INT(LEFT(A28,1))=1,"Normal", INT(LEFT(A28,1))=2,"Active", INT(LEFT(A28,1))=3,"Ultimate", INT(LEFT(A28,1))=4,"Passive")</f>
        <v/>
      </c>
      <c r="D28" s="1" t="inlineStr">
        <is>
          <t>c464_a</t>
        </is>
      </c>
      <c r="E28" s="1">
        <f>IF(C28="Passive","NULL",$D28&amp;"/"&amp;LOWER($D28&amp;"_"&amp;$C28&amp;"_front.prefab"))</f>
        <v/>
      </c>
      <c r="F28" s="1">
        <f>IF(C28="Passive","NULL",$D28&amp;"/"&amp;LOWER($D28&amp;"_"&amp;$C28&amp;"_Back.prefab"))</f>
        <v/>
      </c>
      <c r="G28" s="1" t="inlineStr">
        <is>
          <t>NULL</t>
        </is>
      </c>
    </row>
    <row r="29">
      <c r="A29" s="1" t="n">
        <v>2524041</v>
      </c>
      <c r="C29" s="1">
        <f t="array" ref="C29">_xlfn.IFS(INT(LEFT(A29,1))=1,"Normal", INT(LEFT(A29,1))=2,"Active", INT(LEFT(A29,1))=3,"Ultimate", INT(LEFT(A29,1))=4,"Passive")</f>
        <v/>
      </c>
      <c r="D29" s="1" t="inlineStr">
        <is>
          <t>c464_a</t>
        </is>
      </c>
      <c r="E29" s="1">
        <f>IF(C29="Passive","NULL",$D29&amp;"/"&amp;LOWER($D29&amp;"_"&amp;$C29&amp;"_front.prefab"))</f>
        <v/>
      </c>
      <c r="F29" s="1">
        <f>IF(C29="Passive","NULL",$D29&amp;"/"&amp;LOWER($D29&amp;"_"&amp;$C29&amp;"_Back.prefab"))</f>
        <v/>
      </c>
      <c r="G29" s="1" t="inlineStr">
        <is>
          <t>NULL</t>
        </is>
      </c>
    </row>
    <row r="30">
      <c r="A30" s="1" t="n">
        <v>3524041</v>
      </c>
      <c r="C30" s="1">
        <f t="array" ref="C30">_xlfn.IFS(INT(LEFT(A30,1))=1,"Normal", INT(LEFT(A30,1))=2,"Active", INT(LEFT(A30,1))=3,"Ultimate", INT(LEFT(A30,1))=4,"Passive")</f>
        <v/>
      </c>
      <c r="D30" s="1" t="inlineStr">
        <is>
          <t>c464_a</t>
        </is>
      </c>
      <c r="E30" s="1">
        <f>IF(C30="Passive","NULL",$D30&amp;"/"&amp;LOWER($D30&amp;"_"&amp;$C30&amp;"_front.prefab"))</f>
        <v/>
      </c>
      <c r="F30" s="1">
        <f>IF(C30="Passive","NULL",$D30&amp;"/"&amp;LOWER($D30&amp;"_"&amp;$C30&amp;"_Back.prefab"))</f>
        <v/>
      </c>
      <c r="G30" s="1" t="inlineStr">
        <is>
          <t>NULL</t>
        </is>
      </c>
    </row>
    <row r="31">
      <c r="A31" s="1" t="n">
        <v>4524041</v>
      </c>
      <c r="C31" s="1">
        <f t="array" ref="C31">_xlfn.IFS(INT(LEFT(A31,1))=1,"Normal", INT(LEFT(A31,1))=2,"Active", INT(LEFT(A31,1))=3,"Ultimate", INT(LEFT(A31,1))=4,"Passive")</f>
        <v/>
      </c>
      <c r="D31" s="1" t="inlineStr">
        <is>
          <t>c464_a</t>
        </is>
      </c>
      <c r="E31" s="1">
        <f>IF(C31="Passive","NULL",$D31&amp;"/"&amp;LOWER($D31&amp;"_"&amp;$C31&amp;"_front.prefab"))</f>
        <v/>
      </c>
      <c r="F31" s="1">
        <f>IF(C31="Passive","NULL",$D31&amp;"/"&amp;LOWER($D31&amp;"_"&amp;$C31&amp;"_Back.prefab"))</f>
        <v/>
      </c>
      <c r="G31" s="1" t="inlineStr">
        <is>
          <t>NULL</t>
        </is>
      </c>
    </row>
    <row r="32">
      <c r="A32" s="1" t="n">
        <v>1942011</v>
      </c>
      <c r="C32" s="1">
        <f t="array" ref="C32">_xlfn.IFS(INT(LEFT(A32,1))=1,"Normal", INT(LEFT(A32,1))=2,"Active", INT(LEFT(A32,1))=3,"Ultimate", INT(LEFT(A32,1))=4,"Passive")</f>
        <v/>
      </c>
      <c r="D32" s="1" t="inlineStr">
        <is>
          <t>m038_a</t>
        </is>
      </c>
      <c r="E32" s="1">
        <f>IF(C32="Passive","NULL",$D32&amp;"/"&amp;LOWER($D32&amp;"_"&amp;$C32&amp;"_front.prefab"))</f>
        <v/>
      </c>
      <c r="F32" s="1">
        <f>IF(C32="Passive","NULL",$D32&amp;"/"&amp;LOWER($D32&amp;"_"&amp;$C32&amp;"_Back.prefab"))</f>
        <v/>
      </c>
      <c r="G32" s="1" t="inlineStr">
        <is>
          <t>NULL</t>
        </is>
      </c>
    </row>
    <row r="33">
      <c r="A33" s="1" t="n">
        <v>3942011</v>
      </c>
      <c r="C33" s="1">
        <f t="array" ref="C33">_xlfn.IFS(INT(LEFT(A33,1))=1,"Normal", INT(LEFT(A33,1))=2,"Active", INT(LEFT(A33,1))=3,"Ultimate", INT(LEFT(A33,1))=4,"Passive")</f>
        <v/>
      </c>
      <c r="D33" s="1" t="inlineStr">
        <is>
          <t>m038_a</t>
        </is>
      </c>
      <c r="E33" s="1">
        <f>IF(C33="Passive","NULL",$D33&amp;"/"&amp;LOWER($D33&amp;"_"&amp;$C33&amp;"_front.prefab"))</f>
        <v/>
      </c>
      <c r="F33" s="1">
        <f>IF(C33="Passive","NULL",$D33&amp;"/"&amp;LOWER($D33&amp;"_"&amp;$C33&amp;"_Back.prefab"))</f>
        <v/>
      </c>
      <c r="G33" s="1" t="inlineStr">
        <is>
          <t>NULL</t>
        </is>
      </c>
    </row>
    <row r="34">
      <c r="A34" s="1" t="n">
        <v>1812011</v>
      </c>
      <c r="C34" s="1">
        <f t="array" ref="C34">_xlfn.IFS(INT(LEFT(A34,1))=1,"Normal", INT(LEFT(A34,1))=2,"Active", INT(LEFT(A34,1))=3,"Ultimate", INT(LEFT(A34,1))=4,"Passive")</f>
        <v/>
      </c>
      <c r="D34" s="1" t="inlineStr">
        <is>
          <t>m155_01_a</t>
        </is>
      </c>
      <c r="E34" s="1">
        <f>IF(C34="Passive","NULL",$D34&amp;"/"&amp;LOWER($D34&amp;"_"&amp;$C34&amp;"_front.prefab"))</f>
        <v/>
      </c>
      <c r="F34" s="1">
        <f>IF(C34="Passive","NULL",$D34&amp;"/"&amp;LOWER($D34&amp;"_"&amp;$C34&amp;"_Back.prefab"))</f>
        <v/>
      </c>
      <c r="G34" s="1" t="inlineStr">
        <is>
          <t>NULL</t>
        </is>
      </c>
    </row>
    <row r="35">
      <c r="A35" s="1" t="n">
        <v>1822011</v>
      </c>
      <c r="C35" s="1">
        <f t="array" ref="C35">_xlfn.IFS(INT(LEFT(A35,1))=1,"Normal", INT(LEFT(A35,1))=2,"Active", INT(LEFT(A35,1))=3,"Ultimate", INT(LEFT(A35,1))=4,"Passive")</f>
        <v/>
      </c>
      <c r="D35" s="1" t="inlineStr">
        <is>
          <t>m155_02_a</t>
        </is>
      </c>
      <c r="E35" s="1">
        <f>IF(C35="Passive","NULL",$D35&amp;"/"&amp;LOWER($D35&amp;"_"&amp;$C35&amp;"_front.prefab"))</f>
        <v/>
      </c>
      <c r="F35" s="1">
        <f>IF(C35="Passive","NULL",$D35&amp;"/"&amp;LOWER($D35&amp;"_"&amp;$C35&amp;"_Back.prefab"))</f>
        <v/>
      </c>
      <c r="G35" s="1" t="inlineStr">
        <is>
          <t>NULL</t>
        </is>
      </c>
    </row>
    <row r="36">
      <c r="A36" s="1" t="n">
        <v>1832011</v>
      </c>
      <c r="C36" s="1">
        <f t="array" ref="C36">_xlfn.IFS(INT(LEFT(A36,1))=1,"Normal", INT(LEFT(A36,1))=2,"Active", INT(LEFT(A36,1))=3,"Ultimate", INT(LEFT(A36,1))=4,"Passive")</f>
        <v/>
      </c>
      <c r="D36" s="1" t="inlineStr">
        <is>
          <t>m155_03_a</t>
        </is>
      </c>
      <c r="E36" s="1">
        <f>IF(C36="Passive","NULL",$D36&amp;"/"&amp;LOWER($D36&amp;"_"&amp;$C36&amp;"_front.prefab"))</f>
        <v/>
      </c>
      <c r="F36" s="1">
        <f>IF(C36="Passive","NULL",$D36&amp;"/"&amp;LOWER($D36&amp;"_"&amp;$C36&amp;"_Back.prefab"))</f>
        <v/>
      </c>
      <c r="G36" s="1" t="inlineStr">
        <is>
          <t>NULL</t>
        </is>
      </c>
    </row>
    <row r="37">
      <c r="A37" s="1" t="n">
        <v>1842011</v>
      </c>
      <c r="C37" s="1">
        <f t="array" ref="C37">_xlfn.IFS(INT(LEFT(A37,1))=1,"Normal", INT(LEFT(A37,1))=2,"Active", INT(LEFT(A37,1))=3,"Ultimate", INT(LEFT(A37,1))=4,"Passive")</f>
        <v/>
      </c>
      <c r="D37" s="1" t="inlineStr">
        <is>
          <t>m155_04_a</t>
        </is>
      </c>
      <c r="E37" s="1">
        <f>IF(C37="Passive","NULL",$D37&amp;"/"&amp;LOWER($D37&amp;"_"&amp;$C37&amp;"_front.prefab"))</f>
        <v/>
      </c>
      <c r="F37" s="1">
        <f>IF(C37="Passive","NULL",$D37&amp;"/"&amp;LOWER($D37&amp;"_"&amp;$C37&amp;"_Back.prefab"))</f>
        <v/>
      </c>
      <c r="G37" s="1" t="inlineStr">
        <is>
          <t>NULL</t>
        </is>
      </c>
    </row>
    <row r="38">
      <c r="A38" s="1" t="n">
        <v>1852011</v>
      </c>
      <c r="C38" s="1">
        <f t="array" ref="C38">_xlfn.IFS(INT(LEFT(A38,1))=1,"Normal", INT(LEFT(A38,1))=2,"Active", INT(LEFT(A38,1))=3,"Ultimate", INT(LEFT(A38,1))=4,"Passive")</f>
        <v/>
      </c>
      <c r="D38" s="1" t="inlineStr">
        <is>
          <t>m155_05_a</t>
        </is>
      </c>
      <c r="E38" s="1">
        <f>IF(C38="Passive","NULL",$D38&amp;"/"&amp;LOWER($D38&amp;"_"&amp;$C38&amp;"_front.prefab"))</f>
        <v/>
      </c>
      <c r="F38" s="1">
        <f>IF(C38="Passive","NULL",$D38&amp;"/"&amp;LOWER($D38&amp;"_"&amp;$C38&amp;"_Back.prefab"))</f>
        <v/>
      </c>
      <c r="G38" s="1" t="inlineStr">
        <is>
          <t>NULL</t>
        </is>
      </c>
    </row>
    <row r="39">
      <c r="A39" s="1" t="n">
        <v>2812011</v>
      </c>
      <c r="C39" s="1" t="inlineStr">
        <is>
          <t>Active</t>
        </is>
      </c>
      <c r="D39" s="1" t="inlineStr">
        <is>
          <t>m155_01_a</t>
        </is>
      </c>
      <c r="E39" s="1">
        <f>IF(C39="Passive","NULL",$D39&amp;"/"&amp;LOWER($D39&amp;"_"&amp;$C39&amp;"_front.prefab"))</f>
        <v/>
      </c>
      <c r="F39" s="1">
        <f>IF(C39="Passive","NULL",$D39&amp;"/"&amp;LOWER($D39&amp;"_"&amp;$C39&amp;"_Back.prefab"))</f>
        <v/>
      </c>
      <c r="G39" s="1" t="inlineStr">
        <is>
          <t>NULL</t>
        </is>
      </c>
    </row>
    <row r="40">
      <c r="A40" s="1" t="n">
        <v>2822011</v>
      </c>
      <c r="C40" s="1" t="inlineStr">
        <is>
          <t>Active</t>
        </is>
      </c>
      <c r="D40" s="1" t="inlineStr">
        <is>
          <t>m155_02_a</t>
        </is>
      </c>
      <c r="E40" s="1">
        <f>IF(C40="Passive","NULL",$D40&amp;"/"&amp;LOWER($D40&amp;"_"&amp;$C40&amp;"_front.prefab"))</f>
        <v/>
      </c>
      <c r="F40" s="1">
        <f>IF(C40="Passive","NULL",$D40&amp;"/"&amp;LOWER($D40&amp;"_"&amp;$C40&amp;"_Back.prefab"))</f>
        <v/>
      </c>
      <c r="G40" s="1" t="inlineStr">
        <is>
          <t>NULL</t>
        </is>
      </c>
    </row>
    <row r="41">
      <c r="A41" s="1" t="n">
        <v>2832011</v>
      </c>
      <c r="C41" s="1" t="inlineStr">
        <is>
          <t>Active</t>
        </is>
      </c>
      <c r="D41" s="1" t="inlineStr">
        <is>
          <t>m155_03_a</t>
        </is>
      </c>
      <c r="E41" s="1">
        <f>IF(C41="Passive","NULL",$D41&amp;"/"&amp;LOWER($D41&amp;"_"&amp;$C41&amp;"_front.prefab"))</f>
        <v/>
      </c>
      <c r="F41" s="1">
        <f>IF(C41="Passive","NULL",$D41&amp;"/"&amp;LOWER($D41&amp;"_"&amp;$C41&amp;"_Back.prefab"))</f>
        <v/>
      </c>
      <c r="G41" s="1" t="inlineStr">
        <is>
          <t>NULL</t>
        </is>
      </c>
    </row>
    <row r="42">
      <c r="A42" s="1" t="n">
        <v>2842011</v>
      </c>
      <c r="C42" s="1" t="inlineStr">
        <is>
          <t>Active</t>
        </is>
      </c>
      <c r="D42" s="1" t="inlineStr">
        <is>
          <t>m155_04_a</t>
        </is>
      </c>
      <c r="E42" s="1">
        <f>IF(C42="Passive","NULL",$D42&amp;"/"&amp;LOWER($D42&amp;"_"&amp;$C42&amp;"_front.prefab"))</f>
        <v/>
      </c>
      <c r="F42" s="1">
        <f>IF(C42="Passive","NULL",$D42&amp;"/"&amp;LOWER($D42&amp;"_"&amp;$C42&amp;"_Back.prefab"))</f>
        <v/>
      </c>
      <c r="G42" s="1" t="inlineStr">
        <is>
          <t>NULL</t>
        </is>
      </c>
    </row>
    <row r="43">
      <c r="A43" s="1" t="n">
        <v>2852011</v>
      </c>
      <c r="C43" s="1" t="inlineStr">
        <is>
          <t>Active</t>
        </is>
      </c>
      <c r="D43" s="1" t="inlineStr">
        <is>
          <t>m155_05_a</t>
        </is>
      </c>
      <c r="E43" s="1">
        <f>IF(C43="Passive","NULL",$D43&amp;"/"&amp;LOWER($D43&amp;"_"&amp;$C43&amp;"_front.prefab"))</f>
        <v/>
      </c>
      <c r="F43" s="1">
        <f>IF(C43="Passive","NULL",$D43&amp;"/"&amp;LOWER($D43&amp;"_"&amp;$C43&amp;"_Back.prefab"))</f>
        <v/>
      </c>
      <c r="G43" s="1" t="inlineStr">
        <is>
          <t>NULL</t>
        </is>
      </c>
    </row>
    <row r="44">
      <c r="A44" s="1" t="n">
        <v>1811031</v>
      </c>
      <c r="C44" s="1">
        <f t="array" ref="C44">_xlfn.IFS(INT(LEFT(A44,1))=1,"Normal", INT(LEFT(A44,1))=2,"Active", INT(LEFT(A44,1))=3,"Ultimate", INT(LEFT(A44,1))=4,"Passive")</f>
        <v/>
      </c>
      <c r="D44" s="1" t="inlineStr">
        <is>
          <t>m258_01_a</t>
        </is>
      </c>
      <c r="E44" s="1">
        <f>IF(C44="Passive","NULL",$D44&amp;"/"&amp;LOWER($D44&amp;"_"&amp;$C44&amp;"_front.prefab"))</f>
        <v/>
      </c>
      <c r="F44" s="1">
        <f>IF(C44="Passive","NULL",$D44&amp;"/"&amp;LOWER($D44&amp;"_"&amp;$C44&amp;"_Back.prefab"))</f>
        <v/>
      </c>
      <c r="G44" s="1" t="inlineStr">
        <is>
          <t>NULL</t>
        </is>
      </c>
    </row>
    <row r="45">
      <c r="A45" s="1" t="n">
        <v>1821031</v>
      </c>
      <c r="C45" s="1">
        <f t="array" ref="C45">_xlfn.IFS(INT(LEFT(A45,1))=1,"Normal", INT(LEFT(A45,1))=2,"Active", INT(LEFT(A45,1))=3,"Ultimate", INT(LEFT(A45,1))=4,"Passive")</f>
        <v/>
      </c>
      <c r="D45" s="1" t="inlineStr">
        <is>
          <t>m258_02_a</t>
        </is>
      </c>
      <c r="E45" s="1">
        <f>IF(C45="Passive","NULL",$D45&amp;"/"&amp;LOWER($D45&amp;"_"&amp;$C45&amp;"_front.prefab"))</f>
        <v/>
      </c>
      <c r="F45" s="1">
        <f>IF(C45="Passive","NULL",$D45&amp;"/"&amp;LOWER($D45&amp;"_"&amp;$C45&amp;"_Back.prefab"))</f>
        <v/>
      </c>
      <c r="G45" s="1" t="inlineStr">
        <is>
          <t>NULL</t>
        </is>
      </c>
    </row>
    <row r="46">
      <c r="A46" s="1" t="n">
        <v>1831031</v>
      </c>
      <c r="C46" s="1">
        <f t="array" ref="C46">_xlfn.IFS(INT(LEFT(A46,1))=1,"Normal", INT(LEFT(A46,1))=2,"Active", INT(LEFT(A46,1))=3,"Ultimate", INT(LEFT(A46,1))=4,"Passive")</f>
        <v/>
      </c>
      <c r="D46" s="1" t="inlineStr">
        <is>
          <t>m258_03_a</t>
        </is>
      </c>
      <c r="E46" s="1">
        <f>IF(C46="Passive","NULL",$D46&amp;"/"&amp;LOWER($D46&amp;"_"&amp;$C46&amp;"_front.prefab"))</f>
        <v/>
      </c>
      <c r="F46" s="1">
        <f>IF(C46="Passive","NULL",$D46&amp;"/"&amp;LOWER($D46&amp;"_"&amp;$C46&amp;"_Back.prefab"))</f>
        <v/>
      </c>
      <c r="G46" s="1" t="inlineStr">
        <is>
          <t>NULL</t>
        </is>
      </c>
    </row>
    <row r="47">
      <c r="A47" s="1" t="n">
        <v>1841031</v>
      </c>
      <c r="C47" s="1">
        <f t="array" ref="C47">_xlfn.IFS(INT(LEFT(A47,1))=1,"Normal", INT(LEFT(A47,1))=2,"Active", INT(LEFT(A47,1))=3,"Ultimate", INT(LEFT(A47,1))=4,"Passive")</f>
        <v/>
      </c>
      <c r="D47" s="1" t="inlineStr">
        <is>
          <t>m258_04_a</t>
        </is>
      </c>
      <c r="E47" s="1">
        <f>IF(C47="Passive","NULL",$D47&amp;"/"&amp;LOWER($D47&amp;"_"&amp;$C47&amp;"_front.prefab"))</f>
        <v/>
      </c>
      <c r="F47" s="1">
        <f>IF(C47="Passive","NULL",$D47&amp;"/"&amp;LOWER($D47&amp;"_"&amp;$C47&amp;"_Back.prefab"))</f>
        <v/>
      </c>
      <c r="G47" s="1" t="inlineStr">
        <is>
          <t>NULL</t>
        </is>
      </c>
    </row>
    <row r="48">
      <c r="A48" s="1" t="n">
        <v>1851031</v>
      </c>
      <c r="C48" s="1">
        <f t="array" ref="C48">_xlfn.IFS(INT(LEFT(A48,1))=1,"Normal", INT(LEFT(A48,1))=2,"Active", INT(LEFT(A48,1))=3,"Ultimate", INT(LEFT(A48,1))=4,"Passive")</f>
        <v/>
      </c>
      <c r="D48" s="1" t="inlineStr">
        <is>
          <t>m258_05_a</t>
        </is>
      </c>
      <c r="E48" s="1">
        <f>IF(C48="Passive","NULL",$D48&amp;"/"&amp;LOWER($D48&amp;"_"&amp;$C48&amp;"_front.prefab"))</f>
        <v/>
      </c>
      <c r="F48" s="1">
        <f>IF(C48="Passive","NULL",$D48&amp;"/"&amp;LOWER($D48&amp;"_"&amp;$C48&amp;"_Back.prefab"))</f>
        <v/>
      </c>
      <c r="G48" s="1" t="inlineStr">
        <is>
          <t>NULL</t>
        </is>
      </c>
    </row>
    <row r="49">
      <c r="A49" s="1" t="n">
        <v>2811031</v>
      </c>
      <c r="C49" s="1">
        <f t="array" ref="C49">_xlfn.IFS(INT(LEFT(A49,1))=1,"Normal", INT(LEFT(A49,1))=2,"Active", INT(LEFT(A49,1))=3,"Ultimate", INT(LEFT(A49,1))=4,"Passive")</f>
        <v/>
      </c>
      <c r="D49" s="1" t="inlineStr">
        <is>
          <t>m258_01_a</t>
        </is>
      </c>
      <c r="E49" s="1">
        <f>IF(C49="Passive","NULL",$D49&amp;"/"&amp;LOWER($D49&amp;"_"&amp;$C49&amp;"_front.prefab"))</f>
        <v/>
      </c>
      <c r="F49" s="1">
        <f>IF(C49="Passive","NULL",$D49&amp;"/"&amp;LOWER($D49&amp;"_"&amp;$C49&amp;"_Back.prefab"))</f>
        <v/>
      </c>
      <c r="G49" s="1" t="inlineStr">
        <is>
          <t>NULL</t>
        </is>
      </c>
    </row>
    <row r="50">
      <c r="A50" s="1" t="n">
        <v>2821031</v>
      </c>
      <c r="C50" s="1">
        <f t="array" ref="C50">_xlfn.IFS(INT(LEFT(A50,1))=1,"Normal", INT(LEFT(A50,1))=2,"Active", INT(LEFT(A50,1))=3,"Ultimate", INT(LEFT(A50,1))=4,"Passive")</f>
        <v/>
      </c>
      <c r="D50" s="1" t="inlineStr">
        <is>
          <t>m258_02_a</t>
        </is>
      </c>
      <c r="E50" s="1">
        <f>IF(C50="Passive","NULL",$D50&amp;"/"&amp;LOWER($D50&amp;"_"&amp;$C50&amp;"_front.prefab"))</f>
        <v/>
      </c>
      <c r="F50" s="1">
        <f>IF(C50="Passive","NULL",$D50&amp;"/"&amp;LOWER($D50&amp;"_"&amp;$C50&amp;"_Back.prefab"))</f>
        <v/>
      </c>
      <c r="G50" s="1" t="inlineStr">
        <is>
          <t>NULL</t>
        </is>
      </c>
    </row>
    <row r="51">
      <c r="A51" s="1" t="n">
        <v>2831031</v>
      </c>
      <c r="C51" s="1">
        <f t="array" ref="C51">_xlfn.IFS(INT(LEFT(A51,1))=1,"Normal", INT(LEFT(A51,1))=2,"Active", INT(LEFT(A51,1))=3,"Ultimate", INT(LEFT(A51,1))=4,"Passive")</f>
        <v/>
      </c>
      <c r="D51" s="1" t="inlineStr">
        <is>
          <t>m258_03_a</t>
        </is>
      </c>
      <c r="E51" s="1">
        <f>IF(C51="Passive","NULL",$D51&amp;"/"&amp;LOWER($D51&amp;"_"&amp;$C51&amp;"_front.prefab"))</f>
        <v/>
      </c>
      <c r="F51" s="1">
        <f>IF(C51="Passive","NULL",$D51&amp;"/"&amp;LOWER($D51&amp;"_"&amp;$C51&amp;"_Back.prefab"))</f>
        <v/>
      </c>
      <c r="G51" s="1" t="inlineStr">
        <is>
          <t>NULL</t>
        </is>
      </c>
    </row>
    <row r="52">
      <c r="A52" s="1" t="n">
        <v>2841031</v>
      </c>
      <c r="C52" s="1">
        <f t="array" ref="C52">_xlfn.IFS(INT(LEFT(A52,1))=1,"Normal", INT(LEFT(A52,1))=2,"Active", INT(LEFT(A52,1))=3,"Ultimate", INT(LEFT(A52,1))=4,"Passive")</f>
        <v/>
      </c>
      <c r="D52" s="1" t="inlineStr">
        <is>
          <t>m258_04_a</t>
        </is>
      </c>
      <c r="E52" s="1">
        <f>IF(C52="Passive","NULL",$D52&amp;"/"&amp;LOWER($D52&amp;"_"&amp;$C52&amp;"_front.prefab"))</f>
        <v/>
      </c>
      <c r="F52" s="1">
        <f>IF(C52="Passive","NULL",$D52&amp;"/"&amp;LOWER($D52&amp;"_"&amp;$C52&amp;"_Back.prefab"))</f>
        <v/>
      </c>
      <c r="G52" s="1" t="inlineStr">
        <is>
          <t>NULL</t>
        </is>
      </c>
    </row>
    <row r="53">
      <c r="A53" s="1" t="n">
        <v>2851031</v>
      </c>
      <c r="C53" s="1">
        <f t="array" ref="C53">_xlfn.IFS(INT(LEFT(A53,1))=1,"Normal", INT(LEFT(A53,1))=2,"Active", INT(LEFT(A53,1))=3,"Ultimate", INT(LEFT(A53,1))=4,"Passive")</f>
        <v/>
      </c>
      <c r="D53" s="1" t="inlineStr">
        <is>
          <t>m258_05_a</t>
        </is>
      </c>
      <c r="E53" s="1">
        <f>IF(C53="Passive","NULL",$D53&amp;"/"&amp;LOWER($D53&amp;"_"&amp;$C53&amp;"_front.prefab"))</f>
        <v/>
      </c>
      <c r="F53" s="1">
        <f>IF(C53="Passive","NULL",$D53&amp;"/"&amp;LOWER($D53&amp;"_"&amp;$C53&amp;"_Back.prefab"))</f>
        <v/>
      </c>
      <c r="G53" s="1" t="inlineStr">
        <is>
          <t>NULL</t>
        </is>
      </c>
    </row>
    <row r="54">
      <c r="A54" s="1" t="n">
        <v>3811031</v>
      </c>
      <c r="C54" s="1">
        <f t="array" ref="C54">_xlfn.IFS(INT(LEFT(A54,1))=1,"Normal", INT(LEFT(A54,1))=2,"Active", INT(LEFT(A54,1))=3,"Ultimate", INT(LEFT(A54,1))=4,"Passive")</f>
        <v/>
      </c>
      <c r="D54" s="1" t="inlineStr">
        <is>
          <t>m258_01_a</t>
        </is>
      </c>
      <c r="E54" s="1">
        <f>IF(C54="Passive","NULL",$D54&amp;"/"&amp;LOWER($D54&amp;"_"&amp;$C54&amp;"_front.prefab"))</f>
        <v/>
      </c>
      <c r="F54" s="1">
        <f>IF(C54="Passive","NULL",$D54&amp;"/"&amp;LOWER($D54&amp;"_"&amp;$C54&amp;"_Back.prefab"))</f>
        <v/>
      </c>
      <c r="G54" s="1" t="inlineStr">
        <is>
          <t>NULL</t>
        </is>
      </c>
    </row>
    <row r="55">
      <c r="A55" s="1" t="n">
        <v>3821031</v>
      </c>
      <c r="C55" s="1">
        <f t="array" ref="C55">_xlfn.IFS(INT(LEFT(A55,1))=1,"Normal", INT(LEFT(A55,1))=2,"Active", INT(LEFT(A55,1))=3,"Ultimate", INT(LEFT(A55,1))=4,"Passive")</f>
        <v/>
      </c>
      <c r="D55" s="1" t="inlineStr">
        <is>
          <t>m258_02_a</t>
        </is>
      </c>
      <c r="E55" s="1">
        <f>IF(C55="Passive","NULL",$D55&amp;"/"&amp;LOWER($D55&amp;"_"&amp;$C55&amp;"_front.prefab"))</f>
        <v/>
      </c>
      <c r="F55" s="1">
        <f>IF(C55="Passive","NULL",$D55&amp;"/"&amp;LOWER($D55&amp;"_"&amp;$C55&amp;"_Back.prefab"))</f>
        <v/>
      </c>
      <c r="G55" s="1" t="inlineStr">
        <is>
          <t>NULL</t>
        </is>
      </c>
    </row>
    <row r="56">
      <c r="A56" s="1" t="n">
        <v>3831031</v>
      </c>
      <c r="C56" s="1">
        <f t="array" ref="C56">_xlfn.IFS(INT(LEFT(A56,1))=1,"Normal", INT(LEFT(A56,1))=2,"Active", INT(LEFT(A56,1))=3,"Ultimate", INT(LEFT(A56,1))=4,"Passive")</f>
        <v/>
      </c>
      <c r="D56" s="1" t="inlineStr">
        <is>
          <t>m258_03_a</t>
        </is>
      </c>
      <c r="E56" s="1">
        <f>IF(C56="Passive","NULL",$D56&amp;"/"&amp;LOWER($D56&amp;"_"&amp;$C56&amp;"_front.prefab"))</f>
        <v/>
      </c>
      <c r="F56" s="1">
        <f>IF(C56="Passive","NULL",$D56&amp;"/"&amp;LOWER($D56&amp;"_"&amp;$C56&amp;"_Back.prefab"))</f>
        <v/>
      </c>
      <c r="G56" s="1" t="inlineStr">
        <is>
          <t>NULL</t>
        </is>
      </c>
    </row>
    <row r="57">
      <c r="A57" s="1" t="n">
        <v>3841031</v>
      </c>
      <c r="C57" s="1">
        <f t="array" ref="C57">_xlfn.IFS(INT(LEFT(A57,1))=1,"Normal", INT(LEFT(A57,1))=2,"Active", INT(LEFT(A57,1))=3,"Ultimate", INT(LEFT(A57,1))=4,"Passive")</f>
        <v/>
      </c>
      <c r="D57" s="1" t="inlineStr">
        <is>
          <t>m258_04_a</t>
        </is>
      </c>
      <c r="E57" s="1">
        <f>IF(C57="Passive","NULL",$D57&amp;"/"&amp;LOWER($D57&amp;"_"&amp;$C57&amp;"_front.prefab"))</f>
        <v/>
      </c>
      <c r="F57" s="1">
        <f>IF(C57="Passive","NULL",$D57&amp;"/"&amp;LOWER($D57&amp;"_"&amp;$C57&amp;"_Back.prefab"))</f>
        <v/>
      </c>
      <c r="G57" s="1" t="inlineStr">
        <is>
          <t>NULL</t>
        </is>
      </c>
    </row>
    <row r="58">
      <c r="A58" s="1" t="n">
        <v>3851031</v>
      </c>
      <c r="C58" s="1">
        <f t="array" ref="C58">_xlfn.IFS(INT(LEFT(A58,1))=1,"Normal", INT(LEFT(A58,1))=2,"Active", INT(LEFT(A58,1))=3,"Ultimate", INT(LEFT(A58,1))=4,"Passive")</f>
        <v/>
      </c>
      <c r="D58" s="1" t="inlineStr">
        <is>
          <t>m258_05_a</t>
        </is>
      </c>
      <c r="E58" s="1">
        <f>IF(C58="Passive","NULL",$D58&amp;"/"&amp;LOWER($D58&amp;"_"&amp;$C58&amp;"_front.prefab"))</f>
        <v/>
      </c>
      <c r="F58" s="1">
        <f>IF(C58="Passive","NULL",$D58&amp;"/"&amp;LOWER($D58&amp;"_"&amp;$C58&amp;"_Back.prefab"))</f>
        <v/>
      </c>
      <c r="G58" s="1" t="inlineStr">
        <is>
          <t>NULL</t>
        </is>
      </c>
    </row>
    <row r="59">
      <c r="A59" s="1" t="n">
        <v>1555081</v>
      </c>
      <c r="C59" s="1">
        <f t="array" ref="C59">_xlfn.IFS(INT(LEFT(A59,1))=1,"Normal", INT(LEFT(A59,1))=2,"Active", INT(LEFT(A59,1))=3,"Ultimate", INT(LEFT(A59,1))=4,"Passive")</f>
        <v/>
      </c>
      <c r="D59" s="1" t="inlineStr">
        <is>
          <t>c183_a</t>
        </is>
      </c>
      <c r="E59" s="1">
        <f>IF(C59="Passive","NULL",$D59&amp;"/"&amp;LOWER($D59&amp;"_"&amp;$C59&amp;"_front.prefab"))</f>
        <v/>
      </c>
      <c r="F59" s="1">
        <f>IF(C59="Passive","NULL",$D59&amp;"/"&amp;LOWER($D59&amp;"_"&amp;$C59&amp;"_Back.prefab"))</f>
        <v/>
      </c>
      <c r="G59" s="1" t="inlineStr">
        <is>
          <t>NULL</t>
        </is>
      </c>
    </row>
    <row r="60">
      <c r="A60" s="1" t="n">
        <v>2555081</v>
      </c>
      <c r="C60" s="1">
        <f t="array" ref="C60">_xlfn.IFS(INT(LEFT(A60,1))=1,"Normal", INT(LEFT(A60,1))=2,"Active", INT(LEFT(A60,1))=3,"Ultimate", INT(LEFT(A60,1))=4,"Passive")</f>
        <v/>
      </c>
      <c r="D60" s="1" t="inlineStr">
        <is>
          <t>c183_a</t>
        </is>
      </c>
      <c r="E60" s="1">
        <f>IF(C60="Passive","NULL",$D60&amp;"/"&amp;LOWER($D60&amp;"_"&amp;$C60&amp;"_front.prefab"))</f>
        <v/>
      </c>
      <c r="F60" s="1">
        <f>IF(C60="Passive","NULL",$D60&amp;"/"&amp;LOWER($D60&amp;"_"&amp;$C60&amp;"_Back.prefab"))</f>
        <v/>
      </c>
      <c r="G60" s="1" t="inlineStr">
        <is>
          <t>NULL</t>
        </is>
      </c>
    </row>
    <row r="61">
      <c r="A61" s="1" t="n">
        <v>3555081</v>
      </c>
      <c r="C61" s="1">
        <f t="array" ref="C61">_xlfn.IFS(INT(LEFT(A61,1))=1,"Normal", INT(LEFT(A61,1))=2,"Active", INT(LEFT(A61,1))=3,"Ultimate", INT(LEFT(A61,1))=4,"Passive")</f>
        <v/>
      </c>
      <c r="D61" s="1" t="inlineStr">
        <is>
          <t>c183_a</t>
        </is>
      </c>
      <c r="E61" s="1">
        <f>IF(C61="Passive","NULL",$D61&amp;"/"&amp;LOWER($D61&amp;"_"&amp;$C61&amp;"_front.prefab"))</f>
        <v/>
      </c>
      <c r="F61" s="1">
        <f>IF(C61="Passive","NULL",$D61&amp;"/"&amp;LOWER($D61&amp;"_"&amp;$C61&amp;"_Back.prefab"))</f>
        <v/>
      </c>
      <c r="G61" s="1" t="inlineStr">
        <is>
          <t>NULL</t>
        </is>
      </c>
    </row>
    <row r="62">
      <c r="A62" s="1" t="n">
        <v>4555081</v>
      </c>
      <c r="C62" s="1">
        <f t="array" ref="C62">_xlfn.IFS(INT(LEFT(A62,1))=1,"Normal", INT(LEFT(A62,1))=2,"Active", INT(LEFT(A62,1))=3,"Ultimate", INT(LEFT(A62,1))=4,"Passive")</f>
        <v/>
      </c>
      <c r="D62" s="1" t="inlineStr">
        <is>
          <t>c183_a</t>
        </is>
      </c>
      <c r="E62" s="1">
        <f>IF(C62="Passive","NULL",$D62&amp;"/"&amp;LOWER($D62&amp;"_"&amp;$C62&amp;"_front.prefab"))</f>
        <v/>
      </c>
      <c r="F62" s="1">
        <f>IF(C62="Passive","NULL",$D62&amp;"/"&amp;LOWER($D62&amp;"_"&amp;$C62&amp;"_Back.prefab"))</f>
        <v/>
      </c>
      <c r="G62" s="1" t="inlineStr">
        <is>
          <t>NULL</t>
        </is>
      </c>
    </row>
    <row r="63">
      <c r="A63" s="1" t="n">
        <v>1551091</v>
      </c>
      <c r="C63" s="1">
        <f t="array" ref="C63">_xlfn.IFS(INT(LEFT(A63,1))=1,"Normal", INT(LEFT(A63,1))=2,"Active", INT(LEFT(A63,1))=3,"Ultimate", INT(LEFT(A63,1))=4,"Passive")</f>
        <v/>
      </c>
      <c r="D63" s="1" t="inlineStr">
        <is>
          <t>c051_a</t>
        </is>
      </c>
      <c r="E63" s="1">
        <f>IF(C63="Passive","NULL",$D63&amp;"/"&amp;LOWER($D63&amp;"_"&amp;$C63&amp;"_front.prefab"))</f>
        <v/>
      </c>
      <c r="F63" s="1">
        <f>IF(C63="Passive","NULL",$D63&amp;"/"&amp;LOWER($D63&amp;"_"&amp;$C63&amp;"_Back.prefab"))</f>
        <v/>
      </c>
      <c r="G63" s="1" t="inlineStr">
        <is>
          <t>NULL</t>
        </is>
      </c>
    </row>
    <row r="64">
      <c r="A64" s="1" t="n">
        <v>2551091</v>
      </c>
      <c r="C64" s="1">
        <f t="array" ref="C64">_xlfn.IFS(INT(LEFT(A64,1))=1,"Normal", INT(LEFT(A64,1))=2,"Active", INT(LEFT(A64,1))=3,"Ultimate", INT(LEFT(A64,1))=4,"Passive")</f>
        <v/>
      </c>
      <c r="D64" s="1" t="inlineStr">
        <is>
          <t>c051_a</t>
        </is>
      </c>
      <c r="E64" s="1">
        <f>IF(C64="Passive","NULL",$D64&amp;"/"&amp;LOWER($D64&amp;"_"&amp;$C64&amp;"_front.prefab"))</f>
        <v/>
      </c>
      <c r="F64" s="1">
        <f>IF(C64="Passive","NULL",$D64&amp;"/"&amp;LOWER($D64&amp;"_"&amp;$C64&amp;"_Back.prefab"))</f>
        <v/>
      </c>
      <c r="G64" s="1" t="inlineStr">
        <is>
          <t>NULL</t>
        </is>
      </c>
    </row>
    <row r="65">
      <c r="A65" s="1" t="n">
        <v>3551091</v>
      </c>
      <c r="C65" s="1">
        <f t="array" ref="C65">_xlfn.IFS(INT(LEFT(A65,1))=1,"Normal", INT(LEFT(A65,1))=2,"Active", INT(LEFT(A65,1))=3,"Ultimate", INT(LEFT(A65,1))=4,"Passive")</f>
        <v/>
      </c>
      <c r="D65" s="1" t="inlineStr">
        <is>
          <t>c051_a</t>
        </is>
      </c>
      <c r="E65" s="1">
        <f>IF(C65="Passive","NULL",$D65&amp;"/"&amp;LOWER($D65&amp;"_"&amp;$C65&amp;"_front.prefab"))</f>
        <v/>
      </c>
      <c r="F65" s="1">
        <f>IF(C65="Passive","NULL",$D65&amp;"/"&amp;LOWER($D65&amp;"_"&amp;$C65&amp;"_Back.prefab"))</f>
        <v/>
      </c>
      <c r="G65" s="1" t="inlineStr">
        <is>
          <t>NULL</t>
        </is>
      </c>
    </row>
    <row r="66">
      <c r="A66" s="1" t="n">
        <v>4551091</v>
      </c>
      <c r="C66" s="1">
        <f t="array" ref="C66">_xlfn.IFS(INT(LEFT(A66,1))=1,"Normal", INT(LEFT(A66,1))=2,"Active", INT(LEFT(A66,1))=3,"Ultimate", INT(LEFT(A66,1))=4,"Passive")</f>
        <v/>
      </c>
      <c r="D66" s="1" t="inlineStr">
        <is>
          <t>c051_a</t>
        </is>
      </c>
      <c r="E66" s="1">
        <f>IF(C66="Passive","NULL",$D66&amp;"/"&amp;LOWER($D66&amp;"_"&amp;$C66&amp;"_front.prefab"))</f>
        <v/>
      </c>
      <c r="F66" s="1">
        <f>IF(C66="Passive","NULL",$D66&amp;"/"&amp;LOWER($D66&amp;"_"&amp;$C66&amp;"_Back.prefab"))</f>
        <v/>
      </c>
      <c r="G66" s="1" t="inlineStr">
        <is>
          <t>NULL</t>
        </is>
      </c>
    </row>
    <row r="67">
      <c r="A67" s="1" t="n">
        <v>1554101</v>
      </c>
      <c r="C67" s="1">
        <f t="array" ref="C67">_xlfn.IFS(INT(LEFT(A67,1))=1,"Normal", INT(LEFT(A67,1))=2,"Active", INT(LEFT(A67,1))=3,"Ultimate", INT(LEFT(A67,1))=4,"Passive")</f>
        <v/>
      </c>
      <c r="D67" s="1" t="inlineStr">
        <is>
          <t>c364_a</t>
        </is>
      </c>
      <c r="E67" s="1">
        <f>IF(C67="Passive","NULL",$D67&amp;"/"&amp;LOWER($D67&amp;"_"&amp;$C67&amp;"_front.prefab"))</f>
        <v/>
      </c>
      <c r="F67" s="1">
        <f>IF(C67="Passive","NULL",$D67&amp;"/"&amp;LOWER($D67&amp;"_"&amp;$C67&amp;"_Back.prefab"))</f>
        <v/>
      </c>
      <c r="G67" s="1" t="inlineStr">
        <is>
          <t>NULL</t>
        </is>
      </c>
    </row>
    <row r="68">
      <c r="A68" s="1" t="n">
        <v>2554101</v>
      </c>
      <c r="C68" s="1">
        <f t="array" ref="C68">_xlfn.IFS(INT(LEFT(A68,1))=1,"Normal", INT(LEFT(A68,1))=2,"Active", INT(LEFT(A68,1))=3,"Ultimate", INT(LEFT(A68,1))=4,"Passive")</f>
        <v/>
      </c>
      <c r="D68" s="1" t="inlineStr">
        <is>
          <t>c364_a</t>
        </is>
      </c>
      <c r="E68" s="1">
        <f>IF(C68="Passive","NULL",$D68&amp;"/"&amp;LOWER($D68&amp;"_"&amp;$C68&amp;"_front.prefab"))</f>
        <v/>
      </c>
      <c r="F68" s="1">
        <f>IF(C68="Passive","NULL",$D68&amp;"/"&amp;LOWER($D68&amp;"_"&amp;$C68&amp;"_Back.prefab"))</f>
        <v/>
      </c>
      <c r="G68" s="1" t="inlineStr">
        <is>
          <t>NULL</t>
        </is>
      </c>
    </row>
    <row r="69">
      <c r="A69" s="1" t="n">
        <v>3554101</v>
      </c>
      <c r="C69" s="1">
        <f t="array" ref="C69">_xlfn.IFS(INT(LEFT(A69,1))=1,"Normal", INT(LEFT(A69,1))=2,"Active", INT(LEFT(A69,1))=3,"Ultimate", INT(LEFT(A69,1))=4,"Passive")</f>
        <v/>
      </c>
      <c r="D69" s="1" t="inlineStr">
        <is>
          <t>c364_a</t>
        </is>
      </c>
      <c r="E69" s="1">
        <f>IF(C69="Passive","NULL",$D69&amp;"/"&amp;LOWER($D69&amp;"_"&amp;$C69&amp;"_front.prefab"))</f>
        <v/>
      </c>
      <c r="F69" s="1">
        <f>IF(C69="Passive","NULL",$D69&amp;"/"&amp;LOWER($D69&amp;"_"&amp;$C69&amp;"_Back.prefab"))</f>
        <v/>
      </c>
      <c r="G69" s="1" t="inlineStr">
        <is>
          <t>NULL</t>
        </is>
      </c>
    </row>
    <row r="70">
      <c r="A70" s="26" t="n">
        <v>4554101</v>
      </c>
      <c r="C70" s="1">
        <f t="array" ref="C70">_xlfn.IFS(INT(LEFT(A70,1))=1,"Normal", INT(LEFT(A70,1))=2,"Active", INT(LEFT(A70,1))=3,"Ultimate", INT(LEFT(A70,1))=4,"Passive")</f>
        <v/>
      </c>
      <c r="D70" s="1" t="inlineStr">
        <is>
          <t>c364_a</t>
        </is>
      </c>
      <c r="E70" s="1">
        <f>IF(C70="Passive","NULL",$D70&amp;"/"&amp;LOWER($D70&amp;"_"&amp;$C70&amp;"_front.prefab"))</f>
        <v/>
      </c>
      <c r="F70" s="1">
        <f>IF(C70="Passive","NULL",$D70&amp;"/"&amp;LOWER($D70&amp;"_"&amp;$C70&amp;"_Back.prefab"))</f>
        <v/>
      </c>
      <c r="G70" s="1" t="inlineStr">
        <is>
          <t>NULL</t>
        </is>
      </c>
    </row>
    <row r="71">
      <c r="A71" s="1" t="n">
        <v>1942021</v>
      </c>
      <c r="C71" s="1">
        <f t="array" ref="C71">_xlfn.IFS(INT(LEFT(A71,1))=1,"Normal", INT(LEFT(A71,1))=2,"Active", INT(LEFT(A71,1))=3,"Ultimate", INT(LEFT(A71,1))=4,"Passive")</f>
        <v/>
      </c>
      <c r="D71" s="1" t="inlineStr">
        <is>
          <t>m040_a</t>
        </is>
      </c>
      <c r="E71" s="1">
        <f>IF(C71="Passive","NULL",$D71&amp;"/"&amp;LOWER($D71&amp;"_"&amp;$C71&amp;"_front.prefab"))</f>
        <v/>
      </c>
      <c r="F71" s="1">
        <f>IF(C71="Passive","NULL",$D71&amp;"/"&amp;LOWER($D71&amp;"_"&amp;$C71&amp;"_Back.prefab"))</f>
        <v/>
      </c>
      <c r="G71" s="1" t="inlineStr">
        <is>
          <t>NULL</t>
        </is>
      </c>
    </row>
    <row r="72">
      <c r="A72" s="1" t="n">
        <v>2942021</v>
      </c>
      <c r="C72" s="1">
        <f t="array" ref="C72">_xlfn.IFS(INT(LEFT(A72,1))=1,"Normal", INT(LEFT(A72,1))=2,"Active", INT(LEFT(A72,1))=3,"Ultimate", INT(LEFT(A72,1))=4,"Passive")</f>
        <v/>
      </c>
      <c r="D72" s="1" t="inlineStr">
        <is>
          <t>m040_a</t>
        </is>
      </c>
      <c r="E72" s="1">
        <f>IF(C72="Passive","NULL",$D72&amp;"/"&amp;LOWER($D72&amp;"_"&amp;$C72&amp;"_front.prefab"))</f>
        <v/>
      </c>
      <c r="F72" s="1">
        <f>IF(C72="Passive","NULL",$D72&amp;"/"&amp;LOWER($D72&amp;"_"&amp;$C72&amp;"_Back.prefab"))</f>
        <v/>
      </c>
      <c r="G72" s="1" t="inlineStr">
        <is>
          <t>NULL</t>
        </is>
      </c>
    </row>
    <row r="73">
      <c r="A73" s="1" t="n">
        <v>3942021</v>
      </c>
      <c r="C73" s="1">
        <f t="array" ref="C73">_xlfn.IFS(INT(LEFT(A73,1))=1,"Normal", INT(LEFT(A73,1))=2,"Active", INT(LEFT(A73,1))=3,"Ultimate", INT(LEFT(A73,1))=4,"Passive")</f>
        <v/>
      </c>
      <c r="D73" s="1" t="inlineStr">
        <is>
          <t>m040_a</t>
        </is>
      </c>
      <c r="E73" s="1">
        <f>IF(C73="Passive","NULL",$D73&amp;"/"&amp;LOWER($D73&amp;"_"&amp;$C73&amp;"_front.prefab"))</f>
        <v/>
      </c>
      <c r="F73" s="1">
        <f>IF(C73="Passive","NULL",$D73&amp;"/"&amp;LOWER($D73&amp;"_"&amp;$C73&amp;"_Back.prefab"))</f>
        <v/>
      </c>
      <c r="G73" s="1" t="inlineStr">
        <is>
          <t>NULL</t>
        </is>
      </c>
    </row>
    <row r="74">
      <c r="A74" s="1" t="n">
        <v>1842051</v>
      </c>
      <c r="C74" s="1">
        <f t="array" ref="C74">_xlfn.IFS(INT(LEFT(A74,1))=1,"Normal", INT(LEFT(A74,1))=2,"Active", INT(LEFT(A74,1))=3,"Ultimate", INT(LEFT(A74,1))=4,"Passive")</f>
        <v/>
      </c>
      <c r="D74" s="1" t="inlineStr">
        <is>
          <t>m013_01_a</t>
        </is>
      </c>
      <c r="E74" s="1">
        <f>IF(C74="Passive","NULL",$D74&amp;"/"&amp;LOWER($D74&amp;"_"&amp;$C74&amp;"_front.prefab"))</f>
        <v/>
      </c>
      <c r="F74" s="1">
        <f>IF(C74="Passive","NULL",$D74&amp;"/"&amp;LOWER($D74&amp;"_"&amp;$C74&amp;"_Back.prefab"))</f>
        <v/>
      </c>
      <c r="G74" s="1" t="inlineStr">
        <is>
          <t>NULL</t>
        </is>
      </c>
    </row>
    <row r="75">
      <c r="A75" s="1" t="n">
        <v>2842051</v>
      </c>
      <c r="C75" s="1">
        <f t="array" ref="C75">_xlfn.IFS(INT(LEFT(A75,1))=1,"Normal", INT(LEFT(A75,1))=2,"Active", INT(LEFT(A75,1))=3,"Ultimate", INT(LEFT(A75,1))=4,"Passive")</f>
        <v/>
      </c>
      <c r="D75" s="1" t="inlineStr">
        <is>
          <t>m013_01_a</t>
        </is>
      </c>
      <c r="E75" s="1">
        <f>IF(C75="Passive","NULL",$D75&amp;"/"&amp;LOWER($D75&amp;"_"&amp;$C75&amp;"_front.prefab"))</f>
        <v/>
      </c>
      <c r="F75" s="1">
        <f>IF(C75="Passive","NULL",$D75&amp;"/"&amp;LOWER($D75&amp;"_"&amp;$C75&amp;"_Back.prefab"))</f>
        <v/>
      </c>
      <c r="G75" s="1" t="inlineStr">
        <is>
          <t>NULL</t>
        </is>
      </c>
    </row>
    <row r="76">
      <c r="A76" s="1" t="n">
        <v>3842051</v>
      </c>
      <c r="C76" s="1">
        <f t="array" ref="C76">_xlfn.IFS(INT(LEFT(A76,1))=1,"Normal", INT(LEFT(A76,1))=2,"Active", INT(LEFT(A76,1))=3,"Ultimate", INT(LEFT(A76,1))=4,"Passive")</f>
        <v/>
      </c>
      <c r="D76" s="1" t="inlineStr">
        <is>
          <t>m013_01_a</t>
        </is>
      </c>
      <c r="E76" s="1">
        <f>IF(C76="Passive","NULL",$D76&amp;"/"&amp;LOWER($D76&amp;"_"&amp;$C76&amp;"_front.prefab"))</f>
        <v/>
      </c>
      <c r="F76" s="1">
        <f>IF(C76="Passive","NULL",$D76&amp;"/"&amp;LOWER($D76&amp;"_"&amp;$C76&amp;"_Back.prefab"))</f>
        <v/>
      </c>
      <c r="G76" s="1" t="inlineStr">
        <is>
          <t>NULL</t>
        </is>
      </c>
    </row>
    <row r="77">
      <c r="A77" s="1" t="n">
        <v>1842061</v>
      </c>
      <c r="C77" s="1">
        <f t="array" ref="C77">_xlfn.IFS(INT(LEFT(A77,1))=1,"Normal", INT(LEFT(A77,1))=2,"Active", INT(LEFT(A77,1))=3,"Ultimate", INT(LEFT(A77,1))=4,"Passive")</f>
        <v/>
      </c>
      <c r="D77" s="1" t="inlineStr">
        <is>
          <t>m189_a</t>
        </is>
      </c>
      <c r="E77" s="1">
        <f>IF(C77="Passive","NULL",$D77&amp;"/"&amp;LOWER($D77&amp;"_"&amp;$C77&amp;"_front.prefab"))</f>
        <v/>
      </c>
      <c r="F77" s="1">
        <f>IF(C77="Passive","NULL",$D77&amp;"/"&amp;LOWER($D77&amp;"_"&amp;$C77&amp;"_Back.prefab"))</f>
        <v/>
      </c>
      <c r="G77" s="1" t="inlineStr">
        <is>
          <t>NULL</t>
        </is>
      </c>
    </row>
    <row r="78">
      <c r="A78" s="1" t="n">
        <v>2842061</v>
      </c>
      <c r="C78" s="1" t="inlineStr">
        <is>
          <t>Active</t>
        </is>
      </c>
      <c r="D78" s="1" t="inlineStr">
        <is>
          <t>m189_a</t>
        </is>
      </c>
      <c r="E78" s="1">
        <f>IF(C78="Passive","NULL",$D78&amp;"/"&amp;LOWER($D78&amp;"_"&amp;$C78&amp;"_front.prefab"))</f>
        <v/>
      </c>
      <c r="F78" s="1">
        <f>IF(C78="Passive","NULL",$D78&amp;"/"&amp;LOWER($D78&amp;"_"&amp;$C78&amp;"_Back.prefab"))</f>
        <v/>
      </c>
      <c r="G78" s="1" t="inlineStr">
        <is>
          <t>NULL</t>
        </is>
      </c>
    </row>
    <row r="79">
      <c r="A79" s="1" t="n">
        <v>3842061</v>
      </c>
      <c r="C79" s="1">
        <f t="array" ref="C79">_xlfn.IFS(INT(LEFT(A79,1))=1,"Normal", INT(LEFT(A79,1))=2,"Active", INT(LEFT(A79,1))=3,"Ultimate", INT(LEFT(A79,1))=4,"Passive")</f>
        <v/>
      </c>
      <c r="D79" s="1" t="inlineStr">
        <is>
          <t>m189_a</t>
        </is>
      </c>
      <c r="E79" s="1">
        <f>IF(C79="Passive","NULL",$D79&amp;"/"&amp;LOWER($D79&amp;"_"&amp;$C79&amp;"_front.prefab"))</f>
        <v/>
      </c>
      <c r="F79" s="1">
        <f>IF(C79="Passive","NULL",$D79&amp;"/"&amp;LOWER($D79&amp;"_"&amp;$C79&amp;"_Back.prefab"))</f>
        <v/>
      </c>
      <c r="G79" s="1" t="inlineStr">
        <is>
          <t>NULL</t>
        </is>
      </c>
    </row>
    <row r="80">
      <c r="A80" s="1" t="n">
        <v>1811041</v>
      </c>
      <c r="C80" s="1">
        <f t="array" ref="C80">_xlfn.IFS(INT(LEFT(A80,1))=1,"Normal", INT(LEFT(A80,1))=2,"Active", INT(LEFT(A80,1))=3,"Ultimate", INT(LEFT(A80,1))=4,"Passive")</f>
        <v/>
      </c>
      <c r="D80" s="1" t="inlineStr">
        <is>
          <t>m073_01_a</t>
        </is>
      </c>
      <c r="E80" s="1">
        <f>IF(C80="Passive","NULL",$D80&amp;"/"&amp;LOWER($D80&amp;"_"&amp;$C80&amp;"_front.prefab"))</f>
        <v/>
      </c>
      <c r="F80" s="1">
        <f>IF(C80="Passive","NULL",$D80&amp;"/"&amp;LOWER($D80&amp;"_"&amp;$C80&amp;"_Back.prefab"))</f>
        <v/>
      </c>
      <c r="G80" s="1" t="inlineStr">
        <is>
          <t>NULL</t>
        </is>
      </c>
    </row>
    <row r="81">
      <c r="A81" s="1" t="n">
        <v>3811041</v>
      </c>
      <c r="C81" s="1">
        <f t="array" ref="C81">_xlfn.IFS(INT(LEFT(A81,1))=1,"Normal", INT(LEFT(A81,1))=2,"Active", INT(LEFT(A81,1))=3,"Ultimate", INT(LEFT(A81,1))=4,"Passive")</f>
        <v/>
      </c>
      <c r="D81" s="1" t="inlineStr">
        <is>
          <t>m073_01_a</t>
        </is>
      </c>
      <c r="E81" s="1">
        <f>IF(C81="Passive","NULL",$D81&amp;"/"&amp;LOWER($D81&amp;"_"&amp;$C81&amp;"_front.prefab"))</f>
        <v/>
      </c>
      <c r="F81" s="1">
        <f>IF(C81="Passive","NULL",$D81&amp;"/"&amp;LOWER($D81&amp;"_"&amp;$C81&amp;"_Back.prefab"))</f>
        <v/>
      </c>
      <c r="G81" s="1" t="inlineStr">
        <is>
          <t>NULL</t>
        </is>
      </c>
    </row>
    <row r="82">
      <c r="A82" s="1" t="n">
        <v>1821041</v>
      </c>
      <c r="C82" s="1">
        <f t="array" ref="C82">_xlfn.IFS(INT(LEFT(A82,1))=1,"Normal", INT(LEFT(A82,1))=2,"Active", INT(LEFT(A82,1))=3,"Ultimate", INT(LEFT(A82,1))=4,"Passive")</f>
        <v/>
      </c>
      <c r="D82" s="1" t="inlineStr">
        <is>
          <t>m073_02_a</t>
        </is>
      </c>
      <c r="E82" s="1">
        <f>IF(C82="Passive","NULL",$D82&amp;"/"&amp;LOWER($D82&amp;"_"&amp;$C82&amp;"_front.prefab"))</f>
        <v/>
      </c>
      <c r="F82" s="1">
        <f>IF(C82="Passive","NULL",$D82&amp;"/"&amp;LOWER($D82&amp;"_"&amp;$C82&amp;"_Back.prefab"))</f>
        <v/>
      </c>
      <c r="G82" s="1" t="inlineStr">
        <is>
          <t>NULL</t>
        </is>
      </c>
    </row>
    <row r="83">
      <c r="A83" s="1" t="n">
        <v>3821041</v>
      </c>
      <c r="C83" s="1">
        <f t="array" ref="C83">_xlfn.IFS(INT(LEFT(A83,1))=1,"Normal", INT(LEFT(A83,1))=2,"Active", INT(LEFT(A83,1))=3,"Ultimate", INT(LEFT(A83,1))=4,"Passive")</f>
        <v/>
      </c>
      <c r="D83" s="1" t="inlineStr">
        <is>
          <t>m073_02_a</t>
        </is>
      </c>
      <c r="E83" s="1">
        <f>IF(C83="Passive","NULL",$D83&amp;"/"&amp;LOWER($D83&amp;"_"&amp;$C83&amp;"_front.prefab"))</f>
        <v/>
      </c>
      <c r="F83" s="1">
        <f>IF(C83="Passive","NULL",$D83&amp;"/"&amp;LOWER($D83&amp;"_"&amp;$C83&amp;"_Back.prefab"))</f>
        <v/>
      </c>
      <c r="G83" s="1" t="inlineStr">
        <is>
          <t>NULL</t>
        </is>
      </c>
    </row>
    <row r="84">
      <c r="A84" s="1" t="n">
        <v>1831041</v>
      </c>
      <c r="C84" s="1">
        <f t="array" ref="C84">_xlfn.IFS(INT(LEFT(A84,1))=1,"Normal", INT(LEFT(A84,1))=2,"Active", INT(LEFT(A84,1))=3,"Ultimate", INT(LEFT(A84,1))=4,"Passive")</f>
        <v/>
      </c>
      <c r="D84" s="1" t="inlineStr">
        <is>
          <t>m073_03_a</t>
        </is>
      </c>
      <c r="E84" s="1">
        <f>IF(C84="Passive","NULL",$D84&amp;"/"&amp;LOWER($D84&amp;"_"&amp;$C84&amp;"_front.prefab"))</f>
        <v/>
      </c>
      <c r="F84" s="1">
        <f>IF(C84="Passive","NULL",$D84&amp;"/"&amp;LOWER($D84&amp;"_"&amp;$C84&amp;"_Back.prefab"))</f>
        <v/>
      </c>
      <c r="G84" s="1" t="inlineStr">
        <is>
          <t>NULL</t>
        </is>
      </c>
    </row>
    <row r="85">
      <c r="A85" s="1" t="n">
        <v>3831041</v>
      </c>
      <c r="C85" s="1">
        <f t="array" ref="C85">_xlfn.IFS(INT(LEFT(A85,1))=1,"Normal", INT(LEFT(A85,1))=2,"Active", INT(LEFT(A85,1))=3,"Ultimate", INT(LEFT(A85,1))=4,"Passive")</f>
        <v/>
      </c>
      <c r="D85" s="1" t="inlineStr">
        <is>
          <t>m073_03_a</t>
        </is>
      </c>
      <c r="E85" s="1">
        <f>IF(C85="Passive","NULL",$D85&amp;"/"&amp;LOWER($D85&amp;"_"&amp;$C85&amp;"_front.prefab"))</f>
        <v/>
      </c>
      <c r="F85" s="1">
        <f>IF(C85="Passive","NULL",$D85&amp;"/"&amp;LOWER($D85&amp;"_"&amp;$C85&amp;"_Back.prefab"))</f>
        <v/>
      </c>
      <c r="G85" s="1" t="inlineStr">
        <is>
          <t>NULL</t>
        </is>
      </c>
    </row>
    <row r="86">
      <c r="A86" s="1" t="n">
        <v>1841041</v>
      </c>
      <c r="C86" s="1">
        <f t="array" ref="C86">_xlfn.IFS(INT(LEFT(A86,1))=1,"Normal", INT(LEFT(A86,1))=2,"Active", INT(LEFT(A86,1))=3,"Ultimate", INT(LEFT(A86,1))=4,"Passive")</f>
        <v/>
      </c>
      <c r="D86" s="1" t="inlineStr">
        <is>
          <t>m073_04_a</t>
        </is>
      </c>
      <c r="E86" s="1">
        <f>IF(C86="Passive","NULL",$D86&amp;"/"&amp;LOWER($D86&amp;"_"&amp;$C86&amp;"_front.prefab"))</f>
        <v/>
      </c>
      <c r="F86" s="1">
        <f>IF(C86="Passive","NULL",$D86&amp;"/"&amp;LOWER($D86&amp;"_"&amp;$C86&amp;"_Back.prefab"))</f>
        <v/>
      </c>
      <c r="G86" s="1" t="inlineStr">
        <is>
          <t>NULL</t>
        </is>
      </c>
    </row>
    <row r="87">
      <c r="A87" s="1" t="n">
        <v>3841041</v>
      </c>
      <c r="C87" s="1">
        <f t="array" ref="C87">_xlfn.IFS(INT(LEFT(A87,1))=1,"Normal", INT(LEFT(A87,1))=2,"Active", INT(LEFT(A87,1))=3,"Ultimate", INT(LEFT(A87,1))=4,"Passive")</f>
        <v/>
      </c>
      <c r="D87" s="1" t="inlineStr">
        <is>
          <t>m073_04_a</t>
        </is>
      </c>
      <c r="E87" s="1">
        <f>IF(C87="Passive","NULL",$D87&amp;"/"&amp;LOWER($D87&amp;"_"&amp;$C87&amp;"_front.prefab"))</f>
        <v/>
      </c>
      <c r="F87" s="1">
        <f>IF(C87="Passive","NULL",$D87&amp;"/"&amp;LOWER($D87&amp;"_"&amp;$C87&amp;"_Back.prefab"))</f>
        <v/>
      </c>
      <c r="G87" s="1" t="inlineStr">
        <is>
          <t>NULL</t>
        </is>
      </c>
    </row>
    <row r="88">
      <c r="A88" s="1" t="n">
        <v>1851041</v>
      </c>
      <c r="C88" s="1">
        <f t="array" ref="C88">_xlfn.IFS(INT(LEFT(A88,1))=1,"Normal", INT(LEFT(A88,1))=2,"Active", INT(LEFT(A88,1))=3,"Ultimate", INT(LEFT(A88,1))=4,"Passive")</f>
        <v/>
      </c>
      <c r="D88" s="1" t="inlineStr">
        <is>
          <t>m073_05_a</t>
        </is>
      </c>
      <c r="E88" s="1">
        <f>IF(C88="Passive","NULL",$D88&amp;"/"&amp;LOWER($D88&amp;"_"&amp;$C88&amp;"_front.prefab"))</f>
        <v/>
      </c>
      <c r="F88" s="1">
        <f>IF(C88="Passive","NULL",$D88&amp;"/"&amp;LOWER($D88&amp;"_"&amp;$C88&amp;"_Back.prefab"))</f>
        <v/>
      </c>
      <c r="G88" s="1" t="inlineStr">
        <is>
          <t>NULL</t>
        </is>
      </c>
    </row>
    <row r="89">
      <c r="A89" s="1" t="n">
        <v>3851041</v>
      </c>
      <c r="C89" s="1">
        <f t="array" ref="C89">_xlfn.IFS(INT(LEFT(A89,1))=1,"Normal", INT(LEFT(A89,1))=2,"Active", INT(LEFT(A89,1))=3,"Ultimate", INT(LEFT(A89,1))=4,"Passive")</f>
        <v/>
      </c>
      <c r="D89" s="1" t="inlineStr">
        <is>
          <t>m073_05_a</t>
        </is>
      </c>
      <c r="E89" s="1">
        <f>IF(C89="Passive","NULL",$D89&amp;"/"&amp;LOWER($D89&amp;"_"&amp;$C89&amp;"_front.prefab"))</f>
        <v/>
      </c>
      <c r="F89" s="1">
        <f>IF(C89="Passive","NULL",$D89&amp;"/"&amp;LOWER($D89&amp;"_"&amp;$C89&amp;"_Back.prefab"))</f>
        <v/>
      </c>
      <c r="G89" s="1" t="inlineStr">
        <is>
          <t>NULL</t>
        </is>
      </c>
    </row>
    <row r="90">
      <c r="A90" s="1" t="n">
        <v>1942031</v>
      </c>
      <c r="C90" s="1">
        <f t="array" ref="C90">_xlfn.IFS(INT(LEFT(A90,1))=1,"Normal", INT(LEFT(A90,1))=2,"Active", INT(LEFT(A90,1))=3,"Ultimate", INT(LEFT(A90,1))=4,"Passive")</f>
        <v/>
      </c>
      <c r="D90" s="1" t="inlineStr">
        <is>
          <t>m051_a</t>
        </is>
      </c>
      <c r="E90" s="1">
        <f>IF(C90="Passive","NULL",$D90&amp;"/"&amp;LOWER($D90&amp;"_"&amp;$C90&amp;"_front.prefab"))</f>
        <v/>
      </c>
      <c r="F90" s="1">
        <f>IF(C90="Passive","NULL",$D90&amp;"/"&amp;LOWER($D90&amp;"_"&amp;$C90&amp;"_Back.prefab"))</f>
        <v/>
      </c>
      <c r="G90" s="1" t="inlineStr">
        <is>
          <t>NULL</t>
        </is>
      </c>
    </row>
    <row r="91">
      <c r="A91" s="1" t="n">
        <v>3942031</v>
      </c>
      <c r="C91" s="1">
        <f t="array" ref="C91">_xlfn.IFS(INT(LEFT(A91,1))=1,"Normal", INT(LEFT(A91,1))=2,"Active", INT(LEFT(A91,1))=3,"Ultimate", INT(LEFT(A91,1))=4,"Passive")</f>
        <v/>
      </c>
      <c r="D91" s="1" t="inlineStr">
        <is>
          <t>m051_a</t>
        </is>
      </c>
      <c r="E91" s="1">
        <f>IF(C91="Passive","NULL",$D91&amp;"/"&amp;LOWER($D91&amp;"_"&amp;$C91&amp;"_front.prefab"))</f>
        <v/>
      </c>
      <c r="F91" s="1">
        <f>IF(C91="Passive","NULL",$D91&amp;"/"&amp;LOWER($D91&amp;"_"&amp;$C91&amp;"_Back.prefab"))</f>
        <v/>
      </c>
      <c r="G91" s="1" t="inlineStr">
        <is>
          <t>NULL</t>
        </is>
      </c>
    </row>
    <row r="92">
      <c r="A92" s="1" t="n">
        <v>1942041</v>
      </c>
      <c r="C92" s="1">
        <f t="array" ref="C92">_xlfn.IFS(INT(LEFT(A92,1))=1,"Normal", INT(LEFT(A92,1))=2,"Active", INT(LEFT(A92,1))=3,"Ultimate", INT(LEFT(A92,1))=4,"Passive")</f>
        <v/>
      </c>
      <c r="D92" s="1" t="inlineStr">
        <is>
          <t>c224_a</t>
        </is>
      </c>
      <c r="E92" s="1">
        <f>IF(C92="Passive","NULL",$D92&amp;"/"&amp;LOWER($D92&amp;"_"&amp;$C92&amp;"_front.prefab"))</f>
        <v/>
      </c>
      <c r="F92" s="1">
        <f>IF(C92="Passive","NULL",$D92&amp;"/"&amp;LOWER($D92&amp;"_"&amp;$C92&amp;"_Back.prefab"))</f>
        <v/>
      </c>
      <c r="G92" s="1" t="inlineStr">
        <is>
          <t>NULL</t>
        </is>
      </c>
    </row>
    <row r="93">
      <c r="A93" s="1" t="n">
        <v>3942041</v>
      </c>
      <c r="C93" s="1">
        <f t="array" ref="C93">_xlfn.IFS(INT(LEFT(A93,1))=1,"Normal", INT(LEFT(A93,1))=2,"Active", INT(LEFT(A93,1))=3,"Ultimate", INT(LEFT(A93,1))=4,"Passive")</f>
        <v/>
      </c>
      <c r="D93" s="1" t="inlineStr">
        <is>
          <t>c224_a</t>
        </is>
      </c>
      <c r="E93" s="1">
        <f>IF(C93="Passive","NULL",$D93&amp;"/"&amp;LOWER($D93&amp;"_"&amp;$C93&amp;"_front.prefab"))</f>
        <v/>
      </c>
      <c r="F93" s="1">
        <f>IF(C93="Passive","NULL",$D93&amp;"/"&amp;LOWER($D93&amp;"_"&amp;$C93&amp;"_Back.prefab"))</f>
        <v/>
      </c>
      <c r="G93" s="1" t="inlineStr">
        <is>
          <t>NULL</t>
        </is>
      </c>
    </row>
    <row r="94">
      <c r="A94" s="68" t="n">
        <v>1552111</v>
      </c>
      <c r="C94" s="1">
        <f t="array" ref="C94">_xlfn.IFS(INT(LEFT(A94,1))=1,"Normal", INT(LEFT(A94,1))=2,"Active", INT(LEFT(A94,1))=3,"Ultimate", INT(LEFT(A94,1))=4,"Passive")</f>
        <v/>
      </c>
      <c r="D94" s="1" t="inlineStr">
        <is>
          <t>c001_a</t>
        </is>
      </c>
      <c r="E94" s="1">
        <f>IF(C94="Passive","NULL",$D94&amp;"/"&amp;LOWER($D94&amp;"_"&amp;$C94&amp;"_front.prefab"))</f>
        <v/>
      </c>
      <c r="F94" s="1">
        <f>IF(C94="Passive","NULL",$D94&amp;"/"&amp;LOWER($D94&amp;"_"&amp;$C94&amp;"_Back.prefab"))</f>
        <v/>
      </c>
      <c r="G94" s="1" t="inlineStr">
        <is>
          <t>NULL</t>
        </is>
      </c>
      <c r="H94" s="68" t="n"/>
      <c r="I94" s="68" t="n"/>
      <c r="J94" s="68" t="n"/>
      <c r="K94" s="68" t="n"/>
    </row>
    <row r="95">
      <c r="A95" s="68" t="n">
        <v>2552111</v>
      </c>
      <c r="C95" s="1">
        <f t="array" ref="C95">_xlfn.IFS(INT(LEFT(A95,1))=1,"Normal", INT(LEFT(A95,1))=2,"Active", INT(LEFT(A95,1))=3,"Ultimate", INT(LEFT(A95,1))=4,"Passive")</f>
        <v/>
      </c>
      <c r="D95" s="1" t="inlineStr">
        <is>
          <t>c001_a</t>
        </is>
      </c>
      <c r="E95" s="1">
        <f>IF(C95="Passive","NULL",$D95&amp;"/"&amp;LOWER($D95&amp;"_"&amp;$C95&amp;"_front.prefab"))</f>
        <v/>
      </c>
      <c r="F95" s="1">
        <f>IF(C95="Passive","NULL",$D95&amp;"/"&amp;LOWER($D95&amp;"_"&amp;$C95&amp;"_Back.prefab"))</f>
        <v/>
      </c>
      <c r="G95" s="1" t="inlineStr">
        <is>
          <t>NULL</t>
        </is>
      </c>
    </row>
    <row r="96">
      <c r="A96" s="68" t="n">
        <v>3552111</v>
      </c>
      <c r="C96" s="1">
        <f t="array" ref="C96">_xlfn.IFS(INT(LEFT(A96,1))=1,"Normal", INT(LEFT(A96,1))=2,"Active", INT(LEFT(A96,1))=3,"Ultimate", INT(LEFT(A96,1))=4,"Passive")</f>
        <v/>
      </c>
      <c r="D96" s="1" t="inlineStr">
        <is>
          <t>c001_a</t>
        </is>
      </c>
      <c r="E96" s="1">
        <f>IF(C96="Passive","NULL",$D96&amp;"/"&amp;LOWER($D96&amp;"_"&amp;$C96&amp;"_front.prefab"))</f>
        <v/>
      </c>
      <c r="F96" s="1">
        <f>IF(C96="Passive","NULL",$D96&amp;"/"&amp;LOWER($D96&amp;"_"&amp;$C96&amp;"_Back.prefab"))</f>
        <v/>
      </c>
      <c r="G96" s="1" t="inlineStr">
        <is>
          <t>NULL</t>
        </is>
      </c>
    </row>
    <row r="97">
      <c r="A97" s="68" t="n">
        <v>4552111</v>
      </c>
      <c r="C97" s="1">
        <f t="array" ref="C97">_xlfn.IFS(INT(LEFT(A97,1))=1,"Normal", INT(LEFT(A97,1))=2,"Active", INT(LEFT(A97,1))=3,"Ultimate", INT(LEFT(A97,1))=4,"Passive")</f>
        <v/>
      </c>
      <c r="D97" s="1" t="inlineStr">
        <is>
          <t>c001_a</t>
        </is>
      </c>
      <c r="E97" s="1">
        <f>IF(C97="Passive","NULL",$D97&amp;"/"&amp;LOWER($D97&amp;"_"&amp;$C97&amp;"_front.prefab"))</f>
        <v/>
      </c>
      <c r="F97" s="1">
        <f>IF(C97="Passive","NULL",$D97&amp;"/"&amp;LOWER($D97&amp;"_"&amp;$C97&amp;"_Back.prefab"))</f>
        <v/>
      </c>
      <c r="G97" s="1" t="inlineStr">
        <is>
          <t>NULL</t>
        </is>
      </c>
    </row>
    <row r="98">
      <c r="A98" s="1" t="n">
        <v>3532079</v>
      </c>
      <c r="C98" s="1">
        <f t="array" ref="C98">_xlfn.IFS(INT(LEFT(A98,1))=1,"Normal", INT(LEFT(A98,1))=2,"Active", INT(LEFT(A98,1))=3,"Ultimate", INT(LEFT(A98,1))=4,"Passive")</f>
        <v/>
      </c>
      <c r="D98" s="1" t="inlineStr">
        <is>
          <t>c180_a</t>
        </is>
      </c>
      <c r="E98" s="1">
        <f>IF(C98="Passive","NULL",$D98&amp;"/"&amp;LOWER($D98&amp;"_"&amp;$C98&amp;"_front.prefab"))</f>
        <v/>
      </c>
      <c r="F98" s="1">
        <f>IF(C98="Passive","NULL",$D98&amp;"/"&amp;LOWER($D98&amp;"_"&amp;$C98&amp;"_Back.prefab"))</f>
        <v/>
      </c>
      <c r="G98" s="1" t="inlineStr">
        <is>
          <t>NULL</t>
        </is>
      </c>
    </row>
    <row r="99">
      <c r="A99" s="1" t="n">
        <v>1812021</v>
      </c>
      <c r="C99" s="1">
        <f t="array" ref="C99">_xlfn.IFS(INT(LEFT(A99,1))=1,"Normal", INT(LEFT(A99,1))=2,"Active", INT(LEFT(A99,1))=3,"Ultimate", INT(LEFT(A99,1))=4,"Passive")</f>
        <v/>
      </c>
      <c r="D99" s="1" t="inlineStr">
        <is>
          <t>m900_a</t>
        </is>
      </c>
      <c r="E99" s="1">
        <f>IF(C99="Passive","NULL",$D99&amp;"/"&amp;LOWER($D99&amp;"_"&amp;$C99&amp;"_front.prefab"))</f>
        <v/>
      </c>
      <c r="F99" s="1">
        <f>IF(C99="Passive","NULL",$D99&amp;"/"&amp;LOWER($D99&amp;"_"&amp;$C99&amp;"_Back.prefab"))</f>
        <v/>
      </c>
      <c r="G99" s="1" t="inlineStr">
        <is>
          <t>NULL</t>
        </is>
      </c>
    </row>
    <row r="100">
      <c r="A100" s="1" t="n">
        <v>1822021</v>
      </c>
      <c r="C100" s="1">
        <f t="array" ref="C100">_xlfn.IFS(INT(LEFT(A100,1))=1,"Normal", INT(LEFT(A100,1))=2,"Active", INT(LEFT(A100,1))=3,"Ultimate", INT(LEFT(A100,1))=4,"Passive")</f>
        <v/>
      </c>
      <c r="D100" s="1" t="inlineStr">
        <is>
          <t>m900_b</t>
        </is>
      </c>
      <c r="E100" s="1">
        <f>IF(C100="Passive","NULL",$D100&amp;"/"&amp;LOWER($D100&amp;"_"&amp;$C100&amp;"_front.prefab"))</f>
        <v/>
      </c>
      <c r="F100" s="1">
        <f>IF(C100="Passive","NULL",$D100&amp;"/"&amp;LOWER($D100&amp;"_"&amp;$C100&amp;"_Back.prefab"))</f>
        <v/>
      </c>
      <c r="G100" s="1" t="inlineStr">
        <is>
          <t>NULL</t>
        </is>
      </c>
    </row>
    <row r="101">
      <c r="A101" s="1" t="n">
        <v>1832021</v>
      </c>
      <c r="C101" s="1">
        <f t="array" ref="C101">_xlfn.IFS(INT(LEFT(A101,1))=1,"Normal", INT(LEFT(A101,1))=2,"Active", INT(LEFT(A101,1))=3,"Ultimate", INT(LEFT(A101,1))=4,"Passive")</f>
        <v/>
      </c>
      <c r="D101" s="1" t="inlineStr">
        <is>
          <t>m900_c</t>
        </is>
      </c>
      <c r="E101" s="1">
        <f>IF(C101="Passive","NULL",$D101&amp;"/"&amp;LOWER($D101&amp;"_"&amp;$C101&amp;"_front.prefab"))</f>
        <v/>
      </c>
      <c r="F101" s="1">
        <f>IF(C101="Passive","NULL",$D101&amp;"/"&amp;LOWER($D101&amp;"_"&amp;$C101&amp;"_Back.prefab"))</f>
        <v/>
      </c>
      <c r="G101" s="1" t="inlineStr">
        <is>
          <t>NULL</t>
        </is>
      </c>
    </row>
    <row r="102">
      <c r="A102" s="1" t="n">
        <v>1842021</v>
      </c>
      <c r="C102" s="1">
        <f t="array" ref="C102">_xlfn.IFS(INT(LEFT(A102,1))=1,"Normal", INT(LEFT(A102,1))=2,"Active", INT(LEFT(A102,1))=3,"Ultimate", INT(LEFT(A102,1))=4,"Passive")</f>
        <v/>
      </c>
      <c r="D102" s="1" t="inlineStr">
        <is>
          <t>m900_d</t>
        </is>
      </c>
      <c r="E102" s="1">
        <f>IF(C102="Passive","NULL",$D102&amp;"/"&amp;LOWER($D102&amp;"_"&amp;$C102&amp;"_front.prefab"))</f>
        <v/>
      </c>
      <c r="F102" s="1">
        <f>IF(C102="Passive","NULL",$D102&amp;"/"&amp;LOWER($D102&amp;"_"&amp;$C102&amp;"_Back.prefab"))</f>
        <v/>
      </c>
      <c r="G102" s="1" t="inlineStr">
        <is>
          <t>NULL</t>
        </is>
      </c>
    </row>
    <row r="103">
      <c r="A103" s="1" t="n">
        <v>1852021</v>
      </c>
      <c r="C103" s="1">
        <f t="array" ref="C103">_xlfn.IFS(INT(LEFT(A103,1))=1,"Normal", INT(LEFT(A103,1))=2,"Active", INT(LEFT(A103,1))=3,"Ultimate", INT(LEFT(A103,1))=4,"Passive")</f>
        <v/>
      </c>
      <c r="D103" s="1" t="inlineStr">
        <is>
          <t>m900_e</t>
        </is>
      </c>
      <c r="E103" s="1">
        <f>IF(C103="Passive","NULL",$D103&amp;"/"&amp;LOWER($D103&amp;"_"&amp;$C103&amp;"_front.prefab"))</f>
        <v/>
      </c>
      <c r="F103" s="1">
        <f>IF(C103="Passive","NULL",$D103&amp;"/"&amp;LOWER($D103&amp;"_"&amp;$C103&amp;"_Back.prefab"))</f>
        <v/>
      </c>
      <c r="G103" s="1" t="inlineStr">
        <is>
          <t>NULL</t>
        </is>
      </c>
    </row>
    <row r="104">
      <c r="A104" s="1" t="n">
        <v>3812021</v>
      </c>
      <c r="C104" s="1">
        <f t="array" ref="C104">_xlfn.IFS(INT(LEFT(A104,1))=1,"Normal", INT(LEFT(A104,1))=2,"Active", INT(LEFT(A104,1))=3,"Ultimate", INT(LEFT(A104,1))=4,"Passive")</f>
        <v/>
      </c>
      <c r="D104" s="1" t="inlineStr">
        <is>
          <t>m900_a</t>
        </is>
      </c>
      <c r="E104" s="1">
        <f>IF(C104="Passive","NULL",$D104&amp;"/"&amp;LOWER($D104&amp;"_"&amp;$C104&amp;"_front.prefab"))</f>
        <v/>
      </c>
      <c r="F104" s="1">
        <f>IF(C104="Passive","NULL",$D104&amp;"/"&amp;LOWER($D104&amp;"_"&amp;$C104&amp;"_Back.prefab"))</f>
        <v/>
      </c>
      <c r="G104" s="1" t="inlineStr">
        <is>
          <t>NULL</t>
        </is>
      </c>
    </row>
    <row r="105">
      <c r="A105" s="1" t="n">
        <v>3822021</v>
      </c>
      <c r="C105" s="1">
        <f t="array" ref="C105">_xlfn.IFS(INT(LEFT(A105,1))=1,"Normal", INT(LEFT(A105,1))=2,"Active", INT(LEFT(A105,1))=3,"Ultimate", INT(LEFT(A105,1))=4,"Passive")</f>
        <v/>
      </c>
      <c r="D105" s="1" t="inlineStr">
        <is>
          <t>m900_b</t>
        </is>
      </c>
      <c r="E105" s="1">
        <f>IF(C105="Passive","NULL",$D105&amp;"/"&amp;LOWER($D105&amp;"_"&amp;$C105&amp;"_front.prefab"))</f>
        <v/>
      </c>
      <c r="F105" s="1">
        <f>IF(C105="Passive","NULL",$D105&amp;"/"&amp;LOWER($D105&amp;"_"&amp;$C105&amp;"_Back.prefab"))</f>
        <v/>
      </c>
      <c r="G105" s="1" t="inlineStr">
        <is>
          <t>NULL</t>
        </is>
      </c>
    </row>
    <row r="106">
      <c r="A106" s="1" t="n">
        <v>3832021</v>
      </c>
      <c r="C106" s="1">
        <f t="array" ref="C106">_xlfn.IFS(INT(LEFT(A106,1))=1,"Normal", INT(LEFT(A106,1))=2,"Active", INT(LEFT(A106,1))=3,"Ultimate", INT(LEFT(A106,1))=4,"Passive")</f>
        <v/>
      </c>
      <c r="D106" s="1" t="inlineStr">
        <is>
          <t>m900_c</t>
        </is>
      </c>
      <c r="E106" s="1">
        <f>IF(C106="Passive","NULL",$D106&amp;"/"&amp;LOWER($D106&amp;"_"&amp;$C106&amp;"_front.prefab"))</f>
        <v/>
      </c>
      <c r="F106" s="1">
        <f>IF(C106="Passive","NULL",$D106&amp;"/"&amp;LOWER($D106&amp;"_"&amp;$C106&amp;"_Back.prefab"))</f>
        <v/>
      </c>
      <c r="G106" s="1" t="inlineStr">
        <is>
          <t>NULL</t>
        </is>
      </c>
    </row>
    <row r="107">
      <c r="A107" s="1" t="n">
        <v>3842021</v>
      </c>
      <c r="C107" s="1">
        <f t="array" ref="C107">_xlfn.IFS(INT(LEFT(A107,1))=1,"Normal", INT(LEFT(A107,1))=2,"Active", INT(LEFT(A107,1))=3,"Ultimate", INT(LEFT(A107,1))=4,"Passive")</f>
        <v/>
      </c>
      <c r="D107" s="1" t="inlineStr">
        <is>
          <t>m900_d</t>
        </is>
      </c>
      <c r="E107" s="1">
        <f>IF(C107="Passive","NULL",$D107&amp;"/"&amp;LOWER($D107&amp;"_"&amp;$C107&amp;"_front.prefab"))</f>
        <v/>
      </c>
      <c r="F107" s="1">
        <f>IF(C107="Passive","NULL",$D107&amp;"/"&amp;LOWER($D107&amp;"_"&amp;$C107&amp;"_Back.prefab"))</f>
        <v/>
      </c>
      <c r="G107" s="1" t="inlineStr">
        <is>
          <t>NULL</t>
        </is>
      </c>
    </row>
    <row r="108">
      <c r="A108" s="1" t="n">
        <v>3852021</v>
      </c>
      <c r="C108" s="1">
        <f t="array" ref="C108">_xlfn.IFS(INT(LEFT(A108,1))=1,"Normal", INT(LEFT(A108,1))=2,"Active", INT(LEFT(A108,1))=3,"Ultimate", INT(LEFT(A108,1))=4,"Passive")</f>
        <v/>
      </c>
      <c r="D108" s="1" t="inlineStr">
        <is>
          <t>m900_e</t>
        </is>
      </c>
      <c r="E108" s="1">
        <f>IF(C108="Passive","NULL",$D108&amp;"/"&amp;LOWER($D108&amp;"_"&amp;$C108&amp;"_front.prefab"))</f>
        <v/>
      </c>
      <c r="F108" s="1">
        <f>IF(C108="Passive","NULL",$D108&amp;"/"&amp;LOWER($D108&amp;"_"&amp;$C108&amp;"_Back.prefab"))</f>
        <v/>
      </c>
      <c r="G108" s="1" t="inlineStr">
        <is>
          <t>NULL</t>
        </is>
      </c>
    </row>
    <row r="109">
      <c r="A109" s="1" t="n">
        <v>1325111</v>
      </c>
      <c r="C109" s="1">
        <f t="array" ref="C109">_xlfn.IFS(INT(LEFT(A109,1))=1,"Normal", INT(LEFT(A109,1))=2,"Active", INT(LEFT(A109,1))=3,"Ultimate", INT(LEFT(A109,1))=4,"Passive")</f>
        <v/>
      </c>
      <c r="D109" s="1" t="inlineStr">
        <is>
          <t>c002_a</t>
        </is>
      </c>
      <c r="E109" s="1">
        <f>IF(C109="Passive","NULL",$D109&amp;"/"&amp;LOWER($D109&amp;"_"&amp;$C109&amp;"_front.prefab"))</f>
        <v/>
      </c>
      <c r="F109" s="1">
        <f>IF(C109="Passive","NULL",$D109&amp;"/"&amp;LOWER($D109&amp;"_"&amp;$C109&amp;"_Back.prefab"))</f>
        <v/>
      </c>
      <c r="G109" s="1" t="inlineStr">
        <is>
          <t>NULL</t>
        </is>
      </c>
    </row>
    <row r="110">
      <c r="A110" s="1" t="n">
        <v>2325111</v>
      </c>
      <c r="C110" s="1">
        <f t="array" ref="C110">_xlfn.IFS(INT(LEFT(A110,1))=1,"Normal", INT(LEFT(A110,1))=2,"Active", INT(LEFT(A110,1))=3,"Ultimate", INT(LEFT(A110,1))=4,"Passive")</f>
        <v/>
      </c>
      <c r="D110" s="1" t="inlineStr">
        <is>
          <t>c002_a</t>
        </is>
      </c>
      <c r="E110" s="1">
        <f>IF(C110="Passive","NULL",$D110&amp;"/"&amp;LOWER($D110&amp;"_"&amp;$C110&amp;"_front.prefab"))</f>
        <v/>
      </c>
      <c r="F110" s="1">
        <f>IF(C110="Passive","NULL",$D110&amp;"/"&amp;LOWER($D110&amp;"_"&amp;$C110&amp;"_Back.prefab"))</f>
        <v/>
      </c>
      <c r="G110" s="1" t="inlineStr">
        <is>
          <t>NULL</t>
        </is>
      </c>
    </row>
    <row r="111">
      <c r="A111" s="1" t="n">
        <v>3325111</v>
      </c>
      <c r="C111" s="1">
        <f t="array" ref="C111">_xlfn.IFS(INT(LEFT(A111,1))=1,"Normal", INT(LEFT(A111,1))=2,"Active", INT(LEFT(A111,1))=3,"Ultimate", INT(LEFT(A111,1))=4,"Passive")</f>
        <v/>
      </c>
      <c r="D111" s="1" t="inlineStr">
        <is>
          <t>c002_a</t>
        </is>
      </c>
      <c r="E111" s="1">
        <f>IF(C111="Passive","NULL",$D111&amp;"/"&amp;LOWER($D111&amp;"_"&amp;$C111&amp;"_front.prefab"))</f>
        <v/>
      </c>
      <c r="F111" s="1">
        <f>IF(C111="Passive","NULL",$D111&amp;"/"&amp;LOWER($D111&amp;"_"&amp;$C111&amp;"_Back.prefab"))</f>
        <v/>
      </c>
      <c r="G111" s="1" t="inlineStr">
        <is>
          <t>NULL</t>
        </is>
      </c>
    </row>
    <row r="112">
      <c r="A112" s="1" t="n">
        <v>4325111</v>
      </c>
      <c r="C112" s="1">
        <f t="array" ref="C112">_xlfn.IFS(INT(LEFT(A112,1))=1,"Normal", INT(LEFT(A112,1))=2,"Active", INT(LEFT(A112,1))=3,"Ultimate", INT(LEFT(A112,1))=4,"Passive")</f>
        <v/>
      </c>
      <c r="D112" s="1" t="inlineStr">
        <is>
          <t>c002_a</t>
        </is>
      </c>
      <c r="E112" s="1">
        <f>IF(C112="Passive","NULL",$D112&amp;"/"&amp;LOWER($D112&amp;"_"&amp;$C112&amp;"_front.prefab"))</f>
        <v/>
      </c>
      <c r="F112" s="1">
        <f>IF(C112="Passive","NULL",$D112&amp;"/"&amp;LOWER($D112&amp;"_"&amp;$C112&amp;"_Back.prefab"))</f>
        <v/>
      </c>
      <c r="G112" s="1" t="inlineStr">
        <is>
          <t>NULL</t>
        </is>
      </c>
    </row>
    <row r="113">
      <c r="A113" s="1" t="n">
        <v>1313121</v>
      </c>
      <c r="C113" s="1" t="inlineStr">
        <is>
          <t>Normal</t>
        </is>
      </c>
      <c r="D113" s="1" t="inlineStr">
        <is>
          <t>c417_a</t>
        </is>
      </c>
      <c r="E113" s="1">
        <f>IF(C113="Passive","NULL",$D113&amp;"/"&amp;LOWER($D113&amp;"_"&amp;$C113&amp;"_front.prefab"))</f>
        <v/>
      </c>
      <c r="F113" s="1">
        <f>IF(C113="Passive","NULL",$D113&amp;"/"&amp;LOWER($D113&amp;"_"&amp;$C113&amp;"_Back.prefab"))</f>
        <v/>
      </c>
      <c r="G113" s="1" t="inlineStr">
        <is>
          <t>NULL</t>
        </is>
      </c>
    </row>
    <row r="114">
      <c r="A114" s="1" t="n">
        <v>2313121</v>
      </c>
      <c r="C114" s="1" t="inlineStr">
        <is>
          <t>Active</t>
        </is>
      </c>
      <c r="D114" s="1" t="inlineStr">
        <is>
          <t>c417_a</t>
        </is>
      </c>
      <c r="E114" s="1">
        <f>IF(C114="Passive","NULL",$D114&amp;"/"&amp;LOWER($D114&amp;"_"&amp;$C114&amp;"_front.prefab"))</f>
        <v/>
      </c>
      <c r="F114" s="1">
        <f>IF(C114="Passive","NULL",$D114&amp;"/"&amp;LOWER($D114&amp;"_"&amp;$C114&amp;"_Back.prefab"))</f>
        <v/>
      </c>
      <c r="G114" s="1" t="inlineStr">
        <is>
          <t>NULL</t>
        </is>
      </c>
    </row>
    <row r="115">
      <c r="A115" s="1" t="n">
        <v>3313121</v>
      </c>
      <c r="C115" s="1" t="inlineStr">
        <is>
          <t>Ultimate</t>
        </is>
      </c>
      <c r="D115" s="1" t="inlineStr">
        <is>
          <t>c417_a</t>
        </is>
      </c>
      <c r="E115" s="1">
        <f>IF(C115="Passive","NULL",$D115&amp;"/"&amp;LOWER($D115&amp;"_"&amp;$C115&amp;"_front.prefab"))</f>
        <v/>
      </c>
      <c r="F115" s="1">
        <f>IF(C115="Passive","NULL",$D115&amp;"/"&amp;LOWER($D115&amp;"_"&amp;$C115&amp;"_Back.prefab"))</f>
        <v/>
      </c>
      <c r="G115" s="1" t="inlineStr">
        <is>
          <t>NULL</t>
        </is>
      </c>
    </row>
    <row r="116">
      <c r="A116" s="1" t="n">
        <v>4313121</v>
      </c>
      <c r="C116" s="1" t="inlineStr">
        <is>
          <t>Passive</t>
        </is>
      </c>
      <c r="D116" s="1" t="inlineStr">
        <is>
          <t>c417_a</t>
        </is>
      </c>
      <c r="E116" s="1">
        <f>IF(C116="Passive","NULL",$D116&amp;"/"&amp;LOWER($D116&amp;"_"&amp;$C116&amp;"_front.prefab"))</f>
        <v/>
      </c>
      <c r="F116" s="1">
        <f>IF(C116="Passive","NULL",$D116&amp;"/"&amp;LOWER($D116&amp;"_"&amp;$C116&amp;"_Back.prefab"))</f>
        <v/>
      </c>
      <c r="G116" s="1" t="inlineStr">
        <is>
          <t>NULL</t>
        </is>
      </c>
    </row>
    <row r="117">
      <c r="A117" s="1" t="n">
        <v>2811041</v>
      </c>
      <c r="C117" s="1" t="inlineStr">
        <is>
          <t>Active</t>
        </is>
      </c>
      <c r="D117" s="1" t="inlineStr">
        <is>
          <t>m073_01_a</t>
        </is>
      </c>
      <c r="E117" s="1">
        <f>IF(C117="Passive","NULL",$D117&amp;"/"&amp;LOWER($D117&amp;"_"&amp;$C117&amp;"_front.prefab"))</f>
        <v/>
      </c>
      <c r="F117" s="1">
        <f>IF(C117="Passive","NULL",$D117&amp;"/"&amp;LOWER($D117&amp;"_"&amp;$C117&amp;"_Back.prefab"))</f>
        <v/>
      </c>
      <c r="G117" s="1" t="inlineStr">
        <is>
          <t>NULL</t>
        </is>
      </c>
    </row>
    <row r="118">
      <c r="A118" s="1" t="n">
        <v>2821041</v>
      </c>
      <c r="C118" s="1" t="inlineStr">
        <is>
          <t>Active</t>
        </is>
      </c>
      <c r="D118" s="1" t="inlineStr">
        <is>
          <t>m073_02_a</t>
        </is>
      </c>
      <c r="E118" s="1">
        <f>IF(C118="Passive","NULL",$D118&amp;"/"&amp;LOWER($D118&amp;"_"&amp;$C118&amp;"_front.prefab"))</f>
        <v/>
      </c>
      <c r="F118" s="1">
        <f>IF(C118="Passive","NULL",$D118&amp;"/"&amp;LOWER($D118&amp;"_"&amp;$C118&amp;"_Back.prefab"))</f>
        <v/>
      </c>
      <c r="G118" s="1" t="inlineStr">
        <is>
          <t>NULL</t>
        </is>
      </c>
    </row>
    <row r="119">
      <c r="A119" s="1" t="n">
        <v>2831041</v>
      </c>
      <c r="C119" s="1" t="inlineStr">
        <is>
          <t>Active</t>
        </is>
      </c>
      <c r="D119" s="1" t="inlineStr">
        <is>
          <t>m073_03_a</t>
        </is>
      </c>
      <c r="E119" s="1">
        <f>IF(C119="Passive","NULL",$D119&amp;"/"&amp;LOWER($D119&amp;"_"&amp;$C119&amp;"_front.prefab"))</f>
        <v/>
      </c>
      <c r="F119" s="1">
        <f>IF(C119="Passive","NULL",$D119&amp;"/"&amp;LOWER($D119&amp;"_"&amp;$C119&amp;"_Back.prefab"))</f>
        <v/>
      </c>
      <c r="G119" s="1" t="inlineStr">
        <is>
          <t>NULL</t>
        </is>
      </c>
    </row>
    <row r="120">
      <c r="A120" s="1" t="n">
        <v>2841041</v>
      </c>
      <c r="C120" s="1" t="inlineStr">
        <is>
          <t>Active</t>
        </is>
      </c>
      <c r="D120" s="1" t="inlineStr">
        <is>
          <t>m073_04_a</t>
        </is>
      </c>
      <c r="E120" s="1">
        <f>IF(C120="Passive","NULL",$D120&amp;"/"&amp;LOWER($D120&amp;"_"&amp;$C120&amp;"_front.prefab"))</f>
        <v/>
      </c>
      <c r="F120" s="1">
        <f>IF(C120="Passive","NULL",$D120&amp;"/"&amp;LOWER($D120&amp;"_"&amp;$C120&amp;"_Back.prefab"))</f>
        <v/>
      </c>
      <c r="G120" s="1" t="inlineStr">
        <is>
          <t>NULL</t>
        </is>
      </c>
    </row>
    <row r="121">
      <c r="A121" s="1" t="n">
        <v>2851041</v>
      </c>
      <c r="C121" s="1" t="inlineStr">
        <is>
          <t>Active</t>
        </is>
      </c>
      <c r="D121" s="1" t="inlineStr">
        <is>
          <t>m073_05_a</t>
        </is>
      </c>
      <c r="E121" s="1">
        <f>IF(C121="Passive","NULL",$D121&amp;"/"&amp;LOWER($D121&amp;"_"&amp;$C121&amp;"_front.prefab"))</f>
        <v/>
      </c>
      <c r="F121" s="1">
        <f>IF(C121="Passive","NULL",$D121&amp;"/"&amp;LOWER($D121&amp;"_"&amp;$C121&amp;"_Back.prefab"))</f>
        <v/>
      </c>
      <c r="G121" s="1" t="inlineStr">
        <is>
          <t>NULL</t>
        </is>
      </c>
    </row>
    <row r="122">
      <c r="A122" s="1" t="n">
        <v>1351161</v>
      </c>
      <c r="C122" s="1" t="inlineStr">
        <is>
          <t>Normal</t>
        </is>
      </c>
      <c r="D122" s="1" t="inlineStr">
        <is>
          <t>c432_a</t>
        </is>
      </c>
      <c r="E122" s="1">
        <f>IF(C122="Passive","NULL",$D122&amp;"/"&amp;LOWER($D122&amp;"_"&amp;$C122&amp;"_front.prefab"))</f>
        <v/>
      </c>
      <c r="F122" s="1">
        <f>IF(C122="Passive","NULL",$D122&amp;"/"&amp;LOWER($D122&amp;"_"&amp;$C122&amp;"_Back.prefab"))</f>
        <v/>
      </c>
      <c r="G122" s="1" t="inlineStr">
        <is>
          <t>NULL</t>
        </is>
      </c>
    </row>
    <row r="123">
      <c r="A123" s="1" t="n">
        <v>2351161</v>
      </c>
      <c r="C123" s="1" t="inlineStr">
        <is>
          <t>Active</t>
        </is>
      </c>
      <c r="D123" s="1" t="inlineStr">
        <is>
          <t>c432_a</t>
        </is>
      </c>
      <c r="E123" s="1">
        <f>IF(C123="Passive","NULL",$D123&amp;"/"&amp;LOWER($D123&amp;"_"&amp;$C123&amp;"_front.prefab"))</f>
        <v/>
      </c>
      <c r="F123" s="1">
        <f>IF(C123="Passive","NULL",$D123&amp;"/"&amp;LOWER($D123&amp;"_"&amp;$C123&amp;"_Back.prefab"))</f>
        <v/>
      </c>
      <c r="G123" s="1" t="inlineStr">
        <is>
          <t>NULL</t>
        </is>
      </c>
    </row>
    <row r="124">
      <c r="A124" s="1" t="n">
        <v>3351161</v>
      </c>
      <c r="C124" s="1" t="inlineStr">
        <is>
          <t>Ultimate</t>
        </is>
      </c>
      <c r="D124" s="1" t="inlineStr">
        <is>
          <t>c432_a</t>
        </is>
      </c>
      <c r="E124" s="1">
        <f>IF(C124="Passive","NULL",$D124&amp;"/"&amp;LOWER($D124&amp;"_"&amp;$C124&amp;"_front.prefab"))</f>
        <v/>
      </c>
      <c r="F124" s="1">
        <f>IF(C124="Passive","NULL",$D124&amp;"/"&amp;LOWER($D124&amp;"_"&amp;$C124&amp;"_Back.prefab"))</f>
        <v/>
      </c>
      <c r="G124" s="1" t="inlineStr">
        <is>
          <t>NULL</t>
        </is>
      </c>
    </row>
    <row r="125">
      <c r="A125" s="1" t="n">
        <v>4351161</v>
      </c>
      <c r="C125" s="1" t="inlineStr">
        <is>
          <t>Passive</t>
        </is>
      </c>
      <c r="D125" s="1" t="inlineStr">
        <is>
          <t>c432_a</t>
        </is>
      </c>
      <c r="E125" s="1">
        <f>IF(C125="Passive","NULL",$D125&amp;"/"&amp;LOWER($D125&amp;"_"&amp;$C125&amp;"_front.prefab"))</f>
        <v/>
      </c>
      <c r="F125" s="1">
        <f>IF(C125="Passive","NULL",$D125&amp;"/"&amp;LOWER($D125&amp;"_"&amp;$C125&amp;"_Back.prefab"))</f>
        <v/>
      </c>
      <c r="G125" s="1" t="inlineStr">
        <is>
          <t>NULL</t>
        </is>
      </c>
    </row>
    <row r="126">
      <c r="A126" s="1" t="n">
        <v>1353141</v>
      </c>
      <c r="C126" s="1" t="inlineStr">
        <is>
          <t>Normal</t>
        </is>
      </c>
      <c r="D126" s="1" t="inlineStr">
        <is>
          <t>c486_a</t>
        </is>
      </c>
      <c r="E126" s="1">
        <f>IF(C126="Passive","NULL",$D126&amp;"/"&amp;LOWER($D126&amp;"_"&amp;$C126&amp;"_front.prefab"))</f>
        <v/>
      </c>
      <c r="F126" s="1">
        <f>IF(C126="Passive","NULL",$D126&amp;"/"&amp;LOWER($D126&amp;"_"&amp;$C126&amp;"_Back.prefab"))</f>
        <v/>
      </c>
      <c r="G126" s="1" t="inlineStr">
        <is>
          <t>NULL</t>
        </is>
      </c>
    </row>
    <row r="127">
      <c r="A127" s="1" t="n">
        <v>2353141</v>
      </c>
      <c r="C127" s="1" t="inlineStr">
        <is>
          <t>Active</t>
        </is>
      </c>
      <c r="D127" s="1" t="inlineStr">
        <is>
          <t>c486_a</t>
        </is>
      </c>
      <c r="E127" s="1">
        <f>IF(C127="Passive","NULL",$D127&amp;"/"&amp;LOWER($D127&amp;"_"&amp;$C127&amp;"_front.prefab"))</f>
        <v/>
      </c>
      <c r="F127" s="1">
        <f>IF(C127="Passive","NULL",$D127&amp;"/"&amp;LOWER($D127&amp;"_"&amp;$C127&amp;"_Back.prefab"))</f>
        <v/>
      </c>
      <c r="G127" s="1" t="inlineStr">
        <is>
          <t>NULL</t>
        </is>
      </c>
    </row>
    <row r="128">
      <c r="A128" s="1" t="n">
        <v>3353141</v>
      </c>
      <c r="C128" s="1" t="inlineStr">
        <is>
          <t>Ultimate</t>
        </is>
      </c>
      <c r="D128" s="1" t="inlineStr">
        <is>
          <t>c486_a</t>
        </is>
      </c>
      <c r="E128" s="1">
        <f>IF(C128="Passive","NULL",$D128&amp;"/"&amp;LOWER($D128&amp;"_"&amp;$C128&amp;"_front.prefab"))</f>
        <v/>
      </c>
      <c r="F128" s="1">
        <f>IF(C128="Passive","NULL",$D128&amp;"/"&amp;LOWER($D128&amp;"_"&amp;$C128&amp;"_Back.prefab"))</f>
        <v/>
      </c>
      <c r="G128" s="1" t="inlineStr">
        <is>
          <t>NULL</t>
        </is>
      </c>
    </row>
    <row r="129">
      <c r="A129" s="1" t="n">
        <v>4353141</v>
      </c>
      <c r="C129" s="1" t="inlineStr">
        <is>
          <t>Passive</t>
        </is>
      </c>
      <c r="D129" s="1" t="inlineStr">
        <is>
          <t>c486_a</t>
        </is>
      </c>
      <c r="E129" s="1">
        <f>IF(C129="Passive","NULL",$D129&amp;"/"&amp;LOWER($D129&amp;"_"&amp;$C129&amp;"_front.prefab"))</f>
        <v/>
      </c>
      <c r="F129" s="1">
        <f>IF(C129="Passive","NULL",$D129&amp;"/"&amp;LOWER($D129&amp;"_"&amp;$C129&amp;"_Back.prefab"))</f>
        <v/>
      </c>
      <c r="G129" s="1" t="inlineStr">
        <is>
          <t>NULL</t>
        </is>
      </c>
    </row>
    <row r="130">
      <c r="A130" s="1" t="n">
        <v>1333131</v>
      </c>
      <c r="C130" s="1" t="inlineStr">
        <is>
          <t>Normal</t>
        </is>
      </c>
      <c r="D130" s="1" t="inlineStr">
        <is>
          <t>c294_a</t>
        </is>
      </c>
      <c r="E130" s="1">
        <f>IF(C130="Passive","NULL",$D130&amp;"/"&amp;LOWER($D130&amp;"_"&amp;$C130&amp;"_front.prefab"))</f>
        <v/>
      </c>
      <c r="F130" s="1">
        <f>IF(C130="Passive","NULL",$D130&amp;"/"&amp;LOWER($D130&amp;"_"&amp;$C130&amp;"_Back.prefab"))</f>
        <v/>
      </c>
      <c r="G130" s="1" t="inlineStr">
        <is>
          <t>NULL</t>
        </is>
      </c>
    </row>
    <row r="131">
      <c r="A131" s="1" t="n">
        <v>2333131</v>
      </c>
      <c r="C131" s="1" t="inlineStr">
        <is>
          <t>Active</t>
        </is>
      </c>
      <c r="D131" s="1" t="inlineStr">
        <is>
          <t>c294_a</t>
        </is>
      </c>
      <c r="E131" s="1">
        <f>IF(C131="Passive","NULL",$D131&amp;"/"&amp;LOWER($D131&amp;"_"&amp;$C131&amp;"_front.prefab"))</f>
        <v/>
      </c>
      <c r="F131" s="1">
        <f>IF(C131="Passive","NULL",$D131&amp;"/"&amp;LOWER($D131&amp;"_"&amp;$C131&amp;"_Back.prefab"))</f>
        <v/>
      </c>
      <c r="G131" s="1" t="inlineStr">
        <is>
          <t>NULL</t>
        </is>
      </c>
    </row>
    <row r="132">
      <c r="A132" s="1" t="n">
        <v>3333131</v>
      </c>
      <c r="C132" s="1" t="inlineStr">
        <is>
          <t>Ultimate</t>
        </is>
      </c>
      <c r="D132" s="1" t="inlineStr">
        <is>
          <t>c294_a</t>
        </is>
      </c>
      <c r="E132" s="1">
        <f>IF(C132="Passive","NULL",$D132&amp;"/"&amp;LOWER($D132&amp;"_"&amp;$C132&amp;"_front.prefab"))</f>
        <v/>
      </c>
      <c r="F132" s="1">
        <f>IF(C132="Passive","NULL",$D132&amp;"/"&amp;LOWER($D132&amp;"_"&amp;$C132&amp;"_Back.prefab"))</f>
        <v/>
      </c>
      <c r="G132" s="1" t="inlineStr">
        <is>
          <t>NULL</t>
        </is>
      </c>
    </row>
    <row r="133">
      <c r="A133" s="1" t="n">
        <v>4333131</v>
      </c>
      <c r="C133" s="1" t="inlineStr">
        <is>
          <t>Passive</t>
        </is>
      </c>
      <c r="D133" s="1" t="inlineStr">
        <is>
          <t>c294_a</t>
        </is>
      </c>
      <c r="E133" s="1">
        <f>IF(C133="Passive","NULL",$D133&amp;"/"&amp;LOWER($D133&amp;"_"&amp;$C133&amp;"_front.prefab"))</f>
        <v/>
      </c>
      <c r="F133" s="1">
        <f>IF(C133="Passive","NULL",$D133&amp;"/"&amp;LOWER($D133&amp;"_"&amp;$C133&amp;"_Back.prefab"))</f>
        <v/>
      </c>
      <c r="G133" s="1" t="inlineStr">
        <is>
          <t>NULL</t>
        </is>
      </c>
    </row>
    <row r="134">
      <c r="A134" s="1" t="n">
        <v>1311151</v>
      </c>
      <c r="C134" s="1" t="inlineStr">
        <is>
          <t>Normal</t>
        </is>
      </c>
      <c r="D134" s="1" t="inlineStr">
        <is>
          <t>c501_a</t>
        </is>
      </c>
      <c r="E134" s="1">
        <f>IF(C134="Passive","NULL",$D134&amp;"/"&amp;LOWER($D134&amp;"_"&amp;$C134&amp;"_front.prefab"))</f>
        <v/>
      </c>
      <c r="F134" s="1">
        <f>IF(C134="Passive","NULL",$D134&amp;"/"&amp;LOWER($D134&amp;"_"&amp;$C134&amp;"_Back.prefab"))</f>
        <v/>
      </c>
      <c r="G134" s="1" t="inlineStr">
        <is>
          <t>NULL</t>
        </is>
      </c>
    </row>
    <row r="135">
      <c r="A135" s="1" t="n">
        <v>2311151</v>
      </c>
      <c r="C135" s="1" t="inlineStr">
        <is>
          <t>Active</t>
        </is>
      </c>
      <c r="D135" s="1" t="inlineStr">
        <is>
          <t>c501_a</t>
        </is>
      </c>
      <c r="E135" s="1">
        <f>IF(C135="Passive","NULL",$D135&amp;"/"&amp;LOWER($D135&amp;"_"&amp;$C135&amp;"_front.prefab"))</f>
        <v/>
      </c>
      <c r="F135" s="1">
        <f>IF(C135="Passive","NULL",$D135&amp;"/"&amp;LOWER($D135&amp;"_"&amp;$C135&amp;"_Back.prefab"))</f>
        <v/>
      </c>
      <c r="G135" s="1" t="inlineStr">
        <is>
          <t>NULL</t>
        </is>
      </c>
    </row>
    <row r="136">
      <c r="A136" s="1" t="n">
        <v>3311151</v>
      </c>
      <c r="C136" s="1" t="inlineStr">
        <is>
          <t>Ultimate</t>
        </is>
      </c>
      <c r="D136" s="1" t="inlineStr">
        <is>
          <t>c501_a</t>
        </is>
      </c>
      <c r="E136" s="1">
        <f>IF(C136="Passive","NULL",$D136&amp;"/"&amp;LOWER($D136&amp;"_"&amp;$C136&amp;"_front.prefab"))</f>
        <v/>
      </c>
      <c r="F136" s="1">
        <f>IF(C136="Passive","NULL",$D136&amp;"/"&amp;LOWER($D136&amp;"_"&amp;$C136&amp;"_Back.prefab"))</f>
        <v/>
      </c>
      <c r="G136" s="1" t="inlineStr">
        <is>
          <t>NULL</t>
        </is>
      </c>
    </row>
    <row r="137">
      <c r="A137" s="1" t="n">
        <v>4311151</v>
      </c>
      <c r="C137" s="1" t="inlineStr">
        <is>
          <t>Passive</t>
        </is>
      </c>
      <c r="D137" s="1" t="inlineStr">
        <is>
          <t>c501_a</t>
        </is>
      </c>
      <c r="E137" s="1">
        <f>IF(C137="Passive","NULL",$D137&amp;"/"&amp;LOWER($D137&amp;"_"&amp;$C137&amp;"_front.prefab"))</f>
        <v/>
      </c>
      <c r="F137" s="1">
        <f>IF(C137="Passive","NULL",$D137&amp;"/"&amp;LOWER($D137&amp;"_"&amp;$C137&amp;"_Back.prefab"))</f>
        <v/>
      </c>
      <c r="G137" s="1" t="inlineStr">
        <is>
          <t>NULL</t>
        </is>
      </c>
    </row>
    <row r="138">
      <c r="A138" s="1" t="n">
        <v>1321171</v>
      </c>
      <c r="C138" s="1" t="inlineStr">
        <is>
          <t>Normal</t>
        </is>
      </c>
      <c r="D138" s="1" t="inlineStr">
        <is>
          <t>c502_a</t>
        </is>
      </c>
      <c r="E138" s="1">
        <f>IF(C138="Passive","NULL",$D138&amp;"/"&amp;LOWER($D138&amp;"_"&amp;$C138&amp;"_front.prefab"))</f>
        <v/>
      </c>
      <c r="F138" s="1">
        <f>IF(C138="Passive","NULL",$D138&amp;"/"&amp;LOWER($D138&amp;"_"&amp;$C138&amp;"_Back.prefab"))</f>
        <v/>
      </c>
      <c r="G138" s="1" t="inlineStr">
        <is>
          <t>NULL</t>
        </is>
      </c>
    </row>
    <row r="139">
      <c r="A139" s="1" t="n">
        <v>2321171</v>
      </c>
      <c r="C139" s="1" t="inlineStr">
        <is>
          <t>Active</t>
        </is>
      </c>
      <c r="D139" s="1" t="inlineStr">
        <is>
          <t>c502_a</t>
        </is>
      </c>
      <c r="E139" s="1">
        <f>IF(C139="Passive","NULL",$D139&amp;"/"&amp;LOWER($D139&amp;"_"&amp;$C139&amp;"_front.prefab"))</f>
        <v/>
      </c>
      <c r="F139" s="1">
        <f>IF(C139="Passive","NULL",$D139&amp;"/"&amp;LOWER($D139&amp;"_"&amp;$C139&amp;"_Back.prefab"))</f>
        <v/>
      </c>
      <c r="G139" s="1" t="inlineStr">
        <is>
          <t>NULL</t>
        </is>
      </c>
    </row>
    <row r="140">
      <c r="A140" s="1" t="n">
        <v>3321171</v>
      </c>
      <c r="C140" s="1" t="inlineStr">
        <is>
          <t>Ultimate</t>
        </is>
      </c>
      <c r="D140" s="1" t="inlineStr">
        <is>
          <t>c502_a</t>
        </is>
      </c>
      <c r="E140" s="1">
        <f>IF(C140="Passive","NULL",$D140&amp;"/"&amp;LOWER($D140&amp;"_"&amp;$C140&amp;"_front.prefab"))</f>
        <v/>
      </c>
      <c r="F140" s="1">
        <f>IF(C140="Passive","NULL",$D140&amp;"/"&amp;LOWER($D140&amp;"_"&amp;$C140&amp;"_Back.prefab"))</f>
        <v/>
      </c>
      <c r="G140" s="1" t="inlineStr">
        <is>
          <t>NULL</t>
        </is>
      </c>
    </row>
    <row r="141">
      <c r="A141" s="1" t="n">
        <v>4321171</v>
      </c>
      <c r="C141" s="1" t="inlineStr">
        <is>
          <t>Passive</t>
        </is>
      </c>
      <c r="D141" s="1" t="inlineStr">
        <is>
          <t>c502_a</t>
        </is>
      </c>
      <c r="E141" s="1">
        <f>IF(C141="Passive","NULL",$D141&amp;"/"&amp;LOWER($D141&amp;"_"&amp;$C141&amp;"_front.prefab"))</f>
        <v/>
      </c>
      <c r="F141" s="1">
        <f>IF(C141="Passive","NULL",$D141&amp;"/"&amp;LOWER($D141&amp;"_"&amp;$C141&amp;"_Back.prefab"))</f>
        <v/>
      </c>
      <c r="G141" s="1" t="inlineStr">
        <is>
          <t>NULL</t>
        </is>
      </c>
    </row>
    <row r="142">
      <c r="A142" s="1" t="n">
        <v>1311181</v>
      </c>
      <c r="C142" s="1" t="inlineStr">
        <is>
          <t>Normal</t>
        </is>
      </c>
      <c r="D142" s="1" t="inlineStr">
        <is>
          <t>c412_a</t>
        </is>
      </c>
      <c r="E142" s="1">
        <f>IF(C142="Passive","NULL",$D142&amp;"/"&amp;LOWER($D142&amp;"_"&amp;$C142&amp;"_front.prefab"))</f>
        <v/>
      </c>
      <c r="F142" s="1">
        <f>IF(C142="Passive","NULL",$D142&amp;"/"&amp;LOWER($D142&amp;"_"&amp;$C142&amp;"_Back.prefab"))</f>
        <v/>
      </c>
      <c r="G142" s="1" t="inlineStr">
        <is>
          <t>NULL</t>
        </is>
      </c>
    </row>
    <row r="143">
      <c r="A143" s="1" t="n">
        <v>2311181</v>
      </c>
      <c r="C143" s="1" t="inlineStr">
        <is>
          <t>Active</t>
        </is>
      </c>
      <c r="D143" s="1" t="inlineStr">
        <is>
          <t>c412_a</t>
        </is>
      </c>
      <c r="E143" s="1">
        <f>IF(C143="Passive","NULL",$D143&amp;"/"&amp;LOWER($D143&amp;"_"&amp;$C143&amp;"_front.prefab"))</f>
        <v/>
      </c>
      <c r="F143" s="1">
        <f>IF(C143="Passive","NULL",$D143&amp;"/"&amp;LOWER($D143&amp;"_"&amp;$C143&amp;"_Back.prefab"))</f>
        <v/>
      </c>
      <c r="G143" s="1" t="inlineStr">
        <is>
          <t>NULL</t>
        </is>
      </c>
    </row>
    <row r="144">
      <c r="A144" s="1" t="n">
        <v>3311181</v>
      </c>
      <c r="C144" s="1" t="inlineStr">
        <is>
          <t>Ultimate</t>
        </is>
      </c>
      <c r="D144" s="1" t="inlineStr">
        <is>
          <t>c412_a</t>
        </is>
      </c>
      <c r="E144" s="1">
        <f>IF(C144="Passive","NULL",$D144&amp;"/"&amp;LOWER($D144&amp;"_"&amp;$C144&amp;"_front.prefab"))</f>
        <v/>
      </c>
      <c r="F144" s="1">
        <f>IF(C144="Passive","NULL",$D144&amp;"/"&amp;LOWER($D144&amp;"_"&amp;$C144&amp;"_Back.prefab"))</f>
        <v/>
      </c>
      <c r="G144" s="1" t="inlineStr">
        <is>
          <t>NULL</t>
        </is>
      </c>
    </row>
    <row r="145">
      <c r="A145" s="1" t="n">
        <v>4311181</v>
      </c>
      <c r="C145" s="1" t="inlineStr">
        <is>
          <t>Passive</t>
        </is>
      </c>
      <c r="D145" s="1" t="inlineStr">
        <is>
          <t>c412_a</t>
        </is>
      </c>
      <c r="E145" s="1">
        <f>IF(C145="Passive","NULL",$D145&amp;"/"&amp;LOWER($D145&amp;"_"&amp;$C145&amp;"_front.prefab"))</f>
        <v/>
      </c>
      <c r="F145" s="1">
        <f>IF(C145="Passive","NULL",$D145&amp;"/"&amp;LOWER($D145&amp;"_"&amp;$C145&amp;"_Back.prefab"))</f>
        <v/>
      </c>
      <c r="G145" s="1" t="inlineStr">
        <is>
          <t>NULL</t>
        </is>
      </c>
    </row>
    <row r="146">
      <c r="A146" s="1" t="n">
        <v>1351191</v>
      </c>
      <c r="C146" s="1" t="inlineStr">
        <is>
          <t>Normal</t>
        </is>
      </c>
      <c r="D146" s="1" t="inlineStr">
        <is>
          <t>c156_a</t>
        </is>
      </c>
      <c r="E146" s="1">
        <f>IF(C146="Passive","NULL",$D146&amp;"/"&amp;LOWER($D146&amp;"_"&amp;$C146&amp;"_front.prefab"))</f>
        <v/>
      </c>
      <c r="F146" s="1">
        <f>IF(C146="Passive","NULL",$D146&amp;"/"&amp;LOWER($D146&amp;"_"&amp;$C146&amp;"_Back.prefab"))</f>
        <v/>
      </c>
      <c r="G146" s="1" t="inlineStr">
        <is>
          <t>NULL</t>
        </is>
      </c>
    </row>
    <row r="147">
      <c r="A147" s="1" t="n">
        <v>2351191</v>
      </c>
      <c r="C147" s="1" t="inlineStr">
        <is>
          <t>Active</t>
        </is>
      </c>
      <c r="D147" s="1" t="inlineStr">
        <is>
          <t>c156_a</t>
        </is>
      </c>
      <c r="E147" s="1">
        <f>IF(C147="Passive","NULL",$D147&amp;"/"&amp;LOWER($D147&amp;"_"&amp;$C147&amp;"_front.prefab"))</f>
        <v/>
      </c>
      <c r="F147" s="1">
        <f>IF(C147="Passive","NULL",$D147&amp;"/"&amp;LOWER($D147&amp;"_"&amp;$C147&amp;"_Back.prefab"))</f>
        <v/>
      </c>
      <c r="G147" s="1" t="inlineStr">
        <is>
          <t>NULL</t>
        </is>
      </c>
    </row>
    <row r="148">
      <c r="A148" s="1" t="n">
        <v>3351191</v>
      </c>
      <c r="C148" s="1" t="inlineStr">
        <is>
          <t>Ultimate</t>
        </is>
      </c>
      <c r="D148" s="1" t="inlineStr">
        <is>
          <t>c156_a</t>
        </is>
      </c>
      <c r="E148" s="1">
        <f>IF(C148="Passive","NULL",$D148&amp;"/"&amp;LOWER($D148&amp;"_"&amp;$C148&amp;"_front.prefab"))</f>
        <v/>
      </c>
      <c r="F148" s="1">
        <f>IF(C148="Passive","NULL",$D148&amp;"/"&amp;LOWER($D148&amp;"_"&amp;$C148&amp;"_Back.prefab"))</f>
        <v/>
      </c>
      <c r="G148" s="1" t="inlineStr">
        <is>
          <t>NULL</t>
        </is>
      </c>
    </row>
    <row r="149">
      <c r="A149" s="1" t="n">
        <v>4351191</v>
      </c>
      <c r="C149" s="1" t="inlineStr">
        <is>
          <t>Passive</t>
        </is>
      </c>
      <c r="D149" s="1" t="inlineStr">
        <is>
          <t>c156_a</t>
        </is>
      </c>
      <c r="E149" s="1">
        <f>IF(C149="Passive","NULL",$D149&amp;"/"&amp;LOWER($D149&amp;"_"&amp;$C149&amp;"_front.prefab"))</f>
        <v/>
      </c>
      <c r="F149" s="1">
        <f>IF(C149="Passive","NULL",$D149&amp;"/"&amp;LOWER($D149&amp;"_"&amp;$C149&amp;"_Back.prefab"))</f>
        <v/>
      </c>
      <c r="G149" s="1" t="inlineStr">
        <is>
          <t>NULL</t>
        </is>
      </c>
    </row>
    <row r="150">
      <c r="A150" s="1" t="n">
        <v>1321201</v>
      </c>
      <c r="C150" s="1" t="inlineStr">
        <is>
          <t>Normal</t>
        </is>
      </c>
      <c r="D150" s="1" t="inlineStr">
        <is>
          <t>c318_a</t>
        </is>
      </c>
      <c r="E150" s="1">
        <f>IF(C150="Passive","NULL",$D150&amp;"/"&amp;LOWER($D150&amp;"_"&amp;$C150&amp;"_front.prefab"))</f>
        <v/>
      </c>
      <c r="F150" s="1">
        <f>IF(C150="Passive","NULL",$D150&amp;"/"&amp;LOWER($D150&amp;"_"&amp;$C150&amp;"_Back.prefab"))</f>
        <v/>
      </c>
      <c r="G150" s="1" t="inlineStr">
        <is>
          <t>NULL</t>
        </is>
      </c>
    </row>
    <row r="151">
      <c r="A151" s="1" t="n">
        <v>2321201</v>
      </c>
      <c r="C151" s="1" t="inlineStr">
        <is>
          <t>Active</t>
        </is>
      </c>
      <c r="D151" s="1" t="inlineStr">
        <is>
          <t>c318_a</t>
        </is>
      </c>
      <c r="E151" s="1">
        <f>IF(C151="Passive","NULL",$D151&amp;"/"&amp;LOWER($D151&amp;"_"&amp;$C151&amp;"_front.prefab"))</f>
        <v/>
      </c>
      <c r="F151" s="1">
        <f>IF(C151="Passive","NULL",$D151&amp;"/"&amp;LOWER($D151&amp;"_"&amp;$C151&amp;"_Back.prefab"))</f>
        <v/>
      </c>
      <c r="G151" s="1" t="inlineStr">
        <is>
          <t>NULL</t>
        </is>
      </c>
    </row>
    <row r="152">
      <c r="A152" s="1" t="n">
        <v>3321201</v>
      </c>
      <c r="C152" s="1" t="inlineStr">
        <is>
          <t>Ultimate</t>
        </is>
      </c>
      <c r="D152" s="1" t="inlineStr">
        <is>
          <t>c318_a</t>
        </is>
      </c>
      <c r="E152" s="1">
        <f>IF(C152="Passive","NULL",$D152&amp;"/"&amp;LOWER($D152&amp;"_"&amp;$C152&amp;"_front.prefab"))</f>
        <v/>
      </c>
      <c r="F152" s="1">
        <f>IF(C152="Passive","NULL",$D152&amp;"/"&amp;LOWER($D152&amp;"_"&amp;$C152&amp;"_Back.prefab"))</f>
        <v/>
      </c>
      <c r="G152" s="1" t="inlineStr">
        <is>
          <t>NULL</t>
        </is>
      </c>
    </row>
    <row r="153">
      <c r="A153" s="1" t="n">
        <v>4321201</v>
      </c>
      <c r="C153" s="1" t="inlineStr">
        <is>
          <t>Passive</t>
        </is>
      </c>
      <c r="D153" s="1" t="inlineStr">
        <is>
          <t>c318_a</t>
        </is>
      </c>
      <c r="E153" s="1">
        <f>IF(C153="Passive","NULL",$D153&amp;"/"&amp;LOWER($D153&amp;"_"&amp;$C153&amp;"_front.prefab"))</f>
        <v/>
      </c>
      <c r="F153" s="1">
        <f>IF(C153="Passive","NULL",$D153&amp;"/"&amp;LOWER($D153&amp;"_"&amp;$C153&amp;"_Back.prefab"))</f>
        <v/>
      </c>
      <c r="G153" s="1" t="inlineStr">
        <is>
          <t>NULL</t>
        </is>
      </c>
    </row>
    <row r="154">
      <c r="A154" s="1" t="n">
        <v>1334211</v>
      </c>
      <c r="C154" s="1" t="inlineStr">
        <is>
          <t>Normal</t>
        </is>
      </c>
      <c r="D154" s="1" t="inlineStr">
        <is>
          <t>c525_a</t>
        </is>
      </c>
      <c r="E154" s="1">
        <f>IF(C154="Passive","NULL",$D154&amp;"/"&amp;LOWER($D154&amp;"_"&amp;$C154&amp;"_front.prefab"))</f>
        <v/>
      </c>
      <c r="F154" s="1">
        <f>IF(C154="Passive","NULL",$D154&amp;"/"&amp;LOWER($D154&amp;"_"&amp;$C154&amp;"_Back.prefab"))</f>
        <v/>
      </c>
      <c r="G154" s="1" t="inlineStr">
        <is>
          <t>NULL</t>
        </is>
      </c>
    </row>
    <row r="155">
      <c r="A155" s="1" t="n">
        <v>2334211</v>
      </c>
      <c r="C155" s="1" t="inlineStr">
        <is>
          <t>Active</t>
        </is>
      </c>
      <c r="D155" s="1" t="inlineStr">
        <is>
          <t>c525_a</t>
        </is>
      </c>
      <c r="E155" s="1">
        <f>IF(C155="Passive","NULL",$D155&amp;"/"&amp;LOWER($D155&amp;"_"&amp;$C155&amp;"_front.prefab"))</f>
        <v/>
      </c>
      <c r="F155" s="1">
        <f>IF(C155="Passive","NULL",$D155&amp;"/"&amp;LOWER($D155&amp;"_"&amp;$C155&amp;"_Back.prefab"))</f>
        <v/>
      </c>
      <c r="G155" s="1" t="inlineStr">
        <is>
          <t>NULL</t>
        </is>
      </c>
    </row>
    <row r="156">
      <c r="A156" s="1" t="n">
        <v>3334211</v>
      </c>
      <c r="C156" s="1" t="inlineStr">
        <is>
          <t>Ultimate</t>
        </is>
      </c>
      <c r="D156" s="1" t="inlineStr">
        <is>
          <t>c525_a</t>
        </is>
      </c>
      <c r="E156" s="1">
        <f>IF(C156="Passive","NULL",$D156&amp;"/"&amp;LOWER($D156&amp;"_"&amp;$C156&amp;"_front.prefab"))</f>
        <v/>
      </c>
      <c r="F156" s="1">
        <f>IF(C156="Passive","NULL",$D156&amp;"/"&amp;LOWER($D156&amp;"_"&amp;$C156&amp;"_Back.prefab"))</f>
        <v/>
      </c>
      <c r="G156" s="1" t="inlineStr">
        <is>
          <t>NULL</t>
        </is>
      </c>
    </row>
    <row r="157">
      <c r="A157" s="1" t="n">
        <v>4334211</v>
      </c>
      <c r="C157" s="1" t="inlineStr">
        <is>
          <t>Passive</t>
        </is>
      </c>
      <c r="D157" s="1" t="inlineStr">
        <is>
          <t>c525_a</t>
        </is>
      </c>
      <c r="E157" s="1">
        <f>IF(C157="Passive","NULL",$D157&amp;"/"&amp;LOWER($D157&amp;"_"&amp;$C157&amp;"_front.prefab"))</f>
        <v/>
      </c>
      <c r="F157" s="1">
        <f>IF(C157="Passive","NULL",$D157&amp;"/"&amp;LOWER($D157&amp;"_"&amp;$C157&amp;"_Back.prefab"))</f>
        <v/>
      </c>
      <c r="G157" s="1" t="inlineStr">
        <is>
          <t>NULL</t>
        </is>
      </c>
    </row>
    <row r="158">
      <c r="A158" s="1" t="n">
        <v>1321221</v>
      </c>
      <c r="C158" s="1" t="inlineStr">
        <is>
          <t>Normal</t>
        </is>
      </c>
      <c r="D158" s="1" t="inlineStr">
        <is>
          <t>c442_a</t>
        </is>
      </c>
      <c r="E158" s="1">
        <f>IF(C158="Passive","NULL",$D158&amp;"/"&amp;LOWER($D158&amp;"_"&amp;$C158&amp;"_front.prefab"))</f>
        <v/>
      </c>
      <c r="F158" s="1">
        <f>IF(C158="Passive","NULL",$D158&amp;"/"&amp;LOWER($D158&amp;"_"&amp;$C158&amp;"_Back.prefab"))</f>
        <v/>
      </c>
      <c r="G158" s="1" t="inlineStr">
        <is>
          <t>NULL</t>
        </is>
      </c>
    </row>
    <row r="159">
      <c r="A159" s="1" t="n">
        <v>2321221</v>
      </c>
      <c r="C159" s="1" t="inlineStr">
        <is>
          <t>Active</t>
        </is>
      </c>
      <c r="D159" s="1" t="inlineStr">
        <is>
          <t>c442_a</t>
        </is>
      </c>
      <c r="E159" s="1">
        <f>IF(C159="Passive","NULL",$D159&amp;"/"&amp;LOWER($D159&amp;"_"&amp;$C159&amp;"_front.prefab"))</f>
        <v/>
      </c>
      <c r="F159" s="1">
        <f>IF(C159="Passive","NULL",$D159&amp;"/"&amp;LOWER($D159&amp;"_"&amp;$C159&amp;"_Back.prefab"))</f>
        <v/>
      </c>
      <c r="G159" s="1" t="inlineStr">
        <is>
          <t>NULL</t>
        </is>
      </c>
    </row>
    <row r="160">
      <c r="A160" s="1" t="n">
        <v>3321221</v>
      </c>
      <c r="C160" s="1" t="inlineStr">
        <is>
          <t>Ultimate</t>
        </is>
      </c>
      <c r="D160" s="1" t="inlineStr">
        <is>
          <t>c442_a</t>
        </is>
      </c>
      <c r="E160" s="1">
        <f>IF(C160="Passive","NULL",$D160&amp;"/"&amp;LOWER($D160&amp;"_"&amp;$C160&amp;"_front.prefab"))</f>
        <v/>
      </c>
      <c r="F160" s="1">
        <f>IF(C160="Passive","NULL",$D160&amp;"/"&amp;LOWER($D160&amp;"_"&amp;$C160&amp;"_Back.prefab"))</f>
        <v/>
      </c>
      <c r="G160" s="1" t="inlineStr">
        <is>
          <t>NULL</t>
        </is>
      </c>
    </row>
    <row r="161">
      <c r="A161" s="1" t="n">
        <v>4321221</v>
      </c>
      <c r="C161" s="1" t="inlineStr">
        <is>
          <t>Passive</t>
        </is>
      </c>
      <c r="D161" s="1" t="inlineStr">
        <is>
          <t>c442_a</t>
        </is>
      </c>
      <c r="E161" s="1">
        <f>IF(C161="Passive","NULL",$D161&amp;"/"&amp;LOWER($D161&amp;"_"&amp;$C161&amp;"_front.prefab"))</f>
        <v/>
      </c>
      <c r="F161" s="1">
        <f>IF(C161="Passive","NULL",$D161&amp;"/"&amp;LOWER($D161&amp;"_"&amp;$C161&amp;"_Back.prefab"))</f>
        <v/>
      </c>
      <c r="G161" s="1" t="inlineStr">
        <is>
          <t>NULL</t>
        </is>
      </c>
    </row>
    <row r="162">
      <c r="A162" s="68" t="n">
        <v>1341231</v>
      </c>
      <c r="C162" s="1" t="inlineStr">
        <is>
          <t>Normal</t>
        </is>
      </c>
      <c r="D162" s="1" t="inlineStr">
        <is>
          <t>c194_a</t>
        </is>
      </c>
      <c r="E162" s="1">
        <f>IF(C162="Passive","NULL",$D162&amp;"/"&amp;LOWER($D162&amp;"_"&amp;$C162&amp;"_front.prefab"))</f>
        <v/>
      </c>
      <c r="F162" s="1">
        <f>IF(C162="Passive","NULL",$D162&amp;"/"&amp;LOWER($D162&amp;"_"&amp;$C162&amp;"_Back.prefab"))</f>
        <v/>
      </c>
      <c r="G162" s="1" t="inlineStr">
        <is>
          <t>NULL</t>
        </is>
      </c>
    </row>
    <row r="163">
      <c r="A163" s="68" t="n">
        <v>2341231</v>
      </c>
      <c r="C163" s="1" t="inlineStr">
        <is>
          <t>Active</t>
        </is>
      </c>
      <c r="D163" s="1" t="inlineStr">
        <is>
          <t>c194_a</t>
        </is>
      </c>
      <c r="E163" s="1">
        <f>IF(C163="Passive","NULL",$D163&amp;"/"&amp;LOWER($D163&amp;"_"&amp;$C163&amp;"_front.prefab"))</f>
        <v/>
      </c>
      <c r="F163" s="1">
        <f>IF(C163="Passive","NULL",$D163&amp;"/"&amp;LOWER($D163&amp;"_"&amp;$C163&amp;"_Back.prefab"))</f>
        <v/>
      </c>
      <c r="G163" s="1" t="inlineStr">
        <is>
          <t>NULL</t>
        </is>
      </c>
    </row>
    <row r="164">
      <c r="A164" s="68" t="n">
        <v>3341231</v>
      </c>
      <c r="C164" s="1" t="inlineStr">
        <is>
          <t>Ultimate</t>
        </is>
      </c>
      <c r="D164" s="1" t="inlineStr">
        <is>
          <t>c194_a</t>
        </is>
      </c>
      <c r="E164" s="1">
        <f>IF(C164="Passive","NULL",$D164&amp;"/"&amp;LOWER($D164&amp;"_"&amp;$C164&amp;"_front.prefab"))</f>
        <v/>
      </c>
      <c r="F164" s="1">
        <f>IF(C164="Passive","NULL",$D164&amp;"/"&amp;LOWER($D164&amp;"_"&amp;$C164&amp;"_Back.prefab"))</f>
        <v/>
      </c>
      <c r="G164" s="1" t="inlineStr">
        <is>
          <t>NULL</t>
        </is>
      </c>
    </row>
    <row r="165">
      <c r="A165" s="68" t="n">
        <v>4341231</v>
      </c>
      <c r="C165" s="1" t="inlineStr">
        <is>
          <t>Passive</t>
        </is>
      </c>
      <c r="D165" s="1" t="inlineStr">
        <is>
          <t>c194_a</t>
        </is>
      </c>
      <c r="E165" s="1">
        <f>IF(C165="Passive","NULL",$D165&amp;"/"&amp;LOWER($D165&amp;"_"&amp;$C165&amp;"_front.prefab"))</f>
        <v/>
      </c>
      <c r="F165" s="1">
        <f>IF(C165="Passive","NULL",$D165&amp;"/"&amp;LOWER($D165&amp;"_"&amp;$C165&amp;"_Back.prefab"))</f>
        <v/>
      </c>
      <c r="G165" s="1" t="inlineStr">
        <is>
          <t>NULL</t>
        </is>
      </c>
    </row>
    <row r="166">
      <c r="A166" s="1" t="n">
        <v>1321241</v>
      </c>
      <c r="C166" s="1" t="inlineStr">
        <is>
          <t>Normal</t>
        </is>
      </c>
      <c r="D166" s="1" t="inlineStr">
        <is>
          <t>c124_a</t>
        </is>
      </c>
      <c r="E166" s="1">
        <f>IF(C166="Passive","NULL",$D166&amp;"/"&amp;LOWER($D166&amp;"_"&amp;$C166&amp;"_front.prefab"))</f>
        <v/>
      </c>
      <c r="F166" s="1">
        <f>IF(C166="Passive","NULL",$D166&amp;"/"&amp;LOWER($D166&amp;"_"&amp;$C166&amp;"_Back.prefab"))</f>
        <v/>
      </c>
      <c r="G166" s="1" t="inlineStr">
        <is>
          <t>NULL</t>
        </is>
      </c>
    </row>
    <row r="167">
      <c r="A167" s="1" t="n">
        <v>2321241</v>
      </c>
      <c r="C167" s="1" t="inlineStr">
        <is>
          <t>Active</t>
        </is>
      </c>
      <c r="D167" s="1" t="inlineStr">
        <is>
          <t>c124_a</t>
        </is>
      </c>
      <c r="E167" s="1">
        <f>IF(C167="Passive","NULL",$D167&amp;"/"&amp;LOWER($D167&amp;"_"&amp;$C167&amp;"_front.prefab"))</f>
        <v/>
      </c>
      <c r="F167" s="1">
        <f>IF(C167="Passive","NULL",$D167&amp;"/"&amp;LOWER($D167&amp;"_"&amp;$C167&amp;"_Back.prefab"))</f>
        <v/>
      </c>
      <c r="G167" s="1" t="inlineStr">
        <is>
          <t>NULL</t>
        </is>
      </c>
    </row>
    <row r="168">
      <c r="A168" s="1" t="n">
        <v>3321241</v>
      </c>
      <c r="C168" s="1" t="inlineStr">
        <is>
          <t>Ultimate</t>
        </is>
      </c>
      <c r="D168" s="1" t="inlineStr">
        <is>
          <t>c124_a</t>
        </is>
      </c>
      <c r="E168" s="1">
        <f>IF(C168="Passive","NULL",$D168&amp;"/"&amp;LOWER($D168&amp;"_"&amp;$C168&amp;"_front.prefab"))</f>
        <v/>
      </c>
      <c r="F168" s="1">
        <f>IF(C168="Passive","NULL",$D168&amp;"/"&amp;LOWER($D168&amp;"_"&amp;$C168&amp;"_Back.prefab"))</f>
        <v/>
      </c>
      <c r="G168" s="1" t="inlineStr">
        <is>
          <t>NULL</t>
        </is>
      </c>
    </row>
    <row r="169">
      <c r="A169" s="1" t="n">
        <v>4321241</v>
      </c>
      <c r="C169" s="1" t="inlineStr">
        <is>
          <t>Passive</t>
        </is>
      </c>
      <c r="D169" s="1" t="inlineStr">
        <is>
          <t>c124_a</t>
        </is>
      </c>
      <c r="E169" s="1">
        <f>IF(C169="Passive","NULL",$D169&amp;"/"&amp;LOWER($D169&amp;"_"&amp;$C169&amp;"_front.prefab"))</f>
        <v/>
      </c>
      <c r="F169" s="1">
        <f>IF(C169="Passive","NULL",$D169&amp;"/"&amp;LOWER($D169&amp;"_"&amp;$C169&amp;"_Back.prefab"))</f>
        <v/>
      </c>
      <c r="G169" s="1" t="inlineStr">
        <is>
          <t>NULL</t>
        </is>
      </c>
    </row>
    <row r="170">
      <c r="A170" s="1" t="n">
        <v>1942051</v>
      </c>
      <c r="C170" s="1" t="inlineStr">
        <is>
          <t>Normal</t>
        </is>
      </c>
      <c r="D170" s="1" t="inlineStr">
        <is>
          <t>m054_a</t>
        </is>
      </c>
      <c r="E170" s="1">
        <f>IF(C170="Passive","NULL",$D170&amp;"/"&amp;LOWER($D170&amp;"_"&amp;$C170&amp;"_front.prefab"))</f>
        <v/>
      </c>
      <c r="F170" s="1">
        <f>IF(C170="Passive","NULL",$D170&amp;"/"&amp;LOWER($D170&amp;"_"&amp;$C170&amp;"_Back.prefab"))</f>
        <v/>
      </c>
      <c r="G170" s="1" t="inlineStr">
        <is>
          <t>NULL</t>
        </is>
      </c>
    </row>
    <row r="171">
      <c r="A171" s="1" t="n">
        <v>2942051</v>
      </c>
      <c r="C171" s="1" t="inlineStr">
        <is>
          <t>Active</t>
        </is>
      </c>
      <c r="D171" s="1" t="inlineStr">
        <is>
          <t>m054_a</t>
        </is>
      </c>
      <c r="E171" s="1">
        <f>IF(C171="Passive","NULL",$D171&amp;"/"&amp;LOWER($D171&amp;"_"&amp;$C171&amp;"_front.prefab"))</f>
        <v/>
      </c>
      <c r="F171" s="1">
        <f>IF(C171="Passive","NULL",$D171&amp;"/"&amp;LOWER($D171&amp;"_"&amp;$C171&amp;"_Back.prefab"))</f>
        <v/>
      </c>
      <c r="G171" s="1" t="inlineStr">
        <is>
          <t>NULL</t>
        </is>
      </c>
    </row>
    <row r="172">
      <c r="A172" s="1" t="n">
        <v>3942051</v>
      </c>
      <c r="C172" s="1" t="inlineStr">
        <is>
          <t>Ultimate</t>
        </is>
      </c>
      <c r="D172" s="1" t="inlineStr">
        <is>
          <t>m054_a</t>
        </is>
      </c>
      <c r="E172" s="1">
        <f>IF(C172="Passive","NULL",$D172&amp;"/"&amp;LOWER($D172&amp;"_"&amp;$C172&amp;"_front.prefab"))</f>
        <v/>
      </c>
      <c r="F172" s="1">
        <f>IF(C172="Passive","NULL",$D172&amp;"/"&amp;LOWER($D172&amp;"_"&amp;$C172&amp;"_Back.prefab"))</f>
        <v/>
      </c>
      <c r="G172" s="1" t="inlineStr">
        <is>
          <t>NULL</t>
        </is>
      </c>
    </row>
    <row r="173">
      <c r="A173" s="1" t="n">
        <v>4942051</v>
      </c>
      <c r="C173" s="1" t="inlineStr">
        <is>
          <t>Passive</t>
        </is>
      </c>
      <c r="D173" s="1" t="inlineStr">
        <is>
          <t>m054_a</t>
        </is>
      </c>
      <c r="E173" s="1">
        <f>IF(C173="Passive","NULL",$D173&amp;"/"&amp;LOWER($D173&amp;"_"&amp;$C173&amp;"_front.prefab"))</f>
        <v/>
      </c>
      <c r="F173" s="1">
        <f>IF(C173="Passive","NULL",$D173&amp;"/"&amp;LOWER($D173&amp;"_"&amp;$C173&amp;"_Back.prefab"))</f>
        <v/>
      </c>
      <c r="G173" s="1" t="inlineStr">
        <is>
          <t>NULL</t>
        </is>
      </c>
    </row>
    <row r="174">
      <c r="A174" s="1" t="n">
        <v>1966011</v>
      </c>
      <c r="C174" s="1" t="inlineStr">
        <is>
          <t>Normal</t>
        </is>
      </c>
      <c r="D174" s="1" t="inlineStr">
        <is>
          <t>m901_a</t>
        </is>
      </c>
      <c r="E174" s="1">
        <f>IF(C174="Passive","NULL",$D174&amp;"/"&amp;LOWER($D174&amp;"_"&amp;$C174&amp;"_front.prefab"))</f>
        <v/>
      </c>
      <c r="F174" s="1">
        <f>IF(C174="Passive","NULL",$D174&amp;"/"&amp;LOWER($D174&amp;"_"&amp;$C174&amp;"_Back.prefab"))</f>
        <v/>
      </c>
      <c r="G174" s="1" t="inlineStr">
        <is>
          <t>NULL</t>
        </is>
      </c>
    </row>
    <row r="175">
      <c r="A175" s="68" t="n">
        <v>2966011</v>
      </c>
      <c r="C175" s="1" t="inlineStr">
        <is>
          <t>Active</t>
        </is>
      </c>
      <c r="D175" s="1" t="inlineStr">
        <is>
          <t>m901_a</t>
        </is>
      </c>
      <c r="E175" s="1">
        <f>IF(C175="Passive","NULL",$D175&amp;"/"&amp;LOWER($D175&amp;"_"&amp;$C175&amp;"_front.prefab"))</f>
        <v/>
      </c>
      <c r="F175" s="1">
        <f>IF(C175="Passive","NULL",$D175&amp;"/"&amp;LOWER($D175&amp;"_"&amp;$C175&amp;"_Back.prefab"))</f>
        <v/>
      </c>
      <c r="G175" s="1" t="inlineStr">
        <is>
          <t>NULL</t>
        </is>
      </c>
    </row>
    <row r="176">
      <c r="A176" s="1" t="n">
        <v>3966011</v>
      </c>
      <c r="C176" s="1" t="inlineStr">
        <is>
          <t>Ultimate</t>
        </is>
      </c>
      <c r="D176" s="1" t="inlineStr">
        <is>
          <t>m901_a</t>
        </is>
      </c>
      <c r="E176" s="1">
        <f>IF(C176="Passive","NULL",$D176&amp;"/"&amp;LOWER($D176&amp;"_"&amp;$C176&amp;"_front.prefab"))</f>
        <v/>
      </c>
      <c r="F176" s="1">
        <f>IF(C176="Passive","NULL",$D176&amp;"/"&amp;LOWER($D176&amp;"_"&amp;$C176&amp;"_Back.prefab"))</f>
        <v/>
      </c>
      <c r="G176" s="1" t="inlineStr">
        <is>
          <t>NULL</t>
        </is>
      </c>
    </row>
    <row r="177">
      <c r="A177" s="68" t="n">
        <v>4966011</v>
      </c>
      <c r="C177" s="1" t="inlineStr">
        <is>
          <t>Passive</t>
        </is>
      </c>
      <c r="D177" s="1" t="inlineStr">
        <is>
          <t>m901_a</t>
        </is>
      </c>
      <c r="E177" s="1">
        <f>IF(C177="Passive","NULL",$D177&amp;"/"&amp;LOWER($D177&amp;"_"&amp;$C177&amp;"_front.prefab"))</f>
        <v/>
      </c>
      <c r="F177" s="1">
        <f>IF(C177="Passive","NULL",$D177&amp;"/"&amp;LOWER($D177&amp;"_"&amp;$C177&amp;"_Back.prefab"))</f>
        <v/>
      </c>
      <c r="G177" s="1" t="inlineStr">
        <is>
          <t>NULL</t>
        </is>
      </c>
    </row>
    <row r="178">
      <c r="A178" s="1" t="n">
        <v>1932071</v>
      </c>
      <c r="C178" s="1" t="inlineStr">
        <is>
          <t>Normal</t>
        </is>
      </c>
      <c r="D178" s="1" t="inlineStr">
        <is>
          <t>c180_a</t>
        </is>
      </c>
      <c r="E178" s="1">
        <f>IF(C178="Passive","NULL",$D178&amp;"/"&amp;LOWER($D178&amp;"_"&amp;$C178&amp;"_front.prefab"))</f>
        <v/>
      </c>
      <c r="F178" s="1">
        <f>IF(C178="Passive","NULL",$D178&amp;"/"&amp;LOWER($D178&amp;"_"&amp;$C178&amp;"_Back.prefab"))</f>
        <v/>
      </c>
      <c r="G178" s="1" t="inlineStr">
        <is>
          <t>NULL</t>
        </is>
      </c>
    </row>
    <row r="179">
      <c r="A179" s="1" t="n">
        <v>2932071</v>
      </c>
      <c r="C179" s="1" t="inlineStr">
        <is>
          <t>Active</t>
        </is>
      </c>
      <c r="D179" s="1" t="inlineStr">
        <is>
          <t>c180_a</t>
        </is>
      </c>
      <c r="E179" s="1">
        <f>IF(C179="Passive","NULL",$D179&amp;"/"&amp;LOWER($D179&amp;"_"&amp;$C179&amp;"_front.prefab"))</f>
        <v/>
      </c>
      <c r="F179" s="1">
        <f>IF(C179="Passive","NULL",$D179&amp;"/"&amp;LOWER($D179&amp;"_"&amp;$C179&amp;"_Back.prefab"))</f>
        <v/>
      </c>
      <c r="G179" s="1" t="inlineStr">
        <is>
          <t>NULL</t>
        </is>
      </c>
    </row>
    <row r="180">
      <c r="A180" s="1" t="n">
        <v>3932079</v>
      </c>
      <c r="C180" s="1" t="inlineStr">
        <is>
          <t>Ultimate</t>
        </is>
      </c>
      <c r="D180" s="1" t="inlineStr">
        <is>
          <t>c180_a</t>
        </is>
      </c>
      <c r="E180" s="1">
        <f>IF(C180="Passive","NULL",$D180&amp;"/"&amp;LOWER($D180&amp;"_"&amp;$C180&amp;"_front.prefab"))</f>
        <v/>
      </c>
      <c r="F180" s="1">
        <f>IF(C180="Passive","NULL",$D180&amp;"/"&amp;LOWER($D180&amp;"_"&amp;$C180&amp;"_Back.prefab"))</f>
        <v/>
      </c>
      <c r="G180" s="1" t="inlineStr">
        <is>
          <t>NULL</t>
        </is>
      </c>
    </row>
    <row r="181">
      <c r="A181" s="1" t="n">
        <v>4932071</v>
      </c>
      <c r="C181" s="1" t="inlineStr">
        <is>
          <t>Passive</t>
        </is>
      </c>
      <c r="D181" s="1" t="inlineStr">
        <is>
          <t>c180_a</t>
        </is>
      </c>
      <c r="E181" s="1">
        <f>IF(C181="Passive","NULL",$D181&amp;"/"&amp;LOWER($D181&amp;"_"&amp;$C181&amp;"_front.prefab"))</f>
        <v/>
      </c>
      <c r="F181" s="1">
        <f>IF(C181="Passive","NULL",$D181&amp;"/"&amp;LOWER($D181&amp;"_"&amp;$C181&amp;"_Back.prefab"))</f>
        <v/>
      </c>
      <c r="G181" s="1" t="inlineStr">
        <is>
          <t>NULL</t>
        </is>
      </c>
    </row>
    <row r="182">
      <c r="A182" s="1" t="n">
        <v>1535261</v>
      </c>
      <c r="C182" s="1" t="inlineStr">
        <is>
          <t>Normal</t>
        </is>
      </c>
      <c r="D182" s="1" t="inlineStr">
        <is>
          <t>c336_a</t>
        </is>
      </c>
      <c r="E182" s="1">
        <f>IF(C182="Passive","NULL",$D182&amp;"/"&amp;LOWER($D182&amp;"_"&amp;$C182&amp;"_front.prefab"))</f>
        <v/>
      </c>
      <c r="F182" s="1">
        <f>IF(C182="Passive","NULL",$D182&amp;"/"&amp;LOWER($D182&amp;"_"&amp;$C182&amp;"_Back.prefab"))</f>
        <v/>
      </c>
      <c r="G182" s="1" t="inlineStr">
        <is>
          <t>NULL</t>
        </is>
      </c>
    </row>
    <row r="183">
      <c r="A183" s="1" t="n">
        <v>2535261</v>
      </c>
      <c r="C183" s="1" t="inlineStr">
        <is>
          <t>Active</t>
        </is>
      </c>
      <c r="D183" s="1" t="inlineStr">
        <is>
          <t>c336_a</t>
        </is>
      </c>
      <c r="E183" s="1">
        <f>IF(C183="Passive","NULL",$D183&amp;"/"&amp;LOWER($D183&amp;"_"&amp;$C183&amp;"_front.prefab"))</f>
        <v/>
      </c>
      <c r="F183" s="1">
        <f>IF(C183="Passive","NULL",$D183&amp;"/"&amp;LOWER($D183&amp;"_"&amp;$C183&amp;"_Back.prefab"))</f>
        <v/>
      </c>
      <c r="G183" s="1" t="inlineStr">
        <is>
          <t>NULL</t>
        </is>
      </c>
    </row>
    <row r="184">
      <c r="A184" s="1" t="n">
        <v>3535261</v>
      </c>
      <c r="C184" s="1" t="inlineStr">
        <is>
          <t>Ultimate</t>
        </is>
      </c>
      <c r="D184" s="1" t="inlineStr">
        <is>
          <t>c336_a</t>
        </is>
      </c>
      <c r="E184" s="1">
        <f>IF(C184="Passive","NULL",$D184&amp;"/"&amp;LOWER($D184&amp;"_"&amp;$C184&amp;"_front.prefab"))</f>
        <v/>
      </c>
      <c r="F184" s="1">
        <f>IF(C184="Passive","NULL",$D184&amp;"/"&amp;LOWER($D184&amp;"_"&amp;$C184&amp;"_Back.prefab"))</f>
        <v/>
      </c>
      <c r="G184" s="1" t="inlineStr">
        <is>
          <t>NULL</t>
        </is>
      </c>
    </row>
    <row r="185">
      <c r="A185" s="1" t="n">
        <v>4535261</v>
      </c>
      <c r="C185" s="1" t="inlineStr">
        <is>
          <t>Passive</t>
        </is>
      </c>
      <c r="D185" s="1" t="inlineStr">
        <is>
          <t>c336_a</t>
        </is>
      </c>
      <c r="E185" s="1">
        <f>IF(C185="Passive","NULL",$D185&amp;"/"&amp;LOWER($D185&amp;"_"&amp;$C185&amp;"_front.prefab"))</f>
        <v/>
      </c>
      <c r="F185" s="1">
        <f>IF(C185="Passive","NULL",$D185&amp;"/"&amp;LOWER($D185&amp;"_"&amp;$C185&amp;"_Back.prefab"))</f>
        <v/>
      </c>
      <c r="G185" s="1" t="inlineStr">
        <is>
          <t>NULL</t>
        </is>
      </c>
    </row>
    <row r="186">
      <c r="A186" s="1" t="n">
        <v>1513271</v>
      </c>
      <c r="C186" s="1" t="inlineStr">
        <is>
          <t>Normal</t>
        </is>
      </c>
      <c r="D186" s="1" t="inlineStr">
        <is>
          <t>c445_a</t>
        </is>
      </c>
      <c r="E186" s="1">
        <f>IF(C186="Passive","NULL",$D186&amp;"/"&amp;LOWER($D186&amp;"_"&amp;$C186&amp;"_front.prefab"))</f>
        <v/>
      </c>
      <c r="F186" s="1">
        <f>IF(C186="Passive","NULL",$D186&amp;"/"&amp;LOWER($D186&amp;"_"&amp;$C186&amp;"_Back.prefab"))</f>
        <v/>
      </c>
      <c r="G186" s="1" t="inlineStr">
        <is>
          <t>NULL</t>
        </is>
      </c>
    </row>
    <row r="187">
      <c r="A187" s="1" t="n">
        <v>2513271</v>
      </c>
      <c r="C187" s="1" t="inlineStr">
        <is>
          <t>Active</t>
        </is>
      </c>
      <c r="D187" s="1" t="inlineStr">
        <is>
          <t>c445_a</t>
        </is>
      </c>
      <c r="E187" s="1">
        <f>IF(C187="Passive","NULL",$D187&amp;"/"&amp;LOWER($D187&amp;"_"&amp;$C187&amp;"_front.prefab"))</f>
        <v/>
      </c>
      <c r="F187" s="1">
        <f>IF(C187="Passive","NULL",$D187&amp;"/"&amp;LOWER($D187&amp;"_"&amp;$C187&amp;"_Back.prefab"))</f>
        <v/>
      </c>
      <c r="G187" s="1" t="inlineStr">
        <is>
          <t>NULL</t>
        </is>
      </c>
    </row>
    <row r="188">
      <c r="A188" s="1" t="n">
        <v>3513271</v>
      </c>
      <c r="C188" s="1" t="inlineStr">
        <is>
          <t>Ultimate</t>
        </is>
      </c>
      <c r="D188" s="1" t="inlineStr">
        <is>
          <t>c445_a</t>
        </is>
      </c>
      <c r="E188" s="1">
        <f>IF(C188="Passive","NULL",$D188&amp;"/"&amp;LOWER($D188&amp;"_"&amp;$C188&amp;"_front.prefab"))</f>
        <v/>
      </c>
      <c r="F188" s="1">
        <f>IF(C188="Passive","NULL",$D188&amp;"/"&amp;LOWER($D188&amp;"_"&amp;$C188&amp;"_Back.prefab"))</f>
        <v/>
      </c>
      <c r="G188" s="1" t="inlineStr">
        <is>
          <t>NULL</t>
        </is>
      </c>
    </row>
    <row r="189">
      <c r="A189" s="1" t="n">
        <v>4513271</v>
      </c>
      <c r="C189" s="1" t="inlineStr">
        <is>
          <t>Passive</t>
        </is>
      </c>
      <c r="D189" s="1" t="inlineStr">
        <is>
          <t>c445_a</t>
        </is>
      </c>
      <c r="E189" s="1">
        <f>IF(C189="Passive","NULL",$D189&amp;"/"&amp;LOWER($D189&amp;"_"&amp;$C189&amp;"_front.prefab"))</f>
        <v/>
      </c>
      <c r="F189" s="1">
        <f>IF(C189="Passive","NULL",$D189&amp;"/"&amp;LOWER($D189&amp;"_"&amp;$C189&amp;"_Back.prefab"))</f>
        <v/>
      </c>
      <c r="G189" s="1" t="inlineStr">
        <is>
          <t>NULL</t>
        </is>
      </c>
    </row>
    <row r="190">
      <c r="A190" s="1" t="n">
        <v>1534281</v>
      </c>
      <c r="C190" s="1" t="inlineStr">
        <is>
          <t>Normal</t>
        </is>
      </c>
      <c r="D190" s="1" t="inlineStr">
        <is>
          <t>c461_a</t>
        </is>
      </c>
      <c r="E190" s="1">
        <f>IF(C190="Passive","NULL",$D190&amp;"/"&amp;LOWER($D190&amp;"_"&amp;$C190&amp;"_front.prefab"))</f>
        <v/>
      </c>
      <c r="F190" s="1">
        <f>IF(C190="Passive","NULL",$D190&amp;"/"&amp;LOWER($D190&amp;"_"&amp;$C190&amp;"_Back.prefab"))</f>
        <v/>
      </c>
      <c r="G190" s="1" t="inlineStr">
        <is>
          <t>NULL</t>
        </is>
      </c>
    </row>
    <row r="191">
      <c r="A191" s="1" t="n">
        <v>2534281</v>
      </c>
      <c r="C191" s="1" t="inlineStr">
        <is>
          <t>Active</t>
        </is>
      </c>
      <c r="D191" s="1" t="inlineStr">
        <is>
          <t>c461_a</t>
        </is>
      </c>
      <c r="E191" s="1">
        <f>IF(C191="Passive","NULL",$D191&amp;"/"&amp;LOWER($D191&amp;"_"&amp;$C191&amp;"_front.prefab"))</f>
        <v/>
      </c>
      <c r="F191" s="1">
        <f>IF(C191="Passive","NULL",$D191&amp;"/"&amp;LOWER($D191&amp;"_"&amp;$C191&amp;"_Back.prefab"))</f>
        <v/>
      </c>
      <c r="G191" s="1" t="inlineStr">
        <is>
          <t>NULL</t>
        </is>
      </c>
    </row>
    <row r="192">
      <c r="A192" s="1" t="n">
        <v>3534281</v>
      </c>
      <c r="C192" s="1" t="inlineStr">
        <is>
          <t>Ultimate</t>
        </is>
      </c>
      <c r="D192" s="1" t="inlineStr">
        <is>
          <t>c461_a</t>
        </is>
      </c>
      <c r="E192" s="1">
        <f>IF(C192="Passive","NULL",$D192&amp;"/"&amp;LOWER($D192&amp;"_"&amp;$C192&amp;"_front.prefab"))</f>
        <v/>
      </c>
      <c r="F192" s="1">
        <f>IF(C192="Passive","NULL",$D192&amp;"/"&amp;LOWER($D192&amp;"_"&amp;$C192&amp;"_Back.prefab"))</f>
        <v/>
      </c>
      <c r="G192" s="1" t="inlineStr">
        <is>
          <t>NULL</t>
        </is>
      </c>
    </row>
    <row r="193">
      <c r="A193" s="1" t="n">
        <v>4534281</v>
      </c>
      <c r="C193" s="1" t="inlineStr">
        <is>
          <t>Passive</t>
        </is>
      </c>
      <c r="D193" s="1" t="inlineStr">
        <is>
          <t>c461_a</t>
        </is>
      </c>
      <c r="E193" s="1">
        <f>IF(C193="Passive","NULL",$D193&amp;"/"&amp;LOWER($D193&amp;"_"&amp;$C193&amp;"_front.prefab"))</f>
        <v/>
      </c>
      <c r="F193" s="1">
        <f>IF(C193="Passive","NULL",$D193&amp;"/"&amp;LOWER($D193&amp;"_"&amp;$C193&amp;"_Back.prefab"))</f>
        <v/>
      </c>
      <c r="G193" s="1" t="inlineStr">
        <is>
          <t>NULL</t>
        </is>
      </c>
    </row>
    <row r="194">
      <c r="A194" s="1" t="n">
        <v>1511291</v>
      </c>
      <c r="C194" s="1" t="inlineStr">
        <is>
          <t>Normal</t>
        </is>
      </c>
      <c r="D194" s="1" t="inlineStr">
        <is>
          <t>c283_a</t>
        </is>
      </c>
      <c r="E194" s="1">
        <f>IF(C194="Passive","NULL",$D194&amp;"/"&amp;LOWER($D194&amp;"_"&amp;$C194&amp;"_front.prefab"))</f>
        <v/>
      </c>
      <c r="F194" s="1">
        <f>IF(C194="Passive","NULL",$D194&amp;"/"&amp;LOWER($D194&amp;"_"&amp;$C194&amp;"_Back.prefab"))</f>
        <v/>
      </c>
      <c r="G194" s="1" t="inlineStr">
        <is>
          <t>NULL</t>
        </is>
      </c>
    </row>
    <row r="195">
      <c r="A195" s="1" t="n">
        <v>2511291</v>
      </c>
      <c r="C195" s="1" t="inlineStr">
        <is>
          <t>Active</t>
        </is>
      </c>
      <c r="D195" s="1" t="inlineStr">
        <is>
          <t>c283_a</t>
        </is>
      </c>
      <c r="E195" s="1">
        <f>IF(C195="Passive","NULL",$D195&amp;"/"&amp;LOWER($D195&amp;"_"&amp;$C195&amp;"_front.prefab"))</f>
        <v/>
      </c>
      <c r="F195" s="1">
        <f>IF(C195="Passive","NULL",$D195&amp;"/"&amp;LOWER($D195&amp;"_"&amp;$C195&amp;"_Back.prefab"))</f>
        <v/>
      </c>
      <c r="G195" s="1" t="inlineStr">
        <is>
          <t>NULL</t>
        </is>
      </c>
    </row>
    <row r="196">
      <c r="A196" s="1" t="n">
        <v>3511291</v>
      </c>
      <c r="C196" s="1" t="inlineStr">
        <is>
          <t>Ultimate</t>
        </is>
      </c>
      <c r="D196" s="1" t="inlineStr">
        <is>
          <t>c283_a</t>
        </is>
      </c>
      <c r="E196" s="1">
        <f>IF(C196="Passive","NULL",$D196&amp;"/"&amp;LOWER($D196&amp;"_"&amp;$C196&amp;"_front.prefab"))</f>
        <v/>
      </c>
      <c r="F196" s="1">
        <f>IF(C196="Passive","NULL",$D196&amp;"/"&amp;LOWER($D196&amp;"_"&amp;$C196&amp;"_Back.prefab"))</f>
        <v/>
      </c>
      <c r="G196" s="1" t="inlineStr">
        <is>
          <t>NULL</t>
        </is>
      </c>
    </row>
    <row r="197">
      <c r="A197" s="1" t="n">
        <v>4511291</v>
      </c>
      <c r="C197" s="1" t="inlineStr">
        <is>
          <t>Passive</t>
        </is>
      </c>
      <c r="D197" s="1" t="inlineStr">
        <is>
          <t>c283_a</t>
        </is>
      </c>
      <c r="E197" s="1">
        <f>IF(C197="Passive","NULL",$D197&amp;"/"&amp;LOWER($D197&amp;"_"&amp;$C197&amp;"_front.prefab"))</f>
        <v/>
      </c>
      <c r="F197" s="1">
        <f>IF(C197="Passive","NULL",$D197&amp;"/"&amp;LOWER($D197&amp;"_"&amp;$C197&amp;"_Back.prefab"))</f>
        <v/>
      </c>
      <c r="G197" s="1" t="inlineStr">
        <is>
          <t>NULL</t>
        </is>
      </c>
    </row>
    <row r="198">
      <c r="A198" s="1" t="n">
        <v>1551301</v>
      </c>
      <c r="C198" s="1" t="inlineStr">
        <is>
          <t>Normal</t>
        </is>
      </c>
      <c r="D198" s="1" t="inlineStr">
        <is>
          <t>c400_a</t>
        </is>
      </c>
      <c r="E198" s="1">
        <f>IF(C198="Passive","NULL",$D198&amp;"/"&amp;LOWER($D198&amp;"_"&amp;$C198&amp;"_front.prefab"))</f>
        <v/>
      </c>
      <c r="F198" s="1">
        <f>IF(C198="Passive","NULL",$D198&amp;"/"&amp;LOWER($D198&amp;"_"&amp;$C198&amp;"_Back.prefab"))</f>
        <v/>
      </c>
      <c r="G198" s="1" t="inlineStr">
        <is>
          <t>NULL</t>
        </is>
      </c>
    </row>
    <row r="199">
      <c r="A199" s="1" t="n">
        <v>2551301</v>
      </c>
      <c r="C199" s="1" t="inlineStr">
        <is>
          <t>Active</t>
        </is>
      </c>
      <c r="D199" s="1" t="inlineStr">
        <is>
          <t>c400_a</t>
        </is>
      </c>
      <c r="E199" s="1">
        <f>IF(C199="Passive","NULL",$D199&amp;"/"&amp;LOWER($D199&amp;"_"&amp;$C199&amp;"_front.prefab"))</f>
        <v/>
      </c>
      <c r="F199" s="1">
        <f>IF(C199="Passive","NULL",$D199&amp;"/"&amp;LOWER($D199&amp;"_"&amp;$C199&amp;"_Back.prefab"))</f>
        <v/>
      </c>
      <c r="G199" s="1" t="inlineStr">
        <is>
          <t>NULL</t>
        </is>
      </c>
    </row>
    <row r="200">
      <c r="A200" s="1" t="n">
        <v>3551301</v>
      </c>
      <c r="C200" s="1" t="inlineStr">
        <is>
          <t>Ultimate</t>
        </is>
      </c>
      <c r="D200" s="1" t="inlineStr">
        <is>
          <t>c400_a</t>
        </is>
      </c>
      <c r="E200" s="1">
        <f>IF(C200="Passive","NULL",$D200&amp;"/"&amp;LOWER($D200&amp;"_"&amp;$C200&amp;"_front.prefab"))</f>
        <v/>
      </c>
      <c r="F200" s="1">
        <f>IF(C200="Passive","NULL",$D200&amp;"/"&amp;LOWER($D200&amp;"_"&amp;$C200&amp;"_Back.prefab"))</f>
        <v/>
      </c>
      <c r="G200" s="1" t="inlineStr">
        <is>
          <t>NULL</t>
        </is>
      </c>
    </row>
    <row r="201">
      <c r="A201" s="1" t="n">
        <v>4551301</v>
      </c>
      <c r="C201" s="1" t="inlineStr">
        <is>
          <t>Passive</t>
        </is>
      </c>
      <c r="D201" s="1" t="inlineStr">
        <is>
          <t>c400_a</t>
        </is>
      </c>
      <c r="E201" s="1">
        <f>IF(C201="Passive","NULL",$D201&amp;"/"&amp;LOWER($D201&amp;"_"&amp;$C201&amp;"_front.prefab"))</f>
        <v/>
      </c>
      <c r="F201" s="1">
        <f>IF(C201="Passive","NULL",$D201&amp;"/"&amp;LOWER($D201&amp;"_"&amp;$C201&amp;"_Back.prefab"))</f>
        <v/>
      </c>
      <c r="G201" s="1" t="inlineStr">
        <is>
          <t>NULL</t>
        </is>
      </c>
    </row>
    <row r="202">
      <c r="A202" s="1" t="n">
        <v>1531311</v>
      </c>
      <c r="C202" s="1" t="inlineStr">
        <is>
          <t>Normal</t>
        </is>
      </c>
      <c r="D202" s="1" t="inlineStr">
        <is>
          <t>c447_a</t>
        </is>
      </c>
      <c r="E202" s="1">
        <f>IF(C202="Passive","NULL",$D202&amp;"/"&amp;LOWER($D202&amp;"_"&amp;$C202&amp;"_front.prefab"))</f>
        <v/>
      </c>
      <c r="F202" s="1">
        <f>IF(C202="Passive","NULL",$D202&amp;"/"&amp;LOWER($D202&amp;"_"&amp;$C202&amp;"_Back.prefab"))</f>
        <v/>
      </c>
      <c r="G202" s="1" t="inlineStr">
        <is>
          <t>NULL</t>
        </is>
      </c>
    </row>
    <row r="203">
      <c r="A203" s="1" t="n">
        <v>2531311</v>
      </c>
      <c r="C203" s="1" t="inlineStr">
        <is>
          <t>Active</t>
        </is>
      </c>
      <c r="D203" s="1" t="inlineStr">
        <is>
          <t>c447_a</t>
        </is>
      </c>
      <c r="E203" s="1">
        <f>IF(C203="Passive","NULL",$D203&amp;"/"&amp;LOWER($D203&amp;"_"&amp;$C203&amp;"_front.prefab"))</f>
        <v/>
      </c>
      <c r="F203" s="1">
        <f>IF(C203="Passive","NULL",$D203&amp;"/"&amp;LOWER($D203&amp;"_"&amp;$C203&amp;"_Back.prefab"))</f>
        <v/>
      </c>
      <c r="G203" s="1" t="inlineStr">
        <is>
          <t>NULL</t>
        </is>
      </c>
    </row>
    <row r="204">
      <c r="A204" s="1" t="n">
        <v>3531311</v>
      </c>
      <c r="C204" s="1" t="inlineStr">
        <is>
          <t>Ultimate</t>
        </is>
      </c>
      <c r="D204" s="1" t="inlineStr">
        <is>
          <t>c447_a</t>
        </is>
      </c>
      <c r="E204" s="1">
        <f>IF(C204="Passive","NULL",$D204&amp;"/"&amp;LOWER($D204&amp;"_"&amp;$C204&amp;"_front.prefab"))</f>
        <v/>
      </c>
      <c r="F204" s="1">
        <f>IF(C204="Passive","NULL",$D204&amp;"/"&amp;LOWER($D204&amp;"_"&amp;$C204&amp;"_Back.prefab"))</f>
        <v/>
      </c>
      <c r="G204" s="1" t="inlineStr">
        <is>
          <t>NULL</t>
        </is>
      </c>
    </row>
    <row r="205">
      <c r="A205" s="1" t="n">
        <v>4531311</v>
      </c>
      <c r="C205" s="1" t="inlineStr">
        <is>
          <t>Passive</t>
        </is>
      </c>
      <c r="D205" s="1" t="inlineStr">
        <is>
          <t>c447_a</t>
        </is>
      </c>
      <c r="E205" s="1">
        <f>IF(C205="Passive","NULL",$D205&amp;"/"&amp;LOWER($D205&amp;"_"&amp;$C205&amp;"_front.prefab"))</f>
        <v/>
      </c>
      <c r="F205" s="1">
        <f>IF(C205="Passive","NULL",$D205&amp;"/"&amp;LOWER($D205&amp;"_"&amp;$C205&amp;"_Back.prefab"))</f>
        <v/>
      </c>
      <c r="G205" s="1" t="inlineStr">
        <is>
          <t>NULL</t>
        </is>
      </c>
    </row>
    <row r="206">
      <c r="A206" s="1" t="n">
        <v>1512321</v>
      </c>
      <c r="B206" s="1" t="inlineStr">
        <is>
          <t>데레사</t>
        </is>
      </c>
      <c r="C206" s="1" t="inlineStr">
        <is>
          <t>Normal</t>
        </is>
      </c>
      <c r="D206" s="1" t="inlineStr">
        <is>
          <t>c462_a</t>
        </is>
      </c>
      <c r="E206" s="1">
        <f>IF(C206="Passive","NULL",$D206&amp;"/"&amp;LOWER($D206&amp;"_"&amp;$C206&amp;"_front.prefab"))</f>
        <v/>
      </c>
      <c r="F206" s="1">
        <f>IF(C206="Passive","NULL",$D206&amp;"/"&amp;LOWER($D206&amp;"_"&amp;$C206&amp;"_Back.prefab"))</f>
        <v/>
      </c>
      <c r="G206" s="1" t="inlineStr">
        <is>
          <t>NULL</t>
        </is>
      </c>
    </row>
    <row r="207">
      <c r="A207" s="1" t="n">
        <v>2512321</v>
      </c>
      <c r="B207" s="1" t="inlineStr">
        <is>
          <t>데레사</t>
        </is>
      </c>
      <c r="C207" s="1" t="inlineStr">
        <is>
          <t>Active</t>
        </is>
      </c>
      <c r="D207" s="1" t="inlineStr">
        <is>
          <t>c462_a</t>
        </is>
      </c>
      <c r="E207" s="1">
        <f>IF(C207="Passive","NULL",$D207&amp;"/"&amp;LOWER($D207&amp;"_"&amp;$C207&amp;"_front.prefab"))</f>
        <v/>
      </c>
      <c r="F207" s="1">
        <f>IF(C207="Passive","NULL",$D207&amp;"/"&amp;LOWER($D207&amp;"_"&amp;$C207&amp;"_Back.prefab"))</f>
        <v/>
      </c>
      <c r="G207" s="1" t="inlineStr">
        <is>
          <t>NULL</t>
        </is>
      </c>
    </row>
    <row r="208">
      <c r="A208" s="1" t="n">
        <v>3512321</v>
      </c>
      <c r="B208" s="1" t="inlineStr">
        <is>
          <t>데레사</t>
        </is>
      </c>
      <c r="C208" s="1" t="inlineStr">
        <is>
          <t>Ultimate</t>
        </is>
      </c>
      <c r="D208" s="1" t="inlineStr">
        <is>
          <t>c462_a</t>
        </is>
      </c>
      <c r="E208" s="1">
        <f>IF(C208="Passive","NULL",$D208&amp;"/"&amp;LOWER($D208&amp;"_"&amp;$C208&amp;"_front.prefab"))</f>
        <v/>
      </c>
      <c r="F208" s="1">
        <f>IF(C208="Passive","NULL",$D208&amp;"/"&amp;LOWER($D208&amp;"_"&amp;$C208&amp;"_Back.prefab"))</f>
        <v/>
      </c>
      <c r="G208" s="1" t="inlineStr">
        <is>
          <t>NULL</t>
        </is>
      </c>
    </row>
    <row r="209">
      <c r="A209" s="1" t="n">
        <v>4512321</v>
      </c>
      <c r="B209" s="1" t="inlineStr">
        <is>
          <t>데레사</t>
        </is>
      </c>
      <c r="C209" s="1" t="inlineStr">
        <is>
          <t>Passive</t>
        </is>
      </c>
      <c r="D209" s="1" t="inlineStr">
        <is>
          <t>c462_a</t>
        </is>
      </c>
      <c r="E209" s="1">
        <f>IF(C209="Passive","NULL",$D209&amp;"/"&amp;LOWER($D209&amp;"_"&amp;$C209&amp;"_front.prefab"))</f>
        <v/>
      </c>
      <c r="F209" s="1">
        <f>IF(C209="Passive","NULL",$D209&amp;"/"&amp;LOWER($D209&amp;"_"&amp;$C209&amp;"_Back.prefab"))</f>
        <v/>
      </c>
      <c r="G209" s="1" t="inlineStr">
        <is>
          <t>NULL</t>
        </is>
      </c>
    </row>
    <row r="210">
      <c r="A210" s="1" t="n">
        <v>1524331</v>
      </c>
      <c r="B210" s="1" t="inlineStr">
        <is>
          <t>티스베</t>
        </is>
      </c>
      <c r="C210" s="1" t="inlineStr">
        <is>
          <t>Normal</t>
        </is>
      </c>
      <c r="D210" s="1" t="inlineStr">
        <is>
          <t>c281_a</t>
        </is>
      </c>
      <c r="E210" s="1">
        <f>IF(C210="Passive","NULL",$D210&amp;"/"&amp;LOWER($D210&amp;"_"&amp;$C210&amp;"_front.prefab"))</f>
        <v/>
      </c>
      <c r="F210" s="1">
        <f>IF(C210="Passive","NULL",$D210&amp;"/"&amp;LOWER($D210&amp;"_"&amp;$C210&amp;"_Back.prefab"))</f>
        <v/>
      </c>
      <c r="G210" s="1" t="inlineStr">
        <is>
          <t>NULL</t>
        </is>
      </c>
    </row>
    <row r="211">
      <c r="A211" s="1" t="n">
        <v>2524331</v>
      </c>
      <c r="B211" s="1" t="inlineStr">
        <is>
          <t>티스베</t>
        </is>
      </c>
      <c r="C211" s="1" t="inlineStr">
        <is>
          <t>Active</t>
        </is>
      </c>
      <c r="D211" s="1" t="inlineStr">
        <is>
          <t>c281_a</t>
        </is>
      </c>
      <c r="E211" s="1">
        <f>IF(C211="Passive","NULL",$D211&amp;"/"&amp;LOWER($D211&amp;"_"&amp;$C211&amp;"_front.prefab"))</f>
        <v/>
      </c>
      <c r="F211" s="1">
        <f>IF(C211="Passive","NULL",$D211&amp;"/"&amp;LOWER($D211&amp;"_"&amp;$C211&amp;"_Back.prefab"))</f>
        <v/>
      </c>
      <c r="G211" s="1" t="inlineStr">
        <is>
          <t>NULL</t>
        </is>
      </c>
    </row>
    <row r="212">
      <c r="A212" s="1" t="n">
        <v>3524331</v>
      </c>
      <c r="B212" s="1" t="inlineStr">
        <is>
          <t>티스베</t>
        </is>
      </c>
      <c r="C212" s="1" t="inlineStr">
        <is>
          <t>Ultimate</t>
        </is>
      </c>
      <c r="D212" s="1" t="inlineStr">
        <is>
          <t>c281_a</t>
        </is>
      </c>
      <c r="E212" s="1">
        <f>IF(C212="Passive","NULL",$D212&amp;"/"&amp;LOWER($D212&amp;"_"&amp;$C212&amp;"_front.prefab"))</f>
        <v/>
      </c>
      <c r="F212" s="1">
        <f>IF(C212="Passive","NULL",$D212&amp;"/"&amp;LOWER($D212&amp;"_"&amp;$C212&amp;"_Back.prefab"))</f>
        <v/>
      </c>
      <c r="G212" s="1" t="inlineStr">
        <is>
          <t>NULL</t>
        </is>
      </c>
    </row>
    <row r="213">
      <c r="A213" s="1" t="n">
        <v>4524331</v>
      </c>
      <c r="B213" s="1" t="inlineStr">
        <is>
          <t>티스베</t>
        </is>
      </c>
      <c r="C213" s="1" t="inlineStr">
        <is>
          <t>Passive</t>
        </is>
      </c>
      <c r="D213" s="1" t="inlineStr">
        <is>
          <t>c281_a</t>
        </is>
      </c>
      <c r="E213" s="1">
        <f>IF(C213="Passive","NULL",$D213&amp;"/"&amp;LOWER($D213&amp;"_"&amp;$C213&amp;"_front.prefab"))</f>
        <v/>
      </c>
      <c r="F213" s="1">
        <f>IF(C213="Passive","NULL",$D213&amp;"/"&amp;LOWER($D213&amp;"_"&amp;$C213&amp;"_Back.prefab"))</f>
        <v/>
      </c>
      <c r="G213" s="1" t="inlineStr">
        <is>
          <t>NULL</t>
        </is>
      </c>
    </row>
    <row r="214">
      <c r="A214" s="65" t="n">
        <v>1451341</v>
      </c>
      <c r="B214" s="1" t="inlineStr">
        <is>
          <t>두엣샤</t>
        </is>
      </c>
      <c r="C214" s="1" t="inlineStr">
        <is>
          <t>Normal</t>
        </is>
      </c>
      <c r="D214" s="1" t="inlineStr">
        <is>
          <t>c514_a</t>
        </is>
      </c>
      <c r="E214" s="1">
        <f>IF(C214="Passive","NULL",$D214&amp;"/"&amp;LOWER($D214&amp;"_"&amp;$C214&amp;"_front.prefab"))</f>
        <v/>
      </c>
      <c r="F214" s="1">
        <f>IF(C214="Passive","NULL",$D214&amp;"/"&amp;LOWER($D214&amp;"_"&amp;$C214&amp;"_Back.prefab"))</f>
        <v/>
      </c>
      <c r="G214" s="1" t="inlineStr">
        <is>
          <t>NULL</t>
        </is>
      </c>
    </row>
    <row r="215">
      <c r="A215" s="1" t="n">
        <v>2451341</v>
      </c>
      <c r="B215" s="1" t="inlineStr">
        <is>
          <t>두엣샤</t>
        </is>
      </c>
      <c r="C215" s="1" t="inlineStr">
        <is>
          <t>Active</t>
        </is>
      </c>
      <c r="D215" s="1" t="inlineStr">
        <is>
          <t>c514_a</t>
        </is>
      </c>
      <c r="E215" s="1">
        <f>IF(C215="Passive","NULL",$D215&amp;"/"&amp;LOWER($D215&amp;"_"&amp;$C215&amp;"_front.prefab"))</f>
        <v/>
      </c>
      <c r="F215" s="1">
        <f>IF(C215="Passive","NULL",$D215&amp;"/"&amp;LOWER($D215&amp;"_"&amp;$C215&amp;"_Back.prefab"))</f>
        <v/>
      </c>
      <c r="G215" s="1" t="inlineStr">
        <is>
          <t>NULL</t>
        </is>
      </c>
    </row>
    <row r="216">
      <c r="A216" s="1" t="n">
        <v>3451341</v>
      </c>
      <c r="B216" s="1" t="inlineStr">
        <is>
          <t>두엣샤</t>
        </is>
      </c>
      <c r="C216" s="1" t="inlineStr">
        <is>
          <t>Ultimate</t>
        </is>
      </c>
      <c r="D216" s="1" t="inlineStr">
        <is>
          <t>c514_a</t>
        </is>
      </c>
      <c r="E216" s="1">
        <f>IF(C216="Passive","NULL",$D216&amp;"/"&amp;LOWER($D216&amp;"_"&amp;$C216&amp;"_front.prefab"))</f>
        <v/>
      </c>
      <c r="F216" s="1">
        <f>IF(C216="Passive","NULL",$D216&amp;"/"&amp;LOWER($D216&amp;"_"&amp;$C216&amp;"_Back.prefab"))</f>
        <v/>
      </c>
      <c r="G216" s="1" t="inlineStr">
        <is>
          <t>NULL</t>
        </is>
      </c>
    </row>
    <row r="217">
      <c r="A217" s="1" t="n">
        <v>4451341</v>
      </c>
      <c r="B217" s="1" t="inlineStr">
        <is>
          <t>두엣샤</t>
        </is>
      </c>
      <c r="C217" s="1" t="inlineStr">
        <is>
          <t>Passive</t>
        </is>
      </c>
      <c r="D217" s="1" t="inlineStr">
        <is>
          <t>c514_a</t>
        </is>
      </c>
      <c r="E217" s="1">
        <f>IF(C217="Passive","NULL",$D217&amp;"/"&amp;LOWER($D217&amp;"_"&amp;$C217&amp;"_front.prefab"))</f>
        <v/>
      </c>
      <c r="F217" s="1">
        <f>IF(C217="Passive","NULL",$D217&amp;"/"&amp;LOWER($D217&amp;"_"&amp;$C217&amp;"_Back.prefab"))</f>
        <v/>
      </c>
      <c r="G217" s="1" t="inlineStr">
        <is>
          <t>NULL</t>
        </is>
      </c>
    </row>
  </sheetData>
  <autoFilter ref="A3:G3">
    <sortState ref="A4:G72">
      <sortCondition ref="D3"/>
    </sortState>
  </autoFilter>
  <conditionalFormatting sqref="A1:A213 A218:A1048576">
    <cfRule type="duplicateValues" priority="5" dxfId="0"/>
  </conditionalFormatting>
  <conditionalFormatting sqref="A214:A217">
    <cfRule type="duplicateValues" priority="1" dxfId="0"/>
    <cfRule type="duplicateValues" priority="2" dxfId="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03"/>
  <sheetViews>
    <sheetView workbookViewId="0">
      <pane ySplit="3" topLeftCell="A180" activePane="bottomLeft" state="frozen"/>
      <selection pane="bottomLeft" activeCell="F199" sqref="F199"/>
    </sheetView>
  </sheetViews>
  <sheetFormatPr baseColWidth="8" defaultRowHeight="16.5"/>
  <cols>
    <col width="9" customWidth="1" style="68" min="3" max="3"/>
    <col width="9.125" bestFit="1" customWidth="1" style="68" min="4" max="4"/>
    <col width="11.25" bestFit="1" customWidth="1" style="68" min="5" max="5"/>
    <col width="9.125" bestFit="1" customWidth="1" style="68" min="6" max="6"/>
    <col width="11.125" bestFit="1" customWidth="1" style="68" min="7" max="7"/>
    <col width="9.125" bestFit="1" customWidth="1" style="68" min="8" max="8"/>
    <col width="11.125" bestFit="1" customWidth="1" style="68" min="9" max="9"/>
  </cols>
  <sheetData>
    <row r="1">
      <c r="A1" s="21" t="inlineStr">
        <is>
          <t>Id</t>
        </is>
      </c>
      <c r="B1" s="21" t="inlineStr">
        <is>
          <t>Group</t>
        </is>
      </c>
      <c r="C1" s="21" t="inlineStr">
        <is>
          <t>Level</t>
        </is>
      </c>
      <c r="D1" s="6" t="inlineStr">
        <is>
          <t>StatParam</t>
        </is>
      </c>
      <c r="E1" s="6" t="inlineStr">
        <is>
          <t>StatValue</t>
        </is>
      </c>
      <c r="F1" s="6" t="inlineStr">
        <is>
          <t>StatParam</t>
        </is>
      </c>
      <c r="G1" s="6" t="inlineStr">
        <is>
          <t>StatValue</t>
        </is>
      </c>
      <c r="H1" s="6" t="inlineStr">
        <is>
          <t>StatParam</t>
        </is>
      </c>
      <c r="I1" s="6" t="inlineStr">
        <is>
          <t>StatValue</t>
        </is>
      </c>
    </row>
    <row r="2">
      <c r="E2" s="68" t="n">
        <v>1.45</v>
      </c>
      <c r="G2" s="68" t="n">
        <v>1.45</v>
      </c>
      <c r="I2" s="68" t="n">
        <v>1.45</v>
      </c>
    </row>
    <row r="3">
      <c r="E3" s="68" t="n">
        <v>1</v>
      </c>
      <c r="G3" s="68" t="n">
        <v>8</v>
      </c>
      <c r="I3" s="68" t="n">
        <v>1</v>
      </c>
    </row>
    <row r="4">
      <c r="A4" s="68">
        <f>B4&amp;TEXT(C4,"0000")</f>
        <v/>
      </c>
      <c r="B4" s="68" t="n">
        <v>101</v>
      </c>
      <c r="C4" s="68" t="n">
        <v>1</v>
      </c>
      <c r="D4" s="68" t="inlineStr">
        <is>
          <t>HpRatio</t>
        </is>
      </c>
      <c r="E4" s="68" t="n">
        <v>0</v>
      </c>
      <c r="F4" s="68" t="inlineStr">
        <is>
          <t>AtkRatio</t>
        </is>
      </c>
      <c r="G4" s="68" t="n">
        <v>0</v>
      </c>
      <c r="H4" s="68" t="inlineStr">
        <is>
          <t>DefRatio</t>
        </is>
      </c>
      <c r="I4" s="68" t="n">
        <v>0</v>
      </c>
    </row>
    <row r="5">
      <c r="A5" s="68">
        <f>B5&amp;TEXT(C5,"0000")</f>
        <v/>
      </c>
      <c r="B5" s="68" t="n">
        <v>101</v>
      </c>
      <c r="C5" s="68" t="n">
        <v>2</v>
      </c>
      <c r="D5" s="68" t="inlineStr">
        <is>
          <t>HpRatio</t>
        </is>
      </c>
      <c r="E5" s="68" t="n">
        <v>3500</v>
      </c>
      <c r="F5" s="68" t="inlineStr">
        <is>
          <t>AtkRatio</t>
        </is>
      </c>
      <c r="G5" s="68" t="n">
        <v>3500</v>
      </c>
      <c r="H5" s="68" t="inlineStr">
        <is>
          <t>DefRatio</t>
        </is>
      </c>
      <c r="I5" s="68" t="n">
        <v>3500</v>
      </c>
    </row>
    <row r="6">
      <c r="A6" s="68">
        <f>B6&amp;TEXT(C6,"0000")</f>
        <v/>
      </c>
      <c r="B6" s="68" t="n">
        <v>101</v>
      </c>
      <c r="C6" s="68" t="n">
        <v>3</v>
      </c>
      <c r="D6" s="68" t="inlineStr">
        <is>
          <t>HpRatio</t>
        </is>
      </c>
      <c r="E6" s="68">
        <f>ROUND(E$5*($C5^E$2*E$3), 0)</f>
        <v/>
      </c>
      <c r="F6" s="68" t="inlineStr">
        <is>
          <t>AtkRatio</t>
        </is>
      </c>
      <c r="G6" s="68">
        <f>ROUND(G$5*($C5^$E$2*$E$3), 0)</f>
        <v/>
      </c>
      <c r="H6" s="68" t="inlineStr">
        <is>
          <t>DefRatio</t>
        </is>
      </c>
      <c r="I6" s="68">
        <f>ROUND(I$5*($C5^$I$2*$I$3), 0)</f>
        <v/>
      </c>
    </row>
    <row r="7">
      <c r="A7" s="68">
        <f>B7&amp;TEXT(C7,"0000")</f>
        <v/>
      </c>
      <c r="B7" s="68" t="n">
        <v>101</v>
      </c>
      <c r="C7" s="68" t="n">
        <v>4</v>
      </c>
      <c r="D7" s="68" t="inlineStr">
        <is>
          <t>HpRatio</t>
        </is>
      </c>
      <c r="E7" s="68">
        <f>ROUND(E$5*($C6^E$2*E$3), 0)</f>
        <v/>
      </c>
      <c r="F7" s="68" t="inlineStr">
        <is>
          <t>AtkRatio</t>
        </is>
      </c>
      <c r="G7" s="68">
        <f>ROUND(G$5*($C6^$E$2*$E$3), 0)</f>
        <v/>
      </c>
      <c r="H7" s="68" t="inlineStr">
        <is>
          <t>DefRatio</t>
        </is>
      </c>
      <c r="I7" s="68">
        <f>ROUND(I$5*($C6^$E$2*$E$3), 0)</f>
        <v/>
      </c>
    </row>
    <row r="8">
      <c r="A8" s="68">
        <f>B8&amp;TEXT(C8,"0000")</f>
        <v/>
      </c>
      <c r="B8" s="68" t="n">
        <v>101</v>
      </c>
      <c r="C8" s="68" t="n">
        <v>5</v>
      </c>
      <c r="D8" s="68" t="inlineStr">
        <is>
          <t>HpRatio</t>
        </is>
      </c>
      <c r="E8" s="68">
        <f>ROUND(E$5*($C7^E$2*E$3), 0)</f>
        <v/>
      </c>
      <c r="F8" s="68" t="inlineStr">
        <is>
          <t>AtkRatio</t>
        </is>
      </c>
      <c r="G8" s="68">
        <f>ROUND(G$5*($C7^$E$2*$E$3), 0)</f>
        <v/>
      </c>
      <c r="H8" s="68" t="inlineStr">
        <is>
          <t>DefRatio</t>
        </is>
      </c>
      <c r="I8" s="68">
        <f>ROUND(I$5*($C7^$E$2*$E$3), 0)</f>
        <v/>
      </c>
    </row>
    <row r="9">
      <c r="A9" s="68">
        <f>B9&amp;TEXT(C9,"0000")</f>
        <v/>
      </c>
      <c r="B9" s="68" t="n">
        <v>101</v>
      </c>
      <c r="C9" s="68" t="n">
        <v>6</v>
      </c>
      <c r="D9" s="68" t="inlineStr">
        <is>
          <t>HpRatio</t>
        </is>
      </c>
      <c r="E9" s="68">
        <f>ROUND(E$5*($C8^E$2*E$3), 0)</f>
        <v/>
      </c>
      <c r="F9" s="68" t="inlineStr">
        <is>
          <t>AtkRatio</t>
        </is>
      </c>
      <c r="G9" s="68">
        <f>ROUND(G$5*($C8^$E$2*$E$3), 0)</f>
        <v/>
      </c>
      <c r="H9" s="68" t="inlineStr">
        <is>
          <t>DefRatio</t>
        </is>
      </c>
      <c r="I9" s="68">
        <f>ROUND(I$5*($C8^$E$2*$E$3), 0)</f>
        <v/>
      </c>
    </row>
    <row r="10">
      <c r="A10" s="68">
        <f>B10&amp;TEXT(C10,"0000")</f>
        <v/>
      </c>
      <c r="B10" s="68" t="n">
        <v>101</v>
      </c>
      <c r="C10" s="68" t="n">
        <v>7</v>
      </c>
      <c r="D10" s="68" t="inlineStr">
        <is>
          <t>HpRatio</t>
        </is>
      </c>
      <c r="E10" s="68">
        <f>ROUND(E$5*($C9^E$2*E$3), 0)</f>
        <v/>
      </c>
      <c r="F10" s="68" t="inlineStr">
        <is>
          <t>AtkRatio</t>
        </is>
      </c>
      <c r="G10" s="68">
        <f>ROUND(G$5*($C9^$E$2*$E$3), 0)</f>
        <v/>
      </c>
      <c r="H10" s="68" t="inlineStr">
        <is>
          <t>DefRatio</t>
        </is>
      </c>
      <c r="I10" s="68">
        <f>ROUND(I$5*($C9^$E$2*$E$3), 0)</f>
        <v/>
      </c>
    </row>
    <row r="11">
      <c r="A11" s="68">
        <f>B11&amp;TEXT(C11,"0000")</f>
        <v/>
      </c>
      <c r="B11" s="68" t="n">
        <v>101</v>
      </c>
      <c r="C11" s="68" t="n">
        <v>8</v>
      </c>
      <c r="D11" s="68" t="inlineStr">
        <is>
          <t>HpRatio</t>
        </is>
      </c>
      <c r="E11" s="68">
        <f>ROUND(E$5*($C10^E$2*E$3), 0)</f>
        <v/>
      </c>
      <c r="F11" s="68" t="inlineStr">
        <is>
          <t>AtkRatio</t>
        </is>
      </c>
      <c r="G11" s="68">
        <f>ROUND(G$5*($C10^$E$2*$E$3), 0)</f>
        <v/>
      </c>
      <c r="H11" s="68" t="inlineStr">
        <is>
          <t>DefRatio</t>
        </is>
      </c>
      <c r="I11" s="68">
        <f>ROUND(I$5*($C10^$E$2*$E$3), 0)</f>
        <v/>
      </c>
    </row>
    <row r="12">
      <c r="A12" s="68">
        <f>B12&amp;TEXT(C12,"0000")</f>
        <v/>
      </c>
      <c r="B12" s="68" t="n">
        <v>101</v>
      </c>
      <c r="C12" s="68" t="n">
        <v>9</v>
      </c>
      <c r="D12" s="68" t="inlineStr">
        <is>
          <t>HpRatio</t>
        </is>
      </c>
      <c r="E12" s="68">
        <f>ROUND(E$5*($C11^E$2*E$3), 0)</f>
        <v/>
      </c>
      <c r="F12" s="68" t="inlineStr">
        <is>
          <t>AtkRatio</t>
        </is>
      </c>
      <c r="G12" s="68">
        <f>ROUND(G$5*($C11^$E$2*$E$3), 0)</f>
        <v/>
      </c>
      <c r="H12" s="68" t="inlineStr">
        <is>
          <t>DefRatio</t>
        </is>
      </c>
      <c r="I12" s="68">
        <f>ROUND(I$5*($C11^$E$2*$E$3), 0)</f>
        <v/>
      </c>
    </row>
    <row r="13">
      <c r="A13" s="68">
        <f>B13&amp;TEXT(C13,"0000")</f>
        <v/>
      </c>
      <c r="B13" s="68" t="n">
        <v>101</v>
      </c>
      <c r="C13" s="68" t="n">
        <v>10</v>
      </c>
      <c r="D13" s="68" t="inlineStr">
        <is>
          <t>HpRatio</t>
        </is>
      </c>
      <c r="E13" s="68">
        <f>ROUND(E$5*($C12^E$2*E$3), 0)</f>
        <v/>
      </c>
      <c r="F13" s="68" t="inlineStr">
        <is>
          <t>AtkRatio</t>
        </is>
      </c>
      <c r="G13" s="68">
        <f>ROUND(G$5*($C12^$E$2*$E$3), 0)</f>
        <v/>
      </c>
      <c r="H13" s="68" t="inlineStr">
        <is>
          <t>DefRatio</t>
        </is>
      </c>
      <c r="I13" s="68">
        <f>ROUND(I$5*($C12^$E$2*$E$3), 0)</f>
        <v/>
      </c>
    </row>
    <row r="14">
      <c r="A14" s="68">
        <f>B14&amp;TEXT(C14,"0000")</f>
        <v/>
      </c>
      <c r="B14" s="68" t="n">
        <v>101</v>
      </c>
      <c r="C14" s="68" t="n">
        <v>11</v>
      </c>
      <c r="D14" s="68" t="inlineStr">
        <is>
          <t>HpRatio</t>
        </is>
      </c>
      <c r="E14" s="68">
        <f>ROUND(E$5*($C13^E$2*E$3), 0)</f>
        <v/>
      </c>
      <c r="F14" s="68" t="inlineStr">
        <is>
          <t>AtkRatio</t>
        </is>
      </c>
      <c r="G14" s="68">
        <f>ROUND(G$5*($C13^$E$2*$E$3), 0)</f>
        <v/>
      </c>
      <c r="H14" s="68" t="inlineStr">
        <is>
          <t>DefRatio</t>
        </is>
      </c>
      <c r="I14" s="68">
        <f>ROUND(I$5*($C13^$E$2*$E$3), 0)</f>
        <v/>
      </c>
    </row>
    <row r="15">
      <c r="A15" s="68">
        <f>B15&amp;TEXT(C15,"0000")</f>
        <v/>
      </c>
      <c r="B15" s="68" t="n">
        <v>101</v>
      </c>
      <c r="C15" s="68" t="n">
        <v>12</v>
      </c>
      <c r="D15" s="68" t="inlineStr">
        <is>
          <t>HpRatio</t>
        </is>
      </c>
      <c r="E15" s="68">
        <f>ROUND(E$5*($C14^E$2*E$3), 0)</f>
        <v/>
      </c>
      <c r="F15" s="68" t="inlineStr">
        <is>
          <t>AtkRatio</t>
        </is>
      </c>
      <c r="G15" s="68">
        <f>ROUND(G$5*($C14^$E$2*$E$3), 0)</f>
        <v/>
      </c>
      <c r="H15" s="68" t="inlineStr">
        <is>
          <t>DefRatio</t>
        </is>
      </c>
      <c r="I15" s="68">
        <f>ROUND(I$5*($C14^$E$2*$E$3), 0)</f>
        <v/>
      </c>
    </row>
    <row r="16">
      <c r="A16" s="68">
        <f>B16&amp;TEXT(C16,"0000")</f>
        <v/>
      </c>
      <c r="B16" s="68" t="n">
        <v>101</v>
      </c>
      <c r="C16" s="68" t="n">
        <v>13</v>
      </c>
      <c r="D16" s="68" t="inlineStr">
        <is>
          <t>HpRatio</t>
        </is>
      </c>
      <c r="E16" s="68">
        <f>ROUND(E$5*($C15^E$2*E$3), 0)</f>
        <v/>
      </c>
      <c r="F16" s="68" t="inlineStr">
        <is>
          <t>AtkRatio</t>
        </is>
      </c>
      <c r="G16" s="68">
        <f>ROUND(G$5*($C15^$E$2*$E$3), 0)</f>
        <v/>
      </c>
      <c r="H16" s="68" t="inlineStr">
        <is>
          <t>DefRatio</t>
        </is>
      </c>
      <c r="I16" s="68">
        <f>ROUND(I$5*($C15^$E$2*$E$3), 0)</f>
        <v/>
      </c>
    </row>
    <row r="17">
      <c r="A17" s="68">
        <f>B17&amp;TEXT(C17,"0000")</f>
        <v/>
      </c>
      <c r="B17" s="68" t="n">
        <v>101</v>
      </c>
      <c r="C17" s="68" t="n">
        <v>14</v>
      </c>
      <c r="D17" s="68" t="inlineStr">
        <is>
          <t>HpRatio</t>
        </is>
      </c>
      <c r="E17" s="68">
        <f>ROUND(E$5*($C16^E$2*E$3), 0)</f>
        <v/>
      </c>
      <c r="F17" s="68" t="inlineStr">
        <is>
          <t>AtkRatio</t>
        </is>
      </c>
      <c r="G17" s="68">
        <f>ROUND(G$5*($C16^$E$2*$E$3), 0)</f>
        <v/>
      </c>
      <c r="H17" s="68" t="inlineStr">
        <is>
          <t>DefRatio</t>
        </is>
      </c>
      <c r="I17" s="68">
        <f>ROUND(I$5*($C16^$E$2*$E$3), 0)</f>
        <v/>
      </c>
    </row>
    <row r="18">
      <c r="A18" s="68">
        <f>B18&amp;TEXT(C18,"0000")</f>
        <v/>
      </c>
      <c r="B18" s="68" t="n">
        <v>101</v>
      </c>
      <c r="C18" s="68" t="n">
        <v>15</v>
      </c>
      <c r="D18" s="68" t="inlineStr">
        <is>
          <t>HpRatio</t>
        </is>
      </c>
      <c r="E18" s="68">
        <f>ROUND(E$5*($C17^E$2*E$3), 0)</f>
        <v/>
      </c>
      <c r="F18" s="68" t="inlineStr">
        <is>
          <t>AtkRatio</t>
        </is>
      </c>
      <c r="G18" s="68">
        <f>ROUND(G$5*($C17^$E$2*$E$3), 0)</f>
        <v/>
      </c>
      <c r="H18" s="68" t="inlineStr">
        <is>
          <t>DefRatio</t>
        </is>
      </c>
      <c r="I18" s="68">
        <f>ROUND(I$5*($C17^$E$2*$E$3), 0)</f>
        <v/>
      </c>
    </row>
    <row r="19">
      <c r="A19" s="68">
        <f>B19&amp;TEXT(C19,"0000")</f>
        <v/>
      </c>
      <c r="B19" s="68" t="n">
        <v>101</v>
      </c>
      <c r="C19" s="68" t="n">
        <v>16</v>
      </c>
      <c r="D19" s="68" t="inlineStr">
        <is>
          <t>HpRatio</t>
        </is>
      </c>
      <c r="E19" s="68">
        <f>ROUND(E$5*($C18^E$2*E$3), 0)</f>
        <v/>
      </c>
      <c r="F19" s="68" t="inlineStr">
        <is>
          <t>AtkRatio</t>
        </is>
      </c>
      <c r="G19" s="68">
        <f>ROUND(G$5*($C18^$E$2*$E$3), 0)</f>
        <v/>
      </c>
      <c r="H19" s="68" t="inlineStr">
        <is>
          <t>DefRatio</t>
        </is>
      </c>
      <c r="I19" s="68">
        <f>ROUND(I$5*($C18^$E$2*$E$3), 0)</f>
        <v/>
      </c>
    </row>
    <row r="20">
      <c r="A20" s="68">
        <f>B20&amp;TEXT(C20,"0000")</f>
        <v/>
      </c>
      <c r="B20" s="68" t="n">
        <v>101</v>
      </c>
      <c r="C20" s="68" t="n">
        <v>17</v>
      </c>
      <c r="D20" s="68" t="inlineStr">
        <is>
          <t>HpRatio</t>
        </is>
      </c>
      <c r="E20" s="68">
        <f>ROUND(E$5*($C19^E$2*E$3), 0)</f>
        <v/>
      </c>
      <c r="F20" s="68" t="inlineStr">
        <is>
          <t>AtkRatio</t>
        </is>
      </c>
      <c r="G20" s="68">
        <f>ROUND(G$5*($C19^$E$2*$E$3), 0)</f>
        <v/>
      </c>
      <c r="H20" s="68" t="inlineStr">
        <is>
          <t>DefRatio</t>
        </is>
      </c>
      <c r="I20" s="68">
        <f>ROUND(I$5*($C19^$E$2*$E$3), 0)</f>
        <v/>
      </c>
    </row>
    <row r="21">
      <c r="A21" s="68">
        <f>B21&amp;TEXT(C21,"0000")</f>
        <v/>
      </c>
      <c r="B21" s="68" t="n">
        <v>101</v>
      </c>
      <c r="C21" s="68" t="n">
        <v>18</v>
      </c>
      <c r="D21" s="68" t="inlineStr">
        <is>
          <t>HpRatio</t>
        </is>
      </c>
      <c r="E21" s="68">
        <f>ROUND(E$5*($C20^E$2*E$3), 0)</f>
        <v/>
      </c>
      <c r="F21" s="68" t="inlineStr">
        <is>
          <t>AtkRatio</t>
        </is>
      </c>
      <c r="G21" s="68">
        <f>ROUND(G$5*($C20^$E$2*$E$3), 0)</f>
        <v/>
      </c>
      <c r="H21" s="68" t="inlineStr">
        <is>
          <t>DefRatio</t>
        </is>
      </c>
      <c r="I21" s="68">
        <f>ROUND(I$5*($C20^$E$2*$E$3), 0)</f>
        <v/>
      </c>
    </row>
    <row r="22">
      <c r="A22" s="68">
        <f>B22&amp;TEXT(C22,"0000")</f>
        <v/>
      </c>
      <c r="B22" s="68" t="n">
        <v>101</v>
      </c>
      <c r="C22" s="68" t="n">
        <v>19</v>
      </c>
      <c r="D22" s="68" t="inlineStr">
        <is>
          <t>HpRatio</t>
        </is>
      </c>
      <c r="E22" s="68">
        <f>ROUND(E$5*($C21^E$2*E$3), 0)</f>
        <v/>
      </c>
      <c r="F22" s="68" t="inlineStr">
        <is>
          <t>AtkRatio</t>
        </is>
      </c>
      <c r="G22" s="68">
        <f>ROUND(G$5*($C21^$E$2*$E$3), 0)</f>
        <v/>
      </c>
      <c r="H22" s="68" t="inlineStr">
        <is>
          <t>DefRatio</t>
        </is>
      </c>
      <c r="I22" s="68">
        <f>ROUND(I$5*($C21^$E$2*$E$3), 0)</f>
        <v/>
      </c>
    </row>
    <row r="23">
      <c r="A23" s="68">
        <f>B23&amp;TEXT(C23,"0000")</f>
        <v/>
      </c>
      <c r="B23" s="68" t="n">
        <v>101</v>
      </c>
      <c r="C23" s="68" t="n">
        <v>20</v>
      </c>
      <c r="D23" s="68" t="inlineStr">
        <is>
          <t>HpRatio</t>
        </is>
      </c>
      <c r="E23" s="68">
        <f>ROUND(E$5*($C22^E$2*E$3), 0)</f>
        <v/>
      </c>
      <c r="F23" s="68" t="inlineStr">
        <is>
          <t>AtkRatio</t>
        </is>
      </c>
      <c r="G23" s="68">
        <f>ROUND(G$5*($C22^$E$2*$E$3), 0)</f>
        <v/>
      </c>
      <c r="H23" s="68" t="inlineStr">
        <is>
          <t>DefRatio</t>
        </is>
      </c>
      <c r="I23" s="68">
        <f>ROUND(I$5*($C22^$E$2*$E$3), 0)</f>
        <v/>
      </c>
    </row>
    <row r="24">
      <c r="A24" s="68">
        <f>B24&amp;TEXT(C24,"0000")</f>
        <v/>
      </c>
      <c r="B24" s="68" t="n">
        <v>101</v>
      </c>
      <c r="C24" s="68" t="n">
        <v>21</v>
      </c>
      <c r="D24" s="68" t="inlineStr">
        <is>
          <t>HpRatio</t>
        </is>
      </c>
      <c r="E24" s="68">
        <f>ROUND(E$5*($C23^E$2*E$3), 0)</f>
        <v/>
      </c>
      <c r="F24" s="68" t="inlineStr">
        <is>
          <t>AtkRatio</t>
        </is>
      </c>
      <c r="G24" s="68">
        <f>ROUND(G$5*($C23^$E$2*$E$3), 0)</f>
        <v/>
      </c>
      <c r="H24" s="68" t="inlineStr">
        <is>
          <t>DefRatio</t>
        </is>
      </c>
      <c r="I24" s="68">
        <f>ROUND(I$5*($C23^$E$2*$E$3), 0)</f>
        <v/>
      </c>
    </row>
    <row r="25">
      <c r="A25" s="68">
        <f>B25&amp;TEXT(C25,"0000")</f>
        <v/>
      </c>
      <c r="B25" s="68" t="n">
        <v>101</v>
      </c>
      <c r="C25" s="68" t="n">
        <v>22</v>
      </c>
      <c r="D25" s="68" t="inlineStr">
        <is>
          <t>HpRatio</t>
        </is>
      </c>
      <c r="E25" s="68">
        <f>ROUND(E$5*($C24^E$2*E$3), 0)</f>
        <v/>
      </c>
      <c r="F25" s="68" t="inlineStr">
        <is>
          <t>AtkRatio</t>
        </is>
      </c>
      <c r="G25" s="68">
        <f>ROUND(G$5*($C24^$E$2*$E$3), 0)</f>
        <v/>
      </c>
      <c r="H25" s="68" t="inlineStr">
        <is>
          <t>DefRatio</t>
        </is>
      </c>
      <c r="I25" s="68">
        <f>ROUND(I$5*($C24^$E$2*$E$3), 0)</f>
        <v/>
      </c>
    </row>
    <row r="26">
      <c r="A26" s="68">
        <f>B26&amp;TEXT(C26,"0000")</f>
        <v/>
      </c>
      <c r="B26" s="68" t="n">
        <v>101</v>
      </c>
      <c r="C26" s="68" t="n">
        <v>23</v>
      </c>
      <c r="D26" s="68" t="inlineStr">
        <is>
          <t>HpRatio</t>
        </is>
      </c>
      <c r="E26" s="68">
        <f>ROUND(E$5*($C25^E$2*E$3), 0)</f>
        <v/>
      </c>
      <c r="F26" s="68" t="inlineStr">
        <is>
          <t>AtkRatio</t>
        </is>
      </c>
      <c r="G26" s="68">
        <f>ROUND(G$5*($C25^$E$2*$E$3), 0)</f>
        <v/>
      </c>
      <c r="H26" s="68" t="inlineStr">
        <is>
          <t>DefRatio</t>
        </is>
      </c>
      <c r="I26" s="68">
        <f>ROUND(I$5*($C25^$E$2*$E$3), 0)</f>
        <v/>
      </c>
    </row>
    <row r="27">
      <c r="A27" s="68">
        <f>B27&amp;TEXT(C27,"0000")</f>
        <v/>
      </c>
      <c r="B27" s="68" t="n">
        <v>101</v>
      </c>
      <c r="C27" s="68" t="n">
        <v>24</v>
      </c>
      <c r="D27" s="68" t="inlineStr">
        <is>
          <t>HpRatio</t>
        </is>
      </c>
      <c r="E27" s="68">
        <f>ROUND(E$5*($C26^E$2*E$3), 0)</f>
        <v/>
      </c>
      <c r="F27" s="68" t="inlineStr">
        <is>
          <t>AtkRatio</t>
        </is>
      </c>
      <c r="G27" s="68">
        <f>ROUND(G$5*($C26^$E$2*$E$3), 0)</f>
        <v/>
      </c>
      <c r="H27" s="68" t="inlineStr">
        <is>
          <t>DefRatio</t>
        </is>
      </c>
      <c r="I27" s="68">
        <f>ROUND(I$5*($C26^$E$2*$E$3), 0)</f>
        <v/>
      </c>
    </row>
    <row r="28">
      <c r="A28" s="68">
        <f>B28&amp;TEXT(C28,"0000")</f>
        <v/>
      </c>
      <c r="B28" s="68" t="n">
        <v>101</v>
      </c>
      <c r="C28" s="68" t="n">
        <v>25</v>
      </c>
      <c r="D28" s="68" t="inlineStr">
        <is>
          <t>HpRatio</t>
        </is>
      </c>
      <c r="E28" s="68">
        <f>ROUND(E$5*($C27^E$2*E$3), 0)</f>
        <v/>
      </c>
      <c r="F28" s="68" t="inlineStr">
        <is>
          <t>AtkRatio</t>
        </is>
      </c>
      <c r="G28" s="68">
        <f>ROUND(G$5*($C27^$E$2*$E$3), 0)</f>
        <v/>
      </c>
      <c r="H28" s="68" t="inlineStr">
        <is>
          <t>DefRatio</t>
        </is>
      </c>
      <c r="I28" s="68">
        <f>ROUND(I$5*($C27^$E$2*$E$3), 0)</f>
        <v/>
      </c>
    </row>
    <row r="29">
      <c r="A29" s="68">
        <f>B29&amp;TEXT(C29,"0000")</f>
        <v/>
      </c>
      <c r="B29" s="68" t="n">
        <v>101</v>
      </c>
      <c r="C29" s="68" t="n">
        <v>26</v>
      </c>
      <c r="D29" s="68" t="inlineStr">
        <is>
          <t>HpRatio</t>
        </is>
      </c>
      <c r="E29" s="68">
        <f>ROUND(E$5*($C28^E$2*E$3), 0)</f>
        <v/>
      </c>
      <c r="F29" s="68" t="inlineStr">
        <is>
          <t>AtkRatio</t>
        </is>
      </c>
      <c r="G29" s="68">
        <f>ROUND(G$5*($C28^$E$2*$E$3), 0)</f>
        <v/>
      </c>
      <c r="H29" s="68" t="inlineStr">
        <is>
          <t>DefRatio</t>
        </is>
      </c>
      <c r="I29" s="68">
        <f>ROUND(I$5*($C28^$E$2*$E$3), 0)</f>
        <v/>
      </c>
    </row>
    <row r="30">
      <c r="A30" s="68">
        <f>B30&amp;TEXT(C30,"0000")</f>
        <v/>
      </c>
      <c r="B30" s="68" t="n">
        <v>101</v>
      </c>
      <c r="C30" s="68" t="n">
        <v>27</v>
      </c>
      <c r="D30" s="68" t="inlineStr">
        <is>
          <t>HpRatio</t>
        </is>
      </c>
      <c r="E30" s="68">
        <f>ROUND(E$5*($C29^E$2*E$3), 0)</f>
        <v/>
      </c>
      <c r="F30" s="68" t="inlineStr">
        <is>
          <t>AtkRatio</t>
        </is>
      </c>
      <c r="G30" s="68">
        <f>ROUND(G$5*($C29^$E$2*$E$3), 0)</f>
        <v/>
      </c>
      <c r="H30" s="68" t="inlineStr">
        <is>
          <t>DefRatio</t>
        </is>
      </c>
      <c r="I30" s="68">
        <f>ROUND(I$5*($C29^$E$2*$E$3), 0)</f>
        <v/>
      </c>
    </row>
    <row r="31">
      <c r="A31" s="68">
        <f>B31&amp;TEXT(C31,"0000")</f>
        <v/>
      </c>
      <c r="B31" s="68" t="n">
        <v>101</v>
      </c>
      <c r="C31" s="68" t="n">
        <v>28</v>
      </c>
      <c r="D31" s="68" t="inlineStr">
        <is>
          <t>HpRatio</t>
        </is>
      </c>
      <c r="E31" s="68">
        <f>ROUND(E$5*($C30^E$2*E$3), 0)</f>
        <v/>
      </c>
      <c r="F31" s="68" t="inlineStr">
        <is>
          <t>AtkRatio</t>
        </is>
      </c>
      <c r="G31" s="68">
        <f>ROUND(G$5*($C30^$E$2*$E$3), 0)</f>
        <v/>
      </c>
      <c r="H31" s="68" t="inlineStr">
        <is>
          <t>DefRatio</t>
        </is>
      </c>
      <c r="I31" s="68">
        <f>ROUND(I$5*($C30^$E$2*$E$3), 0)</f>
        <v/>
      </c>
    </row>
    <row r="32">
      <c r="A32" s="68">
        <f>B32&amp;TEXT(C32,"0000")</f>
        <v/>
      </c>
      <c r="B32" s="68" t="n">
        <v>101</v>
      </c>
      <c r="C32" s="68" t="n">
        <v>29</v>
      </c>
      <c r="D32" s="68" t="inlineStr">
        <is>
          <t>HpRatio</t>
        </is>
      </c>
      <c r="E32" s="68">
        <f>ROUND(E$5*($C31^E$2*E$3), 0)</f>
        <v/>
      </c>
      <c r="F32" s="68" t="inlineStr">
        <is>
          <t>AtkRatio</t>
        </is>
      </c>
      <c r="G32" s="68">
        <f>ROUND(G$5*($C31^$E$2*$E$3), 0)</f>
        <v/>
      </c>
      <c r="H32" s="68" t="inlineStr">
        <is>
          <t>DefRatio</t>
        </is>
      </c>
      <c r="I32" s="68">
        <f>ROUND(I$5*($C31^$E$2*$E$3), 0)</f>
        <v/>
      </c>
    </row>
    <row r="33">
      <c r="A33" s="68">
        <f>B33&amp;TEXT(C33,"0000")</f>
        <v/>
      </c>
      <c r="B33" s="68" t="n">
        <v>101</v>
      </c>
      <c r="C33" s="68" t="n">
        <v>30</v>
      </c>
      <c r="D33" s="68" t="inlineStr">
        <is>
          <t>HpRatio</t>
        </is>
      </c>
      <c r="E33" s="68">
        <f>ROUND(E$5*($C32^E$2*E$3), 0)</f>
        <v/>
      </c>
      <c r="F33" s="68" t="inlineStr">
        <is>
          <t>AtkRatio</t>
        </is>
      </c>
      <c r="G33" s="68">
        <f>ROUND(G$5*($C32^$E$2*$E$3), 0)</f>
        <v/>
      </c>
      <c r="H33" s="68" t="inlineStr">
        <is>
          <t>DefRatio</t>
        </is>
      </c>
      <c r="I33" s="68">
        <f>ROUND(I$5*($C32^$E$2*$E$3), 0)</f>
        <v/>
      </c>
    </row>
    <row r="34">
      <c r="A34" s="68">
        <f>B34&amp;TEXT(C34,"0000")</f>
        <v/>
      </c>
      <c r="B34" s="68" t="n">
        <v>101</v>
      </c>
      <c r="C34" s="68" t="n">
        <v>31</v>
      </c>
      <c r="D34" s="68" t="inlineStr">
        <is>
          <t>HpRatio</t>
        </is>
      </c>
      <c r="E34" s="68">
        <f>ROUND(E$5*($C33^E$2*E$3), 0)</f>
        <v/>
      </c>
      <c r="F34" s="68" t="inlineStr">
        <is>
          <t>AtkRatio</t>
        </is>
      </c>
      <c r="G34" s="68">
        <f>ROUND(G$5*($C33^$E$2*$E$3), 0)</f>
        <v/>
      </c>
      <c r="H34" s="68" t="inlineStr">
        <is>
          <t>DefRatio</t>
        </is>
      </c>
      <c r="I34" s="68">
        <f>ROUND(I$5*($C33^$E$2*$E$3), 0)</f>
        <v/>
      </c>
    </row>
    <row r="35">
      <c r="A35" s="68">
        <f>B35&amp;TEXT(C35,"0000")</f>
        <v/>
      </c>
      <c r="B35" s="68" t="n">
        <v>101</v>
      </c>
      <c r="C35" s="68" t="n">
        <v>32</v>
      </c>
      <c r="D35" s="68" t="inlineStr">
        <is>
          <t>HpRatio</t>
        </is>
      </c>
      <c r="E35" s="68">
        <f>ROUND(E$5*($C34^E$2*E$3), 0)</f>
        <v/>
      </c>
      <c r="F35" s="68" t="inlineStr">
        <is>
          <t>AtkRatio</t>
        </is>
      </c>
      <c r="G35" s="68">
        <f>ROUND(G$5*($C34^$E$2*$E$3), 0)</f>
        <v/>
      </c>
      <c r="H35" s="68" t="inlineStr">
        <is>
          <t>DefRatio</t>
        </is>
      </c>
      <c r="I35" s="68">
        <f>ROUND(I$5*($C34^$E$2*$E$3), 0)</f>
        <v/>
      </c>
    </row>
    <row r="36">
      <c r="A36" s="68">
        <f>B36&amp;TEXT(C36,"0000")</f>
        <v/>
      </c>
      <c r="B36" s="68" t="n">
        <v>101</v>
      </c>
      <c r="C36" s="68" t="n">
        <v>33</v>
      </c>
      <c r="D36" s="68" t="inlineStr">
        <is>
          <t>HpRatio</t>
        </is>
      </c>
      <c r="E36" s="68">
        <f>ROUND(E$5*($C35^E$2*E$3), 0)</f>
        <v/>
      </c>
      <c r="F36" s="68" t="inlineStr">
        <is>
          <t>AtkRatio</t>
        </is>
      </c>
      <c r="G36" s="68">
        <f>ROUND(G$5*($C35^$E$2*$E$3), 0)</f>
        <v/>
      </c>
      <c r="H36" s="68" t="inlineStr">
        <is>
          <t>DefRatio</t>
        </is>
      </c>
      <c r="I36" s="68">
        <f>ROUND(I$5*($C35^$E$2*$E$3), 0)</f>
        <v/>
      </c>
    </row>
    <row r="37">
      <c r="A37" s="68">
        <f>B37&amp;TEXT(C37,"0000")</f>
        <v/>
      </c>
      <c r="B37" s="68" t="n">
        <v>101</v>
      </c>
      <c r="C37" s="68" t="n">
        <v>34</v>
      </c>
      <c r="D37" s="68" t="inlineStr">
        <is>
          <t>HpRatio</t>
        </is>
      </c>
      <c r="E37" s="68">
        <f>ROUND(E$5*($C36^E$2*E$3), 0)</f>
        <v/>
      </c>
      <c r="F37" s="68" t="inlineStr">
        <is>
          <t>AtkRatio</t>
        </is>
      </c>
      <c r="G37" s="68">
        <f>ROUND(G$5*($C36^$E$2*$E$3), 0)</f>
        <v/>
      </c>
      <c r="H37" s="68" t="inlineStr">
        <is>
          <t>DefRatio</t>
        </is>
      </c>
      <c r="I37" s="68">
        <f>ROUND(I$5*($C36^$E$2*$E$3), 0)</f>
        <v/>
      </c>
    </row>
    <row r="38">
      <c r="A38" s="68">
        <f>B38&amp;TEXT(C38,"0000")</f>
        <v/>
      </c>
      <c r="B38" s="68" t="n">
        <v>101</v>
      </c>
      <c r="C38" s="68" t="n">
        <v>35</v>
      </c>
      <c r="D38" s="68" t="inlineStr">
        <is>
          <t>HpRatio</t>
        </is>
      </c>
      <c r="E38" s="68">
        <f>ROUND(E$5*($C37^E$2*E$3), 0)</f>
        <v/>
      </c>
      <c r="F38" s="68" t="inlineStr">
        <is>
          <t>AtkRatio</t>
        </is>
      </c>
      <c r="G38" s="68">
        <f>ROUND(G$5*($C37^$E$2*$E$3), 0)</f>
        <v/>
      </c>
      <c r="H38" s="68" t="inlineStr">
        <is>
          <t>DefRatio</t>
        </is>
      </c>
      <c r="I38" s="68">
        <f>ROUND(I$5*($C37^$E$2*$E$3), 0)</f>
        <v/>
      </c>
    </row>
    <row r="39">
      <c r="A39" s="68">
        <f>B39&amp;TEXT(C39,"0000")</f>
        <v/>
      </c>
      <c r="B39" s="68" t="n">
        <v>101</v>
      </c>
      <c r="C39" s="68" t="n">
        <v>36</v>
      </c>
      <c r="D39" s="68" t="inlineStr">
        <is>
          <t>HpRatio</t>
        </is>
      </c>
      <c r="E39" s="68">
        <f>ROUND(E$5*($C38^E$2*E$3), 0)</f>
        <v/>
      </c>
      <c r="F39" s="68" t="inlineStr">
        <is>
          <t>AtkRatio</t>
        </is>
      </c>
      <c r="G39" s="68">
        <f>ROUND(G$5*($C38^$E$2*$E$3), 0)</f>
        <v/>
      </c>
      <c r="H39" s="68" t="inlineStr">
        <is>
          <t>DefRatio</t>
        </is>
      </c>
      <c r="I39" s="68">
        <f>ROUND(I$5*($C38^$E$2*$E$3), 0)</f>
        <v/>
      </c>
    </row>
    <row r="40">
      <c r="A40" s="68">
        <f>B40&amp;TEXT(C40,"0000")</f>
        <v/>
      </c>
      <c r="B40" s="68" t="n">
        <v>101</v>
      </c>
      <c r="C40" s="68" t="n">
        <v>37</v>
      </c>
      <c r="D40" s="68" t="inlineStr">
        <is>
          <t>HpRatio</t>
        </is>
      </c>
      <c r="E40" s="68">
        <f>ROUND(E$5*($C39^E$2*E$3), 0)</f>
        <v/>
      </c>
      <c r="F40" s="68" t="inlineStr">
        <is>
          <t>AtkRatio</t>
        </is>
      </c>
      <c r="G40" s="68">
        <f>ROUND(G$5*($C39^$E$2*$E$3), 0)</f>
        <v/>
      </c>
      <c r="H40" s="68" t="inlineStr">
        <is>
          <t>DefRatio</t>
        </is>
      </c>
      <c r="I40" s="68">
        <f>ROUND(I$5*($C39^$E$2*$E$3), 0)</f>
        <v/>
      </c>
    </row>
    <row r="41">
      <c r="A41" s="68">
        <f>B41&amp;TEXT(C41,"0000")</f>
        <v/>
      </c>
      <c r="B41" s="68" t="n">
        <v>101</v>
      </c>
      <c r="C41" s="68" t="n">
        <v>38</v>
      </c>
      <c r="D41" s="68" t="inlineStr">
        <is>
          <t>HpRatio</t>
        </is>
      </c>
      <c r="E41" s="68">
        <f>ROUND(E$5*($C40^E$2*E$3), 0)</f>
        <v/>
      </c>
      <c r="F41" s="68" t="inlineStr">
        <is>
          <t>AtkRatio</t>
        </is>
      </c>
      <c r="G41" s="68">
        <f>ROUND(G$5*($C40^$E$2*$E$3), 0)</f>
        <v/>
      </c>
      <c r="H41" s="68" t="inlineStr">
        <is>
          <t>DefRatio</t>
        </is>
      </c>
      <c r="I41" s="68">
        <f>ROUND(I$5*($C40^$E$2*$E$3), 0)</f>
        <v/>
      </c>
    </row>
    <row r="42">
      <c r="A42" s="68">
        <f>B42&amp;TEXT(C42,"0000")</f>
        <v/>
      </c>
      <c r="B42" s="68" t="n">
        <v>101</v>
      </c>
      <c r="C42" s="68" t="n">
        <v>39</v>
      </c>
      <c r="D42" s="68" t="inlineStr">
        <is>
          <t>HpRatio</t>
        </is>
      </c>
      <c r="E42" s="68">
        <f>ROUND(E$5*($C41^E$2*E$3), 0)</f>
        <v/>
      </c>
      <c r="F42" s="68" t="inlineStr">
        <is>
          <t>AtkRatio</t>
        </is>
      </c>
      <c r="G42" s="68">
        <f>ROUND(G$5*($C41^$E$2*$E$3), 0)</f>
        <v/>
      </c>
      <c r="H42" s="68" t="inlineStr">
        <is>
          <t>DefRatio</t>
        </is>
      </c>
      <c r="I42" s="68">
        <f>ROUND(I$5*($C41^$E$2*$E$3), 0)</f>
        <v/>
      </c>
    </row>
    <row r="43">
      <c r="A43" s="68">
        <f>B43&amp;TEXT(C43,"0000")</f>
        <v/>
      </c>
      <c r="B43" s="68" t="n">
        <v>101</v>
      </c>
      <c r="C43" s="68" t="n">
        <v>40</v>
      </c>
      <c r="D43" s="68" t="inlineStr">
        <is>
          <t>HpRatio</t>
        </is>
      </c>
      <c r="E43" s="68">
        <f>ROUND(E$5*($C42^E$2*E$3), 0)</f>
        <v/>
      </c>
      <c r="F43" s="68" t="inlineStr">
        <is>
          <t>AtkRatio</t>
        </is>
      </c>
      <c r="G43" s="68">
        <f>ROUND(G$5*($C42^$E$2*$E$3), 0)</f>
        <v/>
      </c>
      <c r="H43" s="68" t="inlineStr">
        <is>
          <t>DefRatio</t>
        </is>
      </c>
      <c r="I43" s="68">
        <f>ROUND(I$5*($C42^$E$2*$E$3), 0)</f>
        <v/>
      </c>
    </row>
    <row r="44">
      <c r="A44" s="68">
        <f>B44&amp;TEXT(C44,"0000")</f>
        <v/>
      </c>
      <c r="B44" s="68" t="n">
        <v>101</v>
      </c>
      <c r="C44" s="68" t="n">
        <v>41</v>
      </c>
      <c r="D44" s="68" t="inlineStr">
        <is>
          <t>HpRatio</t>
        </is>
      </c>
      <c r="E44" s="68">
        <f>ROUND(E$5*($C43^E$2*E$3), 0)</f>
        <v/>
      </c>
      <c r="F44" s="68" t="inlineStr">
        <is>
          <t>AtkRatio</t>
        </is>
      </c>
      <c r="G44" s="68">
        <f>ROUND(G$5*($C43^$E$2*$E$3), 0)</f>
        <v/>
      </c>
      <c r="H44" s="68" t="inlineStr">
        <is>
          <t>DefRatio</t>
        </is>
      </c>
      <c r="I44" s="68">
        <f>ROUND(I$5*($C43^$E$2*$E$3), 0)</f>
        <v/>
      </c>
    </row>
    <row r="45">
      <c r="A45" s="68">
        <f>B45&amp;TEXT(C45,"0000")</f>
        <v/>
      </c>
      <c r="B45" s="68" t="n">
        <v>101</v>
      </c>
      <c r="C45" s="68" t="n">
        <v>42</v>
      </c>
      <c r="D45" s="68" t="inlineStr">
        <is>
          <t>HpRatio</t>
        </is>
      </c>
      <c r="E45" s="68">
        <f>ROUND(E$5*($C44^E$2*E$3), 0)</f>
        <v/>
      </c>
      <c r="F45" s="68" t="inlineStr">
        <is>
          <t>AtkRatio</t>
        </is>
      </c>
      <c r="G45" s="68">
        <f>ROUND(G$5*($C44^$E$2*$E$3), 0)</f>
        <v/>
      </c>
      <c r="H45" s="68" t="inlineStr">
        <is>
          <t>DefRatio</t>
        </is>
      </c>
      <c r="I45" s="68">
        <f>ROUND(I$5*($C44^$E$2*$E$3), 0)</f>
        <v/>
      </c>
    </row>
    <row r="46">
      <c r="A46" s="68">
        <f>B46&amp;TEXT(C46,"0000")</f>
        <v/>
      </c>
      <c r="B46" s="68" t="n">
        <v>101</v>
      </c>
      <c r="C46" s="68" t="n">
        <v>43</v>
      </c>
      <c r="D46" s="68" t="inlineStr">
        <is>
          <t>HpRatio</t>
        </is>
      </c>
      <c r="E46" s="68">
        <f>ROUND(E$5*($C45^E$2*E$3), 0)</f>
        <v/>
      </c>
      <c r="F46" s="68" t="inlineStr">
        <is>
          <t>AtkRatio</t>
        </is>
      </c>
      <c r="G46" s="68">
        <f>ROUND(G$5*($C45^$E$2*$E$3), 0)</f>
        <v/>
      </c>
      <c r="H46" s="68" t="inlineStr">
        <is>
          <t>DefRatio</t>
        </is>
      </c>
      <c r="I46" s="68">
        <f>ROUND(I$5*($C45^$E$2*$E$3), 0)</f>
        <v/>
      </c>
    </row>
    <row r="47">
      <c r="A47" s="68">
        <f>B47&amp;TEXT(C47,"0000")</f>
        <v/>
      </c>
      <c r="B47" s="68" t="n">
        <v>101</v>
      </c>
      <c r="C47" s="68" t="n">
        <v>44</v>
      </c>
      <c r="D47" s="68" t="inlineStr">
        <is>
          <t>HpRatio</t>
        </is>
      </c>
      <c r="E47" s="68">
        <f>ROUND(E$5*($C46^E$2*E$3), 0)</f>
        <v/>
      </c>
      <c r="F47" s="68" t="inlineStr">
        <is>
          <t>AtkRatio</t>
        </is>
      </c>
      <c r="G47" s="68">
        <f>ROUND(G$5*($C46^$E$2*$E$3), 0)</f>
        <v/>
      </c>
      <c r="H47" s="68" t="inlineStr">
        <is>
          <t>DefRatio</t>
        </is>
      </c>
      <c r="I47" s="68">
        <f>ROUND(I$5*($C46^$E$2*$E$3), 0)</f>
        <v/>
      </c>
    </row>
    <row r="48">
      <c r="A48" s="68">
        <f>B48&amp;TEXT(C48,"0000")</f>
        <v/>
      </c>
      <c r="B48" s="68" t="n">
        <v>101</v>
      </c>
      <c r="C48" s="68" t="n">
        <v>45</v>
      </c>
      <c r="D48" s="68" t="inlineStr">
        <is>
          <t>HpRatio</t>
        </is>
      </c>
      <c r="E48" s="68">
        <f>ROUND(E$5*($C47^E$2*E$3), 0)</f>
        <v/>
      </c>
      <c r="F48" s="68" t="inlineStr">
        <is>
          <t>AtkRatio</t>
        </is>
      </c>
      <c r="G48" s="68">
        <f>ROUND(G$5*($C47^$E$2*$E$3), 0)</f>
        <v/>
      </c>
      <c r="H48" s="68" t="inlineStr">
        <is>
          <t>DefRatio</t>
        </is>
      </c>
      <c r="I48" s="68">
        <f>ROUND(I$5*($C47^$E$2*$E$3), 0)</f>
        <v/>
      </c>
    </row>
    <row r="49">
      <c r="A49" s="68">
        <f>B49&amp;TEXT(C49,"0000")</f>
        <v/>
      </c>
      <c r="B49" s="68" t="n">
        <v>101</v>
      </c>
      <c r="C49" s="68" t="n">
        <v>46</v>
      </c>
      <c r="D49" s="68" t="inlineStr">
        <is>
          <t>HpRatio</t>
        </is>
      </c>
      <c r="E49" s="68">
        <f>ROUND(E$5*($C48^E$2*E$3), 0)</f>
        <v/>
      </c>
      <c r="F49" s="68" t="inlineStr">
        <is>
          <t>AtkRatio</t>
        </is>
      </c>
      <c r="G49" s="68">
        <f>ROUND(G$5*($C48^$E$2*$E$3), 0)</f>
        <v/>
      </c>
      <c r="H49" s="68" t="inlineStr">
        <is>
          <t>DefRatio</t>
        </is>
      </c>
      <c r="I49" s="68">
        <f>ROUND(I$5*($C48^$E$2*$E$3), 0)</f>
        <v/>
      </c>
    </row>
    <row r="50">
      <c r="A50" s="68">
        <f>B50&amp;TEXT(C50,"0000")</f>
        <v/>
      </c>
      <c r="B50" s="68" t="n">
        <v>101</v>
      </c>
      <c r="C50" s="68" t="n">
        <v>47</v>
      </c>
      <c r="D50" s="68" t="inlineStr">
        <is>
          <t>HpRatio</t>
        </is>
      </c>
      <c r="E50" s="68">
        <f>ROUND(E$5*($C49^E$2*E$3), 0)</f>
        <v/>
      </c>
      <c r="F50" s="68" t="inlineStr">
        <is>
          <t>AtkRatio</t>
        </is>
      </c>
      <c r="G50" s="68">
        <f>ROUND(G$5*($C49^$E$2*$E$3), 0)</f>
        <v/>
      </c>
      <c r="H50" s="68" t="inlineStr">
        <is>
          <t>DefRatio</t>
        </is>
      </c>
      <c r="I50" s="68">
        <f>ROUND(I$5*($C49^$E$2*$E$3), 0)</f>
        <v/>
      </c>
    </row>
    <row r="51">
      <c r="A51" s="68">
        <f>B51&amp;TEXT(C51,"0000")</f>
        <v/>
      </c>
      <c r="B51" s="68" t="n">
        <v>101</v>
      </c>
      <c r="C51" s="68" t="n">
        <v>48</v>
      </c>
      <c r="D51" s="68" t="inlineStr">
        <is>
          <t>HpRatio</t>
        </is>
      </c>
      <c r="E51" s="68">
        <f>ROUND(E$5*($C50^E$2*E$3), 0)</f>
        <v/>
      </c>
      <c r="F51" s="68" t="inlineStr">
        <is>
          <t>AtkRatio</t>
        </is>
      </c>
      <c r="G51" s="68">
        <f>ROUND(G$5*($C50^$E$2*$E$3), 0)</f>
        <v/>
      </c>
      <c r="H51" s="68" t="inlineStr">
        <is>
          <t>DefRatio</t>
        </is>
      </c>
      <c r="I51" s="68">
        <f>ROUND(I$5*($C50^$E$2*$E$3), 0)</f>
        <v/>
      </c>
    </row>
    <row r="52">
      <c r="A52" s="68">
        <f>B52&amp;TEXT(C52,"0000")</f>
        <v/>
      </c>
      <c r="B52" s="68" t="n">
        <v>101</v>
      </c>
      <c r="C52" s="68" t="n">
        <v>49</v>
      </c>
      <c r="D52" s="68" t="inlineStr">
        <is>
          <t>HpRatio</t>
        </is>
      </c>
      <c r="E52" s="68">
        <f>ROUND(E$5*($C51^E$2*E$3), 0)</f>
        <v/>
      </c>
      <c r="F52" s="68" t="inlineStr">
        <is>
          <t>AtkRatio</t>
        </is>
      </c>
      <c r="G52" s="68">
        <f>ROUND(G$5*($C51^$E$2*$E$3), 0)</f>
        <v/>
      </c>
      <c r="H52" s="68" t="inlineStr">
        <is>
          <t>DefRatio</t>
        </is>
      </c>
      <c r="I52" s="68">
        <f>ROUND(I$5*($C51^$E$2*$E$3), 0)</f>
        <v/>
      </c>
    </row>
    <row r="53">
      <c r="A53" s="68">
        <f>B53&amp;TEXT(C53,"0000")</f>
        <v/>
      </c>
      <c r="B53" s="68" t="n">
        <v>101</v>
      </c>
      <c r="C53" s="68" t="n">
        <v>50</v>
      </c>
      <c r="D53" s="68" t="inlineStr">
        <is>
          <t>HpRatio</t>
        </is>
      </c>
      <c r="E53" s="68">
        <f>ROUND(E$5*($C52^E$2*E$3), 0)</f>
        <v/>
      </c>
      <c r="F53" s="68" t="inlineStr">
        <is>
          <t>AtkRatio</t>
        </is>
      </c>
      <c r="G53" s="68">
        <f>ROUND(G$5*($C52^$E$2*$E$3), 0)</f>
        <v/>
      </c>
      <c r="H53" s="68" t="inlineStr">
        <is>
          <t>DefRatio</t>
        </is>
      </c>
      <c r="I53" s="68">
        <f>ROUND(I$5*($C52^$E$2*$E$3), 0)</f>
        <v/>
      </c>
    </row>
    <row r="54">
      <c r="A54" s="68">
        <f>B54&amp;TEXT(C54,"0000")</f>
        <v/>
      </c>
      <c r="B54" s="68" t="n">
        <v>101</v>
      </c>
      <c r="C54" s="68" t="n">
        <v>51</v>
      </c>
      <c r="D54" s="68" t="inlineStr">
        <is>
          <t>HpRatio</t>
        </is>
      </c>
      <c r="E54" s="68">
        <f>ROUND(E$5*($C53^E$2*E$3), 0)</f>
        <v/>
      </c>
      <c r="F54" s="68" t="inlineStr">
        <is>
          <t>AtkRatio</t>
        </is>
      </c>
      <c r="G54" s="68">
        <f>ROUND(G$5*($C53^$E$2*$E$3), 0)</f>
        <v/>
      </c>
      <c r="H54" s="68" t="inlineStr">
        <is>
          <t>DefRatio</t>
        </is>
      </c>
      <c r="I54" s="68">
        <f>ROUND(I$5*($C53^$E$2*$E$3), 0)</f>
        <v/>
      </c>
    </row>
    <row r="55">
      <c r="A55" s="68">
        <f>B55&amp;TEXT(C55,"0000")</f>
        <v/>
      </c>
      <c r="B55" s="68" t="n">
        <v>101</v>
      </c>
      <c r="C55" s="68" t="n">
        <v>52</v>
      </c>
      <c r="D55" s="68" t="inlineStr">
        <is>
          <t>HpRatio</t>
        </is>
      </c>
      <c r="E55" s="68">
        <f>ROUND(E$5*($C54^E$2*E$3), 0)</f>
        <v/>
      </c>
      <c r="F55" s="68" t="inlineStr">
        <is>
          <t>AtkRatio</t>
        </is>
      </c>
      <c r="G55" s="68">
        <f>ROUND(G$5*($C54^$E$2*$E$3), 0)</f>
        <v/>
      </c>
      <c r="H55" s="68" t="inlineStr">
        <is>
          <t>DefRatio</t>
        </is>
      </c>
      <c r="I55" s="68">
        <f>ROUND(I$5*($C54^$E$2*$E$3), 0)</f>
        <v/>
      </c>
    </row>
    <row r="56">
      <c r="A56" s="68">
        <f>B56&amp;TEXT(C56,"0000")</f>
        <v/>
      </c>
      <c r="B56" s="68" t="n">
        <v>101</v>
      </c>
      <c r="C56" s="68" t="n">
        <v>53</v>
      </c>
      <c r="D56" s="68" t="inlineStr">
        <is>
          <t>HpRatio</t>
        </is>
      </c>
      <c r="E56" s="68">
        <f>ROUND(E$5*($C55^E$2*E$3), 0)</f>
        <v/>
      </c>
      <c r="F56" s="68" t="inlineStr">
        <is>
          <t>AtkRatio</t>
        </is>
      </c>
      <c r="G56" s="68">
        <f>ROUND(G$5*($C55^$E$2*$E$3), 0)</f>
        <v/>
      </c>
      <c r="H56" s="68" t="inlineStr">
        <is>
          <t>DefRatio</t>
        </is>
      </c>
      <c r="I56" s="68">
        <f>ROUND(I$5*($C55^$E$2*$E$3), 0)</f>
        <v/>
      </c>
    </row>
    <row r="57">
      <c r="A57" s="68">
        <f>B57&amp;TEXT(C57,"0000")</f>
        <v/>
      </c>
      <c r="B57" s="68" t="n">
        <v>101</v>
      </c>
      <c r="C57" s="68" t="n">
        <v>54</v>
      </c>
      <c r="D57" s="68" t="inlineStr">
        <is>
          <t>HpRatio</t>
        </is>
      </c>
      <c r="E57" s="68">
        <f>ROUND(E$5*($C56^E$2*E$3), 0)</f>
        <v/>
      </c>
      <c r="F57" s="68" t="inlineStr">
        <is>
          <t>AtkRatio</t>
        </is>
      </c>
      <c r="G57" s="68">
        <f>ROUND(G$5*($C56^$E$2*$E$3), 0)</f>
        <v/>
      </c>
      <c r="H57" s="68" t="inlineStr">
        <is>
          <t>DefRatio</t>
        </is>
      </c>
      <c r="I57" s="68">
        <f>ROUND(I$5*($C56^$E$2*$E$3), 0)</f>
        <v/>
      </c>
    </row>
    <row r="58">
      <c r="A58" s="68">
        <f>B58&amp;TEXT(C58,"0000")</f>
        <v/>
      </c>
      <c r="B58" s="68" t="n">
        <v>101</v>
      </c>
      <c r="C58" s="68" t="n">
        <v>55</v>
      </c>
      <c r="D58" s="68" t="inlineStr">
        <is>
          <t>HpRatio</t>
        </is>
      </c>
      <c r="E58" s="68">
        <f>ROUND(E$5*($C57^E$2*E$3), 0)</f>
        <v/>
      </c>
      <c r="F58" s="68" t="inlineStr">
        <is>
          <t>AtkRatio</t>
        </is>
      </c>
      <c r="G58" s="68">
        <f>ROUND(G$5*($C57^$E$2*$E$3), 0)</f>
        <v/>
      </c>
      <c r="H58" s="68" t="inlineStr">
        <is>
          <t>DefRatio</t>
        </is>
      </c>
      <c r="I58" s="68">
        <f>ROUND(I$5*($C57^$E$2*$E$3), 0)</f>
        <v/>
      </c>
    </row>
    <row r="59">
      <c r="A59" s="68">
        <f>B59&amp;TEXT(C59,"0000")</f>
        <v/>
      </c>
      <c r="B59" s="68" t="n">
        <v>101</v>
      </c>
      <c r="C59" s="68" t="n">
        <v>56</v>
      </c>
      <c r="D59" s="68" t="inlineStr">
        <is>
          <t>HpRatio</t>
        </is>
      </c>
      <c r="E59" s="68">
        <f>ROUND(E$5*($C58^E$2*E$3), 0)</f>
        <v/>
      </c>
      <c r="F59" s="68" t="inlineStr">
        <is>
          <t>AtkRatio</t>
        </is>
      </c>
      <c r="G59" s="68">
        <f>ROUND(G$5*($C58^$E$2*$E$3), 0)</f>
        <v/>
      </c>
      <c r="H59" s="68" t="inlineStr">
        <is>
          <t>DefRatio</t>
        </is>
      </c>
      <c r="I59" s="68">
        <f>ROUND(I$5*($C58^$E$2*$E$3), 0)</f>
        <v/>
      </c>
    </row>
    <row r="60">
      <c r="A60" s="68">
        <f>B60&amp;TEXT(C60,"0000")</f>
        <v/>
      </c>
      <c r="B60" s="68" t="n">
        <v>101</v>
      </c>
      <c r="C60" s="68" t="n">
        <v>57</v>
      </c>
      <c r="D60" s="68" t="inlineStr">
        <is>
          <t>HpRatio</t>
        </is>
      </c>
      <c r="E60" s="68">
        <f>ROUND(E$5*($C59^E$2*E$3), 0)</f>
        <v/>
      </c>
      <c r="F60" s="68" t="inlineStr">
        <is>
          <t>AtkRatio</t>
        </is>
      </c>
      <c r="G60" s="68">
        <f>ROUND(G$5*($C59^$E$2*$E$3), 0)</f>
        <v/>
      </c>
      <c r="H60" s="68" t="inlineStr">
        <is>
          <t>DefRatio</t>
        </is>
      </c>
      <c r="I60" s="68">
        <f>ROUND(I$5*($C59^$E$2*$E$3), 0)</f>
        <v/>
      </c>
    </row>
    <row r="61">
      <c r="A61" s="68">
        <f>B61&amp;TEXT(C61,"0000")</f>
        <v/>
      </c>
      <c r="B61" s="68" t="n">
        <v>101</v>
      </c>
      <c r="C61" s="68" t="n">
        <v>58</v>
      </c>
      <c r="D61" s="68" t="inlineStr">
        <is>
          <t>HpRatio</t>
        </is>
      </c>
      <c r="E61" s="68">
        <f>ROUND(E$5*($C60^E$2*E$3), 0)</f>
        <v/>
      </c>
      <c r="F61" s="68" t="inlineStr">
        <is>
          <t>AtkRatio</t>
        </is>
      </c>
      <c r="G61" s="68">
        <f>ROUND(G$5*($C60^$E$2*$E$3), 0)</f>
        <v/>
      </c>
      <c r="H61" s="68" t="inlineStr">
        <is>
          <t>DefRatio</t>
        </is>
      </c>
      <c r="I61" s="68">
        <f>ROUND(I$5*($C60^$E$2*$E$3), 0)</f>
        <v/>
      </c>
    </row>
    <row r="62">
      <c r="A62" s="68">
        <f>B62&amp;TEXT(C62,"0000")</f>
        <v/>
      </c>
      <c r="B62" s="68" t="n">
        <v>101</v>
      </c>
      <c r="C62" s="68" t="n">
        <v>59</v>
      </c>
      <c r="D62" s="68" t="inlineStr">
        <is>
          <t>HpRatio</t>
        </is>
      </c>
      <c r="E62" s="68">
        <f>ROUND(E$5*($C61^E$2*E$3), 0)</f>
        <v/>
      </c>
      <c r="F62" s="68" t="inlineStr">
        <is>
          <t>AtkRatio</t>
        </is>
      </c>
      <c r="G62" s="68">
        <f>ROUND(G$5*($C61^$E$2*$E$3), 0)</f>
        <v/>
      </c>
      <c r="H62" s="68" t="inlineStr">
        <is>
          <t>DefRatio</t>
        </is>
      </c>
      <c r="I62" s="68">
        <f>ROUND(I$5*($C61^$E$2*$E$3), 0)</f>
        <v/>
      </c>
    </row>
    <row r="63">
      <c r="A63" s="68">
        <f>B63&amp;TEXT(C63,"0000")</f>
        <v/>
      </c>
      <c r="B63" s="68" t="n">
        <v>101</v>
      </c>
      <c r="C63" s="68" t="n">
        <v>60</v>
      </c>
      <c r="D63" s="68" t="inlineStr">
        <is>
          <t>HpRatio</t>
        </is>
      </c>
      <c r="E63" s="68">
        <f>ROUND(E$5*($C62^E$2*E$3), 0)</f>
        <v/>
      </c>
      <c r="F63" s="68" t="inlineStr">
        <is>
          <t>AtkRatio</t>
        </is>
      </c>
      <c r="G63" s="68">
        <f>ROUND(G$5*($C62^$E$2*$E$3), 0)</f>
        <v/>
      </c>
      <c r="H63" s="68" t="inlineStr">
        <is>
          <t>DefRatio</t>
        </is>
      </c>
      <c r="I63" s="68">
        <f>ROUND(I$5*($C62^$E$2*$E$3), 0)</f>
        <v/>
      </c>
    </row>
    <row r="64">
      <c r="A64" s="68">
        <f>B64&amp;TEXT(C64,"0000")</f>
        <v/>
      </c>
      <c r="B64" s="68" t="n">
        <v>101</v>
      </c>
      <c r="C64" s="68" t="n">
        <v>61</v>
      </c>
      <c r="D64" s="68" t="inlineStr">
        <is>
          <t>HpRatio</t>
        </is>
      </c>
      <c r="E64" s="68">
        <f>ROUND(E$5*($C63^E$2*E$3), 0)</f>
        <v/>
      </c>
      <c r="F64" s="68" t="inlineStr">
        <is>
          <t>AtkRatio</t>
        </is>
      </c>
      <c r="G64" s="68">
        <f>ROUND(G$5*($C63^$E$2*$E$3), 0)</f>
        <v/>
      </c>
      <c r="H64" s="68" t="inlineStr">
        <is>
          <t>DefRatio</t>
        </is>
      </c>
      <c r="I64" s="68">
        <f>ROUND(I$5*($C63^$E$2*$E$3), 0)</f>
        <v/>
      </c>
    </row>
    <row r="65">
      <c r="A65" s="68">
        <f>B65&amp;TEXT(C65,"0000")</f>
        <v/>
      </c>
      <c r="B65" s="68" t="n">
        <v>101</v>
      </c>
      <c r="C65" s="68" t="n">
        <v>62</v>
      </c>
      <c r="D65" s="68" t="inlineStr">
        <is>
          <t>HpRatio</t>
        </is>
      </c>
      <c r="E65" s="68">
        <f>ROUND(E$5*($C64^E$2*E$3), 0)</f>
        <v/>
      </c>
      <c r="F65" s="68" t="inlineStr">
        <is>
          <t>AtkRatio</t>
        </is>
      </c>
      <c r="G65" s="68">
        <f>ROUND(G$5*($C64^$E$2*$E$3), 0)</f>
        <v/>
      </c>
      <c r="H65" s="68" t="inlineStr">
        <is>
          <t>DefRatio</t>
        </is>
      </c>
      <c r="I65" s="68">
        <f>ROUND(I$5*($C64^$E$2*$E$3), 0)</f>
        <v/>
      </c>
    </row>
    <row r="66">
      <c r="A66" s="68">
        <f>B66&amp;TEXT(C66,"0000")</f>
        <v/>
      </c>
      <c r="B66" s="68" t="n">
        <v>101</v>
      </c>
      <c r="C66" s="68" t="n">
        <v>63</v>
      </c>
      <c r="D66" s="68" t="inlineStr">
        <is>
          <t>HpRatio</t>
        </is>
      </c>
      <c r="E66" s="68">
        <f>ROUND(E$5*($C65^E$2*E$3), 0)</f>
        <v/>
      </c>
      <c r="F66" s="68" t="inlineStr">
        <is>
          <t>AtkRatio</t>
        </is>
      </c>
      <c r="G66" s="68">
        <f>ROUND(G$5*($C65^$E$2*$E$3), 0)</f>
        <v/>
      </c>
      <c r="H66" s="68" t="inlineStr">
        <is>
          <t>DefRatio</t>
        </is>
      </c>
      <c r="I66" s="68">
        <f>ROUND(I$5*($C65^$E$2*$E$3), 0)</f>
        <v/>
      </c>
    </row>
    <row r="67">
      <c r="A67" s="68">
        <f>B67&amp;TEXT(C67,"0000")</f>
        <v/>
      </c>
      <c r="B67" s="68" t="n">
        <v>101</v>
      </c>
      <c r="C67" s="68" t="n">
        <v>64</v>
      </c>
      <c r="D67" s="68" t="inlineStr">
        <is>
          <t>HpRatio</t>
        </is>
      </c>
      <c r="E67" s="68">
        <f>ROUND(E$5*($C66^E$2*E$3), 0)</f>
        <v/>
      </c>
      <c r="F67" s="68" t="inlineStr">
        <is>
          <t>AtkRatio</t>
        </is>
      </c>
      <c r="G67" s="68">
        <f>ROUND(G$5*($C66^$E$2*$E$3), 0)</f>
        <v/>
      </c>
      <c r="H67" s="68" t="inlineStr">
        <is>
          <t>DefRatio</t>
        </is>
      </c>
      <c r="I67" s="68">
        <f>ROUND(I$5*($C66^$E$2*$E$3), 0)</f>
        <v/>
      </c>
    </row>
    <row r="68">
      <c r="A68" s="68">
        <f>B68&amp;TEXT(C68,"0000")</f>
        <v/>
      </c>
      <c r="B68" s="68" t="n">
        <v>101</v>
      </c>
      <c r="C68" s="68" t="n">
        <v>65</v>
      </c>
      <c r="D68" s="68" t="inlineStr">
        <is>
          <t>HpRatio</t>
        </is>
      </c>
      <c r="E68" s="68">
        <f>ROUND(E$5*($C67^E$2*E$3), 0)</f>
        <v/>
      </c>
      <c r="F68" s="68" t="inlineStr">
        <is>
          <t>AtkRatio</t>
        </is>
      </c>
      <c r="G68" s="68">
        <f>ROUND(G$5*($C67^$E$2*$E$3), 0)</f>
        <v/>
      </c>
      <c r="H68" s="68" t="inlineStr">
        <is>
          <t>DefRatio</t>
        </is>
      </c>
      <c r="I68" s="68">
        <f>ROUND(I$5*($C67^$E$2*$E$3), 0)</f>
        <v/>
      </c>
    </row>
    <row r="69">
      <c r="A69" s="68">
        <f>B69&amp;TEXT(C69,"0000")</f>
        <v/>
      </c>
      <c r="B69" s="68" t="n">
        <v>101</v>
      </c>
      <c r="C69" s="68" t="n">
        <v>66</v>
      </c>
      <c r="D69" s="68" t="inlineStr">
        <is>
          <t>HpRatio</t>
        </is>
      </c>
      <c r="E69" s="68">
        <f>ROUND(E$5*($C68^E$2*E$3), 0)</f>
        <v/>
      </c>
      <c r="F69" s="68" t="inlineStr">
        <is>
          <t>AtkRatio</t>
        </is>
      </c>
      <c r="G69" s="68">
        <f>ROUND(G$5*($C68^$E$2*$E$3), 0)</f>
        <v/>
      </c>
      <c r="H69" s="68" t="inlineStr">
        <is>
          <t>DefRatio</t>
        </is>
      </c>
      <c r="I69" s="68">
        <f>ROUND(I$5*($C68^$E$2*$E$3), 0)</f>
        <v/>
      </c>
    </row>
    <row r="70">
      <c r="A70" s="68">
        <f>B70&amp;TEXT(C70,"0000")</f>
        <v/>
      </c>
      <c r="B70" s="68" t="n">
        <v>101</v>
      </c>
      <c r="C70" s="68" t="n">
        <v>67</v>
      </c>
      <c r="D70" s="68" t="inlineStr">
        <is>
          <t>HpRatio</t>
        </is>
      </c>
      <c r="E70" s="68">
        <f>ROUND(E$5*($C69^E$2*E$3), 0)</f>
        <v/>
      </c>
      <c r="F70" s="68" t="inlineStr">
        <is>
          <t>AtkRatio</t>
        </is>
      </c>
      <c r="G70" s="68">
        <f>ROUND(G$5*($C69^$E$2*$E$3), 0)</f>
        <v/>
      </c>
      <c r="H70" s="68" t="inlineStr">
        <is>
          <t>DefRatio</t>
        </is>
      </c>
      <c r="I70" s="68">
        <f>ROUND(I$5*($C69^$E$2*$E$3), 0)</f>
        <v/>
      </c>
    </row>
    <row r="71">
      <c r="A71" s="68">
        <f>B71&amp;TEXT(C71,"0000")</f>
        <v/>
      </c>
      <c r="B71" s="68" t="n">
        <v>101</v>
      </c>
      <c r="C71" s="68" t="n">
        <v>68</v>
      </c>
      <c r="D71" s="68" t="inlineStr">
        <is>
          <t>HpRatio</t>
        </is>
      </c>
      <c r="E71" s="68">
        <f>ROUND(E$5*($C70^E$2*E$3), 0)</f>
        <v/>
      </c>
      <c r="F71" s="68" t="inlineStr">
        <is>
          <t>AtkRatio</t>
        </is>
      </c>
      <c r="G71" s="68">
        <f>ROUND(G$5*($C70^$E$2*$E$3), 0)</f>
        <v/>
      </c>
      <c r="H71" s="68" t="inlineStr">
        <is>
          <t>DefRatio</t>
        </is>
      </c>
      <c r="I71" s="68">
        <f>ROUND(I$5*($C70^$E$2*$E$3), 0)</f>
        <v/>
      </c>
    </row>
    <row r="72">
      <c r="A72" s="68">
        <f>B72&amp;TEXT(C72,"0000")</f>
        <v/>
      </c>
      <c r="B72" s="68" t="n">
        <v>101</v>
      </c>
      <c r="C72" s="68" t="n">
        <v>69</v>
      </c>
      <c r="D72" s="68" t="inlineStr">
        <is>
          <t>HpRatio</t>
        </is>
      </c>
      <c r="E72" s="68">
        <f>ROUND(E$5*($C71^E$2*E$3), 0)</f>
        <v/>
      </c>
      <c r="F72" s="68" t="inlineStr">
        <is>
          <t>AtkRatio</t>
        </is>
      </c>
      <c r="G72" s="68">
        <f>ROUND(G$5*($C71^$E$2*$E$3), 0)</f>
        <v/>
      </c>
      <c r="H72" s="68" t="inlineStr">
        <is>
          <t>DefRatio</t>
        </is>
      </c>
      <c r="I72" s="68">
        <f>ROUND(I$5*($C71^$E$2*$E$3), 0)</f>
        <v/>
      </c>
    </row>
    <row r="73">
      <c r="A73" s="68">
        <f>B73&amp;TEXT(C73,"0000")</f>
        <v/>
      </c>
      <c r="B73" s="68" t="n">
        <v>101</v>
      </c>
      <c r="C73" s="68" t="n">
        <v>70</v>
      </c>
      <c r="D73" s="68" t="inlineStr">
        <is>
          <t>HpRatio</t>
        </is>
      </c>
      <c r="E73" s="68">
        <f>ROUND(E$5*($C72^E$2*E$3), 0)</f>
        <v/>
      </c>
      <c r="F73" s="68" t="inlineStr">
        <is>
          <t>AtkRatio</t>
        </is>
      </c>
      <c r="G73" s="68">
        <f>ROUND(G$5*($C72^$E$2*$E$3), 0)</f>
        <v/>
      </c>
      <c r="H73" s="68" t="inlineStr">
        <is>
          <t>DefRatio</t>
        </is>
      </c>
      <c r="I73" s="68">
        <f>ROUND(I$5*($C72^$E$2*$E$3), 0)</f>
        <v/>
      </c>
    </row>
    <row r="74">
      <c r="A74" s="68">
        <f>B74&amp;TEXT(C74,"0000")</f>
        <v/>
      </c>
      <c r="B74" s="68" t="n">
        <v>101</v>
      </c>
      <c r="C74" s="68" t="n">
        <v>71</v>
      </c>
      <c r="D74" s="68" t="inlineStr">
        <is>
          <t>HpRatio</t>
        </is>
      </c>
      <c r="E74" s="68">
        <f>ROUND(E$5*($C73^E$2*E$3), 0)</f>
        <v/>
      </c>
      <c r="F74" s="68" t="inlineStr">
        <is>
          <t>AtkRatio</t>
        </is>
      </c>
      <c r="G74" s="68">
        <f>ROUND(G$5*($C73^$E$2*$E$3), 0)</f>
        <v/>
      </c>
      <c r="H74" s="68" t="inlineStr">
        <is>
          <t>DefRatio</t>
        </is>
      </c>
      <c r="I74" s="68">
        <f>ROUND(I$5*($C73^$E$2*$E$3), 0)</f>
        <v/>
      </c>
    </row>
    <row r="75">
      <c r="A75" s="68">
        <f>B75&amp;TEXT(C75,"0000")</f>
        <v/>
      </c>
      <c r="B75" s="68" t="n">
        <v>101</v>
      </c>
      <c r="C75" s="68" t="n">
        <v>72</v>
      </c>
      <c r="D75" s="68" t="inlineStr">
        <is>
          <t>HpRatio</t>
        </is>
      </c>
      <c r="E75" s="68">
        <f>ROUND(E$5*($C74^E$2*E$3), 0)</f>
        <v/>
      </c>
      <c r="F75" s="68" t="inlineStr">
        <is>
          <t>AtkRatio</t>
        </is>
      </c>
      <c r="G75" s="68">
        <f>ROUND(G$5*($C74^$E$2*$E$3), 0)</f>
        <v/>
      </c>
      <c r="H75" s="68" t="inlineStr">
        <is>
          <t>DefRatio</t>
        </is>
      </c>
      <c r="I75" s="68">
        <f>ROUND(I$5*($C74^$E$2*$E$3), 0)</f>
        <v/>
      </c>
    </row>
    <row r="76">
      <c r="A76" s="68">
        <f>B76&amp;TEXT(C76,"0000")</f>
        <v/>
      </c>
      <c r="B76" s="68" t="n">
        <v>101</v>
      </c>
      <c r="C76" s="68" t="n">
        <v>73</v>
      </c>
      <c r="D76" s="68" t="inlineStr">
        <is>
          <t>HpRatio</t>
        </is>
      </c>
      <c r="E76" s="68">
        <f>ROUND(E$5*($C75^E$2*E$3), 0)</f>
        <v/>
      </c>
      <c r="F76" s="68" t="inlineStr">
        <is>
          <t>AtkRatio</t>
        </is>
      </c>
      <c r="G76" s="68">
        <f>ROUND(G$5*($C75^$E$2*$E$3), 0)</f>
        <v/>
      </c>
      <c r="H76" s="68" t="inlineStr">
        <is>
          <t>DefRatio</t>
        </is>
      </c>
      <c r="I76" s="68">
        <f>ROUND(I$5*($C75^$E$2*$E$3), 0)</f>
        <v/>
      </c>
    </row>
    <row r="77">
      <c r="A77" s="68">
        <f>B77&amp;TEXT(C77,"0000")</f>
        <v/>
      </c>
      <c r="B77" s="68" t="n">
        <v>101</v>
      </c>
      <c r="C77" s="68" t="n">
        <v>74</v>
      </c>
      <c r="D77" s="68" t="inlineStr">
        <is>
          <t>HpRatio</t>
        </is>
      </c>
      <c r="E77" s="68">
        <f>ROUND(E$5*($C76^E$2*E$3), 0)</f>
        <v/>
      </c>
      <c r="F77" s="68" t="inlineStr">
        <is>
          <t>AtkRatio</t>
        </is>
      </c>
      <c r="G77" s="68">
        <f>ROUND(G$5*($C76^$E$2*$E$3), 0)</f>
        <v/>
      </c>
      <c r="H77" s="68" t="inlineStr">
        <is>
          <t>DefRatio</t>
        </is>
      </c>
      <c r="I77" s="68">
        <f>ROUND(I$5*($C76^$E$2*$E$3), 0)</f>
        <v/>
      </c>
    </row>
    <row r="78">
      <c r="A78" s="68">
        <f>B78&amp;TEXT(C78,"0000")</f>
        <v/>
      </c>
      <c r="B78" s="68" t="n">
        <v>101</v>
      </c>
      <c r="C78" s="68" t="n">
        <v>75</v>
      </c>
      <c r="D78" s="68" t="inlineStr">
        <is>
          <t>HpRatio</t>
        </is>
      </c>
      <c r="E78" s="68">
        <f>ROUND(E$5*($C77^E$2*E$3), 0)</f>
        <v/>
      </c>
      <c r="F78" s="68" t="inlineStr">
        <is>
          <t>AtkRatio</t>
        </is>
      </c>
      <c r="G78" s="68">
        <f>ROUND(G$5*($C77^$E$2*$E$3), 0)</f>
        <v/>
      </c>
      <c r="H78" s="68" t="inlineStr">
        <is>
          <t>DefRatio</t>
        </is>
      </c>
      <c r="I78" s="68">
        <f>ROUND(I$5*($C77^$E$2*$E$3), 0)</f>
        <v/>
      </c>
    </row>
    <row r="79">
      <c r="A79" s="68">
        <f>B79&amp;TEXT(C79,"0000")</f>
        <v/>
      </c>
      <c r="B79" s="68" t="n">
        <v>101</v>
      </c>
      <c r="C79" s="68" t="n">
        <v>76</v>
      </c>
      <c r="D79" s="68" t="inlineStr">
        <is>
          <t>HpRatio</t>
        </is>
      </c>
      <c r="E79" s="68">
        <f>ROUND(E$5*($C78^E$2*E$3), 0)</f>
        <v/>
      </c>
      <c r="F79" s="68" t="inlineStr">
        <is>
          <t>AtkRatio</t>
        </is>
      </c>
      <c r="G79" s="68">
        <f>ROUND(G$5*($C78^$E$2*$E$3), 0)</f>
        <v/>
      </c>
      <c r="H79" s="68" t="inlineStr">
        <is>
          <t>DefRatio</t>
        </is>
      </c>
      <c r="I79" s="68">
        <f>ROUND(I$5*($C78^$E$2*$E$3), 0)</f>
        <v/>
      </c>
    </row>
    <row r="80">
      <c r="A80" s="68">
        <f>B80&amp;TEXT(C80,"0000")</f>
        <v/>
      </c>
      <c r="B80" s="68" t="n">
        <v>101</v>
      </c>
      <c r="C80" s="68" t="n">
        <v>77</v>
      </c>
      <c r="D80" s="68" t="inlineStr">
        <is>
          <t>HpRatio</t>
        </is>
      </c>
      <c r="E80" s="68">
        <f>ROUND(E$5*($C79^E$2*E$3), 0)</f>
        <v/>
      </c>
      <c r="F80" s="68" t="inlineStr">
        <is>
          <t>AtkRatio</t>
        </is>
      </c>
      <c r="G80" s="68">
        <f>ROUND(G$5*($C79^$E$2*$E$3), 0)</f>
        <v/>
      </c>
      <c r="H80" s="68" t="inlineStr">
        <is>
          <t>DefRatio</t>
        </is>
      </c>
      <c r="I80" s="68">
        <f>ROUND(I$5*($C79^$E$2*$E$3), 0)</f>
        <v/>
      </c>
    </row>
    <row r="81">
      <c r="A81" s="68">
        <f>B81&amp;TEXT(C81,"0000")</f>
        <v/>
      </c>
      <c r="B81" s="68" t="n">
        <v>101</v>
      </c>
      <c r="C81" s="68" t="n">
        <v>78</v>
      </c>
      <c r="D81" s="68" t="inlineStr">
        <is>
          <t>HpRatio</t>
        </is>
      </c>
      <c r="E81" s="68">
        <f>ROUND(E$5*($C80^E$2*E$3), 0)</f>
        <v/>
      </c>
      <c r="F81" s="68" t="inlineStr">
        <is>
          <t>AtkRatio</t>
        </is>
      </c>
      <c r="G81" s="68">
        <f>ROUND(G$5*($C80^$E$2*$E$3), 0)</f>
        <v/>
      </c>
      <c r="H81" s="68" t="inlineStr">
        <is>
          <t>DefRatio</t>
        </is>
      </c>
      <c r="I81" s="68">
        <f>ROUND(I$5*($C80^$E$2*$E$3), 0)</f>
        <v/>
      </c>
    </row>
    <row r="82">
      <c r="A82" s="68">
        <f>B82&amp;TEXT(C82,"0000")</f>
        <v/>
      </c>
      <c r="B82" s="68" t="n">
        <v>101</v>
      </c>
      <c r="C82" s="68" t="n">
        <v>79</v>
      </c>
      <c r="D82" s="68" t="inlineStr">
        <is>
          <t>HpRatio</t>
        </is>
      </c>
      <c r="E82" s="68">
        <f>ROUND(E$5*($C81^E$2*E$3), 0)</f>
        <v/>
      </c>
      <c r="F82" s="68" t="inlineStr">
        <is>
          <t>AtkRatio</t>
        </is>
      </c>
      <c r="G82" s="68">
        <f>ROUND(G$5*($C81^$E$2*$E$3), 0)</f>
        <v/>
      </c>
      <c r="H82" s="68" t="inlineStr">
        <is>
          <t>DefRatio</t>
        </is>
      </c>
      <c r="I82" s="68">
        <f>ROUND(I$5*($C81^$E$2*$E$3), 0)</f>
        <v/>
      </c>
    </row>
    <row r="83">
      <c r="A83" s="68">
        <f>B83&amp;TEXT(C83,"0000")</f>
        <v/>
      </c>
      <c r="B83" s="68" t="n">
        <v>101</v>
      </c>
      <c r="C83" s="68" t="n">
        <v>80</v>
      </c>
      <c r="D83" s="68" t="inlineStr">
        <is>
          <t>HpRatio</t>
        </is>
      </c>
      <c r="E83" s="68">
        <f>ROUND(E$5*($C82^E$2*E$3), 0)</f>
        <v/>
      </c>
      <c r="F83" s="68" t="inlineStr">
        <is>
          <t>AtkRatio</t>
        </is>
      </c>
      <c r="G83" s="68">
        <f>ROUND(G$5*($C82^$E$2*$E$3), 0)</f>
        <v/>
      </c>
      <c r="H83" s="68" t="inlineStr">
        <is>
          <t>DefRatio</t>
        </is>
      </c>
      <c r="I83" s="68">
        <f>ROUND(I$5*($C82^$E$2*$E$3), 0)</f>
        <v/>
      </c>
    </row>
    <row r="84">
      <c r="A84" s="68">
        <f>B84&amp;TEXT(C84,"0000")</f>
        <v/>
      </c>
      <c r="B84" s="68" t="n">
        <v>101</v>
      </c>
      <c r="C84" s="68" t="n">
        <v>81</v>
      </c>
      <c r="D84" s="68" t="inlineStr">
        <is>
          <t>HpRatio</t>
        </is>
      </c>
      <c r="E84" s="68">
        <f>ROUND(E$5*($C83^E$2*E$3), 0)</f>
        <v/>
      </c>
      <c r="F84" s="68" t="inlineStr">
        <is>
          <t>AtkRatio</t>
        </is>
      </c>
      <c r="G84" s="68">
        <f>ROUND(G$5*($C83^$E$2*$E$3), 0)</f>
        <v/>
      </c>
      <c r="H84" s="68" t="inlineStr">
        <is>
          <t>DefRatio</t>
        </is>
      </c>
      <c r="I84" s="68">
        <f>ROUND(I$5*($C83^$E$2*$E$3), 0)</f>
        <v/>
      </c>
    </row>
    <row r="85">
      <c r="A85" s="68">
        <f>B85&amp;TEXT(C85,"0000")</f>
        <v/>
      </c>
      <c r="B85" s="68" t="n">
        <v>101</v>
      </c>
      <c r="C85" s="68" t="n">
        <v>82</v>
      </c>
      <c r="D85" s="68" t="inlineStr">
        <is>
          <t>HpRatio</t>
        </is>
      </c>
      <c r="E85" s="68">
        <f>ROUND(E$5*($C84^E$2*E$3), 0)</f>
        <v/>
      </c>
      <c r="F85" s="68" t="inlineStr">
        <is>
          <t>AtkRatio</t>
        </is>
      </c>
      <c r="G85" s="68">
        <f>ROUND(G$5*($C84^$E$2*$E$3), 0)</f>
        <v/>
      </c>
      <c r="H85" s="68" t="inlineStr">
        <is>
          <t>DefRatio</t>
        </is>
      </c>
      <c r="I85" s="68">
        <f>ROUND(I$5*($C84^$E$2*$E$3), 0)</f>
        <v/>
      </c>
    </row>
    <row r="86">
      <c r="A86" s="68">
        <f>B86&amp;TEXT(C86,"0000")</f>
        <v/>
      </c>
      <c r="B86" s="68" t="n">
        <v>101</v>
      </c>
      <c r="C86" s="68" t="n">
        <v>83</v>
      </c>
      <c r="D86" s="68" t="inlineStr">
        <is>
          <t>HpRatio</t>
        </is>
      </c>
      <c r="E86" s="68">
        <f>ROUND(E$5*($C85^E$2*E$3), 0)</f>
        <v/>
      </c>
      <c r="F86" s="68" t="inlineStr">
        <is>
          <t>AtkRatio</t>
        </is>
      </c>
      <c r="G86" s="68">
        <f>ROUND(G$5*($C85^$E$2*$E$3), 0)</f>
        <v/>
      </c>
      <c r="H86" s="68" t="inlineStr">
        <is>
          <t>DefRatio</t>
        </is>
      </c>
      <c r="I86" s="68">
        <f>ROUND(I$5*($C85^$E$2*$E$3), 0)</f>
        <v/>
      </c>
    </row>
    <row r="87">
      <c r="A87" s="68">
        <f>B87&amp;TEXT(C87,"0000")</f>
        <v/>
      </c>
      <c r="B87" s="68" t="n">
        <v>101</v>
      </c>
      <c r="C87" s="68" t="n">
        <v>84</v>
      </c>
      <c r="D87" s="68" t="inlineStr">
        <is>
          <t>HpRatio</t>
        </is>
      </c>
      <c r="E87" s="68">
        <f>ROUND(E$5*($C86^E$2*E$3), 0)</f>
        <v/>
      </c>
      <c r="F87" s="68" t="inlineStr">
        <is>
          <t>AtkRatio</t>
        </is>
      </c>
      <c r="G87" s="68">
        <f>ROUND(G$5*($C86^$E$2*$E$3), 0)</f>
        <v/>
      </c>
      <c r="H87" s="68" t="inlineStr">
        <is>
          <t>DefRatio</t>
        </is>
      </c>
      <c r="I87" s="68">
        <f>ROUND(I$5*($C86^$E$2*$E$3), 0)</f>
        <v/>
      </c>
    </row>
    <row r="88">
      <c r="A88" s="68">
        <f>B88&amp;TEXT(C88,"0000")</f>
        <v/>
      </c>
      <c r="B88" s="68" t="n">
        <v>101</v>
      </c>
      <c r="C88" s="68" t="n">
        <v>85</v>
      </c>
      <c r="D88" s="68" t="inlineStr">
        <is>
          <t>HpRatio</t>
        </is>
      </c>
      <c r="E88" s="68">
        <f>ROUND(E$5*($C87^E$2*E$3), 0)</f>
        <v/>
      </c>
      <c r="F88" s="68" t="inlineStr">
        <is>
          <t>AtkRatio</t>
        </is>
      </c>
      <c r="G88" s="68">
        <f>ROUND(G$5*($C87^$E$2*$E$3), 0)</f>
        <v/>
      </c>
      <c r="H88" s="68" t="inlineStr">
        <is>
          <t>DefRatio</t>
        </is>
      </c>
      <c r="I88" s="68">
        <f>ROUND(I$5*($C87^$E$2*$E$3), 0)</f>
        <v/>
      </c>
    </row>
    <row r="89">
      <c r="A89" s="68">
        <f>B89&amp;TEXT(C89,"0000")</f>
        <v/>
      </c>
      <c r="B89" s="68" t="n">
        <v>101</v>
      </c>
      <c r="C89" s="68" t="n">
        <v>86</v>
      </c>
      <c r="D89" s="68" t="inlineStr">
        <is>
          <t>HpRatio</t>
        </is>
      </c>
      <c r="E89" s="68">
        <f>ROUND(E$5*($C88^E$2*E$3), 0)</f>
        <v/>
      </c>
      <c r="F89" s="68" t="inlineStr">
        <is>
          <t>AtkRatio</t>
        </is>
      </c>
      <c r="G89" s="68">
        <f>ROUND(G$5*($C88^$E$2*$E$3), 0)</f>
        <v/>
      </c>
      <c r="H89" s="68" t="inlineStr">
        <is>
          <t>DefRatio</t>
        </is>
      </c>
      <c r="I89" s="68">
        <f>ROUND(I$5*($C88^$E$2*$E$3), 0)</f>
        <v/>
      </c>
    </row>
    <row r="90">
      <c r="A90" s="68">
        <f>B90&amp;TEXT(C90,"0000")</f>
        <v/>
      </c>
      <c r="B90" s="68" t="n">
        <v>101</v>
      </c>
      <c r="C90" s="68" t="n">
        <v>87</v>
      </c>
      <c r="D90" s="68" t="inlineStr">
        <is>
          <t>HpRatio</t>
        </is>
      </c>
      <c r="E90" s="68">
        <f>ROUND(E$5*($C89^E$2*E$3), 0)</f>
        <v/>
      </c>
      <c r="F90" s="68" t="inlineStr">
        <is>
          <t>AtkRatio</t>
        </is>
      </c>
      <c r="G90" s="68">
        <f>ROUND(G$5*($C89^$E$2*$E$3), 0)</f>
        <v/>
      </c>
      <c r="H90" s="68" t="inlineStr">
        <is>
          <t>DefRatio</t>
        </is>
      </c>
      <c r="I90" s="68">
        <f>ROUND(I$5*($C89^$E$2*$E$3), 0)</f>
        <v/>
      </c>
    </row>
    <row r="91">
      <c r="A91" s="68">
        <f>B91&amp;TEXT(C91,"0000")</f>
        <v/>
      </c>
      <c r="B91" s="68" t="n">
        <v>101</v>
      </c>
      <c r="C91" s="68" t="n">
        <v>88</v>
      </c>
      <c r="D91" s="68" t="inlineStr">
        <is>
          <t>HpRatio</t>
        </is>
      </c>
      <c r="E91" s="68">
        <f>ROUND(E$5*($C90^E$2*E$3), 0)</f>
        <v/>
      </c>
      <c r="F91" s="68" t="inlineStr">
        <is>
          <t>AtkRatio</t>
        </is>
      </c>
      <c r="G91" s="68">
        <f>ROUND(G$5*($C90^$E$2*$E$3), 0)</f>
        <v/>
      </c>
      <c r="H91" s="68" t="inlineStr">
        <is>
          <t>DefRatio</t>
        </is>
      </c>
      <c r="I91" s="68">
        <f>ROUND(I$5*($C90^$E$2*$E$3), 0)</f>
        <v/>
      </c>
    </row>
    <row r="92">
      <c r="A92" s="68">
        <f>B92&amp;TEXT(C92,"0000")</f>
        <v/>
      </c>
      <c r="B92" s="68" t="n">
        <v>101</v>
      </c>
      <c r="C92" s="68" t="n">
        <v>89</v>
      </c>
      <c r="D92" s="68" t="inlineStr">
        <is>
          <t>HpRatio</t>
        </is>
      </c>
      <c r="E92" s="68">
        <f>ROUND(E$5*($C91^E$2*E$3), 0)</f>
        <v/>
      </c>
      <c r="F92" s="68" t="inlineStr">
        <is>
          <t>AtkRatio</t>
        </is>
      </c>
      <c r="G92" s="68">
        <f>ROUND(G$5*($C91^$E$2*$E$3), 0)</f>
        <v/>
      </c>
      <c r="H92" s="68" t="inlineStr">
        <is>
          <t>DefRatio</t>
        </is>
      </c>
      <c r="I92" s="68">
        <f>ROUND(I$5*($C91^$E$2*$E$3), 0)</f>
        <v/>
      </c>
    </row>
    <row r="93">
      <c r="A93" s="68">
        <f>B93&amp;TEXT(C93,"0000")</f>
        <v/>
      </c>
      <c r="B93" s="68" t="n">
        <v>101</v>
      </c>
      <c r="C93" s="68" t="n">
        <v>90</v>
      </c>
      <c r="D93" s="68" t="inlineStr">
        <is>
          <t>HpRatio</t>
        </is>
      </c>
      <c r="E93" s="68">
        <f>ROUND(E$5*($C92^E$2*E$3), 0)</f>
        <v/>
      </c>
      <c r="F93" s="68" t="inlineStr">
        <is>
          <t>AtkRatio</t>
        </is>
      </c>
      <c r="G93" s="68">
        <f>ROUND(G$5*($C92^$E$2*$E$3), 0)</f>
        <v/>
      </c>
      <c r="H93" s="68" t="inlineStr">
        <is>
          <t>DefRatio</t>
        </is>
      </c>
      <c r="I93" s="68">
        <f>ROUND(I$5*($C92^$E$2*$E$3), 0)</f>
        <v/>
      </c>
    </row>
    <row r="94">
      <c r="A94" s="68">
        <f>B94&amp;TEXT(C94,"0000")</f>
        <v/>
      </c>
      <c r="B94" s="68" t="n">
        <v>101</v>
      </c>
      <c r="C94" s="68" t="n">
        <v>91</v>
      </c>
      <c r="D94" s="68" t="inlineStr">
        <is>
          <t>HpRatio</t>
        </is>
      </c>
      <c r="E94" s="68">
        <f>ROUND(E$5*($C93^E$2*E$3), 0)</f>
        <v/>
      </c>
      <c r="F94" s="68" t="inlineStr">
        <is>
          <t>AtkRatio</t>
        </is>
      </c>
      <c r="G94" s="68">
        <f>ROUND(G$5*($C93^$E$2*$E$3), 0)</f>
        <v/>
      </c>
      <c r="H94" s="68" t="inlineStr">
        <is>
          <t>DefRatio</t>
        </is>
      </c>
      <c r="I94" s="68">
        <f>ROUND(I$5*($C93^$E$2*$E$3), 0)</f>
        <v/>
      </c>
    </row>
    <row r="95">
      <c r="A95" s="68">
        <f>B95&amp;TEXT(C95,"0000")</f>
        <v/>
      </c>
      <c r="B95" s="68" t="n">
        <v>101</v>
      </c>
      <c r="C95" s="68" t="n">
        <v>92</v>
      </c>
      <c r="D95" s="68" t="inlineStr">
        <is>
          <t>HpRatio</t>
        </is>
      </c>
      <c r="E95" s="68">
        <f>ROUND(E$5*($C94^E$2*E$3), 0)</f>
        <v/>
      </c>
      <c r="F95" s="68" t="inlineStr">
        <is>
          <t>AtkRatio</t>
        </is>
      </c>
      <c r="G95" s="68">
        <f>ROUND(G$5*($C94^$E$2*$E$3), 0)</f>
        <v/>
      </c>
      <c r="H95" s="68" t="inlineStr">
        <is>
          <t>DefRatio</t>
        </is>
      </c>
      <c r="I95" s="68">
        <f>ROUND(I$5*($C94^$E$2*$E$3), 0)</f>
        <v/>
      </c>
    </row>
    <row r="96">
      <c r="A96" s="68">
        <f>B96&amp;TEXT(C96,"0000")</f>
        <v/>
      </c>
      <c r="B96" s="68" t="n">
        <v>101</v>
      </c>
      <c r="C96" s="68" t="n">
        <v>93</v>
      </c>
      <c r="D96" s="68" t="inlineStr">
        <is>
          <t>HpRatio</t>
        </is>
      </c>
      <c r="E96" s="68">
        <f>ROUND(E$5*($C95^E$2*E$3), 0)</f>
        <v/>
      </c>
      <c r="F96" s="68" t="inlineStr">
        <is>
          <t>AtkRatio</t>
        </is>
      </c>
      <c r="G96" s="68">
        <f>ROUND(G$5*($C95^$E$2*$E$3), 0)</f>
        <v/>
      </c>
      <c r="H96" s="68" t="inlineStr">
        <is>
          <t>DefRatio</t>
        </is>
      </c>
      <c r="I96" s="68">
        <f>ROUND(I$5*($C95^$E$2*$E$3), 0)</f>
        <v/>
      </c>
    </row>
    <row r="97">
      <c r="A97" s="68">
        <f>B97&amp;TEXT(C97,"0000")</f>
        <v/>
      </c>
      <c r="B97" s="68" t="n">
        <v>101</v>
      </c>
      <c r="C97" s="68" t="n">
        <v>94</v>
      </c>
      <c r="D97" s="68" t="inlineStr">
        <is>
          <t>HpRatio</t>
        </is>
      </c>
      <c r="E97" s="68">
        <f>ROUND(E$5*($C96^E$2*E$3), 0)</f>
        <v/>
      </c>
      <c r="F97" s="68" t="inlineStr">
        <is>
          <t>AtkRatio</t>
        </is>
      </c>
      <c r="G97" s="68">
        <f>ROUND(G$5*($C96^$E$2*$E$3), 0)</f>
        <v/>
      </c>
      <c r="H97" s="68" t="inlineStr">
        <is>
          <t>DefRatio</t>
        </is>
      </c>
      <c r="I97" s="68">
        <f>ROUND(I$5*($C96^$E$2*$E$3), 0)</f>
        <v/>
      </c>
    </row>
    <row r="98">
      <c r="A98" s="68">
        <f>B98&amp;TEXT(C98,"0000")</f>
        <v/>
      </c>
      <c r="B98" s="68" t="n">
        <v>101</v>
      </c>
      <c r="C98" s="68" t="n">
        <v>95</v>
      </c>
      <c r="D98" s="68" t="inlineStr">
        <is>
          <t>HpRatio</t>
        </is>
      </c>
      <c r="E98" s="68">
        <f>ROUND(E$5*($C97^E$2*E$3), 0)</f>
        <v/>
      </c>
      <c r="F98" s="68" t="inlineStr">
        <is>
          <t>AtkRatio</t>
        </is>
      </c>
      <c r="G98" s="68">
        <f>ROUND(G$5*($C97^$E$2*$E$3), 0)</f>
        <v/>
      </c>
      <c r="H98" s="68" t="inlineStr">
        <is>
          <t>DefRatio</t>
        </is>
      </c>
      <c r="I98" s="68">
        <f>ROUND(I$5*($C97^$E$2*$E$3), 0)</f>
        <v/>
      </c>
    </row>
    <row r="99">
      <c r="A99" s="68">
        <f>B99&amp;TEXT(C99,"0000")</f>
        <v/>
      </c>
      <c r="B99" s="68" t="n">
        <v>101</v>
      </c>
      <c r="C99" s="68" t="n">
        <v>96</v>
      </c>
      <c r="D99" s="68" t="inlineStr">
        <is>
          <t>HpRatio</t>
        </is>
      </c>
      <c r="E99" s="68">
        <f>ROUND(E$5*($C98^E$2*E$3), 0)</f>
        <v/>
      </c>
      <c r="F99" s="68" t="inlineStr">
        <is>
          <t>AtkRatio</t>
        </is>
      </c>
      <c r="G99" s="68">
        <f>ROUND(G$5*($C98^$E$2*$E$3), 0)</f>
        <v/>
      </c>
      <c r="H99" s="68" t="inlineStr">
        <is>
          <t>DefRatio</t>
        </is>
      </c>
      <c r="I99" s="68">
        <f>ROUND(I$5*($C98^$E$2*$E$3), 0)</f>
        <v/>
      </c>
    </row>
    <row r="100">
      <c r="A100" s="68">
        <f>B100&amp;TEXT(C100,"0000")</f>
        <v/>
      </c>
      <c r="B100" s="68" t="n">
        <v>101</v>
      </c>
      <c r="C100" s="68" t="n">
        <v>97</v>
      </c>
      <c r="D100" s="68" t="inlineStr">
        <is>
          <t>HpRatio</t>
        </is>
      </c>
      <c r="E100" s="68">
        <f>ROUND(E$5*($C99^E$2*E$3), 0)</f>
        <v/>
      </c>
      <c r="F100" s="68" t="inlineStr">
        <is>
          <t>AtkRatio</t>
        </is>
      </c>
      <c r="G100" s="68">
        <f>ROUND(G$5*($C99^$E$2*$E$3), 0)</f>
        <v/>
      </c>
      <c r="H100" s="68" t="inlineStr">
        <is>
          <t>DefRatio</t>
        </is>
      </c>
      <c r="I100" s="68">
        <f>ROUND(I$5*($C99^$E$2*$E$3), 0)</f>
        <v/>
      </c>
    </row>
    <row r="101">
      <c r="A101" s="68">
        <f>B101&amp;TEXT(C101,"0000")</f>
        <v/>
      </c>
      <c r="B101" s="68" t="n">
        <v>101</v>
      </c>
      <c r="C101" s="68" t="n">
        <v>98</v>
      </c>
      <c r="D101" s="68" t="inlineStr">
        <is>
          <t>HpRatio</t>
        </is>
      </c>
      <c r="E101" s="68">
        <f>ROUND(E$5*($C100^E$2*E$3), 0)</f>
        <v/>
      </c>
      <c r="F101" s="68" t="inlineStr">
        <is>
          <t>AtkRatio</t>
        </is>
      </c>
      <c r="G101" s="68">
        <f>ROUND(G$5*($C100^$E$2*$E$3), 0)</f>
        <v/>
      </c>
      <c r="H101" s="68" t="inlineStr">
        <is>
          <t>DefRatio</t>
        </is>
      </c>
      <c r="I101" s="68">
        <f>ROUND(I$5*($C100^$E$2*$E$3), 0)</f>
        <v/>
      </c>
    </row>
    <row r="102">
      <c r="A102" s="68">
        <f>B102&amp;TEXT(C102,"0000")</f>
        <v/>
      </c>
      <c r="B102" s="68" t="n">
        <v>101</v>
      </c>
      <c r="C102" s="68" t="n">
        <v>99</v>
      </c>
      <c r="D102" s="68" t="inlineStr">
        <is>
          <t>HpRatio</t>
        </is>
      </c>
      <c r="E102" s="68">
        <f>ROUND(E$5*($C101^E$2*E$3), 0)</f>
        <v/>
      </c>
      <c r="F102" s="68" t="inlineStr">
        <is>
          <t>AtkRatio</t>
        </is>
      </c>
      <c r="G102" s="68">
        <f>ROUND(G$5*($C101^$E$2*$E$3), 0)</f>
        <v/>
      </c>
      <c r="H102" s="68" t="inlineStr">
        <is>
          <t>DefRatio</t>
        </is>
      </c>
      <c r="I102" s="68">
        <f>ROUND(I$5*($C101^$E$2*$E$3), 0)</f>
        <v/>
      </c>
    </row>
    <row r="103">
      <c r="A103" s="68">
        <f>B103&amp;TEXT(C103,"0000")</f>
        <v/>
      </c>
      <c r="B103" s="68" t="n">
        <v>101</v>
      </c>
      <c r="C103" s="68" t="n">
        <v>100</v>
      </c>
      <c r="D103" s="68" t="inlineStr">
        <is>
          <t>HpRatio</t>
        </is>
      </c>
      <c r="E103" s="68">
        <f>ROUND(E$5*($C102^E$2*E$3), 0)</f>
        <v/>
      </c>
      <c r="F103" s="68" t="inlineStr">
        <is>
          <t>AtkRatio</t>
        </is>
      </c>
      <c r="G103" s="68">
        <f>ROUND(G$5*($C102^$E$2*$E$3), 0)</f>
        <v/>
      </c>
      <c r="H103" s="68" t="inlineStr">
        <is>
          <t>DefRatio</t>
        </is>
      </c>
      <c r="I103" s="68">
        <f>ROUND(I$5*($C102^$E$2*$E$3), 0)</f>
        <v/>
      </c>
    </row>
    <row r="104">
      <c r="A104" s="68">
        <f>B104&amp;TEXT(C104,"0000")</f>
        <v/>
      </c>
      <c r="B104" s="68" t="n">
        <v>101</v>
      </c>
      <c r="C104" s="68" t="n">
        <v>101</v>
      </c>
      <c r="D104" s="68" t="inlineStr">
        <is>
          <t>HpRatio</t>
        </is>
      </c>
      <c r="E104" s="68">
        <f>ROUND(E$5*($C103^E$2*E$3), 0)</f>
        <v/>
      </c>
      <c r="F104" s="68" t="inlineStr">
        <is>
          <t>AtkRatio</t>
        </is>
      </c>
      <c r="G104" s="68">
        <f>ROUND(G$5*($C103^$E$2*$E$3), 0)</f>
        <v/>
      </c>
      <c r="H104" s="68" t="inlineStr">
        <is>
          <t>DefRatio</t>
        </is>
      </c>
      <c r="I104" s="68">
        <f>ROUND(I$5*($C103^$E$2*$E$3), 0)</f>
        <v/>
      </c>
    </row>
    <row r="105">
      <c r="A105" s="68">
        <f>B105&amp;TEXT(C105,"0000")</f>
        <v/>
      </c>
      <c r="B105" s="68" t="n">
        <v>101</v>
      </c>
      <c r="C105" s="68" t="n">
        <v>102</v>
      </c>
      <c r="D105" s="68" t="inlineStr">
        <is>
          <t>HpRatio</t>
        </is>
      </c>
      <c r="E105" s="68">
        <f>ROUND(E$5*($C104^E$2*E$3), 0)</f>
        <v/>
      </c>
      <c r="F105" s="68" t="inlineStr">
        <is>
          <t>AtkRatio</t>
        </is>
      </c>
      <c r="G105" s="68">
        <f>ROUND(G$5*($C104^$E$2*$E$3), 0)</f>
        <v/>
      </c>
      <c r="H105" s="68" t="inlineStr">
        <is>
          <t>DefRatio</t>
        </is>
      </c>
      <c r="I105" s="68">
        <f>ROUND(I$5*($C104^$E$2*$E$3), 0)</f>
        <v/>
      </c>
    </row>
    <row r="106">
      <c r="A106" s="68">
        <f>B106&amp;TEXT(C106,"0000")</f>
        <v/>
      </c>
      <c r="B106" s="68" t="n">
        <v>101</v>
      </c>
      <c r="C106" s="68" t="n">
        <v>103</v>
      </c>
      <c r="D106" s="68" t="inlineStr">
        <is>
          <t>HpRatio</t>
        </is>
      </c>
      <c r="E106" s="68">
        <f>ROUND(E$5*($C105^E$2*E$3), 0)</f>
        <v/>
      </c>
      <c r="F106" s="68" t="inlineStr">
        <is>
          <t>AtkRatio</t>
        </is>
      </c>
      <c r="G106" s="68">
        <f>ROUND(G$5*($C105^$E$2*$E$3), 0)</f>
        <v/>
      </c>
      <c r="H106" s="68" t="inlineStr">
        <is>
          <t>DefRatio</t>
        </is>
      </c>
      <c r="I106" s="68">
        <f>ROUND(I$5*($C105^$E$2*$E$3), 0)</f>
        <v/>
      </c>
    </row>
    <row r="107">
      <c r="A107" s="68">
        <f>B107&amp;TEXT(C107,"0000")</f>
        <v/>
      </c>
      <c r="B107" s="68" t="n">
        <v>101</v>
      </c>
      <c r="C107" s="68" t="n">
        <v>104</v>
      </c>
      <c r="D107" s="68" t="inlineStr">
        <is>
          <t>HpRatio</t>
        </is>
      </c>
      <c r="E107" s="68">
        <f>ROUND(E$5*($C106^E$2*E$3), 0)</f>
        <v/>
      </c>
      <c r="F107" s="68" t="inlineStr">
        <is>
          <t>AtkRatio</t>
        </is>
      </c>
      <c r="G107" s="68">
        <f>ROUND(G$5*($C106^$E$2*$E$3), 0)</f>
        <v/>
      </c>
      <c r="H107" s="68" t="inlineStr">
        <is>
          <t>DefRatio</t>
        </is>
      </c>
      <c r="I107" s="68">
        <f>ROUND(I$5*($C106^$E$2*$E$3), 0)</f>
        <v/>
      </c>
    </row>
    <row r="108">
      <c r="A108" s="68">
        <f>B108&amp;TEXT(C108,"0000")</f>
        <v/>
      </c>
      <c r="B108" s="68" t="n">
        <v>101</v>
      </c>
      <c r="C108" s="68" t="n">
        <v>105</v>
      </c>
      <c r="D108" s="68" t="inlineStr">
        <is>
          <t>HpRatio</t>
        </is>
      </c>
      <c r="E108" s="68">
        <f>ROUND(E$5*($C107^E$2*E$3), 0)</f>
        <v/>
      </c>
      <c r="F108" s="68" t="inlineStr">
        <is>
          <t>AtkRatio</t>
        </is>
      </c>
      <c r="G108" s="68">
        <f>ROUND(G$5*($C107^$E$2*$E$3), 0)</f>
        <v/>
      </c>
      <c r="H108" s="68" t="inlineStr">
        <is>
          <t>DefRatio</t>
        </is>
      </c>
      <c r="I108" s="68">
        <f>ROUND(I$5*($C107^$E$2*$E$3), 0)</f>
        <v/>
      </c>
    </row>
    <row r="109">
      <c r="A109" s="68">
        <f>B109&amp;TEXT(C109,"0000")</f>
        <v/>
      </c>
      <c r="B109" s="68" t="n">
        <v>101</v>
      </c>
      <c r="C109" s="68" t="n">
        <v>106</v>
      </c>
      <c r="D109" s="68" t="inlineStr">
        <is>
          <t>HpRatio</t>
        </is>
      </c>
      <c r="E109" s="68">
        <f>ROUND(E$5*($C108^E$2*E$3), 0)</f>
        <v/>
      </c>
      <c r="F109" s="68" t="inlineStr">
        <is>
          <t>AtkRatio</t>
        </is>
      </c>
      <c r="G109" s="68">
        <f>ROUND(G$5*($C108^$E$2*$E$3), 0)</f>
        <v/>
      </c>
      <c r="H109" s="68" t="inlineStr">
        <is>
          <t>DefRatio</t>
        </is>
      </c>
      <c r="I109" s="68">
        <f>ROUND(I$5*($C108^$E$2*$E$3), 0)</f>
        <v/>
      </c>
    </row>
    <row r="110">
      <c r="A110" s="68">
        <f>B110&amp;TEXT(C110,"0000")</f>
        <v/>
      </c>
      <c r="B110" s="68" t="n">
        <v>101</v>
      </c>
      <c r="C110" s="68" t="n">
        <v>107</v>
      </c>
      <c r="D110" s="68" t="inlineStr">
        <is>
          <t>HpRatio</t>
        </is>
      </c>
      <c r="E110" s="68">
        <f>ROUND(E$5*($C109^E$2*E$3), 0)</f>
        <v/>
      </c>
      <c r="F110" s="68" t="inlineStr">
        <is>
          <t>AtkRatio</t>
        </is>
      </c>
      <c r="G110" s="68">
        <f>ROUND(G$5*($C109^$E$2*$E$3), 0)</f>
        <v/>
      </c>
      <c r="H110" s="68" t="inlineStr">
        <is>
          <t>DefRatio</t>
        </is>
      </c>
      <c r="I110" s="68">
        <f>ROUND(I$5*($C109^$E$2*$E$3), 0)</f>
        <v/>
      </c>
    </row>
    <row r="111">
      <c r="A111" s="68">
        <f>B111&amp;TEXT(C111,"0000")</f>
        <v/>
      </c>
      <c r="B111" s="68" t="n">
        <v>101</v>
      </c>
      <c r="C111" s="68" t="n">
        <v>108</v>
      </c>
      <c r="D111" s="68" t="inlineStr">
        <is>
          <t>HpRatio</t>
        </is>
      </c>
      <c r="E111" s="68">
        <f>ROUND(E$5*($C110^E$2*E$3), 0)</f>
        <v/>
      </c>
      <c r="F111" s="68" t="inlineStr">
        <is>
          <t>AtkRatio</t>
        </is>
      </c>
      <c r="G111" s="68">
        <f>ROUND(G$5*($C110^$E$2*$E$3), 0)</f>
        <v/>
      </c>
      <c r="H111" s="68" t="inlineStr">
        <is>
          <t>DefRatio</t>
        </is>
      </c>
      <c r="I111" s="68">
        <f>ROUND(I$5*($C110^$E$2*$E$3), 0)</f>
        <v/>
      </c>
    </row>
    <row r="112">
      <c r="A112" s="68">
        <f>B112&amp;TEXT(C112,"0000")</f>
        <v/>
      </c>
      <c r="B112" s="68" t="n">
        <v>101</v>
      </c>
      <c r="C112" s="68" t="n">
        <v>109</v>
      </c>
      <c r="D112" s="68" t="inlineStr">
        <is>
          <t>HpRatio</t>
        </is>
      </c>
      <c r="E112" s="68">
        <f>ROUND(E$5*($C111^E$2*E$3), 0)</f>
        <v/>
      </c>
      <c r="F112" s="68" t="inlineStr">
        <is>
          <t>AtkRatio</t>
        </is>
      </c>
      <c r="G112" s="68">
        <f>ROUND(G$5*($C111^$E$2*$E$3), 0)</f>
        <v/>
      </c>
      <c r="H112" s="68" t="inlineStr">
        <is>
          <t>DefRatio</t>
        </is>
      </c>
      <c r="I112" s="68">
        <f>ROUND(I$5*($C111^$E$2*$E$3), 0)</f>
        <v/>
      </c>
    </row>
    <row r="113">
      <c r="A113" s="68">
        <f>B113&amp;TEXT(C113,"0000")</f>
        <v/>
      </c>
      <c r="B113" s="68" t="n">
        <v>101</v>
      </c>
      <c r="C113" s="68" t="n">
        <v>110</v>
      </c>
      <c r="D113" s="68" t="inlineStr">
        <is>
          <t>HpRatio</t>
        </is>
      </c>
      <c r="E113" s="68">
        <f>ROUND(E$5*($C112^E$2*E$3), 0)</f>
        <v/>
      </c>
      <c r="F113" s="68" t="inlineStr">
        <is>
          <t>AtkRatio</t>
        </is>
      </c>
      <c r="G113" s="68">
        <f>ROUND(G$5*($C112^$E$2*$E$3), 0)</f>
        <v/>
      </c>
      <c r="H113" s="68" t="inlineStr">
        <is>
          <t>DefRatio</t>
        </is>
      </c>
      <c r="I113" s="68">
        <f>ROUND(I$5*($C112^$E$2*$E$3), 0)</f>
        <v/>
      </c>
    </row>
    <row r="114">
      <c r="A114" s="68">
        <f>B114&amp;TEXT(C114,"0000")</f>
        <v/>
      </c>
      <c r="B114" s="68" t="n">
        <v>101</v>
      </c>
      <c r="C114" s="68" t="n">
        <v>111</v>
      </c>
      <c r="D114" s="68" t="inlineStr">
        <is>
          <t>HpRatio</t>
        </is>
      </c>
      <c r="E114" s="68">
        <f>ROUND(E$5*($C113^E$2*E$3), 0)</f>
        <v/>
      </c>
      <c r="F114" s="68" t="inlineStr">
        <is>
          <t>AtkRatio</t>
        </is>
      </c>
      <c r="G114" s="68">
        <f>ROUND(G$5*($C113^$E$2*$E$3), 0)</f>
        <v/>
      </c>
      <c r="H114" s="68" t="inlineStr">
        <is>
          <t>DefRatio</t>
        </is>
      </c>
      <c r="I114" s="68">
        <f>ROUND(I$5*($C113^$E$2*$E$3), 0)</f>
        <v/>
      </c>
    </row>
    <row r="115">
      <c r="A115" s="68">
        <f>B115&amp;TEXT(C115,"0000")</f>
        <v/>
      </c>
      <c r="B115" s="68" t="n">
        <v>101</v>
      </c>
      <c r="C115" s="68" t="n">
        <v>112</v>
      </c>
      <c r="D115" s="68" t="inlineStr">
        <is>
          <t>HpRatio</t>
        </is>
      </c>
      <c r="E115" s="68">
        <f>ROUND(E$5*($C114^E$2*E$3), 0)</f>
        <v/>
      </c>
      <c r="F115" s="68" t="inlineStr">
        <is>
          <t>AtkRatio</t>
        </is>
      </c>
      <c r="G115" s="68">
        <f>ROUND(G$5*($C114^$E$2*$E$3), 0)</f>
        <v/>
      </c>
      <c r="H115" s="68" t="inlineStr">
        <is>
          <t>DefRatio</t>
        </is>
      </c>
      <c r="I115" s="68">
        <f>ROUND(I$5*($C114^$E$2*$E$3), 0)</f>
        <v/>
      </c>
    </row>
    <row r="116">
      <c r="A116" s="68">
        <f>B116&amp;TEXT(C116,"0000")</f>
        <v/>
      </c>
      <c r="B116" s="68" t="n">
        <v>101</v>
      </c>
      <c r="C116" s="68" t="n">
        <v>113</v>
      </c>
      <c r="D116" s="68" t="inlineStr">
        <is>
          <t>HpRatio</t>
        </is>
      </c>
      <c r="E116" s="68">
        <f>ROUND(E$5*($C115^E$2*E$3), 0)</f>
        <v/>
      </c>
      <c r="F116" s="68" t="inlineStr">
        <is>
          <t>AtkRatio</t>
        </is>
      </c>
      <c r="G116" s="68">
        <f>ROUND(G$5*($C115^$E$2*$E$3), 0)</f>
        <v/>
      </c>
      <c r="H116" s="68" t="inlineStr">
        <is>
          <t>DefRatio</t>
        </is>
      </c>
      <c r="I116" s="68">
        <f>ROUND(I$5*($C115^$E$2*$E$3), 0)</f>
        <v/>
      </c>
    </row>
    <row r="117">
      <c r="A117" s="68">
        <f>B117&amp;TEXT(C117,"0000")</f>
        <v/>
      </c>
      <c r="B117" s="68" t="n">
        <v>101</v>
      </c>
      <c r="C117" s="68" t="n">
        <v>114</v>
      </c>
      <c r="D117" s="68" t="inlineStr">
        <is>
          <t>HpRatio</t>
        </is>
      </c>
      <c r="E117" s="68">
        <f>ROUND(E$5*($C116^E$2*E$3), 0)</f>
        <v/>
      </c>
      <c r="F117" s="68" t="inlineStr">
        <is>
          <t>AtkRatio</t>
        </is>
      </c>
      <c r="G117" s="68">
        <f>ROUND(G$5*($C116^$E$2*$E$3), 0)</f>
        <v/>
      </c>
      <c r="H117" s="68" t="inlineStr">
        <is>
          <t>DefRatio</t>
        </is>
      </c>
      <c r="I117" s="68">
        <f>ROUND(I$5*($C116^$E$2*$E$3), 0)</f>
        <v/>
      </c>
    </row>
    <row r="118">
      <c r="A118" s="68">
        <f>B118&amp;TEXT(C118,"0000")</f>
        <v/>
      </c>
      <c r="B118" s="68" t="n">
        <v>101</v>
      </c>
      <c r="C118" s="68" t="n">
        <v>115</v>
      </c>
      <c r="D118" s="68" t="inlineStr">
        <is>
          <t>HpRatio</t>
        </is>
      </c>
      <c r="E118" s="68">
        <f>ROUND(E$5*($C117^E$2*E$3), 0)</f>
        <v/>
      </c>
      <c r="F118" s="68" t="inlineStr">
        <is>
          <t>AtkRatio</t>
        </is>
      </c>
      <c r="G118" s="68">
        <f>ROUND(G$5*($C117^$E$2*$E$3), 0)</f>
        <v/>
      </c>
      <c r="H118" s="68" t="inlineStr">
        <is>
          <t>DefRatio</t>
        </is>
      </c>
      <c r="I118" s="68">
        <f>ROUND(I$5*($C117^$E$2*$E$3), 0)</f>
        <v/>
      </c>
    </row>
    <row r="119">
      <c r="A119" s="68">
        <f>B119&amp;TEXT(C119,"0000")</f>
        <v/>
      </c>
      <c r="B119" s="68" t="n">
        <v>101</v>
      </c>
      <c r="C119" s="68" t="n">
        <v>116</v>
      </c>
      <c r="D119" s="68" t="inlineStr">
        <is>
          <t>HpRatio</t>
        </is>
      </c>
      <c r="E119" s="68">
        <f>ROUND(E$5*($C118^E$2*E$3), 0)</f>
        <v/>
      </c>
      <c r="F119" s="68" t="inlineStr">
        <is>
          <t>AtkRatio</t>
        </is>
      </c>
      <c r="G119" s="68">
        <f>ROUND(G$5*($C118^$E$2*$E$3), 0)</f>
        <v/>
      </c>
      <c r="H119" s="68" t="inlineStr">
        <is>
          <t>DefRatio</t>
        </is>
      </c>
      <c r="I119" s="68">
        <f>ROUND(I$5*($C118^$E$2*$E$3), 0)</f>
        <v/>
      </c>
    </row>
    <row r="120">
      <c r="A120" s="68">
        <f>B120&amp;TEXT(C120,"0000")</f>
        <v/>
      </c>
      <c r="B120" s="68" t="n">
        <v>101</v>
      </c>
      <c r="C120" s="68" t="n">
        <v>117</v>
      </c>
      <c r="D120" s="68" t="inlineStr">
        <is>
          <t>HpRatio</t>
        </is>
      </c>
      <c r="E120" s="68">
        <f>ROUND(E$5*($C119^E$2*E$3), 0)</f>
        <v/>
      </c>
      <c r="F120" s="68" t="inlineStr">
        <is>
          <t>AtkRatio</t>
        </is>
      </c>
      <c r="G120" s="68">
        <f>ROUND(G$5*($C119^$E$2*$E$3), 0)</f>
        <v/>
      </c>
      <c r="H120" s="68" t="inlineStr">
        <is>
          <t>DefRatio</t>
        </is>
      </c>
      <c r="I120" s="68">
        <f>ROUND(I$5*($C119^$E$2*$E$3), 0)</f>
        <v/>
      </c>
    </row>
    <row r="121">
      <c r="A121" s="68">
        <f>B121&amp;TEXT(C121,"0000")</f>
        <v/>
      </c>
      <c r="B121" s="68" t="n">
        <v>101</v>
      </c>
      <c r="C121" s="68" t="n">
        <v>118</v>
      </c>
      <c r="D121" s="68" t="inlineStr">
        <is>
          <t>HpRatio</t>
        </is>
      </c>
      <c r="E121" s="68">
        <f>ROUND(E$5*($C120^E$2*E$3), 0)</f>
        <v/>
      </c>
      <c r="F121" s="68" t="inlineStr">
        <is>
          <t>AtkRatio</t>
        </is>
      </c>
      <c r="G121" s="68">
        <f>ROUND(G$5*($C120^$E$2*$E$3), 0)</f>
        <v/>
      </c>
      <c r="H121" s="68" t="inlineStr">
        <is>
          <t>DefRatio</t>
        </is>
      </c>
      <c r="I121" s="68">
        <f>ROUND(I$5*($C120^$E$2*$E$3), 0)</f>
        <v/>
      </c>
    </row>
    <row r="122">
      <c r="A122" s="68">
        <f>B122&amp;TEXT(C122,"0000")</f>
        <v/>
      </c>
      <c r="B122" s="68" t="n">
        <v>101</v>
      </c>
      <c r="C122" s="68" t="n">
        <v>119</v>
      </c>
      <c r="D122" s="68" t="inlineStr">
        <is>
          <t>HpRatio</t>
        </is>
      </c>
      <c r="E122" s="68">
        <f>ROUND(E$5*($C121^E$2*E$3), 0)</f>
        <v/>
      </c>
      <c r="F122" s="68" t="inlineStr">
        <is>
          <t>AtkRatio</t>
        </is>
      </c>
      <c r="G122" s="68">
        <f>ROUND(G$5*($C121^$E$2*$E$3), 0)</f>
        <v/>
      </c>
      <c r="H122" s="68" t="inlineStr">
        <is>
          <t>DefRatio</t>
        </is>
      </c>
      <c r="I122" s="68">
        <f>ROUND(I$5*($C121^$E$2*$E$3), 0)</f>
        <v/>
      </c>
    </row>
    <row r="123">
      <c r="A123" s="68">
        <f>B123&amp;TEXT(C123,"0000")</f>
        <v/>
      </c>
      <c r="B123" s="68" t="n">
        <v>101</v>
      </c>
      <c r="C123" s="68" t="n">
        <v>120</v>
      </c>
      <c r="D123" s="68" t="inlineStr">
        <is>
          <t>HpRatio</t>
        </is>
      </c>
      <c r="E123" s="68">
        <f>ROUND(E$5*($C122^E$2*E$3), 0)</f>
        <v/>
      </c>
      <c r="F123" s="68" t="inlineStr">
        <is>
          <t>AtkRatio</t>
        </is>
      </c>
      <c r="G123" s="68">
        <f>ROUND(G$5*($C122^$E$2*$E$3), 0)</f>
        <v/>
      </c>
      <c r="H123" s="68" t="inlineStr">
        <is>
          <t>DefRatio</t>
        </is>
      </c>
      <c r="I123" s="68">
        <f>ROUND(I$5*($C122^$E$2*$E$3), 0)</f>
        <v/>
      </c>
    </row>
    <row r="124">
      <c r="A124" s="68">
        <f>B124&amp;TEXT(C124,"0000")</f>
        <v/>
      </c>
      <c r="B124" s="68" t="n">
        <v>101</v>
      </c>
      <c r="C124" s="68" t="n">
        <v>121</v>
      </c>
      <c r="D124" s="68" t="inlineStr">
        <is>
          <t>HpRatio</t>
        </is>
      </c>
      <c r="E124" s="68">
        <f>ROUND(E$5*($C123^E$2*E$3), 0)</f>
        <v/>
      </c>
      <c r="F124" s="68" t="inlineStr">
        <is>
          <t>AtkRatio</t>
        </is>
      </c>
      <c r="G124" s="68">
        <f>ROUND(G$5*($C123^$E$2*$E$3), 0)</f>
        <v/>
      </c>
      <c r="H124" s="68" t="inlineStr">
        <is>
          <t>DefRatio</t>
        </is>
      </c>
      <c r="I124" s="68">
        <f>ROUND(I$5*($C123^$E$2*$E$3), 0)</f>
        <v/>
      </c>
    </row>
    <row r="125">
      <c r="A125" s="68">
        <f>B125&amp;TEXT(C125,"0000")</f>
        <v/>
      </c>
      <c r="B125" s="68" t="n">
        <v>101</v>
      </c>
      <c r="C125" s="68" t="n">
        <v>122</v>
      </c>
      <c r="D125" s="68" t="inlineStr">
        <is>
          <t>HpRatio</t>
        </is>
      </c>
      <c r="E125" s="68">
        <f>ROUND(E$5*($C124^E$2*E$3), 0)</f>
        <v/>
      </c>
      <c r="F125" s="68" t="inlineStr">
        <is>
          <t>AtkRatio</t>
        </is>
      </c>
      <c r="G125" s="68">
        <f>ROUND(G$5*($C124^$E$2*$E$3), 0)</f>
        <v/>
      </c>
      <c r="H125" s="68" t="inlineStr">
        <is>
          <t>DefRatio</t>
        </is>
      </c>
      <c r="I125" s="68">
        <f>ROUND(I$5*($C124^$E$2*$E$3), 0)</f>
        <v/>
      </c>
    </row>
    <row r="126">
      <c r="A126" s="68">
        <f>B126&amp;TEXT(C126,"0000")</f>
        <v/>
      </c>
      <c r="B126" s="68" t="n">
        <v>101</v>
      </c>
      <c r="C126" s="68" t="n">
        <v>123</v>
      </c>
      <c r="D126" s="68" t="inlineStr">
        <is>
          <t>HpRatio</t>
        </is>
      </c>
      <c r="E126" s="68">
        <f>ROUND(E$5*($C125^E$2*E$3), 0)</f>
        <v/>
      </c>
      <c r="F126" s="68" t="inlineStr">
        <is>
          <t>AtkRatio</t>
        </is>
      </c>
      <c r="G126" s="68">
        <f>ROUND(G$5*($C125^$E$2*$E$3), 0)</f>
        <v/>
      </c>
      <c r="H126" s="68" t="inlineStr">
        <is>
          <t>DefRatio</t>
        </is>
      </c>
      <c r="I126" s="68">
        <f>ROUND(I$5*($C125^$E$2*$E$3), 0)</f>
        <v/>
      </c>
    </row>
    <row r="127">
      <c r="A127" s="68">
        <f>B127&amp;TEXT(C127,"0000")</f>
        <v/>
      </c>
      <c r="B127" s="68" t="n">
        <v>101</v>
      </c>
      <c r="C127" s="68" t="n">
        <v>124</v>
      </c>
      <c r="D127" s="68" t="inlineStr">
        <is>
          <t>HpRatio</t>
        </is>
      </c>
      <c r="E127" s="68">
        <f>ROUND(E$5*($C126^E$2*E$3), 0)</f>
        <v/>
      </c>
      <c r="F127" s="68" t="inlineStr">
        <is>
          <t>AtkRatio</t>
        </is>
      </c>
      <c r="G127" s="68">
        <f>ROUND(G$5*($C126^$E$2*$E$3), 0)</f>
        <v/>
      </c>
      <c r="H127" s="68" t="inlineStr">
        <is>
          <t>DefRatio</t>
        </is>
      </c>
      <c r="I127" s="68">
        <f>ROUND(I$5*($C126^$E$2*$E$3), 0)</f>
        <v/>
      </c>
    </row>
    <row r="128">
      <c r="A128" s="68">
        <f>B128&amp;TEXT(C128,"0000")</f>
        <v/>
      </c>
      <c r="B128" s="68" t="n">
        <v>101</v>
      </c>
      <c r="C128" s="68" t="n">
        <v>125</v>
      </c>
      <c r="D128" s="68" t="inlineStr">
        <is>
          <t>HpRatio</t>
        </is>
      </c>
      <c r="E128" s="68">
        <f>ROUND(E$5*($C127^E$2*E$3), 0)</f>
        <v/>
      </c>
      <c r="F128" s="68" t="inlineStr">
        <is>
          <t>AtkRatio</t>
        </is>
      </c>
      <c r="G128" s="68">
        <f>ROUND(G$5*($C127^$E$2*$E$3), 0)</f>
        <v/>
      </c>
      <c r="H128" s="68" t="inlineStr">
        <is>
          <t>DefRatio</t>
        </is>
      </c>
      <c r="I128" s="68">
        <f>ROUND(I$5*($C127^$E$2*$E$3), 0)</f>
        <v/>
      </c>
    </row>
    <row r="129">
      <c r="A129" s="68">
        <f>B129&amp;TEXT(C129,"0000")</f>
        <v/>
      </c>
      <c r="B129" s="68" t="n">
        <v>101</v>
      </c>
      <c r="C129" s="68" t="n">
        <v>126</v>
      </c>
      <c r="D129" s="68" t="inlineStr">
        <is>
          <t>HpRatio</t>
        </is>
      </c>
      <c r="E129" s="68">
        <f>ROUND(E$5*($C128^E$2*E$3), 0)</f>
        <v/>
      </c>
      <c r="F129" s="68" t="inlineStr">
        <is>
          <t>AtkRatio</t>
        </is>
      </c>
      <c r="G129" s="68">
        <f>ROUND(G$5*($C128^$E$2*$E$3), 0)</f>
        <v/>
      </c>
      <c r="H129" s="68" t="inlineStr">
        <is>
          <t>DefRatio</t>
        </is>
      </c>
      <c r="I129" s="68">
        <f>ROUND(I$5*($C128^$E$2*$E$3), 0)</f>
        <v/>
      </c>
    </row>
    <row r="130">
      <c r="A130" s="68">
        <f>B130&amp;TEXT(C130,"0000")</f>
        <v/>
      </c>
      <c r="B130" s="68" t="n">
        <v>101</v>
      </c>
      <c r="C130" s="68" t="n">
        <v>127</v>
      </c>
      <c r="D130" s="68" t="inlineStr">
        <is>
          <t>HpRatio</t>
        </is>
      </c>
      <c r="E130" s="68">
        <f>ROUND(E$5*($C129^E$2*E$3), 0)</f>
        <v/>
      </c>
      <c r="F130" s="68" t="inlineStr">
        <is>
          <t>AtkRatio</t>
        </is>
      </c>
      <c r="G130" s="68">
        <f>ROUND(G$5*($C129^$E$2*$E$3), 0)</f>
        <v/>
      </c>
      <c r="H130" s="68" t="inlineStr">
        <is>
          <t>DefRatio</t>
        </is>
      </c>
      <c r="I130" s="68">
        <f>ROUND(I$5*($C129^$E$2*$E$3), 0)</f>
        <v/>
      </c>
    </row>
    <row r="131">
      <c r="A131" s="68">
        <f>B131&amp;TEXT(C131,"0000")</f>
        <v/>
      </c>
      <c r="B131" s="68" t="n">
        <v>101</v>
      </c>
      <c r="C131" s="68" t="n">
        <v>128</v>
      </c>
      <c r="D131" s="68" t="inlineStr">
        <is>
          <t>HpRatio</t>
        </is>
      </c>
      <c r="E131" s="68">
        <f>ROUND(E$5*($C130^E$2*E$3), 0)</f>
        <v/>
      </c>
      <c r="F131" s="68" t="inlineStr">
        <is>
          <t>AtkRatio</t>
        </is>
      </c>
      <c r="G131" s="68">
        <f>ROUND(G$5*($C130^$E$2*$E$3), 0)</f>
        <v/>
      </c>
      <c r="H131" s="68" t="inlineStr">
        <is>
          <t>DefRatio</t>
        </is>
      </c>
      <c r="I131" s="68">
        <f>ROUND(I$5*($C130^$E$2*$E$3), 0)</f>
        <v/>
      </c>
    </row>
    <row r="132">
      <c r="A132" s="68">
        <f>B132&amp;TEXT(C132,"0000")</f>
        <v/>
      </c>
      <c r="B132" s="68" t="n">
        <v>101</v>
      </c>
      <c r="C132" s="68" t="n">
        <v>129</v>
      </c>
      <c r="D132" s="68" t="inlineStr">
        <is>
          <t>HpRatio</t>
        </is>
      </c>
      <c r="E132" s="68">
        <f>ROUND(E$5*($C131^E$2*E$3), 0)</f>
        <v/>
      </c>
      <c r="F132" s="68" t="inlineStr">
        <is>
          <t>AtkRatio</t>
        </is>
      </c>
      <c r="G132" s="68">
        <f>ROUND(G$5*($C131^$E$2*$E$3), 0)</f>
        <v/>
      </c>
      <c r="H132" s="68" t="inlineStr">
        <is>
          <t>DefRatio</t>
        </is>
      </c>
      <c r="I132" s="68">
        <f>ROUND(I$5*($C131^$E$2*$E$3), 0)</f>
        <v/>
      </c>
    </row>
    <row r="133">
      <c r="A133" s="68">
        <f>B133&amp;TEXT(C133,"0000")</f>
        <v/>
      </c>
      <c r="B133" s="68" t="n">
        <v>101</v>
      </c>
      <c r="C133" s="68" t="n">
        <v>130</v>
      </c>
      <c r="D133" s="68" t="inlineStr">
        <is>
          <t>HpRatio</t>
        </is>
      </c>
      <c r="E133" s="68">
        <f>ROUND(E$5*($C132^E$2*E$3), 0)</f>
        <v/>
      </c>
      <c r="F133" s="68" t="inlineStr">
        <is>
          <t>AtkRatio</t>
        </is>
      </c>
      <c r="G133" s="68">
        <f>ROUND(G$5*($C132^$E$2*$E$3), 0)</f>
        <v/>
      </c>
      <c r="H133" s="68" t="inlineStr">
        <is>
          <t>DefRatio</t>
        </is>
      </c>
      <c r="I133" s="68">
        <f>ROUND(I$5*($C132^$E$2*$E$3), 0)</f>
        <v/>
      </c>
    </row>
    <row r="134">
      <c r="A134" s="68">
        <f>B134&amp;TEXT(C134,"0000")</f>
        <v/>
      </c>
      <c r="B134" s="68" t="n">
        <v>101</v>
      </c>
      <c r="C134" s="68" t="n">
        <v>131</v>
      </c>
      <c r="D134" s="68" t="inlineStr">
        <is>
          <t>HpRatio</t>
        </is>
      </c>
      <c r="E134" s="68">
        <f>ROUND(E$5*($C133^E$2*E$3), 0)</f>
        <v/>
      </c>
      <c r="F134" s="68" t="inlineStr">
        <is>
          <t>AtkRatio</t>
        </is>
      </c>
      <c r="G134" s="68">
        <f>ROUND(G$5*($C133^$E$2*$E$3), 0)</f>
        <v/>
      </c>
      <c r="H134" s="68" t="inlineStr">
        <is>
          <t>DefRatio</t>
        </is>
      </c>
      <c r="I134" s="68">
        <f>ROUND(I$5*($C133^$E$2*$E$3), 0)</f>
        <v/>
      </c>
    </row>
    <row r="135">
      <c r="A135" s="68">
        <f>B135&amp;TEXT(C135,"0000")</f>
        <v/>
      </c>
      <c r="B135" s="68" t="n">
        <v>101</v>
      </c>
      <c r="C135" s="68" t="n">
        <v>132</v>
      </c>
      <c r="D135" s="68" t="inlineStr">
        <is>
          <t>HpRatio</t>
        </is>
      </c>
      <c r="E135" s="68">
        <f>ROUND(E$5*($C134^E$2*E$3), 0)</f>
        <v/>
      </c>
      <c r="F135" s="68" t="inlineStr">
        <is>
          <t>AtkRatio</t>
        </is>
      </c>
      <c r="G135" s="68">
        <f>ROUND(G$5*($C134^$E$2*$E$3), 0)</f>
        <v/>
      </c>
      <c r="H135" s="68" t="inlineStr">
        <is>
          <t>DefRatio</t>
        </is>
      </c>
      <c r="I135" s="68">
        <f>ROUND(I$5*($C134^$E$2*$E$3), 0)</f>
        <v/>
      </c>
    </row>
    <row r="136">
      <c r="A136" s="68">
        <f>B136&amp;TEXT(C136,"0000")</f>
        <v/>
      </c>
      <c r="B136" s="68" t="n">
        <v>101</v>
      </c>
      <c r="C136" s="68" t="n">
        <v>133</v>
      </c>
      <c r="D136" s="68" t="inlineStr">
        <is>
          <t>HpRatio</t>
        </is>
      </c>
      <c r="E136" s="68">
        <f>ROUND(E$5*($C135^E$2*E$3), 0)</f>
        <v/>
      </c>
      <c r="F136" s="68" t="inlineStr">
        <is>
          <t>AtkRatio</t>
        </is>
      </c>
      <c r="G136" s="68">
        <f>ROUND(G$5*($C135^$E$2*$E$3), 0)</f>
        <v/>
      </c>
      <c r="H136" s="68" t="inlineStr">
        <is>
          <t>DefRatio</t>
        </is>
      </c>
      <c r="I136" s="68">
        <f>ROUND(I$5*($C135^$E$2*$E$3), 0)</f>
        <v/>
      </c>
    </row>
    <row r="137">
      <c r="A137" s="68">
        <f>B137&amp;TEXT(C137,"0000")</f>
        <v/>
      </c>
      <c r="B137" s="68" t="n">
        <v>101</v>
      </c>
      <c r="C137" s="68" t="n">
        <v>134</v>
      </c>
      <c r="D137" s="68" t="inlineStr">
        <is>
          <t>HpRatio</t>
        </is>
      </c>
      <c r="E137" s="68">
        <f>ROUND(E$5*($C136^E$2*E$3), 0)</f>
        <v/>
      </c>
      <c r="F137" s="68" t="inlineStr">
        <is>
          <t>AtkRatio</t>
        </is>
      </c>
      <c r="G137" s="68">
        <f>ROUND(G$5*($C136^$E$2*$E$3), 0)</f>
        <v/>
      </c>
      <c r="H137" s="68" t="inlineStr">
        <is>
          <t>DefRatio</t>
        </is>
      </c>
      <c r="I137" s="68">
        <f>ROUND(I$5*($C136^$E$2*$E$3), 0)</f>
        <v/>
      </c>
    </row>
    <row r="138">
      <c r="A138" s="68">
        <f>B138&amp;TEXT(C138,"0000")</f>
        <v/>
      </c>
      <c r="B138" s="68" t="n">
        <v>101</v>
      </c>
      <c r="C138" s="68" t="n">
        <v>135</v>
      </c>
      <c r="D138" s="68" t="inlineStr">
        <is>
          <t>HpRatio</t>
        </is>
      </c>
      <c r="E138" s="68">
        <f>ROUND(E$5*($C137^E$2*E$3), 0)</f>
        <v/>
      </c>
      <c r="F138" s="68" t="inlineStr">
        <is>
          <t>AtkRatio</t>
        </is>
      </c>
      <c r="G138" s="68">
        <f>ROUND(G$5*($C137^$E$2*$E$3), 0)</f>
        <v/>
      </c>
      <c r="H138" s="68" t="inlineStr">
        <is>
          <t>DefRatio</t>
        </is>
      </c>
      <c r="I138" s="68">
        <f>ROUND(I$5*($C137^$E$2*$E$3), 0)</f>
        <v/>
      </c>
    </row>
    <row r="139">
      <c r="A139" s="68">
        <f>B139&amp;TEXT(C139,"0000")</f>
        <v/>
      </c>
      <c r="B139" s="68" t="n">
        <v>101</v>
      </c>
      <c r="C139" s="68" t="n">
        <v>136</v>
      </c>
      <c r="D139" s="68" t="inlineStr">
        <is>
          <t>HpRatio</t>
        </is>
      </c>
      <c r="E139" s="68">
        <f>ROUND(E$5*($C138^E$2*E$3), 0)</f>
        <v/>
      </c>
      <c r="F139" s="68" t="inlineStr">
        <is>
          <t>AtkRatio</t>
        </is>
      </c>
      <c r="G139" s="68">
        <f>ROUND(G$5*($C138^$E$2*$E$3), 0)</f>
        <v/>
      </c>
      <c r="H139" s="68" t="inlineStr">
        <is>
          <t>DefRatio</t>
        </is>
      </c>
      <c r="I139" s="68">
        <f>ROUND(I$5*($C138^$E$2*$E$3), 0)</f>
        <v/>
      </c>
    </row>
    <row r="140">
      <c r="A140" s="68">
        <f>B140&amp;TEXT(C140,"0000")</f>
        <v/>
      </c>
      <c r="B140" s="68" t="n">
        <v>101</v>
      </c>
      <c r="C140" s="68" t="n">
        <v>137</v>
      </c>
      <c r="D140" s="68" t="inlineStr">
        <is>
          <t>HpRatio</t>
        </is>
      </c>
      <c r="E140" s="68">
        <f>ROUND(E$5*($C139^E$2*E$3), 0)</f>
        <v/>
      </c>
      <c r="F140" s="68" t="inlineStr">
        <is>
          <t>AtkRatio</t>
        </is>
      </c>
      <c r="G140" s="68">
        <f>ROUND(G$5*($C139^$E$2*$E$3), 0)</f>
        <v/>
      </c>
      <c r="H140" s="68" t="inlineStr">
        <is>
          <t>DefRatio</t>
        </is>
      </c>
      <c r="I140" s="68">
        <f>ROUND(I$5*($C139^$E$2*$E$3), 0)</f>
        <v/>
      </c>
    </row>
    <row r="141">
      <c r="A141" s="68">
        <f>B141&amp;TEXT(C141,"0000")</f>
        <v/>
      </c>
      <c r="B141" s="68" t="n">
        <v>101</v>
      </c>
      <c r="C141" s="68" t="n">
        <v>138</v>
      </c>
      <c r="D141" s="68" t="inlineStr">
        <is>
          <t>HpRatio</t>
        </is>
      </c>
      <c r="E141" s="68">
        <f>ROUND(E$5*($C140^E$2*E$3), 0)</f>
        <v/>
      </c>
      <c r="F141" s="68" t="inlineStr">
        <is>
          <t>AtkRatio</t>
        </is>
      </c>
      <c r="G141" s="68">
        <f>ROUND(G$5*($C140^$E$2*$E$3), 0)</f>
        <v/>
      </c>
      <c r="H141" s="68" t="inlineStr">
        <is>
          <t>DefRatio</t>
        </is>
      </c>
      <c r="I141" s="68">
        <f>ROUND(I$5*($C140^$E$2*$E$3), 0)</f>
        <v/>
      </c>
    </row>
    <row r="142">
      <c r="A142" s="68">
        <f>B142&amp;TEXT(C142,"0000")</f>
        <v/>
      </c>
      <c r="B142" s="68" t="n">
        <v>101</v>
      </c>
      <c r="C142" s="68" t="n">
        <v>139</v>
      </c>
      <c r="D142" s="68" t="inlineStr">
        <is>
          <t>HpRatio</t>
        </is>
      </c>
      <c r="E142" s="68">
        <f>ROUND(E$5*($C141^E$2*E$3), 0)</f>
        <v/>
      </c>
      <c r="F142" s="68" t="inlineStr">
        <is>
          <t>AtkRatio</t>
        </is>
      </c>
      <c r="G142" s="68">
        <f>ROUND(G$5*($C141^$E$2*$E$3), 0)</f>
        <v/>
      </c>
      <c r="H142" s="68" t="inlineStr">
        <is>
          <t>DefRatio</t>
        </is>
      </c>
      <c r="I142" s="68">
        <f>ROUND(I$5*($C141^$E$2*$E$3), 0)</f>
        <v/>
      </c>
    </row>
    <row r="143">
      <c r="A143" s="68">
        <f>B143&amp;TEXT(C143,"0000")</f>
        <v/>
      </c>
      <c r="B143" s="68" t="n">
        <v>101</v>
      </c>
      <c r="C143" s="68" t="n">
        <v>140</v>
      </c>
      <c r="D143" s="68" t="inlineStr">
        <is>
          <t>HpRatio</t>
        </is>
      </c>
      <c r="E143" s="68">
        <f>ROUND(E$5*($C142^E$2*E$3), 0)</f>
        <v/>
      </c>
      <c r="F143" s="68" t="inlineStr">
        <is>
          <t>AtkRatio</t>
        </is>
      </c>
      <c r="G143" s="68">
        <f>ROUND(G$5*($C142^$E$2*$E$3), 0)</f>
        <v/>
      </c>
      <c r="H143" s="68" t="inlineStr">
        <is>
          <t>DefRatio</t>
        </is>
      </c>
      <c r="I143" s="68">
        <f>ROUND(I$5*($C142^$E$2*$E$3), 0)</f>
        <v/>
      </c>
    </row>
    <row r="144">
      <c r="A144" s="68">
        <f>B144&amp;TEXT(C144,"0000")</f>
        <v/>
      </c>
      <c r="B144" s="68" t="n">
        <v>101</v>
      </c>
      <c r="C144" s="68" t="n">
        <v>141</v>
      </c>
      <c r="D144" s="68" t="inlineStr">
        <is>
          <t>HpRatio</t>
        </is>
      </c>
      <c r="E144" s="68">
        <f>ROUND(E$5*($C143^E$2*E$3), 0)</f>
        <v/>
      </c>
      <c r="F144" s="68" t="inlineStr">
        <is>
          <t>AtkRatio</t>
        </is>
      </c>
      <c r="G144" s="68">
        <f>ROUND(G$5*($C143^$E$2*$E$3), 0)</f>
        <v/>
      </c>
      <c r="H144" s="68" t="inlineStr">
        <is>
          <t>DefRatio</t>
        </is>
      </c>
      <c r="I144" s="68">
        <f>ROUND(I$5*($C143^$E$2*$E$3), 0)</f>
        <v/>
      </c>
    </row>
    <row r="145">
      <c r="A145" s="68">
        <f>B145&amp;TEXT(C145,"0000")</f>
        <v/>
      </c>
      <c r="B145" s="68" t="n">
        <v>101</v>
      </c>
      <c r="C145" s="68" t="n">
        <v>142</v>
      </c>
      <c r="D145" s="68" t="inlineStr">
        <is>
          <t>HpRatio</t>
        </is>
      </c>
      <c r="E145" s="68">
        <f>ROUND(E$5*($C144^E$2*E$3), 0)</f>
        <v/>
      </c>
      <c r="F145" s="68" t="inlineStr">
        <is>
          <t>AtkRatio</t>
        </is>
      </c>
      <c r="G145" s="68">
        <f>ROUND(G$5*($C144^$E$2*$E$3), 0)</f>
        <v/>
      </c>
      <c r="H145" s="68" t="inlineStr">
        <is>
          <t>DefRatio</t>
        </is>
      </c>
      <c r="I145" s="68">
        <f>ROUND(I$5*($C144^$E$2*$E$3), 0)</f>
        <v/>
      </c>
    </row>
    <row r="146">
      <c r="A146" s="68">
        <f>B146&amp;TEXT(C146,"0000")</f>
        <v/>
      </c>
      <c r="B146" s="68" t="n">
        <v>101</v>
      </c>
      <c r="C146" s="68" t="n">
        <v>143</v>
      </c>
      <c r="D146" s="68" t="inlineStr">
        <is>
          <t>HpRatio</t>
        </is>
      </c>
      <c r="E146" s="68">
        <f>ROUND(E$5*($C145^E$2*E$3), 0)</f>
        <v/>
      </c>
      <c r="F146" s="68" t="inlineStr">
        <is>
          <t>AtkRatio</t>
        </is>
      </c>
      <c r="G146" s="68">
        <f>ROUND(G$5*($C145^$E$2*$E$3), 0)</f>
        <v/>
      </c>
      <c r="H146" s="68" t="inlineStr">
        <is>
          <t>DefRatio</t>
        </is>
      </c>
      <c r="I146" s="68">
        <f>ROUND(I$5*($C145^$E$2*$E$3), 0)</f>
        <v/>
      </c>
    </row>
    <row r="147">
      <c r="A147" s="68">
        <f>B147&amp;TEXT(C147,"0000")</f>
        <v/>
      </c>
      <c r="B147" s="68" t="n">
        <v>101</v>
      </c>
      <c r="C147" s="68" t="n">
        <v>144</v>
      </c>
      <c r="D147" s="68" t="inlineStr">
        <is>
          <t>HpRatio</t>
        </is>
      </c>
      <c r="E147" s="68">
        <f>ROUND(E$5*($C146^E$2*E$3), 0)</f>
        <v/>
      </c>
      <c r="F147" s="68" t="inlineStr">
        <is>
          <t>AtkRatio</t>
        </is>
      </c>
      <c r="G147" s="68">
        <f>ROUND(G$5*($C146^$E$2*$E$3), 0)</f>
        <v/>
      </c>
      <c r="H147" s="68" t="inlineStr">
        <is>
          <t>DefRatio</t>
        </is>
      </c>
      <c r="I147" s="68">
        <f>ROUND(I$5*($C146^$E$2*$E$3), 0)</f>
        <v/>
      </c>
    </row>
    <row r="148">
      <c r="A148" s="68">
        <f>B148&amp;TEXT(C148,"0000")</f>
        <v/>
      </c>
      <c r="B148" s="68" t="n">
        <v>101</v>
      </c>
      <c r="C148" s="68" t="n">
        <v>145</v>
      </c>
      <c r="D148" s="68" t="inlineStr">
        <is>
          <t>HpRatio</t>
        </is>
      </c>
      <c r="E148" s="68">
        <f>ROUND(E$5*($C147^E$2*E$3), 0)</f>
        <v/>
      </c>
      <c r="F148" s="68" t="inlineStr">
        <is>
          <t>AtkRatio</t>
        </is>
      </c>
      <c r="G148" s="68">
        <f>ROUND(G$5*($C147^$E$2*$E$3), 0)</f>
        <v/>
      </c>
      <c r="H148" s="68" t="inlineStr">
        <is>
          <t>DefRatio</t>
        </is>
      </c>
      <c r="I148" s="68">
        <f>ROUND(I$5*($C147^$E$2*$E$3), 0)</f>
        <v/>
      </c>
    </row>
    <row r="149">
      <c r="A149" s="68">
        <f>B149&amp;TEXT(C149,"0000")</f>
        <v/>
      </c>
      <c r="B149" s="68" t="n">
        <v>101</v>
      </c>
      <c r="C149" s="68" t="n">
        <v>146</v>
      </c>
      <c r="D149" s="68" t="inlineStr">
        <is>
          <t>HpRatio</t>
        </is>
      </c>
      <c r="E149" s="68">
        <f>ROUND(E$5*($C148^E$2*E$3), 0)</f>
        <v/>
      </c>
      <c r="F149" s="68" t="inlineStr">
        <is>
          <t>AtkRatio</t>
        </is>
      </c>
      <c r="G149" s="68">
        <f>ROUND(G$5*($C148^$E$2*$E$3), 0)</f>
        <v/>
      </c>
      <c r="H149" s="68" t="inlineStr">
        <is>
          <t>DefRatio</t>
        </is>
      </c>
      <c r="I149" s="68">
        <f>ROUND(I$5*($C148^$E$2*$E$3), 0)</f>
        <v/>
      </c>
    </row>
    <row r="150">
      <c r="A150" s="68">
        <f>B150&amp;TEXT(C150,"0000")</f>
        <v/>
      </c>
      <c r="B150" s="68" t="n">
        <v>101</v>
      </c>
      <c r="C150" s="68" t="n">
        <v>147</v>
      </c>
      <c r="D150" s="68" t="inlineStr">
        <is>
          <t>HpRatio</t>
        </is>
      </c>
      <c r="E150" s="68">
        <f>ROUND(E$5*($C149^E$2*E$3), 0)</f>
        <v/>
      </c>
      <c r="F150" s="68" t="inlineStr">
        <is>
          <t>AtkRatio</t>
        </is>
      </c>
      <c r="G150" s="68">
        <f>ROUND(G$5*($C149^$E$2*$E$3), 0)</f>
        <v/>
      </c>
      <c r="H150" s="68" t="inlineStr">
        <is>
          <t>DefRatio</t>
        </is>
      </c>
      <c r="I150" s="68">
        <f>ROUND(I$5*($C149^$E$2*$E$3), 0)</f>
        <v/>
      </c>
    </row>
    <row r="151">
      <c r="A151" s="68">
        <f>B151&amp;TEXT(C151,"0000")</f>
        <v/>
      </c>
      <c r="B151" s="68" t="n">
        <v>101</v>
      </c>
      <c r="C151" s="68" t="n">
        <v>148</v>
      </c>
      <c r="D151" s="68" t="inlineStr">
        <is>
          <t>HpRatio</t>
        </is>
      </c>
      <c r="E151" s="68">
        <f>ROUND(E$5*($C150^E$2*E$3), 0)</f>
        <v/>
      </c>
      <c r="F151" s="68" t="inlineStr">
        <is>
          <t>AtkRatio</t>
        </is>
      </c>
      <c r="G151" s="68">
        <f>ROUND(G$5*($C150^$E$2*$E$3), 0)</f>
        <v/>
      </c>
      <c r="H151" s="68" t="inlineStr">
        <is>
          <t>DefRatio</t>
        </is>
      </c>
      <c r="I151" s="68">
        <f>ROUND(I$5*($C150^$E$2*$E$3), 0)</f>
        <v/>
      </c>
    </row>
    <row r="152">
      <c r="A152" s="68">
        <f>B152&amp;TEXT(C152,"0000")</f>
        <v/>
      </c>
      <c r="B152" s="68" t="n">
        <v>101</v>
      </c>
      <c r="C152" s="68" t="n">
        <v>149</v>
      </c>
      <c r="D152" s="68" t="inlineStr">
        <is>
          <t>HpRatio</t>
        </is>
      </c>
      <c r="E152" s="68">
        <f>ROUND(E$5*($C151^E$2*E$3), 0)</f>
        <v/>
      </c>
      <c r="F152" s="68" t="inlineStr">
        <is>
          <t>AtkRatio</t>
        </is>
      </c>
      <c r="G152" s="68">
        <f>ROUND(G$5*($C151^$E$2*$E$3), 0)</f>
        <v/>
      </c>
      <c r="H152" s="68" t="inlineStr">
        <is>
          <t>DefRatio</t>
        </is>
      </c>
      <c r="I152" s="68">
        <f>ROUND(I$5*($C151^$E$2*$E$3), 0)</f>
        <v/>
      </c>
    </row>
    <row r="153">
      <c r="A153" s="68">
        <f>B153&amp;TEXT(C153,"0000")</f>
        <v/>
      </c>
      <c r="B153" s="68" t="n">
        <v>101</v>
      </c>
      <c r="C153" s="68" t="n">
        <v>150</v>
      </c>
      <c r="D153" s="68" t="inlineStr">
        <is>
          <t>HpRatio</t>
        </is>
      </c>
      <c r="E153" s="68">
        <f>ROUND(E$5*($C152^E$2*E$3), 0)</f>
        <v/>
      </c>
      <c r="F153" s="68" t="inlineStr">
        <is>
          <t>AtkRatio</t>
        </is>
      </c>
      <c r="G153" s="68">
        <f>ROUND(G$5*($C152^$E$2*$E$3), 0)</f>
        <v/>
      </c>
      <c r="H153" s="68" t="inlineStr">
        <is>
          <t>DefRatio</t>
        </is>
      </c>
      <c r="I153" s="68">
        <f>ROUND(I$5*($C152^$E$2*$E$3), 0)</f>
        <v/>
      </c>
    </row>
    <row r="154">
      <c r="A154" s="68">
        <f>B154&amp;TEXT(C154,"0000")</f>
        <v/>
      </c>
      <c r="B154" s="68" t="n">
        <v>101</v>
      </c>
      <c r="C154" s="68" t="n">
        <v>151</v>
      </c>
      <c r="D154" s="68" t="inlineStr">
        <is>
          <t>HpRatio</t>
        </is>
      </c>
      <c r="E154" s="68">
        <f>ROUND(E$5*($C153^E$2*E$3), 0)</f>
        <v/>
      </c>
      <c r="F154" s="68" t="inlineStr">
        <is>
          <t>AtkRatio</t>
        </is>
      </c>
      <c r="G154" s="68">
        <f>ROUND(G$5*($C153^$E$2*$E$3), 0)</f>
        <v/>
      </c>
      <c r="H154" s="68" t="inlineStr">
        <is>
          <t>DefRatio</t>
        </is>
      </c>
      <c r="I154" s="68">
        <f>ROUND(I$5*($C153^$E$2*$E$3), 0)</f>
        <v/>
      </c>
    </row>
    <row r="155">
      <c r="A155" s="68">
        <f>B155&amp;TEXT(C155,"0000")</f>
        <v/>
      </c>
      <c r="B155" s="68" t="n">
        <v>101</v>
      </c>
      <c r="C155" s="68" t="n">
        <v>152</v>
      </c>
      <c r="D155" s="68" t="inlineStr">
        <is>
          <t>HpRatio</t>
        </is>
      </c>
      <c r="E155" s="68">
        <f>ROUND(E$5*($C154^E$2*E$3), 0)</f>
        <v/>
      </c>
      <c r="F155" s="68" t="inlineStr">
        <is>
          <t>AtkRatio</t>
        </is>
      </c>
      <c r="G155" s="68">
        <f>ROUND(G$5*($C154^$E$2*$E$3), 0)</f>
        <v/>
      </c>
      <c r="H155" s="68" t="inlineStr">
        <is>
          <t>DefRatio</t>
        </is>
      </c>
      <c r="I155" s="68">
        <f>ROUND(I$5*($C154^$E$2*$E$3), 0)</f>
        <v/>
      </c>
    </row>
    <row r="156">
      <c r="A156" s="68">
        <f>B156&amp;TEXT(C156,"0000")</f>
        <v/>
      </c>
      <c r="B156" s="68" t="n">
        <v>101</v>
      </c>
      <c r="C156" s="68" t="n">
        <v>153</v>
      </c>
      <c r="D156" s="68" t="inlineStr">
        <is>
          <t>HpRatio</t>
        </is>
      </c>
      <c r="E156" s="68">
        <f>ROUND(E$5*($C155^E$2*E$3), 0)</f>
        <v/>
      </c>
      <c r="F156" s="68" t="inlineStr">
        <is>
          <t>AtkRatio</t>
        </is>
      </c>
      <c r="G156" s="68">
        <f>ROUND(G$5*($C155^$E$2*$E$3), 0)</f>
        <v/>
      </c>
      <c r="H156" s="68" t="inlineStr">
        <is>
          <t>DefRatio</t>
        </is>
      </c>
      <c r="I156" s="68">
        <f>ROUND(I$5*($C155^$E$2*$E$3), 0)</f>
        <v/>
      </c>
    </row>
    <row r="157">
      <c r="A157" s="68">
        <f>B157&amp;TEXT(C157,"0000")</f>
        <v/>
      </c>
      <c r="B157" s="68" t="n">
        <v>101</v>
      </c>
      <c r="C157" s="68" t="n">
        <v>154</v>
      </c>
      <c r="D157" s="68" t="inlineStr">
        <is>
          <t>HpRatio</t>
        </is>
      </c>
      <c r="E157" s="68">
        <f>ROUND(E$5*($C156^E$2*E$3), 0)</f>
        <v/>
      </c>
      <c r="F157" s="68" t="inlineStr">
        <is>
          <t>AtkRatio</t>
        </is>
      </c>
      <c r="G157" s="68">
        <f>ROUND(G$5*($C156^$E$2*$E$3), 0)</f>
        <v/>
      </c>
      <c r="H157" s="68" t="inlineStr">
        <is>
          <t>DefRatio</t>
        </is>
      </c>
      <c r="I157" s="68">
        <f>ROUND(I$5*($C156^$E$2*$E$3), 0)</f>
        <v/>
      </c>
    </row>
    <row r="158">
      <c r="A158" s="68">
        <f>B158&amp;TEXT(C158,"0000")</f>
        <v/>
      </c>
      <c r="B158" s="68" t="n">
        <v>101</v>
      </c>
      <c r="C158" s="68" t="n">
        <v>155</v>
      </c>
      <c r="D158" s="68" t="inlineStr">
        <is>
          <t>HpRatio</t>
        </is>
      </c>
      <c r="E158" s="68">
        <f>ROUND(E$5*($C157^E$2*E$3), 0)</f>
        <v/>
      </c>
      <c r="F158" s="68" t="inlineStr">
        <is>
          <t>AtkRatio</t>
        </is>
      </c>
      <c r="G158" s="68">
        <f>ROUND(G$5*($C157^$E$2*$E$3), 0)</f>
        <v/>
      </c>
      <c r="H158" s="68" t="inlineStr">
        <is>
          <t>DefRatio</t>
        </is>
      </c>
      <c r="I158" s="68">
        <f>ROUND(I$5*($C157^$E$2*$E$3), 0)</f>
        <v/>
      </c>
    </row>
    <row r="159">
      <c r="A159" s="68">
        <f>B159&amp;TEXT(C159,"0000")</f>
        <v/>
      </c>
      <c r="B159" s="68" t="n">
        <v>101</v>
      </c>
      <c r="C159" s="68" t="n">
        <v>156</v>
      </c>
      <c r="D159" s="68" t="inlineStr">
        <is>
          <t>HpRatio</t>
        </is>
      </c>
      <c r="E159" s="68">
        <f>ROUND(E$5*($C158^E$2*E$3), 0)</f>
        <v/>
      </c>
      <c r="F159" s="68" t="inlineStr">
        <is>
          <t>AtkRatio</t>
        </is>
      </c>
      <c r="G159" s="68">
        <f>ROUND(G$5*($C158^$E$2*$E$3), 0)</f>
        <v/>
      </c>
      <c r="H159" s="68" t="inlineStr">
        <is>
          <t>DefRatio</t>
        </is>
      </c>
      <c r="I159" s="68">
        <f>ROUND(I$5*($C158^$E$2*$E$3), 0)</f>
        <v/>
      </c>
    </row>
    <row r="160">
      <c r="A160" s="68">
        <f>B160&amp;TEXT(C160,"0000")</f>
        <v/>
      </c>
      <c r="B160" s="68" t="n">
        <v>101</v>
      </c>
      <c r="C160" s="68" t="n">
        <v>157</v>
      </c>
      <c r="D160" s="68" t="inlineStr">
        <is>
          <t>HpRatio</t>
        </is>
      </c>
      <c r="E160" s="68">
        <f>ROUND(E$5*($C159^E$2*E$3), 0)</f>
        <v/>
      </c>
      <c r="F160" s="68" t="inlineStr">
        <is>
          <t>AtkRatio</t>
        </is>
      </c>
      <c r="G160" s="68">
        <f>ROUND(G$5*($C159^$E$2*$E$3), 0)</f>
        <v/>
      </c>
      <c r="H160" s="68" t="inlineStr">
        <is>
          <t>DefRatio</t>
        </is>
      </c>
      <c r="I160" s="68">
        <f>ROUND(I$5*($C159^$E$2*$E$3), 0)</f>
        <v/>
      </c>
    </row>
    <row r="161">
      <c r="A161" s="68">
        <f>B161&amp;TEXT(C161,"0000")</f>
        <v/>
      </c>
      <c r="B161" s="68" t="n">
        <v>101</v>
      </c>
      <c r="C161" s="68" t="n">
        <v>158</v>
      </c>
      <c r="D161" s="68" t="inlineStr">
        <is>
          <t>HpRatio</t>
        </is>
      </c>
      <c r="E161" s="68">
        <f>ROUND(E$5*($C160^E$2*E$3), 0)</f>
        <v/>
      </c>
      <c r="F161" s="68" t="inlineStr">
        <is>
          <t>AtkRatio</t>
        </is>
      </c>
      <c r="G161" s="68">
        <f>ROUND(G$5*($C160^$E$2*$E$3), 0)</f>
        <v/>
      </c>
      <c r="H161" s="68" t="inlineStr">
        <is>
          <t>DefRatio</t>
        </is>
      </c>
      <c r="I161" s="68">
        <f>ROUND(I$5*($C160^$E$2*$E$3), 0)</f>
        <v/>
      </c>
    </row>
    <row r="162">
      <c r="A162" s="68">
        <f>B162&amp;TEXT(C162,"0000")</f>
        <v/>
      </c>
      <c r="B162" s="68" t="n">
        <v>101</v>
      </c>
      <c r="C162" s="68" t="n">
        <v>159</v>
      </c>
      <c r="D162" s="68" t="inlineStr">
        <is>
          <t>HpRatio</t>
        </is>
      </c>
      <c r="E162" s="68">
        <f>ROUND(E$5*($C161^E$2*E$3), 0)</f>
        <v/>
      </c>
      <c r="F162" s="68" t="inlineStr">
        <is>
          <t>AtkRatio</t>
        </is>
      </c>
      <c r="G162" s="68">
        <f>ROUND(G$5*($C161^$E$2*$E$3), 0)</f>
        <v/>
      </c>
      <c r="H162" s="68" t="inlineStr">
        <is>
          <t>DefRatio</t>
        </is>
      </c>
      <c r="I162" s="68">
        <f>ROUND(I$5*($C161^$E$2*$E$3), 0)</f>
        <v/>
      </c>
    </row>
    <row r="163">
      <c r="A163" s="68">
        <f>B163&amp;TEXT(C163,"0000")</f>
        <v/>
      </c>
      <c r="B163" s="68" t="n">
        <v>101</v>
      </c>
      <c r="C163" s="68" t="n">
        <v>160</v>
      </c>
      <c r="D163" s="68" t="inlineStr">
        <is>
          <t>HpRatio</t>
        </is>
      </c>
      <c r="E163" s="68">
        <f>ROUND(E$5*($C162^E$2*E$3), 0)</f>
        <v/>
      </c>
      <c r="F163" s="68" t="inlineStr">
        <is>
          <t>AtkRatio</t>
        </is>
      </c>
      <c r="G163" s="68">
        <f>ROUND(G$5*($C162^$E$2*$E$3), 0)</f>
        <v/>
      </c>
      <c r="H163" s="68" t="inlineStr">
        <is>
          <t>DefRatio</t>
        </is>
      </c>
      <c r="I163" s="68">
        <f>ROUND(I$5*($C162^$E$2*$E$3), 0)</f>
        <v/>
      </c>
    </row>
    <row r="164">
      <c r="A164" s="68">
        <f>B164&amp;TEXT(C164,"0000")</f>
        <v/>
      </c>
      <c r="B164" s="68" t="n">
        <v>101</v>
      </c>
      <c r="C164" s="68" t="n">
        <v>161</v>
      </c>
      <c r="D164" s="68" t="inlineStr">
        <is>
          <t>HpRatio</t>
        </is>
      </c>
      <c r="E164" s="68">
        <f>ROUND(E$5*($C163^E$2*E$3), 0)</f>
        <v/>
      </c>
      <c r="F164" s="68" t="inlineStr">
        <is>
          <t>AtkRatio</t>
        </is>
      </c>
      <c r="G164" s="68">
        <f>ROUND(G$5*($C163^$E$2*$E$3), 0)</f>
        <v/>
      </c>
      <c r="H164" s="68" t="inlineStr">
        <is>
          <t>DefRatio</t>
        </is>
      </c>
      <c r="I164" s="68">
        <f>ROUND(I$5*($C163^$E$2*$E$3), 0)</f>
        <v/>
      </c>
    </row>
    <row r="165">
      <c r="A165" s="68">
        <f>B165&amp;TEXT(C165,"0000")</f>
        <v/>
      </c>
      <c r="B165" s="68" t="n">
        <v>101</v>
      </c>
      <c r="C165" s="68" t="n">
        <v>162</v>
      </c>
      <c r="D165" s="68" t="inlineStr">
        <is>
          <t>HpRatio</t>
        </is>
      </c>
      <c r="E165" s="68">
        <f>ROUND(E$5*($C164^E$2*E$3), 0)</f>
        <v/>
      </c>
      <c r="F165" s="68" t="inlineStr">
        <is>
          <t>AtkRatio</t>
        </is>
      </c>
      <c r="G165" s="68">
        <f>ROUND(G$5*($C164^$E$2*$E$3), 0)</f>
        <v/>
      </c>
      <c r="H165" s="68" t="inlineStr">
        <is>
          <t>DefRatio</t>
        </is>
      </c>
      <c r="I165" s="68">
        <f>ROUND(I$5*($C164^$E$2*$E$3), 0)</f>
        <v/>
      </c>
    </row>
    <row r="166">
      <c r="A166" s="68">
        <f>B166&amp;TEXT(C166,"0000")</f>
        <v/>
      </c>
      <c r="B166" s="68" t="n">
        <v>101</v>
      </c>
      <c r="C166" s="68" t="n">
        <v>163</v>
      </c>
      <c r="D166" s="68" t="inlineStr">
        <is>
          <t>HpRatio</t>
        </is>
      </c>
      <c r="E166" s="68">
        <f>ROUND(E$5*($C165^E$2*E$3), 0)</f>
        <v/>
      </c>
      <c r="F166" s="68" t="inlineStr">
        <is>
          <t>AtkRatio</t>
        </is>
      </c>
      <c r="G166" s="68">
        <f>ROUND(G$5*($C165^$E$2*$E$3), 0)</f>
        <v/>
      </c>
      <c r="H166" s="68" t="inlineStr">
        <is>
          <t>DefRatio</t>
        </is>
      </c>
      <c r="I166" s="68">
        <f>ROUND(I$5*($C165^$E$2*$E$3), 0)</f>
        <v/>
      </c>
    </row>
    <row r="167">
      <c r="A167" s="68">
        <f>B167&amp;TEXT(C167,"0000")</f>
        <v/>
      </c>
      <c r="B167" s="68" t="n">
        <v>101</v>
      </c>
      <c r="C167" s="68" t="n">
        <v>164</v>
      </c>
      <c r="D167" s="68" t="inlineStr">
        <is>
          <t>HpRatio</t>
        </is>
      </c>
      <c r="E167" s="68">
        <f>ROUND(E$5*($C166^E$2*E$3), 0)</f>
        <v/>
      </c>
      <c r="F167" s="68" t="inlineStr">
        <is>
          <t>AtkRatio</t>
        </is>
      </c>
      <c r="G167" s="68">
        <f>ROUND(G$5*($C166^$E$2*$E$3), 0)</f>
        <v/>
      </c>
      <c r="H167" s="68" t="inlineStr">
        <is>
          <t>DefRatio</t>
        </is>
      </c>
      <c r="I167" s="68">
        <f>ROUND(I$5*($C166^$E$2*$E$3), 0)</f>
        <v/>
      </c>
    </row>
    <row r="168">
      <c r="A168" s="68">
        <f>B168&amp;TEXT(C168,"0000")</f>
        <v/>
      </c>
      <c r="B168" s="68" t="n">
        <v>101</v>
      </c>
      <c r="C168" s="68" t="n">
        <v>165</v>
      </c>
      <c r="D168" s="68" t="inlineStr">
        <is>
          <t>HpRatio</t>
        </is>
      </c>
      <c r="E168" s="68">
        <f>ROUND(E$5*($C167^E$2*E$3), 0)</f>
        <v/>
      </c>
      <c r="F168" s="68" t="inlineStr">
        <is>
          <t>AtkRatio</t>
        </is>
      </c>
      <c r="G168" s="68">
        <f>ROUND(G$5*($C167^$E$2*$E$3), 0)</f>
        <v/>
      </c>
      <c r="H168" s="68" t="inlineStr">
        <is>
          <t>DefRatio</t>
        </is>
      </c>
      <c r="I168" s="68">
        <f>ROUND(I$5*($C167^$E$2*$E$3), 0)</f>
        <v/>
      </c>
    </row>
    <row r="169">
      <c r="A169" s="68">
        <f>B169&amp;TEXT(C169,"0000")</f>
        <v/>
      </c>
      <c r="B169" s="68" t="n">
        <v>101</v>
      </c>
      <c r="C169" s="68" t="n">
        <v>166</v>
      </c>
      <c r="D169" s="68" t="inlineStr">
        <is>
          <t>HpRatio</t>
        </is>
      </c>
      <c r="E169" s="68">
        <f>ROUND(E$5*($C168^E$2*E$3), 0)</f>
        <v/>
      </c>
      <c r="F169" s="68" t="inlineStr">
        <is>
          <t>AtkRatio</t>
        </is>
      </c>
      <c r="G169" s="68">
        <f>ROUND(G$5*($C168^$E$2*$E$3), 0)</f>
        <v/>
      </c>
      <c r="H169" s="68" t="inlineStr">
        <is>
          <t>DefRatio</t>
        </is>
      </c>
      <c r="I169" s="68">
        <f>ROUND(I$5*($C168^$E$2*$E$3), 0)</f>
        <v/>
      </c>
    </row>
    <row r="170">
      <c r="A170" s="68">
        <f>B170&amp;TEXT(C170,"0000")</f>
        <v/>
      </c>
      <c r="B170" s="68" t="n">
        <v>101</v>
      </c>
      <c r="C170" s="68" t="n">
        <v>167</v>
      </c>
      <c r="D170" s="68" t="inlineStr">
        <is>
          <t>HpRatio</t>
        </is>
      </c>
      <c r="E170" s="68">
        <f>ROUND(E$5*($C169^E$2*E$3), 0)</f>
        <v/>
      </c>
      <c r="F170" s="68" t="inlineStr">
        <is>
          <t>AtkRatio</t>
        </is>
      </c>
      <c r="G170" s="68">
        <f>ROUND(G$5*($C169^$E$2*$E$3), 0)</f>
        <v/>
      </c>
      <c r="H170" s="68" t="inlineStr">
        <is>
          <t>DefRatio</t>
        </is>
      </c>
      <c r="I170" s="68">
        <f>ROUND(I$5*($C169^$E$2*$E$3), 0)</f>
        <v/>
      </c>
    </row>
    <row r="171">
      <c r="A171" s="68">
        <f>B171&amp;TEXT(C171,"0000")</f>
        <v/>
      </c>
      <c r="B171" s="68" t="n">
        <v>101</v>
      </c>
      <c r="C171" s="68" t="n">
        <v>168</v>
      </c>
      <c r="D171" s="68" t="inlineStr">
        <is>
          <t>HpRatio</t>
        </is>
      </c>
      <c r="E171" s="68">
        <f>ROUND(E$5*($C170^E$2*E$3), 0)</f>
        <v/>
      </c>
      <c r="F171" s="68" t="inlineStr">
        <is>
          <t>AtkRatio</t>
        </is>
      </c>
      <c r="G171" s="68">
        <f>ROUND(G$5*($C170^$E$2*$E$3), 0)</f>
        <v/>
      </c>
      <c r="H171" s="68" t="inlineStr">
        <is>
          <t>DefRatio</t>
        </is>
      </c>
      <c r="I171" s="68">
        <f>ROUND(I$5*($C170^$E$2*$E$3), 0)</f>
        <v/>
      </c>
    </row>
    <row r="172">
      <c r="A172" s="68">
        <f>B172&amp;TEXT(C172,"0000")</f>
        <v/>
      </c>
      <c r="B172" s="68" t="n">
        <v>101</v>
      </c>
      <c r="C172" s="68" t="n">
        <v>169</v>
      </c>
      <c r="D172" s="68" t="inlineStr">
        <is>
          <t>HpRatio</t>
        </is>
      </c>
      <c r="E172" s="68">
        <f>ROUND(E$5*($C171^E$2*E$3), 0)</f>
        <v/>
      </c>
      <c r="F172" s="68" t="inlineStr">
        <is>
          <t>AtkRatio</t>
        </is>
      </c>
      <c r="G172" s="68">
        <f>ROUND(G$5*($C171^$E$2*$E$3), 0)</f>
        <v/>
      </c>
      <c r="H172" s="68" t="inlineStr">
        <is>
          <t>DefRatio</t>
        </is>
      </c>
      <c r="I172" s="68">
        <f>ROUND(I$5*($C171^$E$2*$E$3), 0)</f>
        <v/>
      </c>
    </row>
    <row r="173">
      <c r="A173" s="68">
        <f>B173&amp;TEXT(C173,"0000")</f>
        <v/>
      </c>
      <c r="B173" s="68" t="n">
        <v>101</v>
      </c>
      <c r="C173" s="68" t="n">
        <v>170</v>
      </c>
      <c r="D173" s="68" t="inlineStr">
        <is>
          <t>HpRatio</t>
        </is>
      </c>
      <c r="E173" s="68">
        <f>ROUND(E$5*($C172^E$2*E$3), 0)</f>
        <v/>
      </c>
      <c r="F173" s="68" t="inlineStr">
        <is>
          <t>AtkRatio</t>
        </is>
      </c>
      <c r="G173" s="68">
        <f>ROUND(G$5*($C172^$E$2*$E$3), 0)</f>
        <v/>
      </c>
      <c r="H173" s="68" t="inlineStr">
        <is>
          <t>DefRatio</t>
        </is>
      </c>
      <c r="I173" s="68">
        <f>ROUND(I$5*($C172^$E$2*$E$3), 0)</f>
        <v/>
      </c>
    </row>
    <row r="174">
      <c r="A174" s="68">
        <f>B174&amp;TEXT(C174,"0000")</f>
        <v/>
      </c>
      <c r="B174" s="68" t="n">
        <v>101</v>
      </c>
      <c r="C174" s="68" t="n">
        <v>171</v>
      </c>
      <c r="D174" s="68" t="inlineStr">
        <is>
          <t>HpRatio</t>
        </is>
      </c>
      <c r="E174" s="68">
        <f>ROUND(E$5*($C173^E$2*E$3), 0)</f>
        <v/>
      </c>
      <c r="F174" s="68" t="inlineStr">
        <is>
          <t>AtkRatio</t>
        </is>
      </c>
      <c r="G174" s="68">
        <f>ROUND(G$5*($C173^$E$2*$E$3), 0)</f>
        <v/>
      </c>
      <c r="H174" s="68" t="inlineStr">
        <is>
          <t>DefRatio</t>
        </is>
      </c>
      <c r="I174" s="68">
        <f>ROUND(I$5*($C173^$E$2*$E$3), 0)</f>
        <v/>
      </c>
    </row>
    <row r="175">
      <c r="A175" s="68">
        <f>B175&amp;TEXT(C175,"0000")</f>
        <v/>
      </c>
      <c r="B175" s="68" t="n">
        <v>101</v>
      </c>
      <c r="C175" s="68" t="n">
        <v>172</v>
      </c>
      <c r="D175" s="68" t="inlineStr">
        <is>
          <t>HpRatio</t>
        </is>
      </c>
      <c r="E175" s="68">
        <f>ROUND(E$5*($C174^E$2*E$3), 0)</f>
        <v/>
      </c>
      <c r="F175" s="68" t="inlineStr">
        <is>
          <t>AtkRatio</t>
        </is>
      </c>
      <c r="G175" s="68">
        <f>ROUND(G$5*($C174^$E$2*$E$3), 0)</f>
        <v/>
      </c>
      <c r="H175" s="68" t="inlineStr">
        <is>
          <t>DefRatio</t>
        </is>
      </c>
      <c r="I175" s="68">
        <f>ROUND(I$5*($C174^$E$2*$E$3), 0)</f>
        <v/>
      </c>
    </row>
    <row r="176">
      <c r="A176" s="68">
        <f>B176&amp;TEXT(C176,"0000")</f>
        <v/>
      </c>
      <c r="B176" s="68" t="n">
        <v>101</v>
      </c>
      <c r="C176" s="68" t="n">
        <v>173</v>
      </c>
      <c r="D176" s="68" t="inlineStr">
        <is>
          <t>HpRatio</t>
        </is>
      </c>
      <c r="E176" s="68">
        <f>ROUND(E$5*($C175^E$2*E$3), 0)</f>
        <v/>
      </c>
      <c r="F176" s="68" t="inlineStr">
        <is>
          <t>AtkRatio</t>
        </is>
      </c>
      <c r="G176" s="68">
        <f>ROUND(G$5*($C175^$E$2*$E$3), 0)</f>
        <v/>
      </c>
      <c r="H176" s="68" t="inlineStr">
        <is>
          <t>DefRatio</t>
        </is>
      </c>
      <c r="I176" s="68">
        <f>ROUND(I$5*($C175^$E$2*$E$3), 0)</f>
        <v/>
      </c>
    </row>
    <row r="177">
      <c r="A177" s="68">
        <f>B177&amp;TEXT(C177,"0000")</f>
        <v/>
      </c>
      <c r="B177" s="68" t="n">
        <v>101</v>
      </c>
      <c r="C177" s="68" t="n">
        <v>174</v>
      </c>
      <c r="D177" s="68" t="inlineStr">
        <is>
          <t>HpRatio</t>
        </is>
      </c>
      <c r="E177" s="68">
        <f>ROUND(E$5*($C176^E$2*E$3), 0)</f>
        <v/>
      </c>
      <c r="F177" s="68" t="inlineStr">
        <is>
          <t>AtkRatio</t>
        </is>
      </c>
      <c r="G177" s="68">
        <f>ROUND(G$5*($C176^$E$2*$E$3), 0)</f>
        <v/>
      </c>
      <c r="H177" s="68" t="inlineStr">
        <is>
          <t>DefRatio</t>
        </is>
      </c>
      <c r="I177" s="68">
        <f>ROUND(I$5*($C176^$E$2*$E$3), 0)</f>
        <v/>
      </c>
    </row>
    <row r="178">
      <c r="A178" s="68">
        <f>B178&amp;TEXT(C178,"0000")</f>
        <v/>
      </c>
      <c r="B178" s="68" t="n">
        <v>101</v>
      </c>
      <c r="C178" s="68" t="n">
        <v>175</v>
      </c>
      <c r="D178" s="68" t="inlineStr">
        <is>
          <t>HpRatio</t>
        </is>
      </c>
      <c r="E178" s="68">
        <f>ROUND(E$5*($C177^E$2*E$3), 0)</f>
        <v/>
      </c>
      <c r="F178" s="68" t="inlineStr">
        <is>
          <t>AtkRatio</t>
        </is>
      </c>
      <c r="G178" s="68">
        <f>ROUND(G$5*($C177^$E$2*$E$3), 0)</f>
        <v/>
      </c>
      <c r="H178" s="68" t="inlineStr">
        <is>
          <t>DefRatio</t>
        </is>
      </c>
      <c r="I178" s="68">
        <f>ROUND(I$5*($C177^$E$2*$E$3), 0)</f>
        <v/>
      </c>
    </row>
    <row r="179">
      <c r="A179" s="68">
        <f>B179&amp;TEXT(C179,"0000")</f>
        <v/>
      </c>
      <c r="B179" s="68" t="n">
        <v>101</v>
      </c>
      <c r="C179" s="68" t="n">
        <v>176</v>
      </c>
      <c r="D179" s="68" t="inlineStr">
        <is>
          <t>HpRatio</t>
        </is>
      </c>
      <c r="E179" s="68">
        <f>ROUND(E$5*($C178^E$2*E$3), 0)</f>
        <v/>
      </c>
      <c r="F179" s="68" t="inlineStr">
        <is>
          <t>AtkRatio</t>
        </is>
      </c>
      <c r="G179" s="68">
        <f>ROUND(G$5*($C178^$E$2*$E$3), 0)</f>
        <v/>
      </c>
      <c r="H179" s="68" t="inlineStr">
        <is>
          <t>DefRatio</t>
        </is>
      </c>
      <c r="I179" s="68">
        <f>ROUND(I$5*($C178^$E$2*$E$3), 0)</f>
        <v/>
      </c>
    </row>
    <row r="180">
      <c r="A180" s="68">
        <f>B180&amp;TEXT(C180,"0000")</f>
        <v/>
      </c>
      <c r="B180" s="68" t="n">
        <v>101</v>
      </c>
      <c r="C180" s="68" t="n">
        <v>177</v>
      </c>
      <c r="D180" s="68" t="inlineStr">
        <is>
          <t>HpRatio</t>
        </is>
      </c>
      <c r="E180" s="68">
        <f>ROUND(E$5*($C179^E$2*E$3), 0)</f>
        <v/>
      </c>
      <c r="F180" s="68" t="inlineStr">
        <is>
          <t>AtkRatio</t>
        </is>
      </c>
      <c r="G180" s="68">
        <f>ROUND(G$5*($C179^$E$2*$E$3), 0)</f>
        <v/>
      </c>
      <c r="H180" s="68" t="inlineStr">
        <is>
          <t>DefRatio</t>
        </is>
      </c>
      <c r="I180" s="68">
        <f>ROUND(I$5*($C179^$E$2*$E$3), 0)</f>
        <v/>
      </c>
    </row>
    <row r="181">
      <c r="A181" s="68">
        <f>B181&amp;TEXT(C181,"0000")</f>
        <v/>
      </c>
      <c r="B181" s="68" t="n">
        <v>101</v>
      </c>
      <c r="C181" s="68" t="n">
        <v>178</v>
      </c>
      <c r="D181" s="68" t="inlineStr">
        <is>
          <t>HpRatio</t>
        </is>
      </c>
      <c r="E181" s="68">
        <f>ROUND(E$5*($C180^E$2*E$3), 0)</f>
        <v/>
      </c>
      <c r="F181" s="68" t="inlineStr">
        <is>
          <t>AtkRatio</t>
        </is>
      </c>
      <c r="G181" s="68">
        <f>ROUND(G$5*($C180^$E$2*$E$3), 0)</f>
        <v/>
      </c>
      <c r="H181" s="68" t="inlineStr">
        <is>
          <t>DefRatio</t>
        </is>
      </c>
      <c r="I181" s="68">
        <f>ROUND(I$5*($C180^$E$2*$E$3), 0)</f>
        <v/>
      </c>
    </row>
    <row r="182">
      <c r="A182" s="68">
        <f>B182&amp;TEXT(C182,"0000")</f>
        <v/>
      </c>
      <c r="B182" s="68" t="n">
        <v>101</v>
      </c>
      <c r="C182" s="68" t="n">
        <v>179</v>
      </c>
      <c r="D182" s="68" t="inlineStr">
        <is>
          <t>HpRatio</t>
        </is>
      </c>
      <c r="E182" s="68">
        <f>ROUND(E$5*($C181^E$2*E$3), 0)</f>
        <v/>
      </c>
      <c r="F182" s="68" t="inlineStr">
        <is>
          <t>AtkRatio</t>
        </is>
      </c>
      <c r="G182" s="68">
        <f>ROUND(G$5*($C181^$E$2*$E$3), 0)</f>
        <v/>
      </c>
      <c r="H182" s="68" t="inlineStr">
        <is>
          <t>DefRatio</t>
        </is>
      </c>
      <c r="I182" s="68">
        <f>ROUND(I$5*($C181^$E$2*$E$3), 0)</f>
        <v/>
      </c>
    </row>
    <row r="183">
      <c r="A183" s="68">
        <f>B183&amp;TEXT(C183,"0000")</f>
        <v/>
      </c>
      <c r="B183" s="68" t="n">
        <v>101</v>
      </c>
      <c r="C183" s="68" t="n">
        <v>180</v>
      </c>
      <c r="D183" s="68" t="inlineStr">
        <is>
          <t>HpRatio</t>
        </is>
      </c>
      <c r="E183" s="68">
        <f>ROUND(E$5*($C182^E$2*E$3), 0)</f>
        <v/>
      </c>
      <c r="F183" s="68" t="inlineStr">
        <is>
          <t>AtkRatio</t>
        </is>
      </c>
      <c r="G183" s="68">
        <f>ROUND(G$5*($C182^$E$2*$E$3), 0)</f>
        <v/>
      </c>
      <c r="H183" s="68" t="inlineStr">
        <is>
          <t>DefRatio</t>
        </is>
      </c>
      <c r="I183" s="68">
        <f>ROUND(I$5*($C182^$E$2*$E$3), 0)</f>
        <v/>
      </c>
    </row>
    <row r="184">
      <c r="A184" s="68">
        <f>B184&amp;TEXT(C184,"0000")</f>
        <v/>
      </c>
      <c r="B184" s="68" t="n">
        <v>101</v>
      </c>
      <c r="C184" s="68" t="n">
        <v>181</v>
      </c>
      <c r="D184" s="68" t="inlineStr">
        <is>
          <t>HpRatio</t>
        </is>
      </c>
      <c r="E184" s="68">
        <f>ROUND(E$5*($C183^E$2*E$3), 0)</f>
        <v/>
      </c>
      <c r="F184" s="68" t="inlineStr">
        <is>
          <t>AtkRatio</t>
        </is>
      </c>
      <c r="G184" s="68">
        <f>ROUND(G$5*($C183^$E$2*$E$3), 0)</f>
        <v/>
      </c>
      <c r="H184" s="68" t="inlineStr">
        <is>
          <t>DefRatio</t>
        </is>
      </c>
      <c r="I184" s="68">
        <f>ROUND(I$5*($C183^$E$2*$E$3), 0)</f>
        <v/>
      </c>
    </row>
    <row r="185">
      <c r="A185" s="68">
        <f>B185&amp;TEXT(C185,"0000")</f>
        <v/>
      </c>
      <c r="B185" s="68" t="n">
        <v>101</v>
      </c>
      <c r="C185" s="68" t="n">
        <v>182</v>
      </c>
      <c r="D185" s="68" t="inlineStr">
        <is>
          <t>HpRatio</t>
        </is>
      </c>
      <c r="E185" s="68">
        <f>ROUND(E$5*($C184^E$2*E$3), 0)</f>
        <v/>
      </c>
      <c r="F185" s="68" t="inlineStr">
        <is>
          <t>AtkRatio</t>
        </is>
      </c>
      <c r="G185" s="68">
        <f>ROUND(G$5*($C184^$E$2*$E$3), 0)</f>
        <v/>
      </c>
      <c r="H185" s="68" t="inlineStr">
        <is>
          <t>DefRatio</t>
        </is>
      </c>
      <c r="I185" s="68">
        <f>ROUND(I$5*($C184^$E$2*$E$3), 0)</f>
        <v/>
      </c>
    </row>
    <row r="186">
      <c r="A186" s="68">
        <f>B186&amp;TEXT(C186,"0000")</f>
        <v/>
      </c>
      <c r="B186" s="68" t="n">
        <v>101</v>
      </c>
      <c r="C186" s="68" t="n">
        <v>183</v>
      </c>
      <c r="D186" s="68" t="inlineStr">
        <is>
          <t>HpRatio</t>
        </is>
      </c>
      <c r="E186" s="68">
        <f>ROUND(E$5*($C185^E$2*E$3), 0)</f>
        <v/>
      </c>
      <c r="F186" s="68" t="inlineStr">
        <is>
          <t>AtkRatio</t>
        </is>
      </c>
      <c r="G186" s="68">
        <f>ROUND(G$5*($C185^$E$2*$E$3), 0)</f>
        <v/>
      </c>
      <c r="H186" s="68" t="inlineStr">
        <is>
          <t>DefRatio</t>
        </is>
      </c>
      <c r="I186" s="68">
        <f>ROUND(I$5*($C185^$E$2*$E$3), 0)</f>
        <v/>
      </c>
    </row>
    <row r="187">
      <c r="A187" s="68">
        <f>B187&amp;TEXT(C187,"0000")</f>
        <v/>
      </c>
      <c r="B187" s="68" t="n">
        <v>101</v>
      </c>
      <c r="C187" s="68" t="n">
        <v>184</v>
      </c>
      <c r="D187" s="68" t="inlineStr">
        <is>
          <t>HpRatio</t>
        </is>
      </c>
      <c r="E187" s="68">
        <f>ROUND(E$5*($C186^E$2*E$3), 0)</f>
        <v/>
      </c>
      <c r="F187" s="68" t="inlineStr">
        <is>
          <t>AtkRatio</t>
        </is>
      </c>
      <c r="G187" s="68">
        <f>ROUND(G$5*($C186^$E$2*$E$3), 0)</f>
        <v/>
      </c>
      <c r="H187" s="68" t="inlineStr">
        <is>
          <t>DefRatio</t>
        </is>
      </c>
      <c r="I187" s="68">
        <f>ROUND(I$5*($C186^$E$2*$E$3), 0)</f>
        <v/>
      </c>
    </row>
    <row r="188">
      <c r="A188" s="68">
        <f>B188&amp;TEXT(C188,"0000")</f>
        <v/>
      </c>
      <c r="B188" s="68" t="n">
        <v>101</v>
      </c>
      <c r="C188" s="68" t="n">
        <v>185</v>
      </c>
      <c r="D188" s="68" t="inlineStr">
        <is>
          <t>HpRatio</t>
        </is>
      </c>
      <c r="E188" s="68">
        <f>ROUND(E$5*($C187^E$2*E$3), 0)</f>
        <v/>
      </c>
      <c r="F188" s="68" t="inlineStr">
        <is>
          <t>AtkRatio</t>
        </is>
      </c>
      <c r="G188" s="68">
        <f>ROUND(G$5*($C187^$E$2*$E$3), 0)</f>
        <v/>
      </c>
      <c r="H188" s="68" t="inlineStr">
        <is>
          <t>DefRatio</t>
        </is>
      </c>
      <c r="I188" s="68">
        <f>ROUND(I$5*($C187^$E$2*$E$3), 0)</f>
        <v/>
      </c>
    </row>
    <row r="189">
      <c r="A189" s="68">
        <f>B189&amp;TEXT(C189,"0000")</f>
        <v/>
      </c>
      <c r="B189" s="68" t="n">
        <v>101</v>
      </c>
      <c r="C189" s="68" t="n">
        <v>186</v>
      </c>
      <c r="D189" s="68" t="inlineStr">
        <is>
          <t>HpRatio</t>
        </is>
      </c>
      <c r="E189" s="68">
        <f>ROUND(E$5*($C188^E$2*E$3), 0)</f>
        <v/>
      </c>
      <c r="F189" s="68" t="inlineStr">
        <is>
          <t>AtkRatio</t>
        </is>
      </c>
      <c r="G189" s="68">
        <f>ROUND(G$5*($C188^$E$2*$E$3), 0)</f>
        <v/>
      </c>
      <c r="H189" s="68" t="inlineStr">
        <is>
          <t>DefRatio</t>
        </is>
      </c>
      <c r="I189" s="68">
        <f>ROUND(I$5*($C188^$E$2*$E$3), 0)</f>
        <v/>
      </c>
    </row>
    <row r="190">
      <c r="A190" s="68">
        <f>B190&amp;TEXT(C190,"0000")</f>
        <v/>
      </c>
      <c r="B190" s="68" t="n">
        <v>101</v>
      </c>
      <c r="C190" s="68" t="n">
        <v>187</v>
      </c>
      <c r="D190" s="68" t="inlineStr">
        <is>
          <t>HpRatio</t>
        </is>
      </c>
      <c r="E190" s="68">
        <f>ROUND(E$5*($C189^E$2*E$3), 0)</f>
        <v/>
      </c>
      <c r="F190" s="68" t="inlineStr">
        <is>
          <t>AtkRatio</t>
        </is>
      </c>
      <c r="G190" s="68">
        <f>ROUND(G$5*($C189^$E$2*$E$3), 0)</f>
        <v/>
      </c>
      <c r="H190" s="68" t="inlineStr">
        <is>
          <t>DefRatio</t>
        </is>
      </c>
      <c r="I190" s="68">
        <f>ROUND(I$5*($C189^$E$2*$E$3), 0)</f>
        <v/>
      </c>
    </row>
    <row r="191">
      <c r="A191" s="68">
        <f>B191&amp;TEXT(C191,"0000")</f>
        <v/>
      </c>
      <c r="B191" s="68" t="n">
        <v>101</v>
      </c>
      <c r="C191" s="68" t="n">
        <v>188</v>
      </c>
      <c r="D191" s="68" t="inlineStr">
        <is>
          <t>HpRatio</t>
        </is>
      </c>
      <c r="E191" s="68">
        <f>ROUND(E$5*($C190^E$2*E$3), 0)</f>
        <v/>
      </c>
      <c r="F191" s="68" t="inlineStr">
        <is>
          <t>AtkRatio</t>
        </is>
      </c>
      <c r="G191" s="68">
        <f>ROUND(G$5*($C190^$E$2*$E$3), 0)</f>
        <v/>
      </c>
      <c r="H191" s="68" t="inlineStr">
        <is>
          <t>DefRatio</t>
        </is>
      </c>
      <c r="I191" s="68">
        <f>ROUND(I$5*($C190^$E$2*$E$3), 0)</f>
        <v/>
      </c>
    </row>
    <row r="192">
      <c r="A192" s="68">
        <f>B192&amp;TEXT(C192,"0000")</f>
        <v/>
      </c>
      <c r="B192" s="68" t="n">
        <v>101</v>
      </c>
      <c r="C192" s="68" t="n">
        <v>189</v>
      </c>
      <c r="D192" s="68" t="inlineStr">
        <is>
          <t>HpRatio</t>
        </is>
      </c>
      <c r="E192" s="68">
        <f>ROUND(E$5*($C191^E$2*E$3), 0)</f>
        <v/>
      </c>
      <c r="F192" s="68" t="inlineStr">
        <is>
          <t>AtkRatio</t>
        </is>
      </c>
      <c r="G192" s="68">
        <f>ROUND(G$5*($C191^$E$2*$E$3), 0)</f>
        <v/>
      </c>
      <c r="H192" s="68" t="inlineStr">
        <is>
          <t>DefRatio</t>
        </is>
      </c>
      <c r="I192" s="68">
        <f>ROUND(I$5*($C191^$E$2*$E$3), 0)</f>
        <v/>
      </c>
    </row>
    <row r="193">
      <c r="A193" s="68">
        <f>B193&amp;TEXT(C193,"0000")</f>
        <v/>
      </c>
      <c r="B193" s="68" t="n">
        <v>101</v>
      </c>
      <c r="C193" s="68" t="n">
        <v>190</v>
      </c>
      <c r="D193" s="68" t="inlineStr">
        <is>
          <t>HpRatio</t>
        </is>
      </c>
      <c r="E193" s="68">
        <f>ROUND(E$5*($C192^E$2*E$3), 0)</f>
        <v/>
      </c>
      <c r="F193" s="68" t="inlineStr">
        <is>
          <t>AtkRatio</t>
        </is>
      </c>
      <c r="G193" s="68">
        <f>ROUND(G$5*($C192^$E$2*$E$3), 0)</f>
        <v/>
      </c>
      <c r="H193" s="68" t="inlineStr">
        <is>
          <t>DefRatio</t>
        </is>
      </c>
      <c r="I193" s="68">
        <f>ROUND(I$5*($C192^$E$2*$E$3), 0)</f>
        <v/>
      </c>
    </row>
    <row r="194">
      <c r="A194" s="68">
        <f>B194&amp;TEXT(C194,"0000")</f>
        <v/>
      </c>
      <c r="B194" s="68" t="n">
        <v>101</v>
      </c>
      <c r="C194" s="68" t="n">
        <v>191</v>
      </c>
      <c r="D194" s="68" t="inlineStr">
        <is>
          <t>HpRatio</t>
        </is>
      </c>
      <c r="E194" s="68">
        <f>ROUND(E$5*($C193^E$2*E$3), 0)</f>
        <v/>
      </c>
      <c r="F194" s="68" t="inlineStr">
        <is>
          <t>AtkRatio</t>
        </is>
      </c>
      <c r="G194" s="68">
        <f>ROUND(G$5*($C193^$E$2*$E$3), 0)</f>
        <v/>
      </c>
      <c r="H194" s="68" t="inlineStr">
        <is>
          <t>DefRatio</t>
        </is>
      </c>
      <c r="I194" s="68">
        <f>ROUND(I$5*($C193^$E$2*$E$3), 0)</f>
        <v/>
      </c>
    </row>
    <row r="195">
      <c r="A195" s="68">
        <f>B195&amp;TEXT(C195,"0000")</f>
        <v/>
      </c>
      <c r="B195" s="68" t="n">
        <v>101</v>
      </c>
      <c r="C195" s="68" t="n">
        <v>192</v>
      </c>
      <c r="D195" s="68" t="inlineStr">
        <is>
          <t>HpRatio</t>
        </is>
      </c>
      <c r="E195" s="68">
        <f>ROUND(E$5*($C194^E$2*E$3), 0)</f>
        <v/>
      </c>
      <c r="F195" s="68" t="inlineStr">
        <is>
          <t>AtkRatio</t>
        </is>
      </c>
      <c r="G195" s="68">
        <f>ROUND(G$5*($C194^$E$2*$E$3), 0)</f>
        <v/>
      </c>
      <c r="H195" s="68" t="inlineStr">
        <is>
          <t>DefRatio</t>
        </is>
      </c>
      <c r="I195" s="68">
        <f>ROUND(I$5*($C194^$E$2*$E$3), 0)</f>
        <v/>
      </c>
    </row>
    <row r="196">
      <c r="A196" s="68">
        <f>B196&amp;TEXT(C196,"0000")</f>
        <v/>
      </c>
      <c r="B196" s="68" t="n">
        <v>101</v>
      </c>
      <c r="C196" s="68" t="n">
        <v>193</v>
      </c>
      <c r="D196" s="68" t="inlineStr">
        <is>
          <t>HpRatio</t>
        </is>
      </c>
      <c r="E196" s="68">
        <f>ROUND(E$5*($C195^E$2*E$3), 0)</f>
        <v/>
      </c>
      <c r="F196" s="68" t="inlineStr">
        <is>
          <t>AtkRatio</t>
        </is>
      </c>
      <c r="G196" s="68">
        <f>ROUND(G$5*($C195^$E$2*$E$3), 0)</f>
        <v/>
      </c>
      <c r="H196" s="68" t="inlineStr">
        <is>
          <t>DefRatio</t>
        </is>
      </c>
      <c r="I196" s="68">
        <f>ROUND(I$5*($C195^$E$2*$E$3), 0)</f>
        <v/>
      </c>
    </row>
    <row r="197">
      <c r="A197" s="68">
        <f>B197&amp;TEXT(C197,"0000")</f>
        <v/>
      </c>
      <c r="B197" s="68" t="n">
        <v>101</v>
      </c>
      <c r="C197" s="68" t="n">
        <v>194</v>
      </c>
      <c r="D197" s="68" t="inlineStr">
        <is>
          <t>HpRatio</t>
        </is>
      </c>
      <c r="E197" s="68">
        <f>ROUND(E$5*($C196^E$2*E$3), 0)</f>
        <v/>
      </c>
      <c r="F197" s="68" t="inlineStr">
        <is>
          <t>AtkRatio</t>
        </is>
      </c>
      <c r="G197" s="68">
        <f>ROUND(G$5*($C196^$E$2*$E$3), 0)</f>
        <v/>
      </c>
      <c r="H197" s="68" t="inlineStr">
        <is>
          <t>DefRatio</t>
        </is>
      </c>
      <c r="I197" s="68">
        <f>ROUND(I$5*($C196^$E$2*$E$3), 0)</f>
        <v/>
      </c>
    </row>
    <row r="198">
      <c r="A198" s="68">
        <f>B198&amp;TEXT(C198,"0000")</f>
        <v/>
      </c>
      <c r="B198" s="68" t="n">
        <v>101</v>
      </c>
      <c r="C198" s="68" t="n">
        <v>195</v>
      </c>
      <c r="D198" s="68" t="inlineStr">
        <is>
          <t>HpRatio</t>
        </is>
      </c>
      <c r="E198" s="68">
        <f>ROUND(E$5*($C197^E$2*E$3), 0)</f>
        <v/>
      </c>
      <c r="F198" s="68" t="inlineStr">
        <is>
          <t>AtkRatio</t>
        </is>
      </c>
      <c r="G198" s="68">
        <f>ROUND(G$5*($C197^$E$2*$E$3), 0)</f>
        <v/>
      </c>
      <c r="H198" s="68" t="inlineStr">
        <is>
          <t>DefRatio</t>
        </is>
      </c>
      <c r="I198" s="68">
        <f>ROUND(I$5*($C197^$E$2*$E$3), 0)</f>
        <v/>
      </c>
    </row>
    <row r="199">
      <c r="A199" s="68">
        <f>B199&amp;TEXT(C199,"0000")</f>
        <v/>
      </c>
      <c r="B199" s="68" t="n">
        <v>101</v>
      </c>
      <c r="C199" s="68" t="n">
        <v>196</v>
      </c>
      <c r="D199" s="68" t="inlineStr">
        <is>
          <t>HpRatio</t>
        </is>
      </c>
      <c r="E199" s="68">
        <f>ROUND(E$5*($C198^E$2*E$3), 0)</f>
        <v/>
      </c>
      <c r="F199" s="68" t="inlineStr">
        <is>
          <t>AtkRatio</t>
        </is>
      </c>
      <c r="G199" s="68">
        <f>ROUND(G$5*($C198^$E$2*$E$3), 0)</f>
        <v/>
      </c>
      <c r="H199" s="68" t="inlineStr">
        <is>
          <t>DefRatio</t>
        </is>
      </c>
      <c r="I199" s="68">
        <f>ROUND(I$5*($C198^$E$2*$E$3), 0)</f>
        <v/>
      </c>
    </row>
    <row r="200">
      <c r="A200" s="68">
        <f>B200&amp;TEXT(C200,"0000")</f>
        <v/>
      </c>
      <c r="B200" s="68" t="n">
        <v>101</v>
      </c>
      <c r="C200" s="68" t="n">
        <v>197</v>
      </c>
      <c r="D200" s="68" t="inlineStr">
        <is>
          <t>HpRatio</t>
        </is>
      </c>
      <c r="E200" s="68">
        <f>ROUND(E$5*($C199^E$2*E$3), 0)</f>
        <v/>
      </c>
      <c r="F200" s="68" t="inlineStr">
        <is>
          <t>AtkRatio</t>
        </is>
      </c>
      <c r="G200" s="68">
        <f>ROUND(G$5*($C199^$E$2*$E$3), 0)</f>
        <v/>
      </c>
      <c r="H200" s="68" t="inlineStr">
        <is>
          <t>DefRatio</t>
        </is>
      </c>
      <c r="I200" s="68">
        <f>ROUND(I$5*($C199^$E$2*$E$3), 0)</f>
        <v/>
      </c>
    </row>
    <row r="201">
      <c r="A201" s="68">
        <f>B201&amp;TEXT(C201,"0000")</f>
        <v/>
      </c>
      <c r="B201" s="68" t="n">
        <v>101</v>
      </c>
      <c r="C201" s="68" t="n">
        <v>198</v>
      </c>
      <c r="D201" s="68" t="inlineStr">
        <is>
          <t>HpRatio</t>
        </is>
      </c>
      <c r="E201" s="68">
        <f>ROUND(E$5*($C200^E$2*E$3), 0)</f>
        <v/>
      </c>
      <c r="F201" s="68" t="inlineStr">
        <is>
          <t>AtkRatio</t>
        </is>
      </c>
      <c r="G201" s="68">
        <f>ROUND(G$5*($C200^$E$2*$E$3), 0)</f>
        <v/>
      </c>
      <c r="H201" s="68" t="inlineStr">
        <is>
          <t>DefRatio</t>
        </is>
      </c>
      <c r="I201" s="68">
        <f>ROUND(I$5*($C200^$E$2*$E$3), 0)</f>
        <v/>
      </c>
    </row>
    <row r="202">
      <c r="A202" s="68">
        <f>B202&amp;TEXT(C202,"0000")</f>
        <v/>
      </c>
      <c r="B202" s="68" t="n">
        <v>101</v>
      </c>
      <c r="C202" s="68" t="n">
        <v>199</v>
      </c>
      <c r="D202" s="68" t="inlineStr">
        <is>
          <t>HpRatio</t>
        </is>
      </c>
      <c r="E202" s="68">
        <f>ROUND(E$5*($C201^E$2*E$3), 0)</f>
        <v/>
      </c>
      <c r="F202" s="68" t="inlineStr">
        <is>
          <t>AtkRatio</t>
        </is>
      </c>
      <c r="G202" s="68">
        <f>ROUND(G$5*($C201^$E$2*$E$3), 0)</f>
        <v/>
      </c>
      <c r="H202" s="68" t="inlineStr">
        <is>
          <t>DefRatio</t>
        </is>
      </c>
      <c r="I202" s="68">
        <f>ROUND(I$5*($C201^$E$2*$E$3), 0)</f>
        <v/>
      </c>
    </row>
    <row r="203">
      <c r="A203" s="68">
        <f>B203&amp;TEXT(C203,"0000")</f>
        <v/>
      </c>
      <c r="B203" s="68" t="n">
        <v>101</v>
      </c>
      <c r="C203" s="68" t="n">
        <v>200</v>
      </c>
      <c r="D203" s="68" t="inlineStr">
        <is>
          <t>HpRatio</t>
        </is>
      </c>
      <c r="E203" s="68">
        <f>ROUND(E$5*($C202^E$2*E$3), 0)</f>
        <v/>
      </c>
      <c r="F203" s="68" t="inlineStr">
        <is>
          <t>AtkRatio</t>
        </is>
      </c>
      <c r="G203" s="68">
        <f>ROUND(G$5*($C202^$E$2*$E$3), 0)</f>
        <v/>
      </c>
      <c r="H203" s="68" t="inlineStr">
        <is>
          <t>DefRatio</t>
        </is>
      </c>
      <c r="I203" s="68">
        <f>ROUND(I$5*($C202^$E$2*$E$3), 0)</f>
        <v/>
      </c>
    </row>
    <row r="204">
      <c r="A204" s="68">
        <f>B204&amp;TEXT(C204,"0000")</f>
        <v/>
      </c>
      <c r="B204" s="68" t="n">
        <v>101</v>
      </c>
      <c r="C204" s="68" t="n">
        <v>201</v>
      </c>
      <c r="D204" s="68" t="inlineStr">
        <is>
          <t>HpRatio</t>
        </is>
      </c>
      <c r="E204" s="68">
        <f>ROUND(E$5*($C203^E$2*E$3), 0)</f>
        <v/>
      </c>
      <c r="F204" s="68" t="inlineStr">
        <is>
          <t>AtkRatio</t>
        </is>
      </c>
      <c r="G204" s="68">
        <f>ROUND(G$5*($C203^$E$2*$E$3), 0)</f>
        <v/>
      </c>
      <c r="H204" s="68" t="inlineStr">
        <is>
          <t>DefRatio</t>
        </is>
      </c>
      <c r="I204" s="68">
        <f>ROUND(I$5*($C203^$E$2*$E$3), 0)</f>
        <v/>
      </c>
    </row>
    <row r="205">
      <c r="A205" s="68">
        <f>B205&amp;TEXT(C205,"0000")</f>
        <v/>
      </c>
      <c r="B205" s="68" t="n">
        <v>101</v>
      </c>
      <c r="C205" s="68" t="n">
        <v>202</v>
      </c>
      <c r="D205" s="68" t="inlineStr">
        <is>
          <t>HpRatio</t>
        </is>
      </c>
      <c r="E205" s="68">
        <f>ROUND(E$5*($C204^E$2*E$3), 0)</f>
        <v/>
      </c>
      <c r="F205" s="68" t="inlineStr">
        <is>
          <t>AtkRatio</t>
        </is>
      </c>
      <c r="G205" s="68">
        <f>ROUND(G$5*($C204^$E$2*$E$3), 0)</f>
        <v/>
      </c>
      <c r="H205" s="68" t="inlineStr">
        <is>
          <t>DefRatio</t>
        </is>
      </c>
      <c r="I205" s="68">
        <f>ROUND(I$5*($C204^$E$2*$E$3), 0)</f>
        <v/>
      </c>
    </row>
    <row r="206">
      <c r="A206" s="68">
        <f>B206&amp;TEXT(C206,"0000")</f>
        <v/>
      </c>
      <c r="B206" s="68" t="n">
        <v>101</v>
      </c>
      <c r="C206" s="68" t="n">
        <v>203</v>
      </c>
      <c r="D206" s="68" t="inlineStr">
        <is>
          <t>HpRatio</t>
        </is>
      </c>
      <c r="E206" s="68">
        <f>ROUND(E$5*($C205^E$2*E$3), 0)</f>
        <v/>
      </c>
      <c r="F206" s="68" t="inlineStr">
        <is>
          <t>AtkRatio</t>
        </is>
      </c>
      <c r="G206" s="68">
        <f>ROUND(G$5*($C205^$E$2*$E$3), 0)</f>
        <v/>
      </c>
      <c r="H206" s="68" t="inlineStr">
        <is>
          <t>DefRatio</t>
        </is>
      </c>
      <c r="I206" s="68">
        <f>ROUND(I$5*($C205^$E$2*$E$3), 0)</f>
        <v/>
      </c>
    </row>
    <row r="207">
      <c r="A207" s="68">
        <f>B207&amp;TEXT(C207,"0000")</f>
        <v/>
      </c>
      <c r="B207" s="68" t="n">
        <v>101</v>
      </c>
      <c r="C207" s="68" t="n">
        <v>204</v>
      </c>
      <c r="D207" s="68" t="inlineStr">
        <is>
          <t>HpRatio</t>
        </is>
      </c>
      <c r="E207" s="68">
        <f>ROUND(E$5*($C206^E$2*E$3), 0)</f>
        <v/>
      </c>
      <c r="F207" s="68" t="inlineStr">
        <is>
          <t>AtkRatio</t>
        </is>
      </c>
      <c r="G207" s="68">
        <f>ROUND(G$5*($C206^$E$2*$E$3), 0)</f>
        <v/>
      </c>
      <c r="H207" s="68" t="inlineStr">
        <is>
          <t>DefRatio</t>
        </is>
      </c>
      <c r="I207" s="68">
        <f>ROUND(I$5*($C206^$E$2*$E$3), 0)</f>
        <v/>
      </c>
    </row>
    <row r="208">
      <c r="A208" s="68">
        <f>B208&amp;TEXT(C208,"0000")</f>
        <v/>
      </c>
      <c r="B208" s="68" t="n">
        <v>101</v>
      </c>
      <c r="C208" s="68" t="n">
        <v>205</v>
      </c>
      <c r="D208" s="68" t="inlineStr">
        <is>
          <t>HpRatio</t>
        </is>
      </c>
      <c r="E208" s="68">
        <f>ROUND(E$5*($C207^E$2*E$3), 0)</f>
        <v/>
      </c>
      <c r="F208" s="68" t="inlineStr">
        <is>
          <t>AtkRatio</t>
        </is>
      </c>
      <c r="G208" s="68">
        <f>ROUND(G$5*($C207^$E$2*$E$3), 0)</f>
        <v/>
      </c>
      <c r="H208" s="68" t="inlineStr">
        <is>
          <t>DefRatio</t>
        </is>
      </c>
      <c r="I208" s="68">
        <f>ROUND(I$5*($C207^$E$2*$E$3), 0)</f>
        <v/>
      </c>
    </row>
    <row r="209">
      <c r="A209" s="68">
        <f>B209&amp;TEXT(C209,"0000")</f>
        <v/>
      </c>
      <c r="B209" s="68" t="n">
        <v>101</v>
      </c>
      <c r="C209" s="68" t="n">
        <v>206</v>
      </c>
      <c r="D209" s="68" t="inlineStr">
        <is>
          <t>HpRatio</t>
        </is>
      </c>
      <c r="E209" s="68">
        <f>ROUND(E$5*($C208^E$2*E$3), 0)</f>
        <v/>
      </c>
      <c r="F209" s="68" t="inlineStr">
        <is>
          <t>AtkRatio</t>
        </is>
      </c>
      <c r="G209" s="68">
        <f>ROUND(G$5*($C208^$E$2*$E$3), 0)</f>
        <v/>
      </c>
      <c r="H209" s="68" t="inlineStr">
        <is>
          <t>DefRatio</t>
        </is>
      </c>
      <c r="I209" s="68">
        <f>ROUND(I$5*($C208^$E$2*$E$3), 0)</f>
        <v/>
      </c>
    </row>
    <row r="210">
      <c r="A210" s="68">
        <f>B210&amp;TEXT(C210,"0000")</f>
        <v/>
      </c>
      <c r="B210" s="68" t="n">
        <v>101</v>
      </c>
      <c r="C210" s="68" t="n">
        <v>207</v>
      </c>
      <c r="D210" s="68" t="inlineStr">
        <is>
          <t>HpRatio</t>
        </is>
      </c>
      <c r="E210" s="68">
        <f>ROUND(E$5*($C209^E$2*E$3), 0)</f>
        <v/>
      </c>
      <c r="F210" s="68" t="inlineStr">
        <is>
          <t>AtkRatio</t>
        </is>
      </c>
      <c r="G210" s="68">
        <f>ROUND(G$5*($C209^$E$2*$E$3), 0)</f>
        <v/>
      </c>
      <c r="H210" s="68" t="inlineStr">
        <is>
          <t>DefRatio</t>
        </is>
      </c>
      <c r="I210" s="68">
        <f>ROUND(I$5*($C209^$E$2*$E$3), 0)</f>
        <v/>
      </c>
    </row>
    <row r="211">
      <c r="A211" s="68">
        <f>B211&amp;TEXT(C211,"0000")</f>
        <v/>
      </c>
      <c r="B211" s="68" t="n">
        <v>101</v>
      </c>
      <c r="C211" s="68" t="n">
        <v>208</v>
      </c>
      <c r="D211" s="68" t="inlineStr">
        <is>
          <t>HpRatio</t>
        </is>
      </c>
      <c r="E211" s="68">
        <f>ROUND(E$5*($C210^E$2*E$3), 0)</f>
        <v/>
      </c>
      <c r="F211" s="68" t="inlineStr">
        <is>
          <t>AtkRatio</t>
        </is>
      </c>
      <c r="G211" s="68">
        <f>ROUND(G$5*($C210^$E$2*$E$3), 0)</f>
        <v/>
      </c>
      <c r="H211" s="68" t="inlineStr">
        <is>
          <t>DefRatio</t>
        </is>
      </c>
      <c r="I211" s="68">
        <f>ROUND(I$5*($C210^$E$2*$E$3), 0)</f>
        <v/>
      </c>
    </row>
    <row r="212">
      <c r="A212" s="68">
        <f>B212&amp;TEXT(C212,"0000")</f>
        <v/>
      </c>
      <c r="B212" s="68" t="n">
        <v>101</v>
      </c>
      <c r="C212" s="68" t="n">
        <v>209</v>
      </c>
      <c r="D212" s="68" t="inlineStr">
        <is>
          <t>HpRatio</t>
        </is>
      </c>
      <c r="E212" s="68">
        <f>ROUND(E$5*($C211^E$2*E$3), 0)</f>
        <v/>
      </c>
      <c r="F212" s="68" t="inlineStr">
        <is>
          <t>AtkRatio</t>
        </is>
      </c>
      <c r="G212" s="68">
        <f>ROUND(G$5*($C211^$E$2*$E$3), 0)</f>
        <v/>
      </c>
      <c r="H212" s="68" t="inlineStr">
        <is>
          <t>DefRatio</t>
        </is>
      </c>
      <c r="I212" s="68">
        <f>ROUND(I$5*($C211^$E$2*$E$3), 0)</f>
        <v/>
      </c>
    </row>
    <row r="213">
      <c r="A213" s="68">
        <f>B213&amp;TEXT(C213,"0000")</f>
        <v/>
      </c>
      <c r="B213" s="68" t="n">
        <v>101</v>
      </c>
      <c r="C213" s="68" t="n">
        <v>210</v>
      </c>
      <c r="D213" s="68" t="inlineStr">
        <is>
          <t>HpRatio</t>
        </is>
      </c>
      <c r="E213" s="68">
        <f>ROUND(E$5*($C212^E$2*E$3), 0)</f>
        <v/>
      </c>
      <c r="F213" s="68" t="inlineStr">
        <is>
          <t>AtkRatio</t>
        </is>
      </c>
      <c r="G213" s="68">
        <f>ROUND(G$5*($C212^$E$2*$E$3), 0)</f>
        <v/>
      </c>
      <c r="H213" s="68" t="inlineStr">
        <is>
          <t>DefRatio</t>
        </is>
      </c>
      <c r="I213" s="68">
        <f>ROUND(I$5*($C212^$E$2*$E$3), 0)</f>
        <v/>
      </c>
    </row>
    <row r="214">
      <c r="A214" s="68">
        <f>B214&amp;TEXT(C214,"0000")</f>
        <v/>
      </c>
      <c r="B214" s="68" t="n">
        <v>101</v>
      </c>
      <c r="C214" s="68" t="n">
        <v>211</v>
      </c>
      <c r="D214" s="68" t="inlineStr">
        <is>
          <t>HpRatio</t>
        </is>
      </c>
      <c r="E214" s="68">
        <f>ROUND(E$5*($C213^E$2*E$3), 0)</f>
        <v/>
      </c>
      <c r="F214" s="68" t="inlineStr">
        <is>
          <t>AtkRatio</t>
        </is>
      </c>
      <c r="G214" s="68">
        <f>ROUND(G$5*($C213^$E$2*$E$3), 0)</f>
        <v/>
      </c>
      <c r="H214" s="68" t="inlineStr">
        <is>
          <t>DefRatio</t>
        </is>
      </c>
      <c r="I214" s="68">
        <f>ROUND(I$5*($C213^$E$2*$E$3), 0)</f>
        <v/>
      </c>
    </row>
    <row r="215">
      <c r="A215" s="68">
        <f>B215&amp;TEXT(C215,"0000")</f>
        <v/>
      </c>
      <c r="B215" s="68" t="n">
        <v>101</v>
      </c>
      <c r="C215" s="68" t="n">
        <v>212</v>
      </c>
      <c r="D215" s="68" t="inlineStr">
        <is>
          <t>HpRatio</t>
        </is>
      </c>
      <c r="E215" s="68">
        <f>ROUND(E$5*($C214^E$2*E$3), 0)</f>
        <v/>
      </c>
      <c r="F215" s="68" t="inlineStr">
        <is>
          <t>AtkRatio</t>
        </is>
      </c>
      <c r="G215" s="68">
        <f>ROUND(G$5*($C214^$E$2*$E$3), 0)</f>
        <v/>
      </c>
      <c r="H215" s="68" t="inlineStr">
        <is>
          <t>DefRatio</t>
        </is>
      </c>
      <c r="I215" s="68">
        <f>ROUND(I$5*($C214^$E$2*$E$3), 0)</f>
        <v/>
      </c>
    </row>
    <row r="216">
      <c r="A216" s="68">
        <f>B216&amp;TEXT(C216,"0000")</f>
        <v/>
      </c>
      <c r="B216" s="68" t="n">
        <v>101</v>
      </c>
      <c r="C216" s="68" t="n">
        <v>213</v>
      </c>
      <c r="D216" s="68" t="inlineStr">
        <is>
          <t>HpRatio</t>
        </is>
      </c>
      <c r="E216" s="68">
        <f>ROUND(E$5*($C215^E$2*E$3), 0)</f>
        <v/>
      </c>
      <c r="F216" s="68" t="inlineStr">
        <is>
          <t>AtkRatio</t>
        </is>
      </c>
      <c r="G216" s="68">
        <f>ROUND(G$5*($C215^$E$2*$E$3), 0)</f>
        <v/>
      </c>
      <c r="H216" s="68" t="inlineStr">
        <is>
          <t>DefRatio</t>
        </is>
      </c>
      <c r="I216" s="68">
        <f>ROUND(I$5*($C215^$E$2*$E$3), 0)</f>
        <v/>
      </c>
    </row>
    <row r="217">
      <c r="A217" s="68">
        <f>B217&amp;TEXT(C217,"0000")</f>
        <v/>
      </c>
      <c r="B217" s="68" t="n">
        <v>101</v>
      </c>
      <c r="C217" s="68" t="n">
        <v>214</v>
      </c>
      <c r="D217" s="68" t="inlineStr">
        <is>
          <t>HpRatio</t>
        </is>
      </c>
      <c r="E217" s="68">
        <f>ROUND(E$5*($C216^E$2*E$3), 0)</f>
        <v/>
      </c>
      <c r="F217" s="68" t="inlineStr">
        <is>
          <t>AtkRatio</t>
        </is>
      </c>
      <c r="G217" s="68">
        <f>ROUND(G$5*($C216^$E$2*$E$3), 0)</f>
        <v/>
      </c>
      <c r="H217" s="68" t="inlineStr">
        <is>
          <t>DefRatio</t>
        </is>
      </c>
      <c r="I217" s="68">
        <f>ROUND(I$5*($C216^$E$2*$E$3), 0)</f>
        <v/>
      </c>
    </row>
    <row r="218">
      <c r="A218" s="68">
        <f>B218&amp;TEXT(C218,"0000")</f>
        <v/>
      </c>
      <c r="B218" s="68" t="n">
        <v>101</v>
      </c>
      <c r="C218" s="68" t="n">
        <v>215</v>
      </c>
      <c r="D218" s="68" t="inlineStr">
        <is>
          <t>HpRatio</t>
        </is>
      </c>
      <c r="E218" s="68">
        <f>ROUND(E$5*($C217^E$2*E$3), 0)</f>
        <v/>
      </c>
      <c r="F218" s="68" t="inlineStr">
        <is>
          <t>AtkRatio</t>
        </is>
      </c>
      <c r="G218" s="68">
        <f>ROUND(G$5*($C217^$E$2*$E$3), 0)</f>
        <v/>
      </c>
      <c r="H218" s="68" t="inlineStr">
        <is>
          <t>DefRatio</t>
        </is>
      </c>
      <c r="I218" s="68">
        <f>ROUND(I$5*($C217^$E$2*$E$3), 0)</f>
        <v/>
      </c>
    </row>
    <row r="219">
      <c r="A219" s="68">
        <f>B219&amp;TEXT(C219,"0000")</f>
        <v/>
      </c>
      <c r="B219" s="68" t="n">
        <v>101</v>
      </c>
      <c r="C219" s="68" t="n">
        <v>216</v>
      </c>
      <c r="D219" s="68" t="inlineStr">
        <is>
          <t>HpRatio</t>
        </is>
      </c>
      <c r="E219" s="68">
        <f>ROUND(E$5*($C218^E$2*E$3), 0)</f>
        <v/>
      </c>
      <c r="F219" s="68" t="inlineStr">
        <is>
          <t>AtkRatio</t>
        </is>
      </c>
      <c r="G219" s="68">
        <f>ROUND(G$5*($C218^$E$2*$E$3), 0)</f>
        <v/>
      </c>
      <c r="H219" s="68" t="inlineStr">
        <is>
          <t>DefRatio</t>
        </is>
      </c>
      <c r="I219" s="68">
        <f>ROUND(I$5*($C218^$E$2*$E$3), 0)</f>
        <v/>
      </c>
    </row>
    <row r="220">
      <c r="A220" s="68">
        <f>B220&amp;TEXT(C220,"0000")</f>
        <v/>
      </c>
      <c r="B220" s="68" t="n">
        <v>101</v>
      </c>
      <c r="C220" s="68" t="n">
        <v>217</v>
      </c>
      <c r="D220" s="68" t="inlineStr">
        <is>
          <t>HpRatio</t>
        </is>
      </c>
      <c r="E220" s="68">
        <f>ROUND(E$5*($C219^E$2*E$3), 0)</f>
        <v/>
      </c>
      <c r="F220" s="68" t="inlineStr">
        <is>
          <t>AtkRatio</t>
        </is>
      </c>
      <c r="G220" s="68">
        <f>ROUND(G$5*($C219^$E$2*$E$3), 0)</f>
        <v/>
      </c>
      <c r="H220" s="68" t="inlineStr">
        <is>
          <t>DefRatio</t>
        </is>
      </c>
      <c r="I220" s="68">
        <f>ROUND(I$5*($C219^$E$2*$E$3), 0)</f>
        <v/>
      </c>
    </row>
    <row r="221">
      <c r="A221" s="68">
        <f>B221&amp;TEXT(C221,"0000")</f>
        <v/>
      </c>
      <c r="B221" s="68" t="n">
        <v>101</v>
      </c>
      <c r="C221" s="68" t="n">
        <v>218</v>
      </c>
      <c r="D221" s="68" t="inlineStr">
        <is>
          <t>HpRatio</t>
        </is>
      </c>
      <c r="E221" s="68">
        <f>ROUND(E$5*($C220^E$2*E$3), 0)</f>
        <v/>
      </c>
      <c r="F221" s="68" t="inlineStr">
        <is>
          <t>AtkRatio</t>
        </is>
      </c>
      <c r="G221" s="68">
        <f>ROUND(G$5*($C220^$E$2*$E$3), 0)</f>
        <v/>
      </c>
      <c r="H221" s="68" t="inlineStr">
        <is>
          <t>DefRatio</t>
        </is>
      </c>
      <c r="I221" s="68">
        <f>ROUND(I$5*($C220^$E$2*$E$3), 0)</f>
        <v/>
      </c>
    </row>
    <row r="222">
      <c r="A222" s="68">
        <f>B222&amp;TEXT(C222,"0000")</f>
        <v/>
      </c>
      <c r="B222" s="68" t="n">
        <v>101</v>
      </c>
      <c r="C222" s="68" t="n">
        <v>219</v>
      </c>
      <c r="D222" s="68" t="inlineStr">
        <is>
          <t>HpRatio</t>
        </is>
      </c>
      <c r="E222" s="68">
        <f>ROUND(E$5*($C221^E$2*E$3), 0)</f>
        <v/>
      </c>
      <c r="F222" s="68" t="inlineStr">
        <is>
          <t>AtkRatio</t>
        </is>
      </c>
      <c r="G222" s="68">
        <f>ROUND(G$5*($C221^$E$2*$E$3), 0)</f>
        <v/>
      </c>
      <c r="H222" s="68" t="inlineStr">
        <is>
          <t>DefRatio</t>
        </is>
      </c>
      <c r="I222" s="68">
        <f>ROUND(I$5*($C221^$E$2*$E$3), 0)</f>
        <v/>
      </c>
    </row>
    <row r="223">
      <c r="A223" s="68">
        <f>B223&amp;TEXT(C223,"0000")</f>
        <v/>
      </c>
      <c r="B223" s="68" t="n">
        <v>101</v>
      </c>
      <c r="C223" s="68" t="n">
        <v>220</v>
      </c>
      <c r="D223" s="68" t="inlineStr">
        <is>
          <t>HpRatio</t>
        </is>
      </c>
      <c r="E223" s="68">
        <f>ROUND(E$5*($C222^E$2*E$3), 0)</f>
        <v/>
      </c>
      <c r="F223" s="68" t="inlineStr">
        <is>
          <t>AtkRatio</t>
        </is>
      </c>
      <c r="G223" s="68">
        <f>ROUND(G$5*($C222^$E$2*$E$3), 0)</f>
        <v/>
      </c>
      <c r="H223" s="68" t="inlineStr">
        <is>
          <t>DefRatio</t>
        </is>
      </c>
      <c r="I223" s="68">
        <f>ROUND(I$5*($C222^$E$2*$E$3), 0)</f>
        <v/>
      </c>
    </row>
    <row r="224">
      <c r="A224" s="68">
        <f>B224&amp;TEXT(C224,"0000")</f>
        <v/>
      </c>
      <c r="B224" s="68" t="n">
        <v>101</v>
      </c>
      <c r="C224" s="68" t="n">
        <v>221</v>
      </c>
      <c r="D224" s="68" t="inlineStr">
        <is>
          <t>HpRatio</t>
        </is>
      </c>
      <c r="E224" s="68">
        <f>ROUND(E$5*($C223^E$2*E$3), 0)</f>
        <v/>
      </c>
      <c r="F224" s="68" t="inlineStr">
        <is>
          <t>AtkRatio</t>
        </is>
      </c>
      <c r="G224" s="68">
        <f>ROUND(G$5*($C223^$E$2*$E$3), 0)</f>
        <v/>
      </c>
      <c r="H224" s="68" t="inlineStr">
        <is>
          <t>DefRatio</t>
        </is>
      </c>
      <c r="I224" s="68">
        <f>ROUND(I$5*($C223^$E$2*$E$3), 0)</f>
        <v/>
      </c>
    </row>
    <row r="225">
      <c r="A225" s="68">
        <f>B225&amp;TEXT(C225,"0000")</f>
        <v/>
      </c>
      <c r="B225" s="68" t="n">
        <v>101</v>
      </c>
      <c r="C225" s="68" t="n">
        <v>222</v>
      </c>
      <c r="D225" s="68" t="inlineStr">
        <is>
          <t>HpRatio</t>
        </is>
      </c>
      <c r="E225" s="68">
        <f>ROUND(E$5*($C224^E$2*E$3), 0)</f>
        <v/>
      </c>
      <c r="F225" s="68" t="inlineStr">
        <is>
          <t>AtkRatio</t>
        </is>
      </c>
      <c r="G225" s="68">
        <f>ROUND(G$5*($C224^$E$2*$E$3), 0)</f>
        <v/>
      </c>
      <c r="H225" s="68" t="inlineStr">
        <is>
          <t>DefRatio</t>
        </is>
      </c>
      <c r="I225" s="68">
        <f>ROUND(I$5*($C224^$E$2*$E$3), 0)</f>
        <v/>
      </c>
    </row>
    <row r="226">
      <c r="A226" s="68">
        <f>B226&amp;TEXT(C226,"0000")</f>
        <v/>
      </c>
      <c r="B226" s="68" t="n">
        <v>101</v>
      </c>
      <c r="C226" s="68" t="n">
        <v>223</v>
      </c>
      <c r="D226" s="68" t="inlineStr">
        <is>
          <t>HpRatio</t>
        </is>
      </c>
      <c r="E226" s="68">
        <f>ROUND(E$5*($C225^E$2*E$3), 0)</f>
        <v/>
      </c>
      <c r="F226" s="68" t="inlineStr">
        <is>
          <t>AtkRatio</t>
        </is>
      </c>
      <c r="G226" s="68">
        <f>ROUND(G$5*($C225^$E$2*$E$3), 0)</f>
        <v/>
      </c>
      <c r="H226" s="68" t="inlineStr">
        <is>
          <t>DefRatio</t>
        </is>
      </c>
      <c r="I226" s="68">
        <f>ROUND(I$5*($C225^$E$2*$E$3), 0)</f>
        <v/>
      </c>
    </row>
    <row r="227">
      <c r="A227" s="68">
        <f>B227&amp;TEXT(C227,"0000")</f>
        <v/>
      </c>
      <c r="B227" s="68" t="n">
        <v>101</v>
      </c>
      <c r="C227" s="68" t="n">
        <v>224</v>
      </c>
      <c r="D227" s="68" t="inlineStr">
        <is>
          <t>HpRatio</t>
        </is>
      </c>
      <c r="E227" s="68">
        <f>ROUND(E$5*($C226^E$2*E$3), 0)</f>
        <v/>
      </c>
      <c r="F227" s="68" t="inlineStr">
        <is>
          <t>AtkRatio</t>
        </is>
      </c>
      <c r="G227" s="68">
        <f>ROUND(G$5*($C226^$E$2*$E$3), 0)</f>
        <v/>
      </c>
      <c r="H227" s="68" t="inlineStr">
        <is>
          <t>DefRatio</t>
        </is>
      </c>
      <c r="I227" s="68">
        <f>ROUND(I$5*($C226^$E$2*$E$3), 0)</f>
        <v/>
      </c>
    </row>
    <row r="228">
      <c r="A228" s="68">
        <f>B228&amp;TEXT(C228,"0000")</f>
        <v/>
      </c>
      <c r="B228" s="68" t="n">
        <v>101</v>
      </c>
      <c r="C228" s="68" t="n">
        <v>225</v>
      </c>
      <c r="D228" s="68" t="inlineStr">
        <is>
          <t>HpRatio</t>
        </is>
      </c>
      <c r="E228" s="68">
        <f>ROUND(E$5*($C227^E$2*E$3), 0)</f>
        <v/>
      </c>
      <c r="F228" s="68" t="inlineStr">
        <is>
          <t>AtkRatio</t>
        </is>
      </c>
      <c r="G228" s="68">
        <f>ROUND(G$5*($C227^$E$2*$E$3), 0)</f>
        <v/>
      </c>
      <c r="H228" s="68" t="inlineStr">
        <is>
          <t>DefRatio</t>
        </is>
      </c>
      <c r="I228" s="68">
        <f>ROUND(I$5*($C227^$E$2*$E$3), 0)</f>
        <v/>
      </c>
    </row>
    <row r="229">
      <c r="A229" s="68">
        <f>B229&amp;TEXT(C229,"0000")</f>
        <v/>
      </c>
      <c r="B229" s="68" t="n">
        <v>101</v>
      </c>
      <c r="C229" s="68" t="n">
        <v>226</v>
      </c>
      <c r="D229" s="68" t="inlineStr">
        <is>
          <t>HpRatio</t>
        </is>
      </c>
      <c r="E229" s="68">
        <f>ROUND(E$5*($C228^E$2*E$3), 0)</f>
        <v/>
      </c>
      <c r="F229" s="68" t="inlineStr">
        <is>
          <t>AtkRatio</t>
        </is>
      </c>
      <c r="G229" s="68">
        <f>ROUND(G$5*($C228^$E$2*$E$3), 0)</f>
        <v/>
      </c>
      <c r="H229" s="68" t="inlineStr">
        <is>
          <t>DefRatio</t>
        </is>
      </c>
      <c r="I229" s="68">
        <f>ROUND(I$5*($C228^$E$2*$E$3), 0)</f>
        <v/>
      </c>
    </row>
    <row r="230">
      <c r="A230" s="68">
        <f>B230&amp;TEXT(C230,"0000")</f>
        <v/>
      </c>
      <c r="B230" s="68" t="n">
        <v>101</v>
      </c>
      <c r="C230" s="68" t="n">
        <v>227</v>
      </c>
      <c r="D230" s="68" t="inlineStr">
        <is>
          <t>HpRatio</t>
        </is>
      </c>
      <c r="E230" s="68">
        <f>ROUND(E$5*($C229^E$2*E$3), 0)</f>
        <v/>
      </c>
      <c r="F230" s="68" t="inlineStr">
        <is>
          <t>AtkRatio</t>
        </is>
      </c>
      <c r="G230" s="68">
        <f>ROUND(G$5*($C229^$E$2*$E$3), 0)</f>
        <v/>
      </c>
      <c r="H230" s="68" t="inlineStr">
        <is>
          <t>DefRatio</t>
        </is>
      </c>
      <c r="I230" s="68">
        <f>ROUND(I$5*($C229^$E$2*$E$3), 0)</f>
        <v/>
      </c>
    </row>
    <row r="231">
      <c r="A231" s="68">
        <f>B231&amp;TEXT(C231,"0000")</f>
        <v/>
      </c>
      <c r="B231" s="68" t="n">
        <v>101</v>
      </c>
      <c r="C231" s="68" t="n">
        <v>228</v>
      </c>
      <c r="D231" s="68" t="inlineStr">
        <is>
          <t>HpRatio</t>
        </is>
      </c>
      <c r="E231" s="68">
        <f>ROUND(E$5*($C230^E$2*E$3), 0)</f>
        <v/>
      </c>
      <c r="F231" s="68" t="inlineStr">
        <is>
          <t>AtkRatio</t>
        </is>
      </c>
      <c r="G231" s="68">
        <f>ROUND(G$5*($C230^$E$2*$E$3), 0)</f>
        <v/>
      </c>
      <c r="H231" s="68" t="inlineStr">
        <is>
          <t>DefRatio</t>
        </is>
      </c>
      <c r="I231" s="68">
        <f>ROUND(I$5*($C230^$E$2*$E$3), 0)</f>
        <v/>
      </c>
    </row>
    <row r="232">
      <c r="A232" s="68">
        <f>B232&amp;TEXT(C232,"0000")</f>
        <v/>
      </c>
      <c r="B232" s="68" t="n">
        <v>101</v>
      </c>
      <c r="C232" s="68" t="n">
        <v>229</v>
      </c>
      <c r="D232" s="68" t="inlineStr">
        <is>
          <t>HpRatio</t>
        </is>
      </c>
      <c r="E232" s="68">
        <f>ROUND(E$5*($C231^E$2*E$3), 0)</f>
        <v/>
      </c>
      <c r="F232" s="68" t="inlineStr">
        <is>
          <t>AtkRatio</t>
        </is>
      </c>
      <c r="G232" s="68">
        <f>ROUND(G$5*($C231^$E$2*$E$3), 0)</f>
        <v/>
      </c>
      <c r="H232" s="68" t="inlineStr">
        <is>
          <t>DefRatio</t>
        </is>
      </c>
      <c r="I232" s="68">
        <f>ROUND(I$5*($C231^$E$2*$E$3), 0)</f>
        <v/>
      </c>
    </row>
    <row r="233">
      <c r="A233" s="68">
        <f>B233&amp;TEXT(C233,"0000")</f>
        <v/>
      </c>
      <c r="B233" s="68" t="n">
        <v>101</v>
      </c>
      <c r="C233" s="68" t="n">
        <v>230</v>
      </c>
      <c r="D233" s="68" t="inlineStr">
        <is>
          <t>HpRatio</t>
        </is>
      </c>
      <c r="E233" s="68">
        <f>ROUND(E$5*($C232^E$2*E$3), 0)</f>
        <v/>
      </c>
      <c r="F233" s="68" t="inlineStr">
        <is>
          <t>AtkRatio</t>
        </is>
      </c>
      <c r="G233" s="68">
        <f>ROUND(G$5*($C232^$E$2*$E$3), 0)</f>
        <v/>
      </c>
      <c r="H233" s="68" t="inlineStr">
        <is>
          <t>DefRatio</t>
        </is>
      </c>
      <c r="I233" s="68">
        <f>ROUND(I$5*($C232^$E$2*$E$3), 0)</f>
        <v/>
      </c>
    </row>
    <row r="234">
      <c r="A234" s="68">
        <f>B234&amp;TEXT(C234,"0000")</f>
        <v/>
      </c>
      <c r="B234" s="68" t="n">
        <v>101</v>
      </c>
      <c r="C234" s="68" t="n">
        <v>231</v>
      </c>
      <c r="D234" s="68" t="inlineStr">
        <is>
          <t>HpRatio</t>
        </is>
      </c>
      <c r="E234" s="68">
        <f>ROUND(E$5*($C233^E$2*E$3), 0)</f>
        <v/>
      </c>
      <c r="F234" s="68" t="inlineStr">
        <is>
          <t>AtkRatio</t>
        </is>
      </c>
      <c r="G234" s="68">
        <f>ROUND(G$5*($C233^$E$2*$E$3), 0)</f>
        <v/>
      </c>
      <c r="H234" s="68" t="inlineStr">
        <is>
          <t>DefRatio</t>
        </is>
      </c>
      <c r="I234" s="68">
        <f>ROUND(I$5*($C233^$E$2*$E$3), 0)</f>
        <v/>
      </c>
    </row>
    <row r="235">
      <c r="A235" s="68">
        <f>B235&amp;TEXT(C235,"0000")</f>
        <v/>
      </c>
      <c r="B235" s="68" t="n">
        <v>101</v>
      </c>
      <c r="C235" s="68" t="n">
        <v>232</v>
      </c>
      <c r="D235" s="68" t="inlineStr">
        <is>
          <t>HpRatio</t>
        </is>
      </c>
      <c r="E235" s="68">
        <f>ROUND(E$5*($C234^E$2*E$3), 0)</f>
        <v/>
      </c>
      <c r="F235" s="68" t="inlineStr">
        <is>
          <t>AtkRatio</t>
        </is>
      </c>
      <c r="G235" s="68">
        <f>ROUND(G$5*($C234^$E$2*$E$3), 0)</f>
        <v/>
      </c>
      <c r="H235" s="68" t="inlineStr">
        <is>
          <t>DefRatio</t>
        </is>
      </c>
      <c r="I235" s="68">
        <f>ROUND(I$5*($C234^$E$2*$E$3), 0)</f>
        <v/>
      </c>
    </row>
    <row r="236">
      <c r="A236" s="68">
        <f>B236&amp;TEXT(C236,"0000")</f>
        <v/>
      </c>
      <c r="B236" s="68" t="n">
        <v>101</v>
      </c>
      <c r="C236" s="68" t="n">
        <v>233</v>
      </c>
      <c r="D236" s="68" t="inlineStr">
        <is>
          <t>HpRatio</t>
        </is>
      </c>
      <c r="E236" s="68">
        <f>ROUND(E$5*($C235^E$2*E$3), 0)</f>
        <v/>
      </c>
      <c r="F236" s="68" t="inlineStr">
        <is>
          <t>AtkRatio</t>
        </is>
      </c>
      <c r="G236" s="68">
        <f>ROUND(G$5*($C235^$E$2*$E$3), 0)</f>
        <v/>
      </c>
      <c r="H236" s="68" t="inlineStr">
        <is>
          <t>DefRatio</t>
        </is>
      </c>
      <c r="I236" s="68">
        <f>ROUND(I$5*($C235^$E$2*$E$3), 0)</f>
        <v/>
      </c>
    </row>
    <row r="237">
      <c r="A237" s="68">
        <f>B237&amp;TEXT(C237,"0000")</f>
        <v/>
      </c>
      <c r="B237" s="68" t="n">
        <v>101</v>
      </c>
      <c r="C237" s="68" t="n">
        <v>234</v>
      </c>
      <c r="D237" s="68" t="inlineStr">
        <is>
          <t>HpRatio</t>
        </is>
      </c>
      <c r="E237" s="68">
        <f>ROUND(E$5*($C236^E$2*E$3), 0)</f>
        <v/>
      </c>
      <c r="F237" s="68" t="inlineStr">
        <is>
          <t>AtkRatio</t>
        </is>
      </c>
      <c r="G237" s="68">
        <f>ROUND(G$5*($C236^$E$2*$E$3), 0)</f>
        <v/>
      </c>
      <c r="H237" s="68" t="inlineStr">
        <is>
          <t>DefRatio</t>
        </is>
      </c>
      <c r="I237" s="68">
        <f>ROUND(I$5*($C236^$E$2*$E$3), 0)</f>
        <v/>
      </c>
    </row>
    <row r="238">
      <c r="A238" s="68">
        <f>B238&amp;TEXT(C238,"0000")</f>
        <v/>
      </c>
      <c r="B238" s="68" t="n">
        <v>101</v>
      </c>
      <c r="C238" s="68" t="n">
        <v>235</v>
      </c>
      <c r="D238" s="68" t="inlineStr">
        <is>
          <t>HpRatio</t>
        </is>
      </c>
      <c r="E238" s="68">
        <f>ROUND(E$5*($C237^E$2*E$3), 0)</f>
        <v/>
      </c>
      <c r="F238" s="68" t="inlineStr">
        <is>
          <t>AtkRatio</t>
        </is>
      </c>
      <c r="G238" s="68">
        <f>ROUND(G$5*($C237^$E$2*$E$3), 0)</f>
        <v/>
      </c>
      <c r="H238" s="68" t="inlineStr">
        <is>
          <t>DefRatio</t>
        </is>
      </c>
      <c r="I238" s="68">
        <f>ROUND(I$5*($C237^$E$2*$E$3), 0)</f>
        <v/>
      </c>
    </row>
    <row r="239">
      <c r="A239" s="68">
        <f>B239&amp;TEXT(C239,"0000")</f>
        <v/>
      </c>
      <c r="B239" s="68" t="n">
        <v>101</v>
      </c>
      <c r="C239" s="68" t="n">
        <v>236</v>
      </c>
      <c r="D239" s="68" t="inlineStr">
        <is>
          <t>HpRatio</t>
        </is>
      </c>
      <c r="E239" s="68">
        <f>ROUND(E$5*($C238^E$2*E$3), 0)</f>
        <v/>
      </c>
      <c r="F239" s="68" t="inlineStr">
        <is>
          <t>AtkRatio</t>
        </is>
      </c>
      <c r="G239" s="68">
        <f>ROUND(G$5*($C238^$E$2*$E$3), 0)</f>
        <v/>
      </c>
      <c r="H239" s="68" t="inlineStr">
        <is>
          <t>DefRatio</t>
        </is>
      </c>
      <c r="I239" s="68">
        <f>ROUND(I$5*($C238^$E$2*$E$3), 0)</f>
        <v/>
      </c>
    </row>
    <row r="240">
      <c r="A240" s="68">
        <f>B240&amp;TEXT(C240,"0000")</f>
        <v/>
      </c>
      <c r="B240" s="68" t="n">
        <v>101</v>
      </c>
      <c r="C240" s="68" t="n">
        <v>237</v>
      </c>
      <c r="D240" s="68" t="inlineStr">
        <is>
          <t>HpRatio</t>
        </is>
      </c>
      <c r="E240" s="68">
        <f>ROUND(E$5*($C239^E$2*E$3), 0)</f>
        <v/>
      </c>
      <c r="F240" s="68" t="inlineStr">
        <is>
          <t>AtkRatio</t>
        </is>
      </c>
      <c r="G240" s="68">
        <f>ROUND(G$5*($C239^$E$2*$E$3), 0)</f>
        <v/>
      </c>
      <c r="H240" s="68" t="inlineStr">
        <is>
          <t>DefRatio</t>
        </is>
      </c>
      <c r="I240" s="68">
        <f>ROUND(I$5*($C239^$E$2*$E$3), 0)</f>
        <v/>
      </c>
    </row>
    <row r="241">
      <c r="A241" s="68">
        <f>B241&amp;TEXT(C241,"0000")</f>
        <v/>
      </c>
      <c r="B241" s="68" t="n">
        <v>101</v>
      </c>
      <c r="C241" s="68" t="n">
        <v>238</v>
      </c>
      <c r="D241" s="68" t="inlineStr">
        <is>
          <t>HpRatio</t>
        </is>
      </c>
      <c r="E241" s="68">
        <f>ROUND(E$5*($C240^E$2*E$3), 0)</f>
        <v/>
      </c>
      <c r="F241" s="68" t="inlineStr">
        <is>
          <t>AtkRatio</t>
        </is>
      </c>
      <c r="G241" s="68">
        <f>ROUND(G$5*($C240^$E$2*$E$3), 0)</f>
        <v/>
      </c>
      <c r="H241" s="68" t="inlineStr">
        <is>
          <t>DefRatio</t>
        </is>
      </c>
      <c r="I241" s="68">
        <f>ROUND(I$5*($C240^$E$2*$E$3), 0)</f>
        <v/>
      </c>
    </row>
    <row r="242">
      <c r="A242" s="68">
        <f>B242&amp;TEXT(C242,"0000")</f>
        <v/>
      </c>
      <c r="B242" s="68" t="n">
        <v>101</v>
      </c>
      <c r="C242" s="68" t="n">
        <v>239</v>
      </c>
      <c r="D242" s="68" t="inlineStr">
        <is>
          <t>HpRatio</t>
        </is>
      </c>
      <c r="E242" s="68">
        <f>ROUND(E$5*($C241^E$2*E$3), 0)</f>
        <v/>
      </c>
      <c r="F242" s="68" t="inlineStr">
        <is>
          <t>AtkRatio</t>
        </is>
      </c>
      <c r="G242" s="68">
        <f>ROUND(G$5*($C241^$E$2*$E$3), 0)</f>
        <v/>
      </c>
      <c r="H242" s="68" t="inlineStr">
        <is>
          <t>DefRatio</t>
        </is>
      </c>
      <c r="I242" s="68">
        <f>ROUND(I$5*($C241^$E$2*$E$3), 0)</f>
        <v/>
      </c>
    </row>
    <row r="243">
      <c r="A243" s="68">
        <f>B243&amp;TEXT(C243,"0000")</f>
        <v/>
      </c>
      <c r="B243" s="68" t="n">
        <v>101</v>
      </c>
      <c r="C243" s="68" t="n">
        <v>240</v>
      </c>
      <c r="D243" s="68" t="inlineStr">
        <is>
          <t>HpRatio</t>
        </is>
      </c>
      <c r="E243" s="68">
        <f>ROUND(E$5*($C242^E$2*E$3), 0)</f>
        <v/>
      </c>
      <c r="F243" s="68" t="inlineStr">
        <is>
          <t>AtkRatio</t>
        </is>
      </c>
      <c r="G243" s="68">
        <f>ROUND(G$5*($C242^$E$2*$E$3), 0)</f>
        <v/>
      </c>
      <c r="H243" s="68" t="inlineStr">
        <is>
          <t>DefRatio</t>
        </is>
      </c>
      <c r="I243" s="68">
        <f>ROUND(I$5*($C242^$E$2*$E$3), 0)</f>
        <v/>
      </c>
    </row>
    <row r="244">
      <c r="A244" s="68">
        <f>B244&amp;TEXT(C244,"0000")</f>
        <v/>
      </c>
      <c r="B244" s="68" t="n">
        <v>101</v>
      </c>
      <c r="C244" s="68" t="n">
        <v>241</v>
      </c>
      <c r="D244" s="68" t="inlineStr">
        <is>
          <t>HpRatio</t>
        </is>
      </c>
      <c r="E244" s="68">
        <f>ROUND(E$5*($C243^E$2*E$3), 0)</f>
        <v/>
      </c>
      <c r="F244" s="68" t="inlineStr">
        <is>
          <t>AtkRatio</t>
        </is>
      </c>
      <c r="G244" s="68">
        <f>ROUND(G$5*($C243^$E$2*$E$3), 0)</f>
        <v/>
      </c>
      <c r="H244" s="68" t="inlineStr">
        <is>
          <t>DefRatio</t>
        </is>
      </c>
      <c r="I244" s="68">
        <f>ROUND(I$5*($C243^$E$2*$E$3), 0)</f>
        <v/>
      </c>
    </row>
    <row r="245">
      <c r="A245" s="68">
        <f>B245&amp;TEXT(C245,"0000")</f>
        <v/>
      </c>
      <c r="B245" s="68" t="n">
        <v>101</v>
      </c>
      <c r="C245" s="68" t="n">
        <v>242</v>
      </c>
      <c r="D245" s="68" t="inlineStr">
        <is>
          <t>HpRatio</t>
        </is>
      </c>
      <c r="E245" s="68">
        <f>ROUND(E$5*($C244^E$2*E$3), 0)</f>
        <v/>
      </c>
      <c r="F245" s="68" t="inlineStr">
        <is>
          <t>AtkRatio</t>
        </is>
      </c>
      <c r="G245" s="68">
        <f>ROUND(G$5*($C244^$E$2*$E$3), 0)</f>
        <v/>
      </c>
      <c r="H245" s="68" t="inlineStr">
        <is>
          <t>DefRatio</t>
        </is>
      </c>
      <c r="I245" s="68">
        <f>ROUND(I$5*($C244^$E$2*$E$3), 0)</f>
        <v/>
      </c>
    </row>
    <row r="246">
      <c r="A246" s="68">
        <f>B246&amp;TEXT(C246,"0000")</f>
        <v/>
      </c>
      <c r="B246" s="68" t="n">
        <v>101</v>
      </c>
      <c r="C246" s="68" t="n">
        <v>243</v>
      </c>
      <c r="D246" s="68" t="inlineStr">
        <is>
          <t>HpRatio</t>
        </is>
      </c>
      <c r="E246" s="68">
        <f>ROUND(E$5*($C245^E$2*E$3), 0)</f>
        <v/>
      </c>
      <c r="F246" s="68" t="inlineStr">
        <is>
          <t>AtkRatio</t>
        </is>
      </c>
      <c r="G246" s="68">
        <f>ROUND(G$5*($C245^$E$2*$E$3), 0)</f>
        <v/>
      </c>
      <c r="H246" s="68" t="inlineStr">
        <is>
          <t>DefRatio</t>
        </is>
      </c>
      <c r="I246" s="68">
        <f>ROUND(I$5*($C245^$E$2*$E$3), 0)</f>
        <v/>
      </c>
    </row>
    <row r="247">
      <c r="A247" s="68">
        <f>B247&amp;TEXT(C247,"0000")</f>
        <v/>
      </c>
      <c r="B247" s="68" t="n">
        <v>101</v>
      </c>
      <c r="C247" s="68" t="n">
        <v>244</v>
      </c>
      <c r="D247" s="68" t="inlineStr">
        <is>
          <t>HpRatio</t>
        </is>
      </c>
      <c r="E247" s="68">
        <f>ROUND(E$5*($C246^E$2*E$3), 0)</f>
        <v/>
      </c>
      <c r="F247" s="68" t="inlineStr">
        <is>
          <t>AtkRatio</t>
        </is>
      </c>
      <c r="G247" s="68">
        <f>ROUND(G$5*($C246^$E$2*$E$3), 0)</f>
        <v/>
      </c>
      <c r="H247" s="68" t="inlineStr">
        <is>
          <t>DefRatio</t>
        </is>
      </c>
      <c r="I247" s="68">
        <f>ROUND(I$5*($C246^$E$2*$E$3), 0)</f>
        <v/>
      </c>
    </row>
    <row r="248">
      <c r="A248" s="68">
        <f>B248&amp;TEXT(C248,"0000")</f>
        <v/>
      </c>
      <c r="B248" s="68" t="n">
        <v>101</v>
      </c>
      <c r="C248" s="68" t="n">
        <v>245</v>
      </c>
      <c r="D248" s="68" t="inlineStr">
        <is>
          <t>HpRatio</t>
        </is>
      </c>
      <c r="E248" s="68">
        <f>ROUND(E$5*($C247^E$2*E$3), 0)</f>
        <v/>
      </c>
      <c r="F248" s="68" t="inlineStr">
        <is>
          <t>AtkRatio</t>
        </is>
      </c>
      <c r="G248" s="68">
        <f>ROUND(G$5*($C247^$E$2*$E$3), 0)</f>
        <v/>
      </c>
      <c r="H248" s="68" t="inlineStr">
        <is>
          <t>DefRatio</t>
        </is>
      </c>
      <c r="I248" s="68">
        <f>ROUND(I$5*($C247^$E$2*$E$3), 0)</f>
        <v/>
      </c>
    </row>
    <row r="249">
      <c r="A249" s="68">
        <f>B249&amp;TEXT(C249,"0000")</f>
        <v/>
      </c>
      <c r="B249" s="68" t="n">
        <v>101</v>
      </c>
      <c r="C249" s="68" t="n">
        <v>246</v>
      </c>
      <c r="D249" s="68" t="inlineStr">
        <is>
          <t>HpRatio</t>
        </is>
      </c>
      <c r="E249" s="68">
        <f>ROUND(E$5*($C248^E$2*E$3), 0)</f>
        <v/>
      </c>
      <c r="F249" s="68" t="inlineStr">
        <is>
          <t>AtkRatio</t>
        </is>
      </c>
      <c r="G249" s="68">
        <f>ROUND(G$5*($C248^$E$2*$E$3), 0)</f>
        <v/>
      </c>
      <c r="H249" s="68" t="inlineStr">
        <is>
          <t>DefRatio</t>
        </is>
      </c>
      <c r="I249" s="68">
        <f>ROUND(I$5*($C248^$E$2*$E$3), 0)</f>
        <v/>
      </c>
    </row>
    <row r="250">
      <c r="A250" s="68">
        <f>B250&amp;TEXT(C250,"0000")</f>
        <v/>
      </c>
      <c r="B250" s="68" t="n">
        <v>101</v>
      </c>
      <c r="C250" s="68" t="n">
        <v>247</v>
      </c>
      <c r="D250" s="68" t="inlineStr">
        <is>
          <t>HpRatio</t>
        </is>
      </c>
      <c r="E250" s="68">
        <f>ROUND(E$5*($C249^E$2*E$3), 0)</f>
        <v/>
      </c>
      <c r="F250" s="68" t="inlineStr">
        <is>
          <t>AtkRatio</t>
        </is>
      </c>
      <c r="G250" s="68">
        <f>ROUND(G$5*($C249^$E$2*$E$3), 0)</f>
        <v/>
      </c>
      <c r="H250" s="68" t="inlineStr">
        <is>
          <t>DefRatio</t>
        </is>
      </c>
      <c r="I250" s="68">
        <f>ROUND(I$5*($C249^$E$2*$E$3), 0)</f>
        <v/>
      </c>
    </row>
    <row r="251">
      <c r="A251" s="68">
        <f>B251&amp;TEXT(C251,"0000")</f>
        <v/>
      </c>
      <c r="B251" s="68" t="n">
        <v>101</v>
      </c>
      <c r="C251" s="68" t="n">
        <v>248</v>
      </c>
      <c r="D251" s="68" t="inlineStr">
        <is>
          <t>HpRatio</t>
        </is>
      </c>
      <c r="E251" s="68">
        <f>ROUND(E$5*($C250^E$2*E$3), 0)</f>
        <v/>
      </c>
      <c r="F251" s="68" t="inlineStr">
        <is>
          <t>AtkRatio</t>
        </is>
      </c>
      <c r="G251" s="68">
        <f>ROUND(G$5*($C250^$E$2*$E$3), 0)</f>
        <v/>
      </c>
      <c r="H251" s="68" t="inlineStr">
        <is>
          <t>DefRatio</t>
        </is>
      </c>
      <c r="I251" s="68">
        <f>ROUND(I$5*($C250^$E$2*$E$3), 0)</f>
        <v/>
      </c>
    </row>
    <row r="252">
      <c r="A252" s="68">
        <f>B252&amp;TEXT(C252,"0000")</f>
        <v/>
      </c>
      <c r="B252" s="68" t="n">
        <v>101</v>
      </c>
      <c r="C252" s="68" t="n">
        <v>249</v>
      </c>
      <c r="D252" s="68" t="inlineStr">
        <is>
          <t>HpRatio</t>
        </is>
      </c>
      <c r="E252" s="68">
        <f>ROUND(E$5*($C251^E$2*E$3), 0)</f>
        <v/>
      </c>
      <c r="F252" s="68" t="inlineStr">
        <is>
          <t>AtkRatio</t>
        </is>
      </c>
      <c r="G252" s="68">
        <f>ROUND(G$5*($C251^$E$2*$E$3), 0)</f>
        <v/>
      </c>
      <c r="H252" s="68" t="inlineStr">
        <is>
          <t>DefRatio</t>
        </is>
      </c>
      <c r="I252" s="68">
        <f>ROUND(I$5*($C251^$E$2*$E$3), 0)</f>
        <v/>
      </c>
    </row>
    <row r="253">
      <c r="A253" s="68">
        <f>B253&amp;TEXT(C253,"0000")</f>
        <v/>
      </c>
      <c r="B253" s="68" t="n">
        <v>101</v>
      </c>
      <c r="C253" s="68" t="n">
        <v>250</v>
      </c>
      <c r="D253" s="68" t="inlineStr">
        <is>
          <t>HpRatio</t>
        </is>
      </c>
      <c r="E253" s="68">
        <f>ROUND(E$5*($C252^E$2*E$3), 0)</f>
        <v/>
      </c>
      <c r="F253" s="68" t="inlineStr">
        <is>
          <t>AtkRatio</t>
        </is>
      </c>
      <c r="G253" s="68">
        <f>ROUND(G$5*($C252^$E$2*$E$3), 0)</f>
        <v/>
      </c>
      <c r="H253" s="68" t="inlineStr">
        <is>
          <t>DefRatio</t>
        </is>
      </c>
      <c r="I253" s="68">
        <f>ROUND(I$5*($C252^$E$2*$E$3), 0)</f>
        <v/>
      </c>
    </row>
    <row r="254">
      <c r="A254" s="68">
        <f>B254&amp;TEXT(C254,"0000")</f>
        <v/>
      </c>
      <c r="B254" s="68" t="n">
        <v>101</v>
      </c>
      <c r="C254" s="68" t="n">
        <v>251</v>
      </c>
      <c r="D254" s="68" t="inlineStr">
        <is>
          <t>HpRatio</t>
        </is>
      </c>
      <c r="E254" s="68">
        <f>ROUND(E$5*($C253^E$2*E$3), 0)</f>
        <v/>
      </c>
      <c r="F254" s="68" t="inlineStr">
        <is>
          <t>AtkRatio</t>
        </is>
      </c>
      <c r="G254" s="68">
        <f>ROUND(G$5*($C253^$E$2*$E$3), 0)</f>
        <v/>
      </c>
      <c r="H254" s="68" t="inlineStr">
        <is>
          <t>DefRatio</t>
        </is>
      </c>
      <c r="I254" s="68">
        <f>ROUND(I$5*($C253^$E$2*$E$3), 0)</f>
        <v/>
      </c>
    </row>
    <row r="255">
      <c r="A255" s="68">
        <f>B255&amp;TEXT(C255,"0000")</f>
        <v/>
      </c>
      <c r="B255" s="68" t="n">
        <v>101</v>
      </c>
      <c r="C255" s="68" t="n">
        <v>252</v>
      </c>
      <c r="D255" s="68" t="inlineStr">
        <is>
          <t>HpRatio</t>
        </is>
      </c>
      <c r="E255" s="68">
        <f>ROUND(E$5*($C254^E$2*E$3), 0)</f>
        <v/>
      </c>
      <c r="F255" s="68" t="inlineStr">
        <is>
          <t>AtkRatio</t>
        </is>
      </c>
      <c r="G255" s="68">
        <f>ROUND(G$5*($C254^$E$2*$E$3), 0)</f>
        <v/>
      </c>
      <c r="H255" s="68" t="inlineStr">
        <is>
          <t>DefRatio</t>
        </is>
      </c>
      <c r="I255" s="68">
        <f>ROUND(I$5*($C254^$E$2*$E$3), 0)</f>
        <v/>
      </c>
    </row>
    <row r="256">
      <c r="A256" s="68">
        <f>B256&amp;TEXT(C256,"0000")</f>
        <v/>
      </c>
      <c r="B256" s="68" t="n">
        <v>101</v>
      </c>
      <c r="C256" s="68" t="n">
        <v>253</v>
      </c>
      <c r="D256" s="68" t="inlineStr">
        <is>
          <t>HpRatio</t>
        </is>
      </c>
      <c r="E256" s="68">
        <f>ROUND(E$5*($C255^E$2*E$3), 0)</f>
        <v/>
      </c>
      <c r="F256" s="68" t="inlineStr">
        <is>
          <t>AtkRatio</t>
        </is>
      </c>
      <c r="G256" s="68">
        <f>ROUND(G$5*($C255^$E$2*$E$3), 0)</f>
        <v/>
      </c>
      <c r="H256" s="68" t="inlineStr">
        <is>
          <t>DefRatio</t>
        </is>
      </c>
      <c r="I256" s="68">
        <f>ROUND(I$5*($C255^$E$2*$E$3), 0)</f>
        <v/>
      </c>
    </row>
    <row r="257">
      <c r="A257" s="68">
        <f>B257&amp;TEXT(C257,"0000")</f>
        <v/>
      </c>
      <c r="B257" s="68" t="n">
        <v>101</v>
      </c>
      <c r="C257" s="68" t="n">
        <v>254</v>
      </c>
      <c r="D257" s="68" t="inlineStr">
        <is>
          <t>HpRatio</t>
        </is>
      </c>
      <c r="E257" s="68">
        <f>ROUND(E$5*($C256^E$2*E$3), 0)</f>
        <v/>
      </c>
      <c r="F257" s="68" t="inlineStr">
        <is>
          <t>AtkRatio</t>
        </is>
      </c>
      <c r="G257" s="68">
        <f>ROUND(G$5*($C256^$E$2*$E$3), 0)</f>
        <v/>
      </c>
      <c r="H257" s="68" t="inlineStr">
        <is>
          <t>DefRatio</t>
        </is>
      </c>
      <c r="I257" s="68">
        <f>ROUND(I$5*($C256^$E$2*$E$3), 0)</f>
        <v/>
      </c>
    </row>
    <row r="258">
      <c r="A258" s="68">
        <f>B258&amp;TEXT(C258,"0000")</f>
        <v/>
      </c>
      <c r="B258" s="68" t="n">
        <v>101</v>
      </c>
      <c r="C258" s="68" t="n">
        <v>255</v>
      </c>
      <c r="D258" s="68" t="inlineStr">
        <is>
          <t>HpRatio</t>
        </is>
      </c>
      <c r="E258" s="68">
        <f>ROUND(E$5*($C257^E$2*E$3), 0)</f>
        <v/>
      </c>
      <c r="F258" s="68" t="inlineStr">
        <is>
          <t>AtkRatio</t>
        </is>
      </c>
      <c r="G258" s="68">
        <f>ROUND(G$5*($C257^$E$2*$E$3), 0)</f>
        <v/>
      </c>
      <c r="H258" s="68" t="inlineStr">
        <is>
          <t>DefRatio</t>
        </is>
      </c>
      <c r="I258" s="68">
        <f>ROUND(I$5*($C257^$E$2*$E$3), 0)</f>
        <v/>
      </c>
    </row>
    <row r="259">
      <c r="A259" s="68">
        <f>B259&amp;TEXT(C259,"0000")</f>
        <v/>
      </c>
      <c r="B259" s="68" t="n">
        <v>101</v>
      </c>
      <c r="C259" s="68" t="n">
        <v>256</v>
      </c>
      <c r="D259" s="68" t="inlineStr">
        <is>
          <t>HpRatio</t>
        </is>
      </c>
      <c r="E259" s="68">
        <f>ROUND(E$5*($C258^E$2*E$3), 0)</f>
        <v/>
      </c>
      <c r="F259" s="68" t="inlineStr">
        <is>
          <t>AtkRatio</t>
        </is>
      </c>
      <c r="G259" s="68">
        <f>ROUND(G$5*($C258^$E$2*$E$3), 0)</f>
        <v/>
      </c>
      <c r="H259" s="68" t="inlineStr">
        <is>
          <t>DefRatio</t>
        </is>
      </c>
      <c r="I259" s="68">
        <f>ROUND(I$5*($C258^$E$2*$E$3), 0)</f>
        <v/>
      </c>
    </row>
    <row r="260">
      <c r="A260" s="68">
        <f>B260&amp;TEXT(C260,"0000")</f>
        <v/>
      </c>
      <c r="B260" s="68" t="n">
        <v>101</v>
      </c>
      <c r="C260" s="68" t="n">
        <v>257</v>
      </c>
      <c r="D260" s="68" t="inlineStr">
        <is>
          <t>HpRatio</t>
        </is>
      </c>
      <c r="E260" s="68">
        <f>ROUND(E$5*($C259^E$2*E$3), 0)</f>
        <v/>
      </c>
      <c r="F260" s="68" t="inlineStr">
        <is>
          <t>AtkRatio</t>
        </is>
      </c>
      <c r="G260" s="68">
        <f>ROUND(G$5*($C259^$E$2*$E$3), 0)</f>
        <v/>
      </c>
      <c r="H260" s="68" t="inlineStr">
        <is>
          <t>DefRatio</t>
        </is>
      </c>
      <c r="I260" s="68">
        <f>ROUND(I$5*($C259^$E$2*$E$3), 0)</f>
        <v/>
      </c>
    </row>
    <row r="261">
      <c r="A261" s="68">
        <f>B261&amp;TEXT(C261,"0000")</f>
        <v/>
      </c>
      <c r="B261" s="68" t="n">
        <v>101</v>
      </c>
      <c r="C261" s="68" t="n">
        <v>258</v>
      </c>
      <c r="D261" s="68" t="inlineStr">
        <is>
          <t>HpRatio</t>
        </is>
      </c>
      <c r="E261" s="68">
        <f>ROUND(E$5*($C260^E$2*E$3), 0)</f>
        <v/>
      </c>
      <c r="F261" s="68" t="inlineStr">
        <is>
          <t>AtkRatio</t>
        </is>
      </c>
      <c r="G261" s="68">
        <f>ROUND(G$5*($C260^$E$2*$E$3), 0)</f>
        <v/>
      </c>
      <c r="H261" s="68" t="inlineStr">
        <is>
          <t>DefRatio</t>
        </is>
      </c>
      <c r="I261" s="68">
        <f>ROUND(I$5*($C260^$E$2*$E$3), 0)</f>
        <v/>
      </c>
    </row>
    <row r="262">
      <c r="A262" s="68">
        <f>B262&amp;TEXT(C262,"0000")</f>
        <v/>
      </c>
      <c r="B262" s="68" t="n">
        <v>101</v>
      </c>
      <c r="C262" s="68" t="n">
        <v>259</v>
      </c>
      <c r="D262" s="68" t="inlineStr">
        <is>
          <t>HpRatio</t>
        </is>
      </c>
      <c r="E262" s="68">
        <f>ROUND(E$5*($C261^E$2*E$3), 0)</f>
        <v/>
      </c>
      <c r="F262" s="68" t="inlineStr">
        <is>
          <t>AtkRatio</t>
        </is>
      </c>
      <c r="G262" s="68">
        <f>ROUND(G$5*($C261^$E$2*$E$3), 0)</f>
        <v/>
      </c>
      <c r="H262" s="68" t="inlineStr">
        <is>
          <t>DefRatio</t>
        </is>
      </c>
      <c r="I262" s="68">
        <f>ROUND(I$5*($C261^$E$2*$E$3), 0)</f>
        <v/>
      </c>
    </row>
    <row r="263">
      <c r="A263" s="68">
        <f>B263&amp;TEXT(C263,"0000")</f>
        <v/>
      </c>
      <c r="B263" s="68" t="n">
        <v>101</v>
      </c>
      <c r="C263" s="68" t="n">
        <v>260</v>
      </c>
      <c r="D263" s="68" t="inlineStr">
        <is>
          <t>HpRatio</t>
        </is>
      </c>
      <c r="E263" s="68">
        <f>ROUND(E$5*($C262^E$2*E$3), 0)</f>
        <v/>
      </c>
      <c r="F263" s="68" t="inlineStr">
        <is>
          <t>AtkRatio</t>
        </is>
      </c>
      <c r="G263" s="68">
        <f>ROUND(G$5*($C262^$E$2*$E$3), 0)</f>
        <v/>
      </c>
      <c r="H263" s="68" t="inlineStr">
        <is>
          <t>DefRatio</t>
        </is>
      </c>
      <c r="I263" s="68">
        <f>ROUND(I$5*($C262^$E$2*$E$3), 0)</f>
        <v/>
      </c>
    </row>
    <row r="264">
      <c r="A264" s="68">
        <f>B264&amp;TEXT(C264,"0000")</f>
        <v/>
      </c>
      <c r="B264" s="68" t="n">
        <v>101</v>
      </c>
      <c r="C264" s="68" t="n">
        <v>261</v>
      </c>
      <c r="D264" s="68" t="inlineStr">
        <is>
          <t>HpRatio</t>
        </is>
      </c>
      <c r="E264" s="68">
        <f>ROUND(E$5*($C263^E$2*E$3), 0)</f>
        <v/>
      </c>
      <c r="F264" s="68" t="inlineStr">
        <is>
          <t>AtkRatio</t>
        </is>
      </c>
      <c r="G264" s="68">
        <f>ROUND(G$5*($C263^$E$2*$E$3), 0)</f>
        <v/>
      </c>
      <c r="H264" s="68" t="inlineStr">
        <is>
          <t>DefRatio</t>
        </is>
      </c>
      <c r="I264" s="68">
        <f>ROUND(I$5*($C263^$E$2*$E$3), 0)</f>
        <v/>
      </c>
    </row>
    <row r="265">
      <c r="A265" s="68">
        <f>B265&amp;TEXT(C265,"0000")</f>
        <v/>
      </c>
      <c r="B265" s="68" t="n">
        <v>101</v>
      </c>
      <c r="C265" s="68" t="n">
        <v>262</v>
      </c>
      <c r="D265" s="68" t="inlineStr">
        <is>
          <t>HpRatio</t>
        </is>
      </c>
      <c r="E265" s="68">
        <f>ROUND(E$5*($C264^E$2*E$3), 0)</f>
        <v/>
      </c>
      <c r="F265" s="68" t="inlineStr">
        <is>
          <t>AtkRatio</t>
        </is>
      </c>
      <c r="G265" s="68">
        <f>ROUND(G$5*($C264^$E$2*$E$3), 0)</f>
        <v/>
      </c>
      <c r="H265" s="68" t="inlineStr">
        <is>
          <t>DefRatio</t>
        </is>
      </c>
      <c r="I265" s="68">
        <f>ROUND(I$5*($C264^$E$2*$E$3), 0)</f>
        <v/>
      </c>
    </row>
    <row r="266">
      <c r="A266" s="68">
        <f>B266&amp;TEXT(C266,"0000")</f>
        <v/>
      </c>
      <c r="B266" s="68" t="n">
        <v>101</v>
      </c>
      <c r="C266" s="68" t="n">
        <v>263</v>
      </c>
      <c r="D266" s="68" t="inlineStr">
        <is>
          <t>HpRatio</t>
        </is>
      </c>
      <c r="E266" s="68">
        <f>ROUND(E$5*($C265^E$2*E$3), 0)</f>
        <v/>
      </c>
      <c r="F266" s="68" t="inlineStr">
        <is>
          <t>AtkRatio</t>
        </is>
      </c>
      <c r="G266" s="68">
        <f>ROUND(G$5*($C265^$E$2*$E$3), 0)</f>
        <v/>
      </c>
      <c r="H266" s="68" t="inlineStr">
        <is>
          <t>DefRatio</t>
        </is>
      </c>
      <c r="I266" s="68">
        <f>ROUND(I$5*($C265^$E$2*$E$3), 0)</f>
        <v/>
      </c>
    </row>
    <row r="267">
      <c r="A267" s="68">
        <f>B267&amp;TEXT(C267,"0000")</f>
        <v/>
      </c>
      <c r="B267" s="68" t="n">
        <v>101</v>
      </c>
      <c r="C267" s="68" t="n">
        <v>264</v>
      </c>
      <c r="D267" s="68" t="inlineStr">
        <is>
          <t>HpRatio</t>
        </is>
      </c>
      <c r="E267" s="68">
        <f>ROUND(E$5*($C266^E$2*E$3), 0)</f>
        <v/>
      </c>
      <c r="F267" s="68" t="inlineStr">
        <is>
          <t>AtkRatio</t>
        </is>
      </c>
      <c r="G267" s="68">
        <f>ROUND(G$5*($C266^$E$2*$E$3), 0)</f>
        <v/>
      </c>
      <c r="H267" s="68" t="inlineStr">
        <is>
          <t>DefRatio</t>
        </is>
      </c>
      <c r="I267" s="68">
        <f>ROUND(I$5*($C266^$E$2*$E$3), 0)</f>
        <v/>
      </c>
    </row>
    <row r="268">
      <c r="A268" s="68">
        <f>B268&amp;TEXT(C268,"0000")</f>
        <v/>
      </c>
      <c r="B268" s="68" t="n">
        <v>101</v>
      </c>
      <c r="C268" s="68" t="n">
        <v>265</v>
      </c>
      <c r="D268" s="68" t="inlineStr">
        <is>
          <t>HpRatio</t>
        </is>
      </c>
      <c r="E268" s="68">
        <f>ROUND(E$5*($C267^E$2*E$3), 0)</f>
        <v/>
      </c>
      <c r="F268" s="68" t="inlineStr">
        <is>
          <t>AtkRatio</t>
        </is>
      </c>
      <c r="G268" s="68">
        <f>ROUND(G$5*($C267^$E$2*$E$3), 0)</f>
        <v/>
      </c>
      <c r="H268" s="68" t="inlineStr">
        <is>
          <t>DefRatio</t>
        </is>
      </c>
      <c r="I268" s="68">
        <f>ROUND(I$5*($C267^$E$2*$E$3), 0)</f>
        <v/>
      </c>
    </row>
    <row r="269">
      <c r="A269" s="68">
        <f>B269&amp;TEXT(C269,"0000")</f>
        <v/>
      </c>
      <c r="B269" s="68" t="n">
        <v>101</v>
      </c>
      <c r="C269" s="68" t="n">
        <v>266</v>
      </c>
      <c r="D269" s="68" t="inlineStr">
        <is>
          <t>HpRatio</t>
        </is>
      </c>
      <c r="E269" s="68">
        <f>ROUND(E$5*($C268^E$2*E$3), 0)</f>
        <v/>
      </c>
      <c r="F269" s="68" t="inlineStr">
        <is>
          <t>AtkRatio</t>
        </is>
      </c>
      <c r="G269" s="68">
        <f>ROUND(G$5*($C268^$E$2*$E$3), 0)</f>
        <v/>
      </c>
      <c r="H269" s="68" t="inlineStr">
        <is>
          <t>DefRatio</t>
        </is>
      </c>
      <c r="I269" s="68">
        <f>ROUND(I$5*($C268^$E$2*$E$3), 0)</f>
        <v/>
      </c>
    </row>
    <row r="270">
      <c r="A270" s="68">
        <f>B270&amp;TEXT(C270,"0000")</f>
        <v/>
      </c>
      <c r="B270" s="68" t="n">
        <v>101</v>
      </c>
      <c r="C270" s="68" t="n">
        <v>267</v>
      </c>
      <c r="D270" s="68" t="inlineStr">
        <is>
          <t>HpRatio</t>
        </is>
      </c>
      <c r="E270" s="68">
        <f>ROUND(E$5*($C269^E$2*E$3), 0)</f>
        <v/>
      </c>
      <c r="F270" s="68" t="inlineStr">
        <is>
          <t>AtkRatio</t>
        </is>
      </c>
      <c r="G270" s="68">
        <f>ROUND(G$5*($C269^$E$2*$E$3), 0)</f>
        <v/>
      </c>
      <c r="H270" s="68" t="inlineStr">
        <is>
          <t>DefRatio</t>
        </is>
      </c>
      <c r="I270" s="68">
        <f>ROUND(I$5*($C269^$E$2*$E$3), 0)</f>
        <v/>
      </c>
    </row>
    <row r="271">
      <c r="A271" s="68">
        <f>B271&amp;TEXT(C271,"0000")</f>
        <v/>
      </c>
      <c r="B271" s="68" t="n">
        <v>101</v>
      </c>
      <c r="C271" s="68" t="n">
        <v>268</v>
      </c>
      <c r="D271" s="68" t="inlineStr">
        <is>
          <t>HpRatio</t>
        </is>
      </c>
      <c r="E271" s="68">
        <f>ROUND(E$5*($C270^E$2*E$3), 0)</f>
        <v/>
      </c>
      <c r="F271" s="68" t="inlineStr">
        <is>
          <t>AtkRatio</t>
        </is>
      </c>
      <c r="G271" s="68">
        <f>ROUND(G$5*($C270^$E$2*$E$3), 0)</f>
        <v/>
      </c>
      <c r="H271" s="68" t="inlineStr">
        <is>
          <t>DefRatio</t>
        </is>
      </c>
      <c r="I271" s="68">
        <f>ROUND(I$5*($C270^$E$2*$E$3), 0)</f>
        <v/>
      </c>
    </row>
    <row r="272">
      <c r="A272" s="68">
        <f>B272&amp;TEXT(C272,"0000")</f>
        <v/>
      </c>
      <c r="B272" s="68" t="n">
        <v>101</v>
      </c>
      <c r="C272" s="68" t="n">
        <v>269</v>
      </c>
      <c r="D272" s="68" t="inlineStr">
        <is>
          <t>HpRatio</t>
        </is>
      </c>
      <c r="E272" s="68">
        <f>ROUND(E$5*($C271^E$2*E$3), 0)</f>
        <v/>
      </c>
      <c r="F272" s="68" t="inlineStr">
        <is>
          <t>AtkRatio</t>
        </is>
      </c>
      <c r="G272" s="68">
        <f>ROUND(G$5*($C271^$E$2*$E$3), 0)</f>
        <v/>
      </c>
      <c r="H272" s="68" t="inlineStr">
        <is>
          <t>DefRatio</t>
        </is>
      </c>
      <c r="I272" s="68">
        <f>ROUND(I$5*($C271^$E$2*$E$3), 0)</f>
        <v/>
      </c>
    </row>
    <row r="273">
      <c r="A273" s="68">
        <f>B273&amp;TEXT(C273,"0000")</f>
        <v/>
      </c>
      <c r="B273" s="68" t="n">
        <v>101</v>
      </c>
      <c r="C273" s="68" t="n">
        <v>270</v>
      </c>
      <c r="D273" s="68" t="inlineStr">
        <is>
          <t>HpRatio</t>
        </is>
      </c>
      <c r="E273" s="68">
        <f>ROUND(E$5*($C272^E$2*E$3), 0)</f>
        <v/>
      </c>
      <c r="F273" s="68" t="inlineStr">
        <is>
          <t>AtkRatio</t>
        </is>
      </c>
      <c r="G273" s="68">
        <f>ROUND(G$5*($C272^$E$2*$E$3), 0)</f>
        <v/>
      </c>
      <c r="H273" s="68" t="inlineStr">
        <is>
          <t>DefRatio</t>
        </is>
      </c>
      <c r="I273" s="68">
        <f>ROUND(I$5*($C272^$E$2*$E$3), 0)</f>
        <v/>
      </c>
    </row>
    <row r="274">
      <c r="A274" s="68">
        <f>B274&amp;TEXT(C274,"0000")</f>
        <v/>
      </c>
      <c r="B274" s="68" t="n">
        <v>101</v>
      </c>
      <c r="C274" s="68" t="n">
        <v>271</v>
      </c>
      <c r="D274" s="68" t="inlineStr">
        <is>
          <t>HpRatio</t>
        </is>
      </c>
      <c r="E274" s="68">
        <f>ROUND(E$5*($C273^E$2*E$3), 0)</f>
        <v/>
      </c>
      <c r="F274" s="68" t="inlineStr">
        <is>
          <t>AtkRatio</t>
        </is>
      </c>
      <c r="G274" s="68">
        <f>ROUND(G$5*($C273^$E$2*$E$3), 0)</f>
        <v/>
      </c>
      <c r="H274" s="68" t="inlineStr">
        <is>
          <t>DefRatio</t>
        </is>
      </c>
      <c r="I274" s="68">
        <f>ROUND(I$5*($C273^$E$2*$E$3), 0)</f>
        <v/>
      </c>
    </row>
    <row r="275">
      <c r="A275" s="68">
        <f>B275&amp;TEXT(C275,"0000")</f>
        <v/>
      </c>
      <c r="B275" s="68" t="n">
        <v>101</v>
      </c>
      <c r="C275" s="68" t="n">
        <v>272</v>
      </c>
      <c r="D275" s="68" t="inlineStr">
        <is>
          <t>HpRatio</t>
        </is>
      </c>
      <c r="E275" s="68">
        <f>ROUND(E$5*($C274^E$2*E$3), 0)</f>
        <v/>
      </c>
      <c r="F275" s="68" t="inlineStr">
        <is>
          <t>AtkRatio</t>
        </is>
      </c>
      <c r="G275" s="68">
        <f>ROUND(G$5*($C274^$E$2*$E$3), 0)</f>
        <v/>
      </c>
      <c r="H275" s="68" t="inlineStr">
        <is>
          <t>DefRatio</t>
        </is>
      </c>
      <c r="I275" s="68">
        <f>ROUND(I$5*($C274^$E$2*$E$3), 0)</f>
        <v/>
      </c>
    </row>
    <row r="276">
      <c r="A276" s="68">
        <f>B276&amp;TEXT(C276,"0000")</f>
        <v/>
      </c>
      <c r="B276" s="68" t="n">
        <v>101</v>
      </c>
      <c r="C276" s="68" t="n">
        <v>273</v>
      </c>
      <c r="D276" s="68" t="inlineStr">
        <is>
          <t>HpRatio</t>
        </is>
      </c>
      <c r="E276" s="68">
        <f>ROUND(E$5*($C275^E$2*E$3), 0)</f>
        <v/>
      </c>
      <c r="F276" s="68" t="inlineStr">
        <is>
          <t>AtkRatio</t>
        </is>
      </c>
      <c r="G276" s="68">
        <f>ROUND(G$5*($C275^$E$2*$E$3), 0)</f>
        <v/>
      </c>
      <c r="H276" s="68" t="inlineStr">
        <is>
          <t>DefRatio</t>
        </is>
      </c>
      <c r="I276" s="68">
        <f>ROUND(I$5*($C275^$E$2*$E$3), 0)</f>
        <v/>
      </c>
    </row>
    <row r="277">
      <c r="A277" s="68">
        <f>B277&amp;TEXT(C277,"0000")</f>
        <v/>
      </c>
      <c r="B277" s="68" t="n">
        <v>101</v>
      </c>
      <c r="C277" s="68" t="n">
        <v>274</v>
      </c>
      <c r="D277" s="68" t="inlineStr">
        <is>
          <t>HpRatio</t>
        </is>
      </c>
      <c r="E277" s="68">
        <f>ROUND(E$5*($C276^E$2*E$3), 0)</f>
        <v/>
      </c>
      <c r="F277" s="68" t="inlineStr">
        <is>
          <t>AtkRatio</t>
        </is>
      </c>
      <c r="G277" s="68">
        <f>ROUND(G$5*($C276^$E$2*$E$3), 0)</f>
        <v/>
      </c>
      <c r="H277" s="68" t="inlineStr">
        <is>
          <t>DefRatio</t>
        </is>
      </c>
      <c r="I277" s="68">
        <f>ROUND(I$5*($C276^$E$2*$E$3), 0)</f>
        <v/>
      </c>
    </row>
    <row r="278">
      <c r="A278" s="68">
        <f>B278&amp;TEXT(C278,"0000")</f>
        <v/>
      </c>
      <c r="B278" s="68" t="n">
        <v>101</v>
      </c>
      <c r="C278" s="68" t="n">
        <v>275</v>
      </c>
      <c r="D278" s="68" t="inlineStr">
        <is>
          <t>HpRatio</t>
        </is>
      </c>
      <c r="E278" s="68">
        <f>ROUND(E$5*($C277^E$2*E$3), 0)</f>
        <v/>
      </c>
      <c r="F278" s="68" t="inlineStr">
        <is>
          <t>AtkRatio</t>
        </is>
      </c>
      <c r="G278" s="68">
        <f>ROUND(G$5*($C277^$E$2*$E$3), 0)</f>
        <v/>
      </c>
      <c r="H278" s="68" t="inlineStr">
        <is>
          <t>DefRatio</t>
        </is>
      </c>
      <c r="I278" s="68">
        <f>ROUND(I$5*($C277^$E$2*$E$3), 0)</f>
        <v/>
      </c>
    </row>
    <row r="279">
      <c r="A279" s="68">
        <f>B279&amp;TEXT(C279,"0000")</f>
        <v/>
      </c>
      <c r="B279" s="68" t="n">
        <v>101</v>
      </c>
      <c r="C279" s="68" t="n">
        <v>276</v>
      </c>
      <c r="D279" s="68" t="inlineStr">
        <is>
          <t>HpRatio</t>
        </is>
      </c>
      <c r="E279" s="68">
        <f>ROUND(E$5*($C278^E$2*E$3), 0)</f>
        <v/>
      </c>
      <c r="F279" s="68" t="inlineStr">
        <is>
          <t>AtkRatio</t>
        </is>
      </c>
      <c r="G279" s="68">
        <f>ROUND(G$5*($C278^$E$2*$E$3), 0)</f>
        <v/>
      </c>
      <c r="H279" s="68" t="inlineStr">
        <is>
          <t>DefRatio</t>
        </is>
      </c>
      <c r="I279" s="68">
        <f>ROUND(I$5*($C278^$E$2*$E$3), 0)</f>
        <v/>
      </c>
    </row>
    <row r="280">
      <c r="A280" s="68">
        <f>B280&amp;TEXT(C280,"0000")</f>
        <v/>
      </c>
      <c r="B280" s="68" t="n">
        <v>101</v>
      </c>
      <c r="C280" s="68" t="n">
        <v>277</v>
      </c>
      <c r="D280" s="68" t="inlineStr">
        <is>
          <t>HpRatio</t>
        </is>
      </c>
      <c r="E280" s="68">
        <f>ROUND(E$5*($C279^E$2*E$3), 0)</f>
        <v/>
      </c>
      <c r="F280" s="68" t="inlineStr">
        <is>
          <t>AtkRatio</t>
        </is>
      </c>
      <c r="G280" s="68">
        <f>ROUND(G$5*($C279^$E$2*$E$3), 0)</f>
        <v/>
      </c>
      <c r="H280" s="68" t="inlineStr">
        <is>
          <t>DefRatio</t>
        </is>
      </c>
      <c r="I280" s="68">
        <f>ROUND(I$5*($C279^$E$2*$E$3), 0)</f>
        <v/>
      </c>
    </row>
    <row r="281">
      <c r="A281" s="68">
        <f>B281&amp;TEXT(C281,"0000")</f>
        <v/>
      </c>
      <c r="B281" s="68" t="n">
        <v>101</v>
      </c>
      <c r="C281" s="68" t="n">
        <v>278</v>
      </c>
      <c r="D281" s="68" t="inlineStr">
        <is>
          <t>HpRatio</t>
        </is>
      </c>
      <c r="E281" s="68">
        <f>ROUND(E$5*($C280^E$2*E$3), 0)</f>
        <v/>
      </c>
      <c r="F281" s="68" t="inlineStr">
        <is>
          <t>AtkRatio</t>
        </is>
      </c>
      <c r="G281" s="68">
        <f>ROUND(G$5*($C280^$E$2*$E$3), 0)</f>
        <v/>
      </c>
      <c r="H281" s="68" t="inlineStr">
        <is>
          <t>DefRatio</t>
        </is>
      </c>
      <c r="I281" s="68">
        <f>ROUND(I$5*($C280^$E$2*$E$3), 0)</f>
        <v/>
      </c>
    </row>
    <row r="282">
      <c r="A282" s="68">
        <f>B282&amp;TEXT(C282,"0000")</f>
        <v/>
      </c>
      <c r="B282" s="68" t="n">
        <v>101</v>
      </c>
      <c r="C282" s="68" t="n">
        <v>279</v>
      </c>
      <c r="D282" s="68" t="inlineStr">
        <is>
          <t>HpRatio</t>
        </is>
      </c>
      <c r="E282" s="68">
        <f>ROUND(E$5*($C281^E$2*E$3), 0)</f>
        <v/>
      </c>
      <c r="F282" s="68" t="inlineStr">
        <is>
          <t>AtkRatio</t>
        </is>
      </c>
      <c r="G282" s="68">
        <f>ROUND(G$5*($C281^$E$2*$E$3), 0)</f>
        <v/>
      </c>
      <c r="H282" s="68" t="inlineStr">
        <is>
          <t>DefRatio</t>
        </is>
      </c>
      <c r="I282" s="68">
        <f>ROUND(I$5*($C281^$E$2*$E$3), 0)</f>
        <v/>
      </c>
    </row>
    <row r="283">
      <c r="A283" s="68">
        <f>B283&amp;TEXT(C283,"0000")</f>
        <v/>
      </c>
      <c r="B283" s="68" t="n">
        <v>101</v>
      </c>
      <c r="C283" s="68" t="n">
        <v>280</v>
      </c>
      <c r="D283" s="68" t="inlineStr">
        <is>
          <t>HpRatio</t>
        </is>
      </c>
      <c r="E283" s="68">
        <f>ROUND(E$5*($C282^E$2*E$3), 0)</f>
        <v/>
      </c>
      <c r="F283" s="68" t="inlineStr">
        <is>
          <t>AtkRatio</t>
        </is>
      </c>
      <c r="G283" s="68">
        <f>ROUND(G$5*($C282^$E$2*$E$3), 0)</f>
        <v/>
      </c>
      <c r="H283" s="68" t="inlineStr">
        <is>
          <t>DefRatio</t>
        </is>
      </c>
      <c r="I283" s="68">
        <f>ROUND(I$5*($C282^$E$2*$E$3), 0)</f>
        <v/>
      </c>
    </row>
    <row r="284">
      <c r="A284" s="68">
        <f>B284&amp;TEXT(C284,"0000")</f>
        <v/>
      </c>
      <c r="B284" s="68" t="n">
        <v>101</v>
      </c>
      <c r="C284" s="68" t="n">
        <v>281</v>
      </c>
      <c r="D284" s="68" t="inlineStr">
        <is>
          <t>HpRatio</t>
        </is>
      </c>
      <c r="E284" s="68">
        <f>ROUND(E$5*($C283^E$2*E$3), 0)</f>
        <v/>
      </c>
      <c r="F284" s="68" t="inlineStr">
        <is>
          <t>AtkRatio</t>
        </is>
      </c>
      <c r="G284" s="68">
        <f>ROUND(G$5*($C283^$E$2*$E$3), 0)</f>
        <v/>
      </c>
      <c r="H284" s="68" t="inlineStr">
        <is>
          <t>DefRatio</t>
        </is>
      </c>
      <c r="I284" s="68">
        <f>ROUND(I$5*($C283^$E$2*$E$3), 0)</f>
        <v/>
      </c>
    </row>
    <row r="285">
      <c r="A285" s="68">
        <f>B285&amp;TEXT(C285,"0000")</f>
        <v/>
      </c>
      <c r="B285" s="68" t="n">
        <v>101</v>
      </c>
      <c r="C285" s="68" t="n">
        <v>282</v>
      </c>
      <c r="D285" s="68" t="inlineStr">
        <is>
          <t>HpRatio</t>
        </is>
      </c>
      <c r="E285" s="68">
        <f>ROUND(E$5*($C284^E$2*E$3), 0)</f>
        <v/>
      </c>
      <c r="F285" s="68" t="inlineStr">
        <is>
          <t>AtkRatio</t>
        </is>
      </c>
      <c r="G285" s="68">
        <f>ROUND(G$5*($C284^$E$2*$E$3), 0)</f>
        <v/>
      </c>
      <c r="H285" s="68" t="inlineStr">
        <is>
          <t>DefRatio</t>
        </is>
      </c>
      <c r="I285" s="68">
        <f>ROUND(I$5*($C284^$E$2*$E$3), 0)</f>
        <v/>
      </c>
    </row>
    <row r="286">
      <c r="A286" s="68">
        <f>B286&amp;TEXT(C286,"0000")</f>
        <v/>
      </c>
      <c r="B286" s="68" t="n">
        <v>101</v>
      </c>
      <c r="C286" s="68" t="n">
        <v>283</v>
      </c>
      <c r="D286" s="68" t="inlineStr">
        <is>
          <t>HpRatio</t>
        </is>
      </c>
      <c r="E286" s="68">
        <f>ROUND(E$5*($C285^E$2*E$3), 0)</f>
        <v/>
      </c>
      <c r="F286" s="68" t="inlineStr">
        <is>
          <t>AtkRatio</t>
        </is>
      </c>
      <c r="G286" s="68">
        <f>ROUND(G$5*($C285^$E$2*$E$3), 0)</f>
        <v/>
      </c>
      <c r="H286" s="68" t="inlineStr">
        <is>
          <t>DefRatio</t>
        </is>
      </c>
      <c r="I286" s="68">
        <f>ROUND(I$5*($C285^$E$2*$E$3), 0)</f>
        <v/>
      </c>
    </row>
    <row r="287">
      <c r="A287" s="68">
        <f>B287&amp;TEXT(C287,"0000")</f>
        <v/>
      </c>
      <c r="B287" s="68" t="n">
        <v>101</v>
      </c>
      <c r="C287" s="68" t="n">
        <v>284</v>
      </c>
      <c r="D287" s="68" t="inlineStr">
        <is>
          <t>HpRatio</t>
        </is>
      </c>
      <c r="E287" s="68">
        <f>ROUND(E$5*($C286^E$2*E$3), 0)</f>
        <v/>
      </c>
      <c r="F287" s="68" t="inlineStr">
        <is>
          <t>AtkRatio</t>
        </is>
      </c>
      <c r="G287" s="68">
        <f>ROUND(G$5*($C286^$E$2*$E$3), 0)</f>
        <v/>
      </c>
      <c r="H287" s="68" t="inlineStr">
        <is>
          <t>DefRatio</t>
        </is>
      </c>
      <c r="I287" s="68">
        <f>ROUND(I$5*($C286^$E$2*$E$3), 0)</f>
        <v/>
      </c>
    </row>
    <row r="288">
      <c r="A288" s="68">
        <f>B288&amp;TEXT(C288,"0000")</f>
        <v/>
      </c>
      <c r="B288" s="68" t="n">
        <v>101</v>
      </c>
      <c r="C288" s="68" t="n">
        <v>285</v>
      </c>
      <c r="D288" s="68" t="inlineStr">
        <is>
          <t>HpRatio</t>
        </is>
      </c>
      <c r="E288" s="68">
        <f>ROUND(E$5*($C287^E$2*E$3), 0)</f>
        <v/>
      </c>
      <c r="F288" s="68" t="inlineStr">
        <is>
          <t>AtkRatio</t>
        </is>
      </c>
      <c r="G288" s="68">
        <f>ROUND(G$5*($C287^$E$2*$E$3), 0)</f>
        <v/>
      </c>
      <c r="H288" s="68" t="inlineStr">
        <is>
          <t>DefRatio</t>
        </is>
      </c>
      <c r="I288" s="68">
        <f>ROUND(I$5*($C287^$E$2*$E$3), 0)</f>
        <v/>
      </c>
    </row>
    <row r="289">
      <c r="A289" s="68">
        <f>B289&amp;TEXT(C289,"0000")</f>
        <v/>
      </c>
      <c r="B289" s="68" t="n">
        <v>101</v>
      </c>
      <c r="C289" s="68" t="n">
        <v>286</v>
      </c>
      <c r="D289" s="68" t="inlineStr">
        <is>
          <t>HpRatio</t>
        </is>
      </c>
      <c r="E289" s="68">
        <f>ROUND(E$5*($C288^E$2*E$3), 0)</f>
        <v/>
      </c>
      <c r="F289" s="68" t="inlineStr">
        <is>
          <t>AtkRatio</t>
        </is>
      </c>
      <c r="G289" s="68">
        <f>ROUND(G$5*($C288^$E$2*$E$3), 0)</f>
        <v/>
      </c>
      <c r="H289" s="68" t="inlineStr">
        <is>
          <t>DefRatio</t>
        </is>
      </c>
      <c r="I289" s="68">
        <f>ROUND(I$5*($C288^$E$2*$E$3), 0)</f>
        <v/>
      </c>
    </row>
    <row r="290">
      <c r="A290" s="68">
        <f>B290&amp;TEXT(C290,"0000")</f>
        <v/>
      </c>
      <c r="B290" s="68" t="n">
        <v>101</v>
      </c>
      <c r="C290" s="68" t="n">
        <v>287</v>
      </c>
      <c r="D290" s="68" t="inlineStr">
        <is>
          <t>HpRatio</t>
        </is>
      </c>
      <c r="E290" s="68">
        <f>ROUND(E$5*($C289^E$2*E$3), 0)</f>
        <v/>
      </c>
      <c r="F290" s="68" t="inlineStr">
        <is>
          <t>AtkRatio</t>
        </is>
      </c>
      <c r="G290" s="68">
        <f>ROUND(G$5*($C289^$E$2*$E$3), 0)</f>
        <v/>
      </c>
      <c r="H290" s="68" t="inlineStr">
        <is>
          <t>DefRatio</t>
        </is>
      </c>
      <c r="I290" s="68">
        <f>ROUND(I$5*($C289^$E$2*$E$3), 0)</f>
        <v/>
      </c>
    </row>
    <row r="291">
      <c r="A291" s="68">
        <f>B291&amp;TEXT(C291,"0000")</f>
        <v/>
      </c>
      <c r="B291" s="68" t="n">
        <v>101</v>
      </c>
      <c r="C291" s="68" t="n">
        <v>288</v>
      </c>
      <c r="D291" s="68" t="inlineStr">
        <is>
          <t>HpRatio</t>
        </is>
      </c>
      <c r="E291" s="68">
        <f>ROUND(E$5*($C290^E$2*E$3), 0)</f>
        <v/>
      </c>
      <c r="F291" s="68" t="inlineStr">
        <is>
          <t>AtkRatio</t>
        </is>
      </c>
      <c r="G291" s="68">
        <f>ROUND(G$5*($C290^$E$2*$E$3), 0)</f>
        <v/>
      </c>
      <c r="H291" s="68" t="inlineStr">
        <is>
          <t>DefRatio</t>
        </is>
      </c>
      <c r="I291" s="68">
        <f>ROUND(I$5*($C290^$E$2*$E$3), 0)</f>
        <v/>
      </c>
    </row>
    <row r="292">
      <c r="A292" s="68">
        <f>B292&amp;TEXT(C292,"0000")</f>
        <v/>
      </c>
      <c r="B292" s="68" t="n">
        <v>101</v>
      </c>
      <c r="C292" s="68" t="n">
        <v>289</v>
      </c>
      <c r="D292" s="68" t="inlineStr">
        <is>
          <t>HpRatio</t>
        </is>
      </c>
      <c r="E292" s="68">
        <f>ROUND(E$5*($C291^E$2*E$3), 0)</f>
        <v/>
      </c>
      <c r="F292" s="68" t="inlineStr">
        <is>
          <t>AtkRatio</t>
        </is>
      </c>
      <c r="G292" s="68">
        <f>ROUND(G$5*($C291^$E$2*$E$3), 0)</f>
        <v/>
      </c>
      <c r="H292" s="68" t="inlineStr">
        <is>
          <t>DefRatio</t>
        </is>
      </c>
      <c r="I292" s="68">
        <f>ROUND(I$5*($C291^$E$2*$E$3), 0)</f>
        <v/>
      </c>
    </row>
    <row r="293">
      <c r="A293" s="68">
        <f>B293&amp;TEXT(C293,"0000")</f>
        <v/>
      </c>
      <c r="B293" s="68" t="n">
        <v>101</v>
      </c>
      <c r="C293" s="68" t="n">
        <v>290</v>
      </c>
      <c r="D293" s="68" t="inlineStr">
        <is>
          <t>HpRatio</t>
        </is>
      </c>
      <c r="E293" s="68">
        <f>ROUND(E$5*($C292^E$2*E$3), 0)</f>
        <v/>
      </c>
      <c r="F293" s="68" t="inlineStr">
        <is>
          <t>AtkRatio</t>
        </is>
      </c>
      <c r="G293" s="68">
        <f>ROUND(G$5*($C292^$E$2*$E$3), 0)</f>
        <v/>
      </c>
      <c r="H293" s="68" t="inlineStr">
        <is>
          <t>DefRatio</t>
        </is>
      </c>
      <c r="I293" s="68">
        <f>ROUND(I$5*($C292^$E$2*$E$3), 0)</f>
        <v/>
      </c>
    </row>
    <row r="294">
      <c r="A294" s="68">
        <f>B294&amp;TEXT(C294,"0000")</f>
        <v/>
      </c>
      <c r="B294" s="68" t="n">
        <v>101</v>
      </c>
      <c r="C294" s="68" t="n">
        <v>291</v>
      </c>
      <c r="D294" s="68" t="inlineStr">
        <is>
          <t>HpRatio</t>
        </is>
      </c>
      <c r="E294" s="68">
        <f>ROUND(E$5*($C293^E$2*E$3), 0)</f>
        <v/>
      </c>
      <c r="F294" s="68" t="inlineStr">
        <is>
          <t>AtkRatio</t>
        </is>
      </c>
      <c r="G294" s="68">
        <f>ROUND(G$5*($C293^$E$2*$E$3), 0)</f>
        <v/>
      </c>
      <c r="H294" s="68" t="inlineStr">
        <is>
          <t>DefRatio</t>
        </is>
      </c>
      <c r="I294" s="68">
        <f>ROUND(I$5*($C293^$E$2*$E$3), 0)</f>
        <v/>
      </c>
    </row>
    <row r="295">
      <c r="A295" s="68">
        <f>B295&amp;TEXT(C295,"0000")</f>
        <v/>
      </c>
      <c r="B295" s="68" t="n">
        <v>101</v>
      </c>
      <c r="C295" s="68" t="n">
        <v>292</v>
      </c>
      <c r="D295" s="68" t="inlineStr">
        <is>
          <t>HpRatio</t>
        </is>
      </c>
      <c r="E295" s="68">
        <f>ROUND(E$5*($C294^E$2*E$3), 0)</f>
        <v/>
      </c>
      <c r="F295" s="68" t="inlineStr">
        <is>
          <t>AtkRatio</t>
        </is>
      </c>
      <c r="G295" s="68">
        <f>ROUND(G$5*($C294^$E$2*$E$3), 0)</f>
        <v/>
      </c>
      <c r="H295" s="68" t="inlineStr">
        <is>
          <t>DefRatio</t>
        </is>
      </c>
      <c r="I295" s="68">
        <f>ROUND(I$5*($C294^$E$2*$E$3), 0)</f>
        <v/>
      </c>
    </row>
    <row r="296">
      <c r="A296" s="68">
        <f>B296&amp;TEXT(C296,"0000")</f>
        <v/>
      </c>
      <c r="B296" s="68" t="n">
        <v>101</v>
      </c>
      <c r="C296" s="68" t="n">
        <v>293</v>
      </c>
      <c r="D296" s="68" t="inlineStr">
        <is>
          <t>HpRatio</t>
        </is>
      </c>
      <c r="E296" s="68">
        <f>ROUND(E$5*($C295^E$2*E$3), 0)</f>
        <v/>
      </c>
      <c r="F296" s="68" t="inlineStr">
        <is>
          <t>AtkRatio</t>
        </is>
      </c>
      <c r="G296" s="68">
        <f>ROUND(G$5*($C295^$E$2*$E$3), 0)</f>
        <v/>
      </c>
      <c r="H296" s="68" t="inlineStr">
        <is>
          <t>DefRatio</t>
        </is>
      </c>
      <c r="I296" s="68">
        <f>ROUND(I$5*($C295^$E$2*$E$3), 0)</f>
        <v/>
      </c>
    </row>
    <row r="297">
      <c r="A297" s="68">
        <f>B297&amp;TEXT(C297,"0000")</f>
        <v/>
      </c>
      <c r="B297" s="68" t="n">
        <v>101</v>
      </c>
      <c r="C297" s="68" t="n">
        <v>294</v>
      </c>
      <c r="D297" s="68" t="inlineStr">
        <is>
          <t>HpRatio</t>
        </is>
      </c>
      <c r="E297" s="68">
        <f>ROUND(E$5*($C296^E$2*E$3), 0)</f>
        <v/>
      </c>
      <c r="F297" s="68" t="inlineStr">
        <is>
          <t>AtkRatio</t>
        </is>
      </c>
      <c r="G297" s="68">
        <f>ROUND(G$5*($C296^$E$2*$E$3), 0)</f>
        <v/>
      </c>
      <c r="H297" s="68" t="inlineStr">
        <is>
          <t>DefRatio</t>
        </is>
      </c>
      <c r="I297" s="68">
        <f>ROUND(I$5*($C296^$E$2*$E$3), 0)</f>
        <v/>
      </c>
    </row>
    <row r="298">
      <c r="A298" s="68">
        <f>B298&amp;TEXT(C298,"0000")</f>
        <v/>
      </c>
      <c r="B298" s="68" t="n">
        <v>101</v>
      </c>
      <c r="C298" s="68" t="n">
        <v>295</v>
      </c>
      <c r="D298" s="68" t="inlineStr">
        <is>
          <t>HpRatio</t>
        </is>
      </c>
      <c r="E298" s="68">
        <f>ROUND(E$5*($C297^E$2*E$3), 0)</f>
        <v/>
      </c>
      <c r="F298" s="68" t="inlineStr">
        <is>
          <t>AtkRatio</t>
        </is>
      </c>
      <c r="G298" s="68">
        <f>ROUND(G$5*($C297^$E$2*$E$3), 0)</f>
        <v/>
      </c>
      <c r="H298" s="68" t="inlineStr">
        <is>
          <t>DefRatio</t>
        </is>
      </c>
      <c r="I298" s="68">
        <f>ROUND(I$5*($C297^$E$2*$E$3), 0)</f>
        <v/>
      </c>
    </row>
    <row r="299">
      <c r="A299" s="68">
        <f>B299&amp;TEXT(C299,"0000")</f>
        <v/>
      </c>
      <c r="B299" s="68" t="n">
        <v>101</v>
      </c>
      <c r="C299" s="68" t="n">
        <v>296</v>
      </c>
      <c r="D299" s="68" t="inlineStr">
        <is>
          <t>HpRatio</t>
        </is>
      </c>
      <c r="E299" s="68">
        <f>ROUND(E$5*($C298^E$2*E$3), 0)</f>
        <v/>
      </c>
      <c r="F299" s="68" t="inlineStr">
        <is>
          <t>AtkRatio</t>
        </is>
      </c>
      <c r="G299" s="68">
        <f>ROUND(G$5*($C298^$E$2*$E$3), 0)</f>
        <v/>
      </c>
      <c r="H299" s="68" t="inlineStr">
        <is>
          <t>DefRatio</t>
        </is>
      </c>
      <c r="I299" s="68">
        <f>ROUND(I$5*($C298^$E$2*$E$3), 0)</f>
        <v/>
      </c>
    </row>
    <row r="300">
      <c r="A300" s="68">
        <f>B300&amp;TEXT(C300,"0000")</f>
        <v/>
      </c>
      <c r="B300" s="68" t="n">
        <v>101</v>
      </c>
      <c r="C300" s="68" t="n">
        <v>297</v>
      </c>
      <c r="D300" s="68" t="inlineStr">
        <is>
          <t>HpRatio</t>
        </is>
      </c>
      <c r="E300" s="68">
        <f>ROUND(E$5*($C299^E$2*E$3), 0)</f>
        <v/>
      </c>
      <c r="F300" s="68" t="inlineStr">
        <is>
          <t>AtkRatio</t>
        </is>
      </c>
      <c r="G300" s="68">
        <f>ROUND(G$5*($C299^$E$2*$E$3), 0)</f>
        <v/>
      </c>
      <c r="H300" s="68" t="inlineStr">
        <is>
          <t>DefRatio</t>
        </is>
      </c>
      <c r="I300" s="68">
        <f>ROUND(I$5*($C299^$E$2*$E$3), 0)</f>
        <v/>
      </c>
    </row>
    <row r="301">
      <c r="A301" s="68">
        <f>B301&amp;TEXT(C301,"0000")</f>
        <v/>
      </c>
      <c r="B301" s="68" t="n">
        <v>101</v>
      </c>
      <c r="C301" s="68" t="n">
        <v>298</v>
      </c>
      <c r="D301" s="68" t="inlineStr">
        <is>
          <t>HpRatio</t>
        </is>
      </c>
      <c r="E301" s="68">
        <f>ROUND(E$5*($C300^E$2*E$3), 0)</f>
        <v/>
      </c>
      <c r="F301" s="68" t="inlineStr">
        <is>
          <t>AtkRatio</t>
        </is>
      </c>
      <c r="G301" s="68">
        <f>ROUND(G$5*($C300^$E$2*$E$3), 0)</f>
        <v/>
      </c>
      <c r="H301" s="68" t="inlineStr">
        <is>
          <t>DefRatio</t>
        </is>
      </c>
      <c r="I301" s="68">
        <f>ROUND(I$5*($C300^$E$2*$E$3), 0)</f>
        <v/>
      </c>
    </row>
    <row r="302">
      <c r="A302" s="68">
        <f>B302&amp;TEXT(C302,"0000")</f>
        <v/>
      </c>
      <c r="B302" s="68" t="n">
        <v>101</v>
      </c>
      <c r="C302" s="68" t="n">
        <v>299</v>
      </c>
      <c r="D302" s="68" t="inlineStr">
        <is>
          <t>HpRatio</t>
        </is>
      </c>
      <c r="E302" s="68">
        <f>ROUND(E$5*($C301^E$2*E$3), 0)</f>
        <v/>
      </c>
      <c r="F302" s="68" t="inlineStr">
        <is>
          <t>AtkRatio</t>
        </is>
      </c>
      <c r="G302" s="68">
        <f>ROUND(G$5*($C301^$E$2*$E$3), 0)</f>
        <v/>
      </c>
      <c r="H302" s="68" t="inlineStr">
        <is>
          <t>DefRatio</t>
        </is>
      </c>
      <c r="I302" s="68">
        <f>ROUND(I$5*($C301^$E$2*$E$3), 0)</f>
        <v/>
      </c>
    </row>
    <row r="303">
      <c r="A303" s="68">
        <f>B303&amp;TEXT(C303,"0000")</f>
        <v/>
      </c>
      <c r="B303" s="68" t="n">
        <v>101</v>
      </c>
      <c r="C303" s="68" t="n">
        <v>300</v>
      </c>
      <c r="D303" s="68" t="inlineStr">
        <is>
          <t>HpRatio</t>
        </is>
      </c>
      <c r="E303" s="68">
        <f>ROUND(E$5*($C302^E$2*E$3), 0)</f>
        <v/>
      </c>
      <c r="F303" s="68" t="inlineStr">
        <is>
          <t>AtkRatio</t>
        </is>
      </c>
      <c r="G303" s="68">
        <f>ROUND(G$5*($C302^$E$2*$E$3), 0)</f>
        <v/>
      </c>
      <c r="H303" s="68" t="inlineStr">
        <is>
          <t>DefRatio</t>
        </is>
      </c>
      <c r="I303" s="68">
        <f>ROUND(I$5*($C302^$E$2*$E$3), 0)</f>
        <v/>
      </c>
    </row>
    <row r="304">
      <c r="A304" s="68">
        <f>B304&amp;TEXT(C304,"0000")</f>
        <v/>
      </c>
      <c r="B304" s="68" t="n">
        <v>102</v>
      </c>
      <c r="C304" s="68" t="n">
        <v>1</v>
      </c>
      <c r="D304" s="68" t="inlineStr">
        <is>
          <t>HpRatio</t>
        </is>
      </c>
      <c r="E304" s="68" t="n">
        <v>0</v>
      </c>
      <c r="F304" s="68" t="inlineStr">
        <is>
          <t>AtkRatio</t>
        </is>
      </c>
      <c r="G304" s="68" t="n">
        <v>0</v>
      </c>
      <c r="H304" s="68" t="inlineStr">
        <is>
          <t>DefRatio</t>
        </is>
      </c>
      <c r="I304" s="68" t="n">
        <v>0</v>
      </c>
    </row>
    <row r="305">
      <c r="A305" s="68">
        <f>B305&amp;TEXT(C305,"0000")</f>
        <v/>
      </c>
      <c r="B305" s="68" t="n">
        <v>102</v>
      </c>
      <c r="C305" s="68" t="n">
        <v>2</v>
      </c>
      <c r="D305" s="68" t="inlineStr">
        <is>
          <t>HpRatio</t>
        </is>
      </c>
      <c r="E305" s="68" t="n">
        <v>4000</v>
      </c>
      <c r="F305" s="68" t="inlineStr">
        <is>
          <t>AtkRatio</t>
        </is>
      </c>
      <c r="G305" s="68" t="n">
        <v>4000</v>
      </c>
      <c r="H305" s="68" t="inlineStr">
        <is>
          <t>DefRatio</t>
        </is>
      </c>
      <c r="I305" s="68" t="n">
        <v>4000</v>
      </c>
    </row>
    <row r="306">
      <c r="A306" s="68">
        <f>B306&amp;TEXT(C306,"0000")</f>
        <v/>
      </c>
      <c r="B306" s="68" t="n">
        <v>102</v>
      </c>
      <c r="C306" s="68" t="n">
        <v>3</v>
      </c>
      <c r="D306" s="68" t="inlineStr">
        <is>
          <t>HpRatio</t>
        </is>
      </c>
      <c r="E306" s="68" t="n">
        <v>11551</v>
      </c>
      <c r="F306" s="68" t="inlineStr">
        <is>
          <t>AtkRatio</t>
        </is>
      </c>
      <c r="G306" s="68" t="n">
        <v>11551</v>
      </c>
      <c r="H306" s="68" t="inlineStr">
        <is>
          <t>DefRatio</t>
        </is>
      </c>
      <c r="I306" s="68" t="n">
        <v>11551</v>
      </c>
    </row>
    <row r="307">
      <c r="A307" s="68">
        <f>B307&amp;TEXT(C307,"0000")</f>
        <v/>
      </c>
      <c r="B307" s="68" t="n">
        <v>102</v>
      </c>
      <c r="C307" s="68" t="n">
        <v>4</v>
      </c>
      <c r="D307" s="68" t="inlineStr">
        <is>
          <t>HpRatio</t>
        </is>
      </c>
      <c r="E307" s="68" t="n">
        <v>21481</v>
      </c>
      <c r="F307" s="68" t="inlineStr">
        <is>
          <t>AtkRatio</t>
        </is>
      </c>
      <c r="G307" s="68" t="n">
        <v>21481</v>
      </c>
      <c r="H307" s="68" t="inlineStr">
        <is>
          <t>DefRatio</t>
        </is>
      </c>
      <c r="I307" s="68" t="n">
        <v>21481</v>
      </c>
    </row>
    <row r="308">
      <c r="A308" s="68">
        <f>B308&amp;TEXT(C308,"0000")</f>
        <v/>
      </c>
      <c r="B308" s="68" t="n">
        <v>102</v>
      </c>
      <c r="C308" s="68" t="n">
        <v>5</v>
      </c>
      <c r="D308" s="68" t="inlineStr">
        <is>
          <t>HpRatio</t>
        </is>
      </c>
      <c r="E308" s="68" t="n">
        <v>33359</v>
      </c>
      <c r="F308" s="68" t="inlineStr">
        <is>
          <t>AtkRatio</t>
        </is>
      </c>
      <c r="G308" s="68" t="n">
        <v>33359</v>
      </c>
      <c r="H308" s="68" t="inlineStr">
        <is>
          <t>DefRatio</t>
        </is>
      </c>
      <c r="I308" s="68" t="n">
        <v>33359</v>
      </c>
    </row>
    <row r="309">
      <c r="A309" s="68">
        <f>B309&amp;TEXT(C309,"0000")</f>
        <v/>
      </c>
      <c r="B309" s="68" t="n">
        <v>102</v>
      </c>
      <c r="C309" s="68" t="n">
        <v>6</v>
      </c>
      <c r="D309" s="68" t="inlineStr">
        <is>
          <t>HpRatio</t>
        </is>
      </c>
      <c r="E309" s="68" t="n">
        <v>46934</v>
      </c>
      <c r="F309" s="68" t="inlineStr">
        <is>
          <t>AtkRatio</t>
        </is>
      </c>
      <c r="G309" s="68" t="n">
        <v>46934</v>
      </c>
      <c r="H309" s="68" t="inlineStr">
        <is>
          <t>DefRatio</t>
        </is>
      </c>
      <c r="I309" s="68" t="n">
        <v>46934</v>
      </c>
    </row>
    <row r="310">
      <c r="A310" s="68">
        <f>B310&amp;TEXT(C310,"0000")</f>
        <v/>
      </c>
      <c r="B310" s="68" t="n">
        <v>102</v>
      </c>
      <c r="C310" s="68" t="n">
        <v>7</v>
      </c>
      <c r="D310" s="68" t="inlineStr">
        <is>
          <t>HpRatio</t>
        </is>
      </c>
      <c r="E310" s="68" t="n">
        <v>62034</v>
      </c>
      <c r="F310" s="68" t="inlineStr">
        <is>
          <t>AtkRatio</t>
        </is>
      </c>
      <c r="G310" s="68" t="n">
        <v>62034</v>
      </c>
      <c r="H310" s="68" t="inlineStr">
        <is>
          <t>DefRatio</t>
        </is>
      </c>
      <c r="I310" s="68" t="n">
        <v>62034</v>
      </c>
    </row>
    <row r="311">
      <c r="A311" s="68">
        <f>B311&amp;TEXT(C311,"0000")</f>
        <v/>
      </c>
      <c r="B311" s="68" t="n">
        <v>102</v>
      </c>
      <c r="C311" s="68" t="n">
        <v>8</v>
      </c>
      <c r="D311" s="68" t="inlineStr">
        <is>
          <t>HpRatio</t>
        </is>
      </c>
      <c r="E311" s="68" t="n">
        <v>78534</v>
      </c>
      <c r="F311" s="68" t="inlineStr">
        <is>
          <t>AtkRatio</t>
        </is>
      </c>
      <c r="G311" s="68" t="n">
        <v>78534</v>
      </c>
      <c r="H311" s="68" t="inlineStr">
        <is>
          <t>DefRatio</t>
        </is>
      </c>
      <c r="I311" s="68" t="n">
        <v>78534</v>
      </c>
    </row>
    <row r="312">
      <c r="A312" s="68">
        <f>B312&amp;TEXT(C312,"0000")</f>
        <v/>
      </c>
      <c r="B312" s="68" t="n">
        <v>102</v>
      </c>
      <c r="C312" s="68" t="n">
        <v>9</v>
      </c>
      <c r="D312" s="68" t="inlineStr">
        <is>
          <t>HpRatio</t>
        </is>
      </c>
      <c r="E312" s="68" t="n">
        <v>96336</v>
      </c>
      <c r="F312" s="68" t="inlineStr">
        <is>
          <t>AtkRatio</t>
        </is>
      </c>
      <c r="G312" s="68" t="n">
        <v>96336</v>
      </c>
      <c r="H312" s="68" t="inlineStr">
        <is>
          <t>DefRatio</t>
        </is>
      </c>
      <c r="I312" s="68" t="n">
        <v>96336</v>
      </c>
    </row>
    <row r="313">
      <c r="A313" s="68">
        <f>B313&amp;TEXT(C313,"0000")</f>
        <v/>
      </c>
      <c r="B313" s="68" t="n">
        <v>102</v>
      </c>
      <c r="C313" s="68" t="n">
        <v>10</v>
      </c>
      <c r="D313" s="68" t="inlineStr">
        <is>
          <t>HpRatio</t>
        </is>
      </c>
      <c r="E313" s="68" t="n">
        <v>115359</v>
      </c>
      <c r="F313" s="68" t="inlineStr">
        <is>
          <t>AtkRatio</t>
        </is>
      </c>
      <c r="G313" s="68" t="n">
        <v>115359</v>
      </c>
      <c r="H313" s="68" t="inlineStr">
        <is>
          <t>DefRatio</t>
        </is>
      </c>
      <c r="I313" s="68" t="n">
        <v>115359</v>
      </c>
    </row>
    <row r="314">
      <c r="A314" s="68">
        <f>B314&amp;TEXT(C314,"0000")</f>
        <v/>
      </c>
      <c r="B314" s="68" t="n">
        <v>102</v>
      </c>
      <c r="C314" s="68" t="n">
        <v>11</v>
      </c>
      <c r="D314" s="68" t="inlineStr">
        <is>
          <t>HpRatio</t>
        </is>
      </c>
      <c r="E314" s="68" t="n">
        <v>135538</v>
      </c>
      <c r="F314" s="68" t="inlineStr">
        <is>
          <t>AtkRatio</t>
        </is>
      </c>
      <c r="G314" s="68" t="n">
        <v>135538</v>
      </c>
      <c r="H314" s="68" t="inlineStr">
        <is>
          <t>DefRatio</t>
        </is>
      </c>
      <c r="I314" s="68" t="n">
        <v>135538</v>
      </c>
    </row>
    <row r="315">
      <c r="A315" s="68">
        <f>B315&amp;TEXT(C315,"0000")</f>
        <v/>
      </c>
      <c r="B315" s="68" t="n">
        <v>102</v>
      </c>
      <c r="C315" s="68" t="n">
        <v>12</v>
      </c>
      <c r="D315" s="68" t="inlineStr">
        <is>
          <t>HpRatio</t>
        </is>
      </c>
      <c r="E315" s="68" t="n">
        <v>156816</v>
      </c>
      <c r="F315" s="68" t="inlineStr">
        <is>
          <t>AtkRatio</t>
        </is>
      </c>
      <c r="G315" s="68" t="n">
        <v>156816</v>
      </c>
      <c r="H315" s="68" t="inlineStr">
        <is>
          <t>DefRatio</t>
        </is>
      </c>
      <c r="I315" s="68" t="n">
        <v>156816</v>
      </c>
    </row>
    <row r="316">
      <c r="A316" s="68">
        <f>B316&amp;TEXT(C316,"0000")</f>
        <v/>
      </c>
      <c r="B316" s="68" t="n">
        <v>102</v>
      </c>
      <c r="C316" s="68" t="n">
        <v>13</v>
      </c>
      <c r="D316" s="68" t="inlineStr">
        <is>
          <t>HpRatio</t>
        </is>
      </c>
      <c r="E316" s="68" t="n">
        <v>179146</v>
      </c>
      <c r="F316" s="68" t="inlineStr">
        <is>
          <t>AtkRatio</t>
        </is>
      </c>
      <c r="G316" s="68" t="n">
        <v>179146</v>
      </c>
      <c r="H316" s="68" t="inlineStr">
        <is>
          <t>DefRatio</t>
        </is>
      </c>
      <c r="I316" s="68" t="n">
        <v>179146</v>
      </c>
    </row>
    <row r="317">
      <c r="A317" s="68">
        <f>B317&amp;TEXT(C317,"0000")</f>
        <v/>
      </c>
      <c r="B317" s="68" t="n">
        <v>102</v>
      </c>
      <c r="C317" s="68" t="n">
        <v>14</v>
      </c>
      <c r="D317" s="68" t="inlineStr">
        <is>
          <t>HpRatio</t>
        </is>
      </c>
      <c r="E317" s="68" t="n">
        <v>202485</v>
      </c>
      <c r="F317" s="68" t="inlineStr">
        <is>
          <t>AtkRatio</t>
        </is>
      </c>
      <c r="G317" s="68" t="n">
        <v>202485</v>
      </c>
      <c r="H317" s="68" t="inlineStr">
        <is>
          <t>DefRatio</t>
        </is>
      </c>
      <c r="I317" s="68" t="n">
        <v>202485</v>
      </c>
    </row>
    <row r="318">
      <c r="A318" s="68">
        <f>B318&amp;TEXT(C318,"0000")</f>
        <v/>
      </c>
      <c r="B318" s="68" t="n">
        <v>102</v>
      </c>
      <c r="C318" s="68" t="n">
        <v>15</v>
      </c>
      <c r="D318" s="68" t="inlineStr">
        <is>
          <t>HpRatio</t>
        </is>
      </c>
      <c r="E318" s="68" t="n">
        <v>226796</v>
      </c>
      <c r="F318" s="68" t="inlineStr">
        <is>
          <t>AtkRatio</t>
        </is>
      </c>
      <c r="G318" s="68" t="n">
        <v>226796</v>
      </c>
      <c r="H318" s="68" t="inlineStr">
        <is>
          <t>DefRatio</t>
        </is>
      </c>
      <c r="I318" s="68" t="n">
        <v>226796</v>
      </c>
    </row>
    <row r="319">
      <c r="A319" s="68">
        <f>B319&amp;TEXT(C319,"0000")</f>
        <v/>
      </c>
      <c r="B319" s="68" t="n">
        <v>102</v>
      </c>
      <c r="C319" s="68" t="n">
        <v>16</v>
      </c>
      <c r="D319" s="68" t="inlineStr">
        <is>
          <t>HpRatio</t>
        </is>
      </c>
      <c r="E319" s="68" t="n">
        <v>252046</v>
      </c>
      <c r="F319" s="68" t="inlineStr">
        <is>
          <t>AtkRatio</t>
        </is>
      </c>
      <c r="G319" s="68" t="n">
        <v>252046</v>
      </c>
      <c r="H319" s="68" t="inlineStr">
        <is>
          <t>DefRatio</t>
        </is>
      </c>
      <c r="I319" s="68" t="n">
        <v>252046</v>
      </c>
    </row>
    <row r="320">
      <c r="A320" s="68">
        <f>B320&amp;TEXT(C320,"0000")</f>
        <v/>
      </c>
      <c r="B320" s="68" t="n">
        <v>102</v>
      </c>
      <c r="C320" s="68" t="n">
        <v>17</v>
      </c>
      <c r="D320" s="68" t="inlineStr">
        <is>
          <t>HpRatio</t>
        </is>
      </c>
      <c r="E320" s="68" t="n">
        <v>278204</v>
      </c>
      <c r="F320" s="68" t="inlineStr">
        <is>
          <t>AtkRatio</t>
        </is>
      </c>
      <c r="G320" s="68" t="n">
        <v>278204</v>
      </c>
      <c r="H320" s="68" t="inlineStr">
        <is>
          <t>DefRatio</t>
        </is>
      </c>
      <c r="I320" s="68" t="n">
        <v>278204</v>
      </c>
    </row>
    <row r="321">
      <c r="A321" s="68">
        <f>B321&amp;TEXT(C321,"0000")</f>
        <v/>
      </c>
      <c r="B321" s="68" t="n">
        <v>102</v>
      </c>
      <c r="C321" s="68" t="n">
        <v>18</v>
      </c>
      <c r="D321" s="68" t="inlineStr">
        <is>
          <t>HpRatio</t>
        </is>
      </c>
      <c r="E321" s="68" t="n">
        <v>305244</v>
      </c>
      <c r="F321" s="68" t="inlineStr">
        <is>
          <t>AtkRatio</t>
        </is>
      </c>
      <c r="G321" s="68" t="n">
        <v>305244</v>
      </c>
      <c r="H321" s="68" t="inlineStr">
        <is>
          <t>DefRatio</t>
        </is>
      </c>
      <c r="I321" s="68" t="n">
        <v>305244</v>
      </c>
    </row>
    <row r="322">
      <c r="A322" s="68">
        <f>B322&amp;TEXT(C322,"0000")</f>
        <v/>
      </c>
      <c r="B322" s="68" t="n">
        <v>102</v>
      </c>
      <c r="C322" s="68" t="n">
        <v>19</v>
      </c>
      <c r="D322" s="68" t="inlineStr">
        <is>
          <t>HpRatio</t>
        </is>
      </c>
      <c r="E322" s="68" t="n">
        <v>333140</v>
      </c>
      <c r="F322" s="68" t="inlineStr">
        <is>
          <t>AtkRatio</t>
        </is>
      </c>
      <c r="G322" s="68" t="n">
        <v>333140</v>
      </c>
      <c r="H322" s="68" t="inlineStr">
        <is>
          <t>DefRatio</t>
        </is>
      </c>
      <c r="I322" s="68" t="n">
        <v>333140</v>
      </c>
    </row>
    <row r="323">
      <c r="A323" s="68">
        <f>B323&amp;TEXT(C323,"0000")</f>
        <v/>
      </c>
      <c r="B323" s="68" t="n">
        <v>102</v>
      </c>
      <c r="C323" s="68" t="n">
        <v>20</v>
      </c>
      <c r="D323" s="68" t="inlineStr">
        <is>
          <t>HpRatio</t>
        </is>
      </c>
      <c r="E323" s="68" t="n">
        <v>361870</v>
      </c>
      <c r="F323" s="68" t="inlineStr">
        <is>
          <t>AtkRatio</t>
        </is>
      </c>
      <c r="G323" s="68" t="n">
        <v>361870</v>
      </c>
      <c r="H323" s="68" t="inlineStr">
        <is>
          <t>DefRatio</t>
        </is>
      </c>
      <c r="I323" s="68" t="n">
        <v>361870</v>
      </c>
    </row>
    <row r="324">
      <c r="A324" s="68">
        <f>B324&amp;TEXT(C324,"0000")</f>
        <v/>
      </c>
      <c r="B324" s="68" t="n">
        <v>102</v>
      </c>
      <c r="C324" s="68" t="n">
        <v>21</v>
      </c>
      <c r="D324" s="68" t="inlineStr">
        <is>
          <t>HpRatio</t>
        </is>
      </c>
      <c r="E324" s="68" t="n">
        <v>391414</v>
      </c>
      <c r="F324" s="68" t="inlineStr">
        <is>
          <t>AtkRatio</t>
        </is>
      </c>
      <c r="G324" s="68" t="n">
        <v>391414</v>
      </c>
      <c r="H324" s="68" t="inlineStr">
        <is>
          <t>DefRatio</t>
        </is>
      </c>
      <c r="I324" s="68" t="n">
        <v>391414</v>
      </c>
    </row>
    <row r="325">
      <c r="A325" s="68">
        <f>B325&amp;TEXT(C325,"0000")</f>
        <v/>
      </c>
      <c r="B325" s="68" t="n">
        <v>102</v>
      </c>
      <c r="C325" s="68" t="n">
        <v>22</v>
      </c>
      <c r="D325" s="68" t="inlineStr">
        <is>
          <t>HpRatio</t>
        </is>
      </c>
      <c r="E325" s="68" t="n">
        <v>421750</v>
      </c>
      <c r="F325" s="68" t="inlineStr">
        <is>
          <t>AtkRatio</t>
        </is>
      </c>
      <c r="G325" s="68" t="n">
        <v>421750</v>
      </c>
      <c r="H325" s="68" t="inlineStr">
        <is>
          <t>DefRatio</t>
        </is>
      </c>
      <c r="I325" s="68" t="n">
        <v>421750</v>
      </c>
    </row>
    <row r="326">
      <c r="A326" s="68">
        <f>B326&amp;TEXT(C326,"0000")</f>
        <v/>
      </c>
      <c r="B326" s="68" t="n">
        <v>102</v>
      </c>
      <c r="C326" s="68" t="n">
        <v>23</v>
      </c>
      <c r="D326" s="68" t="inlineStr">
        <is>
          <t>HpRatio</t>
        </is>
      </c>
      <c r="E326" s="68" t="n">
        <v>452863</v>
      </c>
      <c r="F326" s="68" t="inlineStr">
        <is>
          <t>AtkRatio</t>
        </is>
      </c>
      <c r="G326" s="68" t="n">
        <v>452863</v>
      </c>
      <c r="H326" s="68" t="inlineStr">
        <is>
          <t>DefRatio</t>
        </is>
      </c>
      <c r="I326" s="68" t="n">
        <v>452863</v>
      </c>
    </row>
    <row r="327">
      <c r="A327" s="68">
        <f>B327&amp;TEXT(C327,"0000")</f>
        <v/>
      </c>
      <c r="B327" s="68" t="n">
        <v>102</v>
      </c>
      <c r="C327" s="68" t="n">
        <v>24</v>
      </c>
      <c r="D327" s="68" t="inlineStr">
        <is>
          <t>HpRatio</t>
        </is>
      </c>
      <c r="E327" s="68" t="n">
        <v>484734</v>
      </c>
      <c r="F327" s="68" t="inlineStr">
        <is>
          <t>AtkRatio</t>
        </is>
      </c>
      <c r="G327" s="68" t="n">
        <v>484734</v>
      </c>
      <c r="H327" s="68" t="inlineStr">
        <is>
          <t>DefRatio</t>
        </is>
      </c>
      <c r="I327" s="68" t="n">
        <v>484734</v>
      </c>
    </row>
    <row r="328">
      <c r="A328" s="68">
        <f>B328&amp;TEXT(C328,"0000")</f>
        <v/>
      </c>
      <c r="B328" s="68" t="n">
        <v>102</v>
      </c>
      <c r="C328" s="68" t="n">
        <v>25</v>
      </c>
      <c r="D328" s="68" t="inlineStr">
        <is>
          <t>HpRatio</t>
        </is>
      </c>
      <c r="E328" s="68" t="n">
        <v>517348</v>
      </c>
      <c r="F328" s="68" t="inlineStr">
        <is>
          <t>AtkRatio</t>
        </is>
      </c>
      <c r="G328" s="68" t="n">
        <v>517348</v>
      </c>
      <c r="H328" s="68" t="inlineStr">
        <is>
          <t>DefRatio</t>
        </is>
      </c>
      <c r="I328" s="68" t="n">
        <v>517348</v>
      </c>
    </row>
    <row r="329">
      <c r="A329" s="68">
        <f>B329&amp;TEXT(C329,"0000")</f>
        <v/>
      </c>
      <c r="B329" s="68" t="n">
        <v>102</v>
      </c>
      <c r="C329" s="68" t="n">
        <v>26</v>
      </c>
      <c r="D329" s="68" t="inlineStr">
        <is>
          <t>HpRatio</t>
        </is>
      </c>
      <c r="E329" s="68" t="n">
        <v>550691</v>
      </c>
      <c r="F329" s="68" t="inlineStr">
        <is>
          <t>AtkRatio</t>
        </is>
      </c>
      <c r="G329" s="68" t="n">
        <v>550691</v>
      </c>
      <c r="H329" s="68" t="inlineStr">
        <is>
          <t>DefRatio</t>
        </is>
      </c>
      <c r="I329" s="68" t="n">
        <v>550691</v>
      </c>
    </row>
    <row r="330">
      <c r="A330" s="68">
        <f>B330&amp;TEXT(C330,"0000")</f>
        <v/>
      </c>
      <c r="B330" s="68" t="n">
        <v>102</v>
      </c>
      <c r="C330" s="68" t="n">
        <v>27</v>
      </c>
      <c r="D330" s="68" t="inlineStr">
        <is>
          <t>HpRatio</t>
        </is>
      </c>
      <c r="E330" s="68" t="n">
        <v>584749</v>
      </c>
      <c r="F330" s="68" t="inlineStr">
        <is>
          <t>AtkRatio</t>
        </is>
      </c>
      <c r="G330" s="68" t="n">
        <v>584749</v>
      </c>
      <c r="H330" s="68" t="inlineStr">
        <is>
          <t>DefRatio</t>
        </is>
      </c>
      <c r="I330" s="68" t="n">
        <v>584749</v>
      </c>
    </row>
    <row r="331">
      <c r="A331" s="68">
        <f>B331&amp;TEXT(C331,"0000")</f>
        <v/>
      </c>
      <c r="B331" s="68" t="n">
        <v>102</v>
      </c>
      <c r="C331" s="68" t="n">
        <v>28</v>
      </c>
      <c r="D331" s="68" t="inlineStr">
        <is>
          <t>HpRatio</t>
        </is>
      </c>
      <c r="E331" s="68" t="n">
        <v>619507</v>
      </c>
      <c r="F331" s="68" t="inlineStr">
        <is>
          <t>AtkRatio</t>
        </is>
      </c>
      <c r="G331" s="68" t="n">
        <v>619507</v>
      </c>
      <c r="H331" s="68" t="inlineStr">
        <is>
          <t>DefRatio</t>
        </is>
      </c>
      <c r="I331" s="68" t="n">
        <v>619507</v>
      </c>
    </row>
    <row r="332">
      <c r="A332" s="68">
        <f>B332&amp;TEXT(C332,"0000")</f>
        <v/>
      </c>
      <c r="B332" s="68" t="n">
        <v>102</v>
      </c>
      <c r="C332" s="68" t="n">
        <v>29</v>
      </c>
      <c r="D332" s="68" t="inlineStr">
        <is>
          <t>HpRatio</t>
        </is>
      </c>
      <c r="E332" s="68" t="n">
        <v>654955</v>
      </c>
      <c r="F332" s="68" t="inlineStr">
        <is>
          <t>AtkRatio</t>
        </is>
      </c>
      <c r="G332" s="68" t="n">
        <v>654955</v>
      </c>
      <c r="H332" s="68" t="inlineStr">
        <is>
          <t>DefRatio</t>
        </is>
      </c>
      <c r="I332" s="68" t="n">
        <v>654955</v>
      </c>
    </row>
    <row r="333">
      <c r="A333" s="68">
        <f>B333&amp;TEXT(C333,"0000")</f>
        <v/>
      </c>
      <c r="B333" s="68" t="n">
        <v>102</v>
      </c>
      <c r="C333" s="68" t="n">
        <v>30</v>
      </c>
      <c r="D333" s="68" t="inlineStr">
        <is>
          <t>HpRatio</t>
        </is>
      </c>
      <c r="E333" s="68" t="n">
        <v>691081</v>
      </c>
      <c r="F333" s="68" t="inlineStr">
        <is>
          <t>AtkRatio</t>
        </is>
      </c>
      <c r="G333" s="68" t="n">
        <v>691081</v>
      </c>
      <c r="H333" s="68" t="inlineStr">
        <is>
          <t>DefRatio</t>
        </is>
      </c>
      <c r="I333" s="68" t="n">
        <v>691081</v>
      </c>
    </row>
    <row r="334">
      <c r="A334" s="68">
        <f>B334&amp;TEXT(C334,"0000")</f>
        <v/>
      </c>
      <c r="B334" s="68" t="n">
        <v>102</v>
      </c>
      <c r="C334" s="68" t="n">
        <v>31</v>
      </c>
      <c r="D334" s="68" t="inlineStr">
        <is>
          <t>HpRatio</t>
        </is>
      </c>
      <c r="E334" s="68" t="n">
        <v>727873</v>
      </c>
      <c r="F334" s="68" t="inlineStr">
        <is>
          <t>AtkRatio</t>
        </is>
      </c>
      <c r="G334" s="68" t="n">
        <v>727873</v>
      </c>
      <c r="H334" s="68" t="inlineStr">
        <is>
          <t>DefRatio</t>
        </is>
      </c>
      <c r="I334" s="68" t="n">
        <v>727873</v>
      </c>
    </row>
    <row r="335">
      <c r="A335" s="68">
        <f>B335&amp;TEXT(C335,"0000")</f>
        <v/>
      </c>
      <c r="B335" s="68" t="n">
        <v>102</v>
      </c>
      <c r="C335" s="68" t="n">
        <v>32</v>
      </c>
      <c r="D335" s="68" t="inlineStr">
        <is>
          <t>HpRatio</t>
        </is>
      </c>
      <c r="E335" s="68" t="n">
        <v>765321</v>
      </c>
      <c r="F335" s="68" t="inlineStr">
        <is>
          <t>AtkRatio</t>
        </is>
      </c>
      <c r="G335" s="68" t="n">
        <v>765321</v>
      </c>
      <c r="H335" s="68" t="inlineStr">
        <is>
          <t>DefRatio</t>
        </is>
      </c>
      <c r="I335" s="68" t="n">
        <v>765321</v>
      </c>
    </row>
    <row r="336">
      <c r="A336" s="68">
        <f>B336&amp;TEXT(C336,"0000")</f>
        <v/>
      </c>
      <c r="B336" s="68" t="n">
        <v>102</v>
      </c>
      <c r="C336" s="68" t="n">
        <v>33</v>
      </c>
      <c r="D336" s="68" t="inlineStr">
        <is>
          <t>HpRatio</t>
        </is>
      </c>
      <c r="E336" s="68" t="n">
        <v>803414</v>
      </c>
      <c r="F336" s="68" t="inlineStr">
        <is>
          <t>AtkRatio</t>
        </is>
      </c>
      <c r="G336" s="68" t="n">
        <v>803414</v>
      </c>
      <c r="H336" s="68" t="inlineStr">
        <is>
          <t>DefRatio</t>
        </is>
      </c>
      <c r="I336" s="68" t="n">
        <v>803414</v>
      </c>
    </row>
    <row r="337">
      <c r="A337" s="68">
        <f>B337&amp;TEXT(C337,"0000")</f>
        <v/>
      </c>
      <c r="B337" s="68" t="n">
        <v>102</v>
      </c>
      <c r="C337" s="68" t="n">
        <v>34</v>
      </c>
      <c r="D337" s="68" t="inlineStr">
        <is>
          <t>HpRatio</t>
        </is>
      </c>
      <c r="E337" s="68" t="n">
        <v>842144</v>
      </c>
      <c r="F337" s="68" t="inlineStr">
        <is>
          <t>AtkRatio</t>
        </is>
      </c>
      <c r="G337" s="68" t="n">
        <v>842144</v>
      </c>
      <c r="H337" s="68" t="inlineStr">
        <is>
          <t>DefRatio</t>
        </is>
      </c>
      <c r="I337" s="68" t="n">
        <v>842144</v>
      </c>
    </row>
    <row r="338">
      <c r="A338" s="68">
        <f>B338&amp;TEXT(C338,"0000")</f>
        <v/>
      </c>
      <c r="B338" s="68" t="n">
        <v>102</v>
      </c>
      <c r="C338" s="68" t="n">
        <v>35</v>
      </c>
      <c r="D338" s="68" t="inlineStr">
        <is>
          <t>HpRatio</t>
        </is>
      </c>
      <c r="E338" s="68" t="n">
        <v>881501</v>
      </c>
      <c r="F338" s="68" t="inlineStr">
        <is>
          <t>AtkRatio</t>
        </is>
      </c>
      <c r="G338" s="68" t="n">
        <v>881501</v>
      </c>
      <c r="H338" s="68" t="inlineStr">
        <is>
          <t>DefRatio</t>
        </is>
      </c>
      <c r="I338" s="68" t="n">
        <v>881501</v>
      </c>
    </row>
    <row r="339">
      <c r="A339" s="68">
        <f>B339&amp;TEXT(C339,"0000")</f>
        <v/>
      </c>
      <c r="B339" s="68" t="n">
        <v>102</v>
      </c>
      <c r="C339" s="68" t="n">
        <v>36</v>
      </c>
      <c r="D339" s="68" t="inlineStr">
        <is>
          <t>HpRatio</t>
        </is>
      </c>
      <c r="E339" s="68" t="n">
        <v>921476</v>
      </c>
      <c r="F339" s="68" t="inlineStr">
        <is>
          <t>AtkRatio</t>
        </is>
      </c>
      <c r="G339" s="68" t="n">
        <v>921476</v>
      </c>
      <c r="H339" s="68" t="inlineStr">
        <is>
          <t>DefRatio</t>
        </is>
      </c>
      <c r="I339" s="68" t="n">
        <v>921476</v>
      </c>
    </row>
    <row r="340">
      <c r="A340" s="68">
        <f>B340&amp;TEXT(C340,"0000")</f>
        <v/>
      </c>
      <c r="B340" s="68" t="n">
        <v>102</v>
      </c>
      <c r="C340" s="68" t="n">
        <v>37</v>
      </c>
      <c r="D340" s="68" t="inlineStr">
        <is>
          <t>HpRatio</t>
        </is>
      </c>
      <c r="E340" s="68" t="n">
        <v>962061</v>
      </c>
      <c r="F340" s="68" t="inlineStr">
        <is>
          <t>AtkRatio</t>
        </is>
      </c>
      <c r="G340" s="68" t="n">
        <v>962061</v>
      </c>
      <c r="H340" s="68" t="inlineStr">
        <is>
          <t>DefRatio</t>
        </is>
      </c>
      <c r="I340" s="68" t="n">
        <v>962061</v>
      </c>
    </row>
    <row r="341">
      <c r="A341" s="68">
        <f>B341&amp;TEXT(C341,"0000")</f>
        <v/>
      </c>
      <c r="B341" s="68" t="n">
        <v>102</v>
      </c>
      <c r="C341" s="68" t="n">
        <v>38</v>
      </c>
      <c r="D341" s="68" t="inlineStr">
        <is>
          <t>HpRatio</t>
        </is>
      </c>
      <c r="E341" s="68" t="n">
        <v>1003249</v>
      </c>
      <c r="F341" s="68" t="inlineStr">
        <is>
          <t>AtkRatio</t>
        </is>
      </c>
      <c r="G341" s="68" t="n">
        <v>1003249</v>
      </c>
      <c r="H341" s="68" t="inlineStr">
        <is>
          <t>DefRatio</t>
        </is>
      </c>
      <c r="I341" s="68" t="n">
        <v>1003249</v>
      </c>
    </row>
    <row r="342">
      <c r="A342" s="68">
        <f>B342&amp;TEXT(C342,"0000")</f>
        <v/>
      </c>
      <c r="B342" s="68" t="n">
        <v>102</v>
      </c>
      <c r="C342" s="68" t="n">
        <v>39</v>
      </c>
      <c r="D342" s="68" t="inlineStr">
        <is>
          <t>HpRatio</t>
        </is>
      </c>
      <c r="E342" s="68" t="n">
        <v>1045030</v>
      </c>
      <c r="F342" s="68" t="inlineStr">
        <is>
          <t>AtkRatio</t>
        </is>
      </c>
      <c r="G342" s="68" t="n">
        <v>1045030</v>
      </c>
      <c r="H342" s="68" t="inlineStr">
        <is>
          <t>DefRatio</t>
        </is>
      </c>
      <c r="I342" s="68" t="n">
        <v>1045030</v>
      </c>
    </row>
    <row r="343">
      <c r="A343" s="68">
        <f>B343&amp;TEXT(C343,"0000")</f>
        <v/>
      </c>
      <c r="B343" s="68" t="n">
        <v>102</v>
      </c>
      <c r="C343" s="68" t="n">
        <v>40</v>
      </c>
      <c r="D343" s="68" t="inlineStr">
        <is>
          <t>HpRatio</t>
        </is>
      </c>
      <c r="E343" s="68" t="n">
        <v>1087399</v>
      </c>
      <c r="F343" s="68" t="inlineStr">
        <is>
          <t>AtkRatio</t>
        </is>
      </c>
      <c r="G343" s="68" t="n">
        <v>1087399</v>
      </c>
      <c r="H343" s="68" t="inlineStr">
        <is>
          <t>DefRatio</t>
        </is>
      </c>
      <c r="I343" s="68" t="n">
        <v>1087399</v>
      </c>
    </row>
    <row r="344">
      <c r="A344" s="68">
        <f>B344&amp;TEXT(C344,"0000")</f>
        <v/>
      </c>
      <c r="B344" s="68" t="n">
        <v>102</v>
      </c>
      <c r="C344" s="68" t="n">
        <v>41</v>
      </c>
      <c r="D344" s="68" t="inlineStr">
        <is>
          <t>HpRatio</t>
        </is>
      </c>
      <c r="E344" s="68" t="n">
        <v>1130347</v>
      </c>
      <c r="F344" s="68" t="inlineStr">
        <is>
          <t>AtkRatio</t>
        </is>
      </c>
      <c r="G344" s="68" t="n">
        <v>1130347</v>
      </c>
      <c r="H344" s="68" t="inlineStr">
        <is>
          <t>DefRatio</t>
        </is>
      </c>
      <c r="I344" s="68" t="n">
        <v>1130347</v>
      </c>
    </row>
    <row r="345">
      <c r="A345" s="68">
        <f>B345&amp;TEXT(C345,"0000")</f>
        <v/>
      </c>
      <c r="B345" s="68" t="n">
        <v>102</v>
      </c>
      <c r="C345" s="68" t="n">
        <v>42</v>
      </c>
      <c r="D345" s="68" t="inlineStr">
        <is>
          <t>HpRatio</t>
        </is>
      </c>
      <c r="E345" s="68" t="n">
        <v>1173868</v>
      </c>
      <c r="F345" s="68" t="inlineStr">
        <is>
          <t>AtkRatio</t>
        </is>
      </c>
      <c r="G345" s="68" t="n">
        <v>1173868</v>
      </c>
      <c r="H345" s="68" t="inlineStr">
        <is>
          <t>DefRatio</t>
        </is>
      </c>
      <c r="I345" s="68" t="n">
        <v>1173868</v>
      </c>
    </row>
    <row r="346">
      <c r="A346" s="68">
        <f>B346&amp;TEXT(C346,"0000")</f>
        <v/>
      </c>
      <c r="B346" s="68" t="n">
        <v>102</v>
      </c>
      <c r="C346" s="68" t="n">
        <v>43</v>
      </c>
      <c r="D346" s="68" t="inlineStr">
        <is>
          <t>HpRatio</t>
        </is>
      </c>
      <c r="E346" s="68" t="n">
        <v>1217955</v>
      </c>
      <c r="F346" s="68" t="inlineStr">
        <is>
          <t>AtkRatio</t>
        </is>
      </c>
      <c r="G346" s="68" t="n">
        <v>1217955</v>
      </c>
      <c r="H346" s="68" t="inlineStr">
        <is>
          <t>DefRatio</t>
        </is>
      </c>
      <c r="I346" s="68" t="n">
        <v>1217955</v>
      </c>
    </row>
    <row r="347">
      <c r="A347" s="68">
        <f>B347&amp;TEXT(C347,"0000")</f>
        <v/>
      </c>
      <c r="B347" s="68" t="n">
        <v>102</v>
      </c>
      <c r="C347" s="68" t="n">
        <v>44</v>
      </c>
      <c r="D347" s="68" t="inlineStr">
        <is>
          <t>HpRatio</t>
        </is>
      </c>
      <c r="E347" s="68" t="n">
        <v>1262603</v>
      </c>
      <c r="F347" s="68" t="inlineStr">
        <is>
          <t>AtkRatio</t>
        </is>
      </c>
      <c r="G347" s="68" t="n">
        <v>1262603</v>
      </c>
      <c r="H347" s="68" t="inlineStr">
        <is>
          <t>DefRatio</t>
        </is>
      </c>
      <c r="I347" s="68" t="n">
        <v>1262603</v>
      </c>
    </row>
    <row r="348">
      <c r="A348" s="68">
        <f>B348&amp;TEXT(C348,"0000")</f>
        <v/>
      </c>
      <c r="B348" s="68" t="n">
        <v>102</v>
      </c>
      <c r="C348" s="68" t="n">
        <v>45</v>
      </c>
      <c r="D348" s="68" t="inlineStr">
        <is>
          <t>HpRatio</t>
        </is>
      </c>
      <c r="E348" s="68" t="n">
        <v>1307804</v>
      </c>
      <c r="F348" s="68" t="inlineStr">
        <is>
          <t>AtkRatio</t>
        </is>
      </c>
      <c r="G348" s="68" t="n">
        <v>1307804</v>
      </c>
      <c r="H348" s="68" t="inlineStr">
        <is>
          <t>DefRatio</t>
        </is>
      </c>
      <c r="I348" s="68" t="n">
        <v>1307804</v>
      </c>
    </row>
    <row r="349">
      <c r="A349" s="68">
        <f>B349&amp;TEXT(C349,"0000")</f>
        <v/>
      </c>
      <c r="B349" s="68" t="n">
        <v>102</v>
      </c>
      <c r="C349" s="68" t="n">
        <v>46</v>
      </c>
      <c r="D349" s="68" t="inlineStr">
        <is>
          <t>HpRatio</t>
        </is>
      </c>
      <c r="E349" s="68" t="n">
        <v>1353553</v>
      </c>
      <c r="F349" s="68" t="inlineStr">
        <is>
          <t>AtkRatio</t>
        </is>
      </c>
      <c r="G349" s="68" t="n">
        <v>1353553</v>
      </c>
      <c r="H349" s="68" t="inlineStr">
        <is>
          <t>DefRatio</t>
        </is>
      </c>
      <c r="I349" s="68" t="n">
        <v>1353553</v>
      </c>
    </row>
    <row r="350">
      <c r="A350" s="68">
        <f>B350&amp;TEXT(C350,"0000")</f>
        <v/>
      </c>
      <c r="B350" s="68" t="n">
        <v>102</v>
      </c>
      <c r="C350" s="68" t="n">
        <v>47</v>
      </c>
      <c r="D350" s="68" t="inlineStr">
        <is>
          <t>HpRatio</t>
        </is>
      </c>
      <c r="E350" s="68" t="n">
        <v>1399843</v>
      </c>
      <c r="F350" s="68" t="inlineStr">
        <is>
          <t>AtkRatio</t>
        </is>
      </c>
      <c r="G350" s="68" t="n">
        <v>1399843</v>
      </c>
      <c r="H350" s="68" t="inlineStr">
        <is>
          <t>DefRatio</t>
        </is>
      </c>
      <c r="I350" s="68" t="n">
        <v>1399843</v>
      </c>
    </row>
    <row r="351">
      <c r="A351" s="68">
        <f>B351&amp;TEXT(C351,"0000")</f>
        <v/>
      </c>
      <c r="B351" s="68" t="n">
        <v>102</v>
      </c>
      <c r="C351" s="68" t="n">
        <v>48</v>
      </c>
      <c r="D351" s="68" t="inlineStr">
        <is>
          <t>HpRatio</t>
        </is>
      </c>
      <c r="E351" s="68" t="n">
        <v>1446671</v>
      </c>
      <c r="F351" s="68" t="inlineStr">
        <is>
          <t>AtkRatio</t>
        </is>
      </c>
      <c r="G351" s="68" t="n">
        <v>1446671</v>
      </c>
      <c r="H351" s="68" t="inlineStr">
        <is>
          <t>DefRatio</t>
        </is>
      </c>
      <c r="I351" s="68" t="n">
        <v>1446671</v>
      </c>
    </row>
    <row r="352">
      <c r="A352" s="68">
        <f>B352&amp;TEXT(C352,"0000")</f>
        <v/>
      </c>
      <c r="B352" s="68" t="n">
        <v>102</v>
      </c>
      <c r="C352" s="68" t="n">
        <v>49</v>
      </c>
      <c r="D352" s="68" t="inlineStr">
        <is>
          <t>HpRatio</t>
        </is>
      </c>
      <c r="E352" s="68" t="n">
        <v>1494029</v>
      </c>
      <c r="F352" s="68" t="inlineStr">
        <is>
          <t>AtkRatio</t>
        </is>
      </c>
      <c r="G352" s="68" t="n">
        <v>1494029</v>
      </c>
      <c r="H352" s="68" t="inlineStr">
        <is>
          <t>DefRatio</t>
        </is>
      </c>
      <c r="I352" s="68" t="n">
        <v>1494029</v>
      </c>
    </row>
    <row r="353">
      <c r="A353" s="68">
        <f>B353&amp;TEXT(C353,"0000")</f>
        <v/>
      </c>
      <c r="B353" s="68" t="n">
        <v>102</v>
      </c>
      <c r="C353" s="68" t="n">
        <v>50</v>
      </c>
      <c r="D353" s="68" t="inlineStr">
        <is>
          <t>HpRatio</t>
        </is>
      </c>
      <c r="E353" s="68" t="n">
        <v>1541913</v>
      </c>
      <c r="F353" s="68" t="inlineStr">
        <is>
          <t>AtkRatio</t>
        </is>
      </c>
      <c r="G353" s="68" t="n">
        <v>1541913</v>
      </c>
      <c r="H353" s="68" t="inlineStr">
        <is>
          <t>DefRatio</t>
        </is>
      </c>
      <c r="I353" s="68" t="n">
        <v>1541913</v>
      </c>
    </row>
    <row r="354">
      <c r="A354" s="68">
        <f>B354&amp;TEXT(C354,"0000")</f>
        <v/>
      </c>
      <c r="B354" s="68" t="n">
        <v>102</v>
      </c>
      <c r="C354" s="68" t="n">
        <v>51</v>
      </c>
      <c r="D354" s="68" t="inlineStr">
        <is>
          <t>HpRatio</t>
        </is>
      </c>
      <c r="E354" s="68" t="n">
        <v>1590318</v>
      </c>
      <c r="F354" s="68" t="inlineStr">
        <is>
          <t>AtkRatio</t>
        </is>
      </c>
      <c r="G354" s="68" t="n">
        <v>1590318</v>
      </c>
      <c r="H354" s="68" t="inlineStr">
        <is>
          <t>DefRatio</t>
        </is>
      </c>
      <c r="I354" s="68" t="n">
        <v>1590318</v>
      </c>
    </row>
    <row r="355">
      <c r="A355" s="68">
        <f>B355&amp;TEXT(C355,"0000")</f>
        <v/>
      </c>
      <c r="B355" s="68" t="n">
        <v>102</v>
      </c>
      <c r="C355" s="68" t="n">
        <v>52</v>
      </c>
      <c r="D355" s="68" t="inlineStr">
        <is>
          <t>HpRatio</t>
        </is>
      </c>
      <c r="E355" s="68" t="n">
        <v>1639239</v>
      </c>
      <c r="F355" s="68" t="inlineStr">
        <is>
          <t>AtkRatio</t>
        </is>
      </c>
      <c r="G355" s="68" t="n">
        <v>1639239</v>
      </c>
      <c r="H355" s="68" t="inlineStr">
        <is>
          <t>DefRatio</t>
        </is>
      </c>
      <c r="I355" s="68" t="n">
        <v>1639239</v>
      </c>
    </row>
    <row r="356">
      <c r="A356" s="68">
        <f>B356&amp;TEXT(C356,"0000")</f>
        <v/>
      </c>
      <c r="B356" s="68" t="n">
        <v>102</v>
      </c>
      <c r="C356" s="68" t="n">
        <v>53</v>
      </c>
      <c r="D356" s="68" t="inlineStr">
        <is>
          <t>HpRatio</t>
        </is>
      </c>
      <c r="E356" s="68" t="n">
        <v>1688671</v>
      </c>
      <c r="F356" s="68" t="inlineStr">
        <is>
          <t>AtkRatio</t>
        </is>
      </c>
      <c r="G356" s="68" t="n">
        <v>1688671</v>
      </c>
      <c r="H356" s="68" t="inlineStr">
        <is>
          <t>DefRatio</t>
        </is>
      </c>
      <c r="I356" s="68" t="n">
        <v>1688671</v>
      </c>
    </row>
    <row r="357">
      <c r="A357" s="68">
        <f>B357&amp;TEXT(C357,"0000")</f>
        <v/>
      </c>
      <c r="B357" s="68" t="n">
        <v>102</v>
      </c>
      <c r="C357" s="68" t="n">
        <v>54</v>
      </c>
      <c r="D357" s="68" t="inlineStr">
        <is>
          <t>HpRatio</t>
        </is>
      </c>
      <c r="E357" s="68" t="n">
        <v>1738610</v>
      </c>
      <c r="F357" s="68" t="inlineStr">
        <is>
          <t>AtkRatio</t>
        </is>
      </c>
      <c r="G357" s="68" t="n">
        <v>1738610</v>
      </c>
      <c r="H357" s="68" t="inlineStr">
        <is>
          <t>DefRatio</t>
        </is>
      </c>
      <c r="I357" s="68" t="n">
        <v>1738610</v>
      </c>
    </row>
    <row r="358">
      <c r="A358" s="68">
        <f>B358&amp;TEXT(C358,"0000")</f>
        <v/>
      </c>
      <c r="B358" s="68" t="n">
        <v>102</v>
      </c>
      <c r="C358" s="68" t="n">
        <v>55</v>
      </c>
      <c r="D358" s="68" t="inlineStr">
        <is>
          <t>HpRatio</t>
        </is>
      </c>
      <c r="E358" s="68" t="n">
        <v>1789050</v>
      </c>
      <c r="F358" s="68" t="inlineStr">
        <is>
          <t>AtkRatio</t>
        </is>
      </c>
      <c r="G358" s="68" t="n">
        <v>1789050</v>
      </c>
      <c r="H358" s="68" t="inlineStr">
        <is>
          <t>DefRatio</t>
        </is>
      </c>
      <c r="I358" s="68" t="n">
        <v>1789050</v>
      </c>
    </row>
    <row r="359">
      <c r="A359" s="68">
        <f>B359&amp;TEXT(C359,"0000")</f>
        <v/>
      </c>
      <c r="B359" s="68" t="n">
        <v>102</v>
      </c>
      <c r="C359" s="68" t="n">
        <v>56</v>
      </c>
      <c r="D359" s="68" t="inlineStr">
        <is>
          <t>HpRatio</t>
        </is>
      </c>
      <c r="E359" s="68" t="n">
        <v>1839988</v>
      </c>
      <c r="F359" s="68" t="inlineStr">
        <is>
          <t>AtkRatio</t>
        </is>
      </c>
      <c r="G359" s="68" t="n">
        <v>1839988</v>
      </c>
      <c r="H359" s="68" t="inlineStr">
        <is>
          <t>DefRatio</t>
        </is>
      </c>
      <c r="I359" s="68" t="n">
        <v>1839988</v>
      </c>
    </row>
    <row r="360">
      <c r="A360" s="68">
        <f>B360&amp;TEXT(C360,"0000")</f>
        <v/>
      </c>
      <c r="B360" s="68" t="n">
        <v>102</v>
      </c>
      <c r="C360" s="68" t="n">
        <v>57</v>
      </c>
      <c r="D360" s="68" t="inlineStr">
        <is>
          <t>HpRatio</t>
        </is>
      </c>
      <c r="E360" s="68" t="n">
        <v>1891419</v>
      </c>
      <c r="F360" s="68" t="inlineStr">
        <is>
          <t>AtkRatio</t>
        </is>
      </c>
      <c r="G360" s="68" t="n">
        <v>1891419</v>
      </c>
      <c r="H360" s="68" t="inlineStr">
        <is>
          <t>DefRatio</t>
        </is>
      </c>
      <c r="I360" s="68" t="n">
        <v>1891419</v>
      </c>
    </row>
    <row r="361">
      <c r="A361" s="68">
        <f>B361&amp;TEXT(C361,"0000")</f>
        <v/>
      </c>
      <c r="B361" s="68" t="n">
        <v>102</v>
      </c>
      <c r="C361" s="68" t="n">
        <v>58</v>
      </c>
      <c r="D361" s="68" t="inlineStr">
        <is>
          <t>HpRatio</t>
        </is>
      </c>
      <c r="E361" s="68" t="n">
        <v>1943339</v>
      </c>
      <c r="F361" s="68" t="inlineStr">
        <is>
          <t>AtkRatio</t>
        </is>
      </c>
      <c r="G361" s="68" t="n">
        <v>1943339</v>
      </c>
      <c r="H361" s="68" t="inlineStr">
        <is>
          <t>DefRatio</t>
        </is>
      </c>
      <c r="I361" s="68" t="n">
        <v>1943339</v>
      </c>
    </row>
    <row r="362">
      <c r="A362" s="68">
        <f>B362&amp;TEXT(C362,"0000")</f>
        <v/>
      </c>
      <c r="B362" s="68" t="n">
        <v>102</v>
      </c>
      <c r="C362" s="68" t="n">
        <v>59</v>
      </c>
      <c r="D362" s="68" t="inlineStr">
        <is>
          <t>HpRatio</t>
        </is>
      </c>
      <c r="E362" s="68" t="n">
        <v>1995744</v>
      </c>
      <c r="F362" s="68" t="inlineStr">
        <is>
          <t>AtkRatio</t>
        </is>
      </c>
      <c r="G362" s="68" t="n">
        <v>1995744</v>
      </c>
      <c r="H362" s="68" t="inlineStr">
        <is>
          <t>DefRatio</t>
        </is>
      </c>
      <c r="I362" s="68" t="n">
        <v>1995744</v>
      </c>
    </row>
    <row r="363">
      <c r="A363" s="68">
        <f>B363&amp;TEXT(C363,"0000")</f>
        <v/>
      </c>
      <c r="B363" s="68" t="n">
        <v>102</v>
      </c>
      <c r="C363" s="68" t="n">
        <v>60</v>
      </c>
      <c r="D363" s="68" t="inlineStr">
        <is>
          <t>HpRatio</t>
        </is>
      </c>
      <c r="E363" s="68" t="n">
        <v>2048630</v>
      </c>
      <c r="F363" s="68" t="inlineStr">
        <is>
          <t>AtkRatio</t>
        </is>
      </c>
      <c r="G363" s="68" t="n">
        <v>2048630</v>
      </c>
      <c r="H363" s="68" t="inlineStr">
        <is>
          <t>DefRatio</t>
        </is>
      </c>
      <c r="I363" s="68" t="n">
        <v>2048630</v>
      </c>
    </row>
    <row r="364">
      <c r="A364" s="68">
        <f>B364&amp;TEXT(C364,"0000")</f>
        <v/>
      </c>
      <c r="B364" s="68" t="n">
        <v>102</v>
      </c>
      <c r="C364" s="68" t="n">
        <v>61</v>
      </c>
      <c r="D364" s="68" t="inlineStr">
        <is>
          <t>HpRatio</t>
        </is>
      </c>
      <c r="E364" s="68" t="n">
        <v>2101994</v>
      </c>
      <c r="F364" s="68" t="inlineStr">
        <is>
          <t>AtkRatio</t>
        </is>
      </c>
      <c r="G364" s="68" t="n">
        <v>2101994</v>
      </c>
      <c r="H364" s="68" t="inlineStr">
        <is>
          <t>DefRatio</t>
        </is>
      </c>
      <c r="I364" s="68" t="n">
        <v>2101994</v>
      </c>
    </row>
    <row r="365">
      <c r="A365" s="68">
        <f>B365&amp;TEXT(C365,"0000")</f>
        <v/>
      </c>
      <c r="B365" s="68" t="n">
        <v>102</v>
      </c>
      <c r="C365" s="68" t="n">
        <v>62</v>
      </c>
      <c r="D365" s="68" t="inlineStr">
        <is>
          <t>HpRatio</t>
        </is>
      </c>
      <c r="E365" s="68" t="n">
        <v>2155831</v>
      </c>
      <c r="F365" s="68" t="inlineStr">
        <is>
          <t>AtkRatio</t>
        </is>
      </c>
      <c r="G365" s="68" t="n">
        <v>2155831</v>
      </c>
      <c r="H365" s="68" t="inlineStr">
        <is>
          <t>DefRatio</t>
        </is>
      </c>
      <c r="I365" s="68" t="n">
        <v>2155831</v>
      </c>
    </row>
    <row r="366">
      <c r="A366" s="68">
        <f>B366&amp;TEXT(C366,"0000")</f>
        <v/>
      </c>
      <c r="B366" s="68" t="n">
        <v>102</v>
      </c>
      <c r="C366" s="68" t="n">
        <v>63</v>
      </c>
      <c r="D366" s="68" t="inlineStr">
        <is>
          <t>HpRatio</t>
        </is>
      </c>
      <c r="E366" s="68" t="n">
        <v>2210137</v>
      </c>
      <c r="F366" s="68" t="inlineStr">
        <is>
          <t>AtkRatio</t>
        </is>
      </c>
      <c r="G366" s="68" t="n">
        <v>2210137</v>
      </c>
      <c r="H366" s="68" t="inlineStr">
        <is>
          <t>DefRatio</t>
        </is>
      </c>
      <c r="I366" s="68" t="n">
        <v>2210137</v>
      </c>
    </row>
    <row r="367">
      <c r="A367" s="68">
        <f>B367&amp;TEXT(C367,"0000")</f>
        <v/>
      </c>
      <c r="B367" s="68" t="n">
        <v>102</v>
      </c>
      <c r="C367" s="68" t="n">
        <v>64</v>
      </c>
      <c r="D367" s="68" t="inlineStr">
        <is>
          <t>HpRatio</t>
        </is>
      </c>
      <c r="E367" s="68" t="n">
        <v>2264910</v>
      </c>
      <c r="F367" s="68" t="inlineStr">
        <is>
          <t>AtkRatio</t>
        </is>
      </c>
      <c r="G367" s="68" t="n">
        <v>2264910</v>
      </c>
      <c r="H367" s="68" t="inlineStr">
        <is>
          <t>DefRatio</t>
        </is>
      </c>
      <c r="I367" s="68" t="n">
        <v>2264910</v>
      </c>
    </row>
    <row r="368">
      <c r="A368" s="68">
        <f>B368&amp;TEXT(C368,"0000")</f>
        <v/>
      </c>
      <c r="B368" s="68" t="n">
        <v>102</v>
      </c>
      <c r="C368" s="68" t="n">
        <v>65</v>
      </c>
      <c r="D368" s="68" t="inlineStr">
        <is>
          <t>HpRatio</t>
        </is>
      </c>
      <c r="E368" s="68" t="n">
        <v>2320146</v>
      </c>
      <c r="F368" s="68" t="inlineStr">
        <is>
          <t>AtkRatio</t>
        </is>
      </c>
      <c r="G368" s="68" t="n">
        <v>2320146</v>
      </c>
      <c r="H368" s="68" t="inlineStr">
        <is>
          <t>DefRatio</t>
        </is>
      </c>
      <c r="I368" s="68" t="n">
        <v>2320146</v>
      </c>
    </row>
    <row r="369">
      <c r="A369" s="68">
        <f>B369&amp;TEXT(C369,"0000")</f>
        <v/>
      </c>
      <c r="B369" s="68" t="n">
        <v>102</v>
      </c>
      <c r="C369" s="68" t="n">
        <v>66</v>
      </c>
      <c r="D369" s="68" t="inlineStr">
        <is>
          <t>HpRatio</t>
        </is>
      </c>
      <c r="E369" s="68" t="n">
        <v>2375841</v>
      </c>
      <c r="F369" s="68" t="inlineStr">
        <is>
          <t>AtkRatio</t>
        </is>
      </c>
      <c r="G369" s="68" t="n">
        <v>2375841</v>
      </c>
      <c r="H369" s="68" t="inlineStr">
        <is>
          <t>DefRatio</t>
        </is>
      </c>
      <c r="I369" s="68" t="n">
        <v>2375841</v>
      </c>
    </row>
    <row r="370">
      <c r="A370" s="68">
        <f>B370&amp;TEXT(C370,"0000")</f>
        <v/>
      </c>
      <c r="B370" s="68" t="n">
        <v>102</v>
      </c>
      <c r="C370" s="68" t="n">
        <v>67</v>
      </c>
      <c r="D370" s="68" t="inlineStr">
        <is>
          <t>HpRatio</t>
        </is>
      </c>
      <c r="E370" s="68" t="n">
        <v>2431992</v>
      </c>
      <c r="F370" s="68" t="inlineStr">
        <is>
          <t>AtkRatio</t>
        </is>
      </c>
      <c r="G370" s="68" t="n">
        <v>2431992</v>
      </c>
      <c r="H370" s="68" t="inlineStr">
        <is>
          <t>DefRatio</t>
        </is>
      </c>
      <c r="I370" s="68" t="n">
        <v>2431992</v>
      </c>
    </row>
    <row r="371">
      <c r="A371" s="68">
        <f>B371&amp;TEXT(C371,"0000")</f>
        <v/>
      </c>
      <c r="B371" s="68" t="n">
        <v>102</v>
      </c>
      <c r="C371" s="68" t="n">
        <v>68</v>
      </c>
      <c r="D371" s="68" t="inlineStr">
        <is>
          <t>HpRatio</t>
        </is>
      </c>
      <c r="E371" s="68" t="n">
        <v>2488596</v>
      </c>
      <c r="F371" s="68" t="inlineStr">
        <is>
          <t>AtkRatio</t>
        </is>
      </c>
      <c r="G371" s="68" t="n">
        <v>2488596</v>
      </c>
      <c r="H371" s="68" t="inlineStr">
        <is>
          <t>DefRatio</t>
        </is>
      </c>
      <c r="I371" s="68" t="n">
        <v>2488596</v>
      </c>
    </row>
    <row r="372">
      <c r="A372" s="68">
        <f>B372&amp;TEXT(C372,"0000")</f>
        <v/>
      </c>
      <c r="B372" s="68" t="n">
        <v>102</v>
      </c>
      <c r="C372" s="68" t="n">
        <v>69</v>
      </c>
      <c r="D372" s="68" t="inlineStr">
        <is>
          <t>HpRatio</t>
        </is>
      </c>
      <c r="E372" s="68" t="n">
        <v>2545650</v>
      </c>
      <c r="F372" s="68" t="inlineStr">
        <is>
          <t>AtkRatio</t>
        </is>
      </c>
      <c r="G372" s="68" t="n">
        <v>2545650</v>
      </c>
      <c r="H372" s="68" t="inlineStr">
        <is>
          <t>DefRatio</t>
        </is>
      </c>
      <c r="I372" s="68" t="n">
        <v>2545650</v>
      </c>
    </row>
    <row r="373">
      <c r="A373" s="68">
        <f>B373&amp;TEXT(C373,"0000")</f>
        <v/>
      </c>
      <c r="B373" s="68" t="n">
        <v>102</v>
      </c>
      <c r="C373" s="68" t="n">
        <v>70</v>
      </c>
      <c r="D373" s="68" t="inlineStr">
        <is>
          <t>HpRatio</t>
        </is>
      </c>
      <c r="E373" s="68" t="n">
        <v>2603149</v>
      </c>
      <c r="F373" s="68" t="inlineStr">
        <is>
          <t>AtkRatio</t>
        </is>
      </c>
      <c r="G373" s="68" t="n">
        <v>2603149</v>
      </c>
      <c r="H373" s="68" t="inlineStr">
        <is>
          <t>DefRatio</t>
        </is>
      </c>
      <c r="I373" s="68" t="n">
        <v>2603149</v>
      </c>
    </row>
    <row r="374">
      <c r="A374" s="68">
        <f>B374&amp;TEXT(C374,"0000")</f>
        <v/>
      </c>
      <c r="B374" s="68" t="n">
        <v>102</v>
      </c>
      <c r="C374" s="68" t="n">
        <v>71</v>
      </c>
      <c r="D374" s="68" t="inlineStr">
        <is>
          <t>HpRatio</t>
        </is>
      </c>
      <c r="E374" s="68" t="n">
        <v>2661093</v>
      </c>
      <c r="F374" s="68" t="inlineStr">
        <is>
          <t>AtkRatio</t>
        </is>
      </c>
      <c r="G374" s="68" t="n">
        <v>2661093</v>
      </c>
      <c r="H374" s="68" t="inlineStr">
        <is>
          <t>DefRatio</t>
        </is>
      </c>
      <c r="I374" s="68" t="n">
        <v>2661093</v>
      </c>
    </row>
    <row r="375">
      <c r="A375" s="68">
        <f>B375&amp;TEXT(C375,"0000")</f>
        <v/>
      </c>
      <c r="B375" s="68" t="n">
        <v>102</v>
      </c>
      <c r="C375" s="68" t="n">
        <v>72</v>
      </c>
      <c r="D375" s="68" t="inlineStr">
        <is>
          <t>HpRatio</t>
        </is>
      </c>
      <c r="E375" s="68" t="n">
        <v>2719476</v>
      </c>
      <c r="F375" s="68" t="inlineStr">
        <is>
          <t>AtkRatio</t>
        </is>
      </c>
      <c r="G375" s="68" t="n">
        <v>2719476</v>
      </c>
      <c r="H375" s="68" t="inlineStr">
        <is>
          <t>DefRatio</t>
        </is>
      </c>
      <c r="I375" s="68" t="n">
        <v>2719476</v>
      </c>
    </row>
    <row r="376">
      <c r="A376" s="68">
        <f>B376&amp;TEXT(C376,"0000")</f>
        <v/>
      </c>
      <c r="B376" s="68" t="n">
        <v>102</v>
      </c>
      <c r="C376" s="68" t="n">
        <v>73</v>
      </c>
      <c r="D376" s="68" t="inlineStr">
        <is>
          <t>HpRatio</t>
        </is>
      </c>
      <c r="E376" s="68" t="n">
        <v>2778297</v>
      </c>
      <c r="F376" s="68" t="inlineStr">
        <is>
          <t>AtkRatio</t>
        </is>
      </c>
      <c r="G376" s="68" t="n">
        <v>2778297</v>
      </c>
      <c r="H376" s="68" t="inlineStr">
        <is>
          <t>DefRatio</t>
        </is>
      </c>
      <c r="I376" s="68" t="n">
        <v>2778297</v>
      </c>
    </row>
    <row r="377">
      <c r="A377" s="68">
        <f>B377&amp;TEXT(C377,"0000")</f>
        <v/>
      </c>
      <c r="B377" s="68" t="n">
        <v>102</v>
      </c>
      <c r="C377" s="68" t="n">
        <v>74</v>
      </c>
      <c r="D377" s="68" t="inlineStr">
        <is>
          <t>HpRatio</t>
        </is>
      </c>
      <c r="E377" s="68" t="n">
        <v>2837553</v>
      </c>
      <c r="F377" s="68" t="inlineStr">
        <is>
          <t>AtkRatio</t>
        </is>
      </c>
      <c r="G377" s="68" t="n">
        <v>2837553</v>
      </c>
      <c r="H377" s="68" t="inlineStr">
        <is>
          <t>DefRatio</t>
        </is>
      </c>
      <c r="I377" s="68" t="n">
        <v>2837553</v>
      </c>
    </row>
    <row r="378">
      <c r="A378" s="68">
        <f>B378&amp;TEXT(C378,"0000")</f>
        <v/>
      </c>
      <c r="B378" s="68" t="n">
        <v>102</v>
      </c>
      <c r="C378" s="68" t="n">
        <v>75</v>
      </c>
      <c r="D378" s="68" t="inlineStr">
        <is>
          <t>HpRatio</t>
        </is>
      </c>
      <c r="E378" s="68" t="n">
        <v>2897240</v>
      </c>
      <c r="F378" s="68" t="inlineStr">
        <is>
          <t>AtkRatio</t>
        </is>
      </c>
      <c r="G378" s="68" t="n">
        <v>2897240</v>
      </c>
      <c r="H378" s="68" t="inlineStr">
        <is>
          <t>DefRatio</t>
        </is>
      </c>
      <c r="I378" s="68" t="n">
        <v>2897240</v>
      </c>
    </row>
    <row r="379">
      <c r="A379" s="68">
        <f>B379&amp;TEXT(C379,"0000")</f>
        <v/>
      </c>
      <c r="B379" s="68" t="n">
        <v>102</v>
      </c>
      <c r="C379" s="68" t="n">
        <v>76</v>
      </c>
      <c r="D379" s="68" t="inlineStr">
        <is>
          <t>HpRatio</t>
        </is>
      </c>
      <c r="E379" s="68" t="n">
        <v>2957357</v>
      </c>
      <c r="F379" s="68" t="inlineStr">
        <is>
          <t>AtkRatio</t>
        </is>
      </c>
      <c r="G379" s="68" t="n">
        <v>2957357</v>
      </c>
      <c r="H379" s="68" t="inlineStr">
        <is>
          <t>DefRatio</t>
        </is>
      </c>
      <c r="I379" s="68" t="n">
        <v>2957357</v>
      </c>
    </row>
    <row r="380">
      <c r="A380" s="68">
        <f>B380&amp;TEXT(C380,"0000")</f>
        <v/>
      </c>
      <c r="B380" s="68" t="n">
        <v>102</v>
      </c>
      <c r="C380" s="68" t="n">
        <v>77</v>
      </c>
      <c r="D380" s="68" t="inlineStr">
        <is>
          <t>HpRatio</t>
        </is>
      </c>
      <c r="E380" s="68" t="n">
        <v>3017900</v>
      </c>
      <c r="F380" s="68" t="inlineStr">
        <is>
          <t>AtkRatio</t>
        </is>
      </c>
      <c r="G380" s="68" t="n">
        <v>3017900</v>
      </c>
      <c r="H380" s="68" t="inlineStr">
        <is>
          <t>DefRatio</t>
        </is>
      </c>
      <c r="I380" s="68" t="n">
        <v>3017900</v>
      </c>
    </row>
    <row r="381">
      <c r="A381" s="68">
        <f>B381&amp;TEXT(C381,"0000")</f>
        <v/>
      </c>
      <c r="B381" s="68" t="n">
        <v>102</v>
      </c>
      <c r="C381" s="68" t="n">
        <v>78</v>
      </c>
      <c r="D381" s="68" t="inlineStr">
        <is>
          <t>HpRatio</t>
        </is>
      </c>
      <c r="E381" s="68" t="n">
        <v>3078866</v>
      </c>
      <c r="F381" s="68" t="inlineStr">
        <is>
          <t>AtkRatio</t>
        </is>
      </c>
      <c r="G381" s="68" t="n">
        <v>3078866</v>
      </c>
      <c r="H381" s="68" t="inlineStr">
        <is>
          <t>DefRatio</t>
        </is>
      </c>
      <c r="I381" s="68" t="n">
        <v>3078866</v>
      </c>
    </row>
    <row r="382">
      <c r="A382" s="68">
        <f>B382&amp;TEXT(C382,"0000")</f>
        <v/>
      </c>
      <c r="B382" s="68" t="n">
        <v>102</v>
      </c>
      <c r="C382" s="68" t="n">
        <v>79</v>
      </c>
      <c r="D382" s="68" t="inlineStr">
        <is>
          <t>HpRatio</t>
        </is>
      </c>
      <c r="E382" s="68" t="n">
        <v>3140254</v>
      </c>
      <c r="F382" s="68" t="inlineStr">
        <is>
          <t>AtkRatio</t>
        </is>
      </c>
      <c r="G382" s="68" t="n">
        <v>3140254</v>
      </c>
      <c r="H382" s="68" t="inlineStr">
        <is>
          <t>DefRatio</t>
        </is>
      </c>
      <c r="I382" s="68" t="n">
        <v>3140254</v>
      </c>
    </row>
    <row r="383">
      <c r="A383" s="68">
        <f>B383&amp;TEXT(C383,"0000")</f>
        <v/>
      </c>
      <c r="B383" s="68" t="n">
        <v>102</v>
      </c>
      <c r="C383" s="68" t="n">
        <v>80</v>
      </c>
      <c r="D383" s="68" t="inlineStr">
        <is>
          <t>HpRatio</t>
        </is>
      </c>
      <c r="E383" s="68" t="n">
        <v>3202060</v>
      </c>
      <c r="F383" s="68" t="inlineStr">
        <is>
          <t>AtkRatio</t>
        </is>
      </c>
      <c r="G383" s="68" t="n">
        <v>3202060</v>
      </c>
      <c r="H383" s="68" t="inlineStr">
        <is>
          <t>DefRatio</t>
        </is>
      </c>
      <c r="I383" s="68" t="n">
        <v>3202060</v>
      </c>
    </row>
    <row r="384">
      <c r="A384" s="68">
        <f>B384&amp;TEXT(C384,"0000")</f>
        <v/>
      </c>
      <c r="B384" s="68" t="n">
        <v>102</v>
      </c>
      <c r="C384" s="68" t="n">
        <v>81</v>
      </c>
      <c r="D384" s="68" t="inlineStr">
        <is>
          <t>HpRatio</t>
        </is>
      </c>
      <c r="E384" s="68" t="n">
        <v>3264282</v>
      </c>
      <c r="F384" s="68" t="inlineStr">
        <is>
          <t>AtkRatio</t>
        </is>
      </c>
      <c r="G384" s="68" t="n">
        <v>3264282</v>
      </c>
      <c r="H384" s="68" t="inlineStr">
        <is>
          <t>DefRatio</t>
        </is>
      </c>
      <c r="I384" s="68" t="n">
        <v>3264282</v>
      </c>
    </row>
    <row r="385">
      <c r="A385" s="68">
        <f>B385&amp;TEXT(C385,"0000")</f>
        <v/>
      </c>
      <c r="B385" s="68" t="n">
        <v>102</v>
      </c>
      <c r="C385" s="68" t="n">
        <v>82</v>
      </c>
      <c r="D385" s="68" t="inlineStr">
        <is>
          <t>HpRatio</t>
        </is>
      </c>
      <c r="E385" s="68" t="n">
        <v>3326918</v>
      </c>
      <c r="F385" s="68" t="inlineStr">
        <is>
          <t>AtkRatio</t>
        </is>
      </c>
      <c r="G385" s="68" t="n">
        <v>3326918</v>
      </c>
      <c r="H385" s="68" t="inlineStr">
        <is>
          <t>DefRatio</t>
        </is>
      </c>
      <c r="I385" s="68" t="n">
        <v>3326918</v>
      </c>
    </row>
    <row r="386">
      <c r="A386" s="68">
        <f>B386&amp;TEXT(C386,"0000")</f>
        <v/>
      </c>
      <c r="B386" s="68" t="n">
        <v>102</v>
      </c>
      <c r="C386" s="68" t="n">
        <v>83</v>
      </c>
      <c r="D386" s="68" t="inlineStr">
        <is>
          <t>HpRatio</t>
        </is>
      </c>
      <c r="E386" s="68" t="n">
        <v>3389965</v>
      </c>
      <c r="F386" s="68" t="inlineStr">
        <is>
          <t>AtkRatio</t>
        </is>
      </c>
      <c r="G386" s="68" t="n">
        <v>3389965</v>
      </c>
      <c r="H386" s="68" t="inlineStr">
        <is>
          <t>DefRatio</t>
        </is>
      </c>
      <c r="I386" s="68" t="n">
        <v>3389965</v>
      </c>
    </row>
    <row r="387">
      <c r="A387" s="68">
        <f>B387&amp;TEXT(C387,"0000")</f>
        <v/>
      </c>
      <c r="B387" s="68" t="n">
        <v>102</v>
      </c>
      <c r="C387" s="68" t="n">
        <v>84</v>
      </c>
      <c r="D387" s="68" t="inlineStr">
        <is>
          <t>HpRatio</t>
        </is>
      </c>
      <c r="E387" s="68" t="n">
        <v>3453421</v>
      </c>
      <c r="F387" s="68" t="inlineStr">
        <is>
          <t>AtkRatio</t>
        </is>
      </c>
      <c r="G387" s="68" t="n">
        <v>3453421</v>
      </c>
      <c r="H387" s="68" t="inlineStr">
        <is>
          <t>DefRatio</t>
        </is>
      </c>
      <c r="I387" s="68" t="n">
        <v>3453421</v>
      </c>
    </row>
    <row r="388">
      <c r="A388" s="68">
        <f>B388&amp;TEXT(C388,"0000")</f>
        <v/>
      </c>
      <c r="B388" s="68" t="n">
        <v>102</v>
      </c>
      <c r="C388" s="68" t="n">
        <v>85</v>
      </c>
      <c r="D388" s="68" t="inlineStr">
        <is>
          <t>HpRatio</t>
        </is>
      </c>
      <c r="E388" s="68" t="n">
        <v>3517283</v>
      </c>
      <c r="F388" s="68" t="inlineStr">
        <is>
          <t>AtkRatio</t>
        </is>
      </c>
      <c r="G388" s="68" t="n">
        <v>3517283</v>
      </c>
      <c r="H388" s="68" t="inlineStr">
        <is>
          <t>DefRatio</t>
        </is>
      </c>
      <c r="I388" s="68" t="n">
        <v>3517283</v>
      </c>
    </row>
    <row r="389">
      <c r="A389" s="68">
        <f>B389&amp;TEXT(C389,"0000")</f>
        <v/>
      </c>
      <c r="B389" s="68" t="n">
        <v>102</v>
      </c>
      <c r="C389" s="68" t="n">
        <v>86</v>
      </c>
      <c r="D389" s="68" t="inlineStr">
        <is>
          <t>HpRatio</t>
        </is>
      </c>
      <c r="E389" s="68" t="n">
        <v>3581549</v>
      </c>
      <c r="F389" s="68" t="inlineStr">
        <is>
          <t>AtkRatio</t>
        </is>
      </c>
      <c r="G389" s="68" t="n">
        <v>3581549</v>
      </c>
      <c r="H389" s="68" t="inlineStr">
        <is>
          <t>DefRatio</t>
        </is>
      </c>
      <c r="I389" s="68" t="n">
        <v>3581549</v>
      </c>
    </row>
    <row r="390">
      <c r="A390" s="68">
        <f>B390&amp;TEXT(C390,"0000")</f>
        <v/>
      </c>
      <c r="B390" s="68" t="n">
        <v>102</v>
      </c>
      <c r="C390" s="68" t="n">
        <v>87</v>
      </c>
      <c r="D390" s="68" t="inlineStr">
        <is>
          <t>HpRatio</t>
        </is>
      </c>
      <c r="E390" s="68" t="n">
        <v>3646218</v>
      </c>
      <c r="F390" s="68" t="inlineStr">
        <is>
          <t>AtkRatio</t>
        </is>
      </c>
      <c r="G390" s="68" t="n">
        <v>3646218</v>
      </c>
      <c r="H390" s="68" t="inlineStr">
        <is>
          <t>DefRatio</t>
        </is>
      </c>
      <c r="I390" s="68" t="n">
        <v>3646218</v>
      </c>
    </row>
    <row r="391">
      <c r="A391" s="68">
        <f>B391&amp;TEXT(C391,"0000")</f>
        <v/>
      </c>
      <c r="B391" s="68" t="n">
        <v>102</v>
      </c>
      <c r="C391" s="68" t="n">
        <v>88</v>
      </c>
      <c r="D391" s="68" t="inlineStr">
        <is>
          <t>HpRatio</t>
        </is>
      </c>
      <c r="E391" s="68" t="n">
        <v>3711286</v>
      </c>
      <c r="F391" s="68" t="inlineStr">
        <is>
          <t>AtkRatio</t>
        </is>
      </c>
      <c r="G391" s="68" t="n">
        <v>3711286</v>
      </c>
      <c r="H391" s="68" t="inlineStr">
        <is>
          <t>DefRatio</t>
        </is>
      </c>
      <c r="I391" s="68" t="n">
        <v>3711286</v>
      </c>
    </row>
    <row r="392">
      <c r="A392" s="68">
        <f>B392&amp;TEXT(C392,"0000")</f>
        <v/>
      </c>
      <c r="B392" s="68" t="n">
        <v>102</v>
      </c>
      <c r="C392" s="68" t="n">
        <v>89</v>
      </c>
      <c r="D392" s="68" t="inlineStr">
        <is>
          <t>HpRatio</t>
        </is>
      </c>
      <c r="E392" s="68" t="n">
        <v>3776752</v>
      </c>
      <c r="F392" s="68" t="inlineStr">
        <is>
          <t>AtkRatio</t>
        </is>
      </c>
      <c r="G392" s="68" t="n">
        <v>3776752</v>
      </c>
      <c r="H392" s="68" t="inlineStr">
        <is>
          <t>DefRatio</t>
        </is>
      </c>
      <c r="I392" s="68" t="n">
        <v>3776752</v>
      </c>
    </row>
    <row r="393">
      <c r="A393" s="68">
        <f>B393&amp;TEXT(C393,"0000")</f>
        <v/>
      </c>
      <c r="B393" s="68" t="n">
        <v>102</v>
      </c>
      <c r="C393" s="68" t="n">
        <v>90</v>
      </c>
      <c r="D393" s="68" t="inlineStr">
        <is>
          <t>HpRatio</t>
        </is>
      </c>
      <c r="E393" s="68" t="n">
        <v>3842613</v>
      </c>
      <c r="F393" s="68" t="inlineStr">
        <is>
          <t>AtkRatio</t>
        </is>
      </c>
      <c r="G393" s="68" t="n">
        <v>3842613</v>
      </c>
      <c r="H393" s="68" t="inlineStr">
        <is>
          <t>DefRatio</t>
        </is>
      </c>
      <c r="I393" s="68" t="n">
        <v>3842613</v>
      </c>
    </row>
    <row r="394">
      <c r="A394" s="68">
        <f>B394&amp;TEXT(C394,"0000")</f>
        <v/>
      </c>
      <c r="B394" s="68" t="n">
        <v>102</v>
      </c>
      <c r="C394" s="68" t="n">
        <v>91</v>
      </c>
      <c r="D394" s="68" t="inlineStr">
        <is>
          <t>HpRatio</t>
        </is>
      </c>
      <c r="E394" s="68" t="n">
        <v>3908868</v>
      </c>
      <c r="F394" s="68" t="inlineStr">
        <is>
          <t>AtkRatio</t>
        </is>
      </c>
      <c r="G394" s="68" t="n">
        <v>3908868</v>
      </c>
      <c r="H394" s="68" t="inlineStr">
        <is>
          <t>DefRatio</t>
        </is>
      </c>
      <c r="I394" s="68" t="n">
        <v>3908868</v>
      </c>
    </row>
    <row r="395">
      <c r="A395" s="68">
        <f>B395&amp;TEXT(C395,"0000")</f>
        <v/>
      </c>
      <c r="B395" s="68" t="n">
        <v>102</v>
      </c>
      <c r="C395" s="68" t="n">
        <v>92</v>
      </c>
      <c r="D395" s="68" t="inlineStr">
        <is>
          <t>HpRatio</t>
        </is>
      </c>
      <c r="E395" s="68" t="n">
        <v>3975514</v>
      </c>
      <c r="F395" s="68" t="inlineStr">
        <is>
          <t>AtkRatio</t>
        </is>
      </c>
      <c r="G395" s="68" t="n">
        <v>3975514</v>
      </c>
      <c r="H395" s="68" t="inlineStr">
        <is>
          <t>DefRatio</t>
        </is>
      </c>
      <c r="I395" s="68" t="n">
        <v>3975514</v>
      </c>
    </row>
    <row r="396">
      <c r="A396" s="68">
        <f>B396&amp;TEXT(C396,"0000")</f>
        <v/>
      </c>
      <c r="B396" s="68" t="n">
        <v>102</v>
      </c>
      <c r="C396" s="68" t="n">
        <v>93</v>
      </c>
      <c r="D396" s="68" t="inlineStr">
        <is>
          <t>HpRatio</t>
        </is>
      </c>
      <c r="E396" s="68" t="n">
        <v>4042550</v>
      </c>
      <c r="F396" s="68" t="inlineStr">
        <is>
          <t>AtkRatio</t>
        </is>
      </c>
      <c r="G396" s="68" t="n">
        <v>4042550</v>
      </c>
      <c r="H396" s="68" t="inlineStr">
        <is>
          <t>DefRatio</t>
        </is>
      </c>
      <c r="I396" s="68" t="n">
        <v>4042550</v>
      </c>
    </row>
    <row r="397">
      <c r="A397" s="68">
        <f>B397&amp;TEXT(C397,"0000")</f>
        <v/>
      </c>
      <c r="B397" s="68" t="n">
        <v>102</v>
      </c>
      <c r="C397" s="68" t="n">
        <v>94</v>
      </c>
      <c r="D397" s="68" t="inlineStr">
        <is>
          <t>HpRatio</t>
        </is>
      </c>
      <c r="E397" s="68" t="n">
        <v>4109972</v>
      </c>
      <c r="F397" s="68" t="inlineStr">
        <is>
          <t>AtkRatio</t>
        </is>
      </c>
      <c r="G397" s="68" t="n">
        <v>4109972</v>
      </c>
      <c r="H397" s="68" t="inlineStr">
        <is>
          <t>DefRatio</t>
        </is>
      </c>
      <c r="I397" s="68" t="n">
        <v>4109972</v>
      </c>
    </row>
    <row r="398">
      <c r="A398" s="68">
        <f>B398&amp;TEXT(C398,"0000")</f>
        <v/>
      </c>
      <c r="B398" s="68" t="n">
        <v>102</v>
      </c>
      <c r="C398" s="68" t="n">
        <v>95</v>
      </c>
      <c r="D398" s="68" t="inlineStr">
        <is>
          <t>HpRatio</t>
        </is>
      </c>
      <c r="E398" s="68" t="n">
        <v>4177780</v>
      </c>
      <c r="F398" s="68" t="inlineStr">
        <is>
          <t>AtkRatio</t>
        </is>
      </c>
      <c r="G398" s="68" t="n">
        <v>4177780</v>
      </c>
      <c r="H398" s="68" t="inlineStr">
        <is>
          <t>DefRatio</t>
        </is>
      </c>
      <c r="I398" s="68" t="n">
        <v>4177780</v>
      </c>
    </row>
    <row r="399">
      <c r="A399" s="68">
        <f>B399&amp;TEXT(C399,"0000")</f>
        <v/>
      </c>
      <c r="B399" s="68" t="n">
        <v>102</v>
      </c>
      <c r="C399" s="68" t="n">
        <v>96</v>
      </c>
      <c r="D399" s="68" t="inlineStr">
        <is>
          <t>HpRatio</t>
        </is>
      </c>
      <c r="E399" s="68" t="n">
        <v>4245972</v>
      </c>
      <c r="F399" s="68" t="inlineStr">
        <is>
          <t>AtkRatio</t>
        </is>
      </c>
      <c r="G399" s="68" t="n">
        <v>4245972</v>
      </c>
      <c r="H399" s="68" t="inlineStr">
        <is>
          <t>DefRatio</t>
        </is>
      </c>
      <c r="I399" s="68" t="n">
        <v>4245972</v>
      </c>
    </row>
    <row r="400">
      <c r="A400" s="68">
        <f>B400&amp;TEXT(C400,"0000")</f>
        <v/>
      </c>
      <c r="B400" s="68" t="n">
        <v>102</v>
      </c>
      <c r="C400" s="68" t="n">
        <v>97</v>
      </c>
      <c r="D400" s="68" t="inlineStr">
        <is>
          <t>HpRatio</t>
        </is>
      </c>
      <c r="E400" s="68" t="n">
        <v>4314545</v>
      </c>
      <c r="F400" s="68" t="inlineStr">
        <is>
          <t>AtkRatio</t>
        </is>
      </c>
      <c r="G400" s="68" t="n">
        <v>4314545</v>
      </c>
      <c r="H400" s="68" t="inlineStr">
        <is>
          <t>DefRatio</t>
        </is>
      </c>
      <c r="I400" s="68" t="n">
        <v>4314545</v>
      </c>
    </row>
    <row r="401">
      <c r="A401" s="68">
        <f>B401&amp;TEXT(C401,"0000")</f>
        <v/>
      </c>
      <c r="B401" s="68" t="n">
        <v>102</v>
      </c>
      <c r="C401" s="68" t="n">
        <v>98</v>
      </c>
      <c r="D401" s="68" t="inlineStr">
        <is>
          <t>HpRatio</t>
        </is>
      </c>
      <c r="E401" s="68" t="n">
        <v>4383497</v>
      </c>
      <c r="F401" s="68" t="inlineStr">
        <is>
          <t>AtkRatio</t>
        </is>
      </c>
      <c r="G401" s="68" t="n">
        <v>4383497</v>
      </c>
      <c r="H401" s="68" t="inlineStr">
        <is>
          <t>DefRatio</t>
        </is>
      </c>
      <c r="I401" s="68" t="n">
        <v>4383497</v>
      </c>
    </row>
    <row r="402">
      <c r="A402" s="68">
        <f>B402&amp;TEXT(C402,"0000")</f>
        <v/>
      </c>
      <c r="B402" s="68" t="n">
        <v>102</v>
      </c>
      <c r="C402" s="68" t="n">
        <v>99</v>
      </c>
      <c r="D402" s="68" t="inlineStr">
        <is>
          <t>HpRatio</t>
        </is>
      </c>
      <c r="E402" s="68" t="n">
        <v>4452828</v>
      </c>
      <c r="F402" s="68" t="inlineStr">
        <is>
          <t>AtkRatio</t>
        </is>
      </c>
      <c r="G402" s="68" t="n">
        <v>4452828</v>
      </c>
      <c r="H402" s="68" t="inlineStr">
        <is>
          <t>DefRatio</t>
        </is>
      </c>
      <c r="I402" s="68" t="n">
        <v>4452828</v>
      </c>
    </row>
    <row r="403">
      <c r="A403" s="68">
        <f>B403&amp;TEXT(C403,"0000")</f>
        <v/>
      </c>
      <c r="B403" s="68" t="n">
        <v>102</v>
      </c>
      <c r="C403" s="68" t="n">
        <v>100</v>
      </c>
      <c r="D403" s="68" t="inlineStr">
        <is>
          <t>HpRatio</t>
        </is>
      </c>
      <c r="E403" s="68" t="n">
        <v>4522534</v>
      </c>
      <c r="F403" s="68" t="inlineStr">
        <is>
          <t>AtkRatio</t>
        </is>
      </c>
      <c r="G403" s="68" t="n">
        <v>4522534</v>
      </c>
      <c r="H403" s="68" t="inlineStr">
        <is>
          <t>DefRatio</t>
        </is>
      </c>
      <c r="I403" s="68" t="n">
        <v>4522534</v>
      </c>
    </row>
    <row r="404">
      <c r="A404" s="68">
        <f>B404&amp;TEXT(C404,"0000")</f>
        <v/>
      </c>
      <c r="B404" s="68" t="n">
        <v>102</v>
      </c>
      <c r="C404" s="68" t="n">
        <v>101</v>
      </c>
      <c r="D404" s="68" t="inlineStr">
        <is>
          <t>HpRatio</t>
        </is>
      </c>
      <c r="E404" s="68" t="n">
        <v>4592614</v>
      </c>
      <c r="F404" s="68" t="inlineStr">
        <is>
          <t>AtkRatio</t>
        </is>
      </c>
      <c r="G404" s="68" t="n">
        <v>4592614</v>
      </c>
      <c r="H404" s="68" t="inlineStr">
        <is>
          <t>DefRatio</t>
        </is>
      </c>
      <c r="I404" s="68" t="n">
        <v>4592614</v>
      </c>
    </row>
    <row r="405">
      <c r="A405" s="68">
        <f>B405&amp;TEXT(C405,"0000")</f>
        <v/>
      </c>
      <c r="B405" s="68" t="n">
        <v>102</v>
      </c>
      <c r="C405" s="68" t="n">
        <v>102</v>
      </c>
      <c r="D405" s="68" t="inlineStr">
        <is>
          <t>HpRatio</t>
        </is>
      </c>
      <c r="E405" s="68" t="n">
        <v>4663067</v>
      </c>
      <c r="F405" s="68" t="inlineStr">
        <is>
          <t>AtkRatio</t>
        </is>
      </c>
      <c r="G405" s="68" t="n">
        <v>4663067</v>
      </c>
      <c r="H405" s="68" t="inlineStr">
        <is>
          <t>DefRatio</t>
        </is>
      </c>
      <c r="I405" s="68" t="n">
        <v>4663067</v>
      </c>
    </row>
    <row r="406">
      <c r="A406" s="68">
        <f>B406&amp;TEXT(C406,"0000")</f>
        <v/>
      </c>
      <c r="B406" s="68" t="n">
        <v>102</v>
      </c>
      <c r="C406" s="68" t="n">
        <v>103</v>
      </c>
      <c r="D406" s="68" t="inlineStr">
        <is>
          <t>HpRatio</t>
        </is>
      </c>
      <c r="E406" s="68" t="n">
        <v>4733891</v>
      </c>
      <c r="F406" s="68" t="inlineStr">
        <is>
          <t>AtkRatio</t>
        </is>
      </c>
      <c r="G406" s="68" t="n">
        <v>4733891</v>
      </c>
      <c r="H406" s="68" t="inlineStr">
        <is>
          <t>DefRatio</t>
        </is>
      </c>
      <c r="I406" s="68" t="n">
        <v>4733891</v>
      </c>
    </row>
    <row r="407">
      <c r="A407" s="68">
        <f>B407&amp;TEXT(C407,"0000")</f>
        <v/>
      </c>
      <c r="B407" s="68" t="n">
        <v>102</v>
      </c>
      <c r="C407" s="68" t="n">
        <v>104</v>
      </c>
      <c r="D407" s="68" t="inlineStr">
        <is>
          <t>HpRatio</t>
        </is>
      </c>
      <c r="E407" s="68" t="n">
        <v>4805084</v>
      </c>
      <c r="F407" s="68" t="inlineStr">
        <is>
          <t>AtkRatio</t>
        </is>
      </c>
      <c r="G407" s="68" t="n">
        <v>4805084</v>
      </c>
      <c r="H407" s="68" t="inlineStr">
        <is>
          <t>DefRatio</t>
        </is>
      </c>
      <c r="I407" s="68" t="n">
        <v>4805084</v>
      </c>
    </row>
    <row r="408">
      <c r="A408" s="68">
        <f>B408&amp;TEXT(C408,"0000")</f>
        <v/>
      </c>
      <c r="B408" s="68" t="n">
        <v>102</v>
      </c>
      <c r="C408" s="68" t="n">
        <v>105</v>
      </c>
      <c r="D408" s="68" t="inlineStr">
        <is>
          <t>HpRatio</t>
        </is>
      </c>
      <c r="E408" s="68" t="n">
        <v>4876643</v>
      </c>
      <c r="F408" s="68" t="inlineStr">
        <is>
          <t>AtkRatio</t>
        </is>
      </c>
      <c r="G408" s="68" t="n">
        <v>4876643</v>
      </c>
      <c r="H408" s="68" t="inlineStr">
        <is>
          <t>DefRatio</t>
        </is>
      </c>
      <c r="I408" s="68" t="n">
        <v>4876643</v>
      </c>
    </row>
    <row r="409">
      <c r="A409" s="68">
        <f>B409&amp;TEXT(C409,"0000")</f>
        <v/>
      </c>
      <c r="B409" s="68" t="n">
        <v>102</v>
      </c>
      <c r="C409" s="68" t="n">
        <v>106</v>
      </c>
      <c r="D409" s="68" t="inlineStr">
        <is>
          <t>HpRatio</t>
        </is>
      </c>
      <c r="E409" s="68" t="n">
        <v>4948569</v>
      </c>
      <c r="F409" s="68" t="inlineStr">
        <is>
          <t>AtkRatio</t>
        </is>
      </c>
      <c r="G409" s="68" t="n">
        <v>4948569</v>
      </c>
      <c r="H409" s="68" t="inlineStr">
        <is>
          <t>DefRatio</t>
        </is>
      </c>
      <c r="I409" s="68" t="n">
        <v>4948569</v>
      </c>
    </row>
    <row r="410">
      <c r="A410" s="68">
        <f>B410&amp;TEXT(C410,"0000")</f>
        <v/>
      </c>
      <c r="B410" s="68" t="n">
        <v>102</v>
      </c>
      <c r="C410" s="68" t="n">
        <v>107</v>
      </c>
      <c r="D410" s="68" t="inlineStr">
        <is>
          <t>HpRatio</t>
        </is>
      </c>
      <c r="E410" s="68" t="n">
        <v>5020858</v>
      </c>
      <c r="F410" s="68" t="inlineStr">
        <is>
          <t>AtkRatio</t>
        </is>
      </c>
      <c r="G410" s="68" t="n">
        <v>5020858</v>
      </c>
      <c r="H410" s="68" t="inlineStr">
        <is>
          <t>DefRatio</t>
        </is>
      </c>
      <c r="I410" s="68" t="n">
        <v>5020858</v>
      </c>
    </row>
    <row r="411">
      <c r="A411" s="68">
        <f>B411&amp;TEXT(C411,"0000")</f>
        <v/>
      </c>
      <c r="B411" s="68" t="n">
        <v>102</v>
      </c>
      <c r="C411" s="68" t="n">
        <v>108</v>
      </c>
      <c r="D411" s="68" t="inlineStr">
        <is>
          <t>HpRatio</t>
        </is>
      </c>
      <c r="E411" s="68" t="n">
        <v>5093510</v>
      </c>
      <c r="F411" s="68" t="inlineStr">
        <is>
          <t>AtkRatio</t>
        </is>
      </c>
      <c r="G411" s="68" t="n">
        <v>5093510</v>
      </c>
      <c r="H411" s="68" t="inlineStr">
        <is>
          <t>DefRatio</t>
        </is>
      </c>
      <c r="I411" s="68" t="n">
        <v>5093510</v>
      </c>
    </row>
    <row r="412">
      <c r="A412" s="68">
        <f>B412&amp;TEXT(C412,"0000")</f>
        <v/>
      </c>
      <c r="B412" s="68" t="n">
        <v>102</v>
      </c>
      <c r="C412" s="68" t="n">
        <v>109</v>
      </c>
      <c r="D412" s="68" t="inlineStr">
        <is>
          <t>HpRatio</t>
        </is>
      </c>
      <c r="E412" s="68" t="n">
        <v>5166523</v>
      </c>
      <c r="F412" s="68" t="inlineStr">
        <is>
          <t>AtkRatio</t>
        </is>
      </c>
      <c r="G412" s="68" t="n">
        <v>5166523</v>
      </c>
      <c r="H412" s="68" t="inlineStr">
        <is>
          <t>DefRatio</t>
        </is>
      </c>
      <c r="I412" s="68" t="n">
        <v>5166523</v>
      </c>
    </row>
    <row r="413">
      <c r="A413" s="68">
        <f>B413&amp;TEXT(C413,"0000")</f>
        <v/>
      </c>
      <c r="B413" s="68" t="n">
        <v>102</v>
      </c>
      <c r="C413" s="68" t="n">
        <v>110</v>
      </c>
      <c r="D413" s="68" t="inlineStr">
        <is>
          <t>HpRatio</t>
        </is>
      </c>
      <c r="E413" s="68" t="n">
        <v>5239894</v>
      </c>
      <c r="F413" s="68" t="inlineStr">
        <is>
          <t>AtkRatio</t>
        </is>
      </c>
      <c r="G413" s="68" t="n">
        <v>5239894</v>
      </c>
      <c r="H413" s="68" t="inlineStr">
        <is>
          <t>DefRatio</t>
        </is>
      </c>
      <c r="I413" s="68" t="n">
        <v>5239894</v>
      </c>
    </row>
    <row r="414">
      <c r="A414" s="68">
        <f>B414&amp;TEXT(C414,"0000")</f>
        <v/>
      </c>
      <c r="B414" s="68" t="n">
        <v>102</v>
      </c>
      <c r="C414" s="68" t="n">
        <v>111</v>
      </c>
      <c r="D414" s="68" t="inlineStr">
        <is>
          <t>HpRatio</t>
        </is>
      </c>
      <c r="E414" s="68" t="n">
        <v>5313624</v>
      </c>
      <c r="F414" s="68" t="inlineStr">
        <is>
          <t>AtkRatio</t>
        </is>
      </c>
      <c r="G414" s="68" t="n">
        <v>5313624</v>
      </c>
      <c r="H414" s="68" t="inlineStr">
        <is>
          <t>DefRatio</t>
        </is>
      </c>
      <c r="I414" s="68" t="n">
        <v>5313624</v>
      </c>
    </row>
    <row r="415">
      <c r="A415" s="68">
        <f>B415&amp;TEXT(C415,"0000")</f>
        <v/>
      </c>
      <c r="B415" s="68" t="n">
        <v>102</v>
      </c>
      <c r="C415" s="68" t="n">
        <v>112</v>
      </c>
      <c r="D415" s="68" t="inlineStr">
        <is>
          <t>HpRatio</t>
        </is>
      </c>
      <c r="E415" s="68" t="n">
        <v>5387709</v>
      </c>
      <c r="F415" s="68" t="inlineStr">
        <is>
          <t>AtkRatio</t>
        </is>
      </c>
      <c r="G415" s="68" t="n">
        <v>5387709</v>
      </c>
      <c r="H415" s="68" t="inlineStr">
        <is>
          <t>DefRatio</t>
        </is>
      </c>
      <c r="I415" s="68" t="n">
        <v>5387709</v>
      </c>
    </row>
    <row r="416">
      <c r="A416" s="68">
        <f>B416&amp;TEXT(C416,"0000")</f>
        <v/>
      </c>
      <c r="B416" s="68" t="n">
        <v>102</v>
      </c>
      <c r="C416" s="68" t="n">
        <v>113</v>
      </c>
      <c r="D416" s="68" t="inlineStr">
        <is>
          <t>HpRatio</t>
        </is>
      </c>
      <c r="E416" s="68" t="n">
        <v>5462149</v>
      </c>
      <c r="F416" s="68" t="inlineStr">
        <is>
          <t>AtkRatio</t>
        </is>
      </c>
      <c r="G416" s="68" t="n">
        <v>5462149</v>
      </c>
      <c r="H416" s="68" t="inlineStr">
        <is>
          <t>DefRatio</t>
        </is>
      </c>
      <c r="I416" s="68" t="n">
        <v>5462149</v>
      </c>
    </row>
    <row r="417">
      <c r="A417" s="68">
        <f>B417&amp;TEXT(C417,"0000")</f>
        <v/>
      </c>
      <c r="B417" s="68" t="n">
        <v>102</v>
      </c>
      <c r="C417" s="68" t="n">
        <v>114</v>
      </c>
      <c r="D417" s="68" t="inlineStr">
        <is>
          <t>HpRatio</t>
        </is>
      </c>
      <c r="E417" s="68" t="n">
        <v>5536942</v>
      </c>
      <c r="F417" s="68" t="inlineStr">
        <is>
          <t>AtkRatio</t>
        </is>
      </c>
      <c r="G417" s="68" t="n">
        <v>5536942</v>
      </c>
      <c r="H417" s="68" t="inlineStr">
        <is>
          <t>DefRatio</t>
        </is>
      </c>
      <c r="I417" s="68" t="n">
        <v>5536942</v>
      </c>
    </row>
    <row r="418">
      <c r="A418" s="68">
        <f>B418&amp;TEXT(C418,"0000")</f>
        <v/>
      </c>
      <c r="B418" s="68" t="n">
        <v>102</v>
      </c>
      <c r="C418" s="68" t="n">
        <v>115</v>
      </c>
      <c r="D418" s="68" t="inlineStr">
        <is>
          <t>HpRatio</t>
        </is>
      </c>
      <c r="E418" s="68" t="n">
        <v>5612087</v>
      </c>
      <c r="F418" s="68" t="inlineStr">
        <is>
          <t>AtkRatio</t>
        </is>
      </c>
      <c r="G418" s="68" t="n">
        <v>5612087</v>
      </c>
      <c r="H418" s="68" t="inlineStr">
        <is>
          <t>DefRatio</t>
        </is>
      </c>
      <c r="I418" s="68" t="n">
        <v>5612087</v>
      </c>
    </row>
    <row r="419">
      <c r="A419" s="68">
        <f>B419&amp;TEXT(C419,"0000")</f>
        <v/>
      </c>
      <c r="B419" s="68" t="n">
        <v>102</v>
      </c>
      <c r="C419" s="68" t="n">
        <v>116</v>
      </c>
      <c r="D419" s="68" t="inlineStr">
        <is>
          <t>HpRatio</t>
        </is>
      </c>
      <c r="E419" s="68" t="n">
        <v>5687582</v>
      </c>
      <c r="F419" s="68" t="inlineStr">
        <is>
          <t>AtkRatio</t>
        </is>
      </c>
      <c r="G419" s="68" t="n">
        <v>5687582</v>
      </c>
      <c r="H419" s="68" t="inlineStr">
        <is>
          <t>DefRatio</t>
        </is>
      </c>
      <c r="I419" s="68" t="n">
        <v>5687582</v>
      </c>
    </row>
    <row r="420">
      <c r="A420" s="68">
        <f>B420&amp;TEXT(C420,"0000")</f>
        <v/>
      </c>
      <c r="B420" s="68" t="n">
        <v>102</v>
      </c>
      <c r="C420" s="68" t="n">
        <v>117</v>
      </c>
      <c r="D420" s="68" t="inlineStr">
        <is>
          <t>HpRatio</t>
        </is>
      </c>
      <c r="E420" s="68" t="n">
        <v>5763426</v>
      </c>
      <c r="F420" s="68" t="inlineStr">
        <is>
          <t>AtkRatio</t>
        </is>
      </c>
      <c r="G420" s="68" t="n">
        <v>5763426</v>
      </c>
      <c r="H420" s="68" t="inlineStr">
        <is>
          <t>DefRatio</t>
        </is>
      </c>
      <c r="I420" s="68" t="n">
        <v>5763426</v>
      </c>
    </row>
    <row r="421">
      <c r="A421" s="68">
        <f>B421&amp;TEXT(C421,"0000")</f>
        <v/>
      </c>
      <c r="B421" s="68" t="n">
        <v>102</v>
      </c>
      <c r="C421" s="68" t="n">
        <v>118</v>
      </c>
      <c r="D421" s="68" t="inlineStr">
        <is>
          <t>HpRatio</t>
        </is>
      </c>
      <c r="E421" s="68" t="n">
        <v>5839617</v>
      </c>
      <c r="F421" s="68" t="inlineStr">
        <is>
          <t>AtkRatio</t>
        </is>
      </c>
      <c r="G421" s="68" t="n">
        <v>5839617</v>
      </c>
      <c r="H421" s="68" t="inlineStr">
        <is>
          <t>DefRatio</t>
        </is>
      </c>
      <c r="I421" s="68" t="n">
        <v>5839617</v>
      </c>
    </row>
    <row r="422">
      <c r="A422" s="68">
        <f>B422&amp;TEXT(C422,"0000")</f>
        <v/>
      </c>
      <c r="B422" s="68" t="n">
        <v>102</v>
      </c>
      <c r="C422" s="68" t="n">
        <v>119</v>
      </c>
      <c r="D422" s="68" t="inlineStr">
        <is>
          <t>HpRatio</t>
        </is>
      </c>
      <c r="E422" s="68" t="n">
        <v>5916154</v>
      </c>
      <c r="F422" s="68" t="inlineStr">
        <is>
          <t>AtkRatio</t>
        </is>
      </c>
      <c r="G422" s="68" t="n">
        <v>5916154</v>
      </c>
      <c r="H422" s="68" t="inlineStr">
        <is>
          <t>DefRatio</t>
        </is>
      </c>
      <c r="I422" s="68" t="n">
        <v>5916154</v>
      </c>
    </row>
    <row r="423">
      <c r="A423" s="68">
        <f>B423&amp;TEXT(C423,"0000")</f>
        <v/>
      </c>
      <c r="B423" s="68" t="n">
        <v>102</v>
      </c>
      <c r="C423" s="68" t="n">
        <v>120</v>
      </c>
      <c r="D423" s="68" t="inlineStr">
        <is>
          <t>HpRatio</t>
        </is>
      </c>
      <c r="E423" s="68" t="n">
        <v>5993035</v>
      </c>
      <c r="F423" s="68" t="inlineStr">
        <is>
          <t>AtkRatio</t>
        </is>
      </c>
      <c r="G423" s="68" t="n">
        <v>5993035</v>
      </c>
      <c r="H423" s="68" t="inlineStr">
        <is>
          <t>DefRatio</t>
        </is>
      </c>
      <c r="I423" s="68" t="n">
        <v>5993035</v>
      </c>
    </row>
    <row r="424">
      <c r="A424" s="68">
        <f>B424&amp;TEXT(C424,"0000")</f>
        <v/>
      </c>
      <c r="B424" s="68" t="n">
        <v>102</v>
      </c>
      <c r="C424" s="68" t="n">
        <v>121</v>
      </c>
      <c r="D424" s="68" t="inlineStr">
        <is>
          <t>HpRatio</t>
        </is>
      </c>
      <c r="E424" s="68" t="n">
        <v>6070260</v>
      </c>
      <c r="F424" s="68" t="inlineStr">
        <is>
          <t>AtkRatio</t>
        </is>
      </c>
      <c r="G424" s="68" t="n">
        <v>6070260</v>
      </c>
      <c r="H424" s="68" t="inlineStr">
        <is>
          <t>DefRatio</t>
        </is>
      </c>
      <c r="I424" s="68" t="n">
        <v>6070260</v>
      </c>
    </row>
    <row r="425">
      <c r="A425" s="68">
        <f>B425&amp;TEXT(C425,"0000")</f>
        <v/>
      </c>
      <c r="B425" s="68" t="n">
        <v>102</v>
      </c>
      <c r="C425" s="68" t="n">
        <v>122</v>
      </c>
      <c r="D425" s="68" t="inlineStr">
        <is>
          <t>HpRatio</t>
        </is>
      </c>
      <c r="E425" s="68" t="n">
        <v>6147827</v>
      </c>
      <c r="F425" s="68" t="inlineStr">
        <is>
          <t>AtkRatio</t>
        </is>
      </c>
      <c r="G425" s="68" t="n">
        <v>6147827</v>
      </c>
      <c r="H425" s="68" t="inlineStr">
        <is>
          <t>DefRatio</t>
        </is>
      </c>
      <c r="I425" s="68" t="n">
        <v>6147827</v>
      </c>
    </row>
    <row r="426">
      <c r="A426" s="68">
        <f>B426&amp;TEXT(C426,"0000")</f>
        <v/>
      </c>
      <c r="B426" s="68" t="n">
        <v>102</v>
      </c>
      <c r="C426" s="68" t="n">
        <v>123</v>
      </c>
      <c r="D426" s="68" t="inlineStr">
        <is>
          <t>HpRatio</t>
        </is>
      </c>
      <c r="E426" s="68" t="n">
        <v>6225734</v>
      </c>
      <c r="F426" s="68" t="inlineStr">
        <is>
          <t>AtkRatio</t>
        </is>
      </c>
      <c r="G426" s="68" t="n">
        <v>6225734</v>
      </c>
      <c r="H426" s="68" t="inlineStr">
        <is>
          <t>DefRatio</t>
        </is>
      </c>
      <c r="I426" s="68" t="n">
        <v>6225734</v>
      </c>
    </row>
    <row r="427">
      <c r="A427" s="68">
        <f>B427&amp;TEXT(C427,"0000")</f>
        <v/>
      </c>
      <c r="B427" s="68" t="n">
        <v>102</v>
      </c>
      <c r="C427" s="68" t="n">
        <v>124</v>
      </c>
      <c r="D427" s="68" t="inlineStr">
        <is>
          <t>HpRatio</t>
        </is>
      </c>
      <c r="E427" s="68" t="n">
        <v>6303980</v>
      </c>
      <c r="F427" s="68" t="inlineStr">
        <is>
          <t>AtkRatio</t>
        </is>
      </c>
      <c r="G427" s="68" t="n">
        <v>6303980</v>
      </c>
      <c r="H427" s="68" t="inlineStr">
        <is>
          <t>DefRatio</t>
        </is>
      </c>
      <c r="I427" s="68" t="n">
        <v>6303980</v>
      </c>
    </row>
    <row r="428">
      <c r="A428" s="68">
        <f>B428&amp;TEXT(C428,"0000")</f>
        <v/>
      </c>
      <c r="B428" s="68" t="n">
        <v>102</v>
      </c>
      <c r="C428" s="68" t="n">
        <v>125</v>
      </c>
      <c r="D428" s="68" t="inlineStr">
        <is>
          <t>HpRatio</t>
        </is>
      </c>
      <c r="E428" s="68" t="n">
        <v>6382564</v>
      </c>
      <c r="F428" s="68" t="inlineStr">
        <is>
          <t>AtkRatio</t>
        </is>
      </c>
      <c r="G428" s="68" t="n">
        <v>6382564</v>
      </c>
      <c r="H428" s="68" t="inlineStr">
        <is>
          <t>DefRatio</t>
        </is>
      </c>
      <c r="I428" s="68" t="n">
        <v>6382564</v>
      </c>
    </row>
    <row r="429">
      <c r="A429" s="68">
        <f>B429&amp;TEXT(C429,"0000")</f>
        <v/>
      </c>
      <c r="B429" s="68" t="n">
        <v>102</v>
      </c>
      <c r="C429" s="68" t="n">
        <v>126</v>
      </c>
      <c r="D429" s="68" t="inlineStr">
        <is>
          <t>HpRatio</t>
        </is>
      </c>
      <c r="E429" s="68" t="n">
        <v>6461485</v>
      </c>
      <c r="F429" s="68" t="inlineStr">
        <is>
          <t>AtkRatio</t>
        </is>
      </c>
      <c r="G429" s="68" t="n">
        <v>6461485</v>
      </c>
      <c r="H429" s="68" t="inlineStr">
        <is>
          <t>DefRatio</t>
        </is>
      </c>
      <c r="I429" s="68" t="n">
        <v>6461485</v>
      </c>
    </row>
    <row r="430">
      <c r="A430" s="68">
        <f>B430&amp;TEXT(C430,"0000")</f>
        <v/>
      </c>
      <c r="B430" s="68" t="n">
        <v>102</v>
      </c>
      <c r="C430" s="68" t="n">
        <v>127</v>
      </c>
      <c r="D430" s="68" t="inlineStr">
        <is>
          <t>HpRatio</t>
        </is>
      </c>
      <c r="E430" s="68" t="n">
        <v>6540741</v>
      </c>
      <c r="F430" s="68" t="inlineStr">
        <is>
          <t>AtkRatio</t>
        </is>
      </c>
      <c r="G430" s="68" t="n">
        <v>6540741</v>
      </c>
      <c r="H430" s="68" t="inlineStr">
        <is>
          <t>DefRatio</t>
        </is>
      </c>
      <c r="I430" s="68" t="n">
        <v>6540741</v>
      </c>
    </row>
    <row r="431">
      <c r="A431" s="68">
        <f>B431&amp;TEXT(C431,"0000")</f>
        <v/>
      </c>
      <c r="B431" s="68" t="n">
        <v>102</v>
      </c>
      <c r="C431" s="68" t="n">
        <v>128</v>
      </c>
      <c r="D431" s="68" t="inlineStr">
        <is>
          <t>HpRatio</t>
        </is>
      </c>
      <c r="E431" s="68" t="n">
        <v>6620331</v>
      </c>
      <c r="F431" s="68" t="inlineStr">
        <is>
          <t>AtkRatio</t>
        </is>
      </c>
      <c r="G431" s="68" t="n">
        <v>6620331</v>
      </c>
      <c r="H431" s="68" t="inlineStr">
        <is>
          <t>DefRatio</t>
        </is>
      </c>
      <c r="I431" s="68" t="n">
        <v>6620331</v>
      </c>
    </row>
    <row r="432">
      <c r="A432" s="68">
        <f>B432&amp;TEXT(C432,"0000")</f>
        <v/>
      </c>
      <c r="B432" s="68" t="n">
        <v>102</v>
      </c>
      <c r="C432" s="68" t="n">
        <v>129</v>
      </c>
      <c r="D432" s="68" t="inlineStr">
        <is>
          <t>HpRatio</t>
        </is>
      </c>
      <c r="E432" s="68" t="n">
        <v>6700254</v>
      </c>
      <c r="F432" s="68" t="inlineStr">
        <is>
          <t>AtkRatio</t>
        </is>
      </c>
      <c r="G432" s="68" t="n">
        <v>6700254</v>
      </c>
      <c r="H432" s="68" t="inlineStr">
        <is>
          <t>DefRatio</t>
        </is>
      </c>
      <c r="I432" s="68" t="n">
        <v>6700254</v>
      </c>
    </row>
    <row r="433">
      <c r="A433" s="68">
        <f>B433&amp;TEXT(C433,"0000")</f>
        <v/>
      </c>
      <c r="B433" s="68" t="n">
        <v>102</v>
      </c>
      <c r="C433" s="68" t="n">
        <v>130</v>
      </c>
      <c r="D433" s="68" t="inlineStr">
        <is>
          <t>HpRatio</t>
        </is>
      </c>
      <c r="E433" s="68" t="n">
        <v>6780508</v>
      </c>
      <c r="F433" s="68" t="inlineStr">
        <is>
          <t>AtkRatio</t>
        </is>
      </c>
      <c r="G433" s="68" t="n">
        <v>6780508</v>
      </c>
      <c r="H433" s="68" t="inlineStr">
        <is>
          <t>DefRatio</t>
        </is>
      </c>
      <c r="I433" s="68" t="n">
        <v>6780508</v>
      </c>
    </row>
    <row r="434">
      <c r="A434" s="68">
        <f>B434&amp;TEXT(C434,"0000")</f>
        <v/>
      </c>
      <c r="B434" s="68" t="n">
        <v>102</v>
      </c>
      <c r="C434" s="68" t="n">
        <v>131</v>
      </c>
      <c r="D434" s="68" t="inlineStr">
        <is>
          <t>HpRatio</t>
        </is>
      </c>
      <c r="E434" s="68" t="n">
        <v>6861093</v>
      </c>
      <c r="F434" s="68" t="inlineStr">
        <is>
          <t>AtkRatio</t>
        </is>
      </c>
      <c r="G434" s="68" t="n">
        <v>6861093</v>
      </c>
      <c r="H434" s="68" t="inlineStr">
        <is>
          <t>DefRatio</t>
        </is>
      </c>
      <c r="I434" s="68" t="n">
        <v>6861093</v>
      </c>
    </row>
    <row r="435">
      <c r="A435" s="68">
        <f>B435&amp;TEXT(C435,"0000")</f>
        <v/>
      </c>
      <c r="B435" s="68" t="n">
        <v>102</v>
      </c>
      <c r="C435" s="68" t="n">
        <v>132</v>
      </c>
      <c r="D435" s="68" t="inlineStr">
        <is>
          <t>HpRatio</t>
        </is>
      </c>
      <c r="E435" s="68" t="n">
        <v>6942007</v>
      </c>
      <c r="F435" s="68" t="inlineStr">
        <is>
          <t>AtkRatio</t>
        </is>
      </c>
      <c r="G435" s="68" t="n">
        <v>6942007</v>
      </c>
      <c r="H435" s="68" t="inlineStr">
        <is>
          <t>DefRatio</t>
        </is>
      </c>
      <c r="I435" s="68" t="n">
        <v>6942007</v>
      </c>
    </row>
    <row r="436">
      <c r="A436" s="68">
        <f>B436&amp;TEXT(C436,"0000")</f>
        <v/>
      </c>
      <c r="B436" s="68" t="n">
        <v>102</v>
      </c>
      <c r="C436" s="68" t="n">
        <v>133</v>
      </c>
      <c r="D436" s="68" t="inlineStr">
        <is>
          <t>HpRatio</t>
        </is>
      </c>
      <c r="E436" s="68" t="n">
        <v>7023250</v>
      </c>
      <c r="F436" s="68" t="inlineStr">
        <is>
          <t>AtkRatio</t>
        </is>
      </c>
      <c r="G436" s="68" t="n">
        <v>7023250</v>
      </c>
      <c r="H436" s="68" t="inlineStr">
        <is>
          <t>DefRatio</t>
        </is>
      </c>
      <c r="I436" s="68" t="n">
        <v>7023250</v>
      </c>
    </row>
    <row r="437">
      <c r="A437" s="68">
        <f>B437&amp;TEXT(C437,"0000")</f>
        <v/>
      </c>
      <c r="B437" s="68" t="n">
        <v>102</v>
      </c>
      <c r="C437" s="68" t="n">
        <v>134</v>
      </c>
      <c r="D437" s="68" t="inlineStr">
        <is>
          <t>HpRatio</t>
        </is>
      </c>
      <c r="E437" s="68" t="n">
        <v>7104819</v>
      </c>
      <c r="F437" s="68" t="inlineStr">
        <is>
          <t>AtkRatio</t>
        </is>
      </c>
      <c r="G437" s="68" t="n">
        <v>7104819</v>
      </c>
      <c r="H437" s="68" t="inlineStr">
        <is>
          <t>DefRatio</t>
        </is>
      </c>
      <c r="I437" s="68" t="n">
        <v>7104819</v>
      </c>
    </row>
    <row r="438">
      <c r="A438" s="68">
        <f>B438&amp;TEXT(C438,"0000")</f>
        <v/>
      </c>
      <c r="B438" s="68" t="n">
        <v>102</v>
      </c>
      <c r="C438" s="68" t="n">
        <v>135</v>
      </c>
      <c r="D438" s="68" t="inlineStr">
        <is>
          <t>HpRatio</t>
        </is>
      </c>
      <c r="E438" s="68" t="n">
        <v>7186714</v>
      </c>
      <c r="F438" s="68" t="inlineStr">
        <is>
          <t>AtkRatio</t>
        </is>
      </c>
      <c r="G438" s="68" t="n">
        <v>7186714</v>
      </c>
      <c r="H438" s="68" t="inlineStr">
        <is>
          <t>DefRatio</t>
        </is>
      </c>
      <c r="I438" s="68" t="n">
        <v>7186714</v>
      </c>
    </row>
    <row r="439">
      <c r="A439" s="68">
        <f>B439&amp;TEXT(C439,"0000")</f>
        <v/>
      </c>
      <c r="B439" s="68" t="n">
        <v>102</v>
      </c>
      <c r="C439" s="68" t="n">
        <v>136</v>
      </c>
      <c r="D439" s="68" t="inlineStr">
        <is>
          <t>HpRatio</t>
        </is>
      </c>
      <c r="E439" s="68" t="n">
        <v>7268933</v>
      </c>
      <c r="F439" s="68" t="inlineStr">
        <is>
          <t>AtkRatio</t>
        </is>
      </c>
      <c r="G439" s="68" t="n">
        <v>7268933</v>
      </c>
      <c r="H439" s="68" t="inlineStr">
        <is>
          <t>DefRatio</t>
        </is>
      </c>
      <c r="I439" s="68" t="n">
        <v>7268933</v>
      </c>
    </row>
    <row r="440">
      <c r="A440" s="68">
        <f>B440&amp;TEXT(C440,"0000")</f>
        <v/>
      </c>
      <c r="B440" s="68" t="n">
        <v>102</v>
      </c>
      <c r="C440" s="68" t="n">
        <v>137</v>
      </c>
      <c r="D440" s="68" t="inlineStr">
        <is>
          <t>HpRatio</t>
        </is>
      </c>
      <c r="E440" s="68" t="n">
        <v>7351476</v>
      </c>
      <c r="F440" s="68" t="inlineStr">
        <is>
          <t>AtkRatio</t>
        </is>
      </c>
      <c r="G440" s="68" t="n">
        <v>7351476</v>
      </c>
      <c r="H440" s="68" t="inlineStr">
        <is>
          <t>DefRatio</t>
        </is>
      </c>
      <c r="I440" s="68" t="n">
        <v>7351476</v>
      </c>
    </row>
    <row r="441">
      <c r="A441" s="68">
        <f>B441&amp;TEXT(C441,"0000")</f>
        <v/>
      </c>
      <c r="B441" s="68" t="n">
        <v>102</v>
      </c>
      <c r="C441" s="68" t="n">
        <v>138</v>
      </c>
      <c r="D441" s="68" t="inlineStr">
        <is>
          <t>HpRatio</t>
        </is>
      </c>
      <c r="E441" s="68" t="n">
        <v>7434341</v>
      </c>
      <c r="F441" s="68" t="inlineStr">
        <is>
          <t>AtkRatio</t>
        </is>
      </c>
      <c r="G441" s="68" t="n">
        <v>7434341</v>
      </c>
      <c r="H441" s="68" t="inlineStr">
        <is>
          <t>DefRatio</t>
        </is>
      </c>
      <c r="I441" s="68" t="n">
        <v>7434341</v>
      </c>
    </row>
    <row r="442">
      <c r="A442" s="68">
        <f>B442&amp;TEXT(C442,"0000")</f>
        <v/>
      </c>
      <c r="B442" s="68" t="n">
        <v>102</v>
      </c>
      <c r="C442" s="68" t="n">
        <v>139</v>
      </c>
      <c r="D442" s="68" t="inlineStr">
        <is>
          <t>HpRatio</t>
        </is>
      </c>
      <c r="E442" s="68" t="n">
        <v>7517527</v>
      </c>
      <c r="F442" s="68" t="inlineStr">
        <is>
          <t>AtkRatio</t>
        </is>
      </c>
      <c r="G442" s="68" t="n">
        <v>7517527</v>
      </c>
      <c r="H442" s="68" t="inlineStr">
        <is>
          <t>DefRatio</t>
        </is>
      </c>
      <c r="I442" s="68" t="n">
        <v>7517527</v>
      </c>
    </row>
    <row r="443">
      <c r="A443" s="68">
        <f>B443&amp;TEXT(C443,"0000")</f>
        <v/>
      </c>
      <c r="B443" s="68" t="n">
        <v>102</v>
      </c>
      <c r="C443" s="68" t="n">
        <v>140</v>
      </c>
      <c r="D443" s="68" t="inlineStr">
        <is>
          <t>HpRatio</t>
        </is>
      </c>
      <c r="E443" s="68" t="n">
        <v>7601033</v>
      </c>
      <c r="F443" s="68" t="inlineStr">
        <is>
          <t>AtkRatio</t>
        </is>
      </c>
      <c r="G443" s="68" t="n">
        <v>7601033</v>
      </c>
      <c r="H443" s="68" t="inlineStr">
        <is>
          <t>DefRatio</t>
        </is>
      </c>
      <c r="I443" s="68" t="n">
        <v>7601033</v>
      </c>
    </row>
    <row r="444">
      <c r="A444" s="68">
        <f>B444&amp;TEXT(C444,"0000")</f>
        <v/>
      </c>
      <c r="B444" s="68" t="n">
        <v>102</v>
      </c>
      <c r="C444" s="68" t="n">
        <v>141</v>
      </c>
      <c r="D444" s="68" t="inlineStr">
        <is>
          <t>HpRatio</t>
        </is>
      </c>
      <c r="E444" s="68" t="n">
        <v>7684859</v>
      </c>
      <c r="F444" s="68" t="inlineStr">
        <is>
          <t>AtkRatio</t>
        </is>
      </c>
      <c r="G444" s="68" t="n">
        <v>7684859</v>
      </c>
      <c r="H444" s="68" t="inlineStr">
        <is>
          <t>DefRatio</t>
        </is>
      </c>
      <c r="I444" s="68" t="n">
        <v>7684859</v>
      </c>
    </row>
    <row r="445">
      <c r="A445" s="68">
        <f>B445&amp;TEXT(C445,"0000")</f>
        <v/>
      </c>
      <c r="B445" s="68" t="n">
        <v>102</v>
      </c>
      <c r="C445" s="68" t="n">
        <v>142</v>
      </c>
      <c r="D445" s="68" t="inlineStr">
        <is>
          <t>HpRatio</t>
        </is>
      </c>
      <c r="E445" s="68" t="n">
        <v>7769002</v>
      </c>
      <c r="F445" s="68" t="inlineStr">
        <is>
          <t>AtkRatio</t>
        </is>
      </c>
      <c r="G445" s="68" t="n">
        <v>7769002</v>
      </c>
      <c r="H445" s="68" t="inlineStr">
        <is>
          <t>DefRatio</t>
        </is>
      </c>
      <c r="I445" s="68" t="n">
        <v>7769002</v>
      </c>
    </row>
    <row r="446">
      <c r="A446" s="68">
        <f>B446&amp;TEXT(C446,"0000")</f>
        <v/>
      </c>
      <c r="B446" s="68" t="n">
        <v>102</v>
      </c>
      <c r="C446" s="68" t="n">
        <v>143</v>
      </c>
      <c r="D446" s="68" t="inlineStr">
        <is>
          <t>HpRatio</t>
        </is>
      </c>
      <c r="E446" s="68" t="n">
        <v>7853462</v>
      </c>
      <c r="F446" s="68" t="inlineStr">
        <is>
          <t>AtkRatio</t>
        </is>
      </c>
      <c r="G446" s="68" t="n">
        <v>7853462</v>
      </c>
      <c r="H446" s="68" t="inlineStr">
        <is>
          <t>DefRatio</t>
        </is>
      </c>
      <c r="I446" s="68" t="n">
        <v>7853462</v>
      </c>
    </row>
    <row r="447">
      <c r="A447" s="68">
        <f>B447&amp;TEXT(C447,"0000")</f>
        <v/>
      </c>
      <c r="B447" s="68" t="n">
        <v>102</v>
      </c>
      <c r="C447" s="68" t="n">
        <v>144</v>
      </c>
      <c r="D447" s="68" t="inlineStr">
        <is>
          <t>HpRatio</t>
        </is>
      </c>
      <c r="E447" s="68" t="n">
        <v>7938238</v>
      </c>
      <c r="F447" s="68" t="inlineStr">
        <is>
          <t>AtkRatio</t>
        </is>
      </c>
      <c r="G447" s="68" t="n">
        <v>7938238</v>
      </c>
      <c r="H447" s="68" t="inlineStr">
        <is>
          <t>DefRatio</t>
        </is>
      </c>
      <c r="I447" s="68" t="n">
        <v>7938238</v>
      </c>
    </row>
    <row r="448">
      <c r="A448" s="68">
        <f>B448&amp;TEXT(C448,"0000")</f>
        <v/>
      </c>
      <c r="B448" s="68" t="n">
        <v>102</v>
      </c>
      <c r="C448" s="68" t="n">
        <v>145</v>
      </c>
      <c r="D448" s="68" t="inlineStr">
        <is>
          <t>HpRatio</t>
        </is>
      </c>
      <c r="E448" s="68" t="n">
        <v>8023329</v>
      </c>
      <c r="F448" s="68" t="inlineStr">
        <is>
          <t>AtkRatio</t>
        </is>
      </c>
      <c r="G448" s="68" t="n">
        <v>8023329</v>
      </c>
      <c r="H448" s="68" t="inlineStr">
        <is>
          <t>DefRatio</t>
        </is>
      </c>
      <c r="I448" s="68" t="n">
        <v>8023329</v>
      </c>
    </row>
    <row r="449">
      <c r="A449" s="68">
        <f>B449&amp;TEXT(C449,"0000")</f>
        <v/>
      </c>
      <c r="B449" s="68" t="n">
        <v>102</v>
      </c>
      <c r="C449" s="68" t="n">
        <v>146</v>
      </c>
      <c r="D449" s="68" t="inlineStr">
        <is>
          <t>HpRatio</t>
        </is>
      </c>
      <c r="E449" s="68" t="n">
        <v>8108734</v>
      </c>
      <c r="F449" s="68" t="inlineStr">
        <is>
          <t>AtkRatio</t>
        </is>
      </c>
      <c r="G449" s="68" t="n">
        <v>8108734</v>
      </c>
      <c r="H449" s="68" t="inlineStr">
        <is>
          <t>DefRatio</t>
        </is>
      </c>
      <c r="I449" s="68" t="n">
        <v>8108734</v>
      </c>
    </row>
    <row r="450">
      <c r="A450" s="68">
        <f>B450&amp;TEXT(C450,"0000")</f>
        <v/>
      </c>
      <c r="B450" s="68" t="n">
        <v>102</v>
      </c>
      <c r="C450" s="68" t="n">
        <v>147</v>
      </c>
      <c r="D450" s="68" t="inlineStr">
        <is>
          <t>HpRatio</t>
        </is>
      </c>
      <c r="E450" s="68" t="n">
        <v>8194451</v>
      </c>
      <c r="F450" s="68" t="inlineStr">
        <is>
          <t>AtkRatio</t>
        </is>
      </c>
      <c r="G450" s="68" t="n">
        <v>8194451</v>
      </c>
      <c r="H450" s="68" t="inlineStr">
        <is>
          <t>DefRatio</t>
        </is>
      </c>
      <c r="I450" s="68" t="n">
        <v>8194451</v>
      </c>
    </row>
    <row r="451">
      <c r="A451" s="68">
        <f>B451&amp;TEXT(C451,"0000")</f>
        <v/>
      </c>
      <c r="B451" s="68" t="n">
        <v>102</v>
      </c>
      <c r="C451" s="68" t="n">
        <v>148</v>
      </c>
      <c r="D451" s="68" t="inlineStr">
        <is>
          <t>HpRatio</t>
        </is>
      </c>
      <c r="E451" s="68" t="n">
        <v>8280480</v>
      </c>
      <c r="F451" s="68" t="inlineStr">
        <is>
          <t>AtkRatio</t>
        </is>
      </c>
      <c r="G451" s="68" t="n">
        <v>8280480</v>
      </c>
      <c r="H451" s="68" t="inlineStr">
        <is>
          <t>DefRatio</t>
        </is>
      </c>
      <c r="I451" s="68" t="n">
        <v>8280480</v>
      </c>
    </row>
    <row r="452">
      <c r="A452" s="68">
        <f>B452&amp;TEXT(C452,"0000")</f>
        <v/>
      </c>
      <c r="B452" s="68" t="n">
        <v>102</v>
      </c>
      <c r="C452" s="68" t="n">
        <v>149</v>
      </c>
      <c r="D452" s="68" t="inlineStr">
        <is>
          <t>HpRatio</t>
        </is>
      </c>
      <c r="E452" s="68" t="n">
        <v>8366820</v>
      </c>
      <c r="F452" s="68" t="inlineStr">
        <is>
          <t>AtkRatio</t>
        </is>
      </c>
      <c r="G452" s="68" t="n">
        <v>8366820</v>
      </c>
      <c r="H452" s="68" t="inlineStr">
        <is>
          <t>DefRatio</t>
        </is>
      </c>
      <c r="I452" s="68" t="n">
        <v>8366820</v>
      </c>
    </row>
    <row r="453">
      <c r="A453" s="68">
        <f>B453&amp;TEXT(C453,"0000")</f>
        <v/>
      </c>
      <c r="B453" s="68" t="n">
        <v>102</v>
      </c>
      <c r="C453" s="68" t="n">
        <v>150</v>
      </c>
      <c r="D453" s="68" t="inlineStr">
        <is>
          <t>HpRatio</t>
        </is>
      </c>
      <c r="E453" s="68" t="n">
        <v>8453469</v>
      </c>
      <c r="F453" s="68" t="inlineStr">
        <is>
          <t>AtkRatio</t>
        </is>
      </c>
      <c r="G453" s="68" t="n">
        <v>8453469</v>
      </c>
      <c r="H453" s="68" t="inlineStr">
        <is>
          <t>DefRatio</t>
        </is>
      </c>
      <c r="I453" s="68" t="n">
        <v>8453469</v>
      </c>
    </row>
    <row r="454">
      <c r="A454" s="68">
        <f>B454&amp;TEXT(C454,"0000")</f>
        <v/>
      </c>
      <c r="B454" s="68" t="n">
        <v>102</v>
      </c>
      <c r="C454" s="68" t="n">
        <v>151</v>
      </c>
      <c r="D454" s="68" t="inlineStr">
        <is>
          <t>HpRatio</t>
        </is>
      </c>
      <c r="E454" s="68" t="n">
        <v>8540428</v>
      </c>
      <c r="F454" s="68" t="inlineStr">
        <is>
          <t>AtkRatio</t>
        </is>
      </c>
      <c r="G454" s="68" t="n">
        <v>8540428</v>
      </c>
      <c r="H454" s="68" t="inlineStr">
        <is>
          <t>DefRatio</t>
        </is>
      </c>
      <c r="I454" s="68" t="n">
        <v>8540428</v>
      </c>
    </row>
    <row r="455">
      <c r="A455" s="68">
        <f>B455&amp;TEXT(C455,"0000")</f>
        <v/>
      </c>
      <c r="B455" s="68" t="n">
        <v>102</v>
      </c>
      <c r="C455" s="68" t="n">
        <v>152</v>
      </c>
      <c r="D455" s="68" t="inlineStr">
        <is>
          <t>HpRatio</t>
        </is>
      </c>
      <c r="E455" s="68" t="n">
        <v>8627694</v>
      </c>
      <c r="F455" s="68" t="inlineStr">
        <is>
          <t>AtkRatio</t>
        </is>
      </c>
      <c r="G455" s="68" t="n">
        <v>8627694</v>
      </c>
      <c r="H455" s="68" t="inlineStr">
        <is>
          <t>DefRatio</t>
        </is>
      </c>
      <c r="I455" s="68" t="n">
        <v>8627694</v>
      </c>
    </row>
    <row r="456">
      <c r="A456" s="68">
        <f>B456&amp;TEXT(C456,"0000")</f>
        <v/>
      </c>
      <c r="B456" s="68" t="n">
        <v>102</v>
      </c>
      <c r="C456" s="68" t="n">
        <v>153</v>
      </c>
      <c r="D456" s="68" t="inlineStr">
        <is>
          <t>HpRatio</t>
        </is>
      </c>
      <c r="E456" s="68" t="n">
        <v>8715267</v>
      </c>
      <c r="F456" s="68" t="inlineStr">
        <is>
          <t>AtkRatio</t>
        </is>
      </c>
      <c r="G456" s="68" t="n">
        <v>8715267</v>
      </c>
      <c r="H456" s="68" t="inlineStr">
        <is>
          <t>DefRatio</t>
        </is>
      </c>
      <c r="I456" s="68" t="n">
        <v>8715267</v>
      </c>
    </row>
    <row r="457">
      <c r="A457" s="68">
        <f>B457&amp;TEXT(C457,"0000")</f>
        <v/>
      </c>
      <c r="B457" s="68" t="n">
        <v>102</v>
      </c>
      <c r="C457" s="68" t="n">
        <v>154</v>
      </c>
      <c r="D457" s="68" t="inlineStr">
        <is>
          <t>HpRatio</t>
        </is>
      </c>
      <c r="E457" s="68" t="n">
        <v>8803146</v>
      </c>
      <c r="F457" s="68" t="inlineStr">
        <is>
          <t>AtkRatio</t>
        </is>
      </c>
      <c r="G457" s="68" t="n">
        <v>8803146</v>
      </c>
      <c r="H457" s="68" t="inlineStr">
        <is>
          <t>DefRatio</t>
        </is>
      </c>
      <c r="I457" s="68" t="n">
        <v>8803146</v>
      </c>
    </row>
    <row r="458">
      <c r="A458" s="68">
        <f>B458&amp;TEXT(C458,"0000")</f>
        <v/>
      </c>
      <c r="B458" s="68" t="n">
        <v>102</v>
      </c>
      <c r="C458" s="68" t="n">
        <v>155</v>
      </c>
      <c r="D458" s="68" t="inlineStr">
        <is>
          <t>HpRatio</t>
        </is>
      </c>
      <c r="E458" s="68" t="n">
        <v>8891329</v>
      </c>
      <c r="F458" s="68" t="inlineStr">
        <is>
          <t>AtkRatio</t>
        </is>
      </c>
      <c r="G458" s="68" t="n">
        <v>8891329</v>
      </c>
      <c r="H458" s="68" t="inlineStr">
        <is>
          <t>DefRatio</t>
        </is>
      </c>
      <c r="I458" s="68" t="n">
        <v>8891329</v>
      </c>
    </row>
    <row r="459">
      <c r="A459" s="68">
        <f>B459&amp;TEXT(C459,"0000")</f>
        <v/>
      </c>
      <c r="B459" s="68" t="n">
        <v>102</v>
      </c>
      <c r="C459" s="68" t="n">
        <v>156</v>
      </c>
      <c r="D459" s="68" t="inlineStr">
        <is>
          <t>HpRatio</t>
        </is>
      </c>
      <c r="E459" s="68" t="n">
        <v>8979817</v>
      </c>
      <c r="F459" s="68" t="inlineStr">
        <is>
          <t>AtkRatio</t>
        </is>
      </c>
      <c r="G459" s="68" t="n">
        <v>8979817</v>
      </c>
      <c r="H459" s="68" t="inlineStr">
        <is>
          <t>DefRatio</t>
        </is>
      </c>
      <c r="I459" s="68" t="n">
        <v>8979817</v>
      </c>
    </row>
    <row r="460">
      <c r="A460" s="68">
        <f>B460&amp;TEXT(C460,"0000")</f>
        <v/>
      </c>
      <c r="B460" s="68" t="n">
        <v>102</v>
      </c>
      <c r="C460" s="68" t="n">
        <v>157</v>
      </c>
      <c r="D460" s="68" t="inlineStr">
        <is>
          <t>HpRatio</t>
        </is>
      </c>
      <c r="E460" s="68" t="n">
        <v>9068608</v>
      </c>
      <c r="F460" s="68" t="inlineStr">
        <is>
          <t>AtkRatio</t>
        </is>
      </c>
      <c r="G460" s="68" t="n">
        <v>9068608</v>
      </c>
      <c r="H460" s="68" t="inlineStr">
        <is>
          <t>DefRatio</t>
        </is>
      </c>
      <c r="I460" s="68" t="n">
        <v>9068608</v>
      </c>
    </row>
    <row r="461">
      <c r="A461" s="68">
        <f>B461&amp;TEXT(C461,"0000")</f>
        <v/>
      </c>
      <c r="B461" s="68" t="n">
        <v>102</v>
      </c>
      <c r="C461" s="68" t="n">
        <v>158</v>
      </c>
      <c r="D461" s="68" t="inlineStr">
        <is>
          <t>HpRatio</t>
        </is>
      </c>
      <c r="E461" s="68" t="n">
        <v>9157701</v>
      </c>
      <c r="F461" s="68" t="inlineStr">
        <is>
          <t>AtkRatio</t>
        </is>
      </c>
      <c r="G461" s="68" t="n">
        <v>9157701</v>
      </c>
      <c r="H461" s="68" t="inlineStr">
        <is>
          <t>DefRatio</t>
        </is>
      </c>
      <c r="I461" s="68" t="n">
        <v>9157701</v>
      </c>
    </row>
    <row r="462">
      <c r="A462" s="68">
        <f>B462&amp;TEXT(C462,"0000")</f>
        <v/>
      </c>
      <c r="B462" s="68" t="n">
        <v>102</v>
      </c>
      <c r="C462" s="68" t="n">
        <v>159</v>
      </c>
      <c r="D462" s="68" t="inlineStr">
        <is>
          <t>HpRatio</t>
        </is>
      </c>
      <c r="E462" s="68" t="n">
        <v>9247095</v>
      </c>
      <c r="F462" s="68" t="inlineStr">
        <is>
          <t>AtkRatio</t>
        </is>
      </c>
      <c r="G462" s="68" t="n">
        <v>9247095</v>
      </c>
      <c r="H462" s="68" t="inlineStr">
        <is>
          <t>DefRatio</t>
        </is>
      </c>
      <c r="I462" s="68" t="n">
        <v>9247095</v>
      </c>
    </row>
    <row r="463">
      <c r="A463" s="68">
        <f>B463&amp;TEXT(C463,"0000")</f>
        <v/>
      </c>
      <c r="B463" s="68" t="n">
        <v>102</v>
      </c>
      <c r="C463" s="68" t="n">
        <v>160</v>
      </c>
      <c r="D463" s="68" t="inlineStr">
        <is>
          <t>HpRatio</t>
        </is>
      </c>
      <c r="E463" s="68" t="n">
        <v>9336790</v>
      </c>
      <c r="F463" s="68" t="inlineStr">
        <is>
          <t>AtkRatio</t>
        </is>
      </c>
      <c r="G463" s="68" t="n">
        <v>9336790</v>
      </c>
      <c r="H463" s="68" t="inlineStr">
        <is>
          <t>DefRatio</t>
        </is>
      </c>
      <c r="I463" s="68" t="n">
        <v>9336790</v>
      </c>
    </row>
    <row r="464">
      <c r="A464" s="68">
        <f>B464&amp;TEXT(C464,"0000")</f>
        <v/>
      </c>
      <c r="B464" s="68" t="n">
        <v>102</v>
      </c>
      <c r="C464" s="68" t="n">
        <v>161</v>
      </c>
      <c r="D464" s="68" t="inlineStr">
        <is>
          <t>HpRatio</t>
        </is>
      </c>
      <c r="E464" s="68" t="n">
        <v>9426784</v>
      </c>
      <c r="F464" s="68" t="inlineStr">
        <is>
          <t>AtkRatio</t>
        </is>
      </c>
      <c r="G464" s="68" t="n">
        <v>9426784</v>
      </c>
      <c r="H464" s="68" t="inlineStr">
        <is>
          <t>DefRatio</t>
        </is>
      </c>
      <c r="I464" s="68" t="n">
        <v>9426784</v>
      </c>
    </row>
    <row r="465">
      <c r="A465" s="68">
        <f>B465&amp;TEXT(C465,"0000")</f>
        <v/>
      </c>
      <c r="B465" s="68" t="n">
        <v>102</v>
      </c>
      <c r="C465" s="68" t="n">
        <v>162</v>
      </c>
      <c r="D465" s="68" t="inlineStr">
        <is>
          <t>HpRatio</t>
        </is>
      </c>
      <c r="E465" s="68" t="n">
        <v>9517077</v>
      </c>
      <c r="F465" s="68" t="inlineStr">
        <is>
          <t>AtkRatio</t>
        </is>
      </c>
      <c r="G465" s="68" t="n">
        <v>9517077</v>
      </c>
      <c r="H465" s="68" t="inlineStr">
        <is>
          <t>DefRatio</t>
        </is>
      </c>
      <c r="I465" s="68" t="n">
        <v>9517077</v>
      </c>
    </row>
    <row r="466">
      <c r="A466" s="68">
        <f>B466&amp;TEXT(C466,"0000")</f>
        <v/>
      </c>
      <c r="B466" s="68" t="n">
        <v>102</v>
      </c>
      <c r="C466" s="68" t="n">
        <v>163</v>
      </c>
      <c r="D466" s="68" t="inlineStr">
        <is>
          <t>HpRatio</t>
        </is>
      </c>
      <c r="E466" s="68" t="n">
        <v>9607667</v>
      </c>
      <c r="F466" s="68" t="inlineStr">
        <is>
          <t>AtkRatio</t>
        </is>
      </c>
      <c r="G466" s="68" t="n">
        <v>9607667</v>
      </c>
      <c r="H466" s="68" t="inlineStr">
        <is>
          <t>DefRatio</t>
        </is>
      </c>
      <c r="I466" s="68" t="n">
        <v>9607667</v>
      </c>
    </row>
    <row r="467">
      <c r="A467" s="68">
        <f>B467&amp;TEXT(C467,"0000")</f>
        <v/>
      </c>
      <c r="B467" s="68" t="n">
        <v>102</v>
      </c>
      <c r="C467" s="68" t="n">
        <v>164</v>
      </c>
      <c r="D467" s="68" t="inlineStr">
        <is>
          <t>HpRatio</t>
        </is>
      </c>
      <c r="E467" s="68" t="n">
        <v>9698555</v>
      </c>
      <c r="F467" s="68" t="inlineStr">
        <is>
          <t>AtkRatio</t>
        </is>
      </c>
      <c r="G467" s="68" t="n">
        <v>9698555</v>
      </c>
      <c r="H467" s="68" t="inlineStr">
        <is>
          <t>DefRatio</t>
        </is>
      </c>
      <c r="I467" s="68" t="n">
        <v>9698555</v>
      </c>
    </row>
    <row r="468">
      <c r="A468" s="68">
        <f>B468&amp;TEXT(C468,"0000")</f>
        <v/>
      </c>
      <c r="B468" s="68" t="n">
        <v>102</v>
      </c>
      <c r="C468" s="68" t="n">
        <v>165</v>
      </c>
      <c r="D468" s="68" t="inlineStr">
        <is>
          <t>HpRatio</t>
        </is>
      </c>
      <c r="E468" s="68" t="n">
        <v>9789738</v>
      </c>
      <c r="F468" s="68" t="inlineStr">
        <is>
          <t>AtkRatio</t>
        </is>
      </c>
      <c r="G468" s="68" t="n">
        <v>9789738</v>
      </c>
      <c r="H468" s="68" t="inlineStr">
        <is>
          <t>DefRatio</t>
        </is>
      </c>
      <c r="I468" s="68" t="n">
        <v>9789738</v>
      </c>
    </row>
    <row r="469">
      <c r="A469" s="68">
        <f>B469&amp;TEXT(C469,"0000")</f>
        <v/>
      </c>
      <c r="B469" s="68" t="n">
        <v>102</v>
      </c>
      <c r="C469" s="68" t="n">
        <v>166</v>
      </c>
      <c r="D469" s="68" t="inlineStr">
        <is>
          <t>HpRatio</t>
        </is>
      </c>
      <c r="E469" s="68" t="n">
        <v>9881217</v>
      </c>
      <c r="F469" s="68" t="inlineStr">
        <is>
          <t>AtkRatio</t>
        </is>
      </c>
      <c r="G469" s="68" t="n">
        <v>9881217</v>
      </c>
      <c r="H469" s="68" t="inlineStr">
        <is>
          <t>DefRatio</t>
        </is>
      </c>
      <c r="I469" s="68" t="n">
        <v>9881217</v>
      </c>
    </row>
    <row r="470">
      <c r="A470" s="68">
        <f>B470&amp;TEXT(C470,"0000")</f>
        <v/>
      </c>
      <c r="B470" s="68" t="n">
        <v>102</v>
      </c>
      <c r="C470" s="68" t="n">
        <v>167</v>
      </c>
      <c r="D470" s="68" t="inlineStr">
        <is>
          <t>HpRatio</t>
        </is>
      </c>
      <c r="E470" s="68" t="n">
        <v>9972990</v>
      </c>
      <c r="F470" s="68" t="inlineStr">
        <is>
          <t>AtkRatio</t>
        </is>
      </c>
      <c r="G470" s="68" t="n">
        <v>9972990</v>
      </c>
      <c r="H470" s="68" t="inlineStr">
        <is>
          <t>DefRatio</t>
        </is>
      </c>
      <c r="I470" s="68" t="n">
        <v>9972990</v>
      </c>
    </row>
    <row r="471">
      <c r="A471" s="68">
        <f>B471&amp;TEXT(C471,"0000")</f>
        <v/>
      </c>
      <c r="B471" s="68" t="n">
        <v>102</v>
      </c>
      <c r="C471" s="68" t="n">
        <v>168</v>
      </c>
      <c r="D471" s="68" t="inlineStr">
        <is>
          <t>HpRatio</t>
        </is>
      </c>
      <c r="E471" s="68" t="n">
        <v>10065056</v>
      </c>
      <c r="F471" s="68" t="inlineStr">
        <is>
          <t>AtkRatio</t>
        </is>
      </c>
      <c r="G471" s="68" t="n">
        <v>10065056</v>
      </c>
      <c r="H471" s="68" t="inlineStr">
        <is>
          <t>DefRatio</t>
        </is>
      </c>
      <c r="I471" s="68" t="n">
        <v>10065056</v>
      </c>
    </row>
    <row r="472">
      <c r="A472" s="68">
        <f>B472&amp;TEXT(C472,"0000")</f>
        <v/>
      </c>
      <c r="B472" s="68" t="n">
        <v>102</v>
      </c>
      <c r="C472" s="68" t="n">
        <v>169</v>
      </c>
      <c r="D472" s="68" t="inlineStr">
        <is>
          <t>HpRatio</t>
        </is>
      </c>
      <c r="E472" s="68" t="n">
        <v>10157415</v>
      </c>
      <c r="F472" s="68" t="inlineStr">
        <is>
          <t>AtkRatio</t>
        </is>
      </c>
      <c r="G472" s="68" t="n">
        <v>10157415</v>
      </c>
      <c r="H472" s="68" t="inlineStr">
        <is>
          <t>DefRatio</t>
        </is>
      </c>
      <c r="I472" s="68" t="n">
        <v>10157415</v>
      </c>
    </row>
    <row r="473">
      <c r="A473" s="68">
        <f>B473&amp;TEXT(C473,"0000")</f>
        <v/>
      </c>
      <c r="B473" s="68" t="n">
        <v>102</v>
      </c>
      <c r="C473" s="68" t="n">
        <v>170</v>
      </c>
      <c r="D473" s="68" t="inlineStr">
        <is>
          <t>HpRatio</t>
        </is>
      </c>
      <c r="E473" s="68" t="n">
        <v>10250066</v>
      </c>
      <c r="F473" s="68" t="inlineStr">
        <is>
          <t>AtkRatio</t>
        </is>
      </c>
      <c r="G473" s="68" t="n">
        <v>10250066</v>
      </c>
      <c r="H473" s="68" t="inlineStr">
        <is>
          <t>DefRatio</t>
        </is>
      </c>
      <c r="I473" s="68" t="n">
        <v>10250066</v>
      </c>
    </row>
    <row r="474">
      <c r="A474" s="68">
        <f>B474&amp;TEXT(C474,"0000")</f>
        <v/>
      </c>
      <c r="B474" s="68" t="n">
        <v>102</v>
      </c>
      <c r="C474" s="68" t="n">
        <v>171</v>
      </c>
      <c r="D474" s="68" t="inlineStr">
        <is>
          <t>HpRatio</t>
        </is>
      </c>
      <c r="E474" s="68" t="n">
        <v>10343008</v>
      </c>
      <c r="F474" s="68" t="inlineStr">
        <is>
          <t>AtkRatio</t>
        </is>
      </c>
      <c r="G474" s="68" t="n">
        <v>10343008</v>
      </c>
      <c r="H474" s="68" t="inlineStr">
        <is>
          <t>DefRatio</t>
        </is>
      </c>
      <c r="I474" s="68" t="n">
        <v>10343008</v>
      </c>
    </row>
    <row r="475">
      <c r="A475" s="68">
        <f>B475&amp;TEXT(C475,"0000")</f>
        <v/>
      </c>
      <c r="B475" s="68" t="n">
        <v>102</v>
      </c>
      <c r="C475" s="68" t="n">
        <v>172</v>
      </c>
      <c r="D475" s="68" t="inlineStr">
        <is>
          <t>HpRatio</t>
        </is>
      </c>
      <c r="E475" s="68" t="n">
        <v>10436240</v>
      </c>
      <c r="F475" s="68" t="inlineStr">
        <is>
          <t>AtkRatio</t>
        </is>
      </c>
      <c r="G475" s="68" t="n">
        <v>10436240</v>
      </c>
      <c r="H475" s="68" t="inlineStr">
        <is>
          <t>DefRatio</t>
        </is>
      </c>
      <c r="I475" s="68" t="n">
        <v>10436240</v>
      </c>
    </row>
    <row r="476">
      <c r="A476" s="68">
        <f>B476&amp;TEXT(C476,"0000")</f>
        <v/>
      </c>
      <c r="B476" s="68" t="n">
        <v>102</v>
      </c>
      <c r="C476" s="68" t="n">
        <v>173</v>
      </c>
      <c r="D476" s="68" t="inlineStr">
        <is>
          <t>HpRatio</t>
        </is>
      </c>
      <c r="E476" s="68" t="n">
        <v>10529761</v>
      </c>
      <c r="F476" s="68" t="inlineStr">
        <is>
          <t>AtkRatio</t>
        </is>
      </c>
      <c r="G476" s="68" t="n">
        <v>10529761</v>
      </c>
      <c r="H476" s="68" t="inlineStr">
        <is>
          <t>DefRatio</t>
        </is>
      </c>
      <c r="I476" s="68" t="n">
        <v>10529761</v>
      </c>
    </row>
    <row r="477">
      <c r="A477" s="68">
        <f>B477&amp;TEXT(C477,"0000")</f>
        <v/>
      </c>
      <c r="B477" s="68" t="n">
        <v>102</v>
      </c>
      <c r="C477" s="68" t="n">
        <v>174</v>
      </c>
      <c r="D477" s="68" t="inlineStr">
        <is>
          <t>HpRatio</t>
        </is>
      </c>
      <c r="E477" s="68" t="n">
        <v>10623571</v>
      </c>
      <c r="F477" s="68" t="inlineStr">
        <is>
          <t>AtkRatio</t>
        </is>
      </c>
      <c r="G477" s="68" t="n">
        <v>10623571</v>
      </c>
      <c r="H477" s="68" t="inlineStr">
        <is>
          <t>DefRatio</t>
        </is>
      </c>
      <c r="I477" s="68" t="n">
        <v>10623571</v>
      </c>
    </row>
    <row r="478">
      <c r="A478" s="68">
        <f>B478&amp;TEXT(C478,"0000")</f>
        <v/>
      </c>
      <c r="B478" s="68" t="n">
        <v>102</v>
      </c>
      <c r="C478" s="68" t="n">
        <v>175</v>
      </c>
      <c r="D478" s="68" t="inlineStr">
        <is>
          <t>HpRatio</t>
        </is>
      </c>
      <c r="E478" s="68" t="n">
        <v>10717669</v>
      </c>
      <c r="F478" s="68" t="inlineStr">
        <is>
          <t>AtkRatio</t>
        </is>
      </c>
      <c r="G478" s="68" t="n">
        <v>10717669</v>
      </c>
      <c r="H478" s="68" t="inlineStr">
        <is>
          <t>DefRatio</t>
        </is>
      </c>
      <c r="I478" s="68" t="n">
        <v>10717669</v>
      </c>
    </row>
    <row r="479">
      <c r="A479" s="68">
        <f>B479&amp;TEXT(C479,"0000")</f>
        <v/>
      </c>
      <c r="B479" s="68" t="n">
        <v>102</v>
      </c>
      <c r="C479" s="68" t="n">
        <v>176</v>
      </c>
      <c r="D479" s="68" t="inlineStr">
        <is>
          <t>HpRatio</t>
        </is>
      </c>
      <c r="E479" s="68" t="n">
        <v>10812054</v>
      </c>
      <c r="F479" s="68" t="inlineStr">
        <is>
          <t>AtkRatio</t>
        </is>
      </c>
      <c r="G479" s="68" t="n">
        <v>10812054</v>
      </c>
      <c r="H479" s="68" t="inlineStr">
        <is>
          <t>DefRatio</t>
        </is>
      </c>
      <c r="I479" s="68" t="n">
        <v>10812054</v>
      </c>
    </row>
    <row r="480">
      <c r="A480" s="68">
        <f>B480&amp;TEXT(C480,"0000")</f>
        <v/>
      </c>
      <c r="B480" s="68" t="n">
        <v>102</v>
      </c>
      <c r="C480" s="68" t="n">
        <v>177</v>
      </c>
      <c r="D480" s="68" t="inlineStr">
        <is>
          <t>HpRatio</t>
        </is>
      </c>
      <c r="E480" s="68" t="n">
        <v>10906725</v>
      </c>
      <c r="F480" s="68" t="inlineStr">
        <is>
          <t>AtkRatio</t>
        </is>
      </c>
      <c r="G480" s="68" t="n">
        <v>10906725</v>
      </c>
      <c r="H480" s="68" t="inlineStr">
        <is>
          <t>DefRatio</t>
        </is>
      </c>
      <c r="I480" s="68" t="n">
        <v>10906725</v>
      </c>
    </row>
    <row r="481">
      <c r="A481" s="68">
        <f>B481&amp;TEXT(C481,"0000")</f>
        <v/>
      </c>
      <c r="B481" s="68" t="n">
        <v>102</v>
      </c>
      <c r="C481" s="68" t="n">
        <v>178</v>
      </c>
      <c r="D481" s="68" t="inlineStr">
        <is>
          <t>HpRatio</t>
        </is>
      </c>
      <c r="E481" s="68" t="n">
        <v>11001682</v>
      </c>
      <c r="F481" s="68" t="inlineStr">
        <is>
          <t>AtkRatio</t>
        </is>
      </c>
      <c r="G481" s="68" t="n">
        <v>11001682</v>
      </c>
      <c r="H481" s="68" t="inlineStr">
        <is>
          <t>DefRatio</t>
        </is>
      </c>
      <c r="I481" s="68" t="n">
        <v>11001682</v>
      </c>
    </row>
    <row r="482">
      <c r="A482" s="68">
        <f>B482&amp;TEXT(C482,"0000")</f>
        <v/>
      </c>
      <c r="B482" s="68" t="n">
        <v>102</v>
      </c>
      <c r="C482" s="68" t="n">
        <v>179</v>
      </c>
      <c r="D482" s="68" t="inlineStr">
        <is>
          <t>HpRatio</t>
        </is>
      </c>
      <c r="E482" s="68" t="n">
        <v>11096924</v>
      </c>
      <c r="F482" s="68" t="inlineStr">
        <is>
          <t>AtkRatio</t>
        </is>
      </c>
      <c r="G482" s="68" t="n">
        <v>11096924</v>
      </c>
      <c r="H482" s="68" t="inlineStr">
        <is>
          <t>DefRatio</t>
        </is>
      </c>
      <c r="I482" s="68" t="n">
        <v>11096924</v>
      </c>
    </row>
    <row r="483">
      <c r="A483" s="68">
        <f>B483&amp;TEXT(C483,"0000")</f>
        <v/>
      </c>
      <c r="B483" s="68" t="n">
        <v>102</v>
      </c>
      <c r="C483" s="68" t="n">
        <v>180</v>
      </c>
      <c r="D483" s="68" t="inlineStr">
        <is>
          <t>HpRatio</t>
        </is>
      </c>
      <c r="E483" s="68" t="n">
        <v>11192449</v>
      </c>
      <c r="F483" s="68" t="inlineStr">
        <is>
          <t>AtkRatio</t>
        </is>
      </c>
      <c r="G483" s="68" t="n">
        <v>11192449</v>
      </c>
      <c r="H483" s="68" t="inlineStr">
        <is>
          <t>DefRatio</t>
        </is>
      </c>
      <c r="I483" s="68" t="n">
        <v>11192449</v>
      </c>
    </row>
    <row r="484">
      <c r="A484" s="68">
        <f>B484&amp;TEXT(C484,"0000")</f>
        <v/>
      </c>
      <c r="B484" s="68" t="n">
        <v>102</v>
      </c>
      <c r="C484" s="68" t="n">
        <v>181</v>
      </c>
      <c r="D484" s="68" t="inlineStr">
        <is>
          <t>HpRatio</t>
        </is>
      </c>
      <c r="E484" s="68" t="n">
        <v>11288258</v>
      </c>
      <c r="F484" s="68" t="inlineStr">
        <is>
          <t>AtkRatio</t>
        </is>
      </c>
      <c r="G484" s="68" t="n">
        <v>11288258</v>
      </c>
      <c r="H484" s="68" t="inlineStr">
        <is>
          <t>DefRatio</t>
        </is>
      </c>
      <c r="I484" s="68" t="n">
        <v>11288258</v>
      </c>
    </row>
    <row r="485">
      <c r="A485" s="68">
        <f>B485&amp;TEXT(C485,"0000")</f>
        <v/>
      </c>
      <c r="B485" s="68" t="n">
        <v>102</v>
      </c>
      <c r="C485" s="68" t="n">
        <v>182</v>
      </c>
      <c r="D485" s="68" t="inlineStr">
        <is>
          <t>HpRatio</t>
        </is>
      </c>
      <c r="E485" s="68" t="n">
        <v>11384349</v>
      </c>
      <c r="F485" s="68" t="inlineStr">
        <is>
          <t>AtkRatio</t>
        </is>
      </c>
      <c r="G485" s="68" t="n">
        <v>11384349</v>
      </c>
      <c r="H485" s="68" t="inlineStr">
        <is>
          <t>DefRatio</t>
        </is>
      </c>
      <c r="I485" s="68" t="n">
        <v>11384349</v>
      </c>
    </row>
    <row r="486">
      <c r="A486" s="68">
        <f>B486&amp;TEXT(C486,"0000")</f>
        <v/>
      </c>
      <c r="B486" s="68" t="n">
        <v>102</v>
      </c>
      <c r="C486" s="68" t="n">
        <v>183</v>
      </c>
      <c r="D486" s="68" t="inlineStr">
        <is>
          <t>HpRatio</t>
        </is>
      </c>
      <c r="E486" s="68" t="n">
        <v>11480722</v>
      </c>
      <c r="F486" s="68" t="inlineStr">
        <is>
          <t>AtkRatio</t>
        </is>
      </c>
      <c r="G486" s="68" t="n">
        <v>11480722</v>
      </c>
      <c r="H486" s="68" t="inlineStr">
        <is>
          <t>DefRatio</t>
        </is>
      </c>
      <c r="I486" s="68" t="n">
        <v>11480722</v>
      </c>
    </row>
    <row r="487">
      <c r="A487" s="68">
        <f>B487&amp;TEXT(C487,"0000")</f>
        <v/>
      </c>
      <c r="B487" s="68" t="n">
        <v>102</v>
      </c>
      <c r="C487" s="68" t="n">
        <v>184</v>
      </c>
      <c r="D487" s="68" t="inlineStr">
        <is>
          <t>HpRatio</t>
        </is>
      </c>
      <c r="E487" s="68" t="n">
        <v>11577377</v>
      </c>
      <c r="F487" s="68" t="inlineStr">
        <is>
          <t>AtkRatio</t>
        </is>
      </c>
      <c r="G487" s="68" t="n">
        <v>11577377</v>
      </c>
      <c r="H487" s="68" t="inlineStr">
        <is>
          <t>DefRatio</t>
        </is>
      </c>
      <c r="I487" s="68" t="n">
        <v>11577377</v>
      </c>
    </row>
    <row r="488">
      <c r="A488" s="68">
        <f>B488&amp;TEXT(C488,"0000")</f>
        <v/>
      </c>
      <c r="B488" s="68" t="n">
        <v>102</v>
      </c>
      <c r="C488" s="68" t="n">
        <v>185</v>
      </c>
      <c r="D488" s="68" t="inlineStr">
        <is>
          <t>HpRatio</t>
        </is>
      </c>
      <c r="E488" s="68" t="n">
        <v>11674311</v>
      </c>
      <c r="F488" s="68" t="inlineStr">
        <is>
          <t>AtkRatio</t>
        </is>
      </c>
      <c r="G488" s="68" t="n">
        <v>11674311</v>
      </c>
      <c r="H488" s="68" t="inlineStr">
        <is>
          <t>DefRatio</t>
        </is>
      </c>
      <c r="I488" s="68" t="n">
        <v>11674311</v>
      </c>
    </row>
    <row r="489">
      <c r="A489" s="68">
        <f>B489&amp;TEXT(C489,"0000")</f>
        <v/>
      </c>
      <c r="B489" s="68" t="n">
        <v>102</v>
      </c>
      <c r="C489" s="68" t="n">
        <v>186</v>
      </c>
      <c r="D489" s="68" t="inlineStr">
        <is>
          <t>HpRatio</t>
        </is>
      </c>
      <c r="E489" s="68" t="n">
        <v>11771525</v>
      </c>
      <c r="F489" s="68" t="inlineStr">
        <is>
          <t>AtkRatio</t>
        </is>
      </c>
      <c r="G489" s="68" t="n">
        <v>11771525</v>
      </c>
      <c r="H489" s="68" t="inlineStr">
        <is>
          <t>DefRatio</t>
        </is>
      </c>
      <c r="I489" s="68" t="n">
        <v>11771525</v>
      </c>
    </row>
    <row r="490">
      <c r="A490" s="68">
        <f>B490&amp;TEXT(C490,"0000")</f>
        <v/>
      </c>
      <c r="B490" s="68" t="n">
        <v>102</v>
      </c>
      <c r="C490" s="68" t="n">
        <v>187</v>
      </c>
      <c r="D490" s="68" t="inlineStr">
        <is>
          <t>HpRatio</t>
        </is>
      </c>
      <c r="E490" s="68" t="n">
        <v>11869018</v>
      </c>
      <c r="F490" s="68" t="inlineStr">
        <is>
          <t>AtkRatio</t>
        </is>
      </c>
      <c r="G490" s="68" t="n">
        <v>11869018</v>
      </c>
      <c r="H490" s="68" t="inlineStr">
        <is>
          <t>DefRatio</t>
        </is>
      </c>
      <c r="I490" s="68" t="n">
        <v>11869018</v>
      </c>
    </row>
    <row r="491">
      <c r="A491" s="68">
        <f>B491&amp;TEXT(C491,"0000")</f>
        <v/>
      </c>
      <c r="B491" s="68" t="n">
        <v>102</v>
      </c>
      <c r="C491" s="68" t="n">
        <v>188</v>
      </c>
      <c r="D491" s="68" t="inlineStr">
        <is>
          <t>HpRatio</t>
        </is>
      </c>
      <c r="E491" s="68" t="n">
        <v>11966789</v>
      </c>
      <c r="F491" s="68" t="inlineStr">
        <is>
          <t>AtkRatio</t>
        </is>
      </c>
      <c r="G491" s="68" t="n">
        <v>11966789</v>
      </c>
      <c r="H491" s="68" t="inlineStr">
        <is>
          <t>DefRatio</t>
        </is>
      </c>
      <c r="I491" s="68" t="n">
        <v>11966789</v>
      </c>
    </row>
    <row r="492">
      <c r="A492" s="68">
        <f>B492&amp;TEXT(C492,"0000")</f>
        <v/>
      </c>
      <c r="B492" s="68" t="n">
        <v>102</v>
      </c>
      <c r="C492" s="68" t="n">
        <v>189</v>
      </c>
      <c r="D492" s="68" t="inlineStr">
        <is>
          <t>HpRatio</t>
        </is>
      </c>
      <c r="E492" s="68" t="n">
        <v>12064838</v>
      </c>
      <c r="F492" s="68" t="inlineStr">
        <is>
          <t>AtkRatio</t>
        </is>
      </c>
      <c r="G492" s="68" t="n">
        <v>12064838</v>
      </c>
      <c r="H492" s="68" t="inlineStr">
        <is>
          <t>DefRatio</t>
        </is>
      </c>
      <c r="I492" s="68" t="n">
        <v>12064838</v>
      </c>
    </row>
    <row r="493">
      <c r="A493" s="68">
        <f>B493&amp;TEXT(C493,"0000")</f>
        <v/>
      </c>
      <c r="B493" s="68" t="n">
        <v>102</v>
      </c>
      <c r="C493" s="68" t="n">
        <v>190</v>
      </c>
      <c r="D493" s="68" t="inlineStr">
        <is>
          <t>HpRatio</t>
        </is>
      </c>
      <c r="E493" s="68" t="n">
        <v>12163164</v>
      </c>
      <c r="F493" s="68" t="inlineStr">
        <is>
          <t>AtkRatio</t>
        </is>
      </c>
      <c r="G493" s="68" t="n">
        <v>12163164</v>
      </c>
      <c r="H493" s="68" t="inlineStr">
        <is>
          <t>DefRatio</t>
        </is>
      </c>
      <c r="I493" s="68" t="n">
        <v>12163164</v>
      </c>
    </row>
    <row r="494">
      <c r="A494" s="68">
        <f>B494&amp;TEXT(C494,"0000")</f>
        <v/>
      </c>
      <c r="B494" s="68" t="n">
        <v>102</v>
      </c>
      <c r="C494" s="68" t="n">
        <v>191</v>
      </c>
      <c r="D494" s="68" t="inlineStr">
        <is>
          <t>HpRatio</t>
        </is>
      </c>
      <c r="E494" s="68" t="n">
        <v>12261765</v>
      </c>
      <c r="F494" s="68" t="inlineStr">
        <is>
          <t>AtkRatio</t>
        </is>
      </c>
      <c r="G494" s="68" t="n">
        <v>12261765</v>
      </c>
      <c r="H494" s="68" t="inlineStr">
        <is>
          <t>DefRatio</t>
        </is>
      </c>
      <c r="I494" s="68" t="n">
        <v>12261765</v>
      </c>
    </row>
    <row r="495">
      <c r="A495" s="68">
        <f>B495&amp;TEXT(C495,"0000")</f>
        <v/>
      </c>
      <c r="B495" s="68" t="n">
        <v>102</v>
      </c>
      <c r="C495" s="68" t="n">
        <v>192</v>
      </c>
      <c r="D495" s="68" t="inlineStr">
        <is>
          <t>HpRatio</t>
        </is>
      </c>
      <c r="E495" s="68" t="n">
        <v>12360642</v>
      </c>
      <c r="F495" s="68" t="inlineStr">
        <is>
          <t>AtkRatio</t>
        </is>
      </c>
      <c r="G495" s="68" t="n">
        <v>12360642</v>
      </c>
      <c r="H495" s="68" t="inlineStr">
        <is>
          <t>DefRatio</t>
        </is>
      </c>
      <c r="I495" s="68" t="n">
        <v>12360642</v>
      </c>
    </row>
    <row r="496">
      <c r="A496" s="68">
        <f>B496&amp;TEXT(C496,"0000")</f>
        <v/>
      </c>
      <c r="B496" s="68" t="n">
        <v>102</v>
      </c>
      <c r="C496" s="68" t="n">
        <v>193</v>
      </c>
      <c r="D496" s="68" t="inlineStr">
        <is>
          <t>HpRatio</t>
        </is>
      </c>
      <c r="E496" s="68" t="n">
        <v>12459794</v>
      </c>
      <c r="F496" s="68" t="inlineStr">
        <is>
          <t>AtkRatio</t>
        </is>
      </c>
      <c r="G496" s="68" t="n">
        <v>12459794</v>
      </c>
      <c r="H496" s="68" t="inlineStr">
        <is>
          <t>DefRatio</t>
        </is>
      </c>
      <c r="I496" s="68" t="n">
        <v>12459794</v>
      </c>
    </row>
    <row r="497">
      <c r="A497" s="68">
        <f>B497&amp;TEXT(C497,"0000")</f>
        <v/>
      </c>
      <c r="B497" s="68" t="n">
        <v>102</v>
      </c>
      <c r="C497" s="68" t="n">
        <v>194</v>
      </c>
      <c r="D497" s="68" t="inlineStr">
        <is>
          <t>HpRatio</t>
        </is>
      </c>
      <c r="E497" s="68" t="n">
        <v>12559220</v>
      </c>
      <c r="F497" s="68" t="inlineStr">
        <is>
          <t>AtkRatio</t>
        </is>
      </c>
      <c r="G497" s="68" t="n">
        <v>12559220</v>
      </c>
      <c r="H497" s="68" t="inlineStr">
        <is>
          <t>DefRatio</t>
        </is>
      </c>
      <c r="I497" s="68" t="n">
        <v>12559220</v>
      </c>
    </row>
    <row r="498">
      <c r="A498" s="68">
        <f>B498&amp;TEXT(C498,"0000")</f>
        <v/>
      </c>
      <c r="B498" s="68" t="n">
        <v>102</v>
      </c>
      <c r="C498" s="68" t="n">
        <v>195</v>
      </c>
      <c r="D498" s="68" t="inlineStr">
        <is>
          <t>HpRatio</t>
        </is>
      </c>
      <c r="E498" s="68" t="n">
        <v>12658919</v>
      </c>
      <c r="F498" s="68" t="inlineStr">
        <is>
          <t>AtkRatio</t>
        </is>
      </c>
      <c r="G498" s="68" t="n">
        <v>12658919</v>
      </c>
      <c r="H498" s="68" t="inlineStr">
        <is>
          <t>DefRatio</t>
        </is>
      </c>
      <c r="I498" s="68" t="n">
        <v>12658919</v>
      </c>
    </row>
    <row r="499">
      <c r="A499" s="68">
        <f>B499&amp;TEXT(C499,"0000")</f>
        <v/>
      </c>
      <c r="B499" s="68" t="n">
        <v>102</v>
      </c>
      <c r="C499" s="68" t="n">
        <v>196</v>
      </c>
      <c r="D499" s="68" t="inlineStr">
        <is>
          <t>HpRatio</t>
        </is>
      </c>
      <c r="E499" s="68" t="n">
        <v>12758892</v>
      </c>
      <c r="F499" s="68" t="inlineStr">
        <is>
          <t>AtkRatio</t>
        </is>
      </c>
      <c r="G499" s="68" t="n">
        <v>12758892</v>
      </c>
      <c r="H499" s="68" t="inlineStr">
        <is>
          <t>DefRatio</t>
        </is>
      </c>
      <c r="I499" s="68" t="n">
        <v>12758892</v>
      </c>
    </row>
    <row r="500">
      <c r="A500" s="68">
        <f>B500&amp;TEXT(C500,"0000")</f>
        <v/>
      </c>
      <c r="B500" s="68" t="n">
        <v>102</v>
      </c>
      <c r="C500" s="68" t="n">
        <v>197</v>
      </c>
      <c r="D500" s="68" t="inlineStr">
        <is>
          <t>HpRatio</t>
        </is>
      </c>
      <c r="E500" s="68" t="n">
        <v>12859136</v>
      </c>
      <c r="F500" s="68" t="inlineStr">
        <is>
          <t>AtkRatio</t>
        </is>
      </c>
      <c r="G500" s="68" t="n">
        <v>12859136</v>
      </c>
      <c r="H500" s="68" t="inlineStr">
        <is>
          <t>DefRatio</t>
        </is>
      </c>
      <c r="I500" s="68" t="n">
        <v>12859136</v>
      </c>
    </row>
    <row r="501">
      <c r="A501" s="68">
        <f>B501&amp;TEXT(C501,"0000")</f>
        <v/>
      </c>
      <c r="B501" s="68" t="n">
        <v>102</v>
      </c>
      <c r="C501" s="68" t="n">
        <v>198</v>
      </c>
      <c r="D501" s="68" t="inlineStr">
        <is>
          <t>HpRatio</t>
        </is>
      </c>
      <c r="E501" s="68" t="n">
        <v>12959651</v>
      </c>
      <c r="F501" s="68" t="inlineStr">
        <is>
          <t>AtkRatio</t>
        </is>
      </c>
      <c r="G501" s="68" t="n">
        <v>12959651</v>
      </c>
      <c r="H501" s="68" t="inlineStr">
        <is>
          <t>DefRatio</t>
        </is>
      </c>
      <c r="I501" s="68" t="n">
        <v>12959651</v>
      </c>
    </row>
    <row r="502">
      <c r="A502" s="68">
        <f>B502&amp;TEXT(C502,"0000")</f>
        <v/>
      </c>
      <c r="B502" s="68" t="n">
        <v>102</v>
      </c>
      <c r="C502" s="68" t="n">
        <v>199</v>
      </c>
      <c r="D502" s="68" t="inlineStr">
        <is>
          <t>HpRatio</t>
        </is>
      </c>
      <c r="E502" s="68" t="n">
        <v>13060438</v>
      </c>
      <c r="F502" s="68" t="inlineStr">
        <is>
          <t>AtkRatio</t>
        </is>
      </c>
      <c r="G502" s="68" t="n">
        <v>13060438</v>
      </c>
      <c r="H502" s="68" t="inlineStr">
        <is>
          <t>DefRatio</t>
        </is>
      </c>
      <c r="I502" s="68" t="n">
        <v>13060438</v>
      </c>
    </row>
    <row r="503">
      <c r="A503" s="68">
        <f>B503&amp;TEXT(C503,"0000")</f>
        <v/>
      </c>
      <c r="B503" s="68" t="n">
        <v>102</v>
      </c>
      <c r="C503" s="68" t="n">
        <v>200</v>
      </c>
      <c r="D503" s="68" t="inlineStr">
        <is>
          <t>HpRatio</t>
        </is>
      </c>
      <c r="E503" s="68" t="n">
        <v>13161494</v>
      </c>
      <c r="F503" s="68" t="inlineStr">
        <is>
          <t>AtkRatio</t>
        </is>
      </c>
      <c r="G503" s="68" t="n">
        <v>13161494</v>
      </c>
      <c r="H503" s="68" t="inlineStr">
        <is>
          <t>DefRatio</t>
        </is>
      </c>
      <c r="I503" s="68" t="n">
        <v>13161494</v>
      </c>
    </row>
    <row r="504">
      <c r="A504" s="68">
        <f>B504&amp;TEXT(C504,"0000")</f>
        <v/>
      </c>
      <c r="B504" s="68" t="n">
        <v>102</v>
      </c>
      <c r="C504" s="68" t="n">
        <v>201</v>
      </c>
      <c r="D504" s="68" t="inlineStr">
        <is>
          <t>HpRatio</t>
        </is>
      </c>
      <c r="E504" s="68" t="n">
        <v>13262820</v>
      </c>
      <c r="F504" s="68" t="inlineStr">
        <is>
          <t>AtkRatio</t>
        </is>
      </c>
      <c r="G504" s="68" t="n">
        <v>13262820</v>
      </c>
      <c r="H504" s="68" t="inlineStr">
        <is>
          <t>DefRatio</t>
        </is>
      </c>
      <c r="I504" s="68" t="n">
        <v>13262820</v>
      </c>
    </row>
    <row r="505">
      <c r="A505" s="68">
        <f>B505&amp;TEXT(C505,"0000")</f>
        <v/>
      </c>
      <c r="B505" s="68" t="n">
        <v>102</v>
      </c>
      <c r="C505" s="68" t="n">
        <v>202</v>
      </c>
      <c r="D505" s="68" t="inlineStr">
        <is>
          <t>HpRatio</t>
        </is>
      </c>
      <c r="E505" s="68" t="n">
        <v>13364415</v>
      </c>
      <c r="F505" s="68" t="inlineStr">
        <is>
          <t>AtkRatio</t>
        </is>
      </c>
      <c r="G505" s="68" t="n">
        <v>13364415</v>
      </c>
      <c r="H505" s="68" t="inlineStr">
        <is>
          <t>DefRatio</t>
        </is>
      </c>
      <c r="I505" s="68" t="n">
        <v>13364415</v>
      </c>
    </row>
    <row r="506">
      <c r="A506" s="68">
        <f>B506&amp;TEXT(C506,"0000")</f>
        <v/>
      </c>
      <c r="B506" s="68" t="n">
        <v>102</v>
      </c>
      <c r="C506" s="68" t="n">
        <v>203</v>
      </c>
      <c r="D506" s="68" t="inlineStr">
        <is>
          <t>HpRatio</t>
        </is>
      </c>
      <c r="E506" s="68" t="n">
        <v>13466278</v>
      </c>
      <c r="F506" s="68" t="inlineStr">
        <is>
          <t>AtkRatio</t>
        </is>
      </c>
      <c r="G506" s="68" t="n">
        <v>13466278</v>
      </c>
      <c r="H506" s="68" t="inlineStr">
        <is>
          <t>DefRatio</t>
        </is>
      </c>
      <c r="I506" s="68" t="n">
        <v>13466278</v>
      </c>
    </row>
    <row r="507">
      <c r="A507" s="68">
        <f>B507&amp;TEXT(C507,"0000")</f>
        <v/>
      </c>
      <c r="B507" s="68" t="n">
        <v>102</v>
      </c>
      <c r="C507" s="68" t="n">
        <v>204</v>
      </c>
      <c r="D507" s="68" t="inlineStr">
        <is>
          <t>HpRatio</t>
        </is>
      </c>
      <c r="E507" s="68" t="n">
        <v>13568409</v>
      </c>
      <c r="F507" s="68" t="inlineStr">
        <is>
          <t>AtkRatio</t>
        </is>
      </c>
      <c r="G507" s="68" t="n">
        <v>13568409</v>
      </c>
      <c r="H507" s="68" t="inlineStr">
        <is>
          <t>DefRatio</t>
        </is>
      </c>
      <c r="I507" s="68" t="n">
        <v>13568409</v>
      </c>
    </row>
    <row r="508">
      <c r="A508" s="68">
        <f>B508&amp;TEXT(C508,"0000")</f>
        <v/>
      </c>
      <c r="B508" s="68" t="n">
        <v>102</v>
      </c>
      <c r="C508" s="68" t="n">
        <v>205</v>
      </c>
      <c r="D508" s="68" t="inlineStr">
        <is>
          <t>HpRatio</t>
        </is>
      </c>
      <c r="E508" s="68" t="n">
        <v>13670807</v>
      </c>
      <c r="F508" s="68" t="inlineStr">
        <is>
          <t>AtkRatio</t>
        </is>
      </c>
      <c r="G508" s="68" t="n">
        <v>13670807</v>
      </c>
      <c r="H508" s="68" t="inlineStr">
        <is>
          <t>DefRatio</t>
        </is>
      </c>
      <c r="I508" s="68" t="n">
        <v>13670807</v>
      </c>
    </row>
    <row r="509">
      <c r="A509" s="68">
        <f>B509&amp;TEXT(C509,"0000")</f>
        <v/>
      </c>
      <c r="B509" s="68" t="n">
        <v>102</v>
      </c>
      <c r="C509" s="68" t="n">
        <v>206</v>
      </c>
      <c r="D509" s="68" t="inlineStr">
        <is>
          <t>HpRatio</t>
        </is>
      </c>
      <c r="E509" s="68" t="n">
        <v>13773471</v>
      </c>
      <c r="F509" s="68" t="inlineStr">
        <is>
          <t>AtkRatio</t>
        </is>
      </c>
      <c r="G509" s="68" t="n">
        <v>13773471</v>
      </c>
      <c r="H509" s="68" t="inlineStr">
        <is>
          <t>DefRatio</t>
        </is>
      </c>
      <c r="I509" s="68" t="n">
        <v>13773471</v>
      </c>
    </row>
    <row r="510">
      <c r="A510" s="68">
        <f>B510&amp;TEXT(C510,"0000")</f>
        <v/>
      </c>
      <c r="B510" s="68" t="n">
        <v>102</v>
      </c>
      <c r="C510" s="68" t="n">
        <v>207</v>
      </c>
      <c r="D510" s="68" t="inlineStr">
        <is>
          <t>HpRatio</t>
        </is>
      </c>
      <c r="E510" s="68" t="n">
        <v>13876401</v>
      </c>
      <c r="F510" s="68" t="inlineStr">
        <is>
          <t>AtkRatio</t>
        </is>
      </c>
      <c r="G510" s="68" t="n">
        <v>13876401</v>
      </c>
      <c r="H510" s="68" t="inlineStr">
        <is>
          <t>DefRatio</t>
        </is>
      </c>
      <c r="I510" s="68" t="n">
        <v>13876401</v>
      </c>
    </row>
    <row r="511">
      <c r="A511" s="68">
        <f>B511&amp;TEXT(C511,"0000")</f>
        <v/>
      </c>
      <c r="B511" s="68" t="n">
        <v>102</v>
      </c>
      <c r="C511" s="68" t="n">
        <v>208</v>
      </c>
      <c r="D511" s="68" t="inlineStr">
        <is>
          <t>HpRatio</t>
        </is>
      </c>
      <c r="E511" s="68" t="n">
        <v>13979596</v>
      </c>
      <c r="F511" s="68" t="inlineStr">
        <is>
          <t>AtkRatio</t>
        </is>
      </c>
      <c r="G511" s="68" t="n">
        <v>13979596</v>
      </c>
      <c r="H511" s="68" t="inlineStr">
        <is>
          <t>DefRatio</t>
        </is>
      </c>
      <c r="I511" s="68" t="n">
        <v>13979596</v>
      </c>
    </row>
    <row r="512">
      <c r="A512" s="68">
        <f>B512&amp;TEXT(C512,"0000")</f>
        <v/>
      </c>
      <c r="B512" s="68" t="n">
        <v>102</v>
      </c>
      <c r="C512" s="68" t="n">
        <v>209</v>
      </c>
      <c r="D512" s="68" t="inlineStr">
        <is>
          <t>HpRatio</t>
        </is>
      </c>
      <c r="E512" s="68" t="n">
        <v>14083056</v>
      </c>
      <c r="F512" s="68" t="inlineStr">
        <is>
          <t>AtkRatio</t>
        </is>
      </c>
      <c r="G512" s="68" t="n">
        <v>14083056</v>
      </c>
      <c r="H512" s="68" t="inlineStr">
        <is>
          <t>DefRatio</t>
        </is>
      </c>
      <c r="I512" s="68" t="n">
        <v>14083056</v>
      </c>
    </row>
    <row r="513">
      <c r="A513" s="68">
        <f>B513&amp;TEXT(C513,"0000")</f>
        <v/>
      </c>
      <c r="B513" s="68" t="n">
        <v>102</v>
      </c>
      <c r="C513" s="68" t="n">
        <v>210</v>
      </c>
      <c r="D513" s="68" t="inlineStr">
        <is>
          <t>HpRatio</t>
        </is>
      </c>
      <c r="E513" s="68" t="n">
        <v>14186779</v>
      </c>
      <c r="F513" s="68" t="inlineStr">
        <is>
          <t>AtkRatio</t>
        </is>
      </c>
      <c r="G513" s="68" t="n">
        <v>14186779</v>
      </c>
      <c r="H513" s="68" t="inlineStr">
        <is>
          <t>DefRatio</t>
        </is>
      </c>
      <c r="I513" s="68" t="n">
        <v>14186779</v>
      </c>
    </row>
    <row r="514">
      <c r="A514" s="68">
        <f>B514&amp;TEXT(C514,"0000")</f>
        <v/>
      </c>
      <c r="B514" s="68" t="n">
        <v>102</v>
      </c>
      <c r="C514" s="68" t="n">
        <v>211</v>
      </c>
      <c r="D514" s="68" t="inlineStr">
        <is>
          <t>HpRatio</t>
        </is>
      </c>
      <c r="E514" s="68" t="n">
        <v>14290766</v>
      </c>
      <c r="F514" s="68" t="inlineStr">
        <is>
          <t>AtkRatio</t>
        </is>
      </c>
      <c r="G514" s="68" t="n">
        <v>14290766</v>
      </c>
      <c r="H514" s="68" t="inlineStr">
        <is>
          <t>DefRatio</t>
        </is>
      </c>
      <c r="I514" s="68" t="n">
        <v>14290766</v>
      </c>
    </row>
    <row r="515">
      <c r="A515" s="68">
        <f>B515&amp;TEXT(C515,"0000")</f>
        <v/>
      </c>
      <c r="B515" s="68" t="n">
        <v>102</v>
      </c>
      <c r="C515" s="68" t="n">
        <v>212</v>
      </c>
      <c r="D515" s="68" t="inlineStr">
        <is>
          <t>HpRatio</t>
        </is>
      </c>
      <c r="E515" s="68" t="n">
        <v>14395016</v>
      </c>
      <c r="F515" s="68" t="inlineStr">
        <is>
          <t>AtkRatio</t>
        </is>
      </c>
      <c r="G515" s="68" t="n">
        <v>14395016</v>
      </c>
      <c r="H515" s="68" t="inlineStr">
        <is>
          <t>DefRatio</t>
        </is>
      </c>
      <c r="I515" s="68" t="n">
        <v>14395016</v>
      </c>
    </row>
    <row r="516">
      <c r="A516" s="68">
        <f>B516&amp;TEXT(C516,"0000")</f>
        <v/>
      </c>
      <c r="B516" s="68" t="n">
        <v>102</v>
      </c>
      <c r="C516" s="68" t="n">
        <v>213</v>
      </c>
      <c r="D516" s="68" t="inlineStr">
        <is>
          <t>HpRatio</t>
        </is>
      </c>
      <c r="E516" s="68" t="n">
        <v>14499528</v>
      </c>
      <c r="F516" s="68" t="inlineStr">
        <is>
          <t>AtkRatio</t>
        </is>
      </c>
      <c r="G516" s="68" t="n">
        <v>14499528</v>
      </c>
      <c r="H516" s="68" t="inlineStr">
        <is>
          <t>DefRatio</t>
        </is>
      </c>
      <c r="I516" s="68" t="n">
        <v>14499528</v>
      </c>
    </row>
    <row r="517">
      <c r="A517" s="68">
        <f>B517&amp;TEXT(C517,"0000")</f>
        <v/>
      </c>
      <c r="B517" s="68" t="n">
        <v>102</v>
      </c>
      <c r="C517" s="68" t="n">
        <v>214</v>
      </c>
      <c r="D517" s="68" t="inlineStr">
        <is>
          <t>HpRatio</t>
        </is>
      </c>
      <c r="E517" s="68" t="n">
        <v>14604301</v>
      </c>
      <c r="F517" s="68" t="inlineStr">
        <is>
          <t>AtkRatio</t>
        </is>
      </c>
      <c r="G517" s="68" t="n">
        <v>14604301</v>
      </c>
      <c r="H517" s="68" t="inlineStr">
        <is>
          <t>DefRatio</t>
        </is>
      </c>
      <c r="I517" s="68" t="n">
        <v>14604301</v>
      </c>
    </row>
    <row r="518">
      <c r="A518" s="68">
        <f>B518&amp;TEXT(C518,"0000")</f>
        <v/>
      </c>
      <c r="B518" s="68" t="n">
        <v>102</v>
      </c>
      <c r="C518" s="68" t="n">
        <v>215</v>
      </c>
      <c r="D518" s="68" t="inlineStr">
        <is>
          <t>HpRatio</t>
        </is>
      </c>
      <c r="E518" s="68" t="n">
        <v>14709336</v>
      </c>
      <c r="F518" s="68" t="inlineStr">
        <is>
          <t>AtkRatio</t>
        </is>
      </c>
      <c r="G518" s="68" t="n">
        <v>14709336</v>
      </c>
      <c r="H518" s="68" t="inlineStr">
        <is>
          <t>DefRatio</t>
        </is>
      </c>
      <c r="I518" s="68" t="n">
        <v>14709336</v>
      </c>
    </row>
    <row r="519">
      <c r="A519" s="68">
        <f>B519&amp;TEXT(C519,"0000")</f>
        <v/>
      </c>
      <c r="B519" s="68" t="n">
        <v>102</v>
      </c>
      <c r="C519" s="68" t="n">
        <v>216</v>
      </c>
      <c r="D519" s="68" t="inlineStr">
        <is>
          <t>HpRatio</t>
        </is>
      </c>
      <c r="E519" s="68" t="n">
        <v>14814631</v>
      </c>
      <c r="F519" s="68" t="inlineStr">
        <is>
          <t>AtkRatio</t>
        </is>
      </c>
      <c r="G519" s="68" t="n">
        <v>14814631</v>
      </c>
      <c r="H519" s="68" t="inlineStr">
        <is>
          <t>DefRatio</t>
        </is>
      </c>
      <c r="I519" s="68" t="n">
        <v>14814631</v>
      </c>
    </row>
    <row r="520">
      <c r="A520" s="68">
        <f>B520&amp;TEXT(C520,"0000")</f>
        <v/>
      </c>
      <c r="B520" s="68" t="n">
        <v>102</v>
      </c>
      <c r="C520" s="68" t="n">
        <v>217</v>
      </c>
      <c r="D520" s="68" t="inlineStr">
        <is>
          <t>HpRatio</t>
        </is>
      </c>
      <c r="E520" s="68" t="n">
        <v>14920186</v>
      </c>
      <c r="F520" s="68" t="inlineStr">
        <is>
          <t>AtkRatio</t>
        </is>
      </c>
      <c r="G520" s="68" t="n">
        <v>14920186</v>
      </c>
      <c r="H520" s="68" t="inlineStr">
        <is>
          <t>DefRatio</t>
        </is>
      </c>
      <c r="I520" s="68" t="n">
        <v>14920186</v>
      </c>
    </row>
    <row r="521">
      <c r="A521" s="68">
        <f>B521&amp;TEXT(C521,"0000")</f>
        <v/>
      </c>
      <c r="B521" s="68" t="n">
        <v>102</v>
      </c>
      <c r="C521" s="68" t="n">
        <v>218</v>
      </c>
      <c r="D521" s="68" t="inlineStr">
        <is>
          <t>HpRatio</t>
        </is>
      </c>
      <c r="E521" s="68" t="n">
        <v>15026000</v>
      </c>
      <c r="F521" s="68" t="inlineStr">
        <is>
          <t>AtkRatio</t>
        </is>
      </c>
      <c r="G521" s="68" t="n">
        <v>15026000</v>
      </c>
      <c r="H521" s="68" t="inlineStr">
        <is>
          <t>DefRatio</t>
        </is>
      </c>
      <c r="I521" s="68" t="n">
        <v>15026000</v>
      </c>
    </row>
    <row r="522">
      <c r="A522" s="68">
        <f>B522&amp;TEXT(C522,"0000")</f>
        <v/>
      </c>
      <c r="B522" s="68" t="n">
        <v>102</v>
      </c>
      <c r="C522" s="68" t="n">
        <v>219</v>
      </c>
      <c r="D522" s="68" t="inlineStr">
        <is>
          <t>HpRatio</t>
        </is>
      </c>
      <c r="E522" s="68" t="n">
        <v>15132073</v>
      </c>
      <c r="F522" s="68" t="inlineStr">
        <is>
          <t>AtkRatio</t>
        </is>
      </c>
      <c r="G522" s="68" t="n">
        <v>15132073</v>
      </c>
      <c r="H522" s="68" t="inlineStr">
        <is>
          <t>DefRatio</t>
        </is>
      </c>
      <c r="I522" s="68" t="n">
        <v>15132073</v>
      </c>
    </row>
    <row r="523">
      <c r="A523" s="68">
        <f>B523&amp;TEXT(C523,"0000")</f>
        <v/>
      </c>
      <c r="B523" s="68" t="n">
        <v>102</v>
      </c>
      <c r="C523" s="68" t="n">
        <v>220</v>
      </c>
      <c r="D523" s="68" t="inlineStr">
        <is>
          <t>HpRatio</t>
        </is>
      </c>
      <c r="E523" s="68" t="n">
        <v>15238404</v>
      </c>
      <c r="F523" s="68" t="inlineStr">
        <is>
          <t>AtkRatio</t>
        </is>
      </c>
      <c r="G523" s="68" t="n">
        <v>15238404</v>
      </c>
      <c r="H523" s="68" t="inlineStr">
        <is>
          <t>DefRatio</t>
        </is>
      </c>
      <c r="I523" s="68" t="n">
        <v>15238404</v>
      </c>
    </row>
    <row r="524">
      <c r="A524" s="68">
        <f>B524&amp;TEXT(C524,"0000")</f>
        <v/>
      </c>
      <c r="B524" s="68" t="n">
        <v>102</v>
      </c>
      <c r="C524" s="68" t="n">
        <v>221</v>
      </c>
      <c r="D524" s="68" t="inlineStr">
        <is>
          <t>HpRatio</t>
        </is>
      </c>
      <c r="E524" s="68" t="n">
        <v>15344993</v>
      </c>
      <c r="F524" s="68" t="inlineStr">
        <is>
          <t>AtkRatio</t>
        </is>
      </c>
      <c r="G524" s="68" t="n">
        <v>15344993</v>
      </c>
      <c r="H524" s="68" t="inlineStr">
        <is>
          <t>DefRatio</t>
        </is>
      </c>
      <c r="I524" s="68" t="n">
        <v>15344993</v>
      </c>
    </row>
    <row r="525">
      <c r="A525" s="68">
        <f>B525&amp;TEXT(C525,"0000")</f>
        <v/>
      </c>
      <c r="B525" s="68" t="n">
        <v>102</v>
      </c>
      <c r="C525" s="68" t="n">
        <v>222</v>
      </c>
      <c r="D525" s="68" t="inlineStr">
        <is>
          <t>HpRatio</t>
        </is>
      </c>
      <c r="E525" s="68" t="n">
        <v>15451839</v>
      </c>
      <c r="F525" s="68" t="inlineStr">
        <is>
          <t>AtkRatio</t>
        </is>
      </c>
      <c r="G525" s="68" t="n">
        <v>15451839</v>
      </c>
      <c r="H525" s="68" t="inlineStr">
        <is>
          <t>DefRatio</t>
        </is>
      </c>
      <c r="I525" s="68" t="n">
        <v>15451839</v>
      </c>
    </row>
    <row r="526">
      <c r="A526" s="68">
        <f>B526&amp;TEXT(C526,"0000")</f>
        <v/>
      </c>
      <c r="B526" s="68" t="n">
        <v>102</v>
      </c>
      <c r="C526" s="68" t="n">
        <v>223</v>
      </c>
      <c r="D526" s="68" t="inlineStr">
        <is>
          <t>HpRatio</t>
        </is>
      </c>
      <c r="E526" s="68" t="n">
        <v>15558941</v>
      </c>
      <c r="F526" s="68" t="inlineStr">
        <is>
          <t>AtkRatio</t>
        </is>
      </c>
      <c r="G526" s="68" t="n">
        <v>15558941</v>
      </c>
      <c r="H526" s="68" t="inlineStr">
        <is>
          <t>DefRatio</t>
        </is>
      </c>
      <c r="I526" s="68" t="n">
        <v>15558941</v>
      </c>
    </row>
    <row r="527">
      <c r="A527" s="68">
        <f>B527&amp;TEXT(C527,"0000")</f>
        <v/>
      </c>
      <c r="B527" s="68" t="n">
        <v>102</v>
      </c>
      <c r="C527" s="68" t="n">
        <v>224</v>
      </c>
      <c r="D527" s="68" t="inlineStr">
        <is>
          <t>HpRatio</t>
        </is>
      </c>
      <c r="E527" s="68" t="n">
        <v>15666300</v>
      </c>
      <c r="F527" s="68" t="inlineStr">
        <is>
          <t>AtkRatio</t>
        </is>
      </c>
      <c r="G527" s="68" t="n">
        <v>15666300</v>
      </c>
      <c r="H527" s="68" t="inlineStr">
        <is>
          <t>DefRatio</t>
        </is>
      </c>
      <c r="I527" s="68" t="n">
        <v>15666300</v>
      </c>
    </row>
    <row r="528">
      <c r="A528" s="68">
        <f>B528&amp;TEXT(C528,"0000")</f>
        <v/>
      </c>
      <c r="B528" s="68" t="n">
        <v>102</v>
      </c>
      <c r="C528" s="68" t="n">
        <v>225</v>
      </c>
      <c r="D528" s="68" t="inlineStr">
        <is>
          <t>HpRatio</t>
        </is>
      </c>
      <c r="E528" s="68" t="n">
        <v>15773914</v>
      </c>
      <c r="F528" s="68" t="inlineStr">
        <is>
          <t>AtkRatio</t>
        </is>
      </c>
      <c r="G528" s="68" t="n">
        <v>15773914</v>
      </c>
      <c r="H528" s="68" t="inlineStr">
        <is>
          <t>DefRatio</t>
        </is>
      </c>
      <c r="I528" s="68" t="n">
        <v>15773914</v>
      </c>
    </row>
    <row r="529">
      <c r="A529" s="68">
        <f>B529&amp;TEXT(C529,"0000")</f>
        <v/>
      </c>
      <c r="B529" s="68" t="n">
        <v>102</v>
      </c>
      <c r="C529" s="68" t="n">
        <v>226</v>
      </c>
      <c r="D529" s="68" t="inlineStr">
        <is>
          <t>HpRatio</t>
        </is>
      </c>
      <c r="E529" s="68" t="n">
        <v>15881782</v>
      </c>
      <c r="F529" s="68" t="inlineStr">
        <is>
          <t>AtkRatio</t>
        </is>
      </c>
      <c r="G529" s="68" t="n">
        <v>15881782</v>
      </c>
      <c r="H529" s="68" t="inlineStr">
        <is>
          <t>DefRatio</t>
        </is>
      </c>
      <c r="I529" s="68" t="n">
        <v>15881782</v>
      </c>
    </row>
    <row r="530">
      <c r="A530" s="68">
        <f>B530&amp;TEXT(C530,"0000")</f>
        <v/>
      </c>
      <c r="B530" s="68" t="n">
        <v>102</v>
      </c>
      <c r="C530" s="68" t="n">
        <v>227</v>
      </c>
      <c r="D530" s="68" t="inlineStr">
        <is>
          <t>HpRatio</t>
        </is>
      </c>
      <c r="E530" s="68" t="n">
        <v>15989906</v>
      </c>
      <c r="F530" s="68" t="inlineStr">
        <is>
          <t>AtkRatio</t>
        </is>
      </c>
      <c r="G530" s="68" t="n">
        <v>15989906</v>
      </c>
      <c r="H530" s="68" t="inlineStr">
        <is>
          <t>DefRatio</t>
        </is>
      </c>
      <c r="I530" s="68" t="n">
        <v>15989906</v>
      </c>
    </row>
    <row r="531">
      <c r="A531" s="68">
        <f>B531&amp;TEXT(C531,"0000")</f>
        <v/>
      </c>
      <c r="B531" s="68" t="n">
        <v>102</v>
      </c>
      <c r="C531" s="68" t="n">
        <v>228</v>
      </c>
      <c r="D531" s="68" t="inlineStr">
        <is>
          <t>HpRatio</t>
        </is>
      </c>
      <c r="E531" s="68" t="n">
        <v>16098283</v>
      </c>
      <c r="F531" s="68" t="inlineStr">
        <is>
          <t>AtkRatio</t>
        </is>
      </c>
      <c r="G531" s="68" t="n">
        <v>16098283</v>
      </c>
      <c r="H531" s="68" t="inlineStr">
        <is>
          <t>DefRatio</t>
        </is>
      </c>
      <c r="I531" s="68" t="n">
        <v>16098283</v>
      </c>
    </row>
    <row r="532">
      <c r="A532" s="68">
        <f>B532&amp;TEXT(C532,"0000")</f>
        <v/>
      </c>
      <c r="B532" s="68" t="n">
        <v>102</v>
      </c>
      <c r="C532" s="68" t="n">
        <v>229</v>
      </c>
      <c r="D532" s="68" t="inlineStr">
        <is>
          <t>HpRatio</t>
        </is>
      </c>
      <c r="E532" s="68" t="n">
        <v>16206913</v>
      </c>
      <c r="F532" s="68" t="inlineStr">
        <is>
          <t>AtkRatio</t>
        </is>
      </c>
      <c r="G532" s="68" t="n">
        <v>16206913</v>
      </c>
      <c r="H532" s="68" t="inlineStr">
        <is>
          <t>DefRatio</t>
        </is>
      </c>
      <c r="I532" s="68" t="n">
        <v>16206913</v>
      </c>
    </row>
    <row r="533">
      <c r="A533" s="68">
        <f>B533&amp;TEXT(C533,"0000")</f>
        <v/>
      </c>
      <c r="B533" s="68" t="n">
        <v>102</v>
      </c>
      <c r="C533" s="68" t="n">
        <v>230</v>
      </c>
      <c r="D533" s="68" t="inlineStr">
        <is>
          <t>HpRatio</t>
        </is>
      </c>
      <c r="E533" s="68" t="n">
        <v>16315796</v>
      </c>
      <c r="F533" s="68" t="inlineStr">
        <is>
          <t>AtkRatio</t>
        </is>
      </c>
      <c r="G533" s="68" t="n">
        <v>16315796</v>
      </c>
      <c r="H533" s="68" t="inlineStr">
        <is>
          <t>DefRatio</t>
        </is>
      </c>
      <c r="I533" s="68" t="n">
        <v>16315796</v>
      </c>
    </row>
    <row r="534">
      <c r="A534" s="68">
        <f>B534&amp;TEXT(C534,"0000")</f>
        <v/>
      </c>
      <c r="B534" s="68" t="n">
        <v>102</v>
      </c>
      <c r="C534" s="68" t="n">
        <v>231</v>
      </c>
      <c r="D534" s="68" t="inlineStr">
        <is>
          <t>HpRatio</t>
        </is>
      </c>
      <c r="E534" s="68" t="n">
        <v>16424932</v>
      </c>
      <c r="F534" s="68" t="inlineStr">
        <is>
          <t>AtkRatio</t>
        </is>
      </c>
      <c r="G534" s="68" t="n">
        <v>16424932</v>
      </c>
      <c r="H534" s="68" t="inlineStr">
        <is>
          <t>DefRatio</t>
        </is>
      </c>
      <c r="I534" s="68" t="n">
        <v>16424932</v>
      </c>
    </row>
    <row r="535">
      <c r="A535" s="68">
        <f>B535&amp;TEXT(C535,"0000")</f>
        <v/>
      </c>
      <c r="B535" s="68" t="n">
        <v>102</v>
      </c>
      <c r="C535" s="68" t="n">
        <v>232</v>
      </c>
      <c r="D535" s="68" t="inlineStr">
        <is>
          <t>HpRatio</t>
        </is>
      </c>
      <c r="E535" s="68" t="n">
        <v>16534319</v>
      </c>
      <c r="F535" s="68" t="inlineStr">
        <is>
          <t>AtkRatio</t>
        </is>
      </c>
      <c r="G535" s="68" t="n">
        <v>16534319</v>
      </c>
      <c r="H535" s="68" t="inlineStr">
        <is>
          <t>DefRatio</t>
        </is>
      </c>
      <c r="I535" s="68" t="n">
        <v>16534319</v>
      </c>
    </row>
    <row r="536">
      <c r="A536" s="68">
        <f>B536&amp;TEXT(C536,"0000")</f>
        <v/>
      </c>
      <c r="B536" s="68" t="n">
        <v>102</v>
      </c>
      <c r="C536" s="68" t="n">
        <v>233</v>
      </c>
      <c r="D536" s="68" t="inlineStr">
        <is>
          <t>HpRatio</t>
        </is>
      </c>
      <c r="E536" s="68" t="n">
        <v>16643958</v>
      </c>
      <c r="F536" s="68" t="inlineStr">
        <is>
          <t>AtkRatio</t>
        </is>
      </c>
      <c r="G536" s="68" t="n">
        <v>16643958</v>
      </c>
      <c r="H536" s="68" t="inlineStr">
        <is>
          <t>DefRatio</t>
        </is>
      </c>
      <c r="I536" s="68" t="n">
        <v>16643958</v>
      </c>
    </row>
    <row r="537">
      <c r="A537" s="68">
        <f>B537&amp;TEXT(C537,"0000")</f>
        <v/>
      </c>
      <c r="B537" s="68" t="n">
        <v>102</v>
      </c>
      <c r="C537" s="68" t="n">
        <v>234</v>
      </c>
      <c r="D537" s="68" t="inlineStr">
        <is>
          <t>HpRatio</t>
        </is>
      </c>
      <c r="E537" s="68" t="n">
        <v>16753847</v>
      </c>
      <c r="F537" s="68" t="inlineStr">
        <is>
          <t>AtkRatio</t>
        </is>
      </c>
      <c r="G537" s="68" t="n">
        <v>16753847</v>
      </c>
      <c r="H537" s="68" t="inlineStr">
        <is>
          <t>DefRatio</t>
        </is>
      </c>
      <c r="I537" s="68" t="n">
        <v>16753847</v>
      </c>
    </row>
    <row r="538">
      <c r="A538" s="68">
        <f>B538&amp;TEXT(C538,"0000")</f>
        <v/>
      </c>
      <c r="B538" s="68" t="n">
        <v>102</v>
      </c>
      <c r="C538" s="68" t="n">
        <v>235</v>
      </c>
      <c r="D538" s="68" t="inlineStr">
        <is>
          <t>HpRatio</t>
        </is>
      </c>
      <c r="E538" s="68" t="n">
        <v>16863987</v>
      </c>
      <c r="F538" s="68" t="inlineStr">
        <is>
          <t>AtkRatio</t>
        </is>
      </c>
      <c r="G538" s="68" t="n">
        <v>16863987</v>
      </c>
      <c r="H538" s="68" t="inlineStr">
        <is>
          <t>DefRatio</t>
        </is>
      </c>
      <c r="I538" s="68" t="n">
        <v>16863987</v>
      </c>
    </row>
    <row r="539">
      <c r="A539" s="68">
        <f>B539&amp;TEXT(C539,"0000")</f>
        <v/>
      </c>
      <c r="B539" s="68" t="n">
        <v>102</v>
      </c>
      <c r="C539" s="68" t="n">
        <v>236</v>
      </c>
      <c r="D539" s="68" t="inlineStr">
        <is>
          <t>HpRatio</t>
        </is>
      </c>
      <c r="E539" s="68" t="n">
        <v>16974376</v>
      </c>
      <c r="F539" s="68" t="inlineStr">
        <is>
          <t>AtkRatio</t>
        </is>
      </c>
      <c r="G539" s="68" t="n">
        <v>16974376</v>
      </c>
      <c r="H539" s="68" t="inlineStr">
        <is>
          <t>DefRatio</t>
        </is>
      </c>
      <c r="I539" s="68" t="n">
        <v>16974376</v>
      </c>
    </row>
    <row r="540">
      <c r="A540" s="68">
        <f>B540&amp;TEXT(C540,"0000")</f>
        <v/>
      </c>
      <c r="B540" s="68" t="n">
        <v>102</v>
      </c>
      <c r="C540" s="68" t="n">
        <v>237</v>
      </c>
      <c r="D540" s="68" t="inlineStr">
        <is>
          <t>HpRatio</t>
        </is>
      </c>
      <c r="E540" s="68" t="n">
        <v>17085015</v>
      </c>
      <c r="F540" s="68" t="inlineStr">
        <is>
          <t>AtkRatio</t>
        </is>
      </c>
      <c r="G540" s="68" t="n">
        <v>17085015</v>
      </c>
      <c r="H540" s="68" t="inlineStr">
        <is>
          <t>DefRatio</t>
        </is>
      </c>
      <c r="I540" s="68" t="n">
        <v>17085015</v>
      </c>
    </row>
    <row r="541">
      <c r="A541" s="68">
        <f>B541&amp;TEXT(C541,"0000")</f>
        <v/>
      </c>
      <c r="B541" s="68" t="n">
        <v>102</v>
      </c>
      <c r="C541" s="68" t="n">
        <v>238</v>
      </c>
      <c r="D541" s="68" t="inlineStr">
        <is>
          <t>HpRatio</t>
        </is>
      </c>
      <c r="E541" s="68" t="n">
        <v>17195902</v>
      </c>
      <c r="F541" s="68" t="inlineStr">
        <is>
          <t>AtkRatio</t>
        </is>
      </c>
      <c r="G541" s="68" t="n">
        <v>17195902</v>
      </c>
      <c r="H541" s="68" t="inlineStr">
        <is>
          <t>DefRatio</t>
        </is>
      </c>
      <c r="I541" s="68" t="n">
        <v>17195902</v>
      </c>
    </row>
    <row r="542">
      <c r="A542" s="68">
        <f>B542&amp;TEXT(C542,"0000")</f>
        <v/>
      </c>
      <c r="B542" s="68" t="n">
        <v>102</v>
      </c>
      <c r="C542" s="68" t="n">
        <v>239</v>
      </c>
      <c r="D542" s="68" t="inlineStr">
        <is>
          <t>HpRatio</t>
        </is>
      </c>
      <c r="E542" s="68" t="n">
        <v>17307038</v>
      </c>
      <c r="F542" s="68" t="inlineStr">
        <is>
          <t>AtkRatio</t>
        </is>
      </c>
      <c r="G542" s="68" t="n">
        <v>17307038</v>
      </c>
      <c r="H542" s="68" t="inlineStr">
        <is>
          <t>DefRatio</t>
        </is>
      </c>
      <c r="I542" s="68" t="n">
        <v>17307038</v>
      </c>
    </row>
    <row r="543">
      <c r="A543" s="68">
        <f>B543&amp;TEXT(C543,"0000")</f>
        <v/>
      </c>
      <c r="B543" s="68" t="n">
        <v>102</v>
      </c>
      <c r="C543" s="68" t="n">
        <v>240</v>
      </c>
      <c r="D543" s="68" t="inlineStr">
        <is>
          <t>HpRatio</t>
        </is>
      </c>
      <c r="E543" s="68" t="n">
        <v>17418421</v>
      </c>
      <c r="F543" s="68" t="inlineStr">
        <is>
          <t>AtkRatio</t>
        </is>
      </c>
      <c r="G543" s="68" t="n">
        <v>17418421</v>
      </c>
      <c r="H543" s="68" t="inlineStr">
        <is>
          <t>DefRatio</t>
        </is>
      </c>
      <c r="I543" s="68" t="n">
        <v>17418421</v>
      </c>
    </row>
    <row r="544">
      <c r="A544" s="68">
        <f>B544&amp;TEXT(C544,"0000")</f>
        <v/>
      </c>
      <c r="B544" s="68" t="n">
        <v>102</v>
      </c>
      <c r="C544" s="68" t="n">
        <v>241</v>
      </c>
      <c r="D544" s="68" t="inlineStr">
        <is>
          <t>HpRatio</t>
        </is>
      </c>
      <c r="E544" s="68" t="n">
        <v>17530051</v>
      </c>
      <c r="F544" s="68" t="inlineStr">
        <is>
          <t>AtkRatio</t>
        </is>
      </c>
      <c r="G544" s="68" t="n">
        <v>17530051</v>
      </c>
      <c r="H544" s="68" t="inlineStr">
        <is>
          <t>DefRatio</t>
        </is>
      </c>
      <c r="I544" s="68" t="n">
        <v>17530051</v>
      </c>
    </row>
    <row r="545">
      <c r="A545" s="68">
        <f>B545&amp;TEXT(C545,"0000")</f>
        <v/>
      </c>
      <c r="B545" s="68" t="n">
        <v>102</v>
      </c>
      <c r="C545" s="68" t="n">
        <v>242</v>
      </c>
      <c r="D545" s="68" t="inlineStr">
        <is>
          <t>HpRatio</t>
        </is>
      </c>
      <c r="E545" s="68" t="n">
        <v>17641929</v>
      </c>
      <c r="F545" s="68" t="inlineStr">
        <is>
          <t>AtkRatio</t>
        </is>
      </c>
      <c r="G545" s="68" t="n">
        <v>17641929</v>
      </c>
      <c r="H545" s="68" t="inlineStr">
        <is>
          <t>DefRatio</t>
        </is>
      </c>
      <c r="I545" s="68" t="n">
        <v>17641929</v>
      </c>
    </row>
    <row r="546">
      <c r="A546" s="68">
        <f>B546&amp;TEXT(C546,"0000")</f>
        <v/>
      </c>
      <c r="B546" s="68" t="n">
        <v>102</v>
      </c>
      <c r="C546" s="68" t="n">
        <v>243</v>
      </c>
      <c r="D546" s="68" t="inlineStr">
        <is>
          <t>HpRatio</t>
        </is>
      </c>
      <c r="E546" s="68" t="n">
        <v>17754053</v>
      </c>
      <c r="F546" s="68" t="inlineStr">
        <is>
          <t>AtkRatio</t>
        </is>
      </c>
      <c r="G546" s="68" t="n">
        <v>17754053</v>
      </c>
      <c r="H546" s="68" t="inlineStr">
        <is>
          <t>DefRatio</t>
        </is>
      </c>
      <c r="I546" s="68" t="n">
        <v>17754053</v>
      </c>
    </row>
    <row r="547">
      <c r="A547" s="68">
        <f>B547&amp;TEXT(C547,"0000")</f>
        <v/>
      </c>
      <c r="B547" s="68" t="n">
        <v>102</v>
      </c>
      <c r="C547" s="68" t="n">
        <v>244</v>
      </c>
      <c r="D547" s="68" t="inlineStr">
        <is>
          <t>HpRatio</t>
        </is>
      </c>
      <c r="E547" s="68" t="n">
        <v>17866422</v>
      </c>
      <c r="F547" s="68" t="inlineStr">
        <is>
          <t>AtkRatio</t>
        </is>
      </c>
      <c r="G547" s="68" t="n">
        <v>17866422</v>
      </c>
      <c r="H547" s="68" t="inlineStr">
        <is>
          <t>DefRatio</t>
        </is>
      </c>
      <c r="I547" s="68" t="n">
        <v>17866422</v>
      </c>
    </row>
    <row r="548">
      <c r="A548" s="68">
        <f>B548&amp;TEXT(C548,"0000")</f>
        <v/>
      </c>
      <c r="B548" s="68" t="n">
        <v>102</v>
      </c>
      <c r="C548" s="68" t="n">
        <v>245</v>
      </c>
      <c r="D548" s="68" t="inlineStr">
        <is>
          <t>HpRatio</t>
        </is>
      </c>
      <c r="E548" s="68" t="n">
        <v>17979037</v>
      </c>
      <c r="F548" s="68" t="inlineStr">
        <is>
          <t>AtkRatio</t>
        </is>
      </c>
      <c r="G548" s="68" t="n">
        <v>17979037</v>
      </c>
      <c r="H548" s="68" t="inlineStr">
        <is>
          <t>DefRatio</t>
        </is>
      </c>
      <c r="I548" s="68" t="n">
        <v>17979037</v>
      </c>
    </row>
    <row r="549">
      <c r="A549" s="68">
        <f>B549&amp;TEXT(C549,"0000")</f>
        <v/>
      </c>
      <c r="B549" s="68" t="n">
        <v>102</v>
      </c>
      <c r="C549" s="68" t="n">
        <v>246</v>
      </c>
      <c r="D549" s="68" t="inlineStr">
        <is>
          <t>HpRatio</t>
        </is>
      </c>
      <c r="E549" s="68" t="n">
        <v>18091897</v>
      </c>
      <c r="F549" s="68" t="inlineStr">
        <is>
          <t>AtkRatio</t>
        </is>
      </c>
      <c r="G549" s="68" t="n">
        <v>18091897</v>
      </c>
      <c r="H549" s="68" t="inlineStr">
        <is>
          <t>DefRatio</t>
        </is>
      </c>
      <c r="I549" s="68" t="n">
        <v>18091897</v>
      </c>
    </row>
    <row r="550">
      <c r="A550" s="68">
        <f>B550&amp;TEXT(C550,"0000")</f>
        <v/>
      </c>
      <c r="B550" s="68" t="n">
        <v>102</v>
      </c>
      <c r="C550" s="68" t="n">
        <v>247</v>
      </c>
      <c r="D550" s="68" t="inlineStr">
        <is>
          <t>HpRatio</t>
        </is>
      </c>
      <c r="E550" s="68" t="n">
        <v>18205001</v>
      </c>
      <c r="F550" s="68" t="inlineStr">
        <is>
          <t>AtkRatio</t>
        </is>
      </c>
      <c r="G550" s="68" t="n">
        <v>18205001</v>
      </c>
      <c r="H550" s="68" t="inlineStr">
        <is>
          <t>DefRatio</t>
        </is>
      </c>
      <c r="I550" s="68" t="n">
        <v>18205001</v>
      </c>
    </row>
    <row r="551">
      <c r="A551" s="68">
        <f>B551&amp;TEXT(C551,"0000")</f>
        <v/>
      </c>
      <c r="B551" s="68" t="n">
        <v>102</v>
      </c>
      <c r="C551" s="68" t="n">
        <v>248</v>
      </c>
      <c r="D551" s="68" t="inlineStr">
        <is>
          <t>HpRatio</t>
        </is>
      </c>
      <c r="E551" s="68" t="n">
        <v>18318349</v>
      </c>
      <c r="F551" s="68" t="inlineStr">
        <is>
          <t>AtkRatio</t>
        </is>
      </c>
      <c r="G551" s="68" t="n">
        <v>18318349</v>
      </c>
      <c r="H551" s="68" t="inlineStr">
        <is>
          <t>DefRatio</t>
        </is>
      </c>
      <c r="I551" s="68" t="n">
        <v>18318349</v>
      </c>
    </row>
    <row r="552">
      <c r="A552" s="68">
        <f>B552&amp;TEXT(C552,"0000")</f>
        <v/>
      </c>
      <c r="B552" s="68" t="n">
        <v>102</v>
      </c>
      <c r="C552" s="68" t="n">
        <v>249</v>
      </c>
      <c r="D552" s="68" t="inlineStr">
        <is>
          <t>HpRatio</t>
        </is>
      </c>
      <c r="E552" s="68" t="n">
        <v>18431941</v>
      </c>
      <c r="F552" s="68" t="inlineStr">
        <is>
          <t>AtkRatio</t>
        </is>
      </c>
      <c r="G552" s="68" t="n">
        <v>18431941</v>
      </c>
      <c r="H552" s="68" t="inlineStr">
        <is>
          <t>DefRatio</t>
        </is>
      </c>
      <c r="I552" s="68" t="n">
        <v>18431941</v>
      </c>
    </row>
    <row r="553">
      <c r="A553" s="68">
        <f>B553&amp;TEXT(C553,"0000")</f>
        <v/>
      </c>
      <c r="B553" s="68" t="n">
        <v>102</v>
      </c>
      <c r="C553" s="68" t="n">
        <v>250</v>
      </c>
      <c r="D553" s="68" t="inlineStr">
        <is>
          <t>HpRatio</t>
        </is>
      </c>
      <c r="E553" s="68" t="n">
        <v>18545775</v>
      </c>
      <c r="F553" s="68" t="inlineStr">
        <is>
          <t>AtkRatio</t>
        </is>
      </c>
      <c r="G553" s="68" t="n">
        <v>18545775</v>
      </c>
      <c r="H553" s="68" t="inlineStr">
        <is>
          <t>DefRatio</t>
        </is>
      </c>
      <c r="I553" s="68" t="n">
        <v>18545775</v>
      </c>
    </row>
    <row r="554">
      <c r="A554" s="68">
        <f>B554&amp;TEXT(C554,"0000")</f>
        <v/>
      </c>
      <c r="B554" s="68" t="n">
        <v>102</v>
      </c>
      <c r="C554" s="68" t="n">
        <v>251</v>
      </c>
      <c r="D554" s="68" t="inlineStr">
        <is>
          <t>HpRatio</t>
        </is>
      </c>
      <c r="E554" s="68" t="n">
        <v>18659852</v>
      </c>
      <c r="F554" s="68" t="inlineStr">
        <is>
          <t>AtkRatio</t>
        </is>
      </c>
      <c r="G554" s="68" t="n">
        <v>18659852</v>
      </c>
      <c r="H554" s="68" t="inlineStr">
        <is>
          <t>DefRatio</t>
        </is>
      </c>
      <c r="I554" s="68" t="n">
        <v>18659852</v>
      </c>
    </row>
    <row r="555">
      <c r="A555" s="68">
        <f>B555&amp;TEXT(C555,"0000")</f>
        <v/>
      </c>
      <c r="B555" s="68" t="n">
        <v>102</v>
      </c>
      <c r="C555" s="68" t="n">
        <v>252</v>
      </c>
      <c r="D555" s="68" t="inlineStr">
        <is>
          <t>HpRatio</t>
        </is>
      </c>
      <c r="E555" s="68" t="n">
        <v>18774172</v>
      </c>
      <c r="F555" s="68" t="inlineStr">
        <is>
          <t>AtkRatio</t>
        </is>
      </c>
      <c r="G555" s="68" t="n">
        <v>18774172</v>
      </c>
      <c r="H555" s="68" t="inlineStr">
        <is>
          <t>DefRatio</t>
        </is>
      </c>
      <c r="I555" s="68" t="n">
        <v>18774172</v>
      </c>
    </row>
    <row r="556">
      <c r="A556" s="68">
        <f>B556&amp;TEXT(C556,"0000")</f>
        <v/>
      </c>
      <c r="B556" s="68" t="n">
        <v>102</v>
      </c>
      <c r="C556" s="68" t="n">
        <v>253</v>
      </c>
      <c r="D556" s="68" t="inlineStr">
        <is>
          <t>HpRatio</t>
        </is>
      </c>
      <c r="E556" s="68" t="n">
        <v>18888733</v>
      </c>
      <c r="F556" s="68" t="inlineStr">
        <is>
          <t>AtkRatio</t>
        </is>
      </c>
      <c r="G556" s="68" t="n">
        <v>18888733</v>
      </c>
      <c r="H556" s="68" t="inlineStr">
        <is>
          <t>DefRatio</t>
        </is>
      </c>
      <c r="I556" s="68" t="n">
        <v>18888733</v>
      </c>
    </row>
    <row r="557">
      <c r="A557" s="68">
        <f>B557&amp;TEXT(C557,"0000")</f>
        <v/>
      </c>
      <c r="B557" s="68" t="n">
        <v>102</v>
      </c>
      <c r="C557" s="68" t="n">
        <v>254</v>
      </c>
      <c r="D557" s="68" t="inlineStr">
        <is>
          <t>HpRatio</t>
        </is>
      </c>
      <c r="E557" s="68" t="n">
        <v>19003535</v>
      </c>
      <c r="F557" s="68" t="inlineStr">
        <is>
          <t>AtkRatio</t>
        </is>
      </c>
      <c r="G557" s="68" t="n">
        <v>19003535</v>
      </c>
      <c r="H557" s="68" t="inlineStr">
        <is>
          <t>DefRatio</t>
        </is>
      </c>
      <c r="I557" s="68" t="n">
        <v>19003535</v>
      </c>
    </row>
    <row r="558">
      <c r="A558" s="68">
        <f>B558&amp;TEXT(C558,"0000")</f>
        <v/>
      </c>
      <c r="B558" s="68" t="n">
        <v>102</v>
      </c>
      <c r="C558" s="68" t="n">
        <v>255</v>
      </c>
      <c r="D558" s="68" t="inlineStr">
        <is>
          <t>HpRatio</t>
        </is>
      </c>
      <c r="E558" s="68" t="n">
        <v>19118578</v>
      </c>
      <c r="F558" s="68" t="inlineStr">
        <is>
          <t>AtkRatio</t>
        </is>
      </c>
      <c r="G558" s="68" t="n">
        <v>19118578</v>
      </c>
      <c r="H558" s="68" t="inlineStr">
        <is>
          <t>DefRatio</t>
        </is>
      </c>
      <c r="I558" s="68" t="n">
        <v>19118578</v>
      </c>
    </row>
    <row r="559">
      <c r="A559" s="68">
        <f>B559&amp;TEXT(C559,"0000")</f>
        <v/>
      </c>
      <c r="B559" s="68" t="n">
        <v>102</v>
      </c>
      <c r="C559" s="68" t="n">
        <v>256</v>
      </c>
      <c r="D559" s="68" t="inlineStr">
        <is>
          <t>HpRatio</t>
        </is>
      </c>
      <c r="E559" s="68" t="n">
        <v>19233861</v>
      </c>
      <c r="F559" s="68" t="inlineStr">
        <is>
          <t>AtkRatio</t>
        </is>
      </c>
      <c r="G559" s="68" t="n">
        <v>19233861</v>
      </c>
      <c r="H559" s="68" t="inlineStr">
        <is>
          <t>DefRatio</t>
        </is>
      </c>
      <c r="I559" s="68" t="n">
        <v>19233861</v>
      </c>
    </row>
    <row r="560">
      <c r="A560" s="68">
        <f>B560&amp;TEXT(C560,"0000")</f>
        <v/>
      </c>
      <c r="B560" s="68" t="n">
        <v>102</v>
      </c>
      <c r="C560" s="68" t="n">
        <v>257</v>
      </c>
      <c r="D560" s="68" t="inlineStr">
        <is>
          <t>HpRatio</t>
        </is>
      </c>
      <c r="E560" s="68" t="n">
        <v>19349384</v>
      </c>
      <c r="F560" s="68" t="inlineStr">
        <is>
          <t>AtkRatio</t>
        </is>
      </c>
      <c r="G560" s="68" t="n">
        <v>19349384</v>
      </c>
      <c r="H560" s="68" t="inlineStr">
        <is>
          <t>DefRatio</t>
        </is>
      </c>
      <c r="I560" s="68" t="n">
        <v>19349384</v>
      </c>
    </row>
    <row r="561">
      <c r="A561" s="68">
        <f>B561&amp;TEXT(C561,"0000")</f>
        <v/>
      </c>
      <c r="B561" s="68" t="n">
        <v>102</v>
      </c>
      <c r="C561" s="68" t="n">
        <v>258</v>
      </c>
      <c r="D561" s="68" t="inlineStr">
        <is>
          <t>HpRatio</t>
        </is>
      </c>
      <c r="E561" s="68" t="n">
        <v>19465146</v>
      </c>
      <c r="F561" s="68" t="inlineStr">
        <is>
          <t>AtkRatio</t>
        </is>
      </c>
      <c r="G561" s="68" t="n">
        <v>19465146</v>
      </c>
      <c r="H561" s="68" t="inlineStr">
        <is>
          <t>DefRatio</t>
        </is>
      </c>
      <c r="I561" s="68" t="n">
        <v>19465146</v>
      </c>
    </row>
    <row r="562">
      <c r="A562" s="68">
        <f>B562&amp;TEXT(C562,"0000")</f>
        <v/>
      </c>
      <c r="B562" s="68" t="n">
        <v>102</v>
      </c>
      <c r="C562" s="68" t="n">
        <v>259</v>
      </c>
      <c r="D562" s="68" t="inlineStr">
        <is>
          <t>HpRatio</t>
        </is>
      </c>
      <c r="E562" s="68" t="n">
        <v>19581148</v>
      </c>
      <c r="F562" s="68" t="inlineStr">
        <is>
          <t>AtkRatio</t>
        </is>
      </c>
      <c r="G562" s="68" t="n">
        <v>19581148</v>
      </c>
      <c r="H562" s="68" t="inlineStr">
        <is>
          <t>DefRatio</t>
        </is>
      </c>
      <c r="I562" s="68" t="n">
        <v>19581148</v>
      </c>
    </row>
    <row r="563">
      <c r="A563" s="68">
        <f>B563&amp;TEXT(C563,"0000")</f>
        <v/>
      </c>
      <c r="B563" s="68" t="n">
        <v>102</v>
      </c>
      <c r="C563" s="68" t="n">
        <v>260</v>
      </c>
      <c r="D563" s="68" t="inlineStr">
        <is>
          <t>HpRatio</t>
        </is>
      </c>
      <c r="E563" s="68" t="n">
        <v>19697388</v>
      </c>
      <c r="F563" s="68" t="inlineStr">
        <is>
          <t>AtkRatio</t>
        </is>
      </c>
      <c r="G563" s="68" t="n">
        <v>19697388</v>
      </c>
      <c r="H563" s="68" t="inlineStr">
        <is>
          <t>DefRatio</t>
        </is>
      </c>
      <c r="I563" s="68" t="n">
        <v>19697388</v>
      </c>
    </row>
    <row r="564">
      <c r="A564" s="68">
        <f>B564&amp;TEXT(C564,"0000")</f>
        <v/>
      </c>
      <c r="B564" s="68" t="n">
        <v>102</v>
      </c>
      <c r="C564" s="68" t="n">
        <v>261</v>
      </c>
      <c r="D564" s="68" t="inlineStr">
        <is>
          <t>HpRatio</t>
        </is>
      </c>
      <c r="E564" s="68" t="n">
        <v>19813866</v>
      </c>
      <c r="F564" s="68" t="inlineStr">
        <is>
          <t>AtkRatio</t>
        </is>
      </c>
      <c r="G564" s="68" t="n">
        <v>19813866</v>
      </c>
      <c r="H564" s="68" t="inlineStr">
        <is>
          <t>DefRatio</t>
        </is>
      </c>
      <c r="I564" s="68" t="n">
        <v>19813866</v>
      </c>
    </row>
    <row r="565">
      <c r="A565" s="68">
        <f>B565&amp;TEXT(C565,"0000")</f>
        <v/>
      </c>
      <c r="B565" s="68" t="n">
        <v>102</v>
      </c>
      <c r="C565" s="68" t="n">
        <v>262</v>
      </c>
      <c r="D565" s="68" t="inlineStr">
        <is>
          <t>HpRatio</t>
        </is>
      </c>
      <c r="E565" s="68" t="n">
        <v>19930581</v>
      </c>
      <c r="F565" s="68" t="inlineStr">
        <is>
          <t>AtkRatio</t>
        </is>
      </c>
      <c r="G565" s="68" t="n">
        <v>19930581</v>
      </c>
      <c r="H565" s="68" t="inlineStr">
        <is>
          <t>DefRatio</t>
        </is>
      </c>
      <c r="I565" s="68" t="n">
        <v>19930581</v>
      </c>
    </row>
    <row r="566">
      <c r="A566" s="68">
        <f>B566&amp;TEXT(C566,"0000")</f>
        <v/>
      </c>
      <c r="B566" s="68" t="n">
        <v>102</v>
      </c>
      <c r="C566" s="68" t="n">
        <v>263</v>
      </c>
      <c r="D566" s="68" t="inlineStr">
        <is>
          <t>HpRatio</t>
        </is>
      </c>
      <c r="E566" s="68" t="n">
        <v>20047534</v>
      </c>
      <c r="F566" s="68" t="inlineStr">
        <is>
          <t>AtkRatio</t>
        </is>
      </c>
      <c r="G566" s="68" t="n">
        <v>20047534</v>
      </c>
      <c r="H566" s="68" t="inlineStr">
        <is>
          <t>DefRatio</t>
        </is>
      </c>
      <c r="I566" s="68" t="n">
        <v>20047534</v>
      </c>
    </row>
    <row r="567">
      <c r="A567" s="68">
        <f>B567&amp;TEXT(C567,"0000")</f>
        <v/>
      </c>
      <c r="B567" s="68" t="n">
        <v>102</v>
      </c>
      <c r="C567" s="68" t="n">
        <v>264</v>
      </c>
      <c r="D567" s="68" t="inlineStr">
        <is>
          <t>HpRatio</t>
        </is>
      </c>
      <c r="E567" s="68" t="n">
        <v>20164724</v>
      </c>
      <c r="F567" s="68" t="inlineStr">
        <is>
          <t>AtkRatio</t>
        </is>
      </c>
      <c r="G567" s="68" t="n">
        <v>20164724</v>
      </c>
      <c r="H567" s="68" t="inlineStr">
        <is>
          <t>DefRatio</t>
        </is>
      </c>
      <c r="I567" s="68" t="n">
        <v>20164724</v>
      </c>
    </row>
    <row r="568">
      <c r="A568" s="68">
        <f>B568&amp;TEXT(C568,"0000")</f>
        <v/>
      </c>
      <c r="B568" s="68" t="n">
        <v>102</v>
      </c>
      <c r="C568" s="68" t="n">
        <v>265</v>
      </c>
      <c r="D568" s="68" t="inlineStr">
        <is>
          <t>HpRatio</t>
        </is>
      </c>
      <c r="E568" s="68" t="n">
        <v>20282150</v>
      </c>
      <c r="F568" s="68" t="inlineStr">
        <is>
          <t>AtkRatio</t>
        </is>
      </c>
      <c r="G568" s="68" t="n">
        <v>20282150</v>
      </c>
      <c r="H568" s="68" t="inlineStr">
        <is>
          <t>DefRatio</t>
        </is>
      </c>
      <c r="I568" s="68" t="n">
        <v>20282150</v>
      </c>
    </row>
    <row r="569">
      <c r="A569" s="68">
        <f>B569&amp;TEXT(C569,"0000")</f>
        <v/>
      </c>
      <c r="B569" s="68" t="n">
        <v>102</v>
      </c>
      <c r="C569" s="68" t="n">
        <v>266</v>
      </c>
      <c r="D569" s="68" t="inlineStr">
        <is>
          <t>HpRatio</t>
        </is>
      </c>
      <c r="E569" s="68" t="n">
        <v>20399813</v>
      </c>
      <c r="F569" s="68" t="inlineStr">
        <is>
          <t>AtkRatio</t>
        </is>
      </c>
      <c r="G569" s="68" t="n">
        <v>20399813</v>
      </c>
      <c r="H569" s="68" t="inlineStr">
        <is>
          <t>DefRatio</t>
        </is>
      </c>
      <c r="I569" s="68" t="n">
        <v>20399813</v>
      </c>
    </row>
    <row r="570">
      <c r="A570" s="68">
        <f>B570&amp;TEXT(C570,"0000")</f>
        <v/>
      </c>
      <c r="B570" s="68" t="n">
        <v>102</v>
      </c>
      <c r="C570" s="68" t="n">
        <v>267</v>
      </c>
      <c r="D570" s="68" t="inlineStr">
        <is>
          <t>HpRatio</t>
        </is>
      </c>
      <c r="E570" s="68" t="n">
        <v>20517710</v>
      </c>
      <c r="F570" s="68" t="inlineStr">
        <is>
          <t>AtkRatio</t>
        </is>
      </c>
      <c r="G570" s="68" t="n">
        <v>20517710</v>
      </c>
      <c r="H570" s="68" t="inlineStr">
        <is>
          <t>DefRatio</t>
        </is>
      </c>
      <c r="I570" s="68" t="n">
        <v>20517710</v>
      </c>
    </row>
    <row r="571">
      <c r="A571" s="68">
        <f>B571&amp;TEXT(C571,"0000")</f>
        <v/>
      </c>
      <c r="B571" s="68" t="n">
        <v>102</v>
      </c>
      <c r="C571" s="68" t="n">
        <v>268</v>
      </c>
      <c r="D571" s="68" t="inlineStr">
        <is>
          <t>HpRatio</t>
        </is>
      </c>
      <c r="E571" s="68" t="n">
        <v>20635843</v>
      </c>
      <c r="F571" s="68" t="inlineStr">
        <is>
          <t>AtkRatio</t>
        </is>
      </c>
      <c r="G571" s="68" t="n">
        <v>20635843</v>
      </c>
      <c r="H571" s="68" t="inlineStr">
        <is>
          <t>DefRatio</t>
        </is>
      </c>
      <c r="I571" s="68" t="n">
        <v>20635843</v>
      </c>
    </row>
    <row r="572">
      <c r="A572" s="68">
        <f>B572&amp;TEXT(C572,"0000")</f>
        <v/>
      </c>
      <c r="B572" s="68" t="n">
        <v>102</v>
      </c>
      <c r="C572" s="68" t="n">
        <v>269</v>
      </c>
      <c r="D572" s="68" t="inlineStr">
        <is>
          <t>HpRatio</t>
        </is>
      </c>
      <c r="E572" s="68" t="n">
        <v>20754211</v>
      </c>
      <c r="F572" s="68" t="inlineStr">
        <is>
          <t>AtkRatio</t>
        </is>
      </c>
      <c r="G572" s="68" t="n">
        <v>20754211</v>
      </c>
      <c r="H572" s="68" t="inlineStr">
        <is>
          <t>DefRatio</t>
        </is>
      </c>
      <c r="I572" s="68" t="n">
        <v>20754211</v>
      </c>
    </row>
    <row r="573">
      <c r="A573" s="68">
        <f>B573&amp;TEXT(C573,"0000")</f>
        <v/>
      </c>
      <c r="B573" s="68" t="n">
        <v>102</v>
      </c>
      <c r="C573" s="68" t="n">
        <v>270</v>
      </c>
      <c r="D573" s="68" t="inlineStr">
        <is>
          <t>HpRatio</t>
        </is>
      </c>
      <c r="E573" s="68" t="n">
        <v>20872813</v>
      </c>
      <c r="F573" s="68" t="inlineStr">
        <is>
          <t>AtkRatio</t>
        </is>
      </c>
      <c r="G573" s="68" t="n">
        <v>20872813</v>
      </c>
      <c r="H573" s="68" t="inlineStr">
        <is>
          <t>DefRatio</t>
        </is>
      </c>
      <c r="I573" s="68" t="n">
        <v>20872813</v>
      </c>
    </row>
    <row r="574">
      <c r="A574" s="68">
        <f>B574&amp;TEXT(C574,"0000")</f>
        <v/>
      </c>
      <c r="B574" s="68" t="n">
        <v>102</v>
      </c>
      <c r="C574" s="68" t="n">
        <v>271</v>
      </c>
      <c r="D574" s="68" t="inlineStr">
        <is>
          <t>HpRatio</t>
        </is>
      </c>
      <c r="E574" s="68" t="n">
        <v>20991649</v>
      </c>
      <c r="F574" s="68" t="inlineStr">
        <is>
          <t>AtkRatio</t>
        </is>
      </c>
      <c r="G574" s="68" t="n">
        <v>20991649</v>
      </c>
      <c r="H574" s="68" t="inlineStr">
        <is>
          <t>DefRatio</t>
        </is>
      </c>
      <c r="I574" s="68" t="n">
        <v>20991649</v>
      </c>
    </row>
    <row r="575">
      <c r="A575" s="68">
        <f>B575&amp;TEXT(C575,"0000")</f>
        <v/>
      </c>
      <c r="B575" s="68" t="n">
        <v>102</v>
      </c>
      <c r="C575" s="68" t="n">
        <v>272</v>
      </c>
      <c r="D575" s="68" t="inlineStr">
        <is>
          <t>HpRatio</t>
        </is>
      </c>
      <c r="E575" s="68" t="n">
        <v>21110718</v>
      </c>
      <c r="F575" s="68" t="inlineStr">
        <is>
          <t>AtkRatio</t>
        </is>
      </c>
      <c r="G575" s="68" t="n">
        <v>21110718</v>
      </c>
      <c r="H575" s="68" t="inlineStr">
        <is>
          <t>DefRatio</t>
        </is>
      </c>
      <c r="I575" s="68" t="n">
        <v>21110718</v>
      </c>
    </row>
    <row r="576">
      <c r="A576" s="68">
        <f>B576&amp;TEXT(C576,"0000")</f>
        <v/>
      </c>
      <c r="B576" s="68" t="n">
        <v>102</v>
      </c>
      <c r="C576" s="68" t="n">
        <v>273</v>
      </c>
      <c r="D576" s="68" t="inlineStr">
        <is>
          <t>HpRatio</t>
        </is>
      </c>
      <c r="E576" s="68" t="n">
        <v>21230021</v>
      </c>
      <c r="F576" s="68" t="inlineStr">
        <is>
          <t>AtkRatio</t>
        </is>
      </c>
      <c r="G576" s="68" t="n">
        <v>21230021</v>
      </c>
      <c r="H576" s="68" t="inlineStr">
        <is>
          <t>DefRatio</t>
        </is>
      </c>
      <c r="I576" s="68" t="n">
        <v>21230021</v>
      </c>
    </row>
    <row r="577">
      <c r="A577" s="68">
        <f>B577&amp;TEXT(C577,"0000")</f>
        <v/>
      </c>
      <c r="B577" s="68" t="n">
        <v>102</v>
      </c>
      <c r="C577" s="68" t="n">
        <v>274</v>
      </c>
      <c r="D577" s="68" t="inlineStr">
        <is>
          <t>HpRatio</t>
        </is>
      </c>
      <c r="E577" s="68" t="n">
        <v>21349556</v>
      </c>
      <c r="F577" s="68" t="inlineStr">
        <is>
          <t>AtkRatio</t>
        </is>
      </c>
      <c r="G577" s="68" t="n">
        <v>21349556</v>
      </c>
      <c r="H577" s="68" t="inlineStr">
        <is>
          <t>DefRatio</t>
        </is>
      </c>
      <c r="I577" s="68" t="n">
        <v>21349556</v>
      </c>
    </row>
    <row r="578">
      <c r="A578" s="68">
        <f>B578&amp;TEXT(C578,"0000")</f>
        <v/>
      </c>
      <c r="B578" s="68" t="n">
        <v>102</v>
      </c>
      <c r="C578" s="68" t="n">
        <v>275</v>
      </c>
      <c r="D578" s="68" t="inlineStr">
        <is>
          <t>HpRatio</t>
        </is>
      </c>
      <c r="E578" s="68" t="n">
        <v>21469323</v>
      </c>
      <c r="F578" s="68" t="inlineStr">
        <is>
          <t>AtkRatio</t>
        </is>
      </c>
      <c r="G578" s="68" t="n">
        <v>21469323</v>
      </c>
      <c r="H578" s="68" t="inlineStr">
        <is>
          <t>DefRatio</t>
        </is>
      </c>
      <c r="I578" s="68" t="n">
        <v>21469323</v>
      </c>
    </row>
    <row r="579">
      <c r="A579" s="68">
        <f>B579&amp;TEXT(C579,"0000")</f>
        <v/>
      </c>
      <c r="B579" s="68" t="n">
        <v>102</v>
      </c>
      <c r="C579" s="68" t="n">
        <v>276</v>
      </c>
      <c r="D579" s="68" t="inlineStr">
        <is>
          <t>HpRatio</t>
        </is>
      </c>
      <c r="E579" s="68" t="n">
        <v>21589322</v>
      </c>
      <c r="F579" s="68" t="inlineStr">
        <is>
          <t>AtkRatio</t>
        </is>
      </c>
      <c r="G579" s="68" t="n">
        <v>21589322</v>
      </c>
      <c r="H579" s="68" t="inlineStr">
        <is>
          <t>DefRatio</t>
        </is>
      </c>
      <c r="I579" s="68" t="n">
        <v>21589322</v>
      </c>
    </row>
    <row r="580">
      <c r="A580" s="68">
        <f>B580&amp;TEXT(C580,"0000")</f>
        <v/>
      </c>
      <c r="B580" s="68" t="n">
        <v>102</v>
      </c>
      <c r="C580" s="68" t="n">
        <v>277</v>
      </c>
      <c r="D580" s="68" t="inlineStr">
        <is>
          <t>HpRatio</t>
        </is>
      </c>
      <c r="E580" s="68" t="n">
        <v>21709553</v>
      </c>
      <c r="F580" s="68" t="inlineStr">
        <is>
          <t>AtkRatio</t>
        </is>
      </c>
      <c r="G580" s="68" t="n">
        <v>21709553</v>
      </c>
      <c r="H580" s="68" t="inlineStr">
        <is>
          <t>DefRatio</t>
        </is>
      </c>
      <c r="I580" s="68" t="n">
        <v>21709553</v>
      </c>
    </row>
    <row r="581">
      <c r="A581" s="68">
        <f>B581&amp;TEXT(C581,"0000")</f>
        <v/>
      </c>
      <c r="B581" s="68" t="n">
        <v>102</v>
      </c>
      <c r="C581" s="68" t="n">
        <v>278</v>
      </c>
      <c r="D581" s="68" t="inlineStr">
        <is>
          <t>HpRatio</t>
        </is>
      </c>
      <c r="E581" s="68" t="n">
        <v>21830015</v>
      </c>
      <c r="F581" s="68" t="inlineStr">
        <is>
          <t>AtkRatio</t>
        </is>
      </c>
      <c r="G581" s="68" t="n">
        <v>21830015</v>
      </c>
      <c r="H581" s="68" t="inlineStr">
        <is>
          <t>DefRatio</t>
        </is>
      </c>
      <c r="I581" s="68" t="n">
        <v>21830015</v>
      </c>
    </row>
    <row r="582">
      <c r="A582" s="68">
        <f>B582&amp;TEXT(C582,"0000")</f>
        <v/>
      </c>
      <c r="B582" s="68" t="n">
        <v>102</v>
      </c>
      <c r="C582" s="68" t="n">
        <v>279</v>
      </c>
      <c r="D582" s="68" t="inlineStr">
        <is>
          <t>HpRatio</t>
        </is>
      </c>
      <c r="E582" s="68" t="n">
        <v>21950708</v>
      </c>
      <c r="F582" s="68" t="inlineStr">
        <is>
          <t>AtkRatio</t>
        </is>
      </c>
      <c r="G582" s="68" t="n">
        <v>21950708</v>
      </c>
      <c r="H582" s="68" t="inlineStr">
        <is>
          <t>DefRatio</t>
        </is>
      </c>
      <c r="I582" s="68" t="n">
        <v>21950708</v>
      </c>
    </row>
    <row r="583">
      <c r="A583" s="68">
        <f>B583&amp;TEXT(C583,"0000")</f>
        <v/>
      </c>
      <c r="B583" s="68" t="n">
        <v>102</v>
      </c>
      <c r="C583" s="68" t="n">
        <v>280</v>
      </c>
      <c r="D583" s="68" t="inlineStr">
        <is>
          <t>HpRatio</t>
        </is>
      </c>
      <c r="E583" s="68" t="n">
        <v>22071631</v>
      </c>
      <c r="F583" s="68" t="inlineStr">
        <is>
          <t>AtkRatio</t>
        </is>
      </c>
      <c r="G583" s="68" t="n">
        <v>22071631</v>
      </c>
      <c r="H583" s="68" t="inlineStr">
        <is>
          <t>DefRatio</t>
        </is>
      </c>
      <c r="I583" s="68" t="n">
        <v>22071631</v>
      </c>
    </row>
    <row r="584">
      <c r="A584" s="68">
        <f>B584&amp;TEXT(C584,"0000")</f>
        <v/>
      </c>
      <c r="B584" s="68" t="n">
        <v>102</v>
      </c>
      <c r="C584" s="68" t="n">
        <v>281</v>
      </c>
      <c r="D584" s="68" t="inlineStr">
        <is>
          <t>HpRatio</t>
        </is>
      </c>
      <c r="E584" s="68" t="n">
        <v>22192784</v>
      </c>
      <c r="F584" s="68" t="inlineStr">
        <is>
          <t>AtkRatio</t>
        </is>
      </c>
      <c r="G584" s="68" t="n">
        <v>22192784</v>
      </c>
      <c r="H584" s="68" t="inlineStr">
        <is>
          <t>DefRatio</t>
        </is>
      </c>
      <c r="I584" s="68" t="n">
        <v>22192784</v>
      </c>
    </row>
    <row r="585">
      <c r="A585" s="68">
        <f>B585&amp;TEXT(C585,"0000")</f>
        <v/>
      </c>
      <c r="B585" s="68" t="n">
        <v>102</v>
      </c>
      <c r="C585" s="68" t="n">
        <v>282</v>
      </c>
      <c r="D585" s="68" t="inlineStr">
        <is>
          <t>HpRatio</t>
        </is>
      </c>
      <c r="E585" s="68" t="n">
        <v>22314166</v>
      </c>
      <c r="F585" s="68" t="inlineStr">
        <is>
          <t>AtkRatio</t>
        </is>
      </c>
      <c r="G585" s="68" t="n">
        <v>22314166</v>
      </c>
      <c r="H585" s="68" t="inlineStr">
        <is>
          <t>DefRatio</t>
        </is>
      </c>
      <c r="I585" s="68" t="n">
        <v>22314166</v>
      </c>
    </row>
    <row r="586">
      <c r="A586" s="68">
        <f>B586&amp;TEXT(C586,"0000")</f>
        <v/>
      </c>
      <c r="B586" s="68" t="n">
        <v>102</v>
      </c>
      <c r="C586" s="68" t="n">
        <v>283</v>
      </c>
      <c r="D586" s="68" t="inlineStr">
        <is>
          <t>HpRatio</t>
        </is>
      </c>
      <c r="E586" s="68" t="n">
        <v>22435778</v>
      </c>
      <c r="F586" s="68" t="inlineStr">
        <is>
          <t>AtkRatio</t>
        </is>
      </c>
      <c r="G586" s="68" t="n">
        <v>22435778</v>
      </c>
      <c r="H586" s="68" t="inlineStr">
        <is>
          <t>DefRatio</t>
        </is>
      </c>
      <c r="I586" s="68" t="n">
        <v>22435778</v>
      </c>
    </row>
    <row r="587">
      <c r="A587" s="68">
        <f>B587&amp;TEXT(C587,"0000")</f>
        <v/>
      </c>
      <c r="B587" s="68" t="n">
        <v>102</v>
      </c>
      <c r="C587" s="68" t="n">
        <v>284</v>
      </c>
      <c r="D587" s="68" t="inlineStr">
        <is>
          <t>HpRatio</t>
        </is>
      </c>
      <c r="E587" s="68" t="n">
        <v>22557618</v>
      </c>
      <c r="F587" s="68" t="inlineStr">
        <is>
          <t>AtkRatio</t>
        </is>
      </c>
      <c r="G587" s="68" t="n">
        <v>22557618</v>
      </c>
      <c r="H587" s="68" t="inlineStr">
        <is>
          <t>DefRatio</t>
        </is>
      </c>
      <c r="I587" s="68" t="n">
        <v>22557618</v>
      </c>
    </row>
    <row r="588">
      <c r="A588" s="68">
        <f>B588&amp;TEXT(C588,"0000")</f>
        <v/>
      </c>
      <c r="B588" s="68" t="n">
        <v>102</v>
      </c>
      <c r="C588" s="68" t="n">
        <v>285</v>
      </c>
      <c r="D588" s="68" t="inlineStr">
        <is>
          <t>HpRatio</t>
        </is>
      </c>
      <c r="E588" s="68" t="n">
        <v>22679687</v>
      </c>
      <c r="F588" s="68" t="inlineStr">
        <is>
          <t>AtkRatio</t>
        </is>
      </c>
      <c r="G588" s="68" t="n">
        <v>22679687</v>
      </c>
      <c r="H588" s="68" t="inlineStr">
        <is>
          <t>DefRatio</t>
        </is>
      </c>
      <c r="I588" s="68" t="n">
        <v>22679687</v>
      </c>
    </row>
    <row r="589">
      <c r="A589" s="68">
        <f>B589&amp;TEXT(C589,"0000")</f>
        <v/>
      </c>
      <c r="B589" s="68" t="n">
        <v>102</v>
      </c>
      <c r="C589" s="68" t="n">
        <v>286</v>
      </c>
      <c r="D589" s="68" t="inlineStr">
        <is>
          <t>HpRatio</t>
        </is>
      </c>
      <c r="E589" s="68" t="n">
        <v>22801984</v>
      </c>
      <c r="F589" s="68" t="inlineStr">
        <is>
          <t>AtkRatio</t>
        </is>
      </c>
      <c r="G589" s="68" t="n">
        <v>22801984</v>
      </c>
      <c r="H589" s="68" t="inlineStr">
        <is>
          <t>DefRatio</t>
        </is>
      </c>
      <c r="I589" s="68" t="n">
        <v>22801984</v>
      </c>
    </row>
    <row r="590">
      <c r="A590" s="68">
        <f>B590&amp;TEXT(C590,"0000")</f>
        <v/>
      </c>
      <c r="B590" s="68" t="n">
        <v>102</v>
      </c>
      <c r="C590" s="68" t="n">
        <v>287</v>
      </c>
      <c r="D590" s="68" t="inlineStr">
        <is>
          <t>HpRatio</t>
        </is>
      </c>
      <c r="E590" s="68" t="n">
        <v>22924508</v>
      </c>
      <c r="F590" s="68" t="inlineStr">
        <is>
          <t>AtkRatio</t>
        </is>
      </c>
      <c r="G590" s="68" t="n">
        <v>22924508</v>
      </c>
      <c r="H590" s="68" t="inlineStr">
        <is>
          <t>DefRatio</t>
        </is>
      </c>
      <c r="I590" s="68" t="n">
        <v>22924508</v>
      </c>
    </row>
    <row r="591">
      <c r="A591" s="68">
        <f>B591&amp;TEXT(C591,"0000")</f>
        <v/>
      </c>
      <c r="B591" s="68" t="n">
        <v>102</v>
      </c>
      <c r="C591" s="68" t="n">
        <v>288</v>
      </c>
      <c r="D591" s="68" t="inlineStr">
        <is>
          <t>HpRatio</t>
        </is>
      </c>
      <c r="E591" s="68" t="n">
        <v>23047260</v>
      </c>
      <c r="F591" s="68" t="inlineStr">
        <is>
          <t>AtkRatio</t>
        </is>
      </c>
      <c r="G591" s="68" t="n">
        <v>23047260</v>
      </c>
      <c r="H591" s="68" t="inlineStr">
        <is>
          <t>DefRatio</t>
        </is>
      </c>
      <c r="I591" s="68" t="n">
        <v>23047260</v>
      </c>
    </row>
    <row r="592">
      <c r="A592" s="68">
        <f>B592&amp;TEXT(C592,"0000")</f>
        <v/>
      </c>
      <c r="B592" s="68" t="n">
        <v>102</v>
      </c>
      <c r="C592" s="68" t="n">
        <v>289</v>
      </c>
      <c r="D592" s="68" t="inlineStr">
        <is>
          <t>HpRatio</t>
        </is>
      </c>
      <c r="E592" s="68" t="n">
        <v>23170238</v>
      </c>
      <c r="F592" s="68" t="inlineStr">
        <is>
          <t>AtkRatio</t>
        </is>
      </c>
      <c r="G592" s="68" t="n">
        <v>23170238</v>
      </c>
      <c r="H592" s="68" t="inlineStr">
        <is>
          <t>DefRatio</t>
        </is>
      </c>
      <c r="I592" s="68" t="n">
        <v>23170238</v>
      </c>
    </row>
    <row r="593">
      <c r="A593" s="68">
        <f>B593&amp;TEXT(C593,"0000")</f>
        <v/>
      </c>
      <c r="B593" s="68" t="n">
        <v>102</v>
      </c>
      <c r="C593" s="68" t="n">
        <v>290</v>
      </c>
      <c r="D593" s="68" t="inlineStr">
        <is>
          <t>HpRatio</t>
        </is>
      </c>
      <c r="E593" s="68" t="n">
        <v>23293443</v>
      </c>
      <c r="F593" s="68" t="inlineStr">
        <is>
          <t>AtkRatio</t>
        </is>
      </c>
      <c r="G593" s="68" t="n">
        <v>23293443</v>
      </c>
      <c r="H593" s="68" t="inlineStr">
        <is>
          <t>DefRatio</t>
        </is>
      </c>
      <c r="I593" s="68" t="n">
        <v>23293443</v>
      </c>
    </row>
    <row r="594">
      <c r="A594" s="68">
        <f>B594&amp;TEXT(C594,"0000")</f>
        <v/>
      </c>
      <c r="B594" s="68" t="n">
        <v>102</v>
      </c>
      <c r="C594" s="68" t="n">
        <v>291</v>
      </c>
      <c r="D594" s="68" t="inlineStr">
        <is>
          <t>HpRatio</t>
        </is>
      </c>
      <c r="E594" s="68" t="n">
        <v>23416874</v>
      </c>
      <c r="F594" s="68" t="inlineStr">
        <is>
          <t>AtkRatio</t>
        </is>
      </c>
      <c r="G594" s="68" t="n">
        <v>23416874</v>
      </c>
      <c r="H594" s="68" t="inlineStr">
        <is>
          <t>DefRatio</t>
        </is>
      </c>
      <c r="I594" s="68" t="n">
        <v>23416874</v>
      </c>
    </row>
    <row r="595">
      <c r="A595" s="68">
        <f>B595&amp;TEXT(C595,"0000")</f>
        <v/>
      </c>
      <c r="B595" s="68" t="n">
        <v>102</v>
      </c>
      <c r="C595" s="68" t="n">
        <v>292</v>
      </c>
      <c r="D595" s="68" t="inlineStr">
        <is>
          <t>HpRatio</t>
        </is>
      </c>
      <c r="E595" s="68" t="n">
        <v>23540532</v>
      </c>
      <c r="F595" s="68" t="inlineStr">
        <is>
          <t>AtkRatio</t>
        </is>
      </c>
      <c r="G595" s="68" t="n">
        <v>23540532</v>
      </c>
      <c r="H595" s="68" t="inlineStr">
        <is>
          <t>DefRatio</t>
        </is>
      </c>
      <c r="I595" s="68" t="n">
        <v>23540532</v>
      </c>
    </row>
    <row r="596">
      <c r="A596" s="68">
        <f>B596&amp;TEXT(C596,"0000")</f>
        <v/>
      </c>
      <c r="B596" s="68" t="n">
        <v>102</v>
      </c>
      <c r="C596" s="68" t="n">
        <v>293</v>
      </c>
      <c r="D596" s="68" t="inlineStr">
        <is>
          <t>HpRatio</t>
        </is>
      </c>
      <c r="E596" s="68" t="n">
        <v>23664414</v>
      </c>
      <c r="F596" s="68" t="inlineStr">
        <is>
          <t>AtkRatio</t>
        </is>
      </c>
      <c r="G596" s="68" t="n">
        <v>23664414</v>
      </c>
      <c r="H596" s="68" t="inlineStr">
        <is>
          <t>DefRatio</t>
        </is>
      </c>
      <c r="I596" s="68" t="n">
        <v>23664414</v>
      </c>
    </row>
    <row r="597">
      <c r="A597" s="68">
        <f>B597&amp;TEXT(C597,"0000")</f>
        <v/>
      </c>
      <c r="B597" s="68" t="n">
        <v>102</v>
      </c>
      <c r="C597" s="68" t="n">
        <v>294</v>
      </c>
      <c r="D597" s="68" t="inlineStr">
        <is>
          <t>HpRatio</t>
        </is>
      </c>
      <c r="E597" s="68" t="n">
        <v>23788521</v>
      </c>
      <c r="F597" s="68" t="inlineStr">
        <is>
          <t>AtkRatio</t>
        </is>
      </c>
      <c r="G597" s="68" t="n">
        <v>23788521</v>
      </c>
      <c r="H597" s="68" t="inlineStr">
        <is>
          <t>DefRatio</t>
        </is>
      </c>
      <c r="I597" s="68" t="n">
        <v>23788521</v>
      </c>
    </row>
    <row r="598">
      <c r="A598" s="68">
        <f>B598&amp;TEXT(C598,"0000")</f>
        <v/>
      </c>
      <c r="B598" s="68" t="n">
        <v>102</v>
      </c>
      <c r="C598" s="68" t="n">
        <v>295</v>
      </c>
      <c r="D598" s="68" t="inlineStr">
        <is>
          <t>HpRatio</t>
        </is>
      </c>
      <c r="E598" s="68" t="n">
        <v>23912854</v>
      </c>
      <c r="F598" s="68" t="inlineStr">
        <is>
          <t>AtkRatio</t>
        </is>
      </c>
      <c r="G598" s="68" t="n">
        <v>23912854</v>
      </c>
      <c r="H598" s="68" t="inlineStr">
        <is>
          <t>DefRatio</t>
        </is>
      </c>
      <c r="I598" s="68" t="n">
        <v>23912854</v>
      </c>
    </row>
    <row r="599">
      <c r="A599" s="68">
        <f>B599&amp;TEXT(C599,"0000")</f>
        <v/>
      </c>
      <c r="B599" s="68" t="n">
        <v>102</v>
      </c>
      <c r="C599" s="68" t="n">
        <v>296</v>
      </c>
      <c r="D599" s="68" t="inlineStr">
        <is>
          <t>HpRatio</t>
        </is>
      </c>
      <c r="E599" s="68" t="n">
        <v>24037410</v>
      </c>
      <c r="F599" s="68" t="inlineStr">
        <is>
          <t>AtkRatio</t>
        </is>
      </c>
      <c r="G599" s="68" t="n">
        <v>24037410</v>
      </c>
      <c r="H599" s="68" t="inlineStr">
        <is>
          <t>DefRatio</t>
        </is>
      </c>
      <c r="I599" s="68" t="n">
        <v>24037410</v>
      </c>
    </row>
    <row r="600">
      <c r="A600" s="68">
        <f>B600&amp;TEXT(C600,"0000")</f>
        <v/>
      </c>
      <c r="B600" s="68" t="n">
        <v>102</v>
      </c>
      <c r="C600" s="68" t="n">
        <v>297</v>
      </c>
      <c r="D600" s="68" t="inlineStr">
        <is>
          <t>HpRatio</t>
        </is>
      </c>
      <c r="E600" s="68" t="n">
        <v>24162191</v>
      </c>
      <c r="F600" s="68" t="inlineStr">
        <is>
          <t>AtkRatio</t>
        </is>
      </c>
      <c r="G600" s="68" t="n">
        <v>24162191</v>
      </c>
      <c r="H600" s="68" t="inlineStr">
        <is>
          <t>DefRatio</t>
        </is>
      </c>
      <c r="I600" s="68" t="n">
        <v>24162191</v>
      </c>
    </row>
    <row r="601">
      <c r="A601" s="68">
        <f>B601&amp;TEXT(C601,"0000")</f>
        <v/>
      </c>
      <c r="B601" s="68" t="n">
        <v>102</v>
      </c>
      <c r="C601" s="68" t="n">
        <v>298</v>
      </c>
      <c r="D601" s="68" t="inlineStr">
        <is>
          <t>HpRatio</t>
        </is>
      </c>
      <c r="E601" s="68" t="n">
        <v>24287195</v>
      </c>
      <c r="F601" s="68" t="inlineStr">
        <is>
          <t>AtkRatio</t>
        </is>
      </c>
      <c r="G601" s="68" t="n">
        <v>24287195</v>
      </c>
      <c r="H601" s="68" t="inlineStr">
        <is>
          <t>DefRatio</t>
        </is>
      </c>
      <c r="I601" s="68" t="n">
        <v>24287195</v>
      </c>
    </row>
    <row r="602">
      <c r="A602" s="68">
        <f>B602&amp;TEXT(C602,"0000")</f>
        <v/>
      </c>
      <c r="B602" s="68" t="n">
        <v>102</v>
      </c>
      <c r="C602" s="68" t="n">
        <v>299</v>
      </c>
      <c r="D602" s="68" t="inlineStr">
        <is>
          <t>HpRatio</t>
        </is>
      </c>
      <c r="E602" s="68" t="n">
        <v>24412422</v>
      </c>
      <c r="F602" s="68" t="inlineStr">
        <is>
          <t>AtkRatio</t>
        </is>
      </c>
      <c r="G602" s="68" t="n">
        <v>24412422</v>
      </c>
      <c r="H602" s="68" t="inlineStr">
        <is>
          <t>DefRatio</t>
        </is>
      </c>
      <c r="I602" s="68" t="n">
        <v>24412422</v>
      </c>
    </row>
    <row r="603">
      <c r="A603" s="68">
        <f>B603&amp;TEXT(C603,"0000")</f>
        <v/>
      </c>
      <c r="B603" s="68" t="n">
        <v>102</v>
      </c>
      <c r="C603" s="68" t="n">
        <v>300</v>
      </c>
      <c r="D603" s="68" t="inlineStr">
        <is>
          <t>HpRatio</t>
        </is>
      </c>
      <c r="E603" s="68" t="n">
        <v>24537873</v>
      </c>
      <c r="F603" s="68" t="inlineStr">
        <is>
          <t>AtkRatio</t>
        </is>
      </c>
      <c r="G603" s="68" t="n">
        <v>24537873</v>
      </c>
      <c r="H603" s="68" t="inlineStr">
        <is>
          <t>DefRatio</t>
        </is>
      </c>
      <c r="I603" s="68" t="n">
        <v>24537873</v>
      </c>
    </row>
    <row r="604">
      <c r="A604" s="68">
        <f>B604&amp;TEXT(C604,"0000")</f>
        <v/>
      </c>
      <c r="B604" s="68" t="n">
        <v>103</v>
      </c>
      <c r="C604" s="68" t="n">
        <v>1</v>
      </c>
      <c r="D604" s="68" t="inlineStr">
        <is>
          <t>HpRatio</t>
        </is>
      </c>
      <c r="E604" s="68" t="n">
        <v>0</v>
      </c>
      <c r="F604" s="68" t="inlineStr">
        <is>
          <t>AtkRatio</t>
        </is>
      </c>
      <c r="G604" s="68" t="n">
        <v>0</v>
      </c>
      <c r="H604" s="68" t="inlineStr">
        <is>
          <t>DefRatio</t>
        </is>
      </c>
      <c r="I604" s="68" t="n">
        <v>0</v>
      </c>
    </row>
    <row r="605">
      <c r="A605" s="68">
        <f>B605&amp;TEXT(C605,"0000")</f>
        <v/>
      </c>
      <c r="B605" s="68" t="n">
        <v>103</v>
      </c>
      <c r="C605" s="68" t="n">
        <v>2</v>
      </c>
      <c r="D605" s="68" t="inlineStr">
        <is>
          <t>HpRatio</t>
        </is>
      </c>
      <c r="E605" s="68" t="n">
        <v>4500</v>
      </c>
      <c r="F605" s="68" t="inlineStr">
        <is>
          <t>AtkRatio</t>
        </is>
      </c>
      <c r="G605" s="68" t="n">
        <v>4500</v>
      </c>
      <c r="H605" s="68" t="inlineStr">
        <is>
          <t>DefRatio</t>
        </is>
      </c>
      <c r="I605" s="68" t="n">
        <v>4500</v>
      </c>
    </row>
    <row r="606">
      <c r="A606" s="68">
        <f>B606&amp;TEXT(C606,"0000")</f>
        <v/>
      </c>
      <c r="B606" s="68" t="n">
        <v>103</v>
      </c>
      <c r="C606" s="68" t="n">
        <v>3</v>
      </c>
      <c r="D606" s="68" t="inlineStr">
        <is>
          <t>HpRatio</t>
        </is>
      </c>
      <c r="E606" s="68" t="n">
        <v>9382</v>
      </c>
      <c r="F606" s="68" t="inlineStr">
        <is>
          <t>AtkRatio</t>
        </is>
      </c>
      <c r="G606" s="68" t="n">
        <v>9382</v>
      </c>
      <c r="H606" s="68" t="inlineStr">
        <is>
          <t>DefRatio</t>
        </is>
      </c>
      <c r="I606" s="68" t="n">
        <v>9382</v>
      </c>
    </row>
    <row r="607">
      <c r="A607" s="68">
        <f>B607&amp;TEXT(C607,"0000")</f>
        <v/>
      </c>
      <c r="B607" s="68" t="n">
        <v>103</v>
      </c>
      <c r="C607" s="68" t="n">
        <v>4</v>
      </c>
      <c r="D607" s="68" t="inlineStr">
        <is>
          <t>HpRatio</t>
        </is>
      </c>
      <c r="E607" s="68" t="n">
        <v>14420</v>
      </c>
      <c r="F607" s="68" t="inlineStr">
        <is>
          <t>AtkRatio</t>
        </is>
      </c>
      <c r="G607" s="68" t="n">
        <v>14420</v>
      </c>
      <c r="H607" s="68" t="inlineStr">
        <is>
          <t>DefRatio</t>
        </is>
      </c>
      <c r="I607" s="68" t="n">
        <v>14420</v>
      </c>
    </row>
    <row r="608">
      <c r="A608" s="68">
        <f>B608&amp;TEXT(C608,"0000")</f>
        <v/>
      </c>
      <c r="B608" s="68" t="n">
        <v>103</v>
      </c>
      <c r="C608" s="68" t="n">
        <v>5</v>
      </c>
      <c r="D608" s="68" t="inlineStr">
        <is>
          <t>HpRatio</t>
        </is>
      </c>
      <c r="E608" s="68" t="n">
        <v>19561</v>
      </c>
      <c r="F608" s="68" t="inlineStr">
        <is>
          <t>AtkRatio</t>
        </is>
      </c>
      <c r="G608" s="68" t="n">
        <v>19561</v>
      </c>
      <c r="H608" s="68" t="inlineStr">
        <is>
          <t>DefRatio</t>
        </is>
      </c>
      <c r="I608" s="68" t="n">
        <v>19561</v>
      </c>
    </row>
    <row r="609">
      <c r="A609" s="68">
        <f>B609&amp;TEXT(C609,"0000")</f>
        <v/>
      </c>
      <c r="B609" s="68" t="n">
        <v>103</v>
      </c>
      <c r="C609" s="68" t="n">
        <v>6</v>
      </c>
      <c r="D609" s="68" t="inlineStr">
        <is>
          <t>HpRatio</t>
        </is>
      </c>
      <c r="E609" s="68" t="n">
        <v>24781</v>
      </c>
      <c r="F609" s="68" t="inlineStr">
        <is>
          <t>AtkRatio</t>
        </is>
      </c>
      <c r="G609" s="68" t="n">
        <v>24781</v>
      </c>
      <c r="H609" s="68" t="inlineStr">
        <is>
          <t>DefRatio</t>
        </is>
      </c>
      <c r="I609" s="68" t="n">
        <v>24781</v>
      </c>
    </row>
    <row r="610">
      <c r="A610" s="68">
        <f>B610&amp;TEXT(C610,"0000")</f>
        <v/>
      </c>
      <c r="B610" s="68" t="n">
        <v>103</v>
      </c>
      <c r="C610" s="68" t="n">
        <v>7</v>
      </c>
      <c r="D610" s="68" t="inlineStr">
        <is>
          <t>HpRatio</t>
        </is>
      </c>
      <c r="E610" s="68" t="n">
        <v>30064</v>
      </c>
      <c r="F610" s="68" t="inlineStr">
        <is>
          <t>AtkRatio</t>
        </is>
      </c>
      <c r="G610" s="68" t="n">
        <v>30064</v>
      </c>
      <c r="H610" s="68" t="inlineStr">
        <is>
          <t>DefRatio</t>
        </is>
      </c>
      <c r="I610" s="68" t="n">
        <v>30064</v>
      </c>
    </row>
    <row r="611">
      <c r="A611" s="68">
        <f>B611&amp;TEXT(C611,"0000")</f>
        <v/>
      </c>
      <c r="B611" s="68" t="n">
        <v>103</v>
      </c>
      <c r="C611" s="68" t="n">
        <v>8</v>
      </c>
      <c r="D611" s="68" t="inlineStr">
        <is>
          <t>HpRatio</t>
        </is>
      </c>
      <c r="E611" s="68" t="n">
        <v>35401</v>
      </c>
      <c r="F611" s="68" t="inlineStr">
        <is>
          <t>AtkRatio</t>
        </is>
      </c>
      <c r="G611" s="68" t="n">
        <v>35401</v>
      </c>
      <c r="H611" s="68" t="inlineStr">
        <is>
          <t>DefRatio</t>
        </is>
      </c>
      <c r="I611" s="68" t="n">
        <v>35401</v>
      </c>
    </row>
    <row r="612">
      <c r="A612" s="68">
        <f>B612&amp;TEXT(C612,"0000")</f>
        <v/>
      </c>
      <c r="B612" s="68" t="n">
        <v>103</v>
      </c>
      <c r="C612" s="68" t="n">
        <v>9</v>
      </c>
      <c r="D612" s="68" t="inlineStr">
        <is>
          <t>HpRatio</t>
        </is>
      </c>
      <c r="E612" s="68" t="n">
        <v>40784</v>
      </c>
      <c r="F612" s="68" t="inlineStr">
        <is>
          <t>AtkRatio</t>
        </is>
      </c>
      <c r="G612" s="68" t="n">
        <v>40784</v>
      </c>
      <c r="H612" s="68" t="inlineStr">
        <is>
          <t>DefRatio</t>
        </is>
      </c>
      <c r="I612" s="68" t="n">
        <v>40784</v>
      </c>
    </row>
    <row r="613">
      <c r="A613" s="68">
        <f>B613&amp;TEXT(C613,"0000")</f>
        <v/>
      </c>
      <c r="B613" s="68" t="n">
        <v>103</v>
      </c>
      <c r="C613" s="68" t="n">
        <v>10</v>
      </c>
      <c r="D613" s="68" t="inlineStr">
        <is>
          <t>HpRatio</t>
        </is>
      </c>
      <c r="E613" s="68" t="n">
        <v>46207</v>
      </c>
      <c r="F613" s="68" t="inlineStr">
        <is>
          <t>AtkRatio</t>
        </is>
      </c>
      <c r="G613" s="68" t="n">
        <v>46207</v>
      </c>
      <c r="H613" s="68" t="inlineStr">
        <is>
          <t>DefRatio</t>
        </is>
      </c>
      <c r="I613" s="68" t="n">
        <v>46207</v>
      </c>
    </row>
    <row r="614">
      <c r="A614" s="68">
        <f>B614&amp;TEXT(C614,"0000")</f>
        <v/>
      </c>
      <c r="B614" s="68" t="n">
        <v>103</v>
      </c>
      <c r="C614" s="68" t="n">
        <v>11</v>
      </c>
      <c r="D614" s="68" t="inlineStr">
        <is>
          <t>HpRatio</t>
        </is>
      </c>
      <c r="E614" s="68" t="n">
        <v>51667</v>
      </c>
      <c r="F614" s="68" t="inlineStr">
        <is>
          <t>AtkRatio</t>
        </is>
      </c>
      <c r="G614" s="68" t="n">
        <v>51667</v>
      </c>
      <c r="H614" s="68" t="inlineStr">
        <is>
          <t>DefRatio</t>
        </is>
      </c>
      <c r="I614" s="68" t="n">
        <v>51667</v>
      </c>
    </row>
    <row r="615">
      <c r="A615" s="68">
        <f>B615&amp;TEXT(C615,"0000")</f>
        <v/>
      </c>
      <c r="B615" s="68" t="n">
        <v>103</v>
      </c>
      <c r="C615" s="68" t="n">
        <v>12</v>
      </c>
      <c r="D615" s="68" t="inlineStr">
        <is>
          <t>HpRatio</t>
        </is>
      </c>
      <c r="E615" s="68" t="n">
        <v>57160</v>
      </c>
      <c r="F615" s="68" t="inlineStr">
        <is>
          <t>AtkRatio</t>
        </is>
      </c>
      <c r="G615" s="68" t="n">
        <v>57160</v>
      </c>
      <c r="H615" s="68" t="inlineStr">
        <is>
          <t>DefRatio</t>
        </is>
      </c>
      <c r="I615" s="68" t="n">
        <v>57160</v>
      </c>
    </row>
    <row r="616">
      <c r="A616" s="68">
        <f>B616&amp;TEXT(C616,"0000")</f>
        <v/>
      </c>
      <c r="B616" s="68" t="n">
        <v>103</v>
      </c>
      <c r="C616" s="68" t="n">
        <v>13</v>
      </c>
      <c r="D616" s="68" t="inlineStr">
        <is>
          <t>HpRatio</t>
        </is>
      </c>
      <c r="E616" s="68" t="n">
        <v>62682</v>
      </c>
      <c r="F616" s="68" t="inlineStr">
        <is>
          <t>AtkRatio</t>
        </is>
      </c>
      <c r="G616" s="68" t="n">
        <v>62682</v>
      </c>
      <c r="H616" s="68" t="inlineStr">
        <is>
          <t>DefRatio</t>
        </is>
      </c>
      <c r="I616" s="68" t="n">
        <v>62682</v>
      </c>
    </row>
    <row r="617">
      <c r="A617" s="68">
        <f>B617&amp;TEXT(C617,"0000")</f>
        <v/>
      </c>
      <c r="B617" s="68" t="n">
        <v>103</v>
      </c>
      <c r="C617" s="68" t="n">
        <v>14</v>
      </c>
      <c r="D617" s="68" t="inlineStr">
        <is>
          <t>HpRatio</t>
        </is>
      </c>
      <c r="E617" s="68" t="n">
        <v>68233</v>
      </c>
      <c r="F617" s="68" t="inlineStr">
        <is>
          <t>AtkRatio</t>
        </is>
      </c>
      <c r="G617" s="68" t="n">
        <v>68233</v>
      </c>
      <c r="H617" s="68" t="inlineStr">
        <is>
          <t>DefRatio</t>
        </is>
      </c>
      <c r="I617" s="68" t="n">
        <v>68233</v>
      </c>
    </row>
    <row r="618">
      <c r="A618" s="68">
        <f>B618&amp;TEXT(C618,"0000")</f>
        <v/>
      </c>
      <c r="B618" s="68" t="n">
        <v>103</v>
      </c>
      <c r="C618" s="68" t="n">
        <v>15</v>
      </c>
      <c r="D618" s="68" t="inlineStr">
        <is>
          <t>HpRatio</t>
        </is>
      </c>
      <c r="E618" s="68" t="n">
        <v>88785</v>
      </c>
      <c r="F618" s="68" t="inlineStr">
        <is>
          <t>AtkRatio</t>
        </is>
      </c>
      <c r="G618" s="68" t="n">
        <v>88785</v>
      </c>
      <c r="H618" s="68" t="inlineStr">
        <is>
          <t>DefRatio</t>
        </is>
      </c>
      <c r="I618" s="68" t="n">
        <v>88785</v>
      </c>
    </row>
    <row r="619">
      <c r="A619" s="68">
        <f>B619&amp;TEXT(C619,"0000")</f>
        <v/>
      </c>
      <c r="B619" s="68" t="n">
        <v>103</v>
      </c>
      <c r="C619" s="68" t="n">
        <v>16</v>
      </c>
      <c r="D619" s="68" t="inlineStr">
        <is>
          <t>HpRatio</t>
        </is>
      </c>
      <c r="E619" s="68" t="n">
        <v>98618</v>
      </c>
      <c r="F619" s="68" t="inlineStr">
        <is>
          <t>AtkRatio</t>
        </is>
      </c>
      <c r="G619" s="68" t="n">
        <v>98618</v>
      </c>
      <c r="H619" s="68" t="inlineStr">
        <is>
          <t>DefRatio</t>
        </is>
      </c>
      <c r="I619" s="68" t="n">
        <v>98618</v>
      </c>
    </row>
    <row r="620">
      <c r="A620" s="68">
        <f>B620&amp;TEXT(C620,"0000")</f>
        <v/>
      </c>
      <c r="B620" s="68" t="n">
        <v>103</v>
      </c>
      <c r="C620" s="68" t="n">
        <v>17</v>
      </c>
      <c r="D620" s="68" t="inlineStr">
        <is>
          <t>HpRatio</t>
        </is>
      </c>
      <c r="E620" s="68" t="n">
        <v>106147</v>
      </c>
      <c r="F620" s="68" t="inlineStr">
        <is>
          <t>AtkRatio</t>
        </is>
      </c>
      <c r="G620" s="68" t="n">
        <v>106147</v>
      </c>
      <c r="H620" s="68" t="inlineStr">
        <is>
          <t>DefRatio</t>
        </is>
      </c>
      <c r="I620" s="68" t="n">
        <v>106147</v>
      </c>
    </row>
    <row r="621">
      <c r="A621" s="68">
        <f>B621&amp;TEXT(C621,"0000")</f>
        <v/>
      </c>
      <c r="B621" s="68" t="n">
        <v>103</v>
      </c>
      <c r="C621" s="68" t="n">
        <v>18</v>
      </c>
      <c r="D621" s="68" t="inlineStr">
        <is>
          <t>HpRatio</t>
        </is>
      </c>
      <c r="E621" s="68" t="n">
        <v>117012</v>
      </c>
      <c r="F621" s="68" t="inlineStr">
        <is>
          <t>AtkRatio</t>
        </is>
      </c>
      <c r="G621" s="68" t="n">
        <v>117012</v>
      </c>
      <c r="H621" s="68" t="inlineStr">
        <is>
          <t>DefRatio</t>
        </is>
      </c>
      <c r="I621" s="68" t="n">
        <v>117012</v>
      </c>
    </row>
    <row r="622">
      <c r="A622" s="68">
        <f>B622&amp;TEXT(C622,"0000")</f>
        <v/>
      </c>
      <c r="B622" s="68" t="n">
        <v>103</v>
      </c>
      <c r="C622" s="68" t="n">
        <v>19</v>
      </c>
      <c r="D622" s="68" t="inlineStr">
        <is>
          <t>HpRatio</t>
        </is>
      </c>
      <c r="E622" s="68" t="n">
        <v>124961</v>
      </c>
      <c r="F622" s="68" t="inlineStr">
        <is>
          <t>AtkRatio</t>
        </is>
      </c>
      <c r="G622" s="68" t="n">
        <v>124961</v>
      </c>
      <c r="H622" s="68" t="inlineStr">
        <is>
          <t>DefRatio</t>
        </is>
      </c>
      <c r="I622" s="68" t="n">
        <v>124961</v>
      </c>
    </row>
    <row r="623">
      <c r="A623" s="68">
        <f>B623&amp;TEXT(C623,"0000")</f>
        <v/>
      </c>
      <c r="B623" s="68" t="n">
        <v>103</v>
      </c>
      <c r="C623" s="68" t="n">
        <v>20</v>
      </c>
      <c r="D623" s="68" t="inlineStr">
        <is>
          <t>HpRatio</t>
        </is>
      </c>
      <c r="E623" s="68" t="n">
        <v>136951</v>
      </c>
      <c r="F623" s="68" t="inlineStr">
        <is>
          <t>AtkRatio</t>
        </is>
      </c>
      <c r="G623" s="68" t="n">
        <v>136951</v>
      </c>
      <c r="H623" s="68" t="inlineStr">
        <is>
          <t>DefRatio</t>
        </is>
      </c>
      <c r="I623" s="68" t="n">
        <v>136951</v>
      </c>
    </row>
    <row r="624">
      <c r="A624" s="68">
        <f>B624&amp;TEXT(C624,"0000")</f>
        <v/>
      </c>
      <c r="B624" s="68" t="n">
        <v>103</v>
      </c>
      <c r="C624" s="68" t="n">
        <v>21</v>
      </c>
      <c r="D624" s="68" t="inlineStr">
        <is>
          <t>HpRatio</t>
        </is>
      </c>
      <c r="E624" s="68" t="n">
        <v>145347</v>
      </c>
      <c r="F624" s="68" t="inlineStr">
        <is>
          <t>AtkRatio</t>
        </is>
      </c>
      <c r="G624" s="68" t="n">
        <v>145347</v>
      </c>
      <c r="H624" s="68" t="inlineStr">
        <is>
          <t>DefRatio</t>
        </is>
      </c>
      <c r="I624" s="68" t="n">
        <v>145347</v>
      </c>
    </row>
    <row r="625">
      <c r="A625" s="68">
        <f>B625&amp;TEXT(C625,"0000")</f>
        <v/>
      </c>
      <c r="B625" s="68" t="n">
        <v>103</v>
      </c>
      <c r="C625" s="68" t="n">
        <v>22</v>
      </c>
      <c r="D625" s="68" t="inlineStr">
        <is>
          <t>HpRatio</t>
        </is>
      </c>
      <c r="E625" s="68" t="n">
        <v>158566</v>
      </c>
      <c r="F625" s="68" t="inlineStr">
        <is>
          <t>AtkRatio</t>
        </is>
      </c>
      <c r="G625" s="68" t="n">
        <v>158566</v>
      </c>
      <c r="H625" s="68" t="inlineStr">
        <is>
          <t>DefRatio</t>
        </is>
      </c>
      <c r="I625" s="68" t="n">
        <v>158566</v>
      </c>
    </row>
    <row r="626">
      <c r="A626" s="68">
        <f>B626&amp;TEXT(C626,"0000")</f>
        <v/>
      </c>
      <c r="B626" s="68" t="n">
        <v>103</v>
      </c>
      <c r="C626" s="68" t="n">
        <v>23</v>
      </c>
      <c r="D626" s="68" t="inlineStr">
        <is>
          <t>HpRatio</t>
        </is>
      </c>
      <c r="E626" s="68" t="n">
        <v>167435</v>
      </c>
      <c r="F626" s="68" t="inlineStr">
        <is>
          <t>AtkRatio</t>
        </is>
      </c>
      <c r="G626" s="68" t="n">
        <v>167435</v>
      </c>
      <c r="H626" s="68" t="inlineStr">
        <is>
          <t>DefRatio</t>
        </is>
      </c>
      <c r="I626" s="68" t="n">
        <v>167435</v>
      </c>
    </row>
    <row r="627">
      <c r="A627" s="68">
        <f>B627&amp;TEXT(C627,"0000")</f>
        <v/>
      </c>
      <c r="B627" s="68" t="n">
        <v>103</v>
      </c>
      <c r="C627" s="68" t="n">
        <v>24</v>
      </c>
      <c r="D627" s="68" t="inlineStr">
        <is>
          <t>HpRatio</t>
        </is>
      </c>
      <c r="E627" s="68" t="n">
        <v>181992</v>
      </c>
      <c r="F627" s="68" t="inlineStr">
        <is>
          <t>AtkRatio</t>
        </is>
      </c>
      <c r="G627" s="68" t="n">
        <v>181992</v>
      </c>
      <c r="H627" s="68" t="inlineStr">
        <is>
          <t>DefRatio</t>
        </is>
      </c>
      <c r="I627" s="68" t="n">
        <v>181992</v>
      </c>
    </row>
    <row r="628">
      <c r="A628" s="68">
        <f>B628&amp;TEXT(C628,"0000")</f>
        <v/>
      </c>
      <c r="B628" s="68" t="n">
        <v>103</v>
      </c>
      <c r="C628" s="68" t="n">
        <v>25</v>
      </c>
      <c r="D628" s="68" t="inlineStr">
        <is>
          <t>HpRatio</t>
        </is>
      </c>
      <c r="E628" s="68" t="n">
        <v>191365</v>
      </c>
      <c r="F628" s="68" t="inlineStr">
        <is>
          <t>AtkRatio</t>
        </is>
      </c>
      <c r="G628" s="68" t="n">
        <v>191365</v>
      </c>
      <c r="H628" s="68" t="inlineStr">
        <is>
          <t>DefRatio</t>
        </is>
      </c>
      <c r="I628" s="68" t="n">
        <v>191365</v>
      </c>
    </row>
    <row r="629">
      <c r="A629" s="68">
        <f>B629&amp;TEXT(C629,"0000")</f>
        <v/>
      </c>
      <c r="B629" s="68" t="n">
        <v>103</v>
      </c>
      <c r="C629" s="68" t="n">
        <v>26</v>
      </c>
      <c r="D629" s="68" t="inlineStr">
        <is>
          <t>HpRatio</t>
        </is>
      </c>
      <c r="E629" s="68" t="n">
        <v>207377</v>
      </c>
      <c r="F629" s="68" t="inlineStr">
        <is>
          <t>AtkRatio</t>
        </is>
      </c>
      <c r="G629" s="68" t="n">
        <v>207377</v>
      </c>
      <c r="H629" s="68" t="inlineStr">
        <is>
          <t>DefRatio</t>
        </is>
      </c>
      <c r="I629" s="68" t="n">
        <v>207377</v>
      </c>
    </row>
    <row r="630">
      <c r="A630" s="68">
        <f>B630&amp;TEXT(C630,"0000")</f>
        <v/>
      </c>
      <c r="B630" s="68" t="n">
        <v>103</v>
      </c>
      <c r="C630" s="68" t="n">
        <v>27</v>
      </c>
      <c r="D630" s="68" t="inlineStr">
        <is>
          <t>HpRatio</t>
        </is>
      </c>
      <c r="E630" s="68" t="n">
        <v>217286</v>
      </c>
      <c r="F630" s="68" t="inlineStr">
        <is>
          <t>AtkRatio</t>
        </is>
      </c>
      <c r="G630" s="68" t="n">
        <v>217286</v>
      </c>
      <c r="H630" s="68" t="inlineStr">
        <is>
          <t>DefRatio</t>
        </is>
      </c>
      <c r="I630" s="68" t="n">
        <v>217286</v>
      </c>
    </row>
    <row r="631">
      <c r="A631" s="68">
        <f>B631&amp;TEXT(C631,"0000")</f>
        <v/>
      </c>
      <c r="B631" s="68" t="n">
        <v>103</v>
      </c>
      <c r="C631" s="68" t="n">
        <v>28</v>
      </c>
      <c r="D631" s="68" t="inlineStr">
        <is>
          <t>HpRatio</t>
        </is>
      </c>
      <c r="E631" s="68" t="n">
        <v>234882</v>
      </c>
      <c r="F631" s="68" t="inlineStr">
        <is>
          <t>AtkRatio</t>
        </is>
      </c>
      <c r="G631" s="68" t="n">
        <v>234882</v>
      </c>
      <c r="H631" s="68" t="inlineStr">
        <is>
          <t>DefRatio</t>
        </is>
      </c>
      <c r="I631" s="68" t="n">
        <v>234882</v>
      </c>
    </row>
    <row r="632">
      <c r="A632" s="68">
        <f>B632&amp;TEXT(C632,"0000")</f>
        <v/>
      </c>
      <c r="B632" s="68" t="n">
        <v>103</v>
      </c>
      <c r="C632" s="68" t="n">
        <v>29</v>
      </c>
      <c r="D632" s="68" t="inlineStr">
        <is>
          <t>HpRatio</t>
        </is>
      </c>
      <c r="E632" s="68" t="n">
        <v>245359</v>
      </c>
      <c r="F632" s="68" t="inlineStr">
        <is>
          <t>AtkRatio</t>
        </is>
      </c>
      <c r="G632" s="68" t="n">
        <v>245359</v>
      </c>
      <c r="H632" s="68" t="inlineStr">
        <is>
          <t>DefRatio</t>
        </is>
      </c>
      <c r="I632" s="68" t="n">
        <v>245359</v>
      </c>
    </row>
    <row r="633">
      <c r="A633" s="68">
        <f>B633&amp;TEXT(C633,"0000")</f>
        <v/>
      </c>
      <c r="B633" s="68" t="n">
        <v>103</v>
      </c>
      <c r="C633" s="68" t="n">
        <v>30</v>
      </c>
      <c r="D633" s="68" t="inlineStr">
        <is>
          <t>HpRatio</t>
        </is>
      </c>
      <c r="E633" s="68" t="n">
        <v>264676</v>
      </c>
      <c r="F633" s="68" t="inlineStr">
        <is>
          <t>AtkRatio</t>
        </is>
      </c>
      <c r="G633" s="68" t="n">
        <v>264676</v>
      </c>
      <c r="H633" s="68" t="inlineStr">
        <is>
          <t>DefRatio</t>
        </is>
      </c>
      <c r="I633" s="68" t="n">
        <v>264676</v>
      </c>
    </row>
    <row r="634">
      <c r="A634" s="68">
        <f>B634&amp;TEXT(C634,"0000")</f>
        <v/>
      </c>
      <c r="B634" s="68" t="n">
        <v>103</v>
      </c>
      <c r="C634" s="68" t="n">
        <v>31</v>
      </c>
      <c r="D634" s="68" t="inlineStr">
        <is>
          <t>HpRatio</t>
        </is>
      </c>
      <c r="E634" s="68" t="n">
        <v>275759</v>
      </c>
      <c r="F634" s="68" t="inlineStr">
        <is>
          <t>AtkRatio</t>
        </is>
      </c>
      <c r="G634" s="68" t="n">
        <v>275759</v>
      </c>
      <c r="H634" s="68" t="inlineStr">
        <is>
          <t>DefRatio</t>
        </is>
      </c>
      <c r="I634" s="68" t="n">
        <v>275759</v>
      </c>
    </row>
    <row r="635">
      <c r="A635" s="68">
        <f>B635&amp;TEXT(C635,"0000")</f>
        <v/>
      </c>
      <c r="B635" s="68" t="n">
        <v>103</v>
      </c>
      <c r="C635" s="68" t="n">
        <v>32</v>
      </c>
      <c r="D635" s="68" t="inlineStr">
        <is>
          <t>HpRatio</t>
        </is>
      </c>
      <c r="E635" s="68" t="n">
        <v>296943</v>
      </c>
      <c r="F635" s="68" t="inlineStr">
        <is>
          <t>AtkRatio</t>
        </is>
      </c>
      <c r="G635" s="68" t="n">
        <v>296943</v>
      </c>
      <c r="H635" s="68" t="inlineStr">
        <is>
          <t>DefRatio</t>
        </is>
      </c>
      <c r="I635" s="68" t="n">
        <v>296943</v>
      </c>
    </row>
    <row r="636">
      <c r="A636" s="68">
        <f>B636&amp;TEXT(C636,"0000")</f>
        <v/>
      </c>
      <c r="B636" s="68" t="n">
        <v>103</v>
      </c>
      <c r="C636" s="68" t="n">
        <v>33</v>
      </c>
      <c r="D636" s="68" t="inlineStr">
        <is>
          <t>HpRatio</t>
        </is>
      </c>
      <c r="E636" s="68" t="n">
        <v>308671</v>
      </c>
      <c r="F636" s="68" t="inlineStr">
        <is>
          <t>AtkRatio</t>
        </is>
      </c>
      <c r="G636" s="68" t="n">
        <v>308671</v>
      </c>
      <c r="H636" s="68" t="inlineStr">
        <is>
          <t>DefRatio</t>
        </is>
      </c>
      <c r="I636" s="68" t="n">
        <v>308671</v>
      </c>
    </row>
    <row r="637">
      <c r="A637" s="68">
        <f>B637&amp;TEXT(C637,"0000")</f>
        <v/>
      </c>
      <c r="B637" s="68" t="n">
        <v>103</v>
      </c>
      <c r="C637" s="68" t="n">
        <v>34</v>
      </c>
      <c r="D637" s="68" t="inlineStr">
        <is>
          <t>HpRatio</t>
        </is>
      </c>
      <c r="E637" s="68" t="n">
        <v>331883</v>
      </c>
      <c r="F637" s="68" t="inlineStr">
        <is>
          <t>AtkRatio</t>
        </is>
      </c>
      <c r="G637" s="68" t="n">
        <v>331883</v>
      </c>
      <c r="H637" s="68" t="inlineStr">
        <is>
          <t>DefRatio</t>
        </is>
      </c>
      <c r="I637" s="68" t="n">
        <v>331883</v>
      </c>
    </row>
    <row r="638">
      <c r="A638" s="68">
        <f>B638&amp;TEXT(C638,"0000")</f>
        <v/>
      </c>
      <c r="B638" s="68" t="n">
        <v>103</v>
      </c>
      <c r="C638" s="68" t="n">
        <v>35</v>
      </c>
      <c r="D638" s="68" t="inlineStr">
        <is>
          <t>HpRatio</t>
        </is>
      </c>
      <c r="E638" s="68" t="n">
        <v>344296</v>
      </c>
      <c r="F638" s="68" t="inlineStr">
        <is>
          <t>AtkRatio</t>
        </is>
      </c>
      <c r="G638" s="68" t="n">
        <v>344296</v>
      </c>
      <c r="H638" s="68" t="inlineStr">
        <is>
          <t>DefRatio</t>
        </is>
      </c>
      <c r="I638" s="68" t="n">
        <v>344296</v>
      </c>
    </row>
    <row r="639">
      <c r="A639" s="68">
        <f>B639&amp;TEXT(C639,"0000")</f>
        <v/>
      </c>
      <c r="B639" s="68" t="n">
        <v>103</v>
      </c>
      <c r="C639" s="68" t="n">
        <v>36</v>
      </c>
      <c r="D639" s="68" t="inlineStr">
        <is>
          <t>HpRatio</t>
        </is>
      </c>
      <c r="E639" s="68" t="n">
        <v>369706</v>
      </c>
      <c r="F639" s="68" t="inlineStr">
        <is>
          <t>AtkRatio</t>
        </is>
      </c>
      <c r="G639" s="68" t="n">
        <v>369706</v>
      </c>
      <c r="H639" s="68" t="inlineStr">
        <is>
          <t>DefRatio</t>
        </is>
      </c>
      <c r="I639" s="68" t="n">
        <v>369706</v>
      </c>
    </row>
    <row r="640">
      <c r="A640" s="68">
        <f>B640&amp;TEXT(C640,"0000")</f>
        <v/>
      </c>
      <c r="B640" s="68" t="n">
        <v>103</v>
      </c>
      <c r="C640" s="68" t="n">
        <v>37</v>
      </c>
      <c r="D640" s="68" t="inlineStr">
        <is>
          <t>HpRatio</t>
        </is>
      </c>
      <c r="E640" s="68" t="n">
        <v>382849</v>
      </c>
      <c r="F640" s="68" t="inlineStr">
        <is>
          <t>AtkRatio</t>
        </is>
      </c>
      <c r="G640" s="68" t="n">
        <v>382849</v>
      </c>
      <c r="H640" s="68" t="inlineStr">
        <is>
          <t>DefRatio</t>
        </is>
      </c>
      <c r="I640" s="68" t="n">
        <v>382849</v>
      </c>
    </row>
    <row r="641">
      <c r="A641" s="68">
        <f>B641&amp;TEXT(C641,"0000")</f>
        <v/>
      </c>
      <c r="B641" s="68" t="n">
        <v>103</v>
      </c>
      <c r="C641" s="68" t="n">
        <v>38</v>
      </c>
      <c r="D641" s="68" t="inlineStr">
        <is>
          <t>HpRatio</t>
        </is>
      </c>
      <c r="E641" s="68" t="n">
        <v>410643</v>
      </c>
      <c r="F641" s="68" t="inlineStr">
        <is>
          <t>AtkRatio</t>
        </is>
      </c>
      <c r="G641" s="68" t="n">
        <v>410643</v>
      </c>
      <c r="H641" s="68" t="inlineStr">
        <is>
          <t>DefRatio</t>
        </is>
      </c>
      <c r="I641" s="68" t="n">
        <v>410643</v>
      </c>
    </row>
    <row r="642">
      <c r="A642" s="68">
        <f>B642&amp;TEXT(C642,"0000")</f>
        <v/>
      </c>
      <c r="B642" s="68" t="n">
        <v>103</v>
      </c>
      <c r="C642" s="68" t="n">
        <v>39</v>
      </c>
      <c r="D642" s="68" t="inlineStr">
        <is>
          <t>HpRatio</t>
        </is>
      </c>
      <c r="E642" s="68" t="n">
        <v>424563</v>
      </c>
      <c r="F642" s="68" t="inlineStr">
        <is>
          <t>AtkRatio</t>
        </is>
      </c>
      <c r="G642" s="68" t="n">
        <v>424563</v>
      </c>
      <c r="H642" s="68" t="inlineStr">
        <is>
          <t>DefRatio</t>
        </is>
      </c>
      <c r="I642" s="68" t="n">
        <v>424563</v>
      </c>
    </row>
    <row r="643">
      <c r="A643" s="68">
        <f>B643&amp;TEXT(C643,"0000")</f>
        <v/>
      </c>
      <c r="B643" s="68" t="n">
        <v>103</v>
      </c>
      <c r="C643" s="68" t="n">
        <v>40</v>
      </c>
      <c r="D643" s="68" t="inlineStr">
        <is>
          <t>HpRatio</t>
        </is>
      </c>
      <c r="E643" s="68" t="n">
        <v>454940</v>
      </c>
      <c r="F643" s="68" t="inlineStr">
        <is>
          <t>AtkRatio</t>
        </is>
      </c>
      <c r="G643" s="68" t="n">
        <v>454940</v>
      </c>
      <c r="H643" s="68" t="inlineStr">
        <is>
          <t>DefRatio</t>
        </is>
      </c>
      <c r="I643" s="68" t="n">
        <v>454940</v>
      </c>
    </row>
    <row r="644">
      <c r="A644" s="68">
        <f>B644&amp;TEXT(C644,"0000")</f>
        <v/>
      </c>
      <c r="B644" s="68" t="n">
        <v>103</v>
      </c>
      <c r="C644" s="68" t="n">
        <v>41</v>
      </c>
      <c r="D644" s="68" t="inlineStr">
        <is>
          <t>HpRatio</t>
        </is>
      </c>
      <c r="E644" s="68" t="n">
        <v>469687</v>
      </c>
      <c r="F644" s="68" t="inlineStr">
        <is>
          <t>AtkRatio</t>
        </is>
      </c>
      <c r="G644" s="68" t="n">
        <v>469687</v>
      </c>
      <c r="H644" s="68" t="inlineStr">
        <is>
          <t>DefRatio</t>
        </is>
      </c>
      <c r="I644" s="68" t="n">
        <v>469687</v>
      </c>
    </row>
    <row r="645">
      <c r="A645" s="68">
        <f>B645&amp;TEXT(C645,"0000")</f>
        <v/>
      </c>
      <c r="B645" s="68" t="n">
        <v>103</v>
      </c>
      <c r="C645" s="68" t="n">
        <v>42</v>
      </c>
      <c r="D645" s="68" t="inlineStr">
        <is>
          <t>HpRatio</t>
        </is>
      </c>
      <c r="E645" s="68" t="n">
        <v>502861</v>
      </c>
      <c r="F645" s="68" t="inlineStr">
        <is>
          <t>AtkRatio</t>
        </is>
      </c>
      <c r="G645" s="68" t="n">
        <v>502861</v>
      </c>
      <c r="H645" s="68" t="inlineStr">
        <is>
          <t>DefRatio</t>
        </is>
      </c>
      <c r="I645" s="68" t="n">
        <v>502861</v>
      </c>
    </row>
    <row r="646">
      <c r="A646" s="68">
        <f>B646&amp;TEXT(C646,"0000")</f>
        <v/>
      </c>
      <c r="B646" s="68" t="n">
        <v>103</v>
      </c>
      <c r="C646" s="68" t="n">
        <v>43</v>
      </c>
      <c r="D646" s="68" t="inlineStr">
        <is>
          <t>HpRatio</t>
        </is>
      </c>
      <c r="E646" s="68" t="n">
        <v>518488</v>
      </c>
      <c r="F646" s="68" t="inlineStr">
        <is>
          <t>AtkRatio</t>
        </is>
      </c>
      <c r="G646" s="68" t="n">
        <v>518488</v>
      </c>
      <c r="H646" s="68" t="inlineStr">
        <is>
          <t>DefRatio</t>
        </is>
      </c>
      <c r="I646" s="68" t="n">
        <v>518488</v>
      </c>
    </row>
    <row r="647">
      <c r="A647" s="68">
        <f>B647&amp;TEXT(C647,"0000")</f>
        <v/>
      </c>
      <c r="B647" s="68" t="n">
        <v>103</v>
      </c>
      <c r="C647" s="68" t="n">
        <v>44</v>
      </c>
      <c r="D647" s="68" t="inlineStr">
        <is>
          <t>HpRatio</t>
        </is>
      </c>
      <c r="E647" s="68" t="n">
        <v>554692</v>
      </c>
      <c r="F647" s="68" t="inlineStr">
        <is>
          <t>AtkRatio</t>
        </is>
      </c>
      <c r="G647" s="68" t="n">
        <v>554692</v>
      </c>
      <c r="H647" s="68" t="inlineStr">
        <is>
          <t>DefRatio</t>
        </is>
      </c>
      <c r="I647" s="68" t="n">
        <v>554692</v>
      </c>
    </row>
    <row r="648">
      <c r="A648" s="68">
        <f>B648&amp;TEXT(C648,"0000")</f>
        <v/>
      </c>
      <c r="B648" s="68" t="n">
        <v>103</v>
      </c>
      <c r="C648" s="68" t="n">
        <v>45</v>
      </c>
      <c r="D648" s="68" t="inlineStr">
        <is>
          <t>HpRatio</t>
        </is>
      </c>
      <c r="E648" s="68" t="n">
        <v>571258</v>
      </c>
      <c r="F648" s="68" t="inlineStr">
        <is>
          <t>AtkRatio</t>
        </is>
      </c>
      <c r="G648" s="68" t="n">
        <v>571258</v>
      </c>
      <c r="H648" s="68" t="inlineStr">
        <is>
          <t>DefRatio</t>
        </is>
      </c>
      <c r="I648" s="68" t="n">
        <v>571258</v>
      </c>
    </row>
    <row r="649">
      <c r="A649" s="68">
        <f>B649&amp;TEXT(C649,"0000")</f>
        <v/>
      </c>
      <c r="B649" s="68" t="n">
        <v>103</v>
      </c>
      <c r="C649" s="68" t="n">
        <v>46</v>
      </c>
      <c r="D649" s="68" t="inlineStr">
        <is>
          <t>HpRatio</t>
        </is>
      </c>
      <c r="E649" s="68" t="n">
        <v>610740</v>
      </c>
      <c r="F649" s="68" t="inlineStr">
        <is>
          <t>AtkRatio</t>
        </is>
      </c>
      <c r="G649" s="68" t="n">
        <v>610740</v>
      </c>
      <c r="H649" s="68" t="inlineStr">
        <is>
          <t>DefRatio</t>
        </is>
      </c>
      <c r="I649" s="68" t="n">
        <v>610740</v>
      </c>
    </row>
    <row r="650">
      <c r="A650" s="68">
        <f>B650&amp;TEXT(C650,"0000")</f>
        <v/>
      </c>
      <c r="B650" s="68" t="n">
        <v>103</v>
      </c>
      <c r="C650" s="68" t="n">
        <v>47</v>
      </c>
      <c r="D650" s="68" t="inlineStr">
        <is>
          <t>HpRatio</t>
        </is>
      </c>
      <c r="E650" s="68" t="n">
        <v>628304</v>
      </c>
      <c r="F650" s="68" t="inlineStr">
        <is>
          <t>AtkRatio</t>
        </is>
      </c>
      <c r="G650" s="68" t="n">
        <v>628304</v>
      </c>
      <c r="H650" s="68" t="inlineStr">
        <is>
          <t>DefRatio</t>
        </is>
      </c>
      <c r="I650" s="68" t="n">
        <v>628304</v>
      </c>
    </row>
    <row r="651">
      <c r="A651" s="68">
        <f>B651&amp;TEXT(C651,"0000")</f>
        <v/>
      </c>
      <c r="B651" s="68" t="n">
        <v>103</v>
      </c>
      <c r="C651" s="68" t="n">
        <v>48</v>
      </c>
      <c r="D651" s="68" t="inlineStr">
        <is>
          <t>HpRatio</t>
        </is>
      </c>
      <c r="E651" s="68" t="n">
        <v>671336</v>
      </c>
      <c r="F651" s="68" t="inlineStr">
        <is>
          <t>AtkRatio</t>
        </is>
      </c>
      <c r="G651" s="68" t="n">
        <v>671336</v>
      </c>
      <c r="H651" s="68" t="inlineStr">
        <is>
          <t>DefRatio</t>
        </is>
      </c>
      <c r="I651" s="68" t="n">
        <v>671336</v>
      </c>
    </row>
    <row r="652">
      <c r="A652" s="68">
        <f>B652&amp;TEXT(C652,"0000")</f>
        <v/>
      </c>
      <c r="B652" s="68" t="n">
        <v>103</v>
      </c>
      <c r="C652" s="68" t="n">
        <v>49</v>
      </c>
      <c r="D652" s="68" t="inlineStr">
        <is>
          <t>HpRatio</t>
        </is>
      </c>
      <c r="E652" s="68" t="n">
        <v>689964</v>
      </c>
      <c r="F652" s="68" t="inlineStr">
        <is>
          <t>AtkRatio</t>
        </is>
      </c>
      <c r="G652" s="68" t="n">
        <v>689964</v>
      </c>
      <c r="H652" s="68" t="inlineStr">
        <is>
          <t>DefRatio</t>
        </is>
      </c>
      <c r="I652" s="68" t="n">
        <v>689964</v>
      </c>
    </row>
    <row r="653">
      <c r="A653" s="68">
        <f>B653&amp;TEXT(C653,"0000")</f>
        <v/>
      </c>
      <c r="B653" s="68" t="n">
        <v>103</v>
      </c>
      <c r="C653" s="68" t="n">
        <v>50</v>
      </c>
      <c r="D653" s="68" t="inlineStr">
        <is>
          <t>HpRatio</t>
        </is>
      </c>
      <c r="E653" s="68" t="n">
        <v>736834</v>
      </c>
      <c r="F653" s="68" t="inlineStr">
        <is>
          <t>AtkRatio</t>
        </is>
      </c>
      <c r="G653" s="68" t="n">
        <v>736834</v>
      </c>
      <c r="H653" s="68" t="inlineStr">
        <is>
          <t>DefRatio</t>
        </is>
      </c>
      <c r="I653" s="68" t="n">
        <v>736834</v>
      </c>
    </row>
    <row r="654">
      <c r="A654" s="68">
        <f>B654&amp;TEXT(C654,"0000")</f>
        <v/>
      </c>
      <c r="B654" s="68" t="n">
        <v>103</v>
      </c>
      <c r="C654" s="68" t="n">
        <v>51</v>
      </c>
      <c r="D654" s="68" t="inlineStr">
        <is>
          <t>HpRatio</t>
        </is>
      </c>
      <c r="E654" s="68" t="n">
        <v>756595</v>
      </c>
      <c r="F654" s="68" t="inlineStr">
        <is>
          <t>AtkRatio</t>
        </is>
      </c>
      <c r="G654" s="68" t="n">
        <v>756595</v>
      </c>
      <c r="H654" s="68" t="inlineStr">
        <is>
          <t>DefRatio</t>
        </is>
      </c>
      <c r="I654" s="68" t="n">
        <v>756595</v>
      </c>
    </row>
    <row r="655">
      <c r="A655" s="68">
        <f>B655&amp;TEXT(C655,"0000")</f>
        <v/>
      </c>
      <c r="B655" s="68" t="n">
        <v>103</v>
      </c>
      <c r="C655" s="68" t="n">
        <v>52</v>
      </c>
      <c r="D655" s="68" t="inlineStr">
        <is>
          <t>HpRatio</t>
        </is>
      </c>
      <c r="E655" s="68" t="n">
        <v>807616</v>
      </c>
      <c r="F655" s="68" t="inlineStr">
        <is>
          <t>AtkRatio</t>
        </is>
      </c>
      <c r="G655" s="68" t="n">
        <v>807616</v>
      </c>
      <c r="H655" s="68" t="inlineStr">
        <is>
          <t>DefRatio</t>
        </is>
      </c>
      <c r="I655" s="68" t="n">
        <v>807616</v>
      </c>
    </row>
    <row r="656">
      <c r="A656" s="68">
        <f>B656&amp;TEXT(C656,"0000")</f>
        <v/>
      </c>
      <c r="B656" s="68" t="n">
        <v>103</v>
      </c>
      <c r="C656" s="68" t="n">
        <v>53</v>
      </c>
      <c r="D656" s="68" t="inlineStr">
        <is>
          <t>HpRatio</t>
        </is>
      </c>
      <c r="E656" s="68" t="n">
        <v>828585</v>
      </c>
      <c r="F656" s="68" t="inlineStr">
        <is>
          <t>AtkRatio</t>
        </is>
      </c>
      <c r="G656" s="68" t="n">
        <v>828585</v>
      </c>
      <c r="H656" s="68" t="inlineStr">
        <is>
          <t>DefRatio</t>
        </is>
      </c>
      <c r="I656" s="68" t="n">
        <v>828585</v>
      </c>
    </row>
    <row r="657">
      <c r="A657" s="68">
        <f>B657&amp;TEXT(C657,"0000")</f>
        <v/>
      </c>
      <c r="B657" s="68" t="n">
        <v>103</v>
      </c>
      <c r="C657" s="68" t="n">
        <v>54</v>
      </c>
      <c r="D657" s="68" t="inlineStr">
        <is>
          <t>HpRatio</t>
        </is>
      </c>
      <c r="E657" s="68" t="n">
        <v>884096</v>
      </c>
      <c r="F657" s="68" t="inlineStr">
        <is>
          <t>AtkRatio</t>
        </is>
      </c>
      <c r="G657" s="68" t="n">
        <v>884096</v>
      </c>
      <c r="H657" s="68" t="inlineStr">
        <is>
          <t>DefRatio</t>
        </is>
      </c>
      <c r="I657" s="68" t="n">
        <v>884096</v>
      </c>
    </row>
    <row r="658">
      <c r="A658" s="68">
        <f>B658&amp;TEXT(C658,"0000")</f>
        <v/>
      </c>
      <c r="B658" s="68" t="n">
        <v>103</v>
      </c>
      <c r="C658" s="68" t="n">
        <v>55</v>
      </c>
      <c r="D658" s="68" t="inlineStr">
        <is>
          <t>HpRatio</t>
        </is>
      </c>
      <c r="E658" s="68" t="n">
        <v>906351</v>
      </c>
      <c r="F658" s="68" t="inlineStr">
        <is>
          <t>AtkRatio</t>
        </is>
      </c>
      <c r="G658" s="68" t="n">
        <v>906351</v>
      </c>
      <c r="H658" s="68" t="inlineStr">
        <is>
          <t>DefRatio</t>
        </is>
      </c>
      <c r="I658" s="68" t="n">
        <v>906351</v>
      </c>
    </row>
    <row r="659">
      <c r="A659" s="68">
        <f>B659&amp;TEXT(C659,"0000")</f>
        <v/>
      </c>
      <c r="B659" s="68" t="n">
        <v>103</v>
      </c>
      <c r="C659" s="68" t="n">
        <v>56</v>
      </c>
      <c r="D659" s="68" t="inlineStr">
        <is>
          <t>HpRatio</t>
        </is>
      </c>
      <c r="E659" s="68" t="n">
        <v>966715</v>
      </c>
      <c r="F659" s="68" t="inlineStr">
        <is>
          <t>AtkRatio</t>
        </is>
      </c>
      <c r="G659" s="68" t="n">
        <v>966715</v>
      </c>
      <c r="H659" s="68" t="inlineStr">
        <is>
          <t>DefRatio</t>
        </is>
      </c>
      <c r="I659" s="68" t="n">
        <v>966715</v>
      </c>
    </row>
    <row r="660">
      <c r="A660" s="68">
        <f>B660&amp;TEXT(C660,"0000")</f>
        <v/>
      </c>
      <c r="B660" s="68" t="n">
        <v>103</v>
      </c>
      <c r="C660" s="68" t="n">
        <v>57</v>
      </c>
      <c r="D660" s="68" t="inlineStr">
        <is>
          <t>HpRatio</t>
        </is>
      </c>
      <c r="E660" s="68" t="n">
        <v>990340</v>
      </c>
      <c r="F660" s="68" t="inlineStr">
        <is>
          <t>AtkRatio</t>
        </is>
      </c>
      <c r="G660" s="68" t="n">
        <v>990340</v>
      </c>
      <c r="H660" s="68" t="inlineStr">
        <is>
          <t>DefRatio</t>
        </is>
      </c>
      <c r="I660" s="68" t="n">
        <v>990340</v>
      </c>
    </row>
    <row r="661">
      <c r="A661" s="68">
        <f>B661&amp;TEXT(C661,"0000")</f>
        <v/>
      </c>
      <c r="B661" s="68" t="n">
        <v>103</v>
      </c>
      <c r="C661" s="68" t="n">
        <v>58</v>
      </c>
      <c r="D661" s="68" t="inlineStr">
        <is>
          <t>HpRatio</t>
        </is>
      </c>
      <c r="E661" s="68" t="n">
        <v>1055951</v>
      </c>
      <c r="F661" s="68" t="inlineStr">
        <is>
          <t>AtkRatio</t>
        </is>
      </c>
      <c r="G661" s="68" t="n">
        <v>1055951</v>
      </c>
      <c r="H661" s="68" t="inlineStr">
        <is>
          <t>DefRatio</t>
        </is>
      </c>
      <c r="I661" s="68" t="n">
        <v>1055951</v>
      </c>
    </row>
    <row r="662">
      <c r="A662" s="68">
        <f>B662&amp;TEXT(C662,"0000")</f>
        <v/>
      </c>
      <c r="B662" s="68" t="n">
        <v>103</v>
      </c>
      <c r="C662" s="68" t="n">
        <v>59</v>
      </c>
      <c r="D662" s="68" t="inlineStr">
        <is>
          <t>HpRatio</t>
        </is>
      </c>
      <c r="E662" s="68" t="n">
        <v>1081036</v>
      </c>
      <c r="F662" s="68" t="inlineStr">
        <is>
          <t>AtkRatio</t>
        </is>
      </c>
      <c r="G662" s="68" t="n">
        <v>1081036</v>
      </c>
      <c r="H662" s="68" t="inlineStr">
        <is>
          <t>DefRatio</t>
        </is>
      </c>
      <c r="I662" s="68" t="n">
        <v>1081036</v>
      </c>
    </row>
    <row r="663">
      <c r="A663" s="68">
        <f>B663&amp;TEXT(C663,"0000")</f>
        <v/>
      </c>
      <c r="B663" s="68" t="n">
        <v>103</v>
      </c>
      <c r="C663" s="68" t="n">
        <v>60</v>
      </c>
      <c r="D663" s="68" t="inlineStr">
        <is>
          <t>HpRatio</t>
        </is>
      </c>
      <c r="E663" s="68" t="n">
        <v>1152315</v>
      </c>
      <c r="F663" s="68" t="inlineStr">
        <is>
          <t>AtkRatio</t>
        </is>
      </c>
      <c r="G663" s="68" t="n">
        <v>1152315</v>
      </c>
      <c r="H663" s="68" t="inlineStr">
        <is>
          <t>DefRatio</t>
        </is>
      </c>
      <c r="I663" s="68" t="n">
        <v>1152315</v>
      </c>
    </row>
    <row r="664">
      <c r="A664" s="68">
        <f>B664&amp;TEXT(C664,"0000")</f>
        <v/>
      </c>
      <c r="B664" s="68" t="n">
        <v>103</v>
      </c>
      <c r="C664" s="68" t="n">
        <v>61</v>
      </c>
      <c r="D664" s="68" t="inlineStr">
        <is>
          <t>HpRatio</t>
        </is>
      </c>
      <c r="E664" s="68" t="n">
        <v>1178958</v>
      </c>
      <c r="F664" s="68" t="inlineStr">
        <is>
          <t>AtkRatio</t>
        </is>
      </c>
      <c r="G664" s="68" t="n">
        <v>1178958</v>
      </c>
      <c r="H664" s="68" t="inlineStr">
        <is>
          <t>DefRatio</t>
        </is>
      </c>
      <c r="I664" s="68" t="n">
        <v>1178958</v>
      </c>
    </row>
    <row r="665">
      <c r="A665" s="68">
        <f>B665&amp;TEXT(C665,"0000")</f>
        <v/>
      </c>
      <c r="B665" s="68" t="n">
        <v>103</v>
      </c>
      <c r="C665" s="68" t="n">
        <v>62</v>
      </c>
      <c r="D665" s="68" t="inlineStr">
        <is>
          <t>HpRatio</t>
        </is>
      </c>
      <c r="E665" s="68" t="n">
        <v>1256361</v>
      </c>
      <c r="F665" s="68" t="inlineStr">
        <is>
          <t>AtkRatio</t>
        </is>
      </c>
      <c r="G665" s="68" t="n">
        <v>1256361</v>
      </c>
      <c r="H665" s="68" t="inlineStr">
        <is>
          <t>DefRatio</t>
        </is>
      </c>
      <c r="I665" s="68" t="n">
        <v>1256361</v>
      </c>
    </row>
    <row r="666">
      <c r="A666" s="68">
        <f>B666&amp;TEXT(C666,"0000")</f>
        <v/>
      </c>
      <c r="B666" s="68" t="n">
        <v>103</v>
      </c>
      <c r="C666" s="68" t="n">
        <v>63</v>
      </c>
      <c r="D666" s="68" t="inlineStr">
        <is>
          <t>HpRatio</t>
        </is>
      </c>
      <c r="E666" s="68" t="n">
        <v>1284663</v>
      </c>
      <c r="F666" s="68" t="inlineStr">
        <is>
          <t>AtkRatio</t>
        </is>
      </c>
      <c r="G666" s="68" t="n">
        <v>1284663</v>
      </c>
      <c r="H666" s="68" t="inlineStr">
        <is>
          <t>DefRatio</t>
        </is>
      </c>
      <c r="I666" s="68" t="n">
        <v>1284663</v>
      </c>
    </row>
    <row r="667">
      <c r="A667" s="68">
        <f>B667&amp;TEXT(C667,"0000")</f>
        <v/>
      </c>
      <c r="B667" s="68" t="n">
        <v>103</v>
      </c>
      <c r="C667" s="68" t="n">
        <v>64</v>
      </c>
      <c r="D667" s="68" t="inlineStr">
        <is>
          <t>HpRatio</t>
        </is>
      </c>
      <c r="E667" s="68" t="n">
        <v>1368682</v>
      </c>
      <c r="F667" s="68" t="inlineStr">
        <is>
          <t>AtkRatio</t>
        </is>
      </c>
      <c r="G667" s="68" t="n">
        <v>1368682</v>
      </c>
      <c r="H667" s="68" t="inlineStr">
        <is>
          <t>DefRatio</t>
        </is>
      </c>
      <c r="I667" s="68" t="n">
        <v>1368682</v>
      </c>
    </row>
    <row r="668">
      <c r="A668" s="68">
        <f>B668&amp;TEXT(C668,"0000")</f>
        <v/>
      </c>
      <c r="B668" s="68" t="n">
        <v>103</v>
      </c>
      <c r="C668" s="68" t="n">
        <v>65</v>
      </c>
      <c r="D668" s="68" t="inlineStr">
        <is>
          <t>HpRatio</t>
        </is>
      </c>
      <c r="E668" s="68" t="n">
        <v>1398753</v>
      </c>
      <c r="F668" s="68" t="inlineStr">
        <is>
          <t>AtkRatio</t>
        </is>
      </c>
      <c r="G668" s="68" t="n">
        <v>1398753</v>
      </c>
      <c r="H668" s="68" t="inlineStr">
        <is>
          <t>DefRatio</t>
        </is>
      </c>
      <c r="I668" s="68" t="n">
        <v>1398753</v>
      </c>
    </row>
    <row r="669">
      <c r="A669" s="68">
        <f>B669&amp;TEXT(C669,"0000")</f>
        <v/>
      </c>
      <c r="B669" s="68" t="n">
        <v>103</v>
      </c>
      <c r="C669" s="68" t="n">
        <v>66</v>
      </c>
      <c r="D669" s="68" t="inlineStr">
        <is>
          <t>HpRatio</t>
        </is>
      </c>
      <c r="E669" s="68" t="n">
        <v>1489917</v>
      </c>
      <c r="F669" s="68" t="inlineStr">
        <is>
          <t>AtkRatio</t>
        </is>
      </c>
      <c r="G669" s="68" t="n">
        <v>1489917</v>
      </c>
      <c r="H669" s="68" t="inlineStr">
        <is>
          <t>DefRatio</t>
        </is>
      </c>
      <c r="I669" s="68" t="n">
        <v>1489917</v>
      </c>
    </row>
    <row r="670">
      <c r="A670" s="68">
        <f>B670&amp;TEXT(C670,"0000")</f>
        <v/>
      </c>
      <c r="B670" s="68" t="n">
        <v>103</v>
      </c>
      <c r="C670" s="68" t="n">
        <v>67</v>
      </c>
      <c r="D670" s="68" t="inlineStr">
        <is>
          <t>HpRatio</t>
        </is>
      </c>
      <c r="E670" s="68" t="n">
        <v>1521874</v>
      </c>
      <c r="F670" s="68" t="inlineStr">
        <is>
          <t>AtkRatio</t>
        </is>
      </c>
      <c r="G670" s="68" t="n">
        <v>1521874</v>
      </c>
      <c r="H670" s="68" t="inlineStr">
        <is>
          <t>DefRatio</t>
        </is>
      </c>
      <c r="I670" s="68" t="n">
        <v>1521874</v>
      </c>
    </row>
    <row r="671">
      <c r="A671" s="68">
        <f>B671&amp;TEXT(C671,"0000")</f>
        <v/>
      </c>
      <c r="B671" s="68" t="n">
        <v>103</v>
      </c>
      <c r="C671" s="68" t="n">
        <v>68</v>
      </c>
      <c r="D671" s="68" t="inlineStr">
        <is>
          <t>HpRatio</t>
        </is>
      </c>
      <c r="E671" s="68" t="n">
        <v>1620755</v>
      </c>
      <c r="F671" s="68" t="inlineStr">
        <is>
          <t>AtkRatio</t>
        </is>
      </c>
      <c r="G671" s="68" t="n">
        <v>1620755</v>
      </c>
      <c r="H671" s="68" t="inlineStr">
        <is>
          <t>DefRatio</t>
        </is>
      </c>
      <c r="I671" s="68" t="n">
        <v>1620755</v>
      </c>
    </row>
    <row r="672">
      <c r="A672" s="68">
        <f>B672&amp;TEXT(C672,"0000")</f>
        <v/>
      </c>
      <c r="B672" s="68" t="n">
        <v>103</v>
      </c>
      <c r="C672" s="68" t="n">
        <v>69</v>
      </c>
      <c r="D672" s="68" t="inlineStr">
        <is>
          <t>HpRatio</t>
        </is>
      </c>
      <c r="E672" s="68" t="n">
        <v>1654722</v>
      </c>
      <c r="F672" s="68" t="inlineStr">
        <is>
          <t>AtkRatio</t>
        </is>
      </c>
      <c r="G672" s="68" t="n">
        <v>1654722</v>
      </c>
      <c r="H672" s="68" t="inlineStr">
        <is>
          <t>DefRatio</t>
        </is>
      </c>
      <c r="I672" s="68" t="n">
        <v>1654722</v>
      </c>
    </row>
    <row r="673">
      <c r="A673" s="68">
        <f>B673&amp;TEXT(C673,"0000")</f>
        <v/>
      </c>
      <c r="B673" s="68" t="n">
        <v>103</v>
      </c>
      <c r="C673" s="68" t="n">
        <v>70</v>
      </c>
      <c r="D673" s="68" t="inlineStr">
        <is>
          <t>HpRatio</t>
        </is>
      </c>
      <c r="E673" s="68" t="n">
        <v>1761934</v>
      </c>
      <c r="F673" s="68" t="inlineStr">
        <is>
          <t>AtkRatio</t>
        </is>
      </c>
      <c r="G673" s="68" t="n">
        <v>1761934</v>
      </c>
      <c r="H673" s="68" t="inlineStr">
        <is>
          <t>DefRatio</t>
        </is>
      </c>
      <c r="I673" s="68" t="n">
        <v>1761934</v>
      </c>
    </row>
    <row r="674">
      <c r="A674" s="68">
        <f>B674&amp;TEXT(C674,"0000")</f>
        <v/>
      </c>
      <c r="B674" s="68" t="n">
        <v>103</v>
      </c>
      <c r="C674" s="68" t="n">
        <v>71</v>
      </c>
      <c r="D674" s="68" t="inlineStr">
        <is>
          <t>HpRatio</t>
        </is>
      </c>
      <c r="E674" s="68" t="n">
        <v>1798046</v>
      </c>
      <c r="F674" s="68" t="inlineStr">
        <is>
          <t>AtkRatio</t>
        </is>
      </c>
      <c r="G674" s="68" t="n">
        <v>1798046</v>
      </c>
      <c r="H674" s="68" t="inlineStr">
        <is>
          <t>DefRatio</t>
        </is>
      </c>
      <c r="I674" s="68" t="n">
        <v>1798046</v>
      </c>
    </row>
    <row r="675">
      <c r="A675" s="68">
        <f>B675&amp;TEXT(C675,"0000")</f>
        <v/>
      </c>
      <c r="B675" s="68" t="n">
        <v>103</v>
      </c>
      <c r="C675" s="68" t="n">
        <v>72</v>
      </c>
      <c r="D675" s="68" t="inlineStr">
        <is>
          <t>HpRatio</t>
        </is>
      </c>
      <c r="E675" s="68" t="n">
        <v>1914253</v>
      </c>
      <c r="F675" s="68" t="inlineStr">
        <is>
          <t>AtkRatio</t>
        </is>
      </c>
      <c r="G675" s="68" t="n">
        <v>1914253</v>
      </c>
      <c r="H675" s="68" t="inlineStr">
        <is>
          <t>DefRatio</t>
        </is>
      </c>
      <c r="I675" s="68" t="n">
        <v>1914253</v>
      </c>
    </row>
    <row r="676">
      <c r="A676" s="68">
        <f>B676&amp;TEXT(C676,"0000")</f>
        <v/>
      </c>
      <c r="B676" s="68" t="n">
        <v>103</v>
      </c>
      <c r="C676" s="68" t="n">
        <v>73</v>
      </c>
      <c r="D676" s="68" t="inlineStr">
        <is>
          <t>HpRatio</t>
        </is>
      </c>
      <c r="E676" s="68" t="n">
        <v>1952651</v>
      </c>
      <c r="F676" s="68" t="inlineStr">
        <is>
          <t>AtkRatio</t>
        </is>
      </c>
      <c r="G676" s="68" t="n">
        <v>1952651</v>
      </c>
      <c r="H676" s="68" t="inlineStr">
        <is>
          <t>DefRatio</t>
        </is>
      </c>
      <c r="I676" s="68" t="n">
        <v>1952651</v>
      </c>
    </row>
    <row r="677">
      <c r="A677" s="68">
        <f>B677&amp;TEXT(C677,"0000")</f>
        <v/>
      </c>
      <c r="B677" s="68" t="n">
        <v>103</v>
      </c>
      <c r="C677" s="68" t="n">
        <v>74</v>
      </c>
      <c r="D677" s="68" t="inlineStr">
        <is>
          <t>HpRatio</t>
        </is>
      </c>
      <c r="E677" s="68" t="n">
        <v>2078568</v>
      </c>
      <c r="F677" s="68" t="inlineStr">
        <is>
          <t>AtkRatio</t>
        </is>
      </c>
      <c r="G677" s="68" t="n">
        <v>2078568</v>
      </c>
      <c r="H677" s="68" t="inlineStr">
        <is>
          <t>DefRatio</t>
        </is>
      </c>
      <c r="I677" s="68" t="n">
        <v>2078568</v>
      </c>
    </row>
    <row r="678">
      <c r="A678" s="68">
        <f>B678&amp;TEXT(C678,"0000")</f>
        <v/>
      </c>
      <c r="B678" s="68" t="n">
        <v>103</v>
      </c>
      <c r="C678" s="68" t="n">
        <v>75</v>
      </c>
      <c r="D678" s="68" t="inlineStr">
        <is>
          <t>HpRatio</t>
        </is>
      </c>
      <c r="E678" s="68" t="n">
        <v>2119405</v>
      </c>
      <c r="F678" s="68" t="inlineStr">
        <is>
          <t>AtkRatio</t>
        </is>
      </c>
      <c r="G678" s="68" t="n">
        <v>2119405</v>
      </c>
      <c r="H678" s="68" t="inlineStr">
        <is>
          <t>DefRatio</t>
        </is>
      </c>
      <c r="I678" s="68" t="n">
        <v>2119405</v>
      </c>
    </row>
    <row r="679">
      <c r="A679" s="68">
        <f>B679&amp;TEXT(C679,"0000")</f>
        <v/>
      </c>
      <c r="B679" s="68" t="n">
        <v>103</v>
      </c>
      <c r="C679" s="68" t="n">
        <v>76</v>
      </c>
      <c r="D679" s="68" t="inlineStr">
        <is>
          <t>HpRatio</t>
        </is>
      </c>
      <c r="E679" s="68" t="n">
        <v>2255801</v>
      </c>
      <c r="F679" s="68" t="inlineStr">
        <is>
          <t>AtkRatio</t>
        </is>
      </c>
      <c r="G679" s="68" t="n">
        <v>2255801</v>
      </c>
      <c r="H679" s="68" t="inlineStr">
        <is>
          <t>DefRatio</t>
        </is>
      </c>
      <c r="I679" s="68" t="n">
        <v>2255801</v>
      </c>
    </row>
    <row r="680">
      <c r="A680" s="68">
        <f>B680&amp;TEXT(C680,"0000")</f>
        <v/>
      </c>
      <c r="B680" s="68" t="n">
        <v>103</v>
      </c>
      <c r="C680" s="68" t="n">
        <v>77</v>
      </c>
      <c r="D680" s="68" t="inlineStr">
        <is>
          <t>HpRatio</t>
        </is>
      </c>
      <c r="E680" s="68" t="n">
        <v>2299239</v>
      </c>
      <c r="F680" s="68" t="inlineStr">
        <is>
          <t>AtkRatio</t>
        </is>
      </c>
      <c r="G680" s="68" t="n">
        <v>2299239</v>
      </c>
      <c r="H680" s="68" t="inlineStr">
        <is>
          <t>DefRatio</t>
        </is>
      </c>
      <c r="I680" s="68" t="n">
        <v>2299239</v>
      </c>
    </row>
    <row r="681">
      <c r="A681" s="68">
        <f>B681&amp;TEXT(C681,"0000")</f>
        <v/>
      </c>
      <c r="B681" s="68" t="n">
        <v>103</v>
      </c>
      <c r="C681" s="68" t="n">
        <v>78</v>
      </c>
      <c r="D681" s="68" t="inlineStr">
        <is>
          <t>HpRatio</t>
        </is>
      </c>
      <c r="E681" s="68" t="n">
        <v>2446944</v>
      </c>
      <c r="F681" s="68" t="inlineStr">
        <is>
          <t>AtkRatio</t>
        </is>
      </c>
      <c r="G681" s="68" t="n">
        <v>2446944</v>
      </c>
      <c r="H681" s="68" t="inlineStr">
        <is>
          <t>DefRatio</t>
        </is>
      </c>
      <c r="I681" s="68" t="n">
        <v>2446944</v>
      </c>
    </row>
    <row r="682">
      <c r="A682" s="68">
        <f>B682&amp;TEXT(C682,"0000")</f>
        <v/>
      </c>
      <c r="B682" s="68" t="n">
        <v>103</v>
      </c>
      <c r="C682" s="68" t="n">
        <v>79</v>
      </c>
      <c r="D682" s="68" t="inlineStr">
        <is>
          <t>HpRatio</t>
        </is>
      </c>
      <c r="E682" s="68" t="n">
        <v>2493157</v>
      </c>
      <c r="F682" s="68" t="inlineStr">
        <is>
          <t>AtkRatio</t>
        </is>
      </c>
      <c r="G682" s="68" t="n">
        <v>2493157</v>
      </c>
      <c r="H682" s="68" t="inlineStr">
        <is>
          <t>DefRatio</t>
        </is>
      </c>
      <c r="I682" s="68" t="n">
        <v>2493157</v>
      </c>
    </row>
    <row r="683">
      <c r="A683" s="68">
        <f>B683&amp;TEXT(C683,"0000")</f>
        <v/>
      </c>
      <c r="B683" s="68" t="n">
        <v>103</v>
      </c>
      <c r="C683" s="68" t="n">
        <v>80</v>
      </c>
      <c r="D683" s="68" t="inlineStr">
        <is>
          <t>HpRatio</t>
        </is>
      </c>
      <c r="E683" s="68" t="n">
        <v>2653066</v>
      </c>
      <c r="F683" s="68" t="inlineStr">
        <is>
          <t>AtkRatio</t>
        </is>
      </c>
      <c r="G683" s="68" t="n">
        <v>2653066</v>
      </c>
      <c r="H683" s="68" t="inlineStr">
        <is>
          <t>DefRatio</t>
        </is>
      </c>
      <c r="I683" s="68" t="n">
        <v>2653066</v>
      </c>
    </row>
    <row r="684">
      <c r="A684" s="68">
        <f>B684&amp;TEXT(C684,"0000")</f>
        <v/>
      </c>
      <c r="B684" s="68" t="n">
        <v>103</v>
      </c>
      <c r="C684" s="68" t="n">
        <v>81</v>
      </c>
      <c r="D684" s="68" t="inlineStr">
        <is>
          <t>HpRatio</t>
        </is>
      </c>
      <c r="E684" s="68" t="n">
        <v>2702240</v>
      </c>
      <c r="F684" s="68" t="inlineStr">
        <is>
          <t>AtkRatio</t>
        </is>
      </c>
      <c r="G684" s="68" t="n">
        <v>2702240</v>
      </c>
      <c r="H684" s="68" t="inlineStr">
        <is>
          <t>DefRatio</t>
        </is>
      </c>
      <c r="I684" s="68" t="n">
        <v>2702240</v>
      </c>
    </row>
    <row r="685">
      <c r="A685" s="68">
        <f>B685&amp;TEXT(C685,"0000")</f>
        <v/>
      </c>
      <c r="B685" s="68" t="n">
        <v>103</v>
      </c>
      <c r="C685" s="68" t="n">
        <v>82</v>
      </c>
      <c r="D685" s="68" t="inlineStr">
        <is>
          <t>HpRatio</t>
        </is>
      </c>
      <c r="E685" s="68" t="n">
        <v>3427874</v>
      </c>
      <c r="F685" s="68" t="inlineStr">
        <is>
          <t>AtkRatio</t>
        </is>
      </c>
      <c r="G685" s="68" t="n">
        <v>3427874</v>
      </c>
      <c r="H685" s="68" t="inlineStr">
        <is>
          <t>DefRatio</t>
        </is>
      </c>
      <c r="I685" s="68" t="n">
        <v>3427874</v>
      </c>
    </row>
    <row r="686">
      <c r="A686" s="68">
        <f>B686&amp;TEXT(C686,"0000")</f>
        <v/>
      </c>
      <c r="B686" s="68" t="n">
        <v>103</v>
      </c>
      <c r="C686" s="68" t="n">
        <v>83</v>
      </c>
      <c r="D686" s="68" t="inlineStr">
        <is>
          <t>HpRatio</t>
        </is>
      </c>
      <c r="E686" s="68" t="n">
        <v>3649300</v>
      </c>
      <c r="F686" s="68" t="inlineStr">
        <is>
          <t>AtkRatio</t>
        </is>
      </c>
      <c r="G686" s="68" t="n">
        <v>3649300</v>
      </c>
      <c r="H686" s="68" t="inlineStr">
        <is>
          <t>DefRatio</t>
        </is>
      </c>
      <c r="I686" s="68" t="n">
        <v>3649300</v>
      </c>
    </row>
    <row r="687">
      <c r="A687" s="68">
        <f>B687&amp;TEXT(C687,"0000")</f>
        <v/>
      </c>
      <c r="B687" s="68" t="n">
        <v>103</v>
      </c>
      <c r="C687" s="68" t="n">
        <v>84</v>
      </c>
      <c r="D687" s="68" t="inlineStr">
        <is>
          <t>HpRatio</t>
        </is>
      </c>
      <c r="E687" s="68" t="n">
        <v>3717160</v>
      </c>
      <c r="F687" s="68" t="inlineStr">
        <is>
          <t>AtkRatio</t>
        </is>
      </c>
      <c r="G687" s="68" t="n">
        <v>3717160</v>
      </c>
      <c r="H687" s="68" t="inlineStr">
        <is>
          <t>DefRatio</t>
        </is>
      </c>
      <c r="I687" s="68" t="n">
        <v>3717160</v>
      </c>
    </row>
    <row r="688">
      <c r="A688" s="68">
        <f>B688&amp;TEXT(C688,"0000")</f>
        <v/>
      </c>
      <c r="B688" s="68" t="n">
        <v>103</v>
      </c>
      <c r="C688" s="68" t="n">
        <v>85</v>
      </c>
      <c r="D688" s="68" t="inlineStr">
        <is>
          <t>HpRatio</t>
        </is>
      </c>
      <c r="E688" s="68" t="n">
        <v>3956943</v>
      </c>
      <c r="F688" s="68" t="inlineStr">
        <is>
          <t>AtkRatio</t>
        </is>
      </c>
      <c r="G688" s="68" t="n">
        <v>3956943</v>
      </c>
      <c r="H688" s="68" t="inlineStr">
        <is>
          <t>DefRatio</t>
        </is>
      </c>
      <c r="I688" s="68" t="n">
        <v>3956943</v>
      </c>
    </row>
    <row r="689">
      <c r="A689" s="68">
        <f>B689&amp;TEXT(C689,"0000")</f>
        <v/>
      </c>
      <c r="B689" s="68" t="n">
        <v>103</v>
      </c>
      <c r="C689" s="68" t="n">
        <v>86</v>
      </c>
      <c r="D689" s="68" t="inlineStr">
        <is>
          <t>HpRatio</t>
        </is>
      </c>
      <c r="E689" s="68" t="n">
        <v>4029243</v>
      </c>
      <c r="F689" s="68" t="inlineStr">
        <is>
          <t>AtkRatio</t>
        </is>
      </c>
      <c r="G689" s="68" t="n">
        <v>4029243</v>
      </c>
      <c r="H689" s="68" t="inlineStr">
        <is>
          <t>DefRatio</t>
        </is>
      </c>
      <c r="I689" s="68" t="n">
        <v>4029243</v>
      </c>
    </row>
    <row r="690">
      <c r="A690" s="68">
        <f>B690&amp;TEXT(C690,"0000")</f>
        <v/>
      </c>
      <c r="B690" s="68" t="n">
        <v>103</v>
      </c>
      <c r="C690" s="68" t="n">
        <v>87</v>
      </c>
      <c r="D690" s="68" t="inlineStr">
        <is>
          <t>HpRatio</t>
        </is>
      </c>
      <c r="E690" s="68" t="n">
        <v>4288843</v>
      </c>
      <c r="F690" s="68" t="inlineStr">
        <is>
          <t>AtkRatio</t>
        </is>
      </c>
      <c r="G690" s="68" t="n">
        <v>4288843</v>
      </c>
      <c r="H690" s="68" t="inlineStr">
        <is>
          <t>DefRatio</t>
        </is>
      </c>
      <c r="I690" s="68" t="n">
        <v>4288843</v>
      </c>
    </row>
    <row r="691">
      <c r="A691" s="68">
        <f>B691&amp;TEXT(C691,"0000")</f>
        <v/>
      </c>
      <c r="B691" s="68" t="n">
        <v>103</v>
      </c>
      <c r="C691" s="68" t="n">
        <v>88</v>
      </c>
      <c r="D691" s="68" t="inlineStr">
        <is>
          <t>HpRatio</t>
        </is>
      </c>
      <c r="E691" s="68" t="n">
        <v>4365884</v>
      </c>
      <c r="F691" s="68" t="inlineStr">
        <is>
          <t>AtkRatio</t>
        </is>
      </c>
      <c r="G691" s="68" t="n">
        <v>4365884</v>
      </c>
      <c r="H691" s="68" t="inlineStr">
        <is>
          <t>DefRatio</t>
        </is>
      </c>
      <c r="I691" s="68" t="n">
        <v>4365884</v>
      </c>
    </row>
    <row r="692">
      <c r="A692" s="68">
        <f>B692&amp;TEXT(C692,"0000")</f>
        <v/>
      </c>
      <c r="B692" s="68" t="n">
        <v>103</v>
      </c>
      <c r="C692" s="68" t="n">
        <v>89</v>
      </c>
      <c r="D692" s="68" t="inlineStr">
        <is>
          <t>HpRatio</t>
        </is>
      </c>
      <c r="E692" s="68" t="n">
        <v>4646871</v>
      </c>
      <c r="F692" s="68" t="inlineStr">
        <is>
          <t>AtkRatio</t>
        </is>
      </c>
      <c r="G692" s="68" t="n">
        <v>4646871</v>
      </c>
      <c r="H692" s="68" t="inlineStr">
        <is>
          <t>DefRatio</t>
        </is>
      </c>
      <c r="I692" s="68" t="n">
        <v>4646871</v>
      </c>
    </row>
    <row r="693">
      <c r="A693" s="68">
        <f>B693&amp;TEXT(C693,"0000")</f>
        <v/>
      </c>
      <c r="B693" s="68" t="n">
        <v>103</v>
      </c>
      <c r="C693" s="68" t="n">
        <v>90</v>
      </c>
      <c r="D693" s="68" t="inlineStr">
        <is>
          <t>HpRatio</t>
        </is>
      </c>
      <c r="E693" s="68" t="n">
        <v>4946078</v>
      </c>
      <c r="F693" s="68" t="inlineStr">
        <is>
          <t>AtkRatio</t>
        </is>
      </c>
      <c r="G693" s="68" t="n">
        <v>4946078</v>
      </c>
      <c r="H693" s="68" t="inlineStr">
        <is>
          <t>DefRatio</t>
        </is>
      </c>
      <c r="I693" s="68" t="n">
        <v>4946078</v>
      </c>
    </row>
    <row r="694">
      <c r="A694" s="68">
        <f>B694&amp;TEXT(C694,"0000")</f>
        <v/>
      </c>
      <c r="B694" s="68" t="n">
        <v>103</v>
      </c>
      <c r="C694" s="68" t="n">
        <v>91</v>
      </c>
      <c r="D694" s="68" t="inlineStr">
        <is>
          <t>HpRatio</t>
        </is>
      </c>
      <c r="E694" s="68" t="n">
        <v>5033045</v>
      </c>
      <c r="F694" s="68" t="inlineStr">
        <is>
          <t>AtkRatio</t>
        </is>
      </c>
      <c r="G694" s="68" t="n">
        <v>5033045</v>
      </c>
      <c r="H694" s="68" t="inlineStr">
        <is>
          <t>DefRatio</t>
        </is>
      </c>
      <c r="I694" s="68" t="n">
        <v>5033045</v>
      </c>
    </row>
    <row r="695">
      <c r="A695" s="68">
        <f>B695&amp;TEXT(C695,"0000")</f>
        <v/>
      </c>
      <c r="B695" s="68" t="n">
        <v>103</v>
      </c>
      <c r="C695" s="68" t="n">
        <v>92</v>
      </c>
      <c r="D695" s="68" t="inlineStr">
        <is>
          <t>HpRatio</t>
        </is>
      </c>
      <c r="E695" s="68" t="n">
        <v>5356826</v>
      </c>
      <c r="F695" s="68" t="inlineStr">
        <is>
          <t>AtkRatio</t>
        </is>
      </c>
      <c r="G695" s="68" t="n">
        <v>5356826</v>
      </c>
      <c r="H695" s="68" t="inlineStr">
        <is>
          <t>DefRatio</t>
        </is>
      </c>
      <c r="I695" s="68" t="n">
        <v>5356826</v>
      </c>
    </row>
    <row r="696">
      <c r="A696" s="68">
        <f>B696&amp;TEXT(C696,"0000")</f>
        <v/>
      </c>
      <c r="B696" s="68" t="n">
        <v>103</v>
      </c>
      <c r="C696" s="68" t="n">
        <v>93</v>
      </c>
      <c r="D696" s="68" t="inlineStr">
        <is>
          <t>HpRatio</t>
        </is>
      </c>
      <c r="E696" s="68" t="n">
        <v>5449534</v>
      </c>
      <c r="F696" s="68" t="inlineStr">
        <is>
          <t>AtkRatio</t>
        </is>
      </c>
      <c r="G696" s="68" t="n">
        <v>5449534</v>
      </c>
      <c r="H696" s="68" t="inlineStr">
        <is>
          <t>DefRatio</t>
        </is>
      </c>
      <c r="I696" s="68" t="n">
        <v>5449534</v>
      </c>
    </row>
    <row r="697">
      <c r="A697" s="68">
        <f>B697&amp;TEXT(C697,"0000")</f>
        <v/>
      </c>
      <c r="B697" s="68" t="n">
        <v>103</v>
      </c>
      <c r="C697" s="68" t="n">
        <v>94</v>
      </c>
      <c r="D697" s="68" t="inlineStr">
        <is>
          <t>HpRatio</t>
        </is>
      </c>
      <c r="E697" s="68" t="n">
        <v>5799834</v>
      </c>
      <c r="F697" s="68" t="inlineStr">
        <is>
          <t>AtkRatio</t>
        </is>
      </c>
      <c r="G697" s="68" t="n">
        <v>5799834</v>
      </c>
      <c r="H697" s="68" t="inlineStr">
        <is>
          <t>DefRatio</t>
        </is>
      </c>
      <c r="I697" s="68" t="n">
        <v>5799834</v>
      </c>
    </row>
    <row r="698">
      <c r="A698" s="68">
        <f>B698&amp;TEXT(C698,"0000")</f>
        <v/>
      </c>
      <c r="B698" s="68" t="n">
        <v>103</v>
      </c>
      <c r="C698" s="68" t="n">
        <v>95</v>
      </c>
      <c r="D698" s="68" t="inlineStr">
        <is>
          <t>HpRatio</t>
        </is>
      </c>
      <c r="E698" s="68" t="n">
        <v>5898676</v>
      </c>
      <c r="F698" s="68" t="inlineStr">
        <is>
          <t>AtkRatio</t>
        </is>
      </c>
      <c r="G698" s="68" t="n">
        <v>5898676</v>
      </c>
      <c r="H698" s="68" t="inlineStr">
        <is>
          <t>DefRatio</t>
        </is>
      </c>
      <c r="I698" s="68" t="n">
        <v>5898676</v>
      </c>
    </row>
    <row r="699">
      <c r="A699" s="68">
        <f>B699&amp;TEXT(C699,"0000")</f>
        <v/>
      </c>
      <c r="B699" s="68" t="n">
        <v>103</v>
      </c>
      <c r="C699" s="68" t="n">
        <v>96</v>
      </c>
      <c r="D699" s="68" t="inlineStr">
        <is>
          <t>HpRatio</t>
        </is>
      </c>
      <c r="E699" s="68" t="n">
        <v>6277591</v>
      </c>
      <c r="F699" s="68" t="inlineStr">
        <is>
          <t>AtkRatio</t>
        </is>
      </c>
      <c r="G699" s="68" t="n">
        <v>6277591</v>
      </c>
      <c r="H699" s="68" t="inlineStr">
        <is>
          <t>DefRatio</t>
        </is>
      </c>
      <c r="I699" s="68" t="n">
        <v>6277591</v>
      </c>
    </row>
    <row r="700">
      <c r="A700" s="68">
        <f>B700&amp;TEXT(C700,"0000")</f>
        <v/>
      </c>
      <c r="B700" s="68" t="n">
        <v>103</v>
      </c>
      <c r="C700" s="68" t="n">
        <v>97</v>
      </c>
      <c r="D700" s="68" t="inlineStr">
        <is>
          <t>HpRatio</t>
        </is>
      </c>
      <c r="E700" s="68" t="n">
        <v>6382984</v>
      </c>
      <c r="F700" s="68" t="inlineStr">
        <is>
          <t>AtkRatio</t>
        </is>
      </c>
      <c r="G700" s="68" t="n">
        <v>6382984</v>
      </c>
      <c r="H700" s="68" t="inlineStr">
        <is>
          <t>DefRatio</t>
        </is>
      </c>
      <c r="I700" s="68" t="n">
        <v>6382984</v>
      </c>
    </row>
    <row r="701">
      <c r="A701" s="68">
        <f>B701&amp;TEXT(C701,"0000")</f>
        <v/>
      </c>
      <c r="B701" s="68" t="n">
        <v>103</v>
      </c>
      <c r="C701" s="68" t="n">
        <v>98</v>
      </c>
      <c r="D701" s="68" t="inlineStr">
        <is>
          <t>HpRatio</t>
        </is>
      </c>
      <c r="E701" s="68" t="n">
        <v>6792776</v>
      </c>
      <c r="F701" s="68" t="inlineStr">
        <is>
          <t>AtkRatio</t>
        </is>
      </c>
      <c r="G701" s="68" t="n">
        <v>6792776</v>
      </c>
      <c r="H701" s="68" t="inlineStr">
        <is>
          <t>DefRatio</t>
        </is>
      </c>
      <c r="I701" s="68" t="n">
        <v>6792776</v>
      </c>
    </row>
    <row r="702">
      <c r="A702" s="68">
        <f>B702&amp;TEXT(C702,"0000")</f>
        <v/>
      </c>
      <c r="B702" s="68" t="n">
        <v>103</v>
      </c>
      <c r="C702" s="68" t="n">
        <v>99</v>
      </c>
      <c r="D702" s="68" t="inlineStr">
        <is>
          <t>HpRatio</t>
        </is>
      </c>
      <c r="E702" s="68" t="n">
        <v>7229138</v>
      </c>
      <c r="F702" s="68" t="inlineStr">
        <is>
          <t>AtkRatio</t>
        </is>
      </c>
      <c r="G702" s="68" t="n">
        <v>7229138</v>
      </c>
      <c r="H702" s="68" t="inlineStr">
        <is>
          <t>DefRatio</t>
        </is>
      </c>
      <c r="I702" s="68" t="n">
        <v>7229138</v>
      </c>
    </row>
    <row r="703">
      <c r="A703" s="68">
        <f>B703&amp;TEXT(C703,"0000")</f>
        <v/>
      </c>
      <c r="B703" s="68" t="n">
        <v>103</v>
      </c>
      <c r="C703" s="68" t="n">
        <v>100</v>
      </c>
      <c r="D703" s="68" t="inlineStr">
        <is>
          <t>HpRatio</t>
        </is>
      </c>
      <c r="E703" s="68" t="n">
        <v>7348271</v>
      </c>
      <c r="F703" s="68" t="inlineStr">
        <is>
          <t>AtkRatio</t>
        </is>
      </c>
      <c r="G703" s="68" t="n">
        <v>7348271</v>
      </c>
      <c r="H703" s="68" t="inlineStr">
        <is>
          <t>DefRatio</t>
        </is>
      </c>
      <c r="I703" s="68" t="n">
        <v>7348271</v>
      </c>
    </row>
    <row r="704">
      <c r="A704" s="68">
        <f>B704&amp;TEXT(C704,"0000")</f>
        <v/>
      </c>
      <c r="B704" s="68" t="n">
        <v>103</v>
      </c>
      <c r="C704" s="68" t="n">
        <v>101</v>
      </c>
      <c r="D704" s="68" t="inlineStr">
        <is>
          <t>HpRatio</t>
        </is>
      </c>
      <c r="E704" s="68" t="n">
        <v>7820104</v>
      </c>
      <c r="F704" s="68" t="inlineStr">
        <is>
          <t>AtkRatio</t>
        </is>
      </c>
      <c r="G704" s="68" t="n">
        <v>7820104</v>
      </c>
      <c r="H704" s="68" t="inlineStr">
        <is>
          <t>DefRatio</t>
        </is>
      </c>
      <c r="I704" s="68" t="n">
        <v>7820104</v>
      </c>
    </row>
    <row r="705">
      <c r="A705" s="68">
        <f>B705&amp;TEXT(C705,"0000")</f>
        <v/>
      </c>
      <c r="B705" s="68" t="n">
        <v>103</v>
      </c>
      <c r="C705" s="68" t="n">
        <v>102</v>
      </c>
      <c r="D705" s="68" t="inlineStr">
        <is>
          <t>HpRatio</t>
        </is>
      </c>
      <c r="E705" s="68" t="n">
        <v>7947182</v>
      </c>
      <c r="F705" s="68" t="inlineStr">
        <is>
          <t>AtkRatio</t>
        </is>
      </c>
      <c r="G705" s="68" t="n">
        <v>7947182</v>
      </c>
      <c r="H705" s="68" t="inlineStr">
        <is>
          <t>DefRatio</t>
        </is>
      </c>
      <c r="I705" s="68" t="n">
        <v>7947182</v>
      </c>
    </row>
    <row r="706">
      <c r="A706" s="68">
        <f>B706&amp;TEXT(C706,"0000")</f>
        <v/>
      </c>
      <c r="B706" s="68" t="n">
        <v>103</v>
      </c>
      <c r="C706" s="68" t="n">
        <v>103</v>
      </c>
      <c r="D706" s="68" t="inlineStr">
        <is>
          <t>HpRatio</t>
        </is>
      </c>
      <c r="E706" s="68" t="n">
        <v>8457282</v>
      </c>
      <c r="F706" s="68" t="inlineStr">
        <is>
          <t>AtkRatio</t>
        </is>
      </c>
      <c r="G706" s="68" t="n">
        <v>8457282</v>
      </c>
      <c r="H706" s="68" t="inlineStr">
        <is>
          <t>DefRatio</t>
        </is>
      </c>
      <c r="I706" s="68" t="n">
        <v>8457282</v>
      </c>
    </row>
    <row r="707">
      <c r="A707" s="68">
        <f>B707&amp;TEXT(C707,"0000")</f>
        <v/>
      </c>
      <c r="B707" s="68" t="n">
        <v>103</v>
      </c>
      <c r="C707" s="68" t="n">
        <v>104</v>
      </c>
      <c r="D707" s="68" t="inlineStr">
        <is>
          <t>HpRatio</t>
        </is>
      </c>
      <c r="E707" s="68" t="n">
        <v>8592849</v>
      </c>
      <c r="F707" s="68" t="inlineStr">
        <is>
          <t>AtkRatio</t>
        </is>
      </c>
      <c r="G707" s="68" t="n">
        <v>8592849</v>
      </c>
      <c r="H707" s="68" t="inlineStr">
        <is>
          <t>DefRatio</t>
        </is>
      </c>
      <c r="I707" s="68" t="n">
        <v>8592849</v>
      </c>
    </row>
    <row r="708">
      <c r="A708" s="68">
        <f>B708&amp;TEXT(C708,"0000")</f>
        <v/>
      </c>
      <c r="B708" s="68" t="n">
        <v>103</v>
      </c>
      <c r="C708" s="68" t="n">
        <v>105</v>
      </c>
      <c r="D708" s="68" t="inlineStr">
        <is>
          <t>HpRatio</t>
        </is>
      </c>
      <c r="E708" s="68" t="n">
        <v>9144231</v>
      </c>
      <c r="F708" s="68" t="inlineStr">
        <is>
          <t>AtkRatio</t>
        </is>
      </c>
      <c r="G708" s="68" t="n">
        <v>9144231</v>
      </c>
      <c r="H708" s="68" t="inlineStr">
        <is>
          <t>DefRatio</t>
        </is>
      </c>
      <c r="I708" s="68" t="n">
        <v>9144231</v>
      </c>
    </row>
    <row r="709">
      <c r="A709" s="68">
        <f>B709&amp;TEXT(C709,"0000")</f>
        <v/>
      </c>
      <c r="B709" s="68" t="n">
        <v>103</v>
      </c>
      <c r="C709" s="68" t="n">
        <v>106</v>
      </c>
      <c r="D709" s="68" t="inlineStr">
        <is>
          <t>HpRatio</t>
        </is>
      </c>
      <c r="E709" s="68" t="n">
        <v>9288872</v>
      </c>
      <c r="F709" s="68" t="inlineStr">
        <is>
          <t>AtkRatio</t>
        </is>
      </c>
      <c r="G709" s="68" t="n">
        <v>9288872</v>
      </c>
      <c r="H709" s="68" t="inlineStr">
        <is>
          <t>DefRatio</t>
        </is>
      </c>
      <c r="I709" s="68" t="n">
        <v>9288872</v>
      </c>
    </row>
    <row r="710">
      <c r="A710" s="68">
        <f>B710&amp;TEXT(C710,"0000")</f>
        <v/>
      </c>
      <c r="B710" s="68" t="n">
        <v>103</v>
      </c>
      <c r="C710" s="68" t="n">
        <v>107</v>
      </c>
      <c r="D710" s="68" t="inlineStr">
        <is>
          <t>HpRatio</t>
        </is>
      </c>
      <c r="E710" s="68" t="n">
        <v>9884784</v>
      </c>
      <c r="F710" s="68" t="inlineStr">
        <is>
          <t>AtkRatio</t>
        </is>
      </c>
      <c r="G710" s="68" t="n">
        <v>9884784</v>
      </c>
      <c r="H710" s="68" t="inlineStr">
        <is>
          <t>DefRatio</t>
        </is>
      </c>
      <c r="I710" s="68" t="n">
        <v>9884784</v>
      </c>
    </row>
    <row r="711">
      <c r="A711" s="68">
        <f>B711&amp;TEXT(C711,"0000")</f>
        <v/>
      </c>
      <c r="B711" s="68" t="n">
        <v>103</v>
      </c>
      <c r="C711" s="68" t="n">
        <v>108</v>
      </c>
      <c r="D711" s="68" t="inlineStr">
        <is>
          <t>HpRatio</t>
        </is>
      </c>
      <c r="E711" s="68" t="n">
        <v>10519366</v>
      </c>
      <c r="F711" s="68" t="inlineStr">
        <is>
          <t>AtkRatio</t>
        </is>
      </c>
      <c r="G711" s="68" t="n">
        <v>10519366</v>
      </c>
      <c r="H711" s="68" t="inlineStr">
        <is>
          <t>DefRatio</t>
        </is>
      </c>
      <c r="I711" s="68" t="n">
        <v>10519366</v>
      </c>
    </row>
    <row r="712">
      <c r="A712" s="68">
        <f>B712&amp;TEXT(C712,"0000")</f>
        <v/>
      </c>
      <c r="B712" s="68" t="n">
        <v>103</v>
      </c>
      <c r="C712" s="68" t="n">
        <v>109</v>
      </c>
      <c r="D712" s="68" t="inlineStr">
        <is>
          <t>HpRatio</t>
        </is>
      </c>
      <c r="E712" s="68" t="n">
        <v>10683067</v>
      </c>
      <c r="F712" s="68" t="inlineStr">
        <is>
          <t>AtkRatio</t>
        </is>
      </c>
      <c r="G712" s="68" t="n">
        <v>10683067</v>
      </c>
      <c r="H712" s="68" t="inlineStr">
        <is>
          <t>DefRatio</t>
        </is>
      </c>
      <c r="I712" s="68" t="n">
        <v>10683067</v>
      </c>
    </row>
    <row r="713">
      <c r="A713" s="68">
        <f>B713&amp;TEXT(C713,"0000")</f>
        <v/>
      </c>
      <c r="B713" s="68" t="n">
        <v>103</v>
      </c>
      <c r="C713" s="68" t="n">
        <v>110</v>
      </c>
      <c r="D713" s="68" t="inlineStr">
        <is>
          <t>HpRatio</t>
        </is>
      </c>
      <c r="E713" s="68" t="n">
        <v>11368804</v>
      </c>
      <c r="F713" s="68" t="inlineStr">
        <is>
          <t>AtkRatio</t>
        </is>
      </c>
      <c r="G713" s="68" t="n">
        <v>11368804</v>
      </c>
      <c r="H713" s="68" t="inlineStr">
        <is>
          <t>DefRatio</t>
        </is>
      </c>
      <c r="I713" s="68" t="n">
        <v>11368804</v>
      </c>
    </row>
    <row r="714">
      <c r="A714" s="68">
        <f>B714&amp;TEXT(C714,"0000")</f>
        <v/>
      </c>
      <c r="B714" s="68" t="n">
        <v>103</v>
      </c>
      <c r="C714" s="68" t="n">
        <v>111</v>
      </c>
      <c r="D714" s="68" t="inlineStr">
        <is>
          <t>HpRatio</t>
        </is>
      </c>
      <c r="E714" s="68" t="n">
        <v>11543521</v>
      </c>
      <c r="F714" s="68" t="inlineStr">
        <is>
          <t>AtkRatio</t>
        </is>
      </c>
      <c r="G714" s="68" t="n">
        <v>11543521</v>
      </c>
      <c r="H714" s="68" t="inlineStr">
        <is>
          <t>DefRatio</t>
        </is>
      </c>
      <c r="I714" s="68" t="n">
        <v>11543521</v>
      </c>
    </row>
    <row r="715">
      <c r="A715" s="68">
        <f>B715&amp;TEXT(C715,"0000")</f>
        <v/>
      </c>
      <c r="B715" s="68" t="n">
        <v>103</v>
      </c>
      <c r="C715" s="68" t="n">
        <v>112</v>
      </c>
      <c r="D715" s="68" t="inlineStr">
        <is>
          <t>HpRatio</t>
        </is>
      </c>
      <c r="E715" s="68" t="n">
        <v>12284433</v>
      </c>
      <c r="F715" s="68" t="inlineStr">
        <is>
          <t>AtkRatio</t>
        </is>
      </c>
      <c r="G715" s="68" t="n">
        <v>12284433</v>
      </c>
      <c r="H715" s="68" t="inlineStr">
        <is>
          <t>DefRatio</t>
        </is>
      </c>
      <c r="I715" s="68" t="n">
        <v>12284433</v>
      </c>
    </row>
    <row r="716">
      <c r="A716" s="68">
        <f>B716&amp;TEXT(C716,"0000")</f>
        <v/>
      </c>
      <c r="B716" s="68" t="n">
        <v>103</v>
      </c>
      <c r="C716" s="68" t="n">
        <v>113</v>
      </c>
      <c r="D716" s="68" t="inlineStr">
        <is>
          <t>HpRatio</t>
        </is>
      </c>
      <c r="E716" s="68" t="n">
        <v>12470929</v>
      </c>
      <c r="F716" s="68" t="inlineStr">
        <is>
          <t>AtkRatio</t>
        </is>
      </c>
      <c r="G716" s="68" t="n">
        <v>12470929</v>
      </c>
      <c r="H716" s="68" t="inlineStr">
        <is>
          <t>DefRatio</t>
        </is>
      </c>
      <c r="I716" s="68" t="n">
        <v>12470929</v>
      </c>
    </row>
    <row r="717">
      <c r="A717" s="68">
        <f>B717&amp;TEXT(C717,"0000")</f>
        <v/>
      </c>
      <c r="B717" s="68" t="n">
        <v>103</v>
      </c>
      <c r="C717" s="68" t="n">
        <v>114</v>
      </c>
      <c r="D717" s="68" t="inlineStr">
        <is>
          <t>HpRatio</t>
        </is>
      </c>
      <c r="E717" s="68" t="n">
        <v>13271349</v>
      </c>
      <c r="F717" s="68" t="inlineStr">
        <is>
          <t>AtkRatio</t>
        </is>
      </c>
      <c r="G717" s="68" t="n">
        <v>13271349</v>
      </c>
      <c r="H717" s="68" t="inlineStr">
        <is>
          <t>DefRatio</t>
        </is>
      </c>
      <c r="I717" s="68" t="n">
        <v>13271349</v>
      </c>
    </row>
    <row r="718">
      <c r="A718" s="68">
        <f>B718&amp;TEXT(C718,"0000")</f>
        <v/>
      </c>
      <c r="B718" s="68" t="n">
        <v>103</v>
      </c>
      <c r="C718" s="68" t="n">
        <v>115</v>
      </c>
      <c r="D718" s="68" t="inlineStr">
        <is>
          <t>HpRatio</t>
        </is>
      </c>
      <c r="E718" s="68" t="n">
        <v>13470438</v>
      </c>
      <c r="F718" s="68" t="inlineStr">
        <is>
          <t>AtkRatio</t>
        </is>
      </c>
      <c r="G718" s="68" t="n">
        <v>13470438</v>
      </c>
      <c r="H718" s="68" t="inlineStr">
        <is>
          <t>DefRatio</t>
        </is>
      </c>
      <c r="I718" s="68" t="n">
        <v>13470438</v>
      </c>
    </row>
    <row r="719">
      <c r="A719" s="68">
        <f>B719&amp;TEXT(C719,"0000")</f>
        <v/>
      </c>
      <c r="B719" s="68" t="n">
        <v>103</v>
      </c>
      <c r="C719" s="68" t="n">
        <v>116</v>
      </c>
      <c r="D719" s="68" t="inlineStr">
        <is>
          <t>HpRatio</t>
        </is>
      </c>
      <c r="E719" s="68" t="n">
        <v>14335038</v>
      </c>
      <c r="F719" s="68" t="inlineStr">
        <is>
          <t>AtkRatio</t>
        </is>
      </c>
      <c r="G719" s="68" t="n">
        <v>14335038</v>
      </c>
      <c r="H719" s="68" t="inlineStr">
        <is>
          <t>DefRatio</t>
        </is>
      </c>
      <c r="I719" s="68" t="n">
        <v>14335038</v>
      </c>
    </row>
    <row r="720">
      <c r="A720" s="68">
        <f>B720&amp;TEXT(C720,"0000")</f>
        <v/>
      </c>
      <c r="B720" s="68" t="n">
        <v>103</v>
      </c>
      <c r="C720" s="68" t="n">
        <v>117</v>
      </c>
      <c r="D720" s="68" t="inlineStr">
        <is>
          <t>HpRatio</t>
        </is>
      </c>
      <c r="E720" s="68" t="n">
        <v>15255824</v>
      </c>
      <c r="F720" s="68" t="inlineStr">
        <is>
          <t>AtkRatio</t>
        </is>
      </c>
      <c r="G720" s="68" t="n">
        <v>15255824</v>
      </c>
      <c r="H720" s="68" t="inlineStr">
        <is>
          <t>DefRatio</t>
        </is>
      </c>
      <c r="I720" s="68" t="n">
        <v>15255824</v>
      </c>
    </row>
    <row r="721">
      <c r="A721" s="68">
        <f>B721&amp;TEXT(C721,"0000")</f>
        <v/>
      </c>
      <c r="B721" s="68" t="n">
        <v>103</v>
      </c>
      <c r="C721" s="68" t="n">
        <v>118</v>
      </c>
      <c r="D721" s="68" t="inlineStr">
        <is>
          <t>HpRatio</t>
        </is>
      </c>
      <c r="E721" s="68" t="n">
        <v>15481404</v>
      </c>
      <c r="F721" s="68" t="inlineStr">
        <is>
          <t>AtkRatio</t>
        </is>
      </c>
      <c r="G721" s="68" t="n">
        <v>15481404</v>
      </c>
      <c r="H721" s="68" t="inlineStr">
        <is>
          <t>DefRatio</t>
        </is>
      </c>
      <c r="I721" s="68" t="n">
        <v>15481404</v>
      </c>
    </row>
    <row r="722">
      <c r="A722" s="68">
        <f>B722&amp;TEXT(C722,"0000")</f>
        <v/>
      </c>
      <c r="B722" s="68" t="n">
        <v>103</v>
      </c>
      <c r="C722" s="68" t="n">
        <v>119</v>
      </c>
      <c r="D722" s="68" t="inlineStr">
        <is>
          <t>HpRatio</t>
        </is>
      </c>
      <c r="E722" s="68" t="n">
        <v>16475916</v>
      </c>
      <c r="F722" s="68" t="inlineStr">
        <is>
          <t>AtkRatio</t>
        </is>
      </c>
      <c r="G722" s="68" t="n">
        <v>16475916</v>
      </c>
      <c r="H722" s="68" t="inlineStr">
        <is>
          <t>DefRatio</t>
        </is>
      </c>
      <c r="I722" s="68" t="n">
        <v>16475916</v>
      </c>
    </row>
    <row r="723">
      <c r="A723" s="68">
        <f>B723&amp;TEXT(C723,"0000")</f>
        <v/>
      </c>
      <c r="B723" s="68" t="n">
        <v>103</v>
      </c>
      <c r="C723" s="68" t="n">
        <v>120</v>
      </c>
      <c r="D723" s="68" t="inlineStr">
        <is>
          <t>HpRatio</t>
        </is>
      </c>
      <c r="E723" s="68" t="n">
        <v>16716805</v>
      </c>
      <c r="F723" s="68" t="inlineStr">
        <is>
          <t>AtkRatio</t>
        </is>
      </c>
      <c r="G723" s="68" t="n">
        <v>16716805</v>
      </c>
      <c r="H723" s="68" t="inlineStr">
        <is>
          <t>DefRatio</t>
        </is>
      </c>
      <c r="I723" s="68" t="n">
        <v>16716805</v>
      </c>
    </row>
    <row r="724">
      <c r="A724" s="68">
        <f>B724&amp;TEXT(C724,"0000")</f>
        <v/>
      </c>
      <c r="B724" s="68" t="n">
        <v>103</v>
      </c>
      <c r="C724" s="68" t="n">
        <v>121</v>
      </c>
      <c r="D724" s="68" t="inlineStr">
        <is>
          <t>HpRatio</t>
        </is>
      </c>
      <c r="E724" s="68" t="n">
        <v>17790824</v>
      </c>
      <c r="F724" s="68" t="inlineStr">
        <is>
          <t>AtkRatio</t>
        </is>
      </c>
      <c r="G724" s="68" t="n">
        <v>17790824</v>
      </c>
      <c r="H724" s="68" t="inlineStr">
        <is>
          <t>DefRatio</t>
        </is>
      </c>
      <c r="I724" s="68" t="n">
        <v>17790824</v>
      </c>
    </row>
    <row r="725">
      <c r="A725" s="68">
        <f>B725&amp;TEXT(C725,"0000")</f>
        <v/>
      </c>
      <c r="B725" s="68" t="n">
        <v>103</v>
      </c>
      <c r="C725" s="68" t="n">
        <v>122</v>
      </c>
      <c r="D725" s="68" t="inlineStr">
        <is>
          <t>HpRatio</t>
        </is>
      </c>
      <c r="E725" s="68" t="n">
        <v>18048088</v>
      </c>
      <c r="F725" s="68" t="inlineStr">
        <is>
          <t>AtkRatio</t>
        </is>
      </c>
      <c r="G725" s="68" t="n">
        <v>18048088</v>
      </c>
      <c r="H725" s="68" t="inlineStr">
        <is>
          <t>DefRatio</t>
        </is>
      </c>
      <c r="I725" s="68" t="n">
        <v>18048088</v>
      </c>
    </row>
    <row r="726">
      <c r="A726" s="68">
        <f>B726&amp;TEXT(C726,"0000")</f>
        <v/>
      </c>
      <c r="B726" s="68" t="n">
        <v>103</v>
      </c>
      <c r="C726" s="68" t="n">
        <v>123</v>
      </c>
      <c r="D726" s="68" t="inlineStr">
        <is>
          <t>HpRatio</t>
        </is>
      </c>
      <c r="E726" s="68" t="n">
        <v>19207844</v>
      </c>
      <c r="F726" s="68" t="inlineStr">
        <is>
          <t>AtkRatio</t>
        </is>
      </c>
      <c r="G726" s="68" t="n">
        <v>19207844</v>
      </c>
      <c r="H726" s="68" t="inlineStr">
        <is>
          <t>DefRatio</t>
        </is>
      </c>
      <c r="I726" s="68" t="n">
        <v>19207844</v>
      </c>
    </row>
    <row r="727">
      <c r="A727" s="68">
        <f>B727&amp;TEXT(C727,"0000")</f>
        <v/>
      </c>
      <c r="B727" s="68" t="n">
        <v>103</v>
      </c>
      <c r="C727" s="68" t="n">
        <v>124</v>
      </c>
      <c r="D727" s="68" t="inlineStr">
        <is>
          <t>HpRatio</t>
        </is>
      </c>
      <c r="E727" s="68" t="n">
        <v>19482622</v>
      </c>
      <c r="F727" s="68" t="inlineStr">
        <is>
          <t>AtkRatio</t>
        </is>
      </c>
      <c r="G727" s="68" t="n">
        <v>19482622</v>
      </c>
      <c r="H727" s="68" t="inlineStr">
        <is>
          <t>DefRatio</t>
        </is>
      </c>
      <c r="I727" s="68" t="n">
        <v>19482622</v>
      </c>
    </row>
    <row r="728">
      <c r="A728" s="68">
        <f>B728&amp;TEXT(C728,"0000")</f>
        <v/>
      </c>
      <c r="B728" s="68" t="n">
        <v>103</v>
      </c>
      <c r="C728" s="68" t="n">
        <v>125</v>
      </c>
      <c r="D728" s="68" t="inlineStr">
        <is>
          <t>HpRatio</t>
        </is>
      </c>
      <c r="E728" s="68" t="n">
        <v>20734829</v>
      </c>
      <c r="F728" s="68" t="inlineStr">
        <is>
          <t>AtkRatio</t>
        </is>
      </c>
      <c r="G728" s="68" t="n">
        <v>20734829</v>
      </c>
      <c r="H728" s="68" t="inlineStr">
        <is>
          <t>DefRatio</t>
        </is>
      </c>
      <c r="I728" s="68" t="n">
        <v>20734829</v>
      </c>
    </row>
    <row r="729">
      <c r="A729" s="68">
        <f>B729&amp;TEXT(C729,"0000")</f>
        <v/>
      </c>
      <c r="B729" s="68" t="n">
        <v>103</v>
      </c>
      <c r="C729" s="68" t="n">
        <v>126</v>
      </c>
      <c r="D729" s="68" t="inlineStr">
        <is>
          <t>HpRatio</t>
        </is>
      </c>
      <c r="E729" s="68" t="n">
        <v>22068567</v>
      </c>
      <c r="F729" s="68" t="inlineStr">
        <is>
          <t>AtkRatio</t>
        </is>
      </c>
      <c r="G729" s="68" t="n">
        <v>22068567</v>
      </c>
      <c r="H729" s="68" t="inlineStr">
        <is>
          <t>DefRatio</t>
        </is>
      </c>
      <c r="I729" s="68" t="n">
        <v>22068567</v>
      </c>
    </row>
    <row r="730">
      <c r="A730" s="68">
        <f>B730&amp;TEXT(C730,"0000")</f>
        <v/>
      </c>
      <c r="B730" s="68" t="n">
        <v>103</v>
      </c>
      <c r="C730" s="68" t="n">
        <v>127</v>
      </c>
      <c r="D730" s="68" t="inlineStr">
        <is>
          <t>HpRatio</t>
        </is>
      </c>
      <c r="E730" s="68" t="n">
        <v>22380237</v>
      </c>
      <c r="F730" s="68" t="inlineStr">
        <is>
          <t>AtkRatio</t>
        </is>
      </c>
      <c r="G730" s="68" t="n">
        <v>22380237</v>
      </c>
      <c r="H730" s="68" t="inlineStr">
        <is>
          <t>DefRatio</t>
        </is>
      </c>
      <c r="I730" s="68" t="n">
        <v>22380237</v>
      </c>
    </row>
    <row r="731">
      <c r="A731" s="68">
        <f>B731&amp;TEXT(C731,"0000")</f>
        <v/>
      </c>
      <c r="B731" s="68" t="n">
        <v>103</v>
      </c>
      <c r="C731" s="68" t="n">
        <v>128</v>
      </c>
      <c r="D731" s="68" t="inlineStr">
        <is>
          <t>HpRatio</t>
        </is>
      </c>
      <c r="E731" s="68" t="n">
        <v>23820183</v>
      </c>
      <c r="F731" s="68" t="inlineStr">
        <is>
          <t>AtkRatio</t>
        </is>
      </c>
      <c r="G731" s="68" t="n">
        <v>23820183</v>
      </c>
      <c r="H731" s="68" t="inlineStr">
        <is>
          <t>DefRatio</t>
        </is>
      </c>
      <c r="I731" s="68" t="n">
        <v>23820183</v>
      </c>
    </row>
    <row r="732">
      <c r="A732" s="68">
        <f>B732&amp;TEXT(C732,"0000")</f>
        <v/>
      </c>
      <c r="B732" s="68" t="n">
        <v>103</v>
      </c>
      <c r="C732" s="68" t="n">
        <v>129</v>
      </c>
      <c r="D732" s="68" t="inlineStr">
        <is>
          <t>HpRatio</t>
        </is>
      </c>
      <c r="E732" s="68" t="n">
        <v>24153171</v>
      </c>
      <c r="F732" s="68" t="inlineStr">
        <is>
          <t>AtkRatio</t>
        </is>
      </c>
      <c r="G732" s="68" t="n">
        <v>24153171</v>
      </c>
      <c r="H732" s="68" t="inlineStr">
        <is>
          <t>DefRatio</t>
        </is>
      </c>
      <c r="I732" s="68" t="n">
        <v>24153171</v>
      </c>
    </row>
    <row r="733">
      <c r="A733" s="68">
        <f>B733&amp;TEXT(C733,"0000")</f>
        <v/>
      </c>
      <c r="B733" s="68" t="n">
        <v>103</v>
      </c>
      <c r="C733" s="68" t="n">
        <v>130</v>
      </c>
      <c r="D733" s="68" t="inlineStr">
        <is>
          <t>HpRatio</t>
        </is>
      </c>
      <c r="E733" s="68" t="n">
        <v>25707639</v>
      </c>
      <c r="F733" s="68" t="inlineStr">
        <is>
          <t>AtkRatio</t>
        </is>
      </c>
      <c r="G733" s="68" t="n">
        <v>25707639</v>
      </c>
      <c r="H733" s="68" t="inlineStr">
        <is>
          <t>DefRatio</t>
        </is>
      </c>
      <c r="I733" s="68" t="n">
        <v>25707639</v>
      </c>
    </row>
    <row r="734">
      <c r="A734" s="68">
        <f>B734&amp;TEXT(C734,"0000")</f>
        <v/>
      </c>
      <c r="B734" s="68" t="n">
        <v>103</v>
      </c>
      <c r="C734" s="68" t="n">
        <v>131</v>
      </c>
      <c r="D734" s="68" t="inlineStr">
        <is>
          <t>HpRatio</t>
        </is>
      </c>
      <c r="E734" s="68" t="n">
        <v>26063437</v>
      </c>
      <c r="F734" s="68" t="inlineStr">
        <is>
          <t>AtkRatio</t>
        </is>
      </c>
      <c r="G734" s="68" t="n">
        <v>26063437</v>
      </c>
      <c r="H734" s="68" t="inlineStr">
        <is>
          <t>DefRatio</t>
        </is>
      </c>
      <c r="I734" s="68" t="n">
        <v>26063437</v>
      </c>
    </row>
    <row r="735">
      <c r="A735" s="68">
        <f>B735&amp;TEXT(C735,"0000")</f>
        <v/>
      </c>
      <c r="B735" s="68" t="n">
        <v>103</v>
      </c>
      <c r="C735" s="68" t="n">
        <v>132</v>
      </c>
      <c r="D735" s="68" t="inlineStr">
        <is>
          <t>HpRatio</t>
        </is>
      </c>
      <c r="E735" s="68" t="n">
        <v>27741385</v>
      </c>
      <c r="F735" s="68" t="inlineStr">
        <is>
          <t>AtkRatio</t>
        </is>
      </c>
      <c r="G735" s="68" t="n">
        <v>27741385</v>
      </c>
      <c r="H735" s="68" t="inlineStr">
        <is>
          <t>DefRatio</t>
        </is>
      </c>
      <c r="I735" s="68" t="n">
        <v>27741385</v>
      </c>
    </row>
    <row r="736">
      <c r="A736" s="68">
        <f>B736&amp;TEXT(C736,"0000")</f>
        <v/>
      </c>
      <c r="B736" s="68" t="n">
        <v>103</v>
      </c>
      <c r="C736" s="68" t="n">
        <v>133</v>
      </c>
      <c r="D736" s="68" t="inlineStr">
        <is>
          <t>HpRatio</t>
        </is>
      </c>
      <c r="E736" s="68" t="n">
        <v>28121589</v>
      </c>
      <c r="F736" s="68" t="inlineStr">
        <is>
          <t>AtkRatio</t>
        </is>
      </c>
      <c r="G736" s="68" t="n">
        <v>28121589</v>
      </c>
      <c r="H736" s="68" t="inlineStr">
        <is>
          <t>DefRatio</t>
        </is>
      </c>
      <c r="I736" s="68" t="n">
        <v>28121589</v>
      </c>
    </row>
    <row r="737">
      <c r="A737" s="68">
        <f>B737&amp;TEXT(C737,"0000")</f>
        <v/>
      </c>
      <c r="B737" s="68" t="n">
        <v>103</v>
      </c>
      <c r="C737" s="68" t="n">
        <v>134</v>
      </c>
      <c r="D737" s="68" t="inlineStr">
        <is>
          <t>HpRatio</t>
        </is>
      </c>
      <c r="E737" s="68" t="n">
        <v>29932671</v>
      </c>
      <c r="F737" s="68" t="inlineStr">
        <is>
          <t>AtkRatio</t>
        </is>
      </c>
      <c r="G737" s="68" t="n">
        <v>29932671</v>
      </c>
      <c r="H737" s="68" t="inlineStr">
        <is>
          <t>DefRatio</t>
        </is>
      </c>
      <c r="I737" s="68" t="n">
        <v>29932671</v>
      </c>
    </row>
    <row r="738">
      <c r="A738" s="68">
        <f>B738&amp;TEXT(C738,"0000")</f>
        <v/>
      </c>
      <c r="B738" s="68" t="n">
        <v>103</v>
      </c>
      <c r="C738" s="68" t="n">
        <v>135</v>
      </c>
      <c r="D738" s="68" t="inlineStr">
        <is>
          <t>HpRatio</t>
        </is>
      </c>
      <c r="E738" s="68" t="n">
        <v>31861939</v>
      </c>
      <c r="F738" s="68" t="inlineStr">
        <is>
          <t>AtkRatio</t>
        </is>
      </c>
      <c r="G738" s="68" t="n">
        <v>31861939</v>
      </c>
      <c r="H738" s="68" t="inlineStr">
        <is>
          <t>DefRatio</t>
        </is>
      </c>
      <c r="I738" s="68" t="n">
        <v>31861939</v>
      </c>
    </row>
    <row r="739">
      <c r="A739" s="68">
        <f>B739&amp;TEXT(C739,"0000")</f>
        <v/>
      </c>
      <c r="B739" s="68" t="n">
        <v>103</v>
      </c>
      <c r="C739" s="68" t="n">
        <v>136</v>
      </c>
      <c r="D739" s="68" t="inlineStr">
        <is>
          <t>HpRatio</t>
        </is>
      </c>
      <c r="E739" s="68" t="n">
        <v>32293613</v>
      </c>
      <c r="F739" s="68" t="inlineStr">
        <is>
          <t>AtkRatio</t>
        </is>
      </c>
      <c r="G739" s="68" t="n">
        <v>32293613</v>
      </c>
      <c r="H739" s="68" t="inlineStr">
        <is>
          <t>DefRatio</t>
        </is>
      </c>
      <c r="I739" s="68" t="n">
        <v>32293613</v>
      </c>
    </row>
    <row r="740">
      <c r="A740" s="68">
        <f>B740&amp;TEXT(C740,"0000")</f>
        <v/>
      </c>
      <c r="B740" s="68" t="n">
        <v>103</v>
      </c>
      <c r="C740" s="68" t="n">
        <v>137</v>
      </c>
      <c r="D740" s="68" t="inlineStr">
        <is>
          <t>HpRatio</t>
        </is>
      </c>
      <c r="E740" s="68" t="n">
        <v>34375841</v>
      </c>
      <c r="F740" s="68" t="inlineStr">
        <is>
          <t>AtkRatio</t>
        </is>
      </c>
      <c r="G740" s="68" t="n">
        <v>34375841</v>
      </c>
      <c r="H740" s="68" t="inlineStr">
        <is>
          <t>DefRatio</t>
        </is>
      </c>
      <c r="I740" s="68" t="n">
        <v>34375841</v>
      </c>
    </row>
    <row r="741">
      <c r="A741" s="68">
        <f>B741&amp;TEXT(C741,"0000")</f>
        <v/>
      </c>
      <c r="B741" s="68" t="n">
        <v>103</v>
      </c>
      <c r="C741" s="68" t="n">
        <v>138</v>
      </c>
      <c r="D741" s="68" t="inlineStr">
        <is>
          <t>HpRatio</t>
        </is>
      </c>
      <c r="E741" s="68" t="n">
        <v>34837256</v>
      </c>
      <c r="F741" s="68" t="inlineStr">
        <is>
          <t>AtkRatio</t>
        </is>
      </c>
      <c r="G741" s="68" t="n">
        <v>34837256</v>
      </c>
      <c r="H741" s="68" t="inlineStr">
        <is>
          <t>DefRatio</t>
        </is>
      </c>
      <c r="I741" s="68" t="n">
        <v>34837256</v>
      </c>
    </row>
    <row r="742">
      <c r="A742" s="68">
        <f>B742&amp;TEXT(C742,"0000")</f>
        <v/>
      </c>
      <c r="B742" s="68" t="n">
        <v>103</v>
      </c>
      <c r="C742" s="68" t="n">
        <v>139</v>
      </c>
      <c r="D742" s="68" t="inlineStr">
        <is>
          <t>HpRatio</t>
        </is>
      </c>
      <c r="E742" s="68" t="n">
        <v>37084399</v>
      </c>
      <c r="F742" s="68" t="inlineStr">
        <is>
          <t>AtkRatio</t>
        </is>
      </c>
      <c r="G742" s="68" t="n">
        <v>37084399</v>
      </c>
      <c r="H742" s="68" t="inlineStr">
        <is>
          <t>DefRatio</t>
        </is>
      </c>
      <c r="I742" s="68" t="n">
        <v>37084399</v>
      </c>
    </row>
    <row r="743">
      <c r="A743" s="68">
        <f>B743&amp;TEXT(C743,"0000")</f>
        <v/>
      </c>
      <c r="B743" s="68" t="n">
        <v>103</v>
      </c>
      <c r="C743" s="68" t="n">
        <v>140</v>
      </c>
      <c r="D743" s="68" t="inlineStr">
        <is>
          <t>HpRatio</t>
        </is>
      </c>
      <c r="E743" s="68" t="n">
        <v>37577648</v>
      </c>
      <c r="F743" s="68" t="inlineStr">
        <is>
          <t>AtkRatio</t>
        </is>
      </c>
      <c r="G743" s="68" t="n">
        <v>37577648</v>
      </c>
      <c r="H743" s="68" t="inlineStr">
        <is>
          <t>DefRatio</t>
        </is>
      </c>
      <c r="I743" s="68" t="n">
        <v>37577648</v>
      </c>
    </row>
    <row r="744">
      <c r="A744" s="68">
        <f>B744&amp;TEXT(C744,"0000")</f>
        <v/>
      </c>
      <c r="B744" s="68" t="n">
        <v>103</v>
      </c>
      <c r="C744" s="68" t="n">
        <v>141</v>
      </c>
      <c r="D744" s="68" t="inlineStr">
        <is>
          <t>HpRatio</t>
        </is>
      </c>
      <c r="E744" s="68" t="n">
        <v>40002589</v>
      </c>
      <c r="F744" s="68" t="inlineStr">
        <is>
          <t>AtkRatio</t>
        </is>
      </c>
      <c r="G744" s="68" t="n">
        <v>40002589</v>
      </c>
      <c r="H744" s="68" t="inlineStr">
        <is>
          <t>DefRatio</t>
        </is>
      </c>
      <c r="I744" s="68" t="n">
        <v>40002589</v>
      </c>
    </row>
    <row r="745">
      <c r="A745" s="68">
        <f>B745&amp;TEXT(C745,"0000")</f>
        <v/>
      </c>
      <c r="B745" s="68" t="n">
        <v>103</v>
      </c>
      <c r="C745" s="68" t="n">
        <v>142</v>
      </c>
      <c r="D745" s="68" t="inlineStr">
        <is>
          <t>HpRatio</t>
        </is>
      </c>
      <c r="E745" s="68" t="n">
        <v>40529914</v>
      </c>
      <c r="F745" s="68" t="inlineStr">
        <is>
          <t>AtkRatio</t>
        </is>
      </c>
      <c r="G745" s="68" t="n">
        <v>40529914</v>
      </c>
      <c r="H745" s="68" t="inlineStr">
        <is>
          <t>DefRatio</t>
        </is>
      </c>
      <c r="I745" s="68" t="n">
        <v>40529914</v>
      </c>
    </row>
    <row r="746">
      <c r="A746" s="68">
        <f>B746&amp;TEXT(C746,"0000")</f>
        <v/>
      </c>
      <c r="B746" s="68" t="n">
        <v>103</v>
      </c>
      <c r="C746" s="68" t="n">
        <v>143</v>
      </c>
      <c r="D746" s="68" t="inlineStr">
        <is>
          <t>HpRatio</t>
        </is>
      </c>
      <c r="E746" s="68" t="n">
        <v>43146538</v>
      </c>
      <c r="F746" s="68" t="inlineStr">
        <is>
          <t>AtkRatio</t>
        </is>
      </c>
      <c r="G746" s="68" t="n">
        <v>43146538</v>
      </c>
      <c r="H746" s="68" t="inlineStr">
        <is>
          <t>DefRatio</t>
        </is>
      </c>
      <c r="I746" s="68" t="n">
        <v>43146538</v>
      </c>
    </row>
    <row r="747">
      <c r="A747" s="68">
        <f>B747&amp;TEXT(C747,"0000")</f>
        <v/>
      </c>
      <c r="B747" s="68" t="n">
        <v>103</v>
      </c>
      <c r="C747" s="68" t="n">
        <v>144</v>
      </c>
      <c r="D747" s="68" t="inlineStr">
        <is>
          <t>HpRatio</t>
        </is>
      </c>
      <c r="E747" s="68" t="n">
        <v>45934347</v>
      </c>
      <c r="F747" s="68" t="inlineStr">
        <is>
          <t>AtkRatio</t>
        </is>
      </c>
      <c r="G747" s="68" t="n">
        <v>45934347</v>
      </c>
      <c r="H747" s="68" t="inlineStr">
        <is>
          <t>DefRatio</t>
        </is>
      </c>
      <c r="I747" s="68" t="n">
        <v>45934347</v>
      </c>
    </row>
    <row r="748">
      <c r="A748" s="68">
        <f>B748&amp;TEXT(C748,"0000")</f>
        <v/>
      </c>
      <c r="B748" s="68" t="n">
        <v>103</v>
      </c>
      <c r="C748" s="68" t="n">
        <v>145</v>
      </c>
      <c r="D748" s="68" t="inlineStr">
        <is>
          <t>HpRatio</t>
        </is>
      </c>
      <c r="E748" s="68" t="n">
        <v>46533610</v>
      </c>
      <c r="F748" s="68" t="inlineStr">
        <is>
          <t>AtkRatio</t>
        </is>
      </c>
      <c r="G748" s="68" t="n">
        <v>46533610</v>
      </c>
      <c r="H748" s="68" t="inlineStr">
        <is>
          <t>DefRatio</t>
        </is>
      </c>
      <c r="I748" s="68" t="n">
        <v>46533610</v>
      </c>
    </row>
    <row r="749">
      <c r="A749" s="68">
        <f>B749&amp;TEXT(C749,"0000")</f>
        <v/>
      </c>
      <c r="B749" s="68" t="n">
        <v>103</v>
      </c>
      <c r="C749" s="68" t="n">
        <v>146</v>
      </c>
      <c r="D749" s="68" t="inlineStr">
        <is>
          <t>HpRatio</t>
        </is>
      </c>
      <c r="E749" s="68" t="n">
        <v>49541674</v>
      </c>
      <c r="F749" s="68" t="inlineStr">
        <is>
          <t>AtkRatio</t>
        </is>
      </c>
      <c r="G749" s="68" t="n">
        <v>49541674</v>
      </c>
      <c r="H749" s="68" t="inlineStr">
        <is>
          <t>DefRatio</t>
        </is>
      </c>
      <c r="I749" s="68" t="n">
        <v>49541674</v>
      </c>
    </row>
    <row r="750">
      <c r="A750" s="68">
        <f>B750&amp;TEXT(C750,"0000")</f>
        <v/>
      </c>
      <c r="B750" s="68" t="n">
        <v>103</v>
      </c>
      <c r="C750" s="68" t="n">
        <v>147</v>
      </c>
      <c r="D750" s="68" t="inlineStr">
        <is>
          <t>HpRatio</t>
        </is>
      </c>
      <c r="E750" s="68" t="n">
        <v>50182507</v>
      </c>
      <c r="F750" s="68" t="inlineStr">
        <is>
          <t>AtkRatio</t>
        </is>
      </c>
      <c r="G750" s="68" t="n">
        <v>50182507</v>
      </c>
      <c r="H750" s="68" t="inlineStr">
        <is>
          <t>DefRatio</t>
        </is>
      </c>
      <c r="I750" s="68" t="n">
        <v>50182507</v>
      </c>
    </row>
    <row r="751">
      <c r="A751" s="68">
        <f>B751&amp;TEXT(C751,"0000")</f>
        <v/>
      </c>
      <c r="B751" s="68" t="n">
        <v>103</v>
      </c>
      <c r="C751" s="68" t="n">
        <v>148</v>
      </c>
      <c r="D751" s="68" t="inlineStr">
        <is>
          <t>HpRatio</t>
        </is>
      </c>
      <c r="E751" s="68" t="n">
        <v>53428023</v>
      </c>
      <c r="F751" s="68" t="inlineStr">
        <is>
          <t>AtkRatio</t>
        </is>
      </c>
      <c r="G751" s="68" t="n">
        <v>53428023</v>
      </c>
      <c r="H751" s="68" t="inlineStr">
        <is>
          <t>DefRatio</t>
        </is>
      </c>
      <c r="I751" s="68" t="n">
        <v>53428023</v>
      </c>
    </row>
    <row r="752">
      <c r="A752" s="68">
        <f>B752&amp;TEXT(C752,"0000")</f>
        <v/>
      </c>
      <c r="B752" s="68" t="n">
        <v>103</v>
      </c>
      <c r="C752" s="68" t="n">
        <v>149</v>
      </c>
      <c r="D752" s="68" t="inlineStr">
        <is>
          <t>HpRatio</t>
        </is>
      </c>
      <c r="E752" s="68" t="n">
        <v>54113365</v>
      </c>
      <c r="F752" s="68" t="inlineStr">
        <is>
          <t>AtkRatio</t>
        </is>
      </c>
      <c r="G752" s="68" t="n">
        <v>54113365</v>
      </c>
      <c r="H752" s="68" t="inlineStr">
        <is>
          <t>DefRatio</t>
        </is>
      </c>
      <c r="I752" s="68" t="n">
        <v>54113365</v>
      </c>
    </row>
    <row r="753">
      <c r="A753" s="68">
        <f>B753&amp;TEXT(C753,"0000")</f>
        <v/>
      </c>
      <c r="B753" s="68" t="n">
        <v>103</v>
      </c>
      <c r="C753" s="68" t="n">
        <v>150</v>
      </c>
      <c r="D753" s="68" t="inlineStr">
        <is>
          <t>HpRatio</t>
        </is>
      </c>
      <c r="E753" s="68" t="n">
        <v>73993552</v>
      </c>
      <c r="F753" s="68" t="inlineStr">
        <is>
          <t>AtkRatio</t>
        </is>
      </c>
      <c r="G753" s="68" t="n">
        <v>73993552</v>
      </c>
      <c r="H753" s="68" t="inlineStr">
        <is>
          <t>DefRatio</t>
        </is>
      </c>
      <c r="I753" s="68" t="n">
        <v>73993552</v>
      </c>
    </row>
    <row r="754">
      <c r="A754" s="68">
        <f>B754&amp;TEXT(C754,"0000")</f>
        <v/>
      </c>
      <c r="B754" s="68" t="n">
        <v>103</v>
      </c>
      <c r="C754" s="68" t="n">
        <v>151</v>
      </c>
      <c r="D754" s="68" t="inlineStr">
        <is>
          <t>HpRatio</t>
        </is>
      </c>
      <c r="E754" s="68" t="n">
        <v>74959996</v>
      </c>
      <c r="F754" s="68" t="inlineStr">
        <is>
          <t>AtkRatio</t>
        </is>
      </c>
      <c r="G754" s="68" t="n">
        <v>74959996</v>
      </c>
      <c r="H754" s="68" t="inlineStr">
        <is>
          <t>DefRatio</t>
        </is>
      </c>
      <c r="I754" s="68" t="n">
        <v>74959996</v>
      </c>
    </row>
    <row r="755">
      <c r="A755" s="68">
        <f>B755&amp;TEXT(C755,"0000")</f>
        <v/>
      </c>
      <c r="B755" s="68" t="n">
        <v>103</v>
      </c>
      <c r="C755" s="68" t="n">
        <v>152</v>
      </c>
      <c r="D755" s="68" t="inlineStr">
        <is>
          <t>HpRatio</t>
        </is>
      </c>
      <c r="E755" s="68" t="n">
        <v>79839455</v>
      </c>
      <c r="F755" s="68" t="inlineStr">
        <is>
          <t>AtkRatio</t>
        </is>
      </c>
      <c r="G755" s="68" t="n">
        <v>79839455</v>
      </c>
      <c r="H755" s="68" t="inlineStr">
        <is>
          <t>DefRatio</t>
        </is>
      </c>
      <c r="I755" s="68" t="n">
        <v>79839455</v>
      </c>
    </row>
    <row r="756">
      <c r="A756" s="68">
        <f>B756&amp;TEXT(C756,"0000")</f>
        <v/>
      </c>
      <c r="B756" s="68" t="n">
        <v>103</v>
      </c>
      <c r="C756" s="68" t="n">
        <v>153</v>
      </c>
      <c r="D756" s="68" t="inlineStr">
        <is>
          <t>HpRatio</t>
        </is>
      </c>
      <c r="E756" s="68" t="n">
        <v>85040528</v>
      </c>
      <c r="F756" s="68" t="inlineStr">
        <is>
          <t>AtkRatio</t>
        </is>
      </c>
      <c r="G756" s="68" t="n">
        <v>85040528</v>
      </c>
      <c r="H756" s="68" t="inlineStr">
        <is>
          <t>DefRatio</t>
        </is>
      </c>
      <c r="I756" s="68" t="n">
        <v>85040528</v>
      </c>
    </row>
    <row r="757">
      <c r="A757" s="68">
        <f>B757&amp;TEXT(C757,"0000")</f>
        <v/>
      </c>
      <c r="B757" s="68" t="n">
        <v>103</v>
      </c>
      <c r="C757" s="68" t="n">
        <v>154</v>
      </c>
      <c r="D757" s="68" t="inlineStr">
        <is>
          <t>HpRatio</t>
        </is>
      </c>
      <c r="E757" s="68" t="n">
        <v>86140565</v>
      </c>
      <c r="F757" s="68" t="inlineStr">
        <is>
          <t>AtkRatio</t>
        </is>
      </c>
      <c r="G757" s="68" t="n">
        <v>86140565</v>
      </c>
      <c r="H757" s="68" t="inlineStr">
        <is>
          <t>DefRatio</t>
        </is>
      </c>
      <c r="I757" s="68" t="n">
        <v>86140565</v>
      </c>
    </row>
    <row r="758">
      <c r="A758" s="68">
        <f>B758&amp;TEXT(C758,"0000")</f>
        <v/>
      </c>
      <c r="B758" s="68" t="n">
        <v>103</v>
      </c>
      <c r="C758" s="68" t="n">
        <v>155</v>
      </c>
      <c r="D758" s="68" t="inlineStr">
        <is>
          <t>HpRatio</t>
        </is>
      </c>
      <c r="E758" s="68" t="n">
        <v>91754703</v>
      </c>
      <c r="F758" s="68" t="inlineStr">
        <is>
          <t>AtkRatio</t>
        </is>
      </c>
      <c r="G758" s="68" t="n">
        <v>91754703</v>
      </c>
      <c r="H758" s="68" t="inlineStr">
        <is>
          <t>DefRatio</t>
        </is>
      </c>
      <c r="I758" s="68" t="n">
        <v>91754703</v>
      </c>
    </row>
    <row r="759">
      <c r="A759" s="68">
        <f>B759&amp;TEXT(C759,"0000")</f>
        <v/>
      </c>
      <c r="B759" s="68" t="n">
        <v>103</v>
      </c>
      <c r="C759" s="68" t="n">
        <v>156</v>
      </c>
      <c r="D759" s="68" t="inlineStr">
        <is>
          <t>HpRatio</t>
        </is>
      </c>
      <c r="E759" s="68" t="n">
        <v>92932145</v>
      </c>
      <c r="F759" s="68" t="inlineStr">
        <is>
          <t>AtkRatio</t>
        </is>
      </c>
      <c r="G759" s="68" t="n">
        <v>92932145</v>
      </c>
      <c r="H759" s="68" t="inlineStr">
        <is>
          <t>DefRatio</t>
        </is>
      </c>
      <c r="I759" s="68" t="n">
        <v>92932145</v>
      </c>
    </row>
    <row r="760">
      <c r="A760" s="68">
        <f>B760&amp;TEXT(C760,"0000")</f>
        <v/>
      </c>
      <c r="B760" s="68" t="n">
        <v>103</v>
      </c>
      <c r="C760" s="68" t="n">
        <v>157</v>
      </c>
      <c r="D760" s="68" t="inlineStr">
        <is>
          <t>HpRatio</t>
        </is>
      </c>
      <c r="E760" s="68" t="n">
        <v>98991799</v>
      </c>
      <c r="F760" s="68" t="inlineStr">
        <is>
          <t>AtkRatio</t>
        </is>
      </c>
      <c r="G760" s="68" t="n">
        <v>98991799</v>
      </c>
      <c r="H760" s="68" t="inlineStr">
        <is>
          <t>DefRatio</t>
        </is>
      </c>
      <c r="I760" s="68" t="n">
        <v>98991799</v>
      </c>
    </row>
    <row r="761">
      <c r="A761" s="68">
        <f>B761&amp;TEXT(C761,"0000")</f>
        <v/>
      </c>
      <c r="B761" s="68" t="n">
        <v>103</v>
      </c>
      <c r="C761" s="68" t="n">
        <v>158</v>
      </c>
      <c r="D761" s="68" t="inlineStr">
        <is>
          <t>HpRatio</t>
        </is>
      </c>
      <c r="E761" s="68" t="n">
        <v>100252180</v>
      </c>
      <c r="F761" s="68" t="inlineStr">
        <is>
          <t>AtkRatio</t>
        </is>
      </c>
      <c r="G761" s="68" t="n">
        <v>100252180</v>
      </c>
      <c r="H761" s="68" t="inlineStr">
        <is>
          <t>DefRatio</t>
        </is>
      </c>
      <c r="I761" s="68" t="n">
        <v>100252180</v>
      </c>
    </row>
    <row r="762">
      <c r="A762" s="68">
        <f>B762&amp;TEXT(C762,"0000")</f>
        <v/>
      </c>
      <c r="B762" s="68" t="n">
        <v>103</v>
      </c>
      <c r="C762" s="68" t="n">
        <v>159</v>
      </c>
      <c r="D762" s="68" t="inlineStr">
        <is>
          <t>HpRatio</t>
        </is>
      </c>
      <c r="E762" s="68" t="n">
        <v>106792343</v>
      </c>
      <c r="F762" s="68" t="inlineStr">
        <is>
          <t>AtkRatio</t>
        </is>
      </c>
      <c r="G762" s="68" t="n">
        <v>106792343</v>
      </c>
      <c r="H762" s="68" t="inlineStr">
        <is>
          <t>DefRatio</t>
        </is>
      </c>
      <c r="I762" s="68" t="n">
        <v>106792343</v>
      </c>
    </row>
    <row r="763">
      <c r="A763" s="68">
        <f>B763&amp;TEXT(C763,"0000")</f>
        <v/>
      </c>
      <c r="B763" s="68" t="n">
        <v>103</v>
      </c>
      <c r="C763" s="68" t="n">
        <v>160</v>
      </c>
      <c r="D763" s="68" t="inlineStr">
        <is>
          <t>HpRatio</t>
        </is>
      </c>
      <c r="E763" s="68" t="n">
        <v>113764500</v>
      </c>
      <c r="F763" s="68" t="inlineStr">
        <is>
          <t>AtkRatio</t>
        </is>
      </c>
      <c r="G763" s="68" t="n">
        <v>113764500</v>
      </c>
      <c r="H763" s="68" t="inlineStr">
        <is>
          <t>DefRatio</t>
        </is>
      </c>
      <c r="I763" s="68" t="n">
        <v>113764500</v>
      </c>
    </row>
    <row r="764">
      <c r="A764" s="68">
        <f>B764&amp;TEXT(C764,"0000")</f>
        <v/>
      </c>
      <c r="B764" s="68" t="n">
        <v>103</v>
      </c>
      <c r="C764" s="68" t="n">
        <v>161</v>
      </c>
      <c r="D764" s="68" t="inlineStr">
        <is>
          <t>HpRatio</t>
        </is>
      </c>
      <c r="E764" s="68" t="n">
        <v>115200000</v>
      </c>
      <c r="F764" s="68" t="inlineStr">
        <is>
          <t>AtkRatio</t>
        </is>
      </c>
      <c r="G764" s="68" t="n">
        <v>115200000</v>
      </c>
      <c r="H764" s="68" t="inlineStr">
        <is>
          <t>DefRatio</t>
        </is>
      </c>
      <c r="I764" s="68" t="n">
        <v>115200000</v>
      </c>
    </row>
    <row r="765">
      <c r="A765" s="68">
        <f>B765&amp;TEXT(C765,"0000")</f>
        <v/>
      </c>
      <c r="B765" s="68" t="n">
        <v>103</v>
      </c>
      <c r="C765" s="68" t="n">
        <v>162</v>
      </c>
      <c r="D765" s="68" t="inlineStr">
        <is>
          <t>HpRatio</t>
        </is>
      </c>
      <c r="E765" s="68" t="n">
        <v>122724854</v>
      </c>
      <c r="F765" s="68" t="inlineStr">
        <is>
          <t>AtkRatio</t>
        </is>
      </c>
      <c r="G765" s="68" t="n">
        <v>122724854</v>
      </c>
      <c r="H765" s="68" t="inlineStr">
        <is>
          <t>DefRatio</t>
        </is>
      </c>
      <c r="I765" s="68" t="n">
        <v>122724854</v>
      </c>
    </row>
    <row r="766">
      <c r="A766" s="68">
        <f>B766&amp;TEXT(C766,"0000")</f>
        <v/>
      </c>
      <c r="B766" s="68" t="n">
        <v>103</v>
      </c>
      <c r="C766" s="68" t="n">
        <v>163</v>
      </c>
      <c r="D766" s="68" t="inlineStr">
        <is>
          <t>HpRatio</t>
        </is>
      </c>
      <c r="E766" s="68" t="n">
        <v>124261815</v>
      </c>
      <c r="F766" s="68" t="inlineStr">
        <is>
          <t>AtkRatio</t>
        </is>
      </c>
      <c r="G766" s="68" t="n">
        <v>124261815</v>
      </c>
      <c r="H766" s="68" t="inlineStr">
        <is>
          <t>DefRatio</t>
        </is>
      </c>
      <c r="I766" s="68" t="n">
        <v>124261815</v>
      </c>
    </row>
    <row r="767">
      <c r="A767" s="68">
        <f>B767&amp;TEXT(C767,"0000")</f>
        <v/>
      </c>
      <c r="B767" s="68" t="n">
        <v>103</v>
      </c>
      <c r="C767" s="68" t="n">
        <v>164</v>
      </c>
      <c r="D767" s="68" t="inlineStr">
        <is>
          <t>HpRatio</t>
        </is>
      </c>
      <c r="E767" s="68" t="n">
        <v>132382773</v>
      </c>
      <c r="F767" s="68" t="inlineStr">
        <is>
          <t>AtkRatio</t>
        </is>
      </c>
      <c r="G767" s="68" t="n">
        <v>132382773</v>
      </c>
      <c r="H767" s="68" t="inlineStr">
        <is>
          <t>DefRatio</t>
        </is>
      </c>
      <c r="I767" s="68" t="n">
        <v>132382773</v>
      </c>
    </row>
    <row r="768">
      <c r="A768" s="68">
        <f>B768&amp;TEXT(C768,"0000")</f>
        <v/>
      </c>
      <c r="B768" s="68" t="n">
        <v>103</v>
      </c>
      <c r="C768" s="68" t="n">
        <v>165</v>
      </c>
      <c r="D768" s="68" t="inlineStr">
        <is>
          <t>HpRatio</t>
        </is>
      </c>
      <c r="E768" s="68" t="n">
        <v>141041048</v>
      </c>
      <c r="F768" s="68" t="inlineStr">
        <is>
          <t>AtkRatio</t>
        </is>
      </c>
      <c r="G768" s="68" t="n">
        <v>141041048</v>
      </c>
      <c r="H768" s="68" t="inlineStr">
        <is>
          <t>DefRatio</t>
        </is>
      </c>
      <c r="I768" s="68" t="n">
        <v>141041048</v>
      </c>
    </row>
    <row r="769">
      <c r="A769" s="68">
        <f>B769&amp;TEXT(C769,"0000")</f>
        <v/>
      </c>
      <c r="B769" s="68" t="n">
        <v>103</v>
      </c>
      <c r="C769" s="68" t="n">
        <v>166</v>
      </c>
      <c r="D769" s="68" t="inlineStr">
        <is>
          <t>HpRatio</t>
        </is>
      </c>
      <c r="E769" s="68" t="n">
        <v>142792343</v>
      </c>
      <c r="F769" s="68" t="inlineStr">
        <is>
          <t>AtkRatio</t>
        </is>
      </c>
      <c r="G769" s="68" t="n">
        <v>142792343</v>
      </c>
      <c r="H769" s="68" t="inlineStr">
        <is>
          <t>DefRatio</t>
        </is>
      </c>
      <c r="I769" s="68" t="n">
        <v>142792343</v>
      </c>
    </row>
    <row r="770">
      <c r="A770" s="68">
        <f>B770&amp;TEXT(C770,"0000")</f>
        <v/>
      </c>
      <c r="B770" s="68" t="n">
        <v>103</v>
      </c>
      <c r="C770" s="68" t="n">
        <v>167</v>
      </c>
      <c r="D770" s="68" t="inlineStr">
        <is>
          <t>HpRatio</t>
        </is>
      </c>
      <c r="E770" s="68" t="n">
        <v>152136357</v>
      </c>
      <c r="F770" s="68" t="inlineStr">
        <is>
          <t>AtkRatio</t>
        </is>
      </c>
      <c r="G770" s="68" t="n">
        <v>152136357</v>
      </c>
      <c r="H770" s="68" t="inlineStr">
        <is>
          <t>DefRatio</t>
        </is>
      </c>
      <c r="I770" s="68" t="n">
        <v>152136357</v>
      </c>
    </row>
    <row r="771">
      <c r="A771" s="68">
        <f>B771&amp;TEXT(C771,"0000")</f>
        <v/>
      </c>
      <c r="B771" s="68" t="n">
        <v>103</v>
      </c>
      <c r="C771" s="68" t="n">
        <v>168</v>
      </c>
      <c r="D771" s="68" t="inlineStr">
        <is>
          <t>HpRatio</t>
        </is>
      </c>
      <c r="E771" s="68" t="n">
        <v>154011842</v>
      </c>
      <c r="F771" s="68" t="inlineStr">
        <is>
          <t>AtkRatio</t>
        </is>
      </c>
      <c r="G771" s="68" t="n">
        <v>154011842</v>
      </c>
      <c r="H771" s="68" t="inlineStr">
        <is>
          <t>DefRatio</t>
        </is>
      </c>
      <c r="I771" s="68" t="n">
        <v>154011842</v>
      </c>
    </row>
    <row r="772">
      <c r="A772" s="68">
        <f>B772&amp;TEXT(C772,"0000")</f>
        <v/>
      </c>
      <c r="B772" s="68" t="n">
        <v>103</v>
      </c>
      <c r="C772" s="68" t="n">
        <v>169</v>
      </c>
      <c r="D772" s="68" t="inlineStr">
        <is>
          <t>HpRatio</t>
        </is>
      </c>
      <c r="E772" s="68" t="n">
        <v>164095451</v>
      </c>
      <c r="F772" s="68" t="inlineStr">
        <is>
          <t>AtkRatio</t>
        </is>
      </c>
      <c r="G772" s="68" t="n">
        <v>164095451</v>
      </c>
      <c r="H772" s="68" t="inlineStr">
        <is>
          <t>DefRatio</t>
        </is>
      </c>
      <c r="I772" s="68" t="n">
        <v>164095451</v>
      </c>
    </row>
    <row r="773">
      <c r="A773" s="68">
        <f>B773&amp;TEXT(C773,"0000")</f>
        <v/>
      </c>
      <c r="B773" s="68" t="n">
        <v>103</v>
      </c>
      <c r="C773" s="68" t="n">
        <v>170</v>
      </c>
      <c r="D773" s="68" t="inlineStr">
        <is>
          <t>HpRatio</t>
        </is>
      </c>
      <c r="E773" s="68" t="n">
        <v>174847378</v>
      </c>
      <c r="F773" s="68" t="inlineStr">
        <is>
          <t>AtkRatio</t>
        </is>
      </c>
      <c r="G773" s="68" t="n">
        <v>174847378</v>
      </c>
      <c r="H773" s="68" t="inlineStr">
        <is>
          <t>DefRatio</t>
        </is>
      </c>
      <c r="I773" s="68" t="n">
        <v>174847378</v>
      </c>
    </row>
    <row r="774">
      <c r="A774" s="68">
        <f>B774&amp;TEXT(C774,"0000")</f>
        <v/>
      </c>
      <c r="B774" s="68" t="n">
        <v>103</v>
      </c>
      <c r="C774" s="68" t="n">
        <v>171</v>
      </c>
      <c r="D774" s="68" t="inlineStr">
        <is>
          <t>HpRatio</t>
        </is>
      </c>
      <c r="E774" s="68" t="n">
        <v>176985339</v>
      </c>
      <c r="F774" s="68" t="inlineStr">
        <is>
          <t>AtkRatio</t>
        </is>
      </c>
      <c r="G774" s="68" t="n">
        <v>176985339</v>
      </c>
      <c r="H774" s="68" t="inlineStr">
        <is>
          <t>DefRatio</t>
        </is>
      </c>
      <c r="I774" s="68" t="n">
        <v>176985339</v>
      </c>
    </row>
    <row r="775">
      <c r="A775" s="68">
        <f>B775&amp;TEXT(C775,"0000")</f>
        <v/>
      </c>
      <c r="B775" s="68" t="n">
        <v>103</v>
      </c>
      <c r="C775" s="68" t="n">
        <v>172</v>
      </c>
      <c r="D775" s="68" t="inlineStr">
        <is>
          <t>HpRatio</t>
        </is>
      </c>
      <c r="E775" s="68" t="n">
        <v>188588177</v>
      </c>
      <c r="F775" s="68" t="inlineStr">
        <is>
          <t>AtkRatio</t>
        </is>
      </c>
      <c r="G775" s="68" t="n">
        <v>188588177</v>
      </c>
      <c r="H775" s="68" t="inlineStr">
        <is>
          <t>DefRatio</t>
        </is>
      </c>
      <c r="I775" s="68" t="n">
        <v>188588177</v>
      </c>
    </row>
    <row r="776">
      <c r="A776" s="68">
        <f>B776&amp;TEXT(C776,"0000")</f>
        <v/>
      </c>
      <c r="B776" s="68" t="n">
        <v>103</v>
      </c>
      <c r="C776" s="68" t="n">
        <v>173</v>
      </c>
      <c r="D776" s="68" t="inlineStr">
        <is>
          <t>HpRatio</t>
        </is>
      </c>
      <c r="E776" s="68" t="n">
        <v>190878230</v>
      </c>
      <c r="F776" s="68" t="inlineStr">
        <is>
          <t>AtkRatio</t>
        </is>
      </c>
      <c r="G776" s="68" t="n">
        <v>190878230</v>
      </c>
      <c r="H776" s="68" t="inlineStr">
        <is>
          <t>DefRatio</t>
        </is>
      </c>
      <c r="I776" s="68" t="n">
        <v>190878230</v>
      </c>
    </row>
    <row r="777">
      <c r="A777" s="68">
        <f>B777&amp;TEXT(C777,"0000")</f>
        <v/>
      </c>
      <c r="B777" s="68" t="n">
        <v>103</v>
      </c>
      <c r="C777" s="68" t="n">
        <v>174</v>
      </c>
      <c r="D777" s="68" t="inlineStr">
        <is>
          <t>HpRatio</t>
        </is>
      </c>
      <c r="E777" s="68" t="n">
        <v>203398810</v>
      </c>
      <c r="F777" s="68" t="inlineStr">
        <is>
          <t>AtkRatio</t>
        </is>
      </c>
      <c r="G777" s="68" t="n">
        <v>203398810</v>
      </c>
      <c r="H777" s="68" t="inlineStr">
        <is>
          <t>DefRatio</t>
        </is>
      </c>
      <c r="I777" s="68" t="n">
        <v>203398810</v>
      </c>
    </row>
    <row r="778">
      <c r="A778" s="68">
        <f>B778&amp;TEXT(C778,"0000")</f>
        <v/>
      </c>
      <c r="B778" s="68" t="n">
        <v>103</v>
      </c>
      <c r="C778" s="68" t="n">
        <v>175</v>
      </c>
      <c r="D778" s="68" t="inlineStr">
        <is>
          <t>HpRatio</t>
        </is>
      </c>
      <c r="E778" s="68" t="n">
        <v>205851933</v>
      </c>
      <c r="F778" s="68" t="inlineStr">
        <is>
          <t>AtkRatio</t>
        </is>
      </c>
      <c r="G778" s="68" t="n">
        <v>205851933</v>
      </c>
      <c r="H778" s="68" t="inlineStr">
        <is>
          <t>DefRatio</t>
        </is>
      </c>
      <c r="I778" s="68" t="n">
        <v>205851933</v>
      </c>
    </row>
    <row r="779">
      <c r="A779" s="68">
        <f>B779&amp;TEXT(C779,"0000")</f>
        <v/>
      </c>
      <c r="B779" s="68" t="n">
        <v>103</v>
      </c>
      <c r="C779" s="68" t="n">
        <v>176</v>
      </c>
      <c r="D779" s="68" t="inlineStr">
        <is>
          <t>HpRatio</t>
        </is>
      </c>
      <c r="E779" s="68" t="n">
        <v>219362322</v>
      </c>
      <c r="F779" s="68" t="inlineStr">
        <is>
          <t>AtkRatio</t>
        </is>
      </c>
      <c r="G779" s="68" t="n">
        <v>219362322</v>
      </c>
      <c r="H779" s="68" t="inlineStr">
        <is>
          <t>DefRatio</t>
        </is>
      </c>
      <c r="I779" s="68" t="n">
        <v>219362322</v>
      </c>
    </row>
    <row r="780">
      <c r="A780" s="68">
        <f>B780&amp;TEXT(C780,"0000")</f>
        <v/>
      </c>
      <c r="B780" s="68" t="n">
        <v>103</v>
      </c>
      <c r="C780" s="68" t="n">
        <v>177</v>
      </c>
      <c r="D780" s="68" t="inlineStr">
        <is>
          <t>HpRatio</t>
        </is>
      </c>
      <c r="E780" s="68" t="n">
        <v>233770183</v>
      </c>
      <c r="F780" s="68" t="inlineStr">
        <is>
          <t>AtkRatio</t>
        </is>
      </c>
      <c r="G780" s="68" t="n">
        <v>233770183</v>
      </c>
      <c r="H780" s="68" t="inlineStr">
        <is>
          <t>DefRatio</t>
        </is>
      </c>
      <c r="I780" s="68" t="n">
        <v>233770183</v>
      </c>
    </row>
    <row r="781">
      <c r="A781" s="68">
        <f>B781&amp;TEXT(C781,"0000")</f>
        <v/>
      </c>
      <c r="B781" s="68" t="n">
        <v>103</v>
      </c>
      <c r="C781" s="68" t="n">
        <v>178</v>
      </c>
      <c r="D781" s="68" t="inlineStr">
        <is>
          <t>HpRatio</t>
        </is>
      </c>
      <c r="E781" s="68" t="n">
        <v>236568204</v>
      </c>
      <c r="F781" s="68" t="inlineStr">
        <is>
          <t>AtkRatio</t>
        </is>
      </c>
      <c r="G781" s="68" t="n">
        <v>236568204</v>
      </c>
      <c r="H781" s="68" t="inlineStr">
        <is>
          <t>DefRatio</t>
        </is>
      </c>
      <c r="I781" s="68" t="n">
        <v>236568204</v>
      </c>
    </row>
    <row r="782">
      <c r="A782" s="68">
        <f>B782&amp;TEXT(C782,"0000")</f>
        <v/>
      </c>
      <c r="B782" s="68" t="n">
        <v>103</v>
      </c>
      <c r="C782" s="68" t="n">
        <v>179</v>
      </c>
      <c r="D782" s="68" t="inlineStr">
        <is>
          <t>HpRatio</t>
        </is>
      </c>
      <c r="E782" s="68" t="n">
        <v>252115019</v>
      </c>
      <c r="F782" s="68" t="inlineStr">
        <is>
          <t>AtkRatio</t>
        </is>
      </c>
      <c r="G782" s="68" t="n">
        <v>252115019</v>
      </c>
      <c r="H782" s="68" t="inlineStr">
        <is>
          <t>DefRatio</t>
        </is>
      </c>
      <c r="I782" s="68" t="n">
        <v>252115019</v>
      </c>
    </row>
    <row r="783">
      <c r="A783" s="68">
        <f>B783&amp;TEXT(C783,"0000")</f>
        <v/>
      </c>
      <c r="B783" s="68" t="n">
        <v>103</v>
      </c>
      <c r="C783" s="68" t="n">
        <v>180</v>
      </c>
      <c r="D783" s="68" t="inlineStr">
        <is>
          <t>HpRatio</t>
        </is>
      </c>
      <c r="E783" s="68" t="n">
        <v>255112894</v>
      </c>
      <c r="F783" s="68" t="inlineStr">
        <is>
          <t>AtkRatio</t>
        </is>
      </c>
      <c r="G783" s="68" t="n">
        <v>255112894</v>
      </c>
      <c r="H783" s="68" t="inlineStr">
        <is>
          <t>DefRatio</t>
        </is>
      </c>
      <c r="I783" s="68" t="n">
        <v>255112894</v>
      </c>
    </row>
    <row r="784">
      <c r="A784" s="68">
        <f>B784&amp;TEXT(C784,"0000")</f>
        <v/>
      </c>
      <c r="B784" s="68" t="n">
        <v>103</v>
      </c>
      <c r="C784" s="68" t="n">
        <v>181</v>
      </c>
      <c r="D784" s="68" t="inlineStr">
        <is>
          <t>HpRatio</t>
        </is>
      </c>
      <c r="E784" s="68" t="n">
        <v>271888116</v>
      </c>
      <c r="F784" s="68" t="inlineStr">
        <is>
          <t>AtkRatio</t>
        </is>
      </c>
      <c r="G784" s="68" t="n">
        <v>271888116</v>
      </c>
      <c r="H784" s="68" t="inlineStr">
        <is>
          <t>DefRatio</t>
        </is>
      </c>
      <c r="I784" s="68" t="n">
        <v>271888116</v>
      </c>
    </row>
    <row r="785">
      <c r="A785" s="68">
        <f>B785&amp;TEXT(C785,"0000")</f>
        <v/>
      </c>
      <c r="B785" s="68" t="n">
        <v>103</v>
      </c>
      <c r="C785" s="68" t="n">
        <v>182</v>
      </c>
      <c r="D785" s="68" t="inlineStr">
        <is>
          <t>HpRatio</t>
        </is>
      </c>
      <c r="E785" s="68" t="n">
        <v>289779646</v>
      </c>
      <c r="F785" s="68" t="inlineStr">
        <is>
          <t>AtkRatio</t>
        </is>
      </c>
      <c r="G785" s="68" t="n">
        <v>289779646</v>
      </c>
      <c r="H785" s="68" t="inlineStr">
        <is>
          <t>DefRatio</t>
        </is>
      </c>
      <c r="I785" s="68" t="n">
        <v>289779646</v>
      </c>
    </row>
    <row r="786">
      <c r="A786" s="68">
        <f>B786&amp;TEXT(C786,"0000")</f>
        <v/>
      </c>
      <c r="B786" s="68" t="n">
        <v>103</v>
      </c>
      <c r="C786" s="68" t="n">
        <v>183</v>
      </c>
      <c r="D786" s="68" t="inlineStr">
        <is>
          <t>HpRatio</t>
        </is>
      </c>
      <c r="E786" s="68" t="n">
        <v>293200408</v>
      </c>
      <c r="F786" s="68" t="inlineStr">
        <is>
          <t>AtkRatio</t>
        </is>
      </c>
      <c r="G786" s="68" t="n">
        <v>293200408</v>
      </c>
      <c r="H786" s="68" t="inlineStr">
        <is>
          <t>DefRatio</t>
        </is>
      </c>
      <c r="I786" s="68" t="n">
        <v>293200408</v>
      </c>
    </row>
    <row r="787">
      <c r="A787" s="68">
        <f>B787&amp;TEXT(C787,"0000")</f>
        <v/>
      </c>
      <c r="B787" s="68" t="n">
        <v>103</v>
      </c>
      <c r="C787" s="68" t="n">
        <v>184</v>
      </c>
      <c r="D787" s="68" t="inlineStr">
        <is>
          <t>HpRatio</t>
        </is>
      </c>
      <c r="E787" s="68" t="n">
        <v>312505630</v>
      </c>
      <c r="F787" s="68" t="inlineStr">
        <is>
          <t>AtkRatio</t>
        </is>
      </c>
      <c r="G787" s="68" t="n">
        <v>312505630</v>
      </c>
      <c r="H787" s="68" t="inlineStr">
        <is>
          <t>DefRatio</t>
        </is>
      </c>
      <c r="I787" s="68" t="n">
        <v>312505630</v>
      </c>
    </row>
    <row r="788">
      <c r="A788" s="68">
        <f>B788&amp;TEXT(C788,"0000")</f>
        <v/>
      </c>
      <c r="B788" s="68" t="n">
        <v>103</v>
      </c>
      <c r="C788" s="68" t="n">
        <v>185</v>
      </c>
      <c r="D788" s="68" t="inlineStr">
        <is>
          <t>HpRatio</t>
        </is>
      </c>
      <c r="E788" s="68" t="n">
        <v>316171453</v>
      </c>
      <c r="F788" s="68" t="inlineStr">
        <is>
          <t>AtkRatio</t>
        </is>
      </c>
      <c r="G788" s="68" t="n">
        <v>316171453</v>
      </c>
      <c r="H788" s="68" t="inlineStr">
        <is>
          <t>DefRatio</t>
        </is>
      </c>
      <c r="I788" s="68" t="n">
        <v>316171453</v>
      </c>
    </row>
    <row r="789">
      <c r="A789" s="68">
        <f>B789&amp;TEXT(C789,"0000")</f>
        <v/>
      </c>
      <c r="B789" s="68" t="n">
        <v>103</v>
      </c>
      <c r="C789" s="68" t="n">
        <v>186</v>
      </c>
      <c r="D789" s="68" t="inlineStr">
        <is>
          <t>HpRatio</t>
        </is>
      </c>
      <c r="E789" s="68" t="n">
        <v>337001419</v>
      </c>
      <c r="F789" s="68" t="inlineStr">
        <is>
          <t>AtkRatio</t>
        </is>
      </c>
      <c r="G789" s="68" t="n">
        <v>337001419</v>
      </c>
      <c r="H789" s="68" t="inlineStr">
        <is>
          <t>DefRatio</t>
        </is>
      </c>
      <c r="I789" s="68" t="n">
        <v>337001419</v>
      </c>
    </row>
    <row r="790">
      <c r="A790" s="68">
        <f>B790&amp;TEXT(C790,"0000")</f>
        <v/>
      </c>
      <c r="B790" s="68" t="n">
        <v>103</v>
      </c>
      <c r="C790" s="68" t="n">
        <v>187</v>
      </c>
      <c r="D790" s="68" t="inlineStr">
        <is>
          <t>HpRatio</t>
        </is>
      </c>
      <c r="E790" s="68" t="n">
        <v>359219971</v>
      </c>
      <c r="F790" s="68" t="inlineStr">
        <is>
          <t>AtkRatio</t>
        </is>
      </c>
      <c r="G790" s="68" t="n">
        <v>359219971</v>
      </c>
      <c r="H790" s="68" t="inlineStr">
        <is>
          <t>DefRatio</t>
        </is>
      </c>
      <c r="I790" s="68" t="n">
        <v>359219971</v>
      </c>
    </row>
    <row r="791">
      <c r="A791" s="68">
        <f>B791&amp;TEXT(C791,"0000")</f>
        <v/>
      </c>
      <c r="B791" s="68" t="n">
        <v>103</v>
      </c>
      <c r="C791" s="68" t="n">
        <v>188</v>
      </c>
      <c r="D791" s="68" t="inlineStr">
        <is>
          <t>HpRatio</t>
        </is>
      </c>
      <c r="E791" s="68" t="n">
        <v>363404570</v>
      </c>
      <c r="F791" s="68" t="inlineStr">
        <is>
          <t>AtkRatio</t>
        </is>
      </c>
      <c r="G791" s="68" t="n">
        <v>363404570</v>
      </c>
      <c r="H791" s="68" t="inlineStr">
        <is>
          <t>DefRatio</t>
        </is>
      </c>
      <c r="I791" s="68" t="n">
        <v>363404570</v>
      </c>
    </row>
    <row r="792">
      <c r="A792" s="68">
        <f>B792&amp;TEXT(C792,"0000")</f>
        <v/>
      </c>
      <c r="B792" s="68" t="n">
        <v>103</v>
      </c>
      <c r="C792" s="68" t="n">
        <v>189</v>
      </c>
      <c r="D792" s="68" t="inlineStr">
        <is>
          <t>HpRatio</t>
        </is>
      </c>
      <c r="E792" s="68" t="n">
        <v>387378084</v>
      </c>
      <c r="F792" s="68" t="inlineStr">
        <is>
          <t>AtkRatio</t>
        </is>
      </c>
      <c r="G792" s="68" t="n">
        <v>387378084</v>
      </c>
      <c r="H792" s="68" t="inlineStr">
        <is>
          <t>DefRatio</t>
        </is>
      </c>
      <c r="I792" s="68" t="n">
        <v>387378084</v>
      </c>
    </row>
    <row r="793">
      <c r="A793" s="68">
        <f>B793&amp;TEXT(C793,"0000")</f>
        <v/>
      </c>
      <c r="B793" s="68" t="n">
        <v>103</v>
      </c>
      <c r="C793" s="68" t="n">
        <v>190</v>
      </c>
      <c r="D793" s="68" t="inlineStr">
        <is>
          <t>HpRatio</t>
        </is>
      </c>
      <c r="E793" s="68" t="n">
        <v>391863334</v>
      </c>
      <c r="F793" s="68" t="inlineStr">
        <is>
          <t>AtkRatio</t>
        </is>
      </c>
      <c r="G793" s="68" t="n">
        <v>391863334</v>
      </c>
      <c r="H793" s="68" t="inlineStr">
        <is>
          <t>DefRatio</t>
        </is>
      </c>
      <c r="I793" s="68" t="n">
        <v>391863334</v>
      </c>
    </row>
    <row r="794">
      <c r="A794" s="68">
        <f>B794&amp;TEXT(C794,"0000")</f>
        <v/>
      </c>
      <c r="B794" s="68" t="n">
        <v>103</v>
      </c>
      <c r="C794" s="68" t="n">
        <v>191</v>
      </c>
      <c r="D794" s="68" t="inlineStr">
        <is>
          <t>HpRatio</t>
        </is>
      </c>
      <c r="E794" s="68" t="n">
        <v>417729709</v>
      </c>
      <c r="F794" s="68" t="inlineStr">
        <is>
          <t>AtkRatio</t>
        </is>
      </c>
      <c r="G794" s="68" t="n">
        <v>417729709</v>
      </c>
      <c r="H794" s="68" t="inlineStr">
        <is>
          <t>DefRatio</t>
        </is>
      </c>
      <c r="I794" s="68" t="n">
        <v>417729709</v>
      </c>
    </row>
    <row r="795">
      <c r="A795" s="68">
        <f>B795&amp;TEXT(C795,"0000")</f>
        <v/>
      </c>
      <c r="B795" s="68" t="n">
        <v>103</v>
      </c>
      <c r="C795" s="68" t="n">
        <v>192</v>
      </c>
      <c r="D795" s="68" t="inlineStr">
        <is>
          <t>HpRatio</t>
        </is>
      </c>
      <c r="E795" s="68" t="n">
        <v>422537496</v>
      </c>
      <c r="F795" s="68" t="inlineStr">
        <is>
          <t>AtkRatio</t>
        </is>
      </c>
      <c r="G795" s="68" t="n">
        <v>422537496</v>
      </c>
      <c r="H795" s="68" t="inlineStr">
        <is>
          <t>DefRatio</t>
        </is>
      </c>
      <c r="I795" s="68" t="n">
        <v>422537496</v>
      </c>
    </row>
    <row r="796">
      <c r="A796" s="68">
        <f>B796&amp;TEXT(C796,"0000")</f>
        <v/>
      </c>
      <c r="B796" s="68" t="n">
        <v>103</v>
      </c>
      <c r="C796" s="68" t="n">
        <v>193</v>
      </c>
      <c r="D796" s="68" t="inlineStr">
        <is>
          <t>HpRatio</t>
        </is>
      </c>
      <c r="E796" s="68" t="n">
        <v>450445450</v>
      </c>
      <c r="F796" s="68" t="inlineStr">
        <is>
          <t>AtkRatio</t>
        </is>
      </c>
      <c r="G796" s="68" t="n">
        <v>450445450</v>
      </c>
      <c r="H796" s="68" t="inlineStr">
        <is>
          <t>DefRatio</t>
        </is>
      </c>
      <c r="I796" s="68" t="n">
        <v>450445450</v>
      </c>
    </row>
    <row r="797">
      <c r="A797" s="68">
        <f>B797&amp;TEXT(C797,"0000")</f>
        <v/>
      </c>
      <c r="B797" s="68" t="n">
        <v>103</v>
      </c>
      <c r="C797" s="68" t="n">
        <v>194</v>
      </c>
      <c r="D797" s="68" t="inlineStr">
        <is>
          <t>HpRatio</t>
        </is>
      </c>
      <c r="E797" s="68" t="n">
        <v>480218176</v>
      </c>
      <c r="F797" s="68" t="inlineStr">
        <is>
          <t>AtkRatio</t>
        </is>
      </c>
      <c r="G797" s="68" t="n">
        <v>480218176</v>
      </c>
      <c r="H797" s="68" t="inlineStr">
        <is>
          <t>DefRatio</t>
        </is>
      </c>
      <c r="I797" s="68" t="n">
        <v>480218176</v>
      </c>
    </row>
    <row r="798">
      <c r="A798" s="68">
        <f>B798&amp;TEXT(C798,"0000")</f>
        <v/>
      </c>
      <c r="B798" s="68" t="n">
        <v>103</v>
      </c>
      <c r="C798" s="68" t="n">
        <v>195</v>
      </c>
      <c r="D798" s="68" t="inlineStr">
        <is>
          <t>HpRatio</t>
        </is>
      </c>
      <c r="E798" s="68" t="n">
        <v>485709189</v>
      </c>
      <c r="F798" s="68" t="inlineStr">
        <is>
          <t>AtkRatio</t>
        </is>
      </c>
      <c r="G798" s="68" t="n">
        <v>485709189</v>
      </c>
      <c r="H798" s="68" t="inlineStr">
        <is>
          <t>DefRatio</t>
        </is>
      </c>
      <c r="I798" s="68" t="n">
        <v>485709189</v>
      </c>
    </row>
    <row r="799">
      <c r="A799" s="68">
        <f>B799&amp;TEXT(C799,"0000")</f>
        <v/>
      </c>
      <c r="B799" s="68" t="n">
        <v>103</v>
      </c>
      <c r="C799" s="68" t="n">
        <v>196</v>
      </c>
      <c r="D799" s="68" t="inlineStr">
        <is>
          <t>HpRatio</t>
        </is>
      </c>
      <c r="E799" s="68" t="n">
        <v>517832143</v>
      </c>
      <c r="F799" s="68" t="inlineStr">
        <is>
          <t>AtkRatio</t>
        </is>
      </c>
      <c r="G799" s="68" t="n">
        <v>517832143</v>
      </c>
      <c r="H799" s="68" t="inlineStr">
        <is>
          <t>DefRatio</t>
        </is>
      </c>
      <c r="I799" s="68" t="n">
        <v>517832143</v>
      </c>
    </row>
    <row r="800">
      <c r="A800" s="68">
        <f>B800&amp;TEXT(C800,"0000")</f>
        <v/>
      </c>
      <c r="B800" s="68" t="n">
        <v>103</v>
      </c>
      <c r="C800" s="68" t="n">
        <v>197</v>
      </c>
      <c r="D800" s="68" t="inlineStr">
        <is>
          <t>HpRatio</t>
        </is>
      </c>
      <c r="E800" s="68" t="n">
        <v>523719122</v>
      </c>
      <c r="F800" s="68" t="inlineStr">
        <is>
          <t>AtkRatio</t>
        </is>
      </c>
      <c r="G800" s="68" t="n">
        <v>523719122</v>
      </c>
      <c r="H800" s="68" t="inlineStr">
        <is>
          <t>DefRatio</t>
        </is>
      </c>
      <c r="I800" s="68" t="n">
        <v>523719122</v>
      </c>
    </row>
    <row r="801">
      <c r="A801" s="68">
        <f>B801&amp;TEXT(C801,"0000")</f>
        <v/>
      </c>
      <c r="B801" s="68" t="n">
        <v>103</v>
      </c>
      <c r="C801" s="68" t="n">
        <v>198</v>
      </c>
      <c r="D801" s="68" t="inlineStr">
        <is>
          <t>HpRatio</t>
        </is>
      </c>
      <c r="E801" s="68" t="n">
        <v>558377019</v>
      </c>
      <c r="F801" s="68" t="inlineStr">
        <is>
          <t>AtkRatio</t>
        </is>
      </c>
      <c r="G801" s="68" t="n">
        <v>558377019</v>
      </c>
      <c r="H801" s="68" t="inlineStr">
        <is>
          <t>DefRatio</t>
        </is>
      </c>
      <c r="I801" s="68" t="n">
        <v>558377019</v>
      </c>
    </row>
    <row r="802">
      <c r="A802" s="68">
        <f>B802&amp;TEXT(C802,"0000")</f>
        <v/>
      </c>
      <c r="B802" s="68" t="n">
        <v>103</v>
      </c>
      <c r="C802" s="68" t="n">
        <v>199</v>
      </c>
      <c r="D802" s="68" t="inlineStr">
        <is>
          <t>HpRatio</t>
        </is>
      </c>
      <c r="E802" s="68" t="n">
        <v>595354839</v>
      </c>
      <c r="F802" s="68" t="inlineStr">
        <is>
          <t>AtkRatio</t>
        </is>
      </c>
      <c r="G802" s="68" t="n">
        <v>595354839</v>
      </c>
      <c r="H802" s="68" t="inlineStr">
        <is>
          <t>DefRatio</t>
        </is>
      </c>
      <c r="I802" s="68" t="n">
        <v>595354839</v>
      </c>
    </row>
    <row r="803">
      <c r="A803" s="68">
        <f>B803&amp;TEXT(C803,"0000")</f>
        <v/>
      </c>
      <c r="B803" s="68" t="n">
        <v>103</v>
      </c>
      <c r="C803" s="68" t="n">
        <v>200</v>
      </c>
      <c r="D803" s="68" t="inlineStr">
        <is>
          <t>HpRatio</t>
        </is>
      </c>
      <c r="E803" s="68" t="n">
        <v>602080933</v>
      </c>
      <c r="F803" s="68" t="inlineStr">
        <is>
          <t>AtkRatio</t>
        </is>
      </c>
      <c r="G803" s="68" t="n">
        <v>602080933</v>
      </c>
      <c r="H803" s="68" t="inlineStr">
        <is>
          <t>DefRatio</t>
        </is>
      </c>
      <c r="I803" s="68" t="n">
        <v>602080933</v>
      </c>
    </row>
    <row r="804">
      <c r="A804" s="68">
        <f>B804&amp;TEXT(C804,"0000")</f>
        <v/>
      </c>
      <c r="B804" s="68" t="n">
        <v>103</v>
      </c>
      <c r="C804" s="68" t="n">
        <v>201</v>
      </c>
      <c r="D804" s="68" t="inlineStr">
        <is>
          <t>HpRatio</t>
        </is>
      </c>
      <c r="E804" s="68" t="n">
        <v>641977348</v>
      </c>
      <c r="F804" s="68" t="inlineStr">
        <is>
          <t>AtkRatio</t>
        </is>
      </c>
      <c r="G804" s="68" t="n">
        <v>641977348</v>
      </c>
      <c r="H804" s="68" t="inlineStr">
        <is>
          <t>DefRatio</t>
        </is>
      </c>
      <c r="I804" s="68" t="n">
        <v>641977348</v>
      </c>
    </row>
    <row r="805">
      <c r="A805" s="68">
        <f>B805&amp;TEXT(C805,"0000")</f>
        <v/>
      </c>
      <c r="B805" s="68" t="n">
        <v>103</v>
      </c>
      <c r="C805" s="68" t="n">
        <v>202</v>
      </c>
      <c r="D805" s="68" t="inlineStr">
        <is>
          <t>HpRatio</t>
        </is>
      </c>
      <c r="E805" s="68" t="n">
        <v>649189792</v>
      </c>
      <c r="F805" s="68" t="inlineStr">
        <is>
          <t>AtkRatio</t>
        </is>
      </c>
      <c r="G805" s="68" t="n">
        <v>649189792</v>
      </c>
      <c r="H805" s="68" t="inlineStr">
        <is>
          <t>DefRatio</t>
        </is>
      </c>
      <c r="I805" s="68" t="n">
        <v>649189792</v>
      </c>
    </row>
    <row r="806">
      <c r="A806" s="68">
        <f>B806&amp;TEXT(C806,"0000")</f>
        <v/>
      </c>
      <c r="B806" s="68" t="n">
        <v>103</v>
      </c>
      <c r="C806" s="68" t="n">
        <v>203</v>
      </c>
      <c r="D806" s="68" t="inlineStr">
        <is>
          <t>HpRatio</t>
        </is>
      </c>
      <c r="E806" s="68" t="n">
        <v>692234269</v>
      </c>
      <c r="F806" s="68" t="inlineStr">
        <is>
          <t>AtkRatio</t>
        </is>
      </c>
      <c r="G806" s="68" t="n">
        <v>692234269</v>
      </c>
      <c r="H806" s="68" t="inlineStr">
        <is>
          <t>DefRatio</t>
        </is>
      </c>
      <c r="I806" s="68" t="n">
        <v>692234269</v>
      </c>
    </row>
    <row r="807">
      <c r="A807" s="68">
        <f>B807&amp;TEXT(C807,"0000")</f>
        <v/>
      </c>
      <c r="B807" s="68" t="n">
        <v>103</v>
      </c>
      <c r="C807" s="68" t="n">
        <v>204</v>
      </c>
      <c r="D807" s="68" t="inlineStr">
        <is>
          <t>HpRatio</t>
        </is>
      </c>
      <c r="E807" s="68" t="n">
        <v>738165187</v>
      </c>
      <c r="F807" s="68" t="inlineStr">
        <is>
          <t>AtkRatio</t>
        </is>
      </c>
      <c r="G807" s="68" t="n">
        <v>738165187</v>
      </c>
      <c r="H807" s="68" t="inlineStr">
        <is>
          <t>DefRatio</t>
        </is>
      </c>
      <c r="I807" s="68" t="n">
        <v>738165187</v>
      </c>
    </row>
    <row r="808">
      <c r="A808" s="68">
        <f>B808&amp;TEXT(C808,"0000")</f>
        <v/>
      </c>
      <c r="B808" s="68" t="n">
        <v>103</v>
      </c>
      <c r="C808" s="68" t="n">
        <v>205</v>
      </c>
      <c r="D808" s="68" t="inlineStr">
        <is>
          <t>HpRatio</t>
        </is>
      </c>
      <c r="E808" s="68" t="n">
        <v>746408699</v>
      </c>
      <c r="F808" s="68" t="inlineStr">
        <is>
          <t>AtkRatio</t>
        </is>
      </c>
      <c r="G808" s="68" t="n">
        <v>746408699</v>
      </c>
      <c r="H808" s="68" t="inlineStr">
        <is>
          <t>DefRatio</t>
        </is>
      </c>
      <c r="I808" s="68" t="n">
        <v>746408699</v>
      </c>
    </row>
    <row r="809">
      <c r="A809" s="68">
        <f>B809&amp;TEXT(C809,"0000")</f>
        <v/>
      </c>
      <c r="B809" s="68" t="n">
        <v>103</v>
      </c>
      <c r="C809" s="68" t="n">
        <v>206</v>
      </c>
      <c r="D809" s="68" t="inlineStr">
        <is>
          <t>HpRatio</t>
        </is>
      </c>
      <c r="E809" s="68" t="n">
        <v>795964646</v>
      </c>
      <c r="F809" s="68" t="inlineStr">
        <is>
          <t>AtkRatio</t>
        </is>
      </c>
      <c r="G809" s="68" t="n">
        <v>795964646</v>
      </c>
      <c r="H809" s="68" t="inlineStr">
        <is>
          <t>DefRatio</t>
        </is>
      </c>
      <c r="I809" s="68" t="n">
        <v>795964646</v>
      </c>
    </row>
    <row r="810">
      <c r="A810" s="68">
        <f>B810&amp;TEXT(C810,"0000")</f>
        <v/>
      </c>
      <c r="B810" s="68" t="n">
        <v>103</v>
      </c>
      <c r="C810" s="68" t="n">
        <v>207</v>
      </c>
      <c r="D810" s="68" t="inlineStr">
        <is>
          <t>HpRatio</t>
        </is>
      </c>
      <c r="E810" s="68" t="n">
        <v>804805812</v>
      </c>
      <c r="F810" s="68" t="inlineStr">
        <is>
          <t>AtkRatio</t>
        </is>
      </c>
      <c r="G810" s="68" t="n">
        <v>804805812</v>
      </c>
      <c r="H810" s="68" t="inlineStr">
        <is>
          <t>DefRatio</t>
        </is>
      </c>
      <c r="I810" s="68" t="n">
        <v>804805812</v>
      </c>
    </row>
    <row r="811">
      <c r="A811" s="68">
        <f>B811&amp;TEXT(C811,"0000")</f>
        <v/>
      </c>
      <c r="B811" s="68" t="n">
        <v>103</v>
      </c>
      <c r="C811" s="68" t="n">
        <v>208</v>
      </c>
      <c r="D811" s="68" t="inlineStr">
        <is>
          <t>HpRatio</t>
        </is>
      </c>
      <c r="E811" s="68" t="n">
        <v>858271915</v>
      </c>
      <c r="F811" s="68" t="inlineStr">
        <is>
          <t>AtkRatio</t>
        </is>
      </c>
      <c r="G811" s="68" t="n">
        <v>858271915</v>
      </c>
      <c r="H811" s="68" t="inlineStr">
        <is>
          <t>DefRatio</t>
        </is>
      </c>
      <c r="I811" s="68" t="n">
        <v>858271915</v>
      </c>
    </row>
    <row r="812">
      <c r="A812" s="68">
        <f>B812&amp;TEXT(C812,"0000")</f>
        <v/>
      </c>
      <c r="B812" s="68" t="n">
        <v>103</v>
      </c>
      <c r="C812" s="68" t="n">
        <v>209</v>
      </c>
      <c r="D812" s="68" t="inlineStr">
        <is>
          <t>HpRatio</t>
        </is>
      </c>
      <c r="E812" s="68" t="n">
        <v>867754586</v>
      </c>
      <c r="F812" s="68" t="inlineStr">
        <is>
          <t>AtkRatio</t>
        </is>
      </c>
      <c r="G812" s="68" t="n">
        <v>867754586</v>
      </c>
      <c r="H812" s="68" t="inlineStr">
        <is>
          <t>DefRatio</t>
        </is>
      </c>
      <c r="I812" s="68" t="n">
        <v>867754586</v>
      </c>
    </row>
    <row r="813">
      <c r="A813" s="68">
        <f>B813&amp;TEXT(C813,"0000")</f>
        <v/>
      </c>
      <c r="B813" s="68" t="n">
        <v>103</v>
      </c>
      <c r="C813" s="68" t="n">
        <v>210</v>
      </c>
      <c r="D813" s="68" t="inlineStr">
        <is>
          <t>HpRatio</t>
        </is>
      </c>
      <c r="E813" s="68" t="n">
        <v>925438385</v>
      </c>
      <c r="F813" s="68" t="inlineStr">
        <is>
          <t>AtkRatio</t>
        </is>
      </c>
      <c r="G813" s="68" t="n">
        <v>925438385</v>
      </c>
      <c r="H813" s="68" t="inlineStr">
        <is>
          <t>DefRatio</t>
        </is>
      </c>
      <c r="I813" s="68" t="n">
        <v>925438385</v>
      </c>
    </row>
    <row r="814">
      <c r="A814" s="68">
        <f>B814&amp;TEXT(C814,"0000")</f>
        <v/>
      </c>
      <c r="B814" s="68" t="n">
        <v>103</v>
      </c>
      <c r="C814" s="68" t="n">
        <v>211</v>
      </c>
      <c r="D814" s="68" t="inlineStr">
        <is>
          <t>HpRatio</t>
        </is>
      </c>
      <c r="E814" s="68" t="n">
        <v>986999407</v>
      </c>
      <c r="F814" s="68" t="inlineStr">
        <is>
          <t>AtkRatio</t>
        </is>
      </c>
      <c r="G814" s="68" t="n">
        <v>986999407</v>
      </c>
      <c r="H814" s="68" t="inlineStr">
        <is>
          <t>DefRatio</t>
        </is>
      </c>
      <c r="I814" s="68" t="n">
        <v>986999407</v>
      </c>
    </row>
    <row r="815">
      <c r="A815" s="68">
        <f>B815&amp;TEXT(C815,"0000")</f>
        <v/>
      </c>
      <c r="B815" s="68" t="n">
        <v>103</v>
      </c>
      <c r="C815" s="68" t="n">
        <v>212</v>
      </c>
      <c r="D815" s="68" t="inlineStr">
        <is>
          <t>HpRatio</t>
        </is>
      </c>
      <c r="E815" s="68" t="n">
        <v>997842876</v>
      </c>
      <c r="F815" s="68" t="inlineStr">
        <is>
          <t>AtkRatio</t>
        </is>
      </c>
      <c r="G815" s="68" t="n">
        <v>997842876</v>
      </c>
      <c r="H815" s="68" t="inlineStr">
        <is>
          <t>DefRatio</t>
        </is>
      </c>
      <c r="I815" s="68" t="n">
        <v>997842876</v>
      </c>
    </row>
    <row r="816">
      <c r="A816" s="68">
        <f>B816&amp;TEXT(C816,"0000")</f>
        <v/>
      </c>
      <c r="B816" s="68" t="n">
        <v>103</v>
      </c>
      <c r="C816" s="68" t="n">
        <v>213</v>
      </c>
      <c r="D816" s="68" t="inlineStr">
        <is>
          <t>HpRatio</t>
        </is>
      </c>
      <c r="E816" s="68" t="n">
        <v>1064261502</v>
      </c>
      <c r="F816" s="68" t="inlineStr">
        <is>
          <t>AtkRatio</t>
        </is>
      </c>
      <c r="G816" s="68" t="n">
        <v>1064261502</v>
      </c>
      <c r="H816" s="68" t="inlineStr">
        <is>
          <t>DefRatio</t>
        </is>
      </c>
      <c r="I816" s="68" t="n">
        <v>1064261502</v>
      </c>
    </row>
    <row r="817">
      <c r="A817" s="68">
        <f>B817&amp;TEXT(C817,"0000")</f>
        <v/>
      </c>
      <c r="B817" s="68" t="n">
        <v>103</v>
      </c>
      <c r="C817" s="68" t="n">
        <v>214</v>
      </c>
      <c r="D817" s="68" t="inlineStr">
        <is>
          <t>HpRatio</t>
        </is>
      </c>
      <c r="E817" s="68" t="n">
        <v>1075893782</v>
      </c>
      <c r="F817" s="68" t="inlineStr">
        <is>
          <t>AtkRatio</t>
        </is>
      </c>
      <c r="G817" s="68" t="n">
        <v>1075893782</v>
      </c>
      <c r="H817" s="68" t="inlineStr">
        <is>
          <t>DefRatio</t>
        </is>
      </c>
      <c r="I817" s="68" t="n">
        <v>1075893782</v>
      </c>
    </row>
    <row r="818">
      <c r="A818" s="68">
        <f>B818&amp;TEXT(C818,"0000")</f>
        <v/>
      </c>
      <c r="B818" s="68" t="n">
        <v>103</v>
      </c>
      <c r="C818" s="68" t="n">
        <v>215</v>
      </c>
      <c r="D818" s="68" t="inlineStr">
        <is>
          <t>HpRatio</t>
        </is>
      </c>
      <c r="E818" s="68" t="n">
        <v>1147552248</v>
      </c>
      <c r="F818" s="68" t="inlineStr">
        <is>
          <t>AtkRatio</t>
        </is>
      </c>
      <c r="G818" s="68" t="n">
        <v>1147552248</v>
      </c>
      <c r="H818" s="68" t="inlineStr">
        <is>
          <t>DefRatio</t>
        </is>
      </c>
      <c r="I818" s="68" t="n">
        <v>1147552248</v>
      </c>
    </row>
    <row r="819">
      <c r="A819" s="68">
        <f>B819&amp;TEXT(C819,"0000")</f>
        <v/>
      </c>
      <c r="B819" s="68" t="n">
        <v>103</v>
      </c>
      <c r="C819" s="68" t="n">
        <v>216</v>
      </c>
      <c r="D819" s="68" t="inlineStr">
        <is>
          <t>HpRatio</t>
        </is>
      </c>
      <c r="E819" s="68" t="n">
        <v>1224035815</v>
      </c>
      <c r="F819" s="68" t="inlineStr">
        <is>
          <t>AtkRatio</t>
        </is>
      </c>
      <c r="G819" s="68" t="n">
        <v>1224035815</v>
      </c>
      <c r="H819" s="68" t="inlineStr">
        <is>
          <t>DefRatio</t>
        </is>
      </c>
      <c r="I819" s="68" t="n">
        <v>1224035815</v>
      </c>
    </row>
    <row r="820">
      <c r="A820" s="68">
        <f>B820&amp;TEXT(C820,"0000")</f>
        <v/>
      </c>
      <c r="B820" s="68" t="n">
        <v>103</v>
      </c>
      <c r="C820" s="68" t="n">
        <v>217</v>
      </c>
      <c r="D820" s="68" t="inlineStr">
        <is>
          <t>HpRatio</t>
        </is>
      </c>
      <c r="E820" s="68" t="n">
        <v>1237341998</v>
      </c>
      <c r="F820" s="68" t="inlineStr">
        <is>
          <t>AtkRatio</t>
        </is>
      </c>
      <c r="G820" s="68" t="n">
        <v>1237341998</v>
      </c>
      <c r="H820" s="68" t="inlineStr">
        <is>
          <t>DefRatio</t>
        </is>
      </c>
      <c r="I820" s="68" t="n">
        <v>1237341998</v>
      </c>
    </row>
    <row r="821">
      <c r="A821" s="68">
        <f>B821&amp;TEXT(C821,"0000")</f>
        <v/>
      </c>
      <c r="B821" s="68" t="n">
        <v>103</v>
      </c>
      <c r="C821" s="68" t="n">
        <v>218</v>
      </c>
      <c r="D821" s="68" t="inlineStr">
        <is>
          <t>HpRatio</t>
        </is>
      </c>
      <c r="E821" s="68" t="n">
        <v>1319861288</v>
      </c>
      <c r="F821" s="68" t="inlineStr">
        <is>
          <t>AtkRatio</t>
        </is>
      </c>
      <c r="G821" s="68" t="n">
        <v>1319861288</v>
      </c>
      <c r="H821" s="68" t="inlineStr">
        <is>
          <t>DefRatio</t>
        </is>
      </c>
      <c r="I821" s="68" t="n">
        <v>1319861288</v>
      </c>
    </row>
    <row r="822">
      <c r="A822" s="68">
        <f>B822&amp;TEXT(C822,"0000")</f>
        <v/>
      </c>
      <c r="B822" s="68" t="n">
        <v>103</v>
      </c>
      <c r="C822" s="68" t="n">
        <v>219</v>
      </c>
      <c r="D822" s="68" t="inlineStr">
        <is>
          <t>HpRatio</t>
        </is>
      </c>
      <c r="E822" s="68" t="n">
        <v>1334137860</v>
      </c>
      <c r="F822" s="68" t="inlineStr">
        <is>
          <t>AtkRatio</t>
        </is>
      </c>
      <c r="G822" s="68" t="n">
        <v>1334137860</v>
      </c>
      <c r="H822" s="68" t="inlineStr">
        <is>
          <t>DefRatio</t>
        </is>
      </c>
      <c r="I822" s="68" t="n">
        <v>1334137860</v>
      </c>
    </row>
    <row r="823">
      <c r="A823" s="68">
        <f>B823&amp;TEXT(C823,"0000")</f>
        <v/>
      </c>
      <c r="B823" s="68" t="n">
        <v>103</v>
      </c>
      <c r="C823" s="68" t="n">
        <v>220</v>
      </c>
      <c r="D823" s="68" t="inlineStr">
        <is>
          <t>HpRatio</t>
        </is>
      </c>
      <c r="E823" s="68" t="n">
        <v>1423168045</v>
      </c>
      <c r="F823" s="68" t="inlineStr">
        <is>
          <t>AtkRatio</t>
        </is>
      </c>
      <c r="G823" s="68" t="n">
        <v>1423168045</v>
      </c>
      <c r="H823" s="68" t="inlineStr">
        <is>
          <t>DefRatio</t>
        </is>
      </c>
      <c r="I823" s="68" t="n">
        <v>1423168045</v>
      </c>
    </row>
    <row r="824">
      <c r="A824" s="68">
        <f>B824&amp;TEXT(C824,"0000")</f>
        <v/>
      </c>
      <c r="B824" s="68" t="n">
        <v>103</v>
      </c>
      <c r="C824" s="68" t="n">
        <v>221</v>
      </c>
      <c r="D824" s="68" t="inlineStr">
        <is>
          <t>HpRatio</t>
        </is>
      </c>
      <c r="E824" s="68" t="n">
        <v>1518203683</v>
      </c>
      <c r="F824" s="68" t="inlineStr">
        <is>
          <t>AtkRatio</t>
        </is>
      </c>
      <c r="G824" s="68" t="n">
        <v>1518203683</v>
      </c>
      <c r="H824" s="68" t="inlineStr">
        <is>
          <t>DefRatio</t>
        </is>
      </c>
      <c r="I824" s="68" t="n">
        <v>1518203683</v>
      </c>
    </row>
    <row r="825">
      <c r="A825" s="68">
        <f>B825&amp;TEXT(C825,"0000")</f>
        <v/>
      </c>
      <c r="B825" s="68" t="n">
        <v>103</v>
      </c>
      <c r="C825" s="68" t="n">
        <v>222</v>
      </c>
      <c r="D825" s="68" t="inlineStr">
        <is>
          <t>HpRatio</t>
        </is>
      </c>
      <c r="E825" s="68" t="n">
        <v>1534540234</v>
      </c>
      <c r="F825" s="68" t="inlineStr">
        <is>
          <t>AtkRatio</t>
        </is>
      </c>
      <c r="G825" s="68" t="n">
        <v>1534540234</v>
      </c>
      <c r="H825" s="68" t="inlineStr">
        <is>
          <t>DefRatio</t>
        </is>
      </c>
      <c r="I825" s="68" t="n">
        <v>1534540234</v>
      </c>
    </row>
    <row r="826">
      <c r="A826" s="68">
        <f>B826&amp;TEXT(C826,"0000")</f>
        <v/>
      </c>
      <c r="B826" s="68" t="n">
        <v>103</v>
      </c>
      <c r="C826" s="68" t="n">
        <v>223</v>
      </c>
      <c r="D826" s="68" t="inlineStr">
        <is>
          <t>HpRatio</t>
        </is>
      </c>
      <c r="E826" s="68" t="n">
        <v>1637076835</v>
      </c>
      <c r="F826" s="68" t="inlineStr">
        <is>
          <t>AtkRatio</t>
        </is>
      </c>
      <c r="G826" s="68" t="n">
        <v>1637076835</v>
      </c>
      <c r="H826" s="68" t="inlineStr">
        <is>
          <t>DefRatio</t>
        </is>
      </c>
      <c r="I826" s="68" t="n">
        <v>1637076835</v>
      </c>
    </row>
    <row r="827">
      <c r="A827" s="68">
        <f>B827&amp;TEXT(C827,"0000")</f>
        <v/>
      </c>
      <c r="B827" s="68" t="n">
        <v>103</v>
      </c>
      <c r="C827" s="68" t="n">
        <v>224</v>
      </c>
      <c r="D827" s="68" t="inlineStr">
        <is>
          <t>HpRatio</t>
        </is>
      </c>
      <c r="E827" s="68" t="n">
        <v>1654607693</v>
      </c>
      <c r="F827" s="68" t="inlineStr">
        <is>
          <t>AtkRatio</t>
        </is>
      </c>
      <c r="G827" s="68" t="n">
        <v>1654607693</v>
      </c>
      <c r="H827" s="68" t="inlineStr">
        <is>
          <t>DefRatio</t>
        </is>
      </c>
      <c r="I827" s="68" t="n">
        <v>1654607693</v>
      </c>
    </row>
    <row r="828">
      <c r="A828" s="68">
        <f>B828&amp;TEXT(C828,"0000")</f>
        <v/>
      </c>
      <c r="B828" s="68" t="n">
        <v>103</v>
      </c>
      <c r="C828" s="68" t="n">
        <v>225</v>
      </c>
      <c r="D828" s="68" t="inlineStr">
        <is>
          <t>HpRatio</t>
        </is>
      </c>
      <c r="E828" s="68" t="n">
        <v>1765236088</v>
      </c>
      <c r="F828" s="68" t="inlineStr">
        <is>
          <t>AtkRatio</t>
        </is>
      </c>
      <c r="G828" s="68" t="n">
        <v>1765236088</v>
      </c>
      <c r="H828" s="68" t="inlineStr">
        <is>
          <t>DefRatio</t>
        </is>
      </c>
      <c r="I828" s="68" t="n">
        <v>1765236088</v>
      </c>
    </row>
    <row r="829">
      <c r="A829" s="68">
        <f>B829&amp;TEXT(C829,"0000")</f>
        <v/>
      </c>
      <c r="B829" s="68" t="n">
        <v>103</v>
      </c>
      <c r="C829" s="68" t="n">
        <v>226</v>
      </c>
      <c r="D829" s="68" t="inlineStr">
        <is>
          <t>HpRatio</t>
        </is>
      </c>
      <c r="E829" s="68" t="n">
        <v>1784049528</v>
      </c>
      <c r="F829" s="68" t="inlineStr">
        <is>
          <t>AtkRatio</t>
        </is>
      </c>
      <c r="G829" s="68" t="n">
        <v>1784049528</v>
      </c>
      <c r="H829" s="68" t="inlineStr">
        <is>
          <t>DefRatio</t>
        </is>
      </c>
      <c r="I829" s="68" t="n">
        <v>1784049528</v>
      </c>
    </row>
    <row r="830">
      <c r="A830" s="68">
        <f>B830&amp;TEXT(C830,"0000")</f>
        <v/>
      </c>
      <c r="B830" s="68" t="n">
        <v>103</v>
      </c>
      <c r="C830" s="68" t="n">
        <v>227</v>
      </c>
      <c r="D830" s="68" t="inlineStr">
        <is>
          <t>HpRatio</t>
        </is>
      </c>
      <c r="E830" s="68" t="n">
        <v>1903407093</v>
      </c>
      <c r="F830" s="68" t="inlineStr">
        <is>
          <t>AtkRatio</t>
        </is>
      </c>
      <c r="G830" s="68" t="n">
        <v>1903407093</v>
      </c>
      <c r="H830" s="68" t="inlineStr">
        <is>
          <t>DefRatio</t>
        </is>
      </c>
      <c r="I830" s="68" t="n">
        <v>1903407093</v>
      </c>
    </row>
    <row r="831">
      <c r="A831" s="68">
        <f>B831&amp;TEXT(C831,"0000")</f>
        <v/>
      </c>
      <c r="B831" s="68" t="n">
        <v>103</v>
      </c>
      <c r="C831" s="68" t="n">
        <v>228</v>
      </c>
      <c r="D831" s="68" t="inlineStr">
        <is>
          <t>HpRatio</t>
        </is>
      </c>
      <c r="E831" s="68" t="n">
        <v>2030834680</v>
      </c>
      <c r="F831" s="68" t="inlineStr">
        <is>
          <t>AtkRatio</t>
        </is>
      </c>
      <c r="G831" s="68" t="n">
        <v>2030834680</v>
      </c>
      <c r="H831" s="68" t="inlineStr">
        <is>
          <t>DefRatio</t>
        </is>
      </c>
      <c r="I831" s="68" t="n">
        <v>2030834680</v>
      </c>
    </row>
    <row r="832">
      <c r="A832" s="68">
        <f>B832&amp;TEXT(C832,"0000")</f>
        <v/>
      </c>
      <c r="B832" s="68" t="n">
        <v>103</v>
      </c>
      <c r="C832" s="68" t="n">
        <v>229</v>
      </c>
      <c r="D832" s="68" t="inlineStr">
        <is>
          <t>HpRatio</t>
        </is>
      </c>
      <c r="E832" s="68" t="n">
        <v>2052372310</v>
      </c>
      <c r="F832" s="68" t="inlineStr">
        <is>
          <t>AtkRatio</t>
        </is>
      </c>
      <c r="G832" s="68" t="n">
        <v>2052372310</v>
      </c>
      <c r="H832" s="68" t="inlineStr">
        <is>
          <t>DefRatio</t>
        </is>
      </c>
      <c r="I832" s="68" t="n">
        <v>2052372310</v>
      </c>
    </row>
    <row r="833">
      <c r="A833" s="68">
        <f>B833&amp;TEXT(C833,"0000")</f>
        <v/>
      </c>
      <c r="B833" s="68" t="n">
        <v>103</v>
      </c>
      <c r="C833" s="68" t="n">
        <v>230</v>
      </c>
      <c r="D833" s="68" t="inlineStr">
        <is>
          <t>HpRatio</t>
        </is>
      </c>
      <c r="E833" s="68" t="n">
        <v>2189858363</v>
      </c>
      <c r="F833" s="68" t="inlineStr">
        <is>
          <t>AtkRatio</t>
        </is>
      </c>
      <c r="G833" s="68" t="n">
        <v>2189858363</v>
      </c>
      <c r="H833" s="68" t="inlineStr">
        <is>
          <t>DefRatio</t>
        </is>
      </c>
      <c r="I833" s="68" t="n">
        <v>2189858363</v>
      </c>
    </row>
    <row r="834">
      <c r="A834" s="68">
        <f>B834&amp;TEXT(C834,"0000")</f>
        <v/>
      </c>
      <c r="B834" s="68" t="n">
        <v>103</v>
      </c>
      <c r="C834" s="68" t="n">
        <v>231</v>
      </c>
      <c r="D834" s="68" t="inlineStr">
        <is>
          <t>HpRatio</t>
        </is>
      </c>
      <c r="E834" s="68" t="n">
        <v>2212975463</v>
      </c>
      <c r="F834" s="68" t="inlineStr">
        <is>
          <t>AtkRatio</t>
        </is>
      </c>
      <c r="G834" s="68" t="n">
        <v>2212975463</v>
      </c>
      <c r="H834" s="68" t="inlineStr">
        <is>
          <t>DefRatio</t>
        </is>
      </c>
      <c r="I834" s="68" t="n">
        <v>2212975463</v>
      </c>
    </row>
    <row r="835">
      <c r="A835" s="68">
        <f>B835&amp;TEXT(C835,"0000")</f>
        <v/>
      </c>
      <c r="B835" s="68" t="n">
        <v>103</v>
      </c>
      <c r="C835" s="68" t="n">
        <v>232</v>
      </c>
      <c r="D835" s="68" t="inlineStr">
        <is>
          <t>HpRatio</t>
        </is>
      </c>
      <c r="E835" s="68" t="n">
        <v>2361312712</v>
      </c>
      <c r="F835" s="68" t="inlineStr">
        <is>
          <t>AtkRatio</t>
        </is>
      </c>
      <c r="G835" s="68" t="n">
        <v>2361312712</v>
      </c>
      <c r="H835" s="68" t="inlineStr">
        <is>
          <t>DefRatio</t>
        </is>
      </c>
      <c r="I835" s="68" t="n">
        <v>2361312712</v>
      </c>
    </row>
    <row r="836">
      <c r="A836" s="68">
        <f>B836&amp;TEXT(C836,"0000")</f>
        <v/>
      </c>
      <c r="B836" s="68" t="n">
        <v>103</v>
      </c>
      <c r="C836" s="68" t="n">
        <v>233</v>
      </c>
      <c r="D836" s="68" t="inlineStr">
        <is>
          <t>HpRatio</t>
        </is>
      </c>
      <c r="E836" s="68" t="n">
        <v>2519696989</v>
      </c>
      <c r="F836" s="68" t="inlineStr">
        <is>
          <t>AtkRatio</t>
        </is>
      </c>
      <c r="G836" s="68" t="n">
        <v>2519696989</v>
      </c>
      <c r="H836" s="68" t="inlineStr">
        <is>
          <t>DefRatio</t>
        </is>
      </c>
      <c r="I836" s="68" t="n">
        <v>2519696989</v>
      </c>
    </row>
    <row r="837">
      <c r="A837" s="68">
        <f>B837&amp;TEXT(C837,"0000")</f>
        <v/>
      </c>
      <c r="B837" s="68" t="n">
        <v>103</v>
      </c>
      <c r="C837" s="68" t="n">
        <v>234</v>
      </c>
      <c r="D837" s="68" t="inlineStr">
        <is>
          <t>HpRatio</t>
        </is>
      </c>
      <c r="E837" s="68" t="n">
        <v>2546170030</v>
      </c>
      <c r="F837" s="68" t="inlineStr">
        <is>
          <t>AtkRatio</t>
        </is>
      </c>
      <c r="G837" s="68" t="n">
        <v>2546170030</v>
      </c>
      <c r="H837" s="68" t="inlineStr">
        <is>
          <t>DefRatio</t>
        </is>
      </c>
      <c r="I837" s="68" t="n">
        <v>2546170030</v>
      </c>
    </row>
    <row r="838">
      <c r="A838" s="68">
        <f>B838&amp;TEXT(C838,"0000")</f>
        <v/>
      </c>
      <c r="B838" s="68" t="n">
        <v>103</v>
      </c>
      <c r="C838" s="68" t="n">
        <v>235</v>
      </c>
      <c r="D838" s="68" t="inlineStr">
        <is>
          <t>HpRatio</t>
        </is>
      </c>
      <c r="E838" s="68" t="n">
        <v>2717059856</v>
      </c>
      <c r="F838" s="68" t="inlineStr">
        <is>
          <t>AtkRatio</t>
        </is>
      </c>
      <c r="G838" s="68" t="n">
        <v>2717059856</v>
      </c>
      <c r="H838" s="68" t="inlineStr">
        <is>
          <t>DefRatio</t>
        </is>
      </c>
      <c r="I838" s="68" t="n">
        <v>2717059856</v>
      </c>
    </row>
    <row r="839">
      <c r="A839" s="68">
        <f>B839&amp;TEXT(C839,"0000")</f>
        <v/>
      </c>
      <c r="B839" s="68" t="n">
        <v>103</v>
      </c>
      <c r="C839" s="68" t="n">
        <v>236</v>
      </c>
      <c r="D839" s="68" t="inlineStr">
        <is>
          <t>HpRatio</t>
        </is>
      </c>
      <c r="E839" s="68" t="n">
        <v>2745478820</v>
      </c>
      <c r="F839" s="68" t="inlineStr">
        <is>
          <t>AtkRatio</t>
        </is>
      </c>
      <c r="G839" s="68" t="n">
        <v>2745478820</v>
      </c>
      <c r="H839" s="68" t="inlineStr">
        <is>
          <t>DefRatio</t>
        </is>
      </c>
      <c r="I839" s="68" t="n">
        <v>2745478820</v>
      </c>
    </row>
    <row r="840">
      <c r="A840" s="68">
        <f>B840&amp;TEXT(C840,"0000")</f>
        <v/>
      </c>
      <c r="B840" s="68" t="n">
        <v>103</v>
      </c>
      <c r="C840" s="68" t="n">
        <v>237</v>
      </c>
      <c r="D840" s="68" t="inlineStr">
        <is>
          <t>HpRatio</t>
        </is>
      </c>
      <c r="E840" s="68" t="n">
        <v>2929860354</v>
      </c>
      <c r="F840" s="68" t="inlineStr">
        <is>
          <t>AtkRatio</t>
        </is>
      </c>
      <c r="G840" s="68" t="n">
        <v>2929860354</v>
      </c>
      <c r="H840" s="68" t="inlineStr">
        <is>
          <t>DefRatio</t>
        </is>
      </c>
      <c r="I840" s="68" t="n">
        <v>2929860354</v>
      </c>
    </row>
    <row r="841">
      <c r="A841" s="68">
        <f>B841&amp;TEXT(C841,"0000")</f>
        <v/>
      </c>
      <c r="B841" s="68" t="n">
        <v>103</v>
      </c>
      <c r="C841" s="68" t="n">
        <v>238</v>
      </c>
      <c r="D841" s="68" t="inlineStr">
        <is>
          <t>HpRatio</t>
        </is>
      </c>
      <c r="E841" s="68" t="n">
        <v>3126752062</v>
      </c>
      <c r="F841" s="68" t="inlineStr">
        <is>
          <t>AtkRatio</t>
        </is>
      </c>
      <c r="G841" s="68" t="n">
        <v>3126752062</v>
      </c>
      <c r="H841" s="68" t="inlineStr">
        <is>
          <t>DefRatio</t>
        </is>
      </c>
      <c r="I841" s="68" t="n">
        <v>3126752062</v>
      </c>
    </row>
    <row r="842">
      <c r="A842" s="68">
        <f>B842&amp;TEXT(C842,"0000")</f>
        <v/>
      </c>
      <c r="B842" s="68" t="n">
        <v>103</v>
      </c>
      <c r="C842" s="68" t="n">
        <v>239</v>
      </c>
      <c r="D842" s="68" t="inlineStr">
        <is>
          <t>HpRatio</t>
        </is>
      </c>
      <c r="E842" s="68" t="n">
        <v>3159306988</v>
      </c>
      <c r="F842" s="68" t="inlineStr">
        <is>
          <t>AtkRatio</t>
        </is>
      </c>
      <c r="G842" s="68" t="n">
        <v>3159306988</v>
      </c>
      <c r="H842" s="68" t="inlineStr">
        <is>
          <t>DefRatio</t>
        </is>
      </c>
      <c r="I842" s="68" t="n">
        <v>3159306988</v>
      </c>
    </row>
    <row r="843">
      <c r="A843" s="68">
        <f>B843&amp;TEXT(C843,"0000")</f>
        <v/>
      </c>
      <c r="B843" s="68" t="n">
        <v>103</v>
      </c>
      <c r="C843" s="68" t="n">
        <v>240</v>
      </c>
      <c r="D843" s="68" t="inlineStr">
        <is>
          <t>HpRatio</t>
        </is>
      </c>
      <c r="E843" s="68" t="n">
        <v>3371749712</v>
      </c>
      <c r="F843" s="68" t="inlineStr">
        <is>
          <t>AtkRatio</t>
        </is>
      </c>
      <c r="G843" s="68" t="n">
        <v>3371749712</v>
      </c>
      <c r="H843" s="68" t="inlineStr">
        <is>
          <t>DefRatio</t>
        </is>
      </c>
      <c r="I843" s="68" t="n">
        <v>3371749712</v>
      </c>
    </row>
    <row r="844">
      <c r="A844" s="68">
        <f>B844&amp;TEXT(C844,"0000")</f>
        <v/>
      </c>
      <c r="B844" s="68" t="n">
        <v>103</v>
      </c>
      <c r="C844" s="68" t="n">
        <v>241</v>
      </c>
      <c r="D844" s="68" t="inlineStr">
        <is>
          <t>HpRatio</t>
        </is>
      </c>
      <c r="E844" s="68" t="n">
        <v>3406703062</v>
      </c>
      <c r="F844" s="68" t="inlineStr">
        <is>
          <t>AtkRatio</t>
        </is>
      </c>
      <c r="G844" s="68" t="n">
        <v>3406703062</v>
      </c>
      <c r="H844" s="68" t="inlineStr">
        <is>
          <t>DefRatio</t>
        </is>
      </c>
      <c r="I844" s="68" t="n">
        <v>3406703062</v>
      </c>
    </row>
    <row r="845">
      <c r="A845" s="68">
        <f>B845&amp;TEXT(C845,"0000")</f>
        <v/>
      </c>
      <c r="B845" s="68" t="n">
        <v>103</v>
      </c>
      <c r="C845" s="68" t="n">
        <v>242</v>
      </c>
      <c r="D845" s="68" t="inlineStr">
        <is>
          <t>HpRatio</t>
        </is>
      </c>
      <c r="E845" s="68" t="n">
        <v>3635923854</v>
      </c>
      <c r="F845" s="68" t="inlineStr">
        <is>
          <t>AtkRatio</t>
        </is>
      </c>
      <c r="G845" s="68" t="n">
        <v>3635923854</v>
      </c>
      <c r="H845" s="68" t="inlineStr">
        <is>
          <t>DefRatio</t>
        </is>
      </c>
      <c r="I845" s="68" t="n">
        <v>3635923854</v>
      </c>
    </row>
    <row r="846">
      <c r="A846" s="68">
        <f>B846&amp;TEXT(C846,"0000")</f>
        <v/>
      </c>
      <c r="B846" s="68" t="n">
        <v>103</v>
      </c>
      <c r="C846" s="68" t="n">
        <v>243</v>
      </c>
      <c r="D846" s="68" t="inlineStr">
        <is>
          <t>HpRatio</t>
        </is>
      </c>
      <c r="E846" s="68" t="n">
        <v>3673454132</v>
      </c>
      <c r="F846" s="68" t="inlineStr">
        <is>
          <t>AtkRatio</t>
        </is>
      </c>
      <c r="G846" s="68" t="n">
        <v>3673454132</v>
      </c>
      <c r="H846" s="68" t="inlineStr">
        <is>
          <t>DefRatio</t>
        </is>
      </c>
      <c r="I846" s="68" t="n">
        <v>3673454132</v>
      </c>
    </row>
    <row r="847">
      <c r="A847" s="68">
        <f>B847&amp;TEXT(C847,"0000")</f>
        <v/>
      </c>
      <c r="B847" s="68" t="n">
        <v>103</v>
      </c>
      <c r="C847" s="68" t="n">
        <v>244</v>
      </c>
      <c r="D847" s="68" t="inlineStr">
        <is>
          <t>HpRatio</t>
        </is>
      </c>
      <c r="E847" s="68" t="n">
        <v>3920776938</v>
      </c>
      <c r="F847" s="68" t="inlineStr">
        <is>
          <t>AtkRatio</t>
        </is>
      </c>
      <c r="G847" s="68" t="n">
        <v>3920776938</v>
      </c>
      <c r="H847" s="68" t="inlineStr">
        <is>
          <t>DefRatio</t>
        </is>
      </c>
      <c r="I847" s="68" t="n">
        <v>3920776938</v>
      </c>
    </row>
    <row r="848">
      <c r="A848" s="68">
        <f>B848&amp;TEXT(C848,"0000")</f>
        <v/>
      </c>
      <c r="B848" s="68" t="n">
        <v>103</v>
      </c>
      <c r="C848" s="68" t="n">
        <v>245</v>
      </c>
      <c r="D848" s="68" t="inlineStr">
        <is>
          <t>HpRatio</t>
        </is>
      </c>
      <c r="E848" s="68" t="n">
        <v>4184919222</v>
      </c>
      <c r="F848" s="68" t="inlineStr">
        <is>
          <t>AtkRatio</t>
        </is>
      </c>
      <c r="G848" s="68" t="n">
        <v>4184919222</v>
      </c>
      <c r="H848" s="68" t="inlineStr">
        <is>
          <t>DefRatio</t>
        </is>
      </c>
      <c r="I848" s="68" t="n">
        <v>4184919222</v>
      </c>
    </row>
    <row r="849">
      <c r="A849" s="68">
        <f>B849&amp;TEXT(C849,"0000")</f>
        <v/>
      </c>
      <c r="B849" s="68" t="n">
        <v>103</v>
      </c>
      <c r="C849" s="68" t="n">
        <v>246</v>
      </c>
      <c r="D849" s="68" t="inlineStr">
        <is>
          <t>HpRatio</t>
        </is>
      </c>
      <c r="E849" s="68" t="n">
        <v>4227929381</v>
      </c>
      <c r="F849" s="68" t="inlineStr">
        <is>
          <t>AtkRatio</t>
        </is>
      </c>
      <c r="G849" s="68" t="n">
        <v>4227929381</v>
      </c>
      <c r="H849" s="68" t="inlineStr">
        <is>
          <t>DefRatio</t>
        </is>
      </c>
      <c r="I849" s="68" t="n">
        <v>4227929381</v>
      </c>
    </row>
    <row r="850">
      <c r="A850" s="68">
        <f>B850&amp;TEXT(C850,"0000")</f>
        <v/>
      </c>
      <c r="B850" s="68" t="n">
        <v>103</v>
      </c>
      <c r="C850" s="68" t="n">
        <v>247</v>
      </c>
      <c r="D850" s="68" t="inlineStr">
        <is>
          <t>HpRatio</t>
        </is>
      </c>
      <c r="E850" s="68" t="n">
        <v>4512940759</v>
      </c>
      <c r="F850" s="68" t="inlineStr">
        <is>
          <t>AtkRatio</t>
        </is>
      </c>
      <c r="G850" s="68" t="n">
        <v>4512940759</v>
      </c>
      <c r="H850" s="68" t="inlineStr">
        <is>
          <t>DefRatio</t>
        </is>
      </c>
      <c r="I850" s="68" t="n">
        <v>4512940759</v>
      </c>
    </row>
    <row r="851">
      <c r="A851" s="68">
        <f>B851&amp;TEXT(C851,"0000")</f>
        <v/>
      </c>
      <c r="B851" s="68" t="n">
        <v>103</v>
      </c>
      <c r="C851" s="68" t="n">
        <v>248</v>
      </c>
      <c r="D851" s="68" t="inlineStr">
        <is>
          <t>HpRatio</t>
        </is>
      </c>
      <c r="E851" s="68" t="n">
        <v>4559128851</v>
      </c>
      <c r="F851" s="68" t="inlineStr">
        <is>
          <t>AtkRatio</t>
        </is>
      </c>
      <c r="G851" s="68" t="n">
        <v>4559128851</v>
      </c>
      <c r="H851" s="68" t="inlineStr">
        <is>
          <t>DefRatio</t>
        </is>
      </c>
      <c r="I851" s="68" t="n">
        <v>4559128851</v>
      </c>
    </row>
    <row r="852">
      <c r="A852" s="68">
        <f>B852&amp;TEXT(C852,"0000")</f>
        <v/>
      </c>
      <c r="B852" s="68" t="n">
        <v>103</v>
      </c>
      <c r="C852" s="68" t="n">
        <v>249</v>
      </c>
      <c r="D852" s="68" t="inlineStr">
        <is>
          <t>HpRatio</t>
        </is>
      </c>
      <c r="E852" s="68" t="n">
        <v>4866657124</v>
      </c>
      <c r="F852" s="68" t="inlineStr">
        <is>
          <t>AtkRatio</t>
        </is>
      </c>
      <c r="G852" s="68" t="n">
        <v>4866657124</v>
      </c>
      <c r="H852" s="68" t="inlineStr">
        <is>
          <t>DefRatio</t>
        </is>
      </c>
      <c r="I852" s="68" t="n">
        <v>4866657124</v>
      </c>
    </row>
    <row r="853">
      <c r="A853" s="68">
        <f>B853&amp;TEXT(C853,"0000")</f>
        <v/>
      </c>
      <c r="B853" s="68" t="n">
        <v>103</v>
      </c>
      <c r="C853" s="68" t="n">
        <v>250</v>
      </c>
      <c r="D853" s="68" t="inlineStr">
        <is>
          <t>HpRatio</t>
        </is>
      </c>
      <c r="E853" s="68" t="n">
        <v>5195135292</v>
      </c>
      <c r="F853" s="68" t="inlineStr">
        <is>
          <t>AtkRatio</t>
        </is>
      </c>
      <c r="G853" s="68" t="n">
        <v>5195135292</v>
      </c>
      <c r="H853" s="68" t="inlineStr">
        <is>
          <t>DefRatio</t>
        </is>
      </c>
      <c r="I853" s="68" t="n">
        <v>5195135292</v>
      </c>
    </row>
    <row r="854">
      <c r="A854" s="68">
        <f>B854&amp;TEXT(C854,"0000")</f>
        <v/>
      </c>
      <c r="B854" s="68" t="n">
        <v>103</v>
      </c>
      <c r="C854" s="68" t="n">
        <v>251</v>
      </c>
      <c r="D854" s="68" t="inlineStr">
        <is>
          <t>HpRatio</t>
        </is>
      </c>
      <c r="E854" s="68" t="n">
        <v>5248083493</v>
      </c>
      <c r="F854" s="68" t="inlineStr">
        <is>
          <t>AtkRatio</t>
        </is>
      </c>
      <c r="G854" s="68" t="n">
        <v>5248083493</v>
      </c>
      <c r="H854" s="68" t="inlineStr">
        <is>
          <t>DefRatio</t>
        </is>
      </c>
      <c r="I854" s="68" t="n">
        <v>5248083493</v>
      </c>
    </row>
    <row r="855">
      <c r="A855" s="68">
        <f>B855&amp;TEXT(C855,"0000")</f>
        <v/>
      </c>
      <c r="B855" s="68" t="n">
        <v>103</v>
      </c>
      <c r="C855" s="68" t="n">
        <v>252</v>
      </c>
      <c r="D855" s="68" t="inlineStr">
        <is>
          <t>HpRatio</t>
        </is>
      </c>
      <c r="E855" s="68" t="n">
        <v>5602524525</v>
      </c>
      <c r="F855" s="68" t="inlineStr">
        <is>
          <t>AtkRatio</t>
        </is>
      </c>
      <c r="G855" s="68" t="n">
        <v>5602524525</v>
      </c>
      <c r="H855" s="68" t="inlineStr">
        <is>
          <t>DefRatio</t>
        </is>
      </c>
      <c r="I855" s="68" t="n">
        <v>5602524525</v>
      </c>
    </row>
    <row r="856">
      <c r="A856" s="68">
        <f>B856&amp;TEXT(C856,"0000")</f>
        <v/>
      </c>
      <c r="B856" s="68" t="n">
        <v>103</v>
      </c>
      <c r="C856" s="68" t="n">
        <v>253</v>
      </c>
      <c r="D856" s="68" t="inlineStr">
        <is>
          <t>HpRatio</t>
        </is>
      </c>
      <c r="E856" s="68" t="n">
        <v>5659393444</v>
      </c>
      <c r="F856" s="68" t="inlineStr">
        <is>
          <t>AtkRatio</t>
        </is>
      </c>
      <c r="G856" s="68" t="n">
        <v>5659393444</v>
      </c>
      <c r="H856" s="68" t="inlineStr">
        <is>
          <t>DefRatio</t>
        </is>
      </c>
      <c r="I856" s="68" t="n">
        <v>5659393444</v>
      </c>
    </row>
    <row r="857">
      <c r="A857" s="68">
        <f>B857&amp;TEXT(C857,"0000")</f>
        <v/>
      </c>
      <c r="B857" s="68" t="n">
        <v>103</v>
      </c>
      <c r="C857" s="68" t="n">
        <v>254</v>
      </c>
      <c r="D857" s="68" t="inlineStr">
        <is>
          <t>HpRatio</t>
        </is>
      </c>
      <c r="E857" s="68" t="n">
        <v>6041848662</v>
      </c>
      <c r="F857" s="68" t="inlineStr">
        <is>
          <t>AtkRatio</t>
        </is>
      </c>
      <c r="G857" s="68" t="n">
        <v>6041848662</v>
      </c>
      <c r="H857" s="68" t="inlineStr">
        <is>
          <t>DefRatio</t>
        </is>
      </c>
      <c r="I857" s="68" t="n">
        <v>6041848662</v>
      </c>
    </row>
    <row r="858">
      <c r="A858" s="68">
        <f>B858&amp;TEXT(C858,"0000")</f>
        <v/>
      </c>
      <c r="B858" s="68" t="n">
        <v>103</v>
      </c>
      <c r="C858" s="68" t="n">
        <v>255</v>
      </c>
      <c r="D858" s="68" t="inlineStr">
        <is>
          <t>HpRatio</t>
        </is>
      </c>
      <c r="E858" s="68" t="n">
        <v>6450402696</v>
      </c>
      <c r="F858" s="68" t="inlineStr">
        <is>
          <t>AtkRatio</t>
        </is>
      </c>
      <c r="G858" s="68" t="n">
        <v>6450402696</v>
      </c>
      <c r="H858" s="68" t="inlineStr">
        <is>
          <t>DefRatio</t>
        </is>
      </c>
      <c r="I858" s="68" t="n">
        <v>6450402696</v>
      </c>
    </row>
    <row r="859">
      <c r="A859" s="68">
        <f>B859&amp;TEXT(C859,"0000")</f>
        <v/>
      </c>
      <c r="B859" s="68" t="n">
        <v>103</v>
      </c>
      <c r="C859" s="68" t="n">
        <v>256</v>
      </c>
      <c r="D859" s="68" t="inlineStr">
        <is>
          <t>HpRatio</t>
        </is>
      </c>
      <c r="E859" s="68" t="n">
        <v>6515614418</v>
      </c>
      <c r="F859" s="68" t="inlineStr">
        <is>
          <t>AtkRatio</t>
        </is>
      </c>
      <c r="G859" s="68" t="n">
        <v>6515614418</v>
      </c>
      <c r="H859" s="68" t="inlineStr">
        <is>
          <t>DefRatio</t>
        </is>
      </c>
      <c r="I859" s="68" t="n">
        <v>6515614418</v>
      </c>
    </row>
    <row r="860">
      <c r="A860" s="68">
        <f>B860&amp;TEXT(C860,"0000")</f>
        <v/>
      </c>
      <c r="B860" s="68" t="n">
        <v>103</v>
      </c>
      <c r="C860" s="68" t="n">
        <v>257</v>
      </c>
      <c r="D860" s="68" t="inlineStr">
        <is>
          <t>HpRatio</t>
        </is>
      </c>
      <c r="E860" s="68" t="n">
        <v>6956474935</v>
      </c>
      <c r="F860" s="68" t="inlineStr">
        <is>
          <t>AtkRatio</t>
        </is>
      </c>
      <c r="G860" s="68" t="n">
        <v>6956474935</v>
      </c>
      <c r="H860" s="68" t="inlineStr">
        <is>
          <t>DefRatio</t>
        </is>
      </c>
      <c r="I860" s="68" t="n">
        <v>6956474935</v>
      </c>
    </row>
    <row r="861">
      <c r="A861" s="68">
        <f>B861&amp;TEXT(C861,"0000")</f>
        <v/>
      </c>
      <c r="B861" s="68" t="n">
        <v>103</v>
      </c>
      <c r="C861" s="68" t="n">
        <v>258</v>
      </c>
      <c r="D861" s="68" t="inlineStr">
        <is>
          <t>HpRatio</t>
        </is>
      </c>
      <c r="E861" s="68" t="n">
        <v>7026525727</v>
      </c>
      <c r="F861" s="68" t="inlineStr">
        <is>
          <t>AtkRatio</t>
        </is>
      </c>
      <c r="G861" s="68" t="n">
        <v>7026525727</v>
      </c>
      <c r="H861" s="68" t="inlineStr">
        <is>
          <t>DefRatio</t>
        </is>
      </c>
      <c r="I861" s="68" t="n">
        <v>7026525727</v>
      </c>
    </row>
    <row r="862">
      <c r="A862" s="68">
        <f>B862&amp;TEXT(C862,"0000")</f>
        <v/>
      </c>
      <c r="B862" s="68" t="n">
        <v>103</v>
      </c>
      <c r="C862" s="68" t="n">
        <v>259</v>
      </c>
      <c r="D862" s="68" t="inlineStr">
        <is>
          <t>HpRatio</t>
        </is>
      </c>
      <c r="E862" s="68" t="n">
        <v>7502246942</v>
      </c>
      <c r="F862" s="68" t="inlineStr">
        <is>
          <t>AtkRatio</t>
        </is>
      </c>
      <c r="G862" s="68" t="n">
        <v>7502246942</v>
      </c>
      <c r="H862" s="68" t="inlineStr">
        <is>
          <t>DefRatio</t>
        </is>
      </c>
      <c r="I862" s="68" t="n">
        <v>7502246942</v>
      </c>
    </row>
    <row r="863">
      <c r="A863" s="68">
        <f>B863&amp;TEXT(C863,"0000")</f>
        <v/>
      </c>
      <c r="B863" s="68" t="n">
        <v>103</v>
      </c>
      <c r="C863" s="68" t="n">
        <v>260</v>
      </c>
      <c r="D863" s="68" t="inlineStr">
        <is>
          <t>HpRatio</t>
        </is>
      </c>
      <c r="E863" s="68" t="n">
        <v>7577499303</v>
      </c>
      <c r="F863" s="68" t="inlineStr">
        <is>
          <t>AtkRatio</t>
        </is>
      </c>
      <c r="G863" s="68" t="n">
        <v>7577499303</v>
      </c>
      <c r="H863" s="68" t="inlineStr">
        <is>
          <t>DefRatio</t>
        </is>
      </c>
      <c r="I863" s="68" t="n">
        <v>7577499303</v>
      </c>
    </row>
    <row r="864">
      <c r="A864" s="68">
        <f>B864&amp;TEXT(C864,"0000")</f>
        <v/>
      </c>
      <c r="B864" s="68" t="n">
        <v>103</v>
      </c>
      <c r="C864" s="68" t="n">
        <v>261</v>
      </c>
      <c r="D864" s="68" t="inlineStr">
        <is>
          <t>HpRatio</t>
        </is>
      </c>
      <c r="E864" s="68" t="n">
        <v>8090837618</v>
      </c>
      <c r="F864" s="68" t="inlineStr">
        <is>
          <t>AtkRatio</t>
        </is>
      </c>
      <c r="G864" s="68" t="n">
        <v>8090837618</v>
      </c>
      <c r="H864" s="68" t="inlineStr">
        <is>
          <t>DefRatio</t>
        </is>
      </c>
      <c r="I864" s="68" t="n">
        <v>8090837618</v>
      </c>
    </row>
    <row r="865">
      <c r="A865" s="68">
        <f>B865&amp;TEXT(C865,"0000")</f>
        <v/>
      </c>
      <c r="B865" s="68" t="n">
        <v>103</v>
      </c>
      <c r="C865" s="68" t="n">
        <v>262</v>
      </c>
      <c r="D865" s="68" t="inlineStr">
        <is>
          <t>HpRatio</t>
        </is>
      </c>
      <c r="E865" s="68" t="n">
        <v>8639285631</v>
      </c>
      <c r="F865" s="68" t="inlineStr">
        <is>
          <t>AtkRatio</t>
        </is>
      </c>
      <c r="G865" s="68" t="n">
        <v>8639285631</v>
      </c>
      <c r="H865" s="68" t="inlineStr">
        <is>
          <t>DefRatio</t>
        </is>
      </c>
      <c r="I865" s="68" t="n">
        <v>8639285631</v>
      </c>
    </row>
    <row r="866">
      <c r="A866" s="68">
        <f>B866&amp;TEXT(C866,"0000")</f>
        <v/>
      </c>
      <c r="B866" s="68" t="n">
        <v>103</v>
      </c>
      <c r="C866" s="68" t="n">
        <v>263</v>
      </c>
      <c r="D866" s="68" t="inlineStr">
        <is>
          <t>HpRatio</t>
        </is>
      </c>
      <c r="E866" s="68" t="n">
        <v>8725611474</v>
      </c>
      <c r="F866" s="68" t="inlineStr">
        <is>
          <t>AtkRatio</t>
        </is>
      </c>
      <c r="G866" s="68" t="n">
        <v>8725611474</v>
      </c>
      <c r="H866" s="68" t="inlineStr">
        <is>
          <t>DefRatio</t>
        </is>
      </c>
      <c r="I866" s="68" t="n">
        <v>8725611474</v>
      </c>
    </row>
    <row r="867">
      <c r="A867" s="68">
        <f>B867&amp;TEXT(C867,"0000")</f>
        <v/>
      </c>
      <c r="B867" s="68" t="n">
        <v>103</v>
      </c>
      <c r="C867" s="68" t="n">
        <v>264</v>
      </c>
      <c r="D867" s="68" t="inlineStr">
        <is>
          <t>HpRatio</t>
        </is>
      </c>
      <c r="E867" s="68" t="n">
        <v>9317448851</v>
      </c>
      <c r="F867" s="68" t="inlineStr">
        <is>
          <t>AtkRatio</t>
        </is>
      </c>
      <c r="G867" s="68" t="n">
        <v>9317448851</v>
      </c>
      <c r="H867" s="68" t="inlineStr">
        <is>
          <t>DefRatio</t>
        </is>
      </c>
      <c r="I867" s="68" t="n">
        <v>9317448851</v>
      </c>
    </row>
    <row r="868">
      <c r="A868" s="68">
        <f>B868&amp;TEXT(C868,"0000")</f>
        <v/>
      </c>
      <c r="B868" s="68" t="n">
        <v>103</v>
      </c>
      <c r="C868" s="68" t="n">
        <v>265</v>
      </c>
      <c r="D868" s="68" t="inlineStr">
        <is>
          <t>HpRatio</t>
        </is>
      </c>
      <c r="E868" s="68" t="n">
        <v>9410198030</v>
      </c>
      <c r="F868" s="68" t="inlineStr">
        <is>
          <t>AtkRatio</t>
        </is>
      </c>
      <c r="G868" s="68" t="n">
        <v>9410198030</v>
      </c>
      <c r="H868" s="68" t="inlineStr">
        <is>
          <t>DefRatio</t>
        </is>
      </c>
      <c r="I868" s="68" t="n">
        <v>9410198030</v>
      </c>
    </row>
    <row r="869">
      <c r="A869" s="68">
        <f>B869&amp;TEXT(C869,"0000")</f>
        <v/>
      </c>
      <c r="B869" s="68" t="n">
        <v>103</v>
      </c>
      <c r="C869" s="68" t="n">
        <v>266</v>
      </c>
      <c r="D869" s="68" t="inlineStr">
        <is>
          <t>HpRatio</t>
        </is>
      </c>
      <c r="E869" s="68" t="n">
        <v>10048857866</v>
      </c>
      <c r="F869" s="68" t="inlineStr">
        <is>
          <t>AtkRatio</t>
        </is>
      </c>
      <c r="G869" s="68" t="n">
        <v>10048857866</v>
      </c>
      <c r="H869" s="68" t="inlineStr">
        <is>
          <t>DefRatio</t>
        </is>
      </c>
      <c r="I869" s="68" t="n">
        <v>10048857866</v>
      </c>
    </row>
    <row r="870">
      <c r="A870" s="68">
        <f>B870&amp;TEXT(C870,"0000")</f>
        <v/>
      </c>
      <c r="B870" s="68" t="n">
        <v>103</v>
      </c>
      <c r="C870" s="68" t="n">
        <v>267</v>
      </c>
      <c r="D870" s="68" t="inlineStr">
        <is>
          <t>HpRatio</t>
        </is>
      </c>
      <c r="E870" s="68" t="n">
        <v>10731272377</v>
      </c>
      <c r="F870" s="68" t="inlineStr">
        <is>
          <t>AtkRatio</t>
        </is>
      </c>
      <c r="G870" s="68" t="n">
        <v>10731272377</v>
      </c>
      <c r="H870" s="68" t="inlineStr">
        <is>
          <t>DefRatio</t>
        </is>
      </c>
      <c r="I870" s="68" t="n">
        <v>10731272377</v>
      </c>
    </row>
    <row r="871">
      <c r="A871" s="68">
        <f>B871&amp;TEXT(C871,"0000")</f>
        <v/>
      </c>
      <c r="B871" s="68" t="n">
        <v>103</v>
      </c>
      <c r="C871" s="68" t="n">
        <v>268</v>
      </c>
      <c r="D871" s="68" t="inlineStr">
        <is>
          <t>HpRatio</t>
        </is>
      </c>
      <c r="E871" s="68" t="n">
        <v>10837700152</v>
      </c>
      <c r="F871" s="68" t="inlineStr">
        <is>
          <t>AtkRatio</t>
        </is>
      </c>
      <c r="G871" s="68" t="n">
        <v>10837700152</v>
      </c>
      <c r="H871" s="68" t="inlineStr">
        <is>
          <t>DefRatio</t>
        </is>
      </c>
      <c r="I871" s="68" t="n">
        <v>10837700152</v>
      </c>
    </row>
    <row r="872">
      <c r="A872" s="68">
        <f>B872&amp;TEXT(C872,"0000")</f>
        <v/>
      </c>
      <c r="B872" s="68" t="n">
        <v>103</v>
      </c>
      <c r="C872" s="68" t="n">
        <v>269</v>
      </c>
      <c r="D872" s="68" t="inlineStr">
        <is>
          <t>HpRatio</t>
        </is>
      </c>
      <c r="E872" s="68" t="n">
        <v>11574130373</v>
      </c>
      <c r="F872" s="68" t="inlineStr">
        <is>
          <t>AtkRatio</t>
        </is>
      </c>
      <c r="G872" s="68" t="n">
        <v>11574130373</v>
      </c>
      <c r="H872" s="68" t="inlineStr">
        <is>
          <t>DefRatio</t>
        </is>
      </c>
      <c r="I872" s="68" t="n">
        <v>11574130373</v>
      </c>
    </row>
    <row r="873">
      <c r="A873" s="68">
        <f>B873&amp;TEXT(C873,"0000")</f>
        <v/>
      </c>
      <c r="B873" s="68" t="n">
        <v>103</v>
      </c>
      <c r="C873" s="68" t="n">
        <v>270</v>
      </c>
      <c r="D873" s="68" t="inlineStr">
        <is>
          <t>HpRatio</t>
        </is>
      </c>
      <c r="E873" s="68" t="n">
        <v>11688493320</v>
      </c>
      <c r="F873" s="68" t="inlineStr">
        <is>
          <t>AtkRatio</t>
        </is>
      </c>
      <c r="G873" s="68" t="n">
        <v>11688493320</v>
      </c>
      <c r="H873" s="68" t="inlineStr">
        <is>
          <t>DefRatio</t>
        </is>
      </c>
      <c r="I873" s="68" t="n">
        <v>11688493320</v>
      </c>
    </row>
    <row r="874">
      <c r="A874" s="68">
        <f>B874&amp;TEXT(C874,"0000")</f>
        <v/>
      </c>
      <c r="B874" s="68" t="n">
        <v>103</v>
      </c>
      <c r="C874" s="68" t="n">
        <v>271</v>
      </c>
      <c r="D874" s="68" t="inlineStr">
        <is>
          <t>HpRatio</t>
        </is>
      </c>
      <c r="E874" s="68" t="n">
        <v>12483216101</v>
      </c>
      <c r="F874" s="68" t="inlineStr">
        <is>
          <t>AtkRatio</t>
        </is>
      </c>
      <c r="G874" s="68" t="n">
        <v>12483216101</v>
      </c>
      <c r="H874" s="68" t="inlineStr">
        <is>
          <t>DefRatio</t>
        </is>
      </c>
      <c r="I874" s="68" t="n">
        <v>12483216101</v>
      </c>
    </row>
    <row r="875">
      <c r="A875" s="68">
        <f>B875&amp;TEXT(C875,"0000")</f>
        <v/>
      </c>
      <c r="B875" s="68" t="n">
        <v>103</v>
      </c>
      <c r="C875" s="68" t="n">
        <v>272</v>
      </c>
      <c r="D875" s="68" t="inlineStr">
        <is>
          <t>HpRatio</t>
        </is>
      </c>
      <c r="E875" s="68" t="n">
        <v>13332476520</v>
      </c>
      <c r="F875" s="68" t="inlineStr">
        <is>
          <t>AtkRatio</t>
        </is>
      </c>
      <c r="G875" s="68" t="n">
        <v>13332476520</v>
      </c>
      <c r="H875" s="68" t="inlineStr">
        <is>
          <t>DefRatio</t>
        </is>
      </c>
      <c r="I875" s="68" t="n">
        <v>13332476520</v>
      </c>
    </row>
    <row r="876">
      <c r="A876" s="68">
        <f>B876&amp;TEXT(C876,"0000")</f>
        <v/>
      </c>
      <c r="B876" s="68" t="n">
        <v>103</v>
      </c>
      <c r="C876" s="68" t="n">
        <v>273</v>
      </c>
      <c r="D876" s="68" t="inlineStr">
        <is>
          <t>HpRatio</t>
        </is>
      </c>
      <c r="E876" s="68" t="n">
        <v>13463742548</v>
      </c>
      <c r="F876" s="68" t="inlineStr">
        <is>
          <t>AtkRatio</t>
        </is>
      </c>
      <c r="G876" s="68" t="n">
        <v>13463742548</v>
      </c>
      <c r="H876" s="68" t="inlineStr">
        <is>
          <t>DefRatio</t>
        </is>
      </c>
      <c r="I876" s="68" t="n">
        <v>13463742548</v>
      </c>
    </row>
    <row r="877">
      <c r="A877" s="68">
        <f>B877&amp;TEXT(C877,"0000")</f>
        <v/>
      </c>
      <c r="B877" s="68" t="n">
        <v>103</v>
      </c>
      <c r="C877" s="68" t="n">
        <v>274</v>
      </c>
      <c r="D877" s="68" t="inlineStr">
        <is>
          <t>HpRatio</t>
        </is>
      </c>
      <c r="E877" s="68" t="n">
        <v>14380261426</v>
      </c>
      <c r="F877" s="68" t="inlineStr">
        <is>
          <t>AtkRatio</t>
        </is>
      </c>
      <c r="G877" s="68" t="n">
        <v>14380261426</v>
      </c>
      <c r="H877" s="68" t="inlineStr">
        <is>
          <t>DefRatio</t>
        </is>
      </c>
      <c r="I877" s="68" t="n">
        <v>14380261426</v>
      </c>
    </row>
    <row r="878">
      <c r="A878" s="68">
        <f>B878&amp;TEXT(C878,"0000")</f>
        <v/>
      </c>
      <c r="B878" s="68" t="n">
        <v>103</v>
      </c>
      <c r="C878" s="68" t="n">
        <v>275</v>
      </c>
      <c r="D878" s="68" t="inlineStr">
        <is>
          <t>HpRatio</t>
        </is>
      </c>
      <c r="E878" s="68" t="n">
        <v>14521334064</v>
      </c>
      <c r="F878" s="68" t="inlineStr">
        <is>
          <t>AtkRatio</t>
        </is>
      </c>
      <c r="G878" s="68" t="n">
        <v>14521334064</v>
      </c>
      <c r="H878" s="68" t="inlineStr">
        <is>
          <t>DefRatio</t>
        </is>
      </c>
      <c r="I878" s="68" t="n">
        <v>14521334064</v>
      </c>
    </row>
    <row r="879">
      <c r="A879" s="68">
        <f>B879&amp;TEXT(C879,"0000")</f>
        <v/>
      </c>
      <c r="B879" s="68" t="n">
        <v>103</v>
      </c>
      <c r="C879" s="68" t="n">
        <v>276</v>
      </c>
      <c r="D879" s="68" t="inlineStr">
        <is>
          <t>HpRatio</t>
        </is>
      </c>
      <c r="E879" s="68" t="n">
        <v>15510440543</v>
      </c>
      <c r="F879" s="68" t="inlineStr">
        <is>
          <t>AtkRatio</t>
        </is>
      </c>
      <c r="G879" s="68" t="n">
        <v>15510440543</v>
      </c>
      <c r="H879" s="68" t="inlineStr">
        <is>
          <t>DefRatio</t>
        </is>
      </c>
      <c r="I879" s="68" t="n">
        <v>15510440543</v>
      </c>
    </row>
    <row r="880">
      <c r="A880" s="68">
        <f>B880&amp;TEXT(C880,"0000")</f>
        <v/>
      </c>
      <c r="B880" s="68" t="n">
        <v>103</v>
      </c>
      <c r="C880" s="68" t="n">
        <v>277</v>
      </c>
      <c r="D880" s="68" t="inlineStr">
        <is>
          <t>HpRatio</t>
        </is>
      </c>
      <c r="E880" s="68" t="n">
        <v>15662058930</v>
      </c>
      <c r="F880" s="68" t="inlineStr">
        <is>
          <t>AtkRatio</t>
        </is>
      </c>
      <c r="G880" s="68" t="n">
        <v>15662058930</v>
      </c>
      <c r="H880" s="68" t="inlineStr">
        <is>
          <t>DefRatio</t>
        </is>
      </c>
      <c r="I880" s="68" t="n">
        <v>15662058930</v>
      </c>
    </row>
    <row r="881">
      <c r="A881" s="68">
        <f>B881&amp;TEXT(C881,"0000")</f>
        <v/>
      </c>
      <c r="B881" s="68" t="n">
        <v>103</v>
      </c>
      <c r="C881" s="68" t="n">
        <v>278</v>
      </c>
      <c r="D881" s="68" t="inlineStr">
        <is>
          <t>HpRatio</t>
        </is>
      </c>
      <c r="E881" s="68" t="n">
        <v>16729505058</v>
      </c>
      <c r="F881" s="68" t="inlineStr">
        <is>
          <t>AtkRatio</t>
        </is>
      </c>
      <c r="G881" s="68" t="n">
        <v>16729505058</v>
      </c>
      <c r="H881" s="68" t="inlineStr">
        <is>
          <t>DefRatio</t>
        </is>
      </c>
      <c r="I881" s="68" t="n">
        <v>16729505058</v>
      </c>
    </row>
    <row r="882">
      <c r="A882" s="68">
        <f>B882&amp;TEXT(C882,"0000")</f>
        <v/>
      </c>
      <c r="B882" s="68" t="n">
        <v>103</v>
      </c>
      <c r="C882" s="68" t="n">
        <v>279</v>
      </c>
      <c r="D882" s="68" t="inlineStr">
        <is>
          <t>HpRatio</t>
        </is>
      </c>
      <c r="E882" s="68" t="n">
        <v>17870366635</v>
      </c>
      <c r="F882" s="68" t="inlineStr">
        <is>
          <t>AtkRatio</t>
        </is>
      </c>
      <c r="G882" s="68" t="n">
        <v>17870366635</v>
      </c>
      <c r="H882" s="68" t="inlineStr">
        <is>
          <t>DefRatio</t>
        </is>
      </c>
      <c r="I882" s="68" t="n">
        <v>17870366635</v>
      </c>
    </row>
    <row r="883">
      <c r="A883" s="68">
        <f>B883&amp;TEXT(C883,"0000")</f>
        <v/>
      </c>
      <c r="B883" s="68" t="n">
        <v>103</v>
      </c>
      <c r="C883" s="68" t="n">
        <v>280</v>
      </c>
      <c r="D883" s="68" t="inlineStr">
        <is>
          <t>HpRatio</t>
        </is>
      </c>
      <c r="E883" s="68" t="n">
        <v>18044458868</v>
      </c>
      <c r="F883" s="68" t="inlineStr">
        <is>
          <t>AtkRatio</t>
        </is>
      </c>
      <c r="G883" s="68" t="n">
        <v>18044458868</v>
      </c>
      <c r="H883" s="68" t="inlineStr">
        <is>
          <t>DefRatio</t>
        </is>
      </c>
      <c r="I883" s="68" t="n">
        <v>18044458868</v>
      </c>
    </row>
    <row r="884">
      <c r="A884" s="68">
        <f>B884&amp;TEXT(C884,"0000")</f>
        <v/>
      </c>
      <c r="B884" s="68" t="n">
        <v>103</v>
      </c>
      <c r="C884" s="68" t="n">
        <v>281</v>
      </c>
      <c r="D884" s="68" t="inlineStr">
        <is>
          <t>HpRatio</t>
        </is>
      </c>
      <c r="E884" s="68" t="n">
        <v>19275727528</v>
      </c>
      <c r="F884" s="68" t="inlineStr">
        <is>
          <t>AtkRatio</t>
        </is>
      </c>
      <c r="G884" s="68" t="n">
        <v>19275727528</v>
      </c>
      <c r="H884" s="68" t="inlineStr">
        <is>
          <t>DefRatio</t>
        </is>
      </c>
      <c r="I884" s="68" t="n">
        <v>19275727528</v>
      </c>
    </row>
    <row r="885">
      <c r="A885" s="68">
        <f>B885&amp;TEXT(C885,"0000")</f>
        <v/>
      </c>
      <c r="B885" s="68" t="n">
        <v>103</v>
      </c>
      <c r="C885" s="68" t="n">
        <v>282</v>
      </c>
      <c r="D885" s="68" t="inlineStr">
        <is>
          <t>HpRatio</t>
        </is>
      </c>
      <c r="E885" s="68" t="n">
        <v>19462859194</v>
      </c>
      <c r="F885" s="68" t="inlineStr">
        <is>
          <t>AtkRatio</t>
        </is>
      </c>
      <c r="G885" s="68" t="n">
        <v>19462859194</v>
      </c>
      <c r="H885" s="68" t="inlineStr">
        <is>
          <t>DefRatio</t>
        </is>
      </c>
      <c r="I885" s="68" t="n">
        <v>19462859194</v>
      </c>
    </row>
    <row r="886">
      <c r="A886" s="68">
        <f>B886&amp;TEXT(C886,"0000")</f>
        <v/>
      </c>
      <c r="B886" s="68" t="n">
        <v>103</v>
      </c>
      <c r="C886" s="68" t="n">
        <v>283</v>
      </c>
      <c r="D886" s="68" t="inlineStr">
        <is>
          <t>HpRatio</t>
        </is>
      </c>
      <c r="E886" s="68" t="n">
        <v>20791704224</v>
      </c>
      <c r="F886" s="68" t="inlineStr">
        <is>
          <t>AtkRatio</t>
        </is>
      </c>
      <c r="G886" s="68" t="n">
        <v>20791704224</v>
      </c>
      <c r="H886" s="68" t="inlineStr">
        <is>
          <t>DefRatio</t>
        </is>
      </c>
      <c r="I886" s="68" t="n">
        <v>20791704224</v>
      </c>
    </row>
    <row r="887">
      <c r="A887" s="68">
        <f>B887&amp;TEXT(C887,"0000")</f>
        <v/>
      </c>
      <c r="B887" s="68" t="n">
        <v>103</v>
      </c>
      <c r="C887" s="68" t="n">
        <v>284</v>
      </c>
      <c r="D887" s="68" t="inlineStr">
        <is>
          <t>HpRatio</t>
        </is>
      </c>
      <c r="E887" s="68" t="n">
        <v>22212092980</v>
      </c>
      <c r="F887" s="68" t="inlineStr">
        <is>
          <t>AtkRatio</t>
        </is>
      </c>
      <c r="G887" s="68" t="n">
        <v>22212092980</v>
      </c>
      <c r="H887" s="68" t="inlineStr">
        <is>
          <t>DefRatio</t>
        </is>
      </c>
      <c r="I887" s="68" t="n">
        <v>22212092980</v>
      </c>
    </row>
    <row r="888">
      <c r="A888" s="68">
        <f>B888&amp;TEXT(C888,"0000")</f>
        <v/>
      </c>
      <c r="B888" s="68" t="n">
        <v>103</v>
      </c>
      <c r="C888" s="68" t="n">
        <v>285</v>
      </c>
      <c r="D888" s="68" t="inlineStr">
        <is>
          <t>HpRatio</t>
        </is>
      </c>
      <c r="E888" s="68" t="n">
        <v>22427020607</v>
      </c>
      <c r="F888" s="68" t="inlineStr">
        <is>
          <t>AtkRatio</t>
        </is>
      </c>
      <c r="G888" s="68" t="n">
        <v>22427020607</v>
      </c>
      <c r="H888" s="68" t="inlineStr">
        <is>
          <t>DefRatio</t>
        </is>
      </c>
      <c r="I888" s="68" t="n">
        <v>22427020607</v>
      </c>
    </row>
    <row r="889">
      <c r="A889" s="68">
        <f>B889&amp;TEXT(C889,"0000")</f>
        <v/>
      </c>
      <c r="B889" s="68" t="n">
        <v>103</v>
      </c>
      <c r="C889" s="68" t="n">
        <v>286</v>
      </c>
      <c r="D889" s="68" t="inlineStr">
        <is>
          <t>HpRatio</t>
        </is>
      </c>
      <c r="E889" s="68" t="n">
        <v>23960034011</v>
      </c>
      <c r="F889" s="68" t="inlineStr">
        <is>
          <t>AtkRatio</t>
        </is>
      </c>
      <c r="G889" s="68" t="n">
        <v>23960034011</v>
      </c>
      <c r="H889" s="68" t="inlineStr">
        <is>
          <t>DefRatio</t>
        </is>
      </c>
      <c r="I889" s="68" t="n">
        <v>23960034011</v>
      </c>
    </row>
    <row r="890">
      <c r="A890" s="68">
        <f>B890&amp;TEXT(C890,"0000")</f>
        <v/>
      </c>
      <c r="B890" s="68" t="n">
        <v>103</v>
      </c>
      <c r="C890" s="68" t="n">
        <v>287</v>
      </c>
      <c r="D890" s="68" t="inlineStr">
        <is>
          <t>HpRatio</t>
        </is>
      </c>
      <c r="E890" s="68" t="n">
        <v>24191090409</v>
      </c>
      <c r="F890" s="68" t="inlineStr">
        <is>
          <t>AtkRatio</t>
        </is>
      </c>
      <c r="G890" s="68" t="n">
        <v>24191090409</v>
      </c>
      <c r="H890" s="68" t="inlineStr">
        <is>
          <t>DefRatio</t>
        </is>
      </c>
      <c r="I890" s="68" t="n">
        <v>24191090409</v>
      </c>
    </row>
    <row r="891">
      <c r="A891" s="68">
        <f>B891&amp;TEXT(C891,"0000")</f>
        <v/>
      </c>
      <c r="B891" s="68" t="n">
        <v>103</v>
      </c>
      <c r="C891" s="68" t="n">
        <v>288</v>
      </c>
      <c r="D891" s="68" t="inlineStr">
        <is>
          <t>HpRatio</t>
        </is>
      </c>
      <c r="E891" s="68" t="n">
        <v>25845666125</v>
      </c>
      <c r="F891" s="68" t="inlineStr">
        <is>
          <t>AtkRatio</t>
        </is>
      </c>
      <c r="G891" s="68" t="n">
        <v>25845666125</v>
      </c>
      <c r="H891" s="68" t="inlineStr">
        <is>
          <t>DefRatio</t>
        </is>
      </c>
      <c r="I891" s="68" t="n">
        <v>25845666125</v>
      </c>
    </row>
    <row r="892">
      <c r="A892" s="68">
        <f>B892&amp;TEXT(C892,"0000")</f>
        <v/>
      </c>
      <c r="B892" s="68" t="n">
        <v>103</v>
      </c>
      <c r="C892" s="68" t="n">
        <v>289</v>
      </c>
      <c r="D892" s="68" t="inlineStr">
        <is>
          <t>HpRatio</t>
        </is>
      </c>
      <c r="E892" s="68" t="n">
        <v>27614410720</v>
      </c>
      <c r="F892" s="68" t="inlineStr">
        <is>
          <t>AtkRatio</t>
        </is>
      </c>
      <c r="G892" s="68" t="n">
        <v>27614410720</v>
      </c>
      <c r="H892" s="68" t="inlineStr">
        <is>
          <t>DefRatio</t>
        </is>
      </c>
      <c r="I892" s="68" t="n">
        <v>27614410720</v>
      </c>
    </row>
    <row r="893">
      <c r="A893" s="68">
        <f>B893&amp;TEXT(C893,"0000")</f>
        <v/>
      </c>
      <c r="B893" s="68" t="n">
        <v>103</v>
      </c>
      <c r="C893" s="68" t="n">
        <v>290</v>
      </c>
      <c r="D893" s="68" t="inlineStr">
        <is>
          <t>HpRatio</t>
        </is>
      </c>
      <c r="E893" s="68" t="n">
        <v>27879858150</v>
      </c>
      <c r="F893" s="68" t="inlineStr">
        <is>
          <t>AtkRatio</t>
        </is>
      </c>
      <c r="G893" s="68" t="n">
        <v>27879858150</v>
      </c>
      <c r="H893" s="68" t="inlineStr">
        <is>
          <t>DefRatio</t>
        </is>
      </c>
      <c r="I893" s="68" t="n">
        <v>27879858150</v>
      </c>
    </row>
    <row r="894">
      <c r="A894" s="68">
        <f>B894&amp;TEXT(C894,"0000")</f>
        <v/>
      </c>
      <c r="B894" s="68" t="n">
        <v>103</v>
      </c>
      <c r="C894" s="68" t="n">
        <v>291</v>
      </c>
      <c r="D894" s="68" t="inlineStr">
        <is>
          <t>HpRatio</t>
        </is>
      </c>
      <c r="E894" s="68" t="n">
        <v>29788934393</v>
      </c>
      <c r="F894" s="68" t="inlineStr">
        <is>
          <t>AtkRatio</t>
        </is>
      </c>
      <c r="G894" s="68" t="n">
        <v>29788934393</v>
      </c>
      <c r="H894" s="68" t="inlineStr">
        <is>
          <t>DefRatio</t>
        </is>
      </c>
      <c r="I894" s="68" t="n">
        <v>29788934393</v>
      </c>
    </row>
    <row r="895">
      <c r="A895" s="68">
        <f>B895&amp;TEXT(C895,"0000")</f>
        <v/>
      </c>
      <c r="B895" s="68" t="n">
        <v>103</v>
      </c>
      <c r="C895" s="68" t="n">
        <v>292</v>
      </c>
      <c r="D895" s="68" t="inlineStr">
        <is>
          <t>HpRatio</t>
        </is>
      </c>
      <c r="E895" s="68" t="n">
        <v>30074339170</v>
      </c>
      <c r="F895" s="68" t="inlineStr">
        <is>
          <t>AtkRatio</t>
        </is>
      </c>
      <c r="G895" s="68" t="n">
        <v>30074339170</v>
      </c>
      <c r="H895" s="68" t="inlineStr">
        <is>
          <t>DefRatio</t>
        </is>
      </c>
      <c r="I895" s="68" t="n">
        <v>30074339170</v>
      </c>
    </row>
    <row r="896">
      <c r="A896" s="68">
        <f>B896&amp;TEXT(C896,"0000")</f>
        <v/>
      </c>
      <c r="B896" s="68" t="n">
        <v>103</v>
      </c>
      <c r="C896" s="68" t="n">
        <v>293</v>
      </c>
      <c r="D896" s="68" t="inlineStr">
        <is>
          <t>HpRatio</t>
        </is>
      </c>
      <c r="E896" s="68" t="n">
        <v>32134891715</v>
      </c>
      <c r="F896" s="68" t="inlineStr">
        <is>
          <t>AtkRatio</t>
        </is>
      </c>
      <c r="G896" s="68" t="n">
        <v>32134891715</v>
      </c>
      <c r="H896" s="68" t="inlineStr">
        <is>
          <t>DefRatio</t>
        </is>
      </c>
      <c r="I896" s="68" t="n">
        <v>32134891715</v>
      </c>
    </row>
    <row r="897">
      <c r="A897" s="68">
        <f>B897&amp;TEXT(C897,"0000")</f>
        <v/>
      </c>
      <c r="B897" s="68" t="n">
        <v>103</v>
      </c>
      <c r="C897" s="68" t="n">
        <v>294</v>
      </c>
      <c r="D897" s="68" t="inlineStr">
        <is>
          <t>HpRatio</t>
        </is>
      </c>
      <c r="E897" s="68" t="n">
        <v>32441766816</v>
      </c>
      <c r="F897" s="68" t="inlineStr">
        <is>
          <t>AtkRatio</t>
        </is>
      </c>
      <c r="G897" s="68" t="n">
        <v>32441766816</v>
      </c>
      <c r="H897" s="68" t="inlineStr">
        <is>
          <t>DefRatio</t>
        </is>
      </c>
      <c r="I897" s="68" t="n">
        <v>32441766816</v>
      </c>
    </row>
    <row r="898">
      <c r="A898" s="68">
        <f>B898&amp;TEXT(C898,"0000")</f>
        <v/>
      </c>
      <c r="B898" s="68" t="n">
        <v>103</v>
      </c>
      <c r="C898" s="68" t="n">
        <v>295</v>
      </c>
      <c r="D898" s="68" t="inlineStr">
        <is>
          <t>HpRatio</t>
        </is>
      </c>
      <c r="E898" s="68" t="n">
        <v>34665827023</v>
      </c>
      <c r="F898" s="68" t="inlineStr">
        <is>
          <t>AtkRatio</t>
        </is>
      </c>
      <c r="G898" s="68" t="n">
        <v>34665827023</v>
      </c>
      <c r="H898" s="68" t="inlineStr">
        <is>
          <t>DefRatio</t>
        </is>
      </c>
      <c r="I898" s="68" t="n">
        <v>34665827023</v>
      </c>
    </row>
    <row r="899">
      <c r="A899" s="68">
        <f>B899&amp;TEXT(C899,"0000")</f>
        <v/>
      </c>
      <c r="B899" s="68" t="n">
        <v>103</v>
      </c>
      <c r="C899" s="68" t="n">
        <v>296</v>
      </c>
      <c r="D899" s="68" t="inlineStr">
        <is>
          <t>HpRatio</t>
        </is>
      </c>
      <c r="E899" s="68" t="n">
        <v>37043682951</v>
      </c>
      <c r="F899" s="68" t="inlineStr">
        <is>
          <t>AtkRatio</t>
        </is>
      </c>
      <c r="G899" s="68" t="n">
        <v>37043682951</v>
      </c>
      <c r="H899" s="68" t="inlineStr">
        <is>
          <t>DefRatio</t>
        </is>
      </c>
      <c r="I899" s="68" t="n">
        <v>37043682951</v>
      </c>
    </row>
    <row r="900">
      <c r="A900" s="68">
        <f>B900&amp;TEXT(C900,"0000")</f>
        <v/>
      </c>
      <c r="B900" s="68" t="n">
        <v>103</v>
      </c>
      <c r="C900" s="68" t="n">
        <v>297</v>
      </c>
      <c r="D900" s="68" t="inlineStr">
        <is>
          <t>HpRatio</t>
        </is>
      </c>
      <c r="E900" s="68" t="n">
        <v>37396357660</v>
      </c>
      <c r="F900" s="68" t="inlineStr">
        <is>
          <t>AtkRatio</t>
        </is>
      </c>
      <c r="G900" s="68" t="n">
        <v>37396357660</v>
      </c>
      <c r="H900" s="68" t="inlineStr">
        <is>
          <t>DefRatio</t>
        </is>
      </c>
      <c r="I900" s="68" t="n">
        <v>37396357660</v>
      </c>
    </row>
    <row r="901">
      <c r="A901" s="68">
        <f>B901&amp;TEXT(C901,"0000")</f>
        <v/>
      </c>
      <c r="B901" s="68" t="n">
        <v>103</v>
      </c>
      <c r="C901" s="68" t="n">
        <v>298</v>
      </c>
      <c r="D901" s="68" t="inlineStr">
        <is>
          <t>HpRatio</t>
        </is>
      </c>
      <c r="E901" s="68" t="n">
        <v>39963004908</v>
      </c>
      <c r="F901" s="68" t="inlineStr">
        <is>
          <t>AtkRatio</t>
        </is>
      </c>
      <c r="G901" s="68" t="n">
        <v>39963004908</v>
      </c>
      <c r="H901" s="68" t="inlineStr">
        <is>
          <t>DefRatio</t>
        </is>
      </c>
      <c r="I901" s="68" t="n">
        <v>39963004908</v>
      </c>
    </row>
    <row r="902">
      <c r="A902" s="68">
        <f>B902&amp;TEXT(C902,"0000")</f>
        <v/>
      </c>
      <c r="B902" s="68" t="n">
        <v>103</v>
      </c>
      <c r="C902" s="68" t="n">
        <v>299</v>
      </c>
      <c r="D902" s="68" t="inlineStr">
        <is>
          <t>HpRatio</t>
        </is>
      </c>
      <c r="E902" s="68" t="n">
        <v>40342259239</v>
      </c>
      <c r="F902" s="68" t="inlineStr">
        <is>
          <t>AtkRatio</t>
        </is>
      </c>
      <c r="G902" s="68" t="n">
        <v>40342259239</v>
      </c>
      <c r="H902" s="68" t="inlineStr">
        <is>
          <t>DefRatio</t>
        </is>
      </c>
      <c r="I902" s="68" t="n">
        <v>40342259239</v>
      </c>
    </row>
    <row r="903">
      <c r="A903" s="68">
        <f>B903&amp;TEXT(C903,"0000")</f>
        <v/>
      </c>
      <c r="B903" s="68" t="n">
        <v>103</v>
      </c>
      <c r="C903" s="68" t="n">
        <v>300</v>
      </c>
      <c r="D903" s="68" t="inlineStr">
        <is>
          <t>HpRatio</t>
        </is>
      </c>
      <c r="E903" s="68" t="n">
        <v>43112704246</v>
      </c>
      <c r="F903" s="68" t="inlineStr">
        <is>
          <t>AtkRatio</t>
        </is>
      </c>
      <c r="G903" s="68" t="n">
        <v>43112704246</v>
      </c>
      <c r="H903" s="68" t="inlineStr">
        <is>
          <t>DefRatio</t>
        </is>
      </c>
      <c r="I903" s="68" t="n">
        <v>43112704246</v>
      </c>
    </row>
    <row r="904">
      <c r="A904" s="68">
        <f>B904&amp;TEXT(C904,"0000")</f>
        <v/>
      </c>
      <c r="B904" s="68" t="n">
        <v>200</v>
      </c>
      <c r="C904" s="68" t="n">
        <v>1</v>
      </c>
      <c r="D904" s="68" t="inlineStr">
        <is>
          <t>HpRatio</t>
        </is>
      </c>
      <c r="E904" s="68" t="n">
        <v>0</v>
      </c>
      <c r="F904" s="68" t="inlineStr">
        <is>
          <t>AtkRatio</t>
        </is>
      </c>
      <c r="G904" s="68" t="n">
        <v>0</v>
      </c>
      <c r="H904" s="68" t="inlineStr">
        <is>
          <t>DefRatio</t>
        </is>
      </c>
      <c r="I904" s="68" t="n">
        <v>0</v>
      </c>
    </row>
    <row r="905">
      <c r="A905" s="68">
        <f>B905&amp;TEXT(C905,"0000")</f>
        <v/>
      </c>
      <c r="B905" s="68" t="n">
        <v>200</v>
      </c>
      <c r="C905" s="68" t="n">
        <v>2</v>
      </c>
      <c r="D905" s="68" t="inlineStr">
        <is>
          <t>HpRatio</t>
        </is>
      </c>
      <c r="E905" s="68" t="n">
        <v>66700</v>
      </c>
      <c r="F905" s="68" t="inlineStr">
        <is>
          <t>AtkRatio</t>
        </is>
      </c>
      <c r="G905" s="68" t="n">
        <v>25000</v>
      </c>
      <c r="H905" s="68" t="inlineStr">
        <is>
          <t>DefRatio</t>
        </is>
      </c>
      <c r="I905" s="68">
        <f>G905</f>
        <v/>
      </c>
    </row>
    <row r="906">
      <c r="A906" s="68">
        <f>B906&amp;TEXT(C906,"0000")</f>
        <v/>
      </c>
      <c r="B906" s="68" t="n">
        <v>200</v>
      </c>
      <c r="C906" s="68" t="n">
        <v>3</v>
      </c>
      <c r="D906" s="68" t="inlineStr">
        <is>
          <t>HpRatio</t>
        </is>
      </c>
      <c r="E906" s="68" t="n">
        <v>133300</v>
      </c>
      <c r="F906" s="68" t="inlineStr">
        <is>
          <t>AtkRatio</t>
        </is>
      </c>
      <c r="G906" s="68" t="n">
        <v>50000</v>
      </c>
      <c r="H906" s="68" t="inlineStr">
        <is>
          <t>DefRatio</t>
        </is>
      </c>
      <c r="I906" s="68">
        <f>G906</f>
        <v/>
      </c>
    </row>
    <row r="907">
      <c r="A907" s="68">
        <f>B907&amp;TEXT(C907,"0000")</f>
        <v/>
      </c>
      <c r="B907" s="68" t="n">
        <v>200</v>
      </c>
      <c r="C907" s="68" t="n">
        <v>4</v>
      </c>
      <c r="D907" s="68" t="inlineStr">
        <is>
          <t>HpRatio</t>
        </is>
      </c>
      <c r="E907" s="68" t="n">
        <v>150000</v>
      </c>
      <c r="F907" s="68" t="inlineStr">
        <is>
          <t>AtkRatio</t>
        </is>
      </c>
      <c r="G907" s="68" t="n">
        <v>100000</v>
      </c>
      <c r="H907" s="68" t="inlineStr">
        <is>
          <t>DefRatio</t>
        </is>
      </c>
      <c r="I907" s="68">
        <f>G907</f>
        <v/>
      </c>
    </row>
    <row r="908">
      <c r="A908" s="68">
        <f>B908&amp;TEXT(C908,"0000")</f>
        <v/>
      </c>
      <c r="B908" s="68" t="n">
        <v>200</v>
      </c>
      <c r="C908" s="68" t="n">
        <v>5</v>
      </c>
      <c r="D908" s="68" t="inlineStr">
        <is>
          <t>HpRatio</t>
        </is>
      </c>
      <c r="E908" s="68" t="n">
        <v>300000</v>
      </c>
      <c r="F908" s="68" t="inlineStr">
        <is>
          <t>AtkRatio</t>
        </is>
      </c>
      <c r="G908" s="68" t="n">
        <v>275000</v>
      </c>
      <c r="H908" s="68" t="inlineStr">
        <is>
          <t>DefRatio</t>
        </is>
      </c>
      <c r="I908" s="68">
        <f>G908</f>
        <v/>
      </c>
    </row>
    <row r="909">
      <c r="A909" s="68">
        <f>B909&amp;TEXT(C909,"0000")</f>
        <v/>
      </c>
      <c r="B909" s="68" t="n">
        <v>200</v>
      </c>
      <c r="C909" s="68" t="n">
        <v>6</v>
      </c>
      <c r="D909" s="68" t="inlineStr">
        <is>
          <t>HpRatio</t>
        </is>
      </c>
      <c r="E909" s="68" t="n">
        <v>332000</v>
      </c>
      <c r="F909" s="68" t="inlineStr">
        <is>
          <t>AtkRatio</t>
        </is>
      </c>
      <c r="G909" s="68" t="n">
        <v>301000</v>
      </c>
      <c r="H909" s="68" t="inlineStr">
        <is>
          <t>DefRatio</t>
        </is>
      </c>
      <c r="I909" s="68">
        <f>G909</f>
        <v/>
      </c>
    </row>
    <row r="910">
      <c r="A910" s="68">
        <f>B910&amp;TEXT(C910,"0000")</f>
        <v/>
      </c>
      <c r="B910" s="68" t="n">
        <v>200</v>
      </c>
      <c r="C910" s="68" t="n">
        <v>7</v>
      </c>
      <c r="D910" s="68" t="inlineStr">
        <is>
          <t>HpRatio</t>
        </is>
      </c>
      <c r="E910" s="68" t="n">
        <v>366300</v>
      </c>
      <c r="F910" s="68" t="inlineStr">
        <is>
          <t>AtkRatio</t>
        </is>
      </c>
      <c r="G910" s="68" t="n">
        <v>329000</v>
      </c>
      <c r="H910" s="68" t="inlineStr">
        <is>
          <t>DefRatio</t>
        </is>
      </c>
      <c r="I910" s="68">
        <f>G910</f>
        <v/>
      </c>
    </row>
    <row r="911">
      <c r="A911" s="68">
        <f>B911&amp;TEXT(C911,"0000")</f>
        <v/>
      </c>
      <c r="B911" s="68" t="n">
        <v>200</v>
      </c>
      <c r="C911" s="68" t="n">
        <v>8</v>
      </c>
      <c r="D911" s="68" t="inlineStr">
        <is>
          <t>HpRatio</t>
        </is>
      </c>
      <c r="E911" s="68" t="n">
        <v>403700</v>
      </c>
      <c r="F911" s="68" t="inlineStr">
        <is>
          <t>AtkRatio</t>
        </is>
      </c>
      <c r="G911" s="68" t="n">
        <v>359000</v>
      </c>
      <c r="H911" s="68" t="inlineStr">
        <is>
          <t>DefRatio</t>
        </is>
      </c>
      <c r="I911" s="68">
        <f>G911</f>
        <v/>
      </c>
    </row>
    <row r="912">
      <c r="A912" s="68">
        <f>B912&amp;TEXT(C912,"0000")</f>
        <v/>
      </c>
      <c r="B912" s="68" t="n">
        <v>200</v>
      </c>
      <c r="C912" s="68" t="n">
        <v>9</v>
      </c>
      <c r="D912" s="68" t="inlineStr">
        <is>
          <t>HpRatio</t>
        </is>
      </c>
      <c r="E912" s="68" t="n">
        <v>444000</v>
      </c>
      <c r="F912" s="68" t="inlineStr">
        <is>
          <t>AtkRatio</t>
        </is>
      </c>
      <c r="G912" s="68" t="n">
        <v>391500</v>
      </c>
      <c r="H912" s="68" t="inlineStr">
        <is>
          <t>DefRatio</t>
        </is>
      </c>
      <c r="I912" s="68">
        <f>G912</f>
        <v/>
      </c>
    </row>
    <row r="913">
      <c r="A913" s="68">
        <f>B913&amp;TEXT(C913,"0000")</f>
        <v/>
      </c>
      <c r="B913" s="68" t="n">
        <v>200</v>
      </c>
      <c r="C913" s="68" t="n">
        <v>10</v>
      </c>
      <c r="D913" s="68" t="inlineStr">
        <is>
          <t>HpRatio</t>
        </is>
      </c>
      <c r="E913" s="68" t="n">
        <v>487700</v>
      </c>
      <c r="F913" s="68" t="inlineStr">
        <is>
          <t>AtkRatio</t>
        </is>
      </c>
      <c r="G913" s="68" t="n">
        <v>425500</v>
      </c>
      <c r="H913" s="68" t="inlineStr">
        <is>
          <t>DefRatio</t>
        </is>
      </c>
      <c r="I913" s="68">
        <f>G913</f>
        <v/>
      </c>
    </row>
    <row r="914">
      <c r="A914" s="68">
        <f>B914&amp;TEXT(C914,"0000")</f>
        <v/>
      </c>
      <c r="B914" s="68" t="n">
        <v>200</v>
      </c>
      <c r="C914" s="68" t="n">
        <v>11</v>
      </c>
      <c r="D914" s="68" t="inlineStr">
        <is>
          <t>HpRatio</t>
        </is>
      </c>
      <c r="E914" s="68" t="n">
        <v>534700</v>
      </c>
      <c r="F914" s="68" t="inlineStr">
        <is>
          <t>AtkRatio</t>
        </is>
      </c>
      <c r="G914" s="68" t="n">
        <v>462500</v>
      </c>
      <c r="H914" s="68" t="inlineStr">
        <is>
          <t>DefRatio</t>
        </is>
      </c>
      <c r="I914" s="68">
        <f>G914</f>
        <v/>
      </c>
    </row>
    <row r="915">
      <c r="A915" s="68">
        <f>B915&amp;TEXT(C915,"0000")</f>
        <v/>
      </c>
      <c r="B915" s="68" t="n">
        <v>200</v>
      </c>
      <c r="C915" s="68" t="n">
        <v>12</v>
      </c>
      <c r="D915" s="68" t="inlineStr">
        <is>
          <t>HpRatio</t>
        </is>
      </c>
      <c r="E915" s="68" t="n">
        <v>585300</v>
      </c>
      <c r="F915" s="68" t="inlineStr">
        <is>
          <t>AtkRatio</t>
        </is>
      </c>
      <c r="G915" s="68" t="n">
        <v>502000</v>
      </c>
      <c r="H915" s="68" t="inlineStr">
        <is>
          <t>DefRatio</t>
        </is>
      </c>
      <c r="I915" s="68">
        <f>G915</f>
        <v/>
      </c>
    </row>
    <row r="916">
      <c r="A916" s="68">
        <f>B916&amp;TEXT(C916,"0000")</f>
        <v/>
      </c>
      <c r="B916" s="68" t="n">
        <v>200</v>
      </c>
      <c r="C916" s="68" t="n">
        <v>13</v>
      </c>
      <c r="D916" s="68" t="inlineStr">
        <is>
          <t>HpRatio</t>
        </is>
      </c>
      <c r="E916" s="68" t="n">
        <v>640300</v>
      </c>
      <c r="F916" s="68" t="inlineStr">
        <is>
          <t>AtkRatio</t>
        </is>
      </c>
      <c r="G916" s="68" t="n">
        <v>544000</v>
      </c>
      <c r="H916" s="68" t="inlineStr">
        <is>
          <t>DefRatio</t>
        </is>
      </c>
      <c r="I916" s="68">
        <f>G916</f>
        <v/>
      </c>
    </row>
    <row r="917">
      <c r="A917" s="68">
        <f>B917&amp;TEXT(C917,"0000")</f>
        <v/>
      </c>
      <c r="B917" s="68" t="n">
        <v>200</v>
      </c>
      <c r="C917" s="68" t="n">
        <v>14</v>
      </c>
      <c r="D917" s="68" t="inlineStr">
        <is>
          <t>HpRatio</t>
        </is>
      </c>
      <c r="E917" s="68" t="n">
        <v>699300</v>
      </c>
      <c r="F917" s="68" t="inlineStr">
        <is>
          <t>AtkRatio</t>
        </is>
      </c>
      <c r="G917" s="68" t="n">
        <v>589000</v>
      </c>
      <c r="H917" s="68" t="inlineStr">
        <is>
          <t>DefRatio</t>
        </is>
      </c>
      <c r="I917" s="68">
        <f>G917</f>
        <v/>
      </c>
    </row>
    <row r="918">
      <c r="A918" s="68">
        <f>B918&amp;TEXT(C918,"0000")</f>
        <v/>
      </c>
      <c r="B918" s="68" t="n">
        <v>200</v>
      </c>
      <c r="C918" s="68" t="n">
        <v>15</v>
      </c>
      <c r="D918" s="68" t="inlineStr">
        <is>
          <t>HpRatio</t>
        </is>
      </c>
      <c r="E918" s="68" t="n">
        <v>763300</v>
      </c>
      <c r="F918" s="68" t="inlineStr">
        <is>
          <t>AtkRatio</t>
        </is>
      </c>
      <c r="G918" s="68" t="n">
        <v>637500</v>
      </c>
      <c r="H918" s="68" t="inlineStr">
        <is>
          <t>DefRatio</t>
        </is>
      </c>
      <c r="I918" s="68">
        <f>G918</f>
        <v/>
      </c>
    </row>
    <row r="919">
      <c r="A919" s="68">
        <f>B919&amp;TEXT(C919,"0000")</f>
        <v/>
      </c>
      <c r="B919" s="68" t="n">
        <v>200</v>
      </c>
      <c r="C919" s="68" t="n">
        <v>16</v>
      </c>
      <c r="D919" s="68" t="inlineStr">
        <is>
          <t>HpRatio</t>
        </is>
      </c>
      <c r="E919" s="68" t="n">
        <v>832300</v>
      </c>
      <c r="F919" s="68" t="inlineStr">
        <is>
          <t>AtkRatio</t>
        </is>
      </c>
      <c r="G919" s="68" t="n">
        <v>689000</v>
      </c>
      <c r="H919" s="68" t="inlineStr">
        <is>
          <t>DefRatio</t>
        </is>
      </c>
      <c r="I919" s="68">
        <f>G919</f>
        <v/>
      </c>
    </row>
    <row r="920">
      <c r="A920" s="68">
        <f>B920&amp;TEXT(C920,"0000")</f>
        <v/>
      </c>
      <c r="B920" s="68" t="n">
        <v>200</v>
      </c>
      <c r="C920" s="68" t="n">
        <v>17</v>
      </c>
      <c r="D920" s="68" t="inlineStr">
        <is>
          <t>HpRatio</t>
        </is>
      </c>
      <c r="E920" s="68" t="n">
        <v>907000</v>
      </c>
      <c r="F920" s="68" t="inlineStr">
        <is>
          <t>AtkRatio</t>
        </is>
      </c>
      <c r="G920" s="68" t="n">
        <v>744500</v>
      </c>
      <c r="H920" s="68" t="inlineStr">
        <is>
          <t>DefRatio</t>
        </is>
      </c>
      <c r="I920" s="68">
        <f>G920</f>
        <v/>
      </c>
    </row>
    <row r="921">
      <c r="A921" s="68">
        <f>B921&amp;TEXT(C921,"0000")</f>
        <v/>
      </c>
      <c r="B921" s="68" t="n">
        <v>200</v>
      </c>
      <c r="C921" s="68" t="n">
        <v>18</v>
      </c>
      <c r="D921" s="68" t="inlineStr">
        <is>
          <t>HpRatio</t>
        </is>
      </c>
      <c r="E921" s="68" t="n">
        <v>987700</v>
      </c>
      <c r="F921" s="68" t="inlineStr">
        <is>
          <t>AtkRatio</t>
        </is>
      </c>
      <c r="G921" s="68" t="n">
        <v>803500</v>
      </c>
      <c r="H921" s="68" t="inlineStr">
        <is>
          <t>DefRatio</t>
        </is>
      </c>
      <c r="I921" s="68">
        <f>G921</f>
        <v/>
      </c>
    </row>
    <row r="922">
      <c r="A922" s="68">
        <f>B922&amp;TEXT(C922,"0000")</f>
        <v/>
      </c>
      <c r="B922" s="68" t="n">
        <v>200</v>
      </c>
      <c r="C922" s="68" t="n">
        <v>19</v>
      </c>
      <c r="D922" s="68" t="inlineStr">
        <is>
          <t>HpRatio</t>
        </is>
      </c>
      <c r="E922" s="68" t="n">
        <v>1074700</v>
      </c>
      <c r="F922" s="68" t="inlineStr">
        <is>
          <t>AtkRatio</t>
        </is>
      </c>
      <c r="G922" s="68" t="n">
        <v>866500</v>
      </c>
      <c r="H922" s="68" t="inlineStr">
        <is>
          <t>DefRatio</t>
        </is>
      </c>
      <c r="I922" s="68">
        <f>G922</f>
        <v/>
      </c>
    </row>
    <row r="923">
      <c r="A923" s="68">
        <f>B923&amp;TEXT(C923,"0000")</f>
        <v/>
      </c>
      <c r="B923" s="68" t="n">
        <v>200</v>
      </c>
      <c r="C923" s="68" t="n">
        <v>20</v>
      </c>
      <c r="D923" s="68" t="inlineStr">
        <is>
          <t>HpRatio</t>
        </is>
      </c>
      <c r="E923" s="68" t="n">
        <v>1168700</v>
      </c>
      <c r="F923" s="68" t="inlineStr">
        <is>
          <t>AtkRatio</t>
        </is>
      </c>
      <c r="G923" s="68" t="n">
        <v>934500</v>
      </c>
      <c r="H923" s="68" t="inlineStr">
        <is>
          <t>DefRatio</t>
        </is>
      </c>
      <c r="I923" s="68">
        <f>G923</f>
        <v/>
      </c>
    </row>
    <row r="924">
      <c r="A924" s="68">
        <f>B924&amp;TEXT(C924,"0000")</f>
        <v/>
      </c>
      <c r="B924" s="68" t="n">
        <v>200</v>
      </c>
      <c r="C924" s="68" t="n">
        <v>21</v>
      </c>
      <c r="D924" s="68" t="inlineStr">
        <is>
          <t>HpRatio</t>
        </is>
      </c>
      <c r="E924" s="68" t="n">
        <v>1270300</v>
      </c>
      <c r="F924" s="68" t="inlineStr">
        <is>
          <t>AtkRatio</t>
        </is>
      </c>
      <c r="G924" s="68" t="n">
        <v>1007000</v>
      </c>
      <c r="H924" s="68" t="inlineStr">
        <is>
          <t>DefRatio</t>
        </is>
      </c>
      <c r="I924" s="68">
        <f>G924</f>
        <v/>
      </c>
    </row>
    <row r="925">
      <c r="A925" s="68">
        <f>B925&amp;TEXT(C925,"0000")</f>
        <v/>
      </c>
      <c r="B925" s="68" t="n">
        <v>200</v>
      </c>
      <c r="C925" s="68" t="n">
        <v>22</v>
      </c>
      <c r="D925" s="68" t="inlineStr">
        <is>
          <t>HpRatio</t>
        </is>
      </c>
      <c r="E925" s="68" t="n">
        <v>1380000</v>
      </c>
      <c r="F925" s="68" t="inlineStr">
        <is>
          <t>AtkRatio</t>
        </is>
      </c>
      <c r="G925" s="68" t="n">
        <v>1084500</v>
      </c>
      <c r="H925" s="68" t="inlineStr">
        <is>
          <t>DefRatio</t>
        </is>
      </c>
      <c r="I925" s="68">
        <f>G925</f>
        <v/>
      </c>
    </row>
    <row r="926">
      <c r="A926" s="68">
        <f>B926&amp;TEXT(C926,"0000")</f>
        <v/>
      </c>
      <c r="B926" s="68" t="n">
        <v>200</v>
      </c>
      <c r="C926" s="68" t="n">
        <v>23</v>
      </c>
      <c r="D926" s="68" t="inlineStr">
        <is>
          <t>HpRatio</t>
        </is>
      </c>
      <c r="E926" s="68" t="n">
        <v>1498300</v>
      </c>
      <c r="F926" s="68" t="inlineStr">
        <is>
          <t>AtkRatio</t>
        </is>
      </c>
      <c r="G926" s="68" t="n">
        <v>1167000</v>
      </c>
      <c r="H926" s="68" t="inlineStr">
        <is>
          <t>DefRatio</t>
        </is>
      </c>
      <c r="I926" s="68">
        <f>G926</f>
        <v/>
      </c>
    </row>
    <row r="927">
      <c r="A927" s="68">
        <f>B927&amp;TEXT(C927,"0000")</f>
        <v/>
      </c>
      <c r="B927" s="68" t="n">
        <v>200</v>
      </c>
      <c r="C927" s="68" t="n">
        <v>24</v>
      </c>
      <c r="D927" s="68" t="inlineStr">
        <is>
          <t>HpRatio</t>
        </is>
      </c>
      <c r="E927" s="68" t="n">
        <v>1626000</v>
      </c>
      <c r="F927" s="68" t="inlineStr">
        <is>
          <t>AtkRatio</t>
        </is>
      </c>
      <c r="G927" s="68" t="n">
        <v>1256000</v>
      </c>
      <c r="H927" s="68" t="inlineStr">
        <is>
          <t>DefRatio</t>
        </is>
      </c>
      <c r="I927" s="68">
        <f>G927</f>
        <v/>
      </c>
    </row>
    <row r="928">
      <c r="A928" s="68">
        <f>B928&amp;TEXT(C928,"0000")</f>
        <v/>
      </c>
      <c r="B928" s="68" t="n">
        <v>200</v>
      </c>
      <c r="C928" s="68" t="n">
        <v>25</v>
      </c>
      <c r="D928" s="68" t="inlineStr">
        <is>
          <t>HpRatio</t>
        </is>
      </c>
      <c r="E928" s="68" t="n">
        <v>1764300</v>
      </c>
      <c r="F928" s="68" t="inlineStr">
        <is>
          <t>AtkRatio</t>
        </is>
      </c>
      <c r="G928" s="68" t="n">
        <v>1351000</v>
      </c>
      <c r="H928" s="68" t="inlineStr">
        <is>
          <t>DefRatio</t>
        </is>
      </c>
      <c r="I928" s="68">
        <f>G928</f>
        <v/>
      </c>
    </row>
    <row r="929">
      <c r="A929" s="68">
        <f>B929&amp;TEXT(C929,"0000")</f>
        <v/>
      </c>
      <c r="B929" s="68" t="n">
        <v>200</v>
      </c>
      <c r="C929" s="68" t="n">
        <v>26</v>
      </c>
      <c r="D929" s="68" t="inlineStr">
        <is>
          <t>HpRatio</t>
        </is>
      </c>
      <c r="E929" s="68" t="n">
        <v>1913300</v>
      </c>
      <c r="F929" s="68" t="inlineStr">
        <is>
          <t>AtkRatio</t>
        </is>
      </c>
      <c r="G929" s="68" t="n">
        <v>1452500</v>
      </c>
      <c r="H929" s="68" t="inlineStr">
        <is>
          <t>DefRatio</t>
        </is>
      </c>
      <c r="I929" s="68">
        <f>G929</f>
        <v/>
      </c>
    </row>
    <row r="930">
      <c r="A930" s="68">
        <f>B930&amp;TEXT(C930,"0000")</f>
        <v/>
      </c>
      <c r="B930" s="68" t="n">
        <v>200</v>
      </c>
      <c r="C930" s="68" t="n">
        <v>27</v>
      </c>
      <c r="D930" s="68" t="inlineStr">
        <is>
          <t>HpRatio</t>
        </is>
      </c>
      <c r="E930" s="68" t="n">
        <v>2054300</v>
      </c>
      <c r="F930" s="68" t="inlineStr">
        <is>
          <t>AtkRatio</t>
        </is>
      </c>
      <c r="G930" s="68" t="n">
        <v>1561000</v>
      </c>
      <c r="H930" s="68" t="inlineStr">
        <is>
          <t>DefRatio</t>
        </is>
      </c>
      <c r="I930" s="68">
        <f>G930</f>
        <v/>
      </c>
    </row>
    <row r="931">
      <c r="A931" s="68">
        <f>B931&amp;TEXT(C931,"0000")</f>
        <v/>
      </c>
      <c r="B931" s="68" t="n">
        <v>200</v>
      </c>
      <c r="C931" s="68" t="n">
        <v>28</v>
      </c>
      <c r="D931" s="68" t="inlineStr">
        <is>
          <t>HpRatio</t>
        </is>
      </c>
      <c r="E931" s="68" t="n">
        <v>2205000</v>
      </c>
      <c r="F931" s="68" t="inlineStr">
        <is>
          <t>AtkRatio</t>
        </is>
      </c>
      <c r="G931" s="68" t="n">
        <v>1677500</v>
      </c>
      <c r="H931" s="68" t="inlineStr">
        <is>
          <t>DefRatio</t>
        </is>
      </c>
      <c r="I931" s="68">
        <f>G931</f>
        <v/>
      </c>
    </row>
    <row r="932">
      <c r="A932" s="68">
        <f>B932&amp;TEXT(C932,"0000")</f>
        <v/>
      </c>
      <c r="B932" s="68" t="n">
        <v>200</v>
      </c>
      <c r="C932" s="68" t="n">
        <v>29</v>
      </c>
      <c r="D932" s="68" t="inlineStr">
        <is>
          <t>HpRatio</t>
        </is>
      </c>
      <c r="E932" s="68" t="n">
        <v>2366300</v>
      </c>
      <c r="F932" s="68" t="inlineStr">
        <is>
          <t>AtkRatio</t>
        </is>
      </c>
      <c r="G932" s="68" t="n">
        <v>1802000</v>
      </c>
      <c r="H932" s="68" t="inlineStr">
        <is>
          <t>DefRatio</t>
        </is>
      </c>
      <c r="I932" s="68">
        <f>G932</f>
        <v/>
      </c>
    </row>
    <row r="933">
      <c r="A933" s="68">
        <f>B933&amp;TEXT(C933,"0000")</f>
        <v/>
      </c>
      <c r="B933" s="68" t="n">
        <v>200</v>
      </c>
      <c r="C933" s="68" t="n">
        <v>30</v>
      </c>
      <c r="D933" s="68" t="inlineStr">
        <is>
          <t>HpRatio</t>
        </is>
      </c>
      <c r="E933" s="68" t="n">
        <v>2539000</v>
      </c>
      <c r="F933" s="68" t="inlineStr">
        <is>
          <t>AtkRatio</t>
        </is>
      </c>
      <c r="G933" s="68" t="n">
        <v>1935000</v>
      </c>
      <c r="H933" s="68" t="inlineStr">
        <is>
          <t>DefRatio</t>
        </is>
      </c>
      <c r="I933" s="68">
        <f>G933</f>
        <v/>
      </c>
    </row>
    <row r="934">
      <c r="A934" s="68">
        <f>B934&amp;TEXT(C934,"0000")</f>
        <v/>
      </c>
      <c r="B934" s="68" t="n">
        <v>200</v>
      </c>
      <c r="C934" s="68" t="n">
        <v>31</v>
      </c>
      <c r="D934" s="68" t="inlineStr">
        <is>
          <t>HpRatio</t>
        </is>
      </c>
      <c r="E934" s="68" t="n">
        <v>2724000</v>
      </c>
      <c r="F934" s="68" t="inlineStr">
        <is>
          <t>AtkRatio</t>
        </is>
      </c>
      <c r="G934" s="68" t="n">
        <v>2077500</v>
      </c>
      <c r="H934" s="68" t="inlineStr">
        <is>
          <t>DefRatio</t>
        </is>
      </c>
      <c r="I934" s="68">
        <f>G934</f>
        <v/>
      </c>
    </row>
    <row r="935">
      <c r="A935" s="68">
        <f>B935&amp;TEXT(C935,"0000")</f>
        <v/>
      </c>
      <c r="B935" s="68" t="n">
        <v>200</v>
      </c>
      <c r="C935" s="68" t="n">
        <v>32</v>
      </c>
      <c r="D935" s="68" t="inlineStr">
        <is>
          <t>HpRatio</t>
        </is>
      </c>
      <c r="E935" s="68" t="n">
        <v>2921700</v>
      </c>
      <c r="F935" s="68" t="inlineStr">
        <is>
          <t>AtkRatio</t>
        </is>
      </c>
      <c r="G935" s="68" t="n">
        <v>2230000</v>
      </c>
      <c r="H935" s="68" t="inlineStr">
        <is>
          <t>DefRatio</t>
        </is>
      </c>
      <c r="I935" s="68">
        <f>G935</f>
        <v/>
      </c>
    </row>
    <row r="936">
      <c r="A936" s="68">
        <f>B936&amp;TEXT(C936,"0000")</f>
        <v/>
      </c>
      <c r="B936" s="68" t="n">
        <v>200</v>
      </c>
      <c r="C936" s="68" t="n">
        <v>33</v>
      </c>
      <c r="D936" s="68" t="inlineStr">
        <is>
          <t>HpRatio</t>
        </is>
      </c>
      <c r="E936" s="68" t="n">
        <v>3133000</v>
      </c>
      <c r="F936" s="68" t="inlineStr">
        <is>
          <t>AtkRatio</t>
        </is>
      </c>
      <c r="G936" s="68" t="n">
        <v>2393000</v>
      </c>
      <c r="H936" s="68" t="inlineStr">
        <is>
          <t>DefRatio</t>
        </is>
      </c>
      <c r="I936" s="68">
        <f>G936</f>
        <v/>
      </c>
    </row>
    <row r="937">
      <c r="A937" s="68">
        <f>B937&amp;TEXT(C937,"0000")</f>
        <v/>
      </c>
      <c r="B937" s="68" t="n">
        <v>200</v>
      </c>
      <c r="C937" s="68" t="n">
        <v>34</v>
      </c>
      <c r="D937" s="68" t="inlineStr">
        <is>
          <t>HpRatio</t>
        </is>
      </c>
      <c r="E937" s="68" t="n">
        <v>3359300</v>
      </c>
      <c r="F937" s="68" t="inlineStr">
        <is>
          <t>AtkRatio</t>
        </is>
      </c>
      <c r="G937" s="68" t="n">
        <v>2567500</v>
      </c>
      <c r="H937" s="68" t="inlineStr">
        <is>
          <t>DefRatio</t>
        </is>
      </c>
      <c r="I937" s="68">
        <f>G937</f>
        <v/>
      </c>
    </row>
    <row r="938">
      <c r="A938" s="68">
        <f>B938&amp;TEXT(C938,"0000")</f>
        <v/>
      </c>
      <c r="B938" s="68" t="n">
        <v>200</v>
      </c>
      <c r="C938" s="68" t="n">
        <v>35</v>
      </c>
      <c r="D938" s="68" t="inlineStr">
        <is>
          <t>HpRatio</t>
        </is>
      </c>
      <c r="E938" s="68" t="n">
        <v>3601700</v>
      </c>
      <c r="F938" s="68" t="inlineStr">
        <is>
          <t>AtkRatio</t>
        </is>
      </c>
      <c r="G938" s="68" t="n">
        <v>2754500</v>
      </c>
      <c r="H938" s="68" t="inlineStr">
        <is>
          <t>DefRatio</t>
        </is>
      </c>
      <c r="I938" s="68">
        <f>G938</f>
        <v/>
      </c>
    </row>
    <row r="939">
      <c r="A939" s="68">
        <f>B939&amp;TEXT(C939,"0000")</f>
        <v/>
      </c>
      <c r="B939" s="68" t="n">
        <v>200</v>
      </c>
      <c r="C939" s="68" t="n">
        <v>36</v>
      </c>
      <c r="D939" s="68" t="inlineStr">
        <is>
          <t>HpRatio</t>
        </is>
      </c>
      <c r="E939" s="68" t="n">
        <v>3860700</v>
      </c>
      <c r="F939" s="68" t="inlineStr">
        <is>
          <t>AtkRatio</t>
        </is>
      </c>
      <c r="G939" s="68" t="n">
        <v>2954000</v>
      </c>
      <c r="H939" s="68" t="inlineStr">
        <is>
          <t>DefRatio</t>
        </is>
      </c>
      <c r="I939" s="68">
        <f>G939</f>
        <v/>
      </c>
    </row>
    <row r="940">
      <c r="A940" s="68">
        <f>B940&amp;TEXT(C940,"0000")</f>
        <v/>
      </c>
      <c r="B940" s="68" t="n">
        <v>200</v>
      </c>
      <c r="C940" s="68" t="n">
        <v>37</v>
      </c>
      <c r="D940" s="68" t="inlineStr">
        <is>
          <t>HpRatio</t>
        </is>
      </c>
      <c r="E940" s="68" t="n">
        <v>4138000</v>
      </c>
      <c r="F940" s="68" t="inlineStr">
        <is>
          <t>AtkRatio</t>
        </is>
      </c>
      <c r="G940" s="68" t="n">
        <v>3168000</v>
      </c>
      <c r="H940" s="68" t="inlineStr">
        <is>
          <t>DefRatio</t>
        </is>
      </c>
      <c r="I940" s="68">
        <f>G940</f>
        <v/>
      </c>
    </row>
    <row r="941">
      <c r="A941" s="68">
        <f>B941&amp;TEXT(C941,"0000")</f>
        <v/>
      </c>
      <c r="B941" s="68" t="n">
        <v>200</v>
      </c>
      <c r="C941" s="68" t="n">
        <v>38</v>
      </c>
      <c r="D941" s="68" t="inlineStr">
        <is>
          <t>HpRatio</t>
        </is>
      </c>
      <c r="E941" s="68" t="n">
        <v>4434700</v>
      </c>
      <c r="F941" s="68" t="inlineStr">
        <is>
          <t>AtkRatio</t>
        </is>
      </c>
      <c r="G941" s="68" t="n">
        <v>3397000</v>
      </c>
      <c r="H941" s="68" t="inlineStr">
        <is>
          <t>DefRatio</t>
        </is>
      </c>
      <c r="I941" s="68">
        <f>G941</f>
        <v/>
      </c>
    </row>
    <row r="942">
      <c r="A942" s="68">
        <f>B942&amp;TEXT(C942,"0000")</f>
        <v/>
      </c>
      <c r="B942" s="68" t="n">
        <v>200</v>
      </c>
      <c r="C942" s="68" t="n">
        <v>39</v>
      </c>
      <c r="D942" s="68" t="inlineStr">
        <is>
          <t>HpRatio</t>
        </is>
      </c>
      <c r="E942" s="68" t="n">
        <v>4752000</v>
      </c>
      <c r="F942" s="68" t="inlineStr">
        <is>
          <t>AtkRatio</t>
        </is>
      </c>
      <c r="G942" s="68" t="n">
        <v>3641500</v>
      </c>
      <c r="H942" s="68" t="inlineStr">
        <is>
          <t>DefRatio</t>
        </is>
      </c>
      <c r="I942" s="68">
        <f>G942</f>
        <v/>
      </c>
    </row>
    <row r="943">
      <c r="A943" s="68">
        <f>B943&amp;TEXT(C943,"0000")</f>
        <v/>
      </c>
      <c r="B943" s="68" t="n">
        <v>200</v>
      </c>
      <c r="C943" s="68" t="n">
        <v>40</v>
      </c>
      <c r="D943" s="68" t="inlineStr">
        <is>
          <t>HpRatio</t>
        </is>
      </c>
      <c r="E943" s="68" t="n">
        <v>5091700</v>
      </c>
      <c r="F943" s="68" t="inlineStr">
        <is>
          <t>AtkRatio</t>
        </is>
      </c>
      <c r="G943" s="68" t="n">
        <v>3903500</v>
      </c>
      <c r="H943" s="68" t="inlineStr">
        <is>
          <t>DefRatio</t>
        </is>
      </c>
      <c r="I943" s="68">
        <f>G943</f>
        <v/>
      </c>
    </row>
    <row r="944">
      <c r="A944" s="68">
        <f>B944&amp;TEXT(C944,"0000")</f>
        <v/>
      </c>
      <c r="B944" s="68" t="n">
        <v>200</v>
      </c>
      <c r="C944" s="68" t="n">
        <v>41</v>
      </c>
      <c r="D944" s="68" t="inlineStr">
        <is>
          <t>HpRatio</t>
        </is>
      </c>
      <c r="E944" s="68" t="n">
        <v>5455300</v>
      </c>
      <c r="F944" s="68" t="inlineStr">
        <is>
          <t>AtkRatio</t>
        </is>
      </c>
      <c r="G944" s="68" t="n">
        <v>4183500</v>
      </c>
      <c r="H944" s="68" t="inlineStr">
        <is>
          <t>DefRatio</t>
        </is>
      </c>
      <c r="I944" s="68">
        <f>G944</f>
        <v/>
      </c>
    </row>
    <row r="945">
      <c r="A945" s="68">
        <f>B945&amp;TEXT(C945,"0000")</f>
        <v/>
      </c>
      <c r="B945" s="68" t="n">
        <v>200</v>
      </c>
      <c r="C945" s="68" t="n">
        <v>42</v>
      </c>
      <c r="D945" s="68" t="inlineStr">
        <is>
          <t>HpRatio</t>
        </is>
      </c>
      <c r="E945" s="68" t="n">
        <v>5844000</v>
      </c>
      <c r="F945" s="68" t="inlineStr">
        <is>
          <t>AtkRatio</t>
        </is>
      </c>
      <c r="G945" s="68" t="n">
        <v>4483500</v>
      </c>
      <c r="H945" s="68" t="inlineStr">
        <is>
          <t>DefRatio</t>
        </is>
      </c>
      <c r="I945" s="68">
        <f>G945</f>
        <v/>
      </c>
    </row>
    <row r="946">
      <c r="A946" s="68">
        <f>B946&amp;TEXT(C946,"0000")</f>
        <v/>
      </c>
      <c r="B946" s="68" t="n">
        <v>200</v>
      </c>
      <c r="C946" s="68" t="n">
        <v>43</v>
      </c>
      <c r="D946" s="68" t="inlineStr">
        <is>
          <t>HpRatio</t>
        </is>
      </c>
      <c r="E946" s="68" t="n">
        <v>6260300</v>
      </c>
      <c r="F946" s="68" t="inlineStr">
        <is>
          <t>AtkRatio</t>
        </is>
      </c>
      <c r="G946" s="68" t="n">
        <v>4804500</v>
      </c>
      <c r="H946" s="68" t="inlineStr">
        <is>
          <t>DefRatio</t>
        </is>
      </c>
      <c r="I946" s="68">
        <f>G946</f>
        <v/>
      </c>
    </row>
    <row r="947">
      <c r="A947" s="68">
        <f>B947&amp;TEXT(C947,"0000")</f>
        <v/>
      </c>
      <c r="B947" s="68" t="n">
        <v>200</v>
      </c>
      <c r="C947" s="68" t="n">
        <v>44</v>
      </c>
      <c r="D947" s="68" t="inlineStr">
        <is>
          <t>HpRatio</t>
        </is>
      </c>
      <c r="E947" s="68" t="n">
        <v>6705300</v>
      </c>
      <c r="F947" s="68" t="inlineStr">
        <is>
          <t>AtkRatio</t>
        </is>
      </c>
      <c r="G947" s="68" t="n">
        <v>5148000</v>
      </c>
      <c r="H947" s="68" t="inlineStr">
        <is>
          <t>DefRatio</t>
        </is>
      </c>
      <c r="I947" s="68">
        <f>G947</f>
        <v/>
      </c>
    </row>
    <row r="948">
      <c r="A948" s="68">
        <f>B948&amp;TEXT(C948,"0000")</f>
        <v/>
      </c>
      <c r="B948" s="68" t="n">
        <v>200</v>
      </c>
      <c r="C948" s="68" t="n">
        <v>45</v>
      </c>
      <c r="D948" s="68" t="inlineStr">
        <is>
          <t>HpRatio</t>
        </is>
      </c>
      <c r="E948" s="68" t="n">
        <v>7181700</v>
      </c>
      <c r="F948" s="68" t="inlineStr">
        <is>
          <t>AtkRatio</t>
        </is>
      </c>
      <c r="G948" s="68" t="n">
        <v>5515000</v>
      </c>
      <c r="H948" s="68" t="inlineStr">
        <is>
          <t>DefRatio</t>
        </is>
      </c>
      <c r="I948" s="68">
        <f>G948</f>
        <v/>
      </c>
    </row>
    <row r="949">
      <c r="A949" s="68">
        <f>B949&amp;TEXT(C949,"0000")</f>
        <v/>
      </c>
      <c r="B949" s="68" t="n">
        <v>200</v>
      </c>
      <c r="C949" s="68" t="n">
        <v>46</v>
      </c>
      <c r="D949" s="68" t="inlineStr">
        <is>
          <t>HpRatio</t>
        </is>
      </c>
      <c r="E949" s="68" t="n">
        <v>7691700</v>
      </c>
      <c r="F949" s="68" t="inlineStr">
        <is>
          <t>AtkRatio</t>
        </is>
      </c>
      <c r="G949" s="68" t="n">
        <v>5908500</v>
      </c>
      <c r="H949" s="68" t="inlineStr">
        <is>
          <t>DefRatio</t>
        </is>
      </c>
      <c r="I949" s="68">
        <f>G949</f>
        <v/>
      </c>
    </row>
    <row r="950">
      <c r="A950" s="68">
        <f>B950&amp;TEXT(C950,"0000")</f>
        <v/>
      </c>
      <c r="B950" s="68" t="n">
        <v>200</v>
      </c>
      <c r="C950" s="68" t="n">
        <v>47</v>
      </c>
      <c r="D950" s="68" t="inlineStr">
        <is>
          <t>HpRatio</t>
        </is>
      </c>
      <c r="E950" s="68" t="n">
        <v>8198000</v>
      </c>
      <c r="F950" s="68" t="inlineStr">
        <is>
          <t>AtkRatio</t>
        </is>
      </c>
      <c r="G950" s="68" t="n">
        <v>6269000</v>
      </c>
      <c r="H950" s="68" t="inlineStr">
        <is>
          <t>DefRatio</t>
        </is>
      </c>
      <c r="I950" s="68">
        <f>G950</f>
        <v/>
      </c>
    </row>
    <row r="951">
      <c r="A951" s="68">
        <f>B951&amp;TEXT(C951,"0000")</f>
        <v/>
      </c>
      <c r="B951" s="68" t="n">
        <v>200</v>
      </c>
      <c r="C951" s="68" t="n">
        <v>48</v>
      </c>
      <c r="D951" s="68" t="inlineStr">
        <is>
          <t>HpRatio</t>
        </is>
      </c>
      <c r="E951" s="68" t="n">
        <v>8737300</v>
      </c>
      <c r="F951" s="68" t="inlineStr">
        <is>
          <t>AtkRatio</t>
        </is>
      </c>
      <c r="G951" s="68" t="n">
        <v>6651000</v>
      </c>
      <c r="H951" s="68" t="inlineStr">
        <is>
          <t>DefRatio</t>
        </is>
      </c>
      <c r="I951" s="68">
        <f>G951</f>
        <v/>
      </c>
    </row>
    <row r="952">
      <c r="A952" s="68">
        <f>B952&amp;TEXT(C952,"0000")</f>
        <v/>
      </c>
      <c r="B952" s="68" t="n">
        <v>200</v>
      </c>
      <c r="C952" s="68" t="n">
        <v>49</v>
      </c>
      <c r="D952" s="68" t="inlineStr">
        <is>
          <t>HpRatio</t>
        </is>
      </c>
      <c r="E952" s="68" t="n">
        <v>9312000</v>
      </c>
      <c r="F952" s="68" t="inlineStr">
        <is>
          <t>AtkRatio</t>
        </is>
      </c>
      <c r="G952" s="68" t="n">
        <v>7056000</v>
      </c>
      <c r="H952" s="68" t="inlineStr">
        <is>
          <t>DefRatio</t>
        </is>
      </c>
      <c r="I952" s="68">
        <f>G952</f>
        <v/>
      </c>
    </row>
    <row r="953">
      <c r="A953" s="68">
        <f>B953&amp;TEXT(C953,"0000")</f>
        <v/>
      </c>
      <c r="B953" s="68" t="n">
        <v>200</v>
      </c>
      <c r="C953" s="68" t="n">
        <v>50</v>
      </c>
      <c r="D953" s="68" t="inlineStr">
        <is>
          <t>HpRatio</t>
        </is>
      </c>
      <c r="E953" s="68" t="n">
        <v>9923700</v>
      </c>
      <c r="F953" s="68" t="inlineStr">
        <is>
          <t>AtkRatio</t>
        </is>
      </c>
      <c r="G953" s="68" t="n">
        <v>7485500</v>
      </c>
      <c r="H953" s="68" t="inlineStr">
        <is>
          <t>DefRatio</t>
        </is>
      </c>
      <c r="I953" s="68">
        <f>G953</f>
        <v/>
      </c>
    </row>
    <row r="954">
      <c r="A954" s="68">
        <f>B954&amp;TEXT(C954,"0000")</f>
        <v/>
      </c>
      <c r="B954" s="68" t="n">
        <v>200</v>
      </c>
      <c r="C954" s="68" t="n">
        <v>51</v>
      </c>
      <c r="D954" s="68" t="inlineStr">
        <is>
          <t>HpRatio</t>
        </is>
      </c>
      <c r="E954" s="68" t="n">
        <v>10575300</v>
      </c>
      <c r="F954" s="68" t="inlineStr">
        <is>
          <t>AtkRatio</t>
        </is>
      </c>
      <c r="G954" s="68" t="n">
        <v>7940500</v>
      </c>
      <c r="H954" s="68" t="inlineStr">
        <is>
          <t>DefRatio</t>
        </is>
      </c>
      <c r="I954" s="68">
        <f>G954</f>
        <v/>
      </c>
    </row>
    <row r="955">
      <c r="A955" s="68">
        <f>B955&amp;TEXT(C955,"0000")</f>
        <v/>
      </c>
      <c r="B955" s="68" t="n">
        <v>200</v>
      </c>
      <c r="C955" s="68" t="n">
        <v>52</v>
      </c>
      <c r="D955" s="68" t="inlineStr">
        <is>
          <t>HpRatio</t>
        </is>
      </c>
      <c r="E955" s="68" t="n">
        <v>11269000</v>
      </c>
      <c r="F955" s="68" t="inlineStr">
        <is>
          <t>AtkRatio</t>
        </is>
      </c>
      <c r="G955" s="68" t="n">
        <v>8423000</v>
      </c>
      <c r="H955" s="68" t="inlineStr">
        <is>
          <t>DefRatio</t>
        </is>
      </c>
      <c r="I955" s="68">
        <f>G955</f>
        <v/>
      </c>
    </row>
    <row r="956">
      <c r="A956" s="68">
        <f>B956&amp;TEXT(C956,"0000")</f>
        <v/>
      </c>
      <c r="B956" s="68" t="n">
        <v>200</v>
      </c>
      <c r="C956" s="68" t="n">
        <v>53</v>
      </c>
      <c r="D956" s="68" t="inlineStr">
        <is>
          <t>HpRatio</t>
        </is>
      </c>
      <c r="E956" s="68" t="n">
        <v>12008000</v>
      </c>
      <c r="F956" s="68" t="inlineStr">
        <is>
          <t>AtkRatio</t>
        </is>
      </c>
      <c r="G956" s="68" t="n">
        <v>8934500</v>
      </c>
      <c r="H956" s="68" t="inlineStr">
        <is>
          <t>DefRatio</t>
        </is>
      </c>
      <c r="I956" s="68">
        <f>G956</f>
        <v/>
      </c>
    </row>
    <row r="957">
      <c r="A957" s="68">
        <f>B957&amp;TEXT(C957,"0000")</f>
        <v/>
      </c>
      <c r="B957" s="68" t="n">
        <v>200</v>
      </c>
      <c r="C957" s="68" t="n">
        <v>54</v>
      </c>
      <c r="D957" s="68" t="inlineStr">
        <is>
          <t>HpRatio</t>
        </is>
      </c>
      <c r="E957" s="68" t="n">
        <v>12795000</v>
      </c>
      <c r="F957" s="68" t="inlineStr">
        <is>
          <t>AtkRatio</t>
        </is>
      </c>
      <c r="G957" s="68" t="n">
        <v>9476500</v>
      </c>
      <c r="H957" s="68" t="inlineStr">
        <is>
          <t>DefRatio</t>
        </is>
      </c>
      <c r="I957" s="68">
        <f>G957</f>
        <v/>
      </c>
    </row>
    <row r="958">
      <c r="A958" s="68">
        <f>B958&amp;TEXT(C958,"0000")</f>
        <v/>
      </c>
      <c r="B958" s="68" t="n">
        <v>200</v>
      </c>
      <c r="C958" s="68" t="n">
        <v>55</v>
      </c>
      <c r="D958" s="68" t="inlineStr">
        <is>
          <t>HpRatio</t>
        </is>
      </c>
      <c r="E958" s="68" t="n">
        <v>13633300</v>
      </c>
      <c r="F958" s="68" t="inlineStr">
        <is>
          <t>AtkRatio</t>
        </is>
      </c>
      <c r="G958" s="68" t="n">
        <v>10051000</v>
      </c>
      <c r="H958" s="68" t="inlineStr">
        <is>
          <t>DefRatio</t>
        </is>
      </c>
      <c r="I958" s="68">
        <f>G958</f>
        <v/>
      </c>
    </row>
    <row r="959">
      <c r="A959" s="68">
        <f>B959&amp;TEXT(C959,"0000")</f>
        <v/>
      </c>
      <c r="B959" s="68" t="n">
        <v>200</v>
      </c>
      <c r="C959" s="68" t="n">
        <v>56</v>
      </c>
      <c r="D959" s="68" t="inlineStr">
        <is>
          <t>HpRatio</t>
        </is>
      </c>
      <c r="E959" s="68" t="n">
        <v>14526000</v>
      </c>
      <c r="F959" s="68" t="inlineStr">
        <is>
          <t>AtkRatio</t>
        </is>
      </c>
      <c r="G959" s="68" t="n">
        <v>10660000</v>
      </c>
      <c r="H959" s="68" t="inlineStr">
        <is>
          <t>DefRatio</t>
        </is>
      </c>
      <c r="I959" s="68">
        <f>G959</f>
        <v/>
      </c>
    </row>
    <row r="960">
      <c r="A960" s="68">
        <f>B960&amp;TEXT(C960,"0000")</f>
        <v/>
      </c>
      <c r="B960" s="68" t="n">
        <v>200</v>
      </c>
      <c r="C960" s="68" t="n">
        <v>57</v>
      </c>
      <c r="D960" s="68" t="inlineStr">
        <is>
          <t>HpRatio</t>
        </is>
      </c>
      <c r="E960" s="68" t="n">
        <v>15476700</v>
      </c>
      <c r="F960" s="68" t="inlineStr">
        <is>
          <t>AtkRatio</t>
        </is>
      </c>
      <c r="G960" s="68" t="n">
        <v>11305500</v>
      </c>
      <c r="H960" s="68" t="inlineStr">
        <is>
          <t>DefRatio</t>
        </is>
      </c>
      <c r="I960" s="68">
        <f>G960</f>
        <v/>
      </c>
    </row>
    <row r="961">
      <c r="A961" s="68">
        <f>B961&amp;TEXT(C961,"0000")</f>
        <v/>
      </c>
      <c r="B961" s="68" t="n">
        <v>200</v>
      </c>
      <c r="C961" s="68" t="n">
        <v>58</v>
      </c>
      <c r="D961" s="68" t="inlineStr">
        <is>
          <t>HpRatio</t>
        </is>
      </c>
      <c r="E961" s="68" t="n">
        <v>16489300</v>
      </c>
      <c r="F961" s="68" t="inlineStr">
        <is>
          <t>AtkRatio</t>
        </is>
      </c>
      <c r="G961" s="68" t="n">
        <v>11990000</v>
      </c>
      <c r="H961" s="68" t="inlineStr">
        <is>
          <t>DefRatio</t>
        </is>
      </c>
      <c r="I961" s="68">
        <f>G961</f>
        <v/>
      </c>
    </row>
    <row r="962">
      <c r="A962" s="68">
        <f>B962&amp;TEXT(C962,"0000")</f>
        <v/>
      </c>
      <c r="B962" s="68" t="n">
        <v>200</v>
      </c>
      <c r="C962" s="68" t="n">
        <v>59</v>
      </c>
      <c r="D962" s="68" t="inlineStr">
        <is>
          <t>HpRatio</t>
        </is>
      </c>
      <c r="E962" s="68" t="n">
        <v>17567700</v>
      </c>
      <c r="F962" s="68" t="inlineStr">
        <is>
          <t>AtkRatio</t>
        </is>
      </c>
      <c r="G962" s="68" t="n">
        <v>12715500</v>
      </c>
      <c r="H962" s="68" t="inlineStr">
        <is>
          <t>DefRatio</t>
        </is>
      </c>
      <c r="I962" s="68">
        <f>G962</f>
        <v/>
      </c>
    </row>
    <row r="963">
      <c r="A963" s="68">
        <f>B963&amp;TEXT(C963,"0000")</f>
        <v/>
      </c>
      <c r="B963" s="68" t="n">
        <v>200</v>
      </c>
      <c r="C963" s="68" t="n">
        <v>60</v>
      </c>
      <c r="D963" s="68" t="inlineStr">
        <is>
          <t>HpRatio</t>
        </is>
      </c>
      <c r="E963" s="68" t="n">
        <v>18716000</v>
      </c>
      <c r="F963" s="68" t="inlineStr">
        <is>
          <t>AtkRatio</t>
        </is>
      </c>
      <c r="G963" s="68" t="n">
        <v>13484500</v>
      </c>
      <c r="H963" s="68" t="inlineStr">
        <is>
          <t>DefRatio</t>
        </is>
      </c>
      <c r="I963" s="68">
        <f>G963</f>
        <v/>
      </c>
    </row>
    <row r="964">
      <c r="A964" s="68">
        <f>B964&amp;TEXT(C964,"0000")</f>
        <v/>
      </c>
      <c r="B964" s="68" t="n">
        <v>200</v>
      </c>
      <c r="C964" s="68" t="n">
        <v>61</v>
      </c>
      <c r="D964" s="68" t="inlineStr">
        <is>
          <t>HpRatio</t>
        </is>
      </c>
      <c r="E964" s="68" t="n">
        <v>19939000</v>
      </c>
      <c r="F964" s="68" t="inlineStr">
        <is>
          <t>AtkRatio</t>
        </is>
      </c>
      <c r="G964" s="68" t="n">
        <v>14299500</v>
      </c>
      <c r="H964" s="68" t="inlineStr">
        <is>
          <t>DefRatio</t>
        </is>
      </c>
      <c r="I964" s="68">
        <f>G964</f>
        <v/>
      </c>
    </row>
    <row r="965">
      <c r="A965" s="68">
        <f>B965&amp;TEXT(C965,"0000")</f>
        <v/>
      </c>
      <c r="B965" s="68" t="n">
        <v>200</v>
      </c>
      <c r="C965" s="68" t="n">
        <v>62</v>
      </c>
      <c r="D965" s="68" t="inlineStr">
        <is>
          <t>HpRatio</t>
        </is>
      </c>
      <c r="E965" s="68" t="n">
        <v>21241300</v>
      </c>
      <c r="F965" s="68" t="inlineStr">
        <is>
          <t>AtkRatio</t>
        </is>
      </c>
      <c r="G965" s="68" t="n">
        <v>15163500</v>
      </c>
      <c r="H965" s="68" t="inlineStr">
        <is>
          <t>DefRatio</t>
        </is>
      </c>
      <c r="I965" s="68">
        <f>G965</f>
        <v/>
      </c>
    </row>
    <row r="966">
      <c r="A966" s="68">
        <f>B966&amp;TEXT(C966,"0000")</f>
        <v/>
      </c>
      <c r="B966" s="68" t="n">
        <v>200</v>
      </c>
      <c r="C966" s="68" t="n">
        <v>63</v>
      </c>
      <c r="D966" s="68" t="inlineStr">
        <is>
          <t>HpRatio</t>
        </is>
      </c>
      <c r="E966" s="68" t="n">
        <v>22628700</v>
      </c>
      <c r="F966" s="68" t="inlineStr">
        <is>
          <t>AtkRatio</t>
        </is>
      </c>
      <c r="G966" s="68" t="n">
        <v>16079500</v>
      </c>
      <c r="H966" s="68" t="inlineStr">
        <is>
          <t>DefRatio</t>
        </is>
      </c>
      <c r="I966" s="68">
        <f>G966</f>
        <v/>
      </c>
    </row>
    <row r="967">
      <c r="A967" s="68">
        <f>B967&amp;TEXT(C967,"0000")</f>
        <v/>
      </c>
      <c r="B967" s="68" t="n">
        <v>200</v>
      </c>
      <c r="C967" s="68" t="n">
        <v>64</v>
      </c>
      <c r="D967" s="68" t="inlineStr">
        <is>
          <t>HpRatio</t>
        </is>
      </c>
      <c r="E967" s="68" t="n">
        <v>24106000</v>
      </c>
      <c r="F967" s="68" t="inlineStr">
        <is>
          <t>AtkRatio</t>
        </is>
      </c>
      <c r="G967" s="68" t="n">
        <v>17050000</v>
      </c>
      <c r="H967" s="68" t="inlineStr">
        <is>
          <t>DefRatio</t>
        </is>
      </c>
      <c r="I967" s="68">
        <f>G967</f>
        <v/>
      </c>
    </row>
    <row r="968">
      <c r="A968" s="68">
        <f>B968&amp;TEXT(C968,"0000")</f>
        <v/>
      </c>
      <c r="B968" s="68" t="n">
        <v>200</v>
      </c>
      <c r="C968" s="68" t="n">
        <v>65</v>
      </c>
      <c r="D968" s="68" t="inlineStr">
        <is>
          <t>HpRatio</t>
        </is>
      </c>
      <c r="E968" s="68" t="n">
        <v>25679300</v>
      </c>
      <c r="F968" s="68" t="inlineStr">
        <is>
          <t>AtkRatio</t>
        </is>
      </c>
      <c r="G968" s="68" t="n">
        <v>18079000</v>
      </c>
      <c r="H968" s="68" t="inlineStr">
        <is>
          <t>DefRatio</t>
        </is>
      </c>
      <c r="I968" s="68">
        <f>G968</f>
        <v/>
      </c>
    </row>
    <row r="969">
      <c r="A969" s="68">
        <f>B969&amp;TEXT(C969,"0000")</f>
        <v/>
      </c>
      <c r="B969" s="68" t="n">
        <v>200</v>
      </c>
      <c r="C969" s="68" t="n">
        <v>66</v>
      </c>
      <c r="D969" s="68" t="inlineStr">
        <is>
          <t>HpRatio</t>
        </is>
      </c>
      <c r="E969" s="68" t="n">
        <v>27355000</v>
      </c>
      <c r="F969" s="68" t="inlineStr">
        <is>
          <t>AtkRatio</t>
        </is>
      </c>
      <c r="G969" s="68" t="n">
        <v>19170000</v>
      </c>
      <c r="H969" s="68" t="inlineStr">
        <is>
          <t>DefRatio</t>
        </is>
      </c>
      <c r="I969" s="68">
        <f>G969</f>
        <v/>
      </c>
    </row>
    <row r="970">
      <c r="A970" s="68">
        <f>B970&amp;TEXT(C970,"0000")</f>
        <v/>
      </c>
      <c r="B970" s="68" t="n">
        <v>200</v>
      </c>
      <c r="C970" s="68" t="n">
        <v>67</v>
      </c>
      <c r="D970" s="68" t="inlineStr">
        <is>
          <t>HpRatio</t>
        </is>
      </c>
      <c r="E970" s="68" t="n">
        <v>29139700</v>
      </c>
      <c r="F970" s="68" t="inlineStr">
        <is>
          <t>AtkRatio</t>
        </is>
      </c>
      <c r="G970" s="68" t="n">
        <v>20326000</v>
      </c>
      <c r="H970" s="68" t="inlineStr">
        <is>
          <t>DefRatio</t>
        </is>
      </c>
      <c r="I970" s="68">
        <f>G970</f>
        <v/>
      </c>
    </row>
    <row r="971">
      <c r="A971" s="68">
        <f>B971&amp;TEXT(C971,"0000")</f>
        <v/>
      </c>
      <c r="B971" s="68" t="n">
        <v>200</v>
      </c>
      <c r="C971" s="68" t="n">
        <v>68</v>
      </c>
      <c r="D971" s="68" t="inlineStr">
        <is>
          <t>HpRatio</t>
        </is>
      </c>
      <c r="E971" s="68" t="n">
        <v>31040300</v>
      </c>
      <c r="F971" s="68" t="inlineStr">
        <is>
          <t>AtkRatio</t>
        </is>
      </c>
      <c r="G971" s="68" t="n">
        <v>21551500</v>
      </c>
      <c r="H971" s="68" t="inlineStr">
        <is>
          <t>DefRatio</t>
        </is>
      </c>
      <c r="I971" s="68">
        <f>G971</f>
        <v/>
      </c>
    </row>
    <row r="972">
      <c r="A972" s="68">
        <f>B972&amp;TEXT(C972,"0000")</f>
        <v/>
      </c>
      <c r="B972" s="68" t="n">
        <v>200</v>
      </c>
      <c r="C972" s="68" t="n">
        <v>69</v>
      </c>
      <c r="D972" s="68" t="inlineStr">
        <is>
          <t>HpRatio</t>
        </is>
      </c>
      <c r="E972" s="68" t="n">
        <v>33064300</v>
      </c>
      <c r="F972" s="68" t="inlineStr">
        <is>
          <t>AtkRatio</t>
        </is>
      </c>
      <c r="G972" s="68" t="n">
        <v>22850500</v>
      </c>
      <c r="H972" s="68" t="inlineStr">
        <is>
          <t>DefRatio</t>
        </is>
      </c>
      <c r="I972" s="68">
        <f>G972</f>
        <v/>
      </c>
    </row>
    <row r="973">
      <c r="A973" s="68">
        <f>B973&amp;TEXT(C973,"0000")</f>
        <v/>
      </c>
      <c r="B973" s="68" t="n">
        <v>200</v>
      </c>
      <c r="C973" s="68" t="n">
        <v>70</v>
      </c>
      <c r="D973" s="68" t="inlineStr">
        <is>
          <t>HpRatio</t>
        </is>
      </c>
      <c r="E973" s="68" t="n">
        <v>35220300</v>
      </c>
      <c r="F973" s="68" t="inlineStr">
        <is>
          <t>AtkRatio</t>
        </is>
      </c>
      <c r="G973" s="68" t="n">
        <v>24228000</v>
      </c>
      <c r="H973" s="68" t="inlineStr">
        <is>
          <t>DefRatio</t>
        </is>
      </c>
      <c r="I973" s="68">
        <f>G973</f>
        <v/>
      </c>
    </row>
    <row r="974">
      <c r="A974" s="68">
        <f>B974&amp;TEXT(C974,"0000")</f>
        <v/>
      </c>
      <c r="B974" s="68" t="n">
        <v>200</v>
      </c>
      <c r="C974" s="68" t="n">
        <v>71</v>
      </c>
      <c r="D974" s="68" t="inlineStr">
        <is>
          <t>HpRatio</t>
        </is>
      </c>
      <c r="E974" s="68" t="n">
        <v>37516000</v>
      </c>
      <c r="F974" s="68" t="inlineStr">
        <is>
          <t>AtkRatio</t>
        </is>
      </c>
      <c r="G974" s="68" t="n">
        <v>25687500</v>
      </c>
      <c r="H974" s="68" t="inlineStr">
        <is>
          <t>DefRatio</t>
        </is>
      </c>
      <c r="I974" s="68">
        <f>G974</f>
        <v/>
      </c>
    </row>
    <row r="975">
      <c r="A975" s="68">
        <f>B975&amp;TEXT(C975,"0000")</f>
        <v/>
      </c>
      <c r="B975" s="68" t="n">
        <v>200</v>
      </c>
      <c r="C975" s="68" t="n">
        <v>72</v>
      </c>
      <c r="D975" s="68" t="inlineStr">
        <is>
          <t>HpRatio</t>
        </is>
      </c>
      <c r="E975" s="68" t="n">
        <v>39961000</v>
      </c>
      <c r="F975" s="68" t="inlineStr">
        <is>
          <t>AtkRatio</t>
        </is>
      </c>
      <c r="G975" s="68" t="n">
        <v>27234500</v>
      </c>
      <c r="H975" s="68" t="inlineStr">
        <is>
          <t>DefRatio</t>
        </is>
      </c>
      <c r="I975" s="68">
        <f>G975</f>
        <v/>
      </c>
    </row>
    <row r="976">
      <c r="A976" s="68">
        <f>B976&amp;TEXT(C976,"0000")</f>
        <v/>
      </c>
      <c r="B976" s="68" t="n">
        <v>200</v>
      </c>
      <c r="C976" s="68" t="n">
        <v>73</v>
      </c>
      <c r="D976" s="68" t="inlineStr">
        <is>
          <t>HpRatio</t>
        </is>
      </c>
      <c r="E976" s="68" t="n">
        <v>42565000</v>
      </c>
      <c r="F976" s="68" t="inlineStr">
        <is>
          <t>AtkRatio</t>
        </is>
      </c>
      <c r="G976" s="68" t="n">
        <v>28875000</v>
      </c>
      <c r="H976" s="68" t="inlineStr">
        <is>
          <t>DefRatio</t>
        </is>
      </c>
      <c r="I976" s="68">
        <f>G976</f>
        <v/>
      </c>
    </row>
    <row r="977">
      <c r="A977" s="68">
        <f>B977&amp;TEXT(C977,"0000")</f>
        <v/>
      </c>
      <c r="B977" s="68" t="n">
        <v>200</v>
      </c>
      <c r="C977" s="68" t="n">
        <v>74</v>
      </c>
      <c r="D977" s="68" t="inlineStr">
        <is>
          <t>HpRatio</t>
        </is>
      </c>
      <c r="E977" s="68" t="n">
        <v>45338300</v>
      </c>
      <c r="F977" s="68" t="inlineStr">
        <is>
          <t>AtkRatio</t>
        </is>
      </c>
      <c r="G977" s="68" t="n">
        <v>30613500</v>
      </c>
      <c r="H977" s="68" t="inlineStr">
        <is>
          <t>DefRatio</t>
        </is>
      </c>
      <c r="I977" s="68">
        <f>G977</f>
        <v/>
      </c>
    </row>
    <row r="978">
      <c r="A978" s="68">
        <f>B978&amp;TEXT(C978,"0000")</f>
        <v/>
      </c>
      <c r="B978" s="68" t="n">
        <v>200</v>
      </c>
      <c r="C978" s="68" t="n">
        <v>75</v>
      </c>
      <c r="D978" s="68" t="inlineStr">
        <is>
          <t>HpRatio</t>
        </is>
      </c>
      <c r="E978" s="68" t="n">
        <v>48291700</v>
      </c>
      <c r="F978" s="68" t="inlineStr">
        <is>
          <t>AtkRatio</t>
        </is>
      </c>
      <c r="G978" s="68" t="n">
        <v>32456000</v>
      </c>
      <c r="H978" s="68" t="inlineStr">
        <is>
          <t>DefRatio</t>
        </is>
      </c>
      <c r="I978" s="68">
        <f>G978</f>
        <v/>
      </c>
    </row>
    <row r="979">
      <c r="A979" s="68">
        <f>B979&amp;TEXT(C979,"0000")</f>
        <v/>
      </c>
      <c r="B979" s="68" t="n">
        <v>200</v>
      </c>
      <c r="C979" s="68" t="n">
        <v>76</v>
      </c>
      <c r="D979" s="68" t="inlineStr">
        <is>
          <t>HpRatio</t>
        </is>
      </c>
      <c r="E979" s="68" t="n">
        <v>51437300</v>
      </c>
      <c r="F979" s="68" t="inlineStr">
        <is>
          <t>AtkRatio</t>
        </is>
      </c>
      <c r="G979" s="68" t="n">
        <v>34409500</v>
      </c>
      <c r="H979" s="68" t="inlineStr">
        <is>
          <t>DefRatio</t>
        </is>
      </c>
      <c r="I979" s="68">
        <f>G979</f>
        <v/>
      </c>
    </row>
    <row r="980">
      <c r="A980" s="68">
        <f>B980&amp;TEXT(C980,"0000")</f>
        <v/>
      </c>
      <c r="B980" s="68" t="n">
        <v>200</v>
      </c>
      <c r="C980" s="68" t="n">
        <v>77</v>
      </c>
      <c r="D980" s="68" t="inlineStr">
        <is>
          <t>HpRatio</t>
        </is>
      </c>
      <c r="E980" s="68" t="n">
        <v>54787300</v>
      </c>
      <c r="F980" s="68" t="inlineStr">
        <is>
          <t>AtkRatio</t>
        </is>
      </c>
      <c r="G980" s="68" t="n">
        <v>36135000</v>
      </c>
      <c r="H980" s="68" t="inlineStr">
        <is>
          <t>DefRatio</t>
        </is>
      </c>
      <c r="I980" s="68">
        <f>G980</f>
        <v/>
      </c>
    </row>
    <row r="981">
      <c r="A981" s="68">
        <f>B981&amp;TEXT(C981,"0000")</f>
        <v/>
      </c>
      <c r="B981" s="68" t="n">
        <v>200</v>
      </c>
      <c r="C981" s="68" t="n">
        <v>78</v>
      </c>
      <c r="D981" s="68" t="inlineStr">
        <is>
          <t>HpRatio</t>
        </is>
      </c>
      <c r="E981" s="68" t="n">
        <v>58355000</v>
      </c>
      <c r="F981" s="68" t="inlineStr">
        <is>
          <t>AtkRatio</t>
        </is>
      </c>
      <c r="G981" s="68" t="n">
        <v>37947000</v>
      </c>
      <c r="H981" s="68" t="inlineStr">
        <is>
          <t>DefRatio</t>
        </is>
      </c>
      <c r="I981" s="68">
        <f>G981</f>
        <v/>
      </c>
    </row>
    <row r="982">
      <c r="A982" s="68">
        <f>B982&amp;TEXT(C982,"0000")</f>
        <v/>
      </c>
      <c r="B982" s="68" t="n">
        <v>200</v>
      </c>
      <c r="C982" s="68" t="n">
        <v>79</v>
      </c>
      <c r="D982" s="68" t="inlineStr">
        <is>
          <t>HpRatio</t>
        </is>
      </c>
      <c r="E982" s="68" t="n">
        <v>62154300</v>
      </c>
      <c r="F982" s="68" t="inlineStr">
        <is>
          <t>AtkRatio</t>
        </is>
      </c>
      <c r="G982" s="68" t="n">
        <v>39849000</v>
      </c>
      <c r="H982" s="68" t="inlineStr">
        <is>
          <t>DefRatio</t>
        </is>
      </c>
      <c r="I982" s="68">
        <f>G982</f>
        <v/>
      </c>
    </row>
    <row r="983">
      <c r="A983" s="68">
        <f>B983&amp;TEXT(C983,"0000")</f>
        <v/>
      </c>
      <c r="B983" s="68" t="n">
        <v>200</v>
      </c>
      <c r="C983" s="68" t="n">
        <v>80</v>
      </c>
      <c r="D983" s="68" t="inlineStr">
        <is>
          <t>HpRatio</t>
        </is>
      </c>
      <c r="E983" s="68" t="n">
        <v>66201000</v>
      </c>
      <c r="F983" s="68" t="inlineStr">
        <is>
          <t>AtkRatio</t>
        </is>
      </c>
      <c r="G983" s="68" t="n">
        <v>41846500</v>
      </c>
      <c r="H983" s="68" t="inlineStr">
        <is>
          <t>DefRatio</t>
        </is>
      </c>
      <c r="I983" s="68">
        <f>G983</f>
        <v/>
      </c>
    </row>
    <row r="984">
      <c r="A984" s="68">
        <f>B984&amp;TEXT(C984,"0000")</f>
        <v/>
      </c>
      <c r="B984" s="68" t="n">
        <v>200</v>
      </c>
      <c r="C984" s="68" t="n">
        <v>81</v>
      </c>
      <c r="D984" s="68" t="inlineStr">
        <is>
          <t>HpRatio</t>
        </is>
      </c>
      <c r="E984" s="68" t="n">
        <v>70510700</v>
      </c>
      <c r="F984" s="68" t="inlineStr">
        <is>
          <t>AtkRatio</t>
        </is>
      </c>
      <c r="G984" s="68" t="n">
        <v>43944000</v>
      </c>
      <c r="H984" s="68" t="inlineStr">
        <is>
          <t>DefRatio</t>
        </is>
      </c>
      <c r="I984" s="68">
        <f>G984</f>
        <v/>
      </c>
    </row>
    <row r="985">
      <c r="A985" s="68">
        <f>B985&amp;TEXT(C985,"0000")</f>
        <v/>
      </c>
      <c r="B985" s="68" t="n">
        <v>200</v>
      </c>
      <c r="C985" s="68" t="n">
        <v>82</v>
      </c>
      <c r="D985" s="68" t="inlineStr">
        <is>
          <t>HpRatio</t>
        </is>
      </c>
      <c r="E985" s="68" t="n">
        <v>75100300</v>
      </c>
      <c r="F985" s="68" t="inlineStr">
        <is>
          <t>AtkRatio</t>
        </is>
      </c>
      <c r="G985" s="68" t="n">
        <v>46146000</v>
      </c>
      <c r="H985" s="68" t="inlineStr">
        <is>
          <t>DefRatio</t>
        </is>
      </c>
      <c r="I985" s="68">
        <f>G985</f>
        <v/>
      </c>
    </row>
    <row r="986">
      <c r="A986" s="68">
        <f>B986&amp;TEXT(C986,"0000")</f>
        <v/>
      </c>
      <c r="B986" s="68" t="n">
        <v>200</v>
      </c>
      <c r="C986" s="68" t="n">
        <v>83</v>
      </c>
      <c r="D986" s="68" t="inlineStr">
        <is>
          <t>HpRatio</t>
        </is>
      </c>
      <c r="E986" s="68" t="n">
        <v>79988300</v>
      </c>
      <c r="F986" s="68" t="inlineStr">
        <is>
          <t>AtkRatio</t>
        </is>
      </c>
      <c r="G986" s="68" t="n">
        <v>48458500</v>
      </c>
      <c r="H986" s="68" t="inlineStr">
        <is>
          <t>DefRatio</t>
        </is>
      </c>
      <c r="I986" s="68">
        <f>G986</f>
        <v/>
      </c>
    </row>
    <row r="987">
      <c r="A987" s="68">
        <f>B987&amp;TEXT(C987,"0000")</f>
        <v/>
      </c>
      <c r="B987" s="68" t="n">
        <v>200</v>
      </c>
      <c r="C987" s="68" t="n">
        <v>84</v>
      </c>
      <c r="D987" s="68" t="inlineStr">
        <is>
          <t>HpRatio</t>
        </is>
      </c>
      <c r="E987" s="68" t="n">
        <v>85194000</v>
      </c>
      <c r="F987" s="68" t="inlineStr">
        <is>
          <t>AtkRatio</t>
        </is>
      </c>
      <c r="G987" s="68" t="n">
        <v>50886500</v>
      </c>
      <c r="H987" s="68" t="inlineStr">
        <is>
          <t>DefRatio</t>
        </is>
      </c>
      <c r="I987" s="68">
        <f>G987</f>
        <v/>
      </c>
    </row>
    <row r="988">
      <c r="A988" s="68">
        <f>B988&amp;TEXT(C988,"0000")</f>
        <v/>
      </c>
      <c r="B988" s="68" t="n">
        <v>200</v>
      </c>
      <c r="C988" s="68" t="n">
        <v>85</v>
      </c>
      <c r="D988" s="68" t="inlineStr">
        <is>
          <t>HpRatio</t>
        </is>
      </c>
      <c r="E988" s="68" t="n">
        <v>90738000</v>
      </c>
      <c r="F988" s="68" t="inlineStr">
        <is>
          <t>AtkRatio</t>
        </is>
      </c>
      <c r="G988" s="68" t="n">
        <v>53435500</v>
      </c>
      <c r="H988" s="68" t="inlineStr">
        <is>
          <t>DefRatio</t>
        </is>
      </c>
      <c r="I988" s="68">
        <f>G988</f>
        <v/>
      </c>
    </row>
    <row r="989">
      <c r="A989" s="68">
        <f>B989&amp;TEXT(C989,"0000")</f>
        <v/>
      </c>
      <c r="B989" s="68" t="n">
        <v>200</v>
      </c>
      <c r="C989" s="68" t="n">
        <v>86</v>
      </c>
      <c r="D989" s="68" t="inlineStr">
        <is>
          <t>HpRatio</t>
        </is>
      </c>
      <c r="E989" s="68" t="n">
        <v>96642700</v>
      </c>
      <c r="F989" s="68" t="inlineStr">
        <is>
          <t>AtkRatio</t>
        </is>
      </c>
      <c r="G989" s="68" t="n">
        <v>56112500</v>
      </c>
      <c r="H989" s="68" t="inlineStr">
        <is>
          <t>DefRatio</t>
        </is>
      </c>
      <c r="I989" s="68">
        <f>G989</f>
        <v/>
      </c>
    </row>
    <row r="990">
      <c r="A990" s="68">
        <f>B990&amp;TEXT(C990,"0000")</f>
        <v/>
      </c>
      <c r="B990" s="68" t="n">
        <v>200</v>
      </c>
      <c r="C990" s="68" t="n">
        <v>87</v>
      </c>
      <c r="D990" s="68" t="inlineStr">
        <is>
          <t>HpRatio</t>
        </is>
      </c>
      <c r="E990" s="68" t="n">
        <v>102931000</v>
      </c>
      <c r="F990" s="68" t="inlineStr">
        <is>
          <t>AtkRatio</t>
        </is>
      </c>
      <c r="G990" s="68" t="n">
        <v>58923000</v>
      </c>
      <c r="H990" s="68" t="inlineStr">
        <is>
          <t>DefRatio</t>
        </is>
      </c>
      <c r="I990" s="68">
        <f>G990</f>
        <v/>
      </c>
    </row>
    <row r="991">
      <c r="A991" s="68">
        <f>B991&amp;TEXT(C991,"0000")</f>
        <v/>
      </c>
      <c r="B991" s="68" t="n">
        <v>200</v>
      </c>
      <c r="C991" s="68" t="n">
        <v>88</v>
      </c>
      <c r="D991" s="68" t="inlineStr">
        <is>
          <t>HpRatio</t>
        </is>
      </c>
      <c r="E991" s="68" t="n">
        <v>109628000</v>
      </c>
      <c r="F991" s="68" t="inlineStr">
        <is>
          <t>AtkRatio</t>
        </is>
      </c>
      <c r="G991" s="68" t="n">
        <v>61874500</v>
      </c>
      <c r="H991" s="68" t="inlineStr">
        <is>
          <t>DefRatio</t>
        </is>
      </c>
      <c r="I991" s="68">
        <f>G991</f>
        <v/>
      </c>
    </row>
    <row r="992">
      <c r="A992" s="68">
        <f>B992&amp;TEXT(C992,"0000")</f>
        <v/>
      </c>
      <c r="B992" s="68" t="n">
        <v>200</v>
      </c>
      <c r="C992" s="68" t="n">
        <v>89</v>
      </c>
      <c r="D992" s="68" t="inlineStr">
        <is>
          <t>HpRatio</t>
        </is>
      </c>
      <c r="E992" s="68" t="n">
        <v>116760300</v>
      </c>
      <c r="F992" s="68" t="inlineStr">
        <is>
          <t>AtkRatio</t>
        </is>
      </c>
      <c r="G992" s="68" t="n">
        <v>64973000</v>
      </c>
      <c r="H992" s="68" t="inlineStr">
        <is>
          <t>DefRatio</t>
        </is>
      </c>
      <c r="I992" s="68">
        <f>G992</f>
        <v/>
      </c>
    </row>
    <row r="993">
      <c r="A993" s="68">
        <f>B993&amp;TEXT(C993,"0000")</f>
        <v/>
      </c>
      <c r="B993" s="68" t="n">
        <v>200</v>
      </c>
      <c r="C993" s="68" t="n">
        <v>90</v>
      </c>
      <c r="D993" s="68" t="inlineStr">
        <is>
          <t>HpRatio</t>
        </is>
      </c>
      <c r="E993" s="68" t="n">
        <v>124356300</v>
      </c>
      <c r="F993" s="68" t="inlineStr">
        <is>
          <t>AtkRatio</t>
        </is>
      </c>
      <c r="G993" s="68" t="n">
        <v>68226500</v>
      </c>
      <c r="H993" s="68" t="inlineStr">
        <is>
          <t>DefRatio</t>
        </is>
      </c>
      <c r="I993" s="68">
        <f>G993</f>
        <v/>
      </c>
    </row>
    <row r="994">
      <c r="A994" s="68">
        <f>B994&amp;TEXT(C994,"0000")</f>
        <v/>
      </c>
      <c r="B994" s="68" t="n">
        <v>200</v>
      </c>
      <c r="C994" s="68" t="n">
        <v>91</v>
      </c>
      <c r="D994" s="68" t="inlineStr">
        <is>
          <t>HpRatio</t>
        </is>
      </c>
      <c r="E994" s="68" t="n">
        <v>132446000</v>
      </c>
      <c r="F994" s="68" t="inlineStr">
        <is>
          <t>AtkRatio</t>
        </is>
      </c>
      <c r="G994" s="68" t="n">
        <v>71643000</v>
      </c>
      <c r="H994" s="68" t="inlineStr">
        <is>
          <t>DefRatio</t>
        </is>
      </c>
      <c r="I994" s="68">
        <f>G994</f>
        <v/>
      </c>
    </row>
    <row r="995">
      <c r="A995" s="68">
        <f>B995&amp;TEXT(C995,"0000")</f>
        <v/>
      </c>
      <c r="B995" s="68" t="n">
        <v>200</v>
      </c>
      <c r="C995" s="68" t="n">
        <v>92</v>
      </c>
      <c r="D995" s="68" t="inlineStr">
        <is>
          <t>HpRatio</t>
        </is>
      </c>
      <c r="E995" s="68" t="n">
        <v>141061300</v>
      </c>
      <c r="F995" s="68" t="inlineStr">
        <is>
          <t>AtkRatio</t>
        </is>
      </c>
      <c r="G995" s="68" t="n">
        <v>75230500</v>
      </c>
      <c r="H995" s="68" t="inlineStr">
        <is>
          <t>DefRatio</t>
        </is>
      </c>
      <c r="I995" s="68">
        <f>G995</f>
        <v/>
      </c>
    </row>
    <row r="996">
      <c r="A996" s="68">
        <f>B996&amp;TEXT(C996,"0000")</f>
        <v/>
      </c>
      <c r="B996" s="68" t="n">
        <v>200</v>
      </c>
      <c r="C996" s="68" t="n">
        <v>93</v>
      </c>
      <c r="D996" s="68" t="inlineStr">
        <is>
          <t>HpRatio</t>
        </is>
      </c>
      <c r="E996" s="68" t="n">
        <v>150237000</v>
      </c>
      <c r="F996" s="68" t="inlineStr">
        <is>
          <t>AtkRatio</t>
        </is>
      </c>
      <c r="G996" s="68" t="n">
        <v>78997000</v>
      </c>
      <c r="H996" s="68" t="inlineStr">
        <is>
          <t>DefRatio</t>
        </is>
      </c>
      <c r="I996" s="68">
        <f>G996</f>
        <v/>
      </c>
    </row>
    <row r="997">
      <c r="A997" s="68">
        <f>B997&amp;TEXT(C997,"0000")</f>
        <v/>
      </c>
      <c r="B997" s="68" t="n">
        <v>200</v>
      </c>
      <c r="C997" s="68" t="n">
        <v>94</v>
      </c>
      <c r="D997" s="68" t="inlineStr">
        <is>
          <t>HpRatio</t>
        </is>
      </c>
      <c r="E997" s="68" t="n">
        <v>160008700</v>
      </c>
      <c r="F997" s="68" t="inlineStr">
        <is>
          <t>AtkRatio</t>
        </is>
      </c>
      <c r="G997" s="68" t="n">
        <v>82951500</v>
      </c>
      <c r="H997" s="68" t="inlineStr">
        <is>
          <t>DefRatio</t>
        </is>
      </c>
      <c r="I997" s="68">
        <f>G997</f>
        <v/>
      </c>
    </row>
    <row r="998">
      <c r="A998" s="68">
        <f>B998&amp;TEXT(C998,"0000")</f>
        <v/>
      </c>
      <c r="B998" s="68" t="n">
        <v>200</v>
      </c>
      <c r="C998" s="68" t="n">
        <v>95</v>
      </c>
      <c r="D998" s="68" t="inlineStr">
        <is>
          <t>HpRatio</t>
        </is>
      </c>
      <c r="E998" s="68" t="n">
        <v>170416000</v>
      </c>
      <c r="F998" s="68" t="inlineStr">
        <is>
          <t>AtkRatio</t>
        </is>
      </c>
      <c r="G998" s="68" t="n">
        <v>87104000</v>
      </c>
      <c r="H998" s="68" t="inlineStr">
        <is>
          <t>DefRatio</t>
        </is>
      </c>
      <c r="I998" s="68">
        <f>G998</f>
        <v/>
      </c>
    </row>
    <row r="999">
      <c r="A999" s="68">
        <f>B999&amp;TEXT(C999,"0000")</f>
        <v/>
      </c>
      <c r="B999" s="68" t="n">
        <v>200</v>
      </c>
      <c r="C999" s="68" t="n">
        <v>96</v>
      </c>
      <c r="D999" s="68" t="inlineStr">
        <is>
          <t>HpRatio</t>
        </is>
      </c>
      <c r="E999" s="68" t="n">
        <v>181499300</v>
      </c>
      <c r="F999" s="68" t="inlineStr">
        <is>
          <t>AtkRatio</t>
        </is>
      </c>
      <c r="G999" s="68" t="n">
        <v>91464500</v>
      </c>
      <c r="H999" s="68" t="inlineStr">
        <is>
          <t>DefRatio</t>
        </is>
      </c>
      <c r="I999" s="68">
        <f>G999</f>
        <v/>
      </c>
    </row>
    <row r="1000">
      <c r="A1000" s="68">
        <f>B1000&amp;TEXT(C1000,"0000")</f>
        <v/>
      </c>
      <c r="B1000" s="68" t="n">
        <v>200</v>
      </c>
      <c r="C1000" s="68" t="n">
        <v>97</v>
      </c>
      <c r="D1000" s="68" t="inlineStr">
        <is>
          <t>HpRatio</t>
        </is>
      </c>
      <c r="E1000" s="68" t="n">
        <v>193303300</v>
      </c>
      <c r="F1000" s="68" t="inlineStr">
        <is>
          <t>AtkRatio</t>
        </is>
      </c>
      <c r="G1000" s="68" t="n">
        <v>96958500</v>
      </c>
      <c r="H1000" s="68" t="inlineStr">
        <is>
          <t>DefRatio</t>
        </is>
      </c>
      <c r="I1000" s="68">
        <f>G1000</f>
        <v/>
      </c>
    </row>
    <row r="1001">
      <c r="A1001" s="68">
        <f>B1001&amp;TEXT(C1001,"0000")</f>
        <v/>
      </c>
      <c r="B1001" s="68" t="n">
        <v>200</v>
      </c>
      <c r="C1001" s="68" t="n">
        <v>98</v>
      </c>
      <c r="D1001" s="68" t="inlineStr">
        <is>
          <t>HpRatio</t>
        </is>
      </c>
      <c r="E1001" s="68" t="n">
        <v>205874700</v>
      </c>
      <c r="F1001" s="68" t="inlineStr">
        <is>
          <t>AtkRatio</t>
        </is>
      </c>
      <c r="G1001" s="68" t="n">
        <v>98899500</v>
      </c>
      <c r="H1001" s="68" t="inlineStr">
        <is>
          <t>DefRatio</t>
        </is>
      </c>
      <c r="I1001" s="68">
        <f>G1001</f>
        <v/>
      </c>
    </row>
    <row r="1002">
      <c r="A1002" s="68">
        <f>B1002&amp;TEXT(C1002,"0000")</f>
        <v/>
      </c>
      <c r="B1002" s="68" t="n">
        <v>200</v>
      </c>
      <c r="C1002" s="68" t="n">
        <v>99</v>
      </c>
      <c r="D1002" s="68" t="inlineStr">
        <is>
          <t>HpRatio</t>
        </is>
      </c>
      <c r="E1002" s="68" t="n">
        <v>219263000</v>
      </c>
      <c r="F1002" s="68" t="inlineStr">
        <is>
          <t>AtkRatio</t>
        </is>
      </c>
      <c r="G1002" s="68" t="n">
        <v>100879500</v>
      </c>
      <c r="H1002" s="68" t="inlineStr">
        <is>
          <t>DefRatio</t>
        </is>
      </c>
      <c r="I1002" s="68">
        <f>G1002</f>
        <v/>
      </c>
    </row>
    <row r="1003">
      <c r="A1003" s="68">
        <f>B1003&amp;TEXT(C1003,"0000")</f>
        <v/>
      </c>
      <c r="B1003" s="68" t="n">
        <v>200</v>
      </c>
      <c r="C1003" s="68" t="n">
        <v>100</v>
      </c>
      <c r="D1003" s="68" t="inlineStr">
        <is>
          <t>HpRatio</t>
        </is>
      </c>
      <c r="E1003" s="68" t="n">
        <v>233521700</v>
      </c>
      <c r="F1003" s="68" t="inlineStr">
        <is>
          <t>AtkRatio</t>
        </is>
      </c>
      <c r="G1003" s="68" t="n">
        <v>102899000</v>
      </c>
      <c r="H1003" s="68" t="inlineStr">
        <is>
          <t>DefRatio</t>
        </is>
      </c>
      <c r="I1003" s="68">
        <f>G1003</f>
        <v/>
      </c>
    </row>
    <row r="1004">
      <c r="A1004" s="68">
        <f>B1004&amp;TEXT(C1004,"0000")</f>
        <v/>
      </c>
      <c r="B1004" s="68" t="n">
        <v>200</v>
      </c>
      <c r="C1004" s="68" t="n">
        <v>101</v>
      </c>
      <c r="D1004" s="68" t="inlineStr">
        <is>
          <t>HpRatio</t>
        </is>
      </c>
      <c r="E1004" s="68" t="n">
        <v>248707000</v>
      </c>
      <c r="F1004" s="68" t="inlineStr">
        <is>
          <t>AtkRatio</t>
        </is>
      </c>
      <c r="G1004" s="68" t="n">
        <v>104959000</v>
      </c>
      <c r="H1004" s="68" t="inlineStr">
        <is>
          <t>DefRatio</t>
        </is>
      </c>
      <c r="I1004" s="68">
        <f>G1004</f>
        <v/>
      </c>
    </row>
    <row r="1005">
      <c r="A1005" s="68">
        <f>B1005&amp;TEXT(C1005,"0000")</f>
        <v/>
      </c>
      <c r="B1005" s="68" t="n">
        <v>200</v>
      </c>
      <c r="C1005" s="68" t="n">
        <v>102</v>
      </c>
      <c r="D1005" s="68" t="inlineStr">
        <is>
          <t>HpRatio</t>
        </is>
      </c>
      <c r="E1005" s="68" t="n">
        <v>264879300</v>
      </c>
      <c r="F1005" s="68" t="inlineStr">
        <is>
          <t>AtkRatio</t>
        </is>
      </c>
      <c r="G1005" s="68" t="n">
        <v>107060500</v>
      </c>
      <c r="H1005" s="68" t="inlineStr">
        <is>
          <t>DefRatio</t>
        </is>
      </c>
      <c r="I1005" s="68">
        <f>G1005</f>
        <v/>
      </c>
    </row>
    <row r="1006">
      <c r="A1006" s="68">
        <f>B1006&amp;TEXT(C1006,"0000")</f>
        <v/>
      </c>
      <c r="B1006" s="68" t="n">
        <v>200</v>
      </c>
      <c r="C1006" s="68" t="n">
        <v>103</v>
      </c>
      <c r="D1006" s="68" t="inlineStr">
        <is>
          <t>HpRatio</t>
        </is>
      </c>
      <c r="E1006" s="68" t="n">
        <v>282103000</v>
      </c>
      <c r="F1006" s="68" t="inlineStr">
        <is>
          <t>AtkRatio</t>
        </is>
      </c>
      <c r="G1006" s="68" t="n">
        <v>109203500</v>
      </c>
      <c r="H1006" s="68" t="inlineStr">
        <is>
          <t>DefRatio</t>
        </is>
      </c>
      <c r="I1006" s="68">
        <f>G1006</f>
        <v/>
      </c>
    </row>
    <row r="1007">
      <c r="A1007" s="68">
        <f>B1007&amp;TEXT(C1007,"0000")</f>
        <v/>
      </c>
      <c r="B1007" s="68" t="n">
        <v>200</v>
      </c>
      <c r="C1007" s="68" t="n">
        <v>104</v>
      </c>
      <c r="D1007" s="68" t="inlineStr">
        <is>
          <t>HpRatio</t>
        </is>
      </c>
      <c r="E1007" s="68" t="n">
        <v>300446300</v>
      </c>
      <c r="F1007" s="68" t="inlineStr">
        <is>
          <t>AtkRatio</t>
        </is>
      </c>
      <c r="G1007" s="68" t="n">
        <v>111389500</v>
      </c>
      <c r="H1007" s="68" t="inlineStr">
        <is>
          <t>DefRatio</t>
        </is>
      </c>
      <c r="I1007" s="68">
        <f>G1007</f>
        <v/>
      </c>
    </row>
    <row r="1008">
      <c r="A1008" s="68">
        <f>B1008&amp;TEXT(C1008,"0000")</f>
        <v/>
      </c>
      <c r="B1008" s="68" t="n">
        <v>200</v>
      </c>
      <c r="C1008" s="68" t="n">
        <v>105</v>
      </c>
      <c r="D1008" s="68" t="inlineStr">
        <is>
          <t>HpRatio</t>
        </is>
      </c>
      <c r="E1008" s="68" t="n">
        <v>319982000</v>
      </c>
      <c r="F1008" s="68" t="inlineStr">
        <is>
          <t>AtkRatio</t>
        </is>
      </c>
      <c r="G1008" s="68" t="n">
        <v>113619500</v>
      </c>
      <c r="H1008" s="68" t="inlineStr">
        <is>
          <t>DefRatio</t>
        </is>
      </c>
      <c r="I1008" s="68">
        <f>G1008</f>
        <v/>
      </c>
    </row>
    <row r="1009">
      <c r="A1009" s="68">
        <f>B1009&amp;TEXT(C1009,"0000")</f>
        <v/>
      </c>
      <c r="B1009" s="68" t="n">
        <v>200</v>
      </c>
      <c r="C1009" s="68" t="n">
        <v>106</v>
      </c>
      <c r="D1009" s="68" t="inlineStr">
        <is>
          <t>HpRatio</t>
        </is>
      </c>
      <c r="E1009" s="68" t="n">
        <v>340787300</v>
      </c>
      <c r="F1009" s="68" t="inlineStr">
        <is>
          <t>AtkRatio</t>
        </is>
      </c>
      <c r="G1009" s="68" t="n">
        <v>115893500</v>
      </c>
      <c r="H1009" s="68" t="inlineStr">
        <is>
          <t>DefRatio</t>
        </is>
      </c>
      <c r="I1009" s="68">
        <f>G1009</f>
        <v/>
      </c>
    </row>
    <row r="1010">
      <c r="A1010" s="68">
        <f>B1010&amp;TEXT(C1010,"0000")</f>
        <v/>
      </c>
      <c r="B1010" s="68" t="n">
        <v>200</v>
      </c>
      <c r="C1010" s="68" t="n">
        <v>107</v>
      </c>
      <c r="D1010" s="68" t="inlineStr">
        <is>
          <t>HpRatio</t>
        </is>
      </c>
      <c r="E1010" s="68" t="n">
        <v>362945000</v>
      </c>
      <c r="F1010" s="68" t="inlineStr">
        <is>
          <t>AtkRatio</t>
        </is>
      </c>
      <c r="G1010" s="68" t="n">
        <v>118213500</v>
      </c>
      <c r="H1010" s="68" t="inlineStr">
        <is>
          <t>DefRatio</t>
        </is>
      </c>
      <c r="I1010" s="68">
        <f>G1010</f>
        <v/>
      </c>
    </row>
    <row r="1011">
      <c r="A1011" s="68">
        <f>B1011&amp;TEXT(C1011,"0000")</f>
        <v/>
      </c>
      <c r="B1011" s="68" t="n">
        <v>200</v>
      </c>
      <c r="C1011" s="68" t="n">
        <v>108</v>
      </c>
      <c r="D1011" s="68" t="inlineStr">
        <is>
          <t>HpRatio</t>
        </is>
      </c>
      <c r="E1011" s="68" t="n">
        <v>386542700</v>
      </c>
      <c r="F1011" s="68" t="inlineStr">
        <is>
          <t>AtkRatio</t>
        </is>
      </c>
      <c r="G1011" s="68" t="n">
        <v>120580000</v>
      </c>
      <c r="H1011" s="68" t="inlineStr">
        <is>
          <t>DefRatio</t>
        </is>
      </c>
      <c r="I1011" s="68">
        <f>G1011</f>
        <v/>
      </c>
    </row>
    <row r="1012">
      <c r="A1012" s="68">
        <f>B1012&amp;TEXT(C1012,"0000")</f>
        <v/>
      </c>
      <c r="B1012" s="68" t="n">
        <v>200</v>
      </c>
      <c r="C1012" s="68" t="n">
        <v>109</v>
      </c>
      <c r="D1012" s="68" t="inlineStr">
        <is>
          <t>HpRatio</t>
        </is>
      </c>
      <c r="E1012" s="68" t="n">
        <v>411674700</v>
      </c>
      <c r="F1012" s="68" t="inlineStr">
        <is>
          <t>AtkRatio</t>
        </is>
      </c>
      <c r="G1012" s="68" t="n">
        <v>122993500</v>
      </c>
      <c r="H1012" s="68" t="inlineStr">
        <is>
          <t>DefRatio</t>
        </is>
      </c>
      <c r="I1012" s="68">
        <f>G1012</f>
        <v/>
      </c>
    </row>
    <row r="1013">
      <c r="A1013" s="68">
        <f>B1013&amp;TEXT(C1013,"0000")</f>
        <v/>
      </c>
      <c r="B1013" s="68" t="n">
        <v>200</v>
      </c>
      <c r="C1013" s="68" t="n">
        <v>110</v>
      </c>
      <c r="D1013" s="68" t="inlineStr">
        <is>
          <t>HpRatio</t>
        </is>
      </c>
      <c r="E1013" s="68" t="n">
        <v>438440000</v>
      </c>
      <c r="F1013" s="68" t="inlineStr">
        <is>
          <t>AtkRatio</t>
        </is>
      </c>
      <c r="G1013" s="68" t="n">
        <v>125455500</v>
      </c>
      <c r="H1013" s="68" t="inlineStr">
        <is>
          <t>DefRatio</t>
        </is>
      </c>
      <c r="I1013" s="68">
        <f>G1013</f>
        <v/>
      </c>
    </row>
    <row r="1014">
      <c r="A1014" s="68">
        <f>B1014&amp;TEXT(C1014,"0000")</f>
        <v/>
      </c>
      <c r="B1014" s="68" t="n">
        <v>200</v>
      </c>
      <c r="C1014" s="68" t="n">
        <v>111</v>
      </c>
      <c r="D1014" s="68" t="inlineStr">
        <is>
          <t>HpRatio</t>
        </is>
      </c>
      <c r="E1014" s="68" t="n">
        <v>466945000</v>
      </c>
      <c r="F1014" s="68" t="inlineStr">
        <is>
          <t>AtkRatio</t>
        </is>
      </c>
      <c r="G1014" s="68" t="n">
        <v>127966500</v>
      </c>
      <c r="H1014" s="68" t="inlineStr">
        <is>
          <t>DefRatio</t>
        </is>
      </c>
      <c r="I1014" s="68">
        <f>G1014</f>
        <v/>
      </c>
    </row>
    <row r="1015">
      <c r="A1015" s="68">
        <f>B1015&amp;TEXT(C1015,"0000")</f>
        <v/>
      </c>
      <c r="B1015" s="68" t="n">
        <v>200</v>
      </c>
      <c r="C1015" s="68" t="n">
        <v>112</v>
      </c>
      <c r="D1015" s="68" t="inlineStr">
        <is>
          <t>HpRatio</t>
        </is>
      </c>
      <c r="E1015" s="68" t="n">
        <v>497303000</v>
      </c>
      <c r="F1015" s="68" t="inlineStr">
        <is>
          <t>AtkRatio</t>
        </is>
      </c>
      <c r="G1015" s="68" t="n">
        <v>130528000</v>
      </c>
      <c r="H1015" s="68" t="inlineStr">
        <is>
          <t>DefRatio</t>
        </is>
      </c>
      <c r="I1015" s="68">
        <f>G1015</f>
        <v/>
      </c>
    </row>
    <row r="1016">
      <c r="A1016" s="68">
        <f>B1016&amp;TEXT(C1016,"0000")</f>
        <v/>
      </c>
      <c r="B1016" s="68" t="n">
        <v>200</v>
      </c>
      <c r="C1016" s="68" t="n">
        <v>113</v>
      </c>
      <c r="D1016" s="68" t="inlineStr">
        <is>
          <t>HpRatio</t>
        </is>
      </c>
      <c r="E1016" s="68" t="n">
        <v>529634300</v>
      </c>
      <c r="F1016" s="68" t="inlineStr">
        <is>
          <t>AtkRatio</t>
        </is>
      </c>
      <c r="G1016" s="68" t="n">
        <v>133140500</v>
      </c>
      <c r="H1016" s="68" t="inlineStr">
        <is>
          <t>DefRatio</t>
        </is>
      </c>
      <c r="I1016" s="68">
        <f>G1016</f>
        <v/>
      </c>
    </row>
    <row r="1017">
      <c r="A1017" s="68">
        <f>B1017&amp;TEXT(C1017,"0000")</f>
        <v/>
      </c>
      <c r="B1017" s="68" t="n">
        <v>200</v>
      </c>
      <c r="C1017" s="68" t="n">
        <v>114</v>
      </c>
      <c r="D1017" s="68" t="inlineStr">
        <is>
          <t>HpRatio</t>
        </is>
      </c>
      <c r="E1017" s="68" t="n">
        <v>564067000</v>
      </c>
      <c r="F1017" s="68" t="inlineStr">
        <is>
          <t>AtkRatio</t>
        </is>
      </c>
      <c r="G1017" s="68" t="n">
        <v>135805000</v>
      </c>
      <c r="H1017" s="68" t="inlineStr">
        <is>
          <t>DefRatio</t>
        </is>
      </c>
      <c r="I1017" s="68">
        <f>G1017</f>
        <v/>
      </c>
    </row>
    <row r="1018">
      <c r="A1018" s="68">
        <f>B1018&amp;TEXT(C1018,"0000")</f>
        <v/>
      </c>
      <c r="B1018" s="68" t="n">
        <v>200</v>
      </c>
      <c r="C1018" s="68" t="n">
        <v>115</v>
      </c>
      <c r="D1018" s="68" t="inlineStr">
        <is>
          <t>HpRatio</t>
        </is>
      </c>
      <c r="E1018" s="68" t="n">
        <v>600737700</v>
      </c>
      <c r="F1018" s="68" t="inlineStr">
        <is>
          <t>AtkRatio</t>
        </is>
      </c>
      <c r="G1018" s="68" t="n">
        <v>138523500</v>
      </c>
      <c r="H1018" s="68" t="inlineStr">
        <is>
          <t>DefRatio</t>
        </is>
      </c>
      <c r="I1018" s="68">
        <f>G1018</f>
        <v/>
      </c>
    </row>
    <row r="1019">
      <c r="A1019" s="68">
        <f>B1019&amp;TEXT(C1019,"0000")</f>
        <v/>
      </c>
      <c r="B1019" s="68" t="n">
        <v>200</v>
      </c>
      <c r="C1019" s="68" t="n">
        <v>116</v>
      </c>
      <c r="D1019" s="68" t="inlineStr">
        <is>
          <t>HpRatio</t>
        </is>
      </c>
      <c r="E1019" s="68" t="n">
        <v>639792300</v>
      </c>
      <c r="F1019" s="68" t="inlineStr">
        <is>
          <t>AtkRatio</t>
        </is>
      </c>
      <c r="G1019" s="68" t="n">
        <v>141296000</v>
      </c>
      <c r="H1019" s="68" t="inlineStr">
        <is>
          <t>DefRatio</t>
        </is>
      </c>
      <c r="I1019" s="68">
        <f>G1019</f>
        <v/>
      </c>
    </row>
    <row r="1020">
      <c r="A1020" s="68">
        <f>B1020&amp;TEXT(C1020,"0000")</f>
        <v/>
      </c>
      <c r="B1020" s="68" t="n">
        <v>200</v>
      </c>
      <c r="C1020" s="68" t="n">
        <v>117</v>
      </c>
      <c r="D1020" s="68" t="inlineStr">
        <is>
          <t>HpRatio</t>
        </is>
      </c>
      <c r="E1020" s="68" t="n">
        <v>681385300</v>
      </c>
      <c r="F1020" s="68" t="inlineStr">
        <is>
          <t>AtkRatio</t>
        </is>
      </c>
      <c r="G1020" s="68" t="n">
        <v>144123500</v>
      </c>
      <c r="H1020" s="68" t="inlineStr">
        <is>
          <t>DefRatio</t>
        </is>
      </c>
      <c r="I1020" s="68">
        <f>G1020</f>
        <v/>
      </c>
    </row>
    <row r="1021">
      <c r="A1021" s="68">
        <f>B1021&amp;TEXT(C1021,"0000")</f>
        <v/>
      </c>
      <c r="B1021" s="68" t="n">
        <v>200</v>
      </c>
      <c r="C1021" s="68" t="n">
        <v>118</v>
      </c>
      <c r="D1021" s="68" t="inlineStr">
        <is>
          <t>HpRatio</t>
        </is>
      </c>
      <c r="E1021" s="68" t="n">
        <v>725681700</v>
      </c>
      <c r="F1021" s="68" t="inlineStr">
        <is>
          <t>AtkRatio</t>
        </is>
      </c>
      <c r="G1021" s="68" t="n">
        <v>147008000</v>
      </c>
      <c r="H1021" s="68" t="inlineStr">
        <is>
          <t>DefRatio</t>
        </is>
      </c>
      <c r="I1021" s="68">
        <f>G1021</f>
        <v/>
      </c>
    </row>
    <row r="1022">
      <c r="A1022" s="68">
        <f>B1022&amp;TEXT(C1022,"0000")</f>
        <v/>
      </c>
      <c r="B1022" s="68" t="n">
        <v>200</v>
      </c>
      <c r="C1022" s="68" t="n">
        <v>119</v>
      </c>
      <c r="D1022" s="68" t="inlineStr">
        <is>
          <t>HpRatio</t>
        </is>
      </c>
      <c r="E1022" s="68" t="n">
        <v>772857700</v>
      </c>
      <c r="F1022" s="68" t="inlineStr">
        <is>
          <t>AtkRatio</t>
        </is>
      </c>
      <c r="G1022" s="68" t="n">
        <v>149950500</v>
      </c>
      <c r="H1022" s="68" t="inlineStr">
        <is>
          <t>DefRatio</t>
        </is>
      </c>
      <c r="I1022" s="68">
        <f>G1022</f>
        <v/>
      </c>
    </row>
    <row r="1023">
      <c r="A1023" s="68">
        <f>B1023&amp;TEXT(C1023,"0000")</f>
        <v/>
      </c>
      <c r="B1023" s="68" t="n">
        <v>200</v>
      </c>
      <c r="C1023" s="68" t="n">
        <v>120</v>
      </c>
      <c r="D1023" s="68" t="inlineStr">
        <is>
          <t>HpRatio</t>
        </is>
      </c>
      <c r="E1023" s="68" t="n">
        <v>823100000</v>
      </c>
      <c r="F1023" s="68" t="inlineStr">
        <is>
          <t>AtkRatio</t>
        </is>
      </c>
      <c r="G1023" s="68" t="n">
        <v>152951500</v>
      </c>
      <c r="H1023" s="68" t="inlineStr">
        <is>
          <t>DefRatio</t>
        </is>
      </c>
      <c r="I1023" s="68">
        <f>G1023</f>
        <v/>
      </c>
    </row>
    <row r="1024">
      <c r="A1024" s="68">
        <f>B1024&amp;TEXT(C1024,"0000")</f>
        <v/>
      </c>
      <c r="B1024" s="68" t="n">
        <v>200</v>
      </c>
      <c r="C1024" s="68" t="n">
        <v>121</v>
      </c>
      <c r="D1024" s="68" t="inlineStr">
        <is>
          <t>HpRatio</t>
        </is>
      </c>
      <c r="E1024" s="68" t="n">
        <v>876608000</v>
      </c>
      <c r="F1024" s="68" t="inlineStr">
        <is>
          <t>AtkRatio</t>
        </is>
      </c>
      <c r="G1024" s="68" t="n">
        <v>156012500</v>
      </c>
      <c r="H1024" s="68" t="inlineStr">
        <is>
          <t>DefRatio</t>
        </is>
      </c>
      <c r="I1024" s="68">
        <f>G1024</f>
        <v/>
      </c>
    </row>
    <row r="1025">
      <c r="A1025" s="68">
        <f>B1025&amp;TEXT(C1025,"0000")</f>
        <v/>
      </c>
      <c r="B1025" s="68" t="n">
        <v>200</v>
      </c>
      <c r="C1025" s="68" t="n">
        <v>122</v>
      </c>
      <c r="D1025" s="68" t="inlineStr">
        <is>
          <t>HpRatio</t>
        </is>
      </c>
      <c r="E1025" s="68" t="n">
        <v>933594000</v>
      </c>
      <c r="F1025" s="68" t="inlineStr">
        <is>
          <t>AtkRatio</t>
        </is>
      </c>
      <c r="G1025" s="68" t="n">
        <v>159134500</v>
      </c>
      <c r="H1025" s="68" t="inlineStr">
        <is>
          <t>DefRatio</t>
        </is>
      </c>
      <c r="I1025" s="68">
        <f>G1025</f>
        <v/>
      </c>
    </row>
    <row r="1026">
      <c r="A1026" s="68">
        <f>B1026&amp;TEXT(C1026,"0000")</f>
        <v/>
      </c>
      <c r="B1026" s="68" t="n">
        <v>200</v>
      </c>
      <c r="C1026" s="68" t="n">
        <v>123</v>
      </c>
      <c r="D1026" s="68" t="inlineStr">
        <is>
          <t>HpRatio</t>
        </is>
      </c>
      <c r="E1026" s="68" t="n">
        <v>994284000</v>
      </c>
      <c r="F1026" s="68" t="inlineStr">
        <is>
          <t>AtkRatio</t>
        </is>
      </c>
      <c r="G1026" s="68" t="n">
        <v>162319500</v>
      </c>
      <c r="H1026" s="68" t="inlineStr">
        <is>
          <t>DefRatio</t>
        </is>
      </c>
      <c r="I1026" s="68">
        <f>G1026</f>
        <v/>
      </c>
    </row>
    <row r="1027">
      <c r="A1027" s="68">
        <f>B1027&amp;TEXT(C1027,"0000")</f>
        <v/>
      </c>
      <c r="B1027" s="68" t="n">
        <v>200</v>
      </c>
      <c r="C1027" s="68" t="n">
        <v>124</v>
      </c>
      <c r="D1027" s="68" t="inlineStr">
        <is>
          <t>HpRatio</t>
        </is>
      </c>
      <c r="E1027" s="68" t="n">
        <v>1058919000</v>
      </c>
      <c r="F1027" s="68" t="inlineStr">
        <is>
          <t>AtkRatio</t>
        </is>
      </c>
      <c r="G1027" s="68" t="n">
        <v>165567500</v>
      </c>
      <c r="H1027" s="68" t="inlineStr">
        <is>
          <t>DefRatio</t>
        </is>
      </c>
      <c r="I1027" s="68">
        <f>G1027</f>
        <v/>
      </c>
    </row>
    <row r="1028">
      <c r="A1028" s="68">
        <f>B1028&amp;TEXT(C1028,"0000")</f>
        <v/>
      </c>
      <c r="B1028" s="68" t="n">
        <v>200</v>
      </c>
      <c r="C1028" s="68" t="n">
        <v>125</v>
      </c>
      <c r="D1028" s="68" t="inlineStr">
        <is>
          <t>HpRatio</t>
        </is>
      </c>
      <c r="E1028" s="68" t="n">
        <v>1127755300</v>
      </c>
      <c r="F1028" s="68" t="inlineStr">
        <is>
          <t>AtkRatio</t>
        </is>
      </c>
      <c r="G1028" s="68" t="n">
        <v>168881000</v>
      </c>
      <c r="H1028" s="68" t="inlineStr">
        <is>
          <t>DefRatio</t>
        </is>
      </c>
      <c r="I1028" s="68">
        <f>G1028</f>
        <v/>
      </c>
    </row>
    <row r="1029">
      <c r="A1029" s="68">
        <f>B1029&amp;TEXT(C1029,"0000")</f>
        <v/>
      </c>
      <c r="B1029" s="68" t="n">
        <v>200</v>
      </c>
      <c r="C1029" s="68" t="n">
        <v>126</v>
      </c>
      <c r="D1029" s="68" t="inlineStr">
        <is>
          <t>HpRatio</t>
        </is>
      </c>
      <c r="E1029" s="68" t="n">
        <v>1201066000</v>
      </c>
      <c r="F1029" s="68" t="inlineStr">
        <is>
          <t>AtkRatio</t>
        </is>
      </c>
      <c r="G1029" s="68" t="n">
        <v>172260500</v>
      </c>
      <c r="H1029" s="68" t="inlineStr">
        <is>
          <t>DefRatio</t>
        </is>
      </c>
      <c r="I1029" s="68">
        <f>G1029</f>
        <v/>
      </c>
    </row>
    <row r="1030">
      <c r="A1030" s="68">
        <f>B1030&amp;TEXT(C1030,"0000")</f>
        <v/>
      </c>
      <c r="B1030" s="68" t="n">
        <v>200</v>
      </c>
      <c r="C1030" s="68" t="n">
        <v>127</v>
      </c>
      <c r="D1030" s="68" t="inlineStr">
        <is>
          <t>HpRatio</t>
        </is>
      </c>
      <c r="E1030" s="68" t="n">
        <v>1279141700</v>
      </c>
      <c r="F1030" s="68" t="inlineStr">
        <is>
          <t>AtkRatio</t>
        </is>
      </c>
      <c r="G1030" s="68" t="n">
        <v>175708000</v>
      </c>
      <c r="H1030" s="68" t="inlineStr">
        <is>
          <t>DefRatio</t>
        </is>
      </c>
      <c r="I1030" s="68">
        <f>G1030</f>
        <v/>
      </c>
    </row>
    <row r="1031">
      <c r="A1031" s="68">
        <f>B1031&amp;TEXT(C1031,"0000")</f>
        <v/>
      </c>
      <c r="B1031" s="68" t="n">
        <v>200</v>
      </c>
      <c r="C1031" s="68" t="n">
        <v>128</v>
      </c>
      <c r="D1031" s="68" t="inlineStr">
        <is>
          <t>HpRatio</t>
        </is>
      </c>
      <c r="E1031" s="68" t="n">
        <v>1330311300</v>
      </c>
      <c r="F1031" s="68" t="inlineStr">
        <is>
          <t>AtkRatio</t>
        </is>
      </c>
      <c r="G1031" s="68" t="n">
        <v>179224000</v>
      </c>
      <c r="H1031" s="68" t="inlineStr">
        <is>
          <t>DefRatio</t>
        </is>
      </c>
      <c r="I1031" s="68">
        <f>G1031</f>
        <v/>
      </c>
    </row>
    <row r="1032">
      <c r="A1032" s="68">
        <f>B1032&amp;TEXT(C1032,"0000")</f>
        <v/>
      </c>
      <c r="B1032" s="68" t="n">
        <v>200</v>
      </c>
      <c r="C1032" s="68" t="n">
        <v>129</v>
      </c>
      <c r="D1032" s="68" t="inlineStr">
        <is>
          <t>HpRatio</t>
        </is>
      </c>
      <c r="E1032" s="68" t="n">
        <v>1383527700</v>
      </c>
      <c r="F1032" s="68" t="inlineStr">
        <is>
          <t>AtkRatio</t>
        </is>
      </c>
      <c r="G1032" s="68" t="n">
        <v>182810500</v>
      </c>
      <c r="H1032" s="68" t="inlineStr">
        <is>
          <t>DefRatio</t>
        </is>
      </c>
      <c r="I1032" s="68">
        <f>G1032</f>
        <v/>
      </c>
    </row>
    <row r="1033">
      <c r="A1033" s="68">
        <f>B1033&amp;TEXT(C1033,"0000")</f>
        <v/>
      </c>
      <c r="B1033" s="68" t="n">
        <v>200</v>
      </c>
      <c r="C1033" s="68" t="n">
        <v>130</v>
      </c>
      <c r="D1033" s="68" t="inlineStr">
        <is>
          <t>HpRatio</t>
        </is>
      </c>
      <c r="E1033" s="68" t="n">
        <v>1438873000</v>
      </c>
      <c r="F1033" s="68" t="inlineStr">
        <is>
          <t>AtkRatio</t>
        </is>
      </c>
      <c r="G1033" s="68" t="n">
        <v>186469000</v>
      </c>
      <c r="H1033" s="68" t="inlineStr">
        <is>
          <t>DefRatio</t>
        </is>
      </c>
      <c r="I1033" s="68">
        <f>G1033</f>
        <v/>
      </c>
    </row>
    <row r="1034">
      <c r="A1034" s="68">
        <f>B1034&amp;TEXT(C1034,"0000")</f>
        <v/>
      </c>
      <c r="B1034" s="68" t="n">
        <v>200</v>
      </c>
      <c r="C1034" s="68" t="n">
        <v>131</v>
      </c>
      <c r="D1034" s="68" t="inlineStr">
        <is>
          <t>HpRatio</t>
        </is>
      </c>
      <c r="E1034" s="68" t="n">
        <v>1496431700</v>
      </c>
      <c r="F1034" s="68" t="inlineStr">
        <is>
          <t>AtkRatio</t>
        </is>
      </c>
      <c r="G1034" s="68" t="n">
        <v>190200000</v>
      </c>
      <c r="H1034" s="68" t="inlineStr">
        <is>
          <t>DefRatio</t>
        </is>
      </c>
      <c r="I1034" s="68">
        <f>G1034</f>
        <v/>
      </c>
    </row>
    <row r="1035">
      <c r="A1035" s="68">
        <f>B1035&amp;TEXT(C1035,"0000")</f>
        <v/>
      </c>
      <c r="B1035" s="68" t="n">
        <v>200</v>
      </c>
      <c r="C1035" s="68" t="n">
        <v>132</v>
      </c>
      <c r="D1035" s="68" t="inlineStr">
        <is>
          <t>HpRatio</t>
        </is>
      </c>
      <c r="E1035" s="68" t="n">
        <v>1556293000</v>
      </c>
      <c r="F1035" s="68" t="inlineStr">
        <is>
          <t>AtkRatio</t>
        </is>
      </c>
      <c r="G1035" s="68" t="n">
        <v>194006000</v>
      </c>
      <c r="H1035" s="68" t="inlineStr">
        <is>
          <t>DefRatio</t>
        </is>
      </c>
      <c r="I1035" s="68">
        <f>G1035</f>
        <v/>
      </c>
    </row>
    <row r="1036">
      <c r="A1036" s="68">
        <f>B1036&amp;TEXT(C1036,"0000")</f>
        <v/>
      </c>
      <c r="B1036" s="68" t="n">
        <v>200</v>
      </c>
      <c r="C1036" s="68" t="n">
        <v>133</v>
      </c>
      <c r="D1036" s="68" t="inlineStr">
        <is>
          <t>HpRatio</t>
        </is>
      </c>
      <c r="E1036" s="68" t="n">
        <v>1618548700</v>
      </c>
      <c r="F1036" s="68" t="inlineStr">
        <is>
          <t>AtkRatio</t>
        </is>
      </c>
      <c r="G1036" s="68" t="n">
        <v>197888500</v>
      </c>
      <c r="H1036" s="68" t="inlineStr">
        <is>
          <t>DefRatio</t>
        </is>
      </c>
      <c r="I1036" s="68">
        <f>G1036</f>
        <v/>
      </c>
    </row>
    <row r="1037">
      <c r="A1037" s="68">
        <f>B1037&amp;TEXT(C1037,"0000")</f>
        <v/>
      </c>
      <c r="B1037" s="68" t="n">
        <v>200</v>
      </c>
      <c r="C1037" s="68" t="n">
        <v>134</v>
      </c>
      <c r="D1037" s="68" t="inlineStr">
        <is>
          <t>HpRatio</t>
        </is>
      </c>
      <c r="E1037" s="68" t="n">
        <v>1683294700</v>
      </c>
      <c r="F1037" s="68" t="inlineStr">
        <is>
          <t>AtkRatio</t>
        </is>
      </c>
      <c r="G1037" s="68" t="n">
        <v>201848000</v>
      </c>
      <c r="H1037" s="68" t="inlineStr">
        <is>
          <t>DefRatio</t>
        </is>
      </c>
      <c r="I1037" s="68">
        <f>G1037</f>
        <v/>
      </c>
    </row>
    <row r="1038">
      <c r="A1038" s="68">
        <f>B1038&amp;TEXT(C1038,"0000")</f>
        <v/>
      </c>
      <c r="B1038" s="68" t="n">
        <v>200</v>
      </c>
      <c r="C1038" s="68" t="n">
        <v>135</v>
      </c>
      <c r="D1038" s="68" t="inlineStr">
        <is>
          <t>HpRatio</t>
        </is>
      </c>
      <c r="E1038" s="68" t="n">
        <v>1750630700</v>
      </c>
      <c r="F1038" s="68" t="inlineStr">
        <is>
          <t>AtkRatio</t>
        </is>
      </c>
      <c r="G1038" s="68" t="n">
        <v>205887000</v>
      </c>
      <c r="H1038" s="68" t="inlineStr">
        <is>
          <t>DefRatio</t>
        </is>
      </c>
      <c r="I1038" s="68">
        <f>G1038</f>
        <v/>
      </c>
    </row>
    <row r="1039">
      <c r="A1039" s="68">
        <f>B1039&amp;TEXT(C1039,"0000")</f>
        <v/>
      </c>
      <c r="B1039" s="68" t="n">
        <v>200</v>
      </c>
      <c r="C1039" s="68" t="n">
        <v>136</v>
      </c>
      <c r="D1039" s="68" t="inlineStr">
        <is>
          <t>HpRatio</t>
        </is>
      </c>
      <c r="E1039" s="68" t="n">
        <v>1820659700</v>
      </c>
      <c r="F1039" s="68" t="inlineStr">
        <is>
          <t>AtkRatio</t>
        </is>
      </c>
      <c r="G1039" s="68" t="n">
        <v>210007000</v>
      </c>
      <c r="H1039" s="68" t="inlineStr">
        <is>
          <t>DefRatio</t>
        </is>
      </c>
      <c r="I1039" s="68">
        <f>G1039</f>
        <v/>
      </c>
    </row>
    <row r="1040">
      <c r="A1040" s="68">
        <f>B1040&amp;TEXT(C1040,"0000")</f>
        <v/>
      </c>
      <c r="B1040" s="68" t="n">
        <v>200</v>
      </c>
      <c r="C1040" s="68" t="n">
        <v>137</v>
      </c>
      <c r="D1040" s="68" t="inlineStr">
        <is>
          <t>HpRatio</t>
        </is>
      </c>
      <c r="E1040" s="68" t="n">
        <v>1893490300</v>
      </c>
      <c r="F1040" s="68" t="inlineStr">
        <is>
          <t>AtkRatio</t>
        </is>
      </c>
      <c r="G1040" s="68" t="n">
        <v>214209000</v>
      </c>
      <c r="H1040" s="68" t="inlineStr">
        <is>
          <t>DefRatio</t>
        </is>
      </c>
      <c r="I1040" s="68">
        <f>G1040</f>
        <v/>
      </c>
    </row>
    <row r="1041">
      <c r="A1041" s="68">
        <f>B1041&amp;TEXT(C1041,"0000")</f>
        <v/>
      </c>
      <c r="B1041" s="68" t="n">
        <v>200</v>
      </c>
      <c r="C1041" s="68" t="n">
        <v>138</v>
      </c>
      <c r="D1041" s="68" t="inlineStr">
        <is>
          <t>HpRatio</t>
        </is>
      </c>
      <c r="E1041" s="68" t="n">
        <v>1969233700</v>
      </c>
      <c r="F1041" s="68" t="inlineStr">
        <is>
          <t>AtkRatio</t>
        </is>
      </c>
      <c r="G1041" s="68" t="n">
        <v>218495000</v>
      </c>
      <c r="H1041" s="68" t="inlineStr">
        <is>
          <t>DefRatio</t>
        </is>
      </c>
      <c r="I1041" s="68">
        <f>G1041</f>
        <v/>
      </c>
    </row>
    <row r="1042">
      <c r="A1042" s="68">
        <f>B1042&amp;TEXT(C1042,"0000")</f>
        <v/>
      </c>
      <c r="B1042" s="68" t="n">
        <v>200</v>
      </c>
      <c r="C1042" s="68" t="n">
        <v>139</v>
      </c>
      <c r="D1042" s="68" t="inlineStr">
        <is>
          <t>HpRatio</t>
        </is>
      </c>
      <c r="E1042" s="68" t="n">
        <v>2048007000</v>
      </c>
      <c r="F1042" s="68" t="inlineStr">
        <is>
          <t>AtkRatio</t>
        </is>
      </c>
      <c r="G1042" s="68" t="n">
        <v>222867000</v>
      </c>
      <c r="H1042" s="68" t="inlineStr">
        <is>
          <t>DefRatio</t>
        </is>
      </c>
      <c r="I1042" s="68">
        <f>G1042</f>
        <v/>
      </c>
    </row>
    <row r="1043">
      <c r="A1043" s="68">
        <f>B1043&amp;TEXT(C1043,"0000")</f>
        <v/>
      </c>
      <c r="B1043" s="68" t="n">
        <v>200</v>
      </c>
      <c r="C1043" s="68" t="n">
        <v>140</v>
      </c>
      <c r="D1043" s="68" t="inlineStr">
        <is>
          <t>HpRatio</t>
        </is>
      </c>
      <c r="E1043" s="68" t="n">
        <v>2129931300</v>
      </c>
      <c r="F1043" s="68" t="inlineStr">
        <is>
          <t>AtkRatio</t>
        </is>
      </c>
      <c r="G1043" s="68" t="n">
        <v>227326500</v>
      </c>
      <c r="H1043" s="68" t="inlineStr">
        <is>
          <t>DefRatio</t>
        </is>
      </c>
      <c r="I1043" s="68">
        <f>G1043</f>
        <v/>
      </c>
    </row>
    <row r="1044">
      <c r="A1044" s="68">
        <f>B1044&amp;TEXT(C1044,"0000")</f>
        <v/>
      </c>
      <c r="B1044" s="68" t="n">
        <v>200</v>
      </c>
      <c r="C1044" s="68" t="n">
        <v>141</v>
      </c>
      <c r="D1044" s="68" t="inlineStr">
        <is>
          <t>HpRatio</t>
        </is>
      </c>
      <c r="E1044" s="68" t="n">
        <v>2215132700</v>
      </c>
      <c r="F1044" s="68" t="inlineStr">
        <is>
          <t>AtkRatio</t>
        </is>
      </c>
      <c r="G1044" s="68" t="n">
        <v>231875000</v>
      </c>
      <c r="H1044" s="68" t="inlineStr">
        <is>
          <t>DefRatio</t>
        </is>
      </c>
      <c r="I1044" s="68">
        <f>G1044</f>
        <v/>
      </c>
    </row>
    <row r="1045">
      <c r="A1045" s="68">
        <f>B1045&amp;TEXT(C1045,"0000")</f>
        <v/>
      </c>
      <c r="B1045" s="68" t="n">
        <v>200</v>
      </c>
      <c r="C1045" s="68" t="n">
        <v>142</v>
      </c>
      <c r="D1045" s="68" t="inlineStr">
        <is>
          <t>HpRatio</t>
        </is>
      </c>
      <c r="E1045" s="68" t="n">
        <v>2303742000</v>
      </c>
      <c r="F1045" s="68" t="inlineStr">
        <is>
          <t>AtkRatio</t>
        </is>
      </c>
      <c r="G1045" s="68" t="n">
        <v>236514500</v>
      </c>
      <c r="H1045" s="68" t="inlineStr">
        <is>
          <t>DefRatio</t>
        </is>
      </c>
      <c r="I1045" s="68">
        <f>G1045</f>
        <v/>
      </c>
    </row>
    <row r="1046">
      <c r="A1046" s="68">
        <f>B1046&amp;TEXT(C1046,"0000")</f>
        <v/>
      </c>
      <c r="B1046" s="68" t="n">
        <v>200</v>
      </c>
      <c r="C1046" s="68" t="n">
        <v>143</v>
      </c>
      <c r="D1046" s="68" t="inlineStr">
        <is>
          <t>HpRatio</t>
        </is>
      </c>
      <c r="E1046" s="68" t="n">
        <v>2395895700</v>
      </c>
      <c r="F1046" s="68" t="inlineStr">
        <is>
          <t>AtkRatio</t>
        </is>
      </c>
      <c r="G1046" s="68" t="n">
        <v>241246500</v>
      </c>
      <c r="H1046" s="68" t="inlineStr">
        <is>
          <t>DefRatio</t>
        </is>
      </c>
      <c r="I1046" s="68">
        <f>G1046</f>
        <v/>
      </c>
    </row>
    <row r="1047">
      <c r="A1047" s="68">
        <f>B1047&amp;TEXT(C1047,"0000")</f>
        <v/>
      </c>
      <c r="B1047" s="68" t="n">
        <v>200</v>
      </c>
      <c r="C1047" s="68" t="n">
        <v>144</v>
      </c>
      <c r="D1047" s="68" t="inlineStr">
        <is>
          <t>HpRatio</t>
        </is>
      </c>
      <c r="E1047" s="68" t="n">
        <v>2491735700</v>
      </c>
      <c r="F1047" s="68" t="inlineStr">
        <is>
          <t>AtkRatio</t>
        </is>
      </c>
      <c r="G1047" s="68" t="n">
        <v>246073500</v>
      </c>
      <c r="H1047" s="68" t="inlineStr">
        <is>
          <t>DefRatio</t>
        </is>
      </c>
      <c r="I1047" s="68">
        <f>G1047</f>
        <v/>
      </c>
    </row>
    <row r="1048">
      <c r="A1048" s="68">
        <f>B1048&amp;TEXT(C1048,"0000")</f>
        <v/>
      </c>
      <c r="B1048" s="68" t="n">
        <v>200</v>
      </c>
      <c r="C1048" s="68" t="n">
        <v>145</v>
      </c>
      <c r="D1048" s="68" t="inlineStr">
        <is>
          <t>HpRatio</t>
        </is>
      </c>
      <c r="E1048" s="68" t="n">
        <v>2591409000</v>
      </c>
      <c r="F1048" s="68" t="inlineStr">
        <is>
          <t>AtkRatio</t>
        </is>
      </c>
      <c r="G1048" s="68" t="n">
        <v>250997000</v>
      </c>
      <c r="H1048" s="68" t="inlineStr">
        <is>
          <t>DefRatio</t>
        </is>
      </c>
      <c r="I1048" s="68">
        <f>G1048</f>
        <v/>
      </c>
    </row>
    <row r="1049">
      <c r="A1049" s="68">
        <f>B1049&amp;TEXT(C1049,"0000")</f>
        <v/>
      </c>
      <c r="B1049" s="68" t="n">
        <v>200</v>
      </c>
      <c r="C1049" s="68" t="n">
        <v>146</v>
      </c>
      <c r="D1049" s="68" t="inlineStr">
        <is>
          <t>HpRatio</t>
        </is>
      </c>
      <c r="E1049" s="68" t="n">
        <v>2695069300</v>
      </c>
      <c r="F1049" s="68" t="inlineStr">
        <is>
          <t>AtkRatio</t>
        </is>
      </c>
      <c r="G1049" s="68" t="n">
        <v>256019000</v>
      </c>
      <c r="H1049" s="68" t="inlineStr">
        <is>
          <t>DefRatio</t>
        </is>
      </c>
      <c r="I1049" s="68">
        <f>G1049</f>
        <v/>
      </c>
    </row>
    <row r="1050">
      <c r="A1050" s="68">
        <f>B1050&amp;TEXT(C1050,"0000")</f>
        <v/>
      </c>
      <c r="B1050" s="68" t="n">
        <v>200</v>
      </c>
      <c r="C1050" s="68" t="n">
        <v>147</v>
      </c>
      <c r="D1050" s="68" t="inlineStr">
        <is>
          <t>HpRatio</t>
        </is>
      </c>
      <c r="E1050" s="68" t="n">
        <v>2802876000</v>
      </c>
      <c r="F1050" s="68" t="inlineStr">
        <is>
          <t>AtkRatio</t>
        </is>
      </c>
      <c r="G1050" s="68" t="n">
        <v>261141500</v>
      </c>
      <c r="H1050" s="68" t="inlineStr">
        <is>
          <t>DefRatio</t>
        </is>
      </c>
      <c r="I1050" s="68">
        <f>G1050</f>
        <v/>
      </c>
    </row>
    <row r="1051">
      <c r="A1051" s="68">
        <f>B1051&amp;TEXT(C1051,"0000")</f>
        <v/>
      </c>
      <c r="B1051" s="68" t="n">
        <v>200</v>
      </c>
      <c r="C1051" s="68" t="n">
        <v>148</v>
      </c>
      <c r="D1051" s="68" t="inlineStr">
        <is>
          <t>HpRatio</t>
        </is>
      </c>
      <c r="E1051" s="68" t="n">
        <v>2914995300</v>
      </c>
      <c r="F1051" s="68" t="inlineStr">
        <is>
          <t>AtkRatio</t>
        </is>
      </c>
      <c r="G1051" s="68" t="n">
        <v>266366500</v>
      </c>
      <c r="H1051" s="68" t="inlineStr">
        <is>
          <t>DefRatio</t>
        </is>
      </c>
      <c r="I1051" s="68">
        <f>G1051</f>
        <v/>
      </c>
    </row>
    <row r="1052">
      <c r="A1052" s="68">
        <f>B1052&amp;TEXT(C1052,"0000")</f>
        <v/>
      </c>
      <c r="B1052" s="68" t="n">
        <v>200</v>
      </c>
      <c r="C1052" s="68" t="n">
        <v>149</v>
      </c>
      <c r="D1052" s="68" t="inlineStr">
        <is>
          <t>HpRatio</t>
        </is>
      </c>
      <c r="E1052" s="68" t="n">
        <v>3031599000</v>
      </c>
      <c r="F1052" s="68" t="inlineStr">
        <is>
          <t>AtkRatio</t>
        </is>
      </c>
      <c r="G1052" s="68" t="n">
        <v>271695500</v>
      </c>
      <c r="H1052" s="68" t="inlineStr">
        <is>
          <t>DefRatio</t>
        </is>
      </c>
      <c r="I1052" s="68">
        <f>G1052</f>
        <v/>
      </c>
    </row>
    <row r="1053">
      <c r="A1053" s="68">
        <f>B1053&amp;TEXT(C1053,"0000")</f>
        <v/>
      </c>
      <c r="B1053" s="68" t="n">
        <v>200</v>
      </c>
      <c r="C1053" s="68" t="n">
        <v>150</v>
      </c>
      <c r="D1053" s="68" t="inlineStr">
        <is>
          <t>HpRatio</t>
        </is>
      </c>
      <c r="E1053" s="68" t="n">
        <v>3152867000</v>
      </c>
      <c r="F1053" s="68" t="inlineStr">
        <is>
          <t>AtkRatio</t>
        </is>
      </c>
      <c r="G1053" s="68" t="n">
        <v>277131500</v>
      </c>
      <c r="H1053" s="68" t="inlineStr">
        <is>
          <t>DefRatio</t>
        </is>
      </c>
      <c r="I1053" s="68">
        <f>G1053</f>
        <v/>
      </c>
    </row>
    <row r="1054">
      <c r="A1054" s="68">
        <f>B1054&amp;TEXT(C1054,"0000")</f>
        <v/>
      </c>
      <c r="B1054" s="68" t="n">
        <v>200</v>
      </c>
      <c r="C1054" s="68" t="n">
        <v>151</v>
      </c>
      <c r="D1054" s="68" t="inlineStr">
        <is>
          <t>HpRatio</t>
        </is>
      </c>
      <c r="E1054" s="68" t="n">
        <v>3278985700</v>
      </c>
      <c r="F1054" s="68" t="inlineStr">
        <is>
          <t>AtkRatio</t>
        </is>
      </c>
      <c r="G1054" s="68" t="n">
        <v>282676000</v>
      </c>
      <c r="H1054" s="68" t="inlineStr">
        <is>
          <t>DefRatio</t>
        </is>
      </c>
      <c r="I1054" s="68">
        <f>G1054</f>
        <v/>
      </c>
    </row>
    <row r="1055">
      <c r="A1055" s="68">
        <f>B1055&amp;TEXT(C1055,"0000")</f>
        <v/>
      </c>
      <c r="B1055" s="68" t="n">
        <v>200</v>
      </c>
      <c r="C1055" s="68" t="n">
        <v>152</v>
      </c>
      <c r="D1055" s="68" t="inlineStr">
        <is>
          <t>HpRatio</t>
        </is>
      </c>
      <c r="E1055" s="68" t="n">
        <v>3410149000</v>
      </c>
      <c r="F1055" s="68" t="inlineStr">
        <is>
          <t>AtkRatio</t>
        </is>
      </c>
      <c r="G1055" s="68" t="n">
        <v>288331500</v>
      </c>
      <c r="H1055" s="68" t="inlineStr">
        <is>
          <t>DefRatio</t>
        </is>
      </c>
      <c r="I1055" s="68">
        <f>G1055</f>
        <v/>
      </c>
    </row>
    <row r="1056">
      <c r="A1056" s="68">
        <f>B1056&amp;TEXT(C1056,"0000")</f>
        <v/>
      </c>
      <c r="B1056" s="68" t="n">
        <v>200</v>
      </c>
      <c r="C1056" s="68" t="n">
        <v>153</v>
      </c>
      <c r="D1056" s="68" t="inlineStr">
        <is>
          <t>HpRatio</t>
        </is>
      </c>
      <c r="E1056" s="68" t="n">
        <v>3546559000</v>
      </c>
      <c r="F1056" s="68" t="inlineStr">
        <is>
          <t>AtkRatio</t>
        </is>
      </c>
      <c r="G1056" s="68" t="n">
        <v>294100500</v>
      </c>
      <c r="H1056" s="68" t="inlineStr">
        <is>
          <t>DefRatio</t>
        </is>
      </c>
      <c r="I1056" s="68">
        <f>G1056</f>
        <v/>
      </c>
    </row>
    <row r="1057">
      <c r="A1057" s="68">
        <f>B1057&amp;TEXT(C1057,"0000")</f>
        <v/>
      </c>
      <c r="B1057" s="68" t="n">
        <v>200</v>
      </c>
      <c r="C1057" s="68" t="n">
        <v>154</v>
      </c>
      <c r="D1057" s="68" t="inlineStr">
        <is>
          <t>HpRatio</t>
        </is>
      </c>
      <c r="E1057" s="68" t="n">
        <v>3688425300</v>
      </c>
      <c r="F1057" s="68" t="inlineStr">
        <is>
          <t>AtkRatio</t>
        </is>
      </c>
      <c r="G1057" s="68" t="n">
        <v>299984500</v>
      </c>
      <c r="H1057" s="68" t="inlineStr">
        <is>
          <t>DefRatio</t>
        </is>
      </c>
      <c r="I1057" s="68">
        <f>G1057</f>
        <v/>
      </c>
    </row>
    <row r="1058">
      <c r="A1058" s="68">
        <f>B1058&amp;TEXT(C1058,"0000")</f>
        <v/>
      </c>
      <c r="B1058" s="68" t="n">
        <v>200</v>
      </c>
      <c r="C1058" s="68" t="n">
        <v>155</v>
      </c>
      <c r="D1058" s="68" t="inlineStr">
        <is>
          <t>HpRatio</t>
        </is>
      </c>
      <c r="E1058" s="68" t="n">
        <v>3835966300</v>
      </c>
      <c r="F1058" s="68" t="inlineStr">
        <is>
          <t>AtkRatio</t>
        </is>
      </c>
      <c r="G1058" s="68" t="n">
        <v>305986000</v>
      </c>
      <c r="H1058" s="68" t="inlineStr">
        <is>
          <t>DefRatio</t>
        </is>
      </c>
      <c r="I1058" s="68">
        <f>G1058</f>
        <v/>
      </c>
    </row>
    <row r="1059">
      <c r="A1059" s="68">
        <f>B1059&amp;TEXT(C1059,"0000")</f>
        <v/>
      </c>
      <c r="B1059" s="68" t="n">
        <v>200</v>
      </c>
      <c r="C1059" s="68" t="n">
        <v>156</v>
      </c>
      <c r="D1059" s="68" t="inlineStr">
        <is>
          <t>HpRatio</t>
        </is>
      </c>
      <c r="E1059" s="68" t="n">
        <v>3989409000</v>
      </c>
      <c r="F1059" s="68" t="inlineStr">
        <is>
          <t>AtkRatio</t>
        </is>
      </c>
      <c r="G1059" s="68" t="n">
        <v>312108000</v>
      </c>
      <c r="H1059" s="68" t="inlineStr">
        <is>
          <t>DefRatio</t>
        </is>
      </c>
      <c r="I1059" s="68">
        <f>G1059</f>
        <v/>
      </c>
    </row>
    <row r="1060">
      <c r="A1060" s="68">
        <f>B1060&amp;TEXT(C1060,"0000")</f>
        <v/>
      </c>
      <c r="B1060" s="68" t="n">
        <v>200</v>
      </c>
      <c r="C1060" s="68" t="n">
        <v>157</v>
      </c>
      <c r="D1060" s="68" t="inlineStr">
        <is>
          <t>HpRatio</t>
        </is>
      </c>
      <c r="E1060" s="68" t="n">
        <v>4148989300</v>
      </c>
      <c r="F1060" s="68" t="inlineStr">
        <is>
          <t>AtkRatio</t>
        </is>
      </c>
      <c r="G1060" s="68" t="n">
        <v>318352000</v>
      </c>
      <c r="H1060" s="68" t="inlineStr">
        <is>
          <t>DefRatio</t>
        </is>
      </c>
      <c r="I1060" s="68">
        <f>G1060</f>
        <v/>
      </c>
    </row>
    <row r="1061">
      <c r="A1061" s="68">
        <f>B1061&amp;TEXT(C1061,"0000")</f>
        <v/>
      </c>
      <c r="B1061" s="68" t="n">
        <v>200</v>
      </c>
      <c r="C1061" s="68" t="n">
        <v>158</v>
      </c>
      <c r="D1061" s="68" t="inlineStr">
        <is>
          <t>HpRatio</t>
        </is>
      </c>
      <c r="E1061" s="68" t="n">
        <v>4314953000</v>
      </c>
      <c r="F1061" s="68" t="inlineStr">
        <is>
          <t>AtkRatio</t>
        </is>
      </c>
      <c r="G1061" s="68" t="n">
        <v>324721000</v>
      </c>
      <c r="H1061" s="68" t="inlineStr">
        <is>
          <t>DefRatio</t>
        </is>
      </c>
      <c r="I1061" s="68">
        <f>G1061</f>
        <v/>
      </c>
    </row>
    <row r="1062">
      <c r="A1062" s="68">
        <f>B1062&amp;TEXT(C1062,"0000")</f>
        <v/>
      </c>
      <c r="B1062" s="68" t="n">
        <v>200</v>
      </c>
      <c r="C1062" s="68" t="n">
        <v>159</v>
      </c>
      <c r="D1062" s="68" t="inlineStr">
        <is>
          <t>HpRatio</t>
        </is>
      </c>
      <c r="E1062" s="68" t="n">
        <v>4487555300</v>
      </c>
      <c r="F1062" s="68" t="inlineStr">
        <is>
          <t>AtkRatio</t>
        </is>
      </c>
      <c r="G1062" s="68" t="n">
        <v>331217500</v>
      </c>
      <c r="H1062" s="68" t="inlineStr">
        <is>
          <t>DefRatio</t>
        </is>
      </c>
      <c r="I1062" s="68">
        <f>G1062</f>
        <v/>
      </c>
    </row>
    <row r="1063">
      <c r="A1063" s="68">
        <f>B1063&amp;TEXT(C1063,"0000")</f>
        <v/>
      </c>
      <c r="B1063" s="68" t="n">
        <v>200</v>
      </c>
      <c r="C1063" s="68" t="n">
        <v>160</v>
      </c>
      <c r="D1063" s="68" t="inlineStr">
        <is>
          <t>HpRatio</t>
        </is>
      </c>
      <c r="E1063" s="68" t="n">
        <v>4667061300</v>
      </c>
      <c r="F1063" s="68" t="inlineStr">
        <is>
          <t>AtkRatio</t>
        </is>
      </c>
      <c r="G1063" s="68" t="n">
        <v>337844000</v>
      </c>
      <c r="H1063" s="68" t="inlineStr">
        <is>
          <t>DefRatio</t>
        </is>
      </c>
      <c r="I1063" s="68">
        <f>G1063</f>
        <v/>
      </c>
    </row>
    <row r="1064">
      <c r="A1064" s="68">
        <f>B1064&amp;TEXT(C1064,"0000")</f>
        <v/>
      </c>
      <c r="B1064" s="68" t="n">
        <v>200</v>
      </c>
      <c r="C1064" s="68" t="n">
        <v>161</v>
      </c>
      <c r="D1064" s="68" t="inlineStr">
        <is>
          <t>HpRatio</t>
        </is>
      </c>
      <c r="E1064" s="68" t="n">
        <v>4853748000</v>
      </c>
      <c r="F1064" s="68" t="inlineStr">
        <is>
          <t>AtkRatio</t>
        </is>
      </c>
      <c r="G1064" s="68" t="n">
        <v>344602500</v>
      </c>
      <c r="H1064" s="68" t="inlineStr">
        <is>
          <t>DefRatio</t>
        </is>
      </c>
      <c r="I1064" s="68">
        <f>G1064</f>
        <v/>
      </c>
    </row>
    <row r="1065">
      <c r="A1065" s="68">
        <f>B1065&amp;TEXT(C1065,"0000")</f>
        <v/>
      </c>
      <c r="B1065" s="68" t="n">
        <v>200</v>
      </c>
      <c r="C1065" s="68" t="n">
        <v>162</v>
      </c>
      <c r="D1065" s="68" t="inlineStr">
        <is>
          <t>HpRatio</t>
        </is>
      </c>
      <c r="E1065" s="68" t="n">
        <v>5047901700</v>
      </c>
      <c r="F1065" s="68" t="inlineStr">
        <is>
          <t>AtkRatio</t>
        </is>
      </c>
      <c r="G1065" s="68" t="n">
        <v>351496500</v>
      </c>
      <c r="H1065" s="68" t="inlineStr">
        <is>
          <t>DefRatio</t>
        </is>
      </c>
      <c r="I1065" s="68">
        <f>G1065</f>
        <v/>
      </c>
    </row>
    <row r="1066">
      <c r="A1066" s="68">
        <f>B1066&amp;TEXT(C1066,"0000")</f>
        <v/>
      </c>
      <c r="B1066" s="68" t="n">
        <v>200</v>
      </c>
      <c r="C1066" s="68" t="n">
        <v>163</v>
      </c>
      <c r="D1066" s="68" t="inlineStr">
        <is>
          <t>HpRatio</t>
        </is>
      </c>
      <c r="E1066" s="68" t="n">
        <v>5249822000</v>
      </c>
      <c r="F1066" s="68" t="inlineStr">
        <is>
          <t>AtkRatio</t>
        </is>
      </c>
      <c r="G1066" s="68" t="n">
        <v>358528500</v>
      </c>
      <c r="H1066" s="68" t="inlineStr">
        <is>
          <t>DefRatio</t>
        </is>
      </c>
      <c r="I1066" s="68">
        <f>G1066</f>
        <v/>
      </c>
    </row>
    <row r="1067">
      <c r="A1067" s="68">
        <f>B1067&amp;TEXT(C1067,"0000")</f>
        <v/>
      </c>
      <c r="B1067" s="68" t="n">
        <v>200</v>
      </c>
      <c r="C1067" s="68" t="n">
        <v>164</v>
      </c>
      <c r="D1067" s="68" t="inlineStr">
        <is>
          <t>HpRatio</t>
        </is>
      </c>
      <c r="E1067" s="68" t="n">
        <v>5459818700</v>
      </c>
      <c r="F1067" s="68" t="inlineStr">
        <is>
          <t>AtkRatio</t>
        </is>
      </c>
      <c r="G1067" s="68" t="n">
        <v>365701000</v>
      </c>
      <c r="H1067" s="68" t="inlineStr">
        <is>
          <t>DefRatio</t>
        </is>
      </c>
      <c r="I1067" s="68">
        <f>G1067</f>
        <v/>
      </c>
    </row>
    <row r="1068">
      <c r="A1068" s="68">
        <f>B1068&amp;TEXT(C1068,"0000")</f>
        <v/>
      </c>
      <c r="B1068" s="68" t="n">
        <v>200</v>
      </c>
      <c r="C1068" s="68" t="n">
        <v>165</v>
      </c>
      <c r="D1068" s="68" t="inlineStr">
        <is>
          <t>HpRatio</t>
        </is>
      </c>
      <c r="E1068" s="68" t="n">
        <v>5678215700</v>
      </c>
      <c r="F1068" s="68" t="inlineStr">
        <is>
          <t>AtkRatio</t>
        </is>
      </c>
      <c r="G1068" s="68" t="n">
        <v>373017500</v>
      </c>
      <c r="H1068" s="68" t="inlineStr">
        <is>
          <t>DefRatio</t>
        </is>
      </c>
      <c r="I1068" s="68">
        <f>G1068</f>
        <v/>
      </c>
    </row>
    <row r="1069">
      <c r="A1069" s="68">
        <f>B1069&amp;TEXT(C1069,"0000")</f>
        <v/>
      </c>
      <c r="B1069" s="68" t="n">
        <v>200</v>
      </c>
      <c r="C1069" s="68" t="n">
        <v>166</v>
      </c>
      <c r="D1069" s="68" t="inlineStr">
        <is>
          <t>HpRatio</t>
        </is>
      </c>
      <c r="E1069" s="68" t="n">
        <v>5905348000</v>
      </c>
      <c r="F1069" s="68" t="inlineStr">
        <is>
          <t>AtkRatio</t>
        </is>
      </c>
      <c r="G1069" s="68" t="n">
        <v>380479500</v>
      </c>
      <c r="H1069" s="68" t="inlineStr">
        <is>
          <t>DefRatio</t>
        </is>
      </c>
      <c r="I1069" s="68">
        <f>G1069</f>
        <v/>
      </c>
    </row>
    <row r="1070">
      <c r="A1070" s="68">
        <f>B1070&amp;TEXT(C1070,"0000")</f>
        <v/>
      </c>
      <c r="B1070" s="68" t="n">
        <v>200</v>
      </c>
      <c r="C1070" s="68" t="n">
        <v>167</v>
      </c>
      <c r="D1070" s="68" t="inlineStr">
        <is>
          <t>HpRatio</t>
        </is>
      </c>
      <c r="E1070" s="68" t="n">
        <v>6141566000</v>
      </c>
      <c r="F1070" s="68" t="inlineStr">
        <is>
          <t>AtkRatio</t>
        </is>
      </c>
      <c r="G1070" s="68" t="n">
        <v>388091000</v>
      </c>
      <c r="H1070" s="68" t="inlineStr">
        <is>
          <t>DefRatio</t>
        </is>
      </c>
      <c r="I1070" s="68">
        <f>G1070</f>
        <v/>
      </c>
    </row>
    <row r="1071">
      <c r="A1071" s="68">
        <f>B1071&amp;TEXT(C1071,"0000")</f>
        <v/>
      </c>
      <c r="B1071" s="68" t="n">
        <v>200</v>
      </c>
      <c r="C1071" s="68" t="n">
        <v>168</v>
      </c>
      <c r="D1071" s="68" t="inlineStr">
        <is>
          <t>HpRatio</t>
        </is>
      </c>
      <c r="E1071" s="68" t="n">
        <v>6387232700</v>
      </c>
      <c r="F1071" s="68" t="inlineStr">
        <is>
          <t>AtkRatio</t>
        </is>
      </c>
      <c r="G1071" s="68" t="n">
        <v>395855000</v>
      </c>
      <c r="H1071" s="68" t="inlineStr">
        <is>
          <t>DefRatio</t>
        </is>
      </c>
      <c r="I1071" s="68">
        <f>G1071</f>
        <v/>
      </c>
    </row>
    <row r="1072">
      <c r="A1072" s="68">
        <f>B1072&amp;TEXT(C1072,"0000")</f>
        <v/>
      </c>
      <c r="B1072" s="68" t="n">
        <v>200</v>
      </c>
      <c r="C1072" s="68" t="n">
        <v>169</v>
      </c>
      <c r="D1072" s="68" t="inlineStr">
        <is>
          <t>HpRatio</t>
        </is>
      </c>
      <c r="E1072" s="68" t="n">
        <v>6642726000</v>
      </c>
      <c r="F1072" s="68" t="inlineStr">
        <is>
          <t>AtkRatio</t>
        </is>
      </c>
      <c r="G1072" s="68" t="n">
        <v>403774000</v>
      </c>
      <c r="H1072" s="68" t="inlineStr">
        <is>
          <t>DefRatio</t>
        </is>
      </c>
      <c r="I1072" s="68">
        <f>G1072</f>
        <v/>
      </c>
    </row>
    <row r="1073">
      <c r="A1073" s="68">
        <f>B1073&amp;TEXT(C1073,"0000")</f>
        <v/>
      </c>
      <c r="B1073" s="68" t="n">
        <v>200</v>
      </c>
      <c r="C1073" s="68" t="n">
        <v>170</v>
      </c>
      <c r="D1073" s="68" t="inlineStr">
        <is>
          <t>HpRatio</t>
        </is>
      </c>
      <c r="E1073" s="68" t="n">
        <v>6908439000</v>
      </c>
      <c r="F1073" s="68" t="inlineStr">
        <is>
          <t>AtkRatio</t>
        </is>
      </c>
      <c r="G1073" s="68" t="n">
        <v>411851500</v>
      </c>
      <c r="H1073" s="68" t="inlineStr">
        <is>
          <t>DefRatio</t>
        </is>
      </c>
      <c r="I1073" s="68">
        <f>G1073</f>
        <v/>
      </c>
    </row>
    <row r="1074">
      <c r="A1074" s="68">
        <f>B1074&amp;TEXT(C1074,"0000")</f>
        <v/>
      </c>
      <c r="B1074" s="68" t="n">
        <v>200</v>
      </c>
      <c r="C1074" s="68" t="n">
        <v>171</v>
      </c>
      <c r="D1074" s="68" t="inlineStr">
        <is>
          <t>HpRatio</t>
        </is>
      </c>
      <c r="E1074" s="68" t="n">
        <v>7184780700</v>
      </c>
      <c r="F1074" s="68" t="inlineStr">
        <is>
          <t>AtkRatio</t>
        </is>
      </c>
      <c r="G1074" s="68" t="n">
        <v>420090500</v>
      </c>
      <c r="H1074" s="68" t="inlineStr">
        <is>
          <t>DefRatio</t>
        </is>
      </c>
      <c r="I1074" s="68">
        <f>G1074</f>
        <v/>
      </c>
    </row>
    <row r="1075">
      <c r="A1075" s="68">
        <f>B1075&amp;TEXT(C1075,"0000")</f>
        <v/>
      </c>
      <c r="B1075" s="68" t="n">
        <v>200</v>
      </c>
      <c r="C1075" s="68" t="n">
        <v>172</v>
      </c>
      <c r="D1075" s="68" t="inlineStr">
        <is>
          <t>HpRatio</t>
        </is>
      </c>
      <c r="E1075" s="68" t="n">
        <v>7472176000</v>
      </c>
      <c r="F1075" s="68" t="inlineStr">
        <is>
          <t>AtkRatio</t>
        </is>
      </c>
      <c r="G1075" s="68" t="n">
        <v>428494500</v>
      </c>
      <c r="H1075" s="68" t="inlineStr">
        <is>
          <t>DefRatio</t>
        </is>
      </c>
      <c r="I1075" s="68">
        <f>G1075</f>
        <v/>
      </c>
    </row>
    <row r="1076">
      <c r="A1076" s="68">
        <f>B1076&amp;TEXT(C1076,"0000")</f>
        <v/>
      </c>
      <c r="B1076" s="68" t="n">
        <v>200</v>
      </c>
      <c r="C1076" s="68" t="n">
        <v>173</v>
      </c>
      <c r="D1076" s="68" t="inlineStr">
        <is>
          <t>HpRatio</t>
        </is>
      </c>
      <c r="E1076" s="68" t="n">
        <v>7771067000</v>
      </c>
      <c r="F1076" s="68" t="inlineStr">
        <is>
          <t>AtkRatio</t>
        </is>
      </c>
      <c r="G1076" s="68" t="n">
        <v>437066500</v>
      </c>
      <c r="H1076" s="68" t="inlineStr">
        <is>
          <t>DefRatio</t>
        </is>
      </c>
      <c r="I1076" s="68">
        <f>G1076</f>
        <v/>
      </c>
    </row>
    <row r="1077">
      <c r="A1077" s="68">
        <f>B1077&amp;TEXT(C1077,"0000")</f>
        <v/>
      </c>
      <c r="B1077" s="68" t="n">
        <v>200</v>
      </c>
      <c r="C1077" s="68" t="n">
        <v>174</v>
      </c>
      <c r="D1077" s="68" t="inlineStr">
        <is>
          <t>HpRatio</t>
        </is>
      </c>
      <c r="E1077" s="68" t="n">
        <v>8081913700</v>
      </c>
      <c r="F1077" s="68" t="inlineStr">
        <is>
          <t>AtkRatio</t>
        </is>
      </c>
      <c r="G1077" s="68" t="n">
        <v>445809500</v>
      </c>
      <c r="H1077" s="68" t="inlineStr">
        <is>
          <t>DefRatio</t>
        </is>
      </c>
      <c r="I1077" s="68">
        <f>G1077</f>
        <v/>
      </c>
    </row>
    <row r="1078">
      <c r="A1078" s="68">
        <f>B1078&amp;TEXT(C1078,"0000")</f>
        <v/>
      </c>
      <c r="B1078" s="68" t="n">
        <v>200</v>
      </c>
      <c r="C1078" s="68" t="n">
        <v>175</v>
      </c>
      <c r="D1078" s="68" t="inlineStr">
        <is>
          <t>HpRatio</t>
        </is>
      </c>
      <c r="E1078" s="68" t="n">
        <v>8405194300</v>
      </c>
      <c r="F1078" s="68" t="inlineStr">
        <is>
          <t>AtkRatio</t>
        </is>
      </c>
      <c r="G1078" s="68" t="n">
        <v>454728000</v>
      </c>
      <c r="H1078" s="68" t="inlineStr">
        <is>
          <t>DefRatio</t>
        </is>
      </c>
      <c r="I1078" s="68">
        <f>G1078</f>
        <v/>
      </c>
    </row>
    <row r="1079">
      <c r="A1079" s="68">
        <f>B1079&amp;TEXT(C1079,"0000")</f>
        <v/>
      </c>
      <c r="B1079" s="68" t="n">
        <v>200</v>
      </c>
      <c r="C1079" s="68" t="n">
        <v>176</v>
      </c>
      <c r="D1079" s="68" t="inlineStr">
        <is>
          <t>HpRatio</t>
        </is>
      </c>
      <c r="E1079" s="68" t="n">
        <v>8741406000</v>
      </c>
      <c r="F1079" s="68" t="inlineStr">
        <is>
          <t>AtkRatio</t>
        </is>
      </c>
      <c r="G1079" s="68" t="n">
        <v>463824500</v>
      </c>
      <c r="H1079" s="68" t="inlineStr">
        <is>
          <t>DefRatio</t>
        </is>
      </c>
      <c r="I1079" s="68">
        <f>G1079</f>
        <v/>
      </c>
    </row>
    <row r="1080">
      <c r="A1080" s="68">
        <f>B1080&amp;TEXT(C1080,"0000")</f>
        <v/>
      </c>
      <c r="B1080" s="68" t="n">
        <v>200</v>
      </c>
      <c r="C1080" s="68" t="n">
        <v>177</v>
      </c>
      <c r="D1080" s="68" t="inlineStr">
        <is>
          <t>HpRatio</t>
        </is>
      </c>
      <c r="E1080" s="68" t="n">
        <v>9091066300</v>
      </c>
      <c r="F1080" s="68" t="inlineStr">
        <is>
          <t>AtkRatio</t>
        </is>
      </c>
      <c r="G1080" s="68" t="n">
        <v>473103000</v>
      </c>
      <c r="H1080" s="68" t="inlineStr">
        <is>
          <t>DefRatio</t>
        </is>
      </c>
      <c r="I1080" s="68">
        <f>G1080</f>
        <v/>
      </c>
    </row>
    <row r="1081">
      <c r="A1081" s="68">
        <f>B1081&amp;TEXT(C1081,"0000")</f>
        <v/>
      </c>
      <c r="B1081" s="68" t="n">
        <v>200</v>
      </c>
      <c r="C1081" s="68" t="n">
        <v>178</v>
      </c>
      <c r="D1081" s="68" t="inlineStr">
        <is>
          <t>HpRatio</t>
        </is>
      </c>
      <c r="E1081" s="68" t="n">
        <v>9454713000</v>
      </c>
      <c r="F1081" s="68" t="inlineStr">
        <is>
          <t>AtkRatio</t>
        </is>
      </c>
      <c r="G1081" s="68" t="n">
        <v>482567000</v>
      </c>
      <c r="H1081" s="68" t="inlineStr">
        <is>
          <t>DefRatio</t>
        </is>
      </c>
      <c r="I1081" s="68">
        <f>G1081</f>
        <v/>
      </c>
    </row>
    <row r="1082">
      <c r="A1082" s="68">
        <f>B1082&amp;TEXT(C1082,"0000")</f>
        <v/>
      </c>
      <c r="B1082" s="68" t="n">
        <v>200</v>
      </c>
      <c r="C1082" s="68" t="n">
        <v>179</v>
      </c>
      <c r="D1082" s="68" t="inlineStr">
        <is>
          <t>HpRatio</t>
        </is>
      </c>
      <c r="E1082" s="68" t="n">
        <v>9832905300</v>
      </c>
      <c r="F1082" s="68" t="inlineStr">
        <is>
          <t>AtkRatio</t>
        </is>
      </c>
      <c r="G1082" s="68" t="n">
        <v>492220500</v>
      </c>
      <c r="H1082" s="68" t="inlineStr">
        <is>
          <t>DefRatio</t>
        </is>
      </c>
      <c r="I1082" s="68">
        <f>G1082</f>
        <v/>
      </c>
    </row>
    <row r="1083">
      <c r="A1083" s="68">
        <f>B1083&amp;TEXT(C1083,"0000")</f>
        <v/>
      </c>
      <c r="B1083" s="68" t="n">
        <v>200</v>
      </c>
      <c r="C1083" s="68" t="n">
        <v>180</v>
      </c>
      <c r="D1083" s="68" t="inlineStr">
        <is>
          <t>HpRatio</t>
        </is>
      </c>
      <c r="E1083" s="68" t="n">
        <v>10226225700</v>
      </c>
      <c r="F1083" s="68" t="inlineStr">
        <is>
          <t>AtkRatio</t>
        </is>
      </c>
      <c r="G1083" s="68" t="n">
        <v>502067000</v>
      </c>
      <c r="H1083" s="68" t="inlineStr">
        <is>
          <t>DefRatio</t>
        </is>
      </c>
      <c r="I1083" s="68">
        <f>G1083</f>
        <v/>
      </c>
    </row>
    <row r="1084">
      <c r="A1084" s="68">
        <f>B1084&amp;TEXT(C1084,"0000")</f>
        <v/>
      </c>
      <c r="B1084" s="68" t="n">
        <v>200</v>
      </c>
      <c r="C1084" s="68" t="n">
        <v>181</v>
      </c>
      <c r="D1084" s="68" t="inlineStr">
        <is>
          <t>HpRatio</t>
        </is>
      </c>
      <c r="E1084" s="68" t="n">
        <v>10635278700</v>
      </c>
      <c r="F1084" s="68" t="inlineStr">
        <is>
          <t>AtkRatio</t>
        </is>
      </c>
      <c r="G1084" s="68" t="n">
        <v>512110000</v>
      </c>
      <c r="H1084" s="68" t="inlineStr">
        <is>
          <t>DefRatio</t>
        </is>
      </c>
      <c r="I1084" s="68">
        <f>G1084</f>
        <v/>
      </c>
    </row>
    <row r="1085">
      <c r="A1085" s="68">
        <f>B1085&amp;TEXT(C1085,"0000")</f>
        <v/>
      </c>
      <c r="B1085" s="68" t="n">
        <v>200</v>
      </c>
      <c r="C1085" s="68" t="n">
        <v>182</v>
      </c>
      <c r="D1085" s="68" t="inlineStr">
        <is>
          <t>HpRatio</t>
        </is>
      </c>
      <c r="E1085" s="68" t="n">
        <v>11060693700</v>
      </c>
      <c r="F1085" s="68" t="inlineStr">
        <is>
          <t>AtkRatio</t>
        </is>
      </c>
      <c r="G1085" s="68" t="n">
        <v>522354500</v>
      </c>
      <c r="H1085" s="68" t="inlineStr">
        <is>
          <t>DefRatio</t>
        </is>
      </c>
      <c r="I1085" s="68">
        <f>G1085</f>
        <v/>
      </c>
    </row>
    <row r="1086">
      <c r="A1086" s="68">
        <f>B1086&amp;TEXT(C1086,"0000")</f>
        <v/>
      </c>
      <c r="B1086" s="68" t="n">
        <v>200</v>
      </c>
      <c r="C1086" s="68" t="n">
        <v>183</v>
      </c>
      <c r="D1086" s="68" t="inlineStr">
        <is>
          <t>HpRatio</t>
        </is>
      </c>
      <c r="E1086" s="68" t="n">
        <v>11503125700</v>
      </c>
      <c r="F1086" s="68" t="inlineStr">
        <is>
          <t>AtkRatio</t>
        </is>
      </c>
      <c r="G1086" s="68" t="n">
        <v>532803500</v>
      </c>
      <c r="H1086" s="68" t="inlineStr">
        <is>
          <t>DefRatio</t>
        </is>
      </c>
      <c r="I1086" s="68">
        <f>G1086</f>
        <v/>
      </c>
    </row>
    <row r="1087">
      <c r="A1087" s="68">
        <f>B1087&amp;TEXT(C1087,"0000")</f>
        <v/>
      </c>
      <c r="B1087" s="68" t="n">
        <v>200</v>
      </c>
      <c r="C1087" s="68" t="n">
        <v>184</v>
      </c>
      <c r="D1087" s="68" t="inlineStr">
        <is>
          <t>HpRatio</t>
        </is>
      </c>
      <c r="E1087" s="68" t="n">
        <v>11963254700</v>
      </c>
      <c r="F1087" s="68" t="inlineStr">
        <is>
          <t>AtkRatio</t>
        </is>
      </c>
      <c r="G1087" s="68" t="n">
        <v>543461500</v>
      </c>
      <c r="H1087" s="68" t="inlineStr">
        <is>
          <t>DefRatio</t>
        </is>
      </c>
      <c r="I1087" s="68">
        <f>G1087</f>
        <v/>
      </c>
    </row>
    <row r="1088">
      <c r="A1088" s="68">
        <f>B1088&amp;TEXT(C1088,"0000")</f>
        <v/>
      </c>
      <c r="B1088" s="68" t="n">
        <v>200</v>
      </c>
      <c r="C1088" s="68" t="n">
        <v>185</v>
      </c>
      <c r="D1088" s="68" t="inlineStr">
        <is>
          <t>HpRatio</t>
        </is>
      </c>
      <c r="E1088" s="68" t="n">
        <v>12441788700</v>
      </c>
      <c r="F1088" s="68" t="inlineStr">
        <is>
          <t>AtkRatio</t>
        </is>
      </c>
      <c r="G1088" s="68" t="n">
        <v>554333000</v>
      </c>
      <c r="H1088" s="68" t="inlineStr">
        <is>
          <t>DefRatio</t>
        </is>
      </c>
      <c r="I1088" s="68">
        <f>G1088</f>
        <v/>
      </c>
    </row>
    <row r="1089">
      <c r="A1089" s="68">
        <f>B1089&amp;TEXT(C1089,"0000")</f>
        <v/>
      </c>
      <c r="B1089" s="68" t="n">
        <v>200</v>
      </c>
      <c r="C1089" s="68" t="n">
        <v>186</v>
      </c>
      <c r="D1089" s="68" t="inlineStr">
        <is>
          <t>HpRatio</t>
        </is>
      </c>
      <c r="E1089" s="68" t="n">
        <v>12939464300</v>
      </c>
      <c r="F1089" s="68" t="inlineStr">
        <is>
          <t>AtkRatio</t>
        </is>
      </c>
      <c r="G1089" s="68" t="n">
        <v>565421500</v>
      </c>
      <c r="H1089" s="68" t="inlineStr">
        <is>
          <t>DefRatio</t>
        </is>
      </c>
      <c r="I1089" s="68">
        <f>G1089</f>
        <v/>
      </c>
    </row>
    <row r="1090">
      <c r="A1090" s="68">
        <f>B1090&amp;TEXT(C1090,"0000")</f>
        <v/>
      </c>
      <c r="B1090" s="68" t="n">
        <v>200</v>
      </c>
      <c r="C1090" s="68" t="n">
        <v>187</v>
      </c>
      <c r="D1090" s="68" t="inlineStr">
        <is>
          <t>HpRatio</t>
        </is>
      </c>
      <c r="E1090" s="68" t="n">
        <v>13457047000</v>
      </c>
      <c r="F1090" s="68" t="inlineStr">
        <is>
          <t>AtkRatio</t>
        </is>
      </c>
      <c r="G1090" s="68" t="n">
        <v>576732000</v>
      </c>
      <c r="H1090" s="68" t="inlineStr">
        <is>
          <t>DefRatio</t>
        </is>
      </c>
      <c r="I1090" s="68">
        <f>G1090</f>
        <v/>
      </c>
    </row>
    <row r="1091">
      <c r="A1091" s="68">
        <f>B1091&amp;TEXT(C1091,"0000")</f>
        <v/>
      </c>
      <c r="B1091" s="68" t="n">
        <v>200</v>
      </c>
      <c r="C1091" s="68" t="n">
        <v>188</v>
      </c>
      <c r="D1091" s="68" t="inlineStr">
        <is>
          <t>HpRatio</t>
        </is>
      </c>
      <c r="E1091" s="68" t="n">
        <v>13995332700</v>
      </c>
      <c r="F1091" s="68" t="inlineStr">
        <is>
          <t>AtkRatio</t>
        </is>
      </c>
      <c r="G1091" s="68" t="n">
        <v>588268500</v>
      </c>
      <c r="H1091" s="68" t="inlineStr">
        <is>
          <t>DefRatio</t>
        </is>
      </c>
      <c r="I1091" s="68">
        <f>G1091</f>
        <v/>
      </c>
    </row>
    <row r="1092">
      <c r="A1092" s="68">
        <f>B1092&amp;TEXT(C1092,"0000")</f>
        <v/>
      </c>
      <c r="B1092" s="68" t="n">
        <v>200</v>
      </c>
      <c r="C1092" s="68" t="n">
        <v>189</v>
      </c>
      <c r="D1092" s="68" t="inlineStr">
        <is>
          <t>HpRatio</t>
        </is>
      </c>
      <c r="E1092" s="68" t="n">
        <v>14555150000</v>
      </c>
      <c r="F1092" s="68" t="inlineStr">
        <is>
          <t>AtkRatio</t>
        </is>
      </c>
      <c r="G1092" s="68" t="n">
        <v>600036000</v>
      </c>
      <c r="H1092" s="68" t="inlineStr">
        <is>
          <t>DefRatio</t>
        </is>
      </c>
      <c r="I1092" s="68">
        <f>G1092</f>
        <v/>
      </c>
    </row>
    <row r="1093">
      <c r="A1093" s="68">
        <f>B1093&amp;TEXT(C1093,"0000")</f>
        <v/>
      </c>
      <c r="B1093" s="68" t="n">
        <v>200</v>
      </c>
      <c r="C1093" s="68" t="n">
        <v>190</v>
      </c>
      <c r="D1093" s="68" t="inlineStr">
        <is>
          <t>HpRatio</t>
        </is>
      </c>
      <c r="E1093" s="68" t="n">
        <v>15137360000</v>
      </c>
      <c r="F1093" s="68" t="inlineStr">
        <is>
          <t>AtkRatio</t>
        </is>
      </c>
      <c r="G1093" s="68" t="n">
        <v>612038500</v>
      </c>
      <c r="H1093" s="68" t="inlineStr">
        <is>
          <t>DefRatio</t>
        </is>
      </c>
      <c r="I1093" s="68">
        <f>G1093</f>
        <v/>
      </c>
    </row>
    <row r="1094">
      <c r="A1094" s="68">
        <f>B1094&amp;TEXT(C1094,"0000")</f>
        <v/>
      </c>
      <c r="B1094" s="68" t="n">
        <v>200</v>
      </c>
      <c r="C1094" s="68" t="n">
        <v>191</v>
      </c>
      <c r="D1094" s="68" t="inlineStr">
        <is>
          <t>HpRatio</t>
        </is>
      </c>
      <c r="E1094" s="68" t="n">
        <v>15742858300</v>
      </c>
      <c r="F1094" s="68" t="inlineStr">
        <is>
          <t>AtkRatio</t>
        </is>
      </c>
      <c r="G1094" s="68" t="n">
        <v>624281500</v>
      </c>
      <c r="H1094" s="68" t="inlineStr">
        <is>
          <t>DefRatio</t>
        </is>
      </c>
      <c r="I1094" s="68">
        <f>G1094</f>
        <v/>
      </c>
    </row>
    <row r="1095">
      <c r="A1095" s="68">
        <f>B1095&amp;TEXT(C1095,"0000")</f>
        <v/>
      </c>
      <c r="B1095" s="68" t="n">
        <v>200</v>
      </c>
      <c r="C1095" s="68" t="n">
        <v>192</v>
      </c>
      <c r="D1095" s="68" t="inlineStr">
        <is>
          <t>HpRatio</t>
        </is>
      </c>
      <c r="E1095" s="68" t="n">
        <v>16372577000</v>
      </c>
      <c r="F1095" s="68" t="inlineStr">
        <is>
          <t>AtkRatio</t>
        </is>
      </c>
      <c r="G1095" s="68" t="n">
        <v>636769000</v>
      </c>
      <c r="H1095" s="68" t="inlineStr">
        <is>
          <t>DefRatio</t>
        </is>
      </c>
      <c r="I1095" s="68">
        <f>G1095</f>
        <v/>
      </c>
    </row>
    <row r="1096">
      <c r="A1096" s="68">
        <f>B1096&amp;TEXT(C1096,"0000")</f>
        <v/>
      </c>
      <c r="B1096" s="68" t="n">
        <v>200</v>
      </c>
      <c r="C1096" s="68" t="n">
        <v>193</v>
      </c>
      <c r="D1096" s="68" t="inlineStr">
        <is>
          <t>HpRatio</t>
        </is>
      </c>
      <c r="E1096" s="68" t="n">
        <v>17027484000</v>
      </c>
      <c r="F1096" s="68" t="inlineStr">
        <is>
          <t>AtkRatio</t>
        </is>
      </c>
      <c r="G1096" s="68" t="n">
        <v>649506500</v>
      </c>
      <c r="H1096" s="68" t="inlineStr">
        <is>
          <t>DefRatio</t>
        </is>
      </c>
      <c r="I1096" s="68">
        <f>G1096</f>
        <v/>
      </c>
    </row>
    <row r="1097">
      <c r="A1097" s="68">
        <f>B1097&amp;TEXT(C1097,"0000")</f>
        <v/>
      </c>
      <c r="B1097" s="68" t="n">
        <v>200</v>
      </c>
      <c r="C1097" s="68" t="n">
        <v>194</v>
      </c>
      <c r="D1097" s="68" t="inlineStr">
        <is>
          <t>HpRatio</t>
        </is>
      </c>
      <c r="E1097" s="68" t="n">
        <v>17708587300</v>
      </c>
      <c r="F1097" s="68" t="inlineStr">
        <is>
          <t>AtkRatio</t>
        </is>
      </c>
      <c r="G1097" s="68" t="n">
        <v>662498500</v>
      </c>
      <c r="H1097" s="68" t="inlineStr">
        <is>
          <t>DefRatio</t>
        </is>
      </c>
      <c r="I1097" s="68">
        <f>G1097</f>
        <v/>
      </c>
    </row>
    <row r="1098">
      <c r="A1098" s="68">
        <f>B1098&amp;TEXT(C1098,"0000")</f>
        <v/>
      </c>
      <c r="B1098" s="68" t="n">
        <v>200</v>
      </c>
      <c r="C1098" s="68" t="n">
        <v>195</v>
      </c>
      <c r="D1098" s="68" t="inlineStr">
        <is>
          <t>HpRatio</t>
        </is>
      </c>
      <c r="E1098" s="68" t="n">
        <v>18416934700</v>
      </c>
      <c r="F1098" s="68" t="inlineStr">
        <is>
          <t>AtkRatio</t>
        </is>
      </c>
      <c r="G1098" s="68" t="n">
        <v>675750500</v>
      </c>
      <c r="H1098" s="68" t="inlineStr">
        <is>
          <t>DefRatio</t>
        </is>
      </c>
      <c r="I1098" s="68">
        <f>G1098</f>
        <v/>
      </c>
    </row>
    <row r="1099">
      <c r="A1099" s="68">
        <f>B1099&amp;TEXT(C1099,"0000")</f>
        <v/>
      </c>
      <c r="B1099" s="68" t="n">
        <v>200</v>
      </c>
      <c r="C1099" s="68" t="n">
        <v>196</v>
      </c>
      <c r="D1099" s="68" t="inlineStr">
        <is>
          <t>HpRatio</t>
        </is>
      </c>
      <c r="E1099" s="68" t="n">
        <v>19153616300</v>
      </c>
      <c r="F1099" s="68" t="inlineStr">
        <is>
          <t>AtkRatio</t>
        </is>
      </c>
      <c r="G1099" s="68" t="n">
        <v>689267500</v>
      </c>
      <c r="H1099" s="68" t="inlineStr">
        <is>
          <t>DefRatio</t>
        </is>
      </c>
      <c r="I1099" s="68">
        <f>G1099</f>
        <v/>
      </c>
    </row>
    <row r="1100">
      <c r="A1100" s="68">
        <f>B1100&amp;TEXT(C1100,"0000")</f>
        <v/>
      </c>
      <c r="B1100" s="68" t="n">
        <v>200</v>
      </c>
      <c r="C1100" s="68" t="n">
        <v>197</v>
      </c>
      <c r="D1100" s="68" t="inlineStr">
        <is>
          <t>HpRatio</t>
        </is>
      </c>
      <c r="E1100" s="68" t="n">
        <v>19919765000</v>
      </c>
      <c r="F1100" s="68" t="inlineStr">
        <is>
          <t>AtkRatio</t>
        </is>
      </c>
      <c r="G1100" s="68" t="n">
        <v>703055000</v>
      </c>
      <c r="H1100" s="68" t="inlineStr">
        <is>
          <t>DefRatio</t>
        </is>
      </c>
      <c r="I1100" s="68">
        <f>G1100</f>
        <v/>
      </c>
    </row>
    <row r="1101">
      <c r="A1101" s="68">
        <f>B1101&amp;TEXT(C1101,"0000")</f>
        <v/>
      </c>
      <c r="B1101" s="68" t="n">
        <v>200</v>
      </c>
      <c r="C1101" s="68" t="n">
        <v>198</v>
      </c>
      <c r="D1101" s="68" t="inlineStr">
        <is>
          <t>HpRatio</t>
        </is>
      </c>
      <c r="E1101" s="68" t="n">
        <v>20716559300</v>
      </c>
      <c r="F1101" s="68" t="inlineStr">
        <is>
          <t>AtkRatio</t>
        </is>
      </c>
      <c r="G1101" s="68" t="n">
        <v>717118000</v>
      </c>
      <c r="H1101" s="68" t="inlineStr">
        <is>
          <t>DefRatio</t>
        </is>
      </c>
      <c r="I1101" s="68">
        <f>G1101</f>
        <v/>
      </c>
    </row>
    <row r="1102">
      <c r="A1102" s="68">
        <f>B1102&amp;TEXT(C1102,"0000")</f>
        <v/>
      </c>
      <c r="B1102" s="68" t="n">
        <v>200</v>
      </c>
      <c r="C1102" s="68" t="n">
        <v>199</v>
      </c>
      <c r="D1102" s="68" t="inlineStr">
        <is>
          <t>HpRatio</t>
        </is>
      </c>
      <c r="E1102" s="68" t="n">
        <v>21545225700</v>
      </c>
      <c r="F1102" s="68" t="inlineStr">
        <is>
          <t>AtkRatio</t>
        </is>
      </c>
      <c r="G1102" s="68" t="n">
        <v>731462500</v>
      </c>
      <c r="H1102" s="68" t="inlineStr">
        <is>
          <t>DefRatio</t>
        </is>
      </c>
      <c r="I1102" s="68">
        <f>G1102</f>
        <v/>
      </c>
    </row>
    <row r="1103">
      <c r="A1103" s="68">
        <f>B1103&amp;TEXT(C1103,"0000")</f>
        <v/>
      </c>
      <c r="B1103" s="68" t="n">
        <v>200</v>
      </c>
      <c r="C1103" s="68" t="n">
        <v>200</v>
      </c>
      <c r="D1103" s="68" t="inlineStr">
        <is>
          <t>HpRatio</t>
        </is>
      </c>
      <c r="E1103" s="68" t="n">
        <v>22407039000</v>
      </c>
      <c r="F1103" s="68" t="inlineStr">
        <is>
          <t>AtkRatio</t>
        </is>
      </c>
      <c r="G1103" s="68" t="n">
        <v>746093500</v>
      </c>
      <c r="H1103" s="68" t="inlineStr">
        <is>
          <t>DefRatio</t>
        </is>
      </c>
      <c r="I1103" s="68">
        <f>G1103</f>
        <v/>
      </c>
    </row>
    <row r="1104">
      <c r="A1104" s="68">
        <f>B1104&amp;TEXT(C1104,"0000")</f>
        <v/>
      </c>
      <c r="B1104" s="68" t="n">
        <v>200</v>
      </c>
      <c r="C1104" s="68" t="n">
        <v>201</v>
      </c>
      <c r="D1104" s="68" t="inlineStr">
        <is>
          <t>HpRatio</t>
        </is>
      </c>
      <c r="E1104" s="68" t="n">
        <v>23303324300</v>
      </c>
      <c r="F1104" s="68" t="inlineStr">
        <is>
          <t>AtkRatio</t>
        </is>
      </c>
      <c r="G1104" s="68" t="n">
        <v>761017500</v>
      </c>
      <c r="H1104" s="68" t="inlineStr">
        <is>
          <t>DefRatio</t>
        </is>
      </c>
      <c r="I1104" s="68">
        <f>G1104</f>
        <v/>
      </c>
    </row>
    <row r="1105">
      <c r="A1105" s="68">
        <f>B1105&amp;TEXT(C1105,"0000")</f>
        <v/>
      </c>
      <c r="B1105" s="68" t="n">
        <v>200</v>
      </c>
      <c r="C1105" s="68" t="n">
        <v>202</v>
      </c>
      <c r="D1105" s="68" t="inlineStr">
        <is>
          <t>HpRatio</t>
        </is>
      </c>
      <c r="E1105" s="68" t="n">
        <v>24235461300</v>
      </c>
      <c r="F1105" s="68" t="inlineStr">
        <is>
          <t>AtkRatio</t>
        </is>
      </c>
      <c r="G1105" s="68" t="n">
        <v>776240000</v>
      </c>
      <c r="H1105" s="68" t="inlineStr">
        <is>
          <t>DefRatio</t>
        </is>
      </c>
      <c r="I1105" s="68">
        <f>G1105</f>
        <v/>
      </c>
    </row>
    <row r="1106">
      <c r="A1106" s="68">
        <f>B1106&amp;TEXT(C1106,"0000")</f>
        <v/>
      </c>
      <c r="B1106" s="68" t="n">
        <v>200</v>
      </c>
      <c r="C1106" s="68" t="n">
        <v>203</v>
      </c>
      <c r="D1106" s="68" t="inlineStr">
        <is>
          <t>HpRatio</t>
        </is>
      </c>
      <c r="E1106" s="68" t="n">
        <v>25204884000</v>
      </c>
      <c r="F1106" s="68" t="inlineStr">
        <is>
          <t>AtkRatio</t>
        </is>
      </c>
      <c r="G1106" s="68" t="n">
        <v>791766500</v>
      </c>
      <c r="H1106" s="68" t="inlineStr">
        <is>
          <t>DefRatio</t>
        </is>
      </c>
      <c r="I1106" s="68">
        <f>G1106</f>
        <v/>
      </c>
    </row>
    <row r="1107">
      <c r="A1107" s="68">
        <f>B1107&amp;TEXT(C1107,"0000")</f>
        <v/>
      </c>
      <c r="B1107" s="68" t="n">
        <v>200</v>
      </c>
      <c r="C1107" s="68" t="n">
        <v>204</v>
      </c>
      <c r="D1107" s="68" t="inlineStr">
        <is>
          <t>HpRatio</t>
        </is>
      </c>
      <c r="E1107" s="68" t="n">
        <v>26213083300</v>
      </c>
      <c r="F1107" s="68" t="inlineStr">
        <is>
          <t>AtkRatio</t>
        </is>
      </c>
      <c r="G1107" s="68" t="n">
        <v>807604000</v>
      </c>
      <c r="H1107" s="68" t="inlineStr">
        <is>
          <t>DefRatio</t>
        </is>
      </c>
      <c r="I1107" s="68">
        <f>G1107</f>
        <v/>
      </c>
    </row>
    <row r="1108">
      <c r="A1108" s="68">
        <f>B1108&amp;TEXT(C1108,"0000")</f>
        <v/>
      </c>
      <c r="B1108" s="68" t="n">
        <v>200</v>
      </c>
      <c r="C1108" s="68" t="n">
        <v>205</v>
      </c>
      <c r="D1108" s="68" t="inlineStr">
        <is>
          <t>HpRatio</t>
        </is>
      </c>
      <c r="E1108" s="68" t="n">
        <v>27261610700</v>
      </c>
      <c r="F1108" s="68" t="inlineStr">
        <is>
          <t>AtkRatio</t>
        </is>
      </c>
      <c r="G1108" s="68" t="n">
        <v>823758000</v>
      </c>
      <c r="H1108" s="68" t="inlineStr">
        <is>
          <t>DefRatio</t>
        </is>
      </c>
      <c r="I1108" s="68">
        <f>G1108</f>
        <v/>
      </c>
    </row>
    <row r="1109">
      <c r="A1109" s="68">
        <f>B1109&amp;TEXT(C1109,"0000")</f>
        <v/>
      </c>
      <c r="B1109" s="68" t="n">
        <v>200</v>
      </c>
      <c r="C1109" s="68" t="n">
        <v>206</v>
      </c>
      <c r="D1109" s="68" t="inlineStr">
        <is>
          <t>HpRatio</t>
        </is>
      </c>
      <c r="E1109" s="68" t="n">
        <v>28352079000</v>
      </c>
      <c r="F1109" s="68" t="inlineStr">
        <is>
          <t>AtkRatio</t>
        </is>
      </c>
      <c r="G1109" s="68" t="n">
        <v>840235000</v>
      </c>
      <c r="H1109" s="68" t="inlineStr">
        <is>
          <t>DefRatio</t>
        </is>
      </c>
      <c r="I1109" s="68">
        <f>G1109</f>
        <v/>
      </c>
    </row>
    <row r="1110">
      <c r="A1110" s="68">
        <f>B1110&amp;TEXT(C1110,"0000")</f>
        <v/>
      </c>
      <c r="B1110" s="68" t="n">
        <v>200</v>
      </c>
      <c r="C1110" s="68" t="n">
        <v>207</v>
      </c>
      <c r="D1110" s="68" t="inlineStr">
        <is>
          <t>HpRatio</t>
        </is>
      </c>
      <c r="E1110" s="68" t="n">
        <v>29486166000</v>
      </c>
      <c r="F1110" s="68" t="inlineStr">
        <is>
          <t>AtkRatio</t>
        </is>
      </c>
      <c r="G1110" s="68" t="n">
        <v>857042000</v>
      </c>
      <c r="H1110" s="68" t="inlineStr">
        <is>
          <t>DefRatio</t>
        </is>
      </c>
      <c r="I1110" s="68">
        <f>G1110</f>
        <v/>
      </c>
    </row>
    <row r="1111">
      <c r="A1111" s="68">
        <f>B1111&amp;TEXT(C1111,"0000")</f>
        <v/>
      </c>
      <c r="B1111" s="68" t="n">
        <v>200</v>
      </c>
      <c r="C1111" s="68" t="n">
        <v>208</v>
      </c>
      <c r="D1111" s="68" t="inlineStr">
        <is>
          <t>HpRatio</t>
        </is>
      </c>
      <c r="E1111" s="68" t="n">
        <v>30665616700</v>
      </c>
      <c r="F1111" s="68" t="inlineStr">
        <is>
          <t>AtkRatio</t>
        </is>
      </c>
      <c r="G1111" s="68" t="n">
        <v>874184500</v>
      </c>
      <c r="H1111" s="68" t="inlineStr">
        <is>
          <t>DefRatio</t>
        </is>
      </c>
      <c r="I1111" s="68">
        <f>G1111</f>
        <v/>
      </c>
    </row>
    <row r="1112">
      <c r="A1112" s="68">
        <f>B1112&amp;TEXT(C1112,"0000")</f>
        <v/>
      </c>
      <c r="B1112" s="68" t="n">
        <v>200</v>
      </c>
      <c r="C1112" s="68" t="n">
        <v>209</v>
      </c>
      <c r="D1112" s="68" t="inlineStr">
        <is>
          <t>HpRatio</t>
        </is>
      </c>
      <c r="E1112" s="68" t="n">
        <v>31892245300</v>
      </c>
      <c r="F1112" s="68" t="inlineStr">
        <is>
          <t>AtkRatio</t>
        </is>
      </c>
      <c r="G1112" s="68" t="n">
        <v>891670500</v>
      </c>
      <c r="H1112" s="68" t="inlineStr">
        <is>
          <t>DefRatio</t>
        </is>
      </c>
      <c r="I1112" s="68">
        <f>G1112</f>
        <v/>
      </c>
    </row>
    <row r="1113">
      <c r="A1113" s="68">
        <f>B1113&amp;TEXT(C1113,"0000")</f>
        <v/>
      </c>
      <c r="B1113" s="68" t="n">
        <v>200</v>
      </c>
      <c r="C1113" s="68" t="n">
        <v>210</v>
      </c>
      <c r="D1113" s="68" t="inlineStr">
        <is>
          <t>HpRatio</t>
        </is>
      </c>
      <c r="E1113" s="68" t="n">
        <v>33167939300</v>
      </c>
      <c r="F1113" s="68" t="inlineStr">
        <is>
          <t>AtkRatio</t>
        </is>
      </c>
      <c r="G1113" s="68" t="n">
        <v>909506000</v>
      </c>
      <c r="H1113" s="68" t="inlineStr">
        <is>
          <t>DefRatio</t>
        </is>
      </c>
      <c r="I1113" s="68">
        <f>G1113</f>
        <v/>
      </c>
    </row>
    <row r="1114">
      <c r="A1114" s="68">
        <f>B1114&amp;TEXT(C1114,"0000")</f>
        <v/>
      </c>
      <c r="B1114" s="68" t="n">
        <v>200</v>
      </c>
      <c r="C1114" s="68" t="n">
        <v>211</v>
      </c>
      <c r="D1114" s="68" t="inlineStr">
        <is>
          <t>HpRatio</t>
        </is>
      </c>
      <c r="E1114" s="68" t="n">
        <v>34494661000</v>
      </c>
      <c r="F1114" s="68" t="inlineStr">
        <is>
          <t>AtkRatio</t>
        </is>
      </c>
      <c r="G1114" s="68" t="n">
        <v>927698000</v>
      </c>
      <c r="H1114" s="68" t="inlineStr">
        <is>
          <t>DefRatio</t>
        </is>
      </c>
      <c r="I1114" s="68">
        <f>G1114</f>
        <v/>
      </c>
    </row>
    <row r="1115">
      <c r="A1115" s="68">
        <f>B1115&amp;TEXT(C1115,"0000")</f>
        <v/>
      </c>
      <c r="B1115" s="68" t="n">
        <v>200</v>
      </c>
      <c r="C1115" s="68" t="n">
        <v>212</v>
      </c>
      <c r="D1115" s="68" t="inlineStr">
        <is>
          <t>HpRatio</t>
        </is>
      </c>
      <c r="E1115" s="68" t="n">
        <v>35874451300</v>
      </c>
      <c r="F1115" s="68" t="inlineStr">
        <is>
          <t>AtkRatio</t>
        </is>
      </c>
      <c r="G1115" s="68" t="n">
        <v>946254000</v>
      </c>
      <c r="H1115" s="68" t="inlineStr">
        <is>
          <t>DefRatio</t>
        </is>
      </c>
      <c r="I1115" s="68">
        <f>G1115</f>
        <v/>
      </c>
    </row>
    <row r="1116">
      <c r="A1116" s="68">
        <f>B1116&amp;TEXT(C1116,"0000")</f>
        <v/>
      </c>
      <c r="B1116" s="68" t="n">
        <v>200</v>
      </c>
      <c r="C1116" s="68" t="n">
        <v>213</v>
      </c>
      <c r="D1116" s="68" t="inlineStr">
        <is>
          <t>HpRatio</t>
        </is>
      </c>
      <c r="E1116" s="68" t="n">
        <v>37309433300</v>
      </c>
      <c r="F1116" s="68" t="inlineStr">
        <is>
          <t>AtkRatio</t>
        </is>
      </c>
      <c r="G1116" s="68" t="n">
        <v>965181000</v>
      </c>
      <c r="H1116" s="68" t="inlineStr">
        <is>
          <t>DefRatio</t>
        </is>
      </c>
      <c r="I1116" s="68">
        <f>G1116</f>
        <v/>
      </c>
    </row>
    <row r="1117">
      <c r="A1117" s="68">
        <f>B1117&amp;TEXT(C1117,"0000")</f>
        <v/>
      </c>
      <c r="B1117" s="68" t="n">
        <v>200</v>
      </c>
      <c r="C1117" s="68" t="n">
        <v>214</v>
      </c>
      <c r="D1117" s="68" t="inlineStr">
        <is>
          <t>HpRatio</t>
        </is>
      </c>
      <c r="E1117" s="68" t="n">
        <v>38801814700</v>
      </c>
      <c r="F1117" s="68" t="inlineStr">
        <is>
          <t>AtkRatio</t>
        </is>
      </c>
      <c r="G1117" s="68" t="n">
        <v>984486500</v>
      </c>
      <c r="H1117" s="68" t="inlineStr">
        <is>
          <t>DefRatio</t>
        </is>
      </c>
      <c r="I1117" s="68">
        <f>G1117</f>
        <v/>
      </c>
    </row>
    <row r="1118">
      <c r="A1118" s="68">
        <f>B1118&amp;TEXT(C1118,"0000")</f>
        <v/>
      </c>
      <c r="B1118" s="68" t="n">
        <v>200</v>
      </c>
      <c r="C1118" s="68" t="n">
        <v>215</v>
      </c>
      <c r="D1118" s="68" t="inlineStr">
        <is>
          <t>HpRatio</t>
        </is>
      </c>
      <c r="E1118" s="68" t="n">
        <v>40353891300</v>
      </c>
      <c r="F1118" s="68" t="inlineStr">
        <is>
          <t>AtkRatio</t>
        </is>
      </c>
      <c r="G1118" s="68" t="n">
        <v>1004178500</v>
      </c>
      <c r="H1118" s="68" t="inlineStr">
        <is>
          <t>DefRatio</t>
        </is>
      </c>
      <c r="I1118" s="68">
        <f>G1118</f>
        <v/>
      </c>
    </row>
    <row r="1119">
      <c r="A1119" s="68">
        <f>B1119&amp;TEXT(C1119,"0000")</f>
        <v/>
      </c>
      <c r="B1119" s="68" t="n">
        <v>200</v>
      </c>
      <c r="C1119" s="68" t="n">
        <v>216</v>
      </c>
      <c r="D1119" s="68" t="inlineStr">
        <is>
          <t>HpRatio</t>
        </is>
      </c>
      <c r="E1119" s="68" t="n">
        <v>41968051000</v>
      </c>
      <c r="F1119" s="68" t="inlineStr">
        <is>
          <t>AtkRatio</t>
        </is>
      </c>
      <c r="G1119" s="68" t="n">
        <v>1024264000</v>
      </c>
      <c r="H1119" s="68" t="inlineStr">
        <is>
          <t>DefRatio</t>
        </is>
      </c>
      <c r="I1119" s="68">
        <f>G1119</f>
        <v/>
      </c>
    </row>
    <row r="1120">
      <c r="A1120" s="68">
        <f>B1120&amp;TEXT(C1120,"0000")</f>
        <v/>
      </c>
      <c r="B1120" s="68" t="n">
        <v>200</v>
      </c>
      <c r="C1120" s="68" t="n">
        <v>217</v>
      </c>
      <c r="D1120" s="68" t="inlineStr">
        <is>
          <t>HpRatio</t>
        </is>
      </c>
      <c r="E1120" s="68" t="n">
        <v>43646777000</v>
      </c>
      <c r="F1120" s="68" t="inlineStr">
        <is>
          <t>AtkRatio</t>
        </is>
      </c>
      <c r="G1120" s="68" t="n">
        <v>1044751000</v>
      </c>
      <c r="H1120" s="68" t="inlineStr">
        <is>
          <t>DefRatio</t>
        </is>
      </c>
      <c r="I1120" s="68">
        <f>G1120</f>
        <v/>
      </c>
    </row>
    <row r="1121">
      <c r="A1121" s="68">
        <f>B1121&amp;TEXT(C1121,"0000")</f>
        <v/>
      </c>
      <c r="B1121" s="68" t="n">
        <v>200</v>
      </c>
      <c r="C1121" s="68" t="n">
        <v>218</v>
      </c>
      <c r="D1121" s="68" t="inlineStr">
        <is>
          <t>HpRatio</t>
        </is>
      </c>
      <c r="E1121" s="68" t="n">
        <v>45392652000</v>
      </c>
      <c r="F1121" s="68" t="inlineStr">
        <is>
          <t>AtkRatio</t>
        </is>
      </c>
      <c r="G1121" s="68" t="n">
        <v>1065648500</v>
      </c>
      <c r="H1121" s="68" t="inlineStr">
        <is>
          <t>DefRatio</t>
        </is>
      </c>
      <c r="I1121" s="68">
        <f>G1121</f>
        <v/>
      </c>
    </row>
    <row r="1122">
      <c r="A1122" s="68">
        <f>B1122&amp;TEXT(C1122,"0000")</f>
        <v/>
      </c>
      <c r="B1122" s="68" t="n">
        <v>200</v>
      </c>
      <c r="C1122" s="68" t="n">
        <v>219</v>
      </c>
      <c r="D1122" s="68" t="inlineStr">
        <is>
          <t>HpRatio</t>
        </is>
      </c>
      <c r="E1122" s="68" t="n">
        <v>47208362300</v>
      </c>
      <c r="F1122" s="68" t="inlineStr">
        <is>
          <t>AtkRatio</t>
        </is>
      </c>
      <c r="G1122" s="68" t="n">
        <v>1086963000</v>
      </c>
      <c r="H1122" s="68" t="inlineStr">
        <is>
          <t>DefRatio</t>
        </is>
      </c>
      <c r="I1122" s="68">
        <f>G1122</f>
        <v/>
      </c>
    </row>
    <row r="1123">
      <c r="A1123" s="68">
        <f>B1123&amp;TEXT(C1123,"0000")</f>
        <v/>
      </c>
      <c r="B1123" s="68" t="n">
        <v>200</v>
      </c>
      <c r="C1123" s="68" t="n">
        <v>220</v>
      </c>
      <c r="D1123" s="68" t="inlineStr">
        <is>
          <t>HpRatio</t>
        </is>
      </c>
      <c r="E1123" s="68" t="n">
        <v>49096700700</v>
      </c>
      <c r="F1123" s="68" t="inlineStr">
        <is>
          <t>AtkRatio</t>
        </is>
      </c>
      <c r="G1123" s="68" t="n">
        <v>1108704500</v>
      </c>
      <c r="H1123" s="68" t="inlineStr">
        <is>
          <t>DefRatio</t>
        </is>
      </c>
      <c r="I1123" s="68">
        <f>G1123</f>
        <v/>
      </c>
    </row>
    <row r="1124">
      <c r="A1124" s="68">
        <f>B1124&amp;TEXT(C1124,"0000")</f>
        <v/>
      </c>
      <c r="B1124" s="68" t="n">
        <v>200</v>
      </c>
      <c r="C1124" s="68" t="n">
        <v>221</v>
      </c>
      <c r="D1124" s="68" t="inlineStr">
        <is>
          <t>HpRatio</t>
        </is>
      </c>
      <c r="E1124" s="68" t="n">
        <v>51060572700</v>
      </c>
      <c r="F1124" s="68" t="inlineStr">
        <is>
          <t>AtkRatio</t>
        </is>
      </c>
      <c r="G1124" s="68" t="n">
        <v>1130880500</v>
      </c>
      <c r="H1124" s="68" t="inlineStr">
        <is>
          <t>DefRatio</t>
        </is>
      </c>
      <c r="I1124" s="68">
        <f>G1124</f>
        <v/>
      </c>
    </row>
    <row r="1125">
      <c r="A1125" s="68">
        <f>B1125&amp;TEXT(C1125,"0000")</f>
        <v/>
      </c>
      <c r="B1125" s="68" t="n">
        <v>200</v>
      </c>
      <c r="C1125" s="68" t="n">
        <v>222</v>
      </c>
      <c r="D1125" s="68" t="inlineStr">
        <is>
          <t>HpRatio</t>
        </is>
      </c>
      <c r="E1125" s="68" t="n">
        <v>53102999700</v>
      </c>
      <c r="F1125" s="68" t="inlineStr">
        <is>
          <t>AtkRatio</t>
        </is>
      </c>
      <c r="G1125" s="68" t="n">
        <v>1153500000</v>
      </c>
      <c r="H1125" s="68" t="inlineStr">
        <is>
          <t>DefRatio</t>
        </is>
      </c>
      <c r="I1125" s="68">
        <f>G1125</f>
        <v/>
      </c>
    </row>
    <row r="1126">
      <c r="A1126" s="68">
        <f>B1126&amp;TEXT(C1126,"0000")</f>
        <v/>
      </c>
      <c r="B1126" s="68" t="n">
        <v>200</v>
      </c>
      <c r="C1126" s="68" t="n">
        <v>223</v>
      </c>
      <c r="D1126" s="68" t="inlineStr">
        <is>
          <t>HpRatio</t>
        </is>
      </c>
      <c r="E1126" s="68" t="n">
        <v>55227123700</v>
      </c>
      <c r="F1126" s="68" t="inlineStr">
        <is>
          <t>AtkRatio</t>
        </is>
      </c>
      <c r="G1126" s="68" t="n">
        <v>1176572000</v>
      </c>
      <c r="H1126" s="68" t="inlineStr">
        <is>
          <t>DefRatio</t>
        </is>
      </c>
      <c r="I1126" s="68">
        <f>G1126</f>
        <v/>
      </c>
    </row>
    <row r="1127">
      <c r="A1127" s="68">
        <f>B1127&amp;TEXT(C1127,"0000")</f>
        <v/>
      </c>
      <c r="B1127" s="68" t="n">
        <v>200</v>
      </c>
      <c r="C1127" s="68" t="n">
        <v>224</v>
      </c>
      <c r="D1127" s="68" t="inlineStr">
        <is>
          <t>HpRatio</t>
        </is>
      </c>
      <c r="E1127" s="68" t="n">
        <v>57436212700</v>
      </c>
      <c r="F1127" s="68" t="inlineStr">
        <is>
          <t>AtkRatio</t>
        </is>
      </c>
      <c r="G1127" s="68" t="n">
        <v>1200105500</v>
      </c>
      <c r="H1127" s="68" t="inlineStr">
        <is>
          <t>DefRatio</t>
        </is>
      </c>
      <c r="I1127" s="68">
        <f>G1127</f>
        <v/>
      </c>
    </row>
    <row r="1128">
      <c r="A1128" s="68">
        <f>B1128&amp;TEXT(C1128,"0000")</f>
        <v/>
      </c>
      <c r="B1128" s="68" t="n">
        <v>200</v>
      </c>
      <c r="C1128" s="68" t="n">
        <v>225</v>
      </c>
      <c r="D1128" s="68" t="inlineStr">
        <is>
          <t>HpRatio</t>
        </is>
      </c>
      <c r="E1128" s="68" t="n">
        <v>59733665000</v>
      </c>
      <c r="F1128" s="68" t="inlineStr">
        <is>
          <t>AtkRatio</t>
        </is>
      </c>
      <c r="G1128" s="68" t="n">
        <v>1224110000</v>
      </c>
      <c r="H1128" s="68" t="inlineStr">
        <is>
          <t>DefRatio</t>
        </is>
      </c>
      <c r="I1128" s="68">
        <f>G1128</f>
        <v/>
      </c>
    </row>
    <row r="1129">
      <c r="A1129" s="68">
        <f>B1129&amp;TEXT(C1129,"0000")</f>
        <v/>
      </c>
      <c r="B1129" s="68" t="n">
        <v>200</v>
      </c>
      <c r="C1129" s="68" t="n">
        <v>226</v>
      </c>
      <c r="D1129" s="68" t="inlineStr">
        <is>
          <t>HpRatio</t>
        </is>
      </c>
      <c r="E1129" s="68" t="n">
        <v>62123015700</v>
      </c>
      <c r="F1129" s="68" t="inlineStr">
        <is>
          <t>AtkRatio</t>
        </is>
      </c>
      <c r="G1129" s="68" t="n">
        <v>1248594000</v>
      </c>
      <c r="H1129" s="68" t="inlineStr">
        <is>
          <t>DefRatio</t>
        </is>
      </c>
      <c r="I1129" s="68">
        <f>G1129</f>
        <v/>
      </c>
    </row>
    <row r="1130">
      <c r="A1130" s="68">
        <f>B1130&amp;TEXT(C1130,"0000")</f>
        <v/>
      </c>
      <c r="B1130" s="68" t="n">
        <v>200</v>
      </c>
      <c r="C1130" s="68" t="n">
        <v>227</v>
      </c>
      <c r="D1130" s="68" t="inlineStr">
        <is>
          <t>HpRatio</t>
        </is>
      </c>
      <c r="E1130" s="68" t="n">
        <v>64607940300</v>
      </c>
      <c r="F1130" s="68" t="inlineStr">
        <is>
          <t>AtkRatio</t>
        </is>
      </c>
      <c r="G1130" s="68" t="n">
        <v>1273568000</v>
      </c>
      <c r="H1130" s="68" t="inlineStr">
        <is>
          <t>DefRatio</t>
        </is>
      </c>
      <c r="I1130" s="68">
        <f>G1130</f>
        <v/>
      </c>
    </row>
    <row r="1131">
      <c r="A1131" s="68">
        <f>B1131&amp;TEXT(C1131,"0000")</f>
        <v/>
      </c>
      <c r="B1131" s="68" t="n">
        <v>200</v>
      </c>
      <c r="C1131" s="68" t="n">
        <v>228</v>
      </c>
      <c r="D1131" s="68" t="inlineStr">
        <is>
          <t>HpRatio</t>
        </is>
      </c>
      <c r="E1131" s="68" t="n">
        <v>67192262000</v>
      </c>
      <c r="F1131" s="68" t="inlineStr">
        <is>
          <t>AtkRatio</t>
        </is>
      </c>
      <c r="G1131" s="68" t="n">
        <v>1299041500</v>
      </c>
      <c r="H1131" s="68" t="inlineStr">
        <is>
          <t>DefRatio</t>
        </is>
      </c>
      <c r="I1131" s="68">
        <f>G1131</f>
        <v/>
      </c>
    </row>
    <row r="1132">
      <c r="A1132" s="68">
        <f>B1132&amp;TEXT(C1132,"0000")</f>
        <v/>
      </c>
      <c r="B1132" s="68" t="n">
        <v>200</v>
      </c>
      <c r="C1132" s="68" t="n">
        <v>229</v>
      </c>
      <c r="D1132" s="68" t="inlineStr">
        <is>
          <t>HpRatio</t>
        </is>
      </c>
      <c r="E1132" s="68" t="n">
        <v>69879956700</v>
      </c>
      <c r="F1132" s="68" t="inlineStr">
        <is>
          <t>AtkRatio</t>
        </is>
      </c>
      <c r="G1132" s="68" t="n">
        <v>1325024000</v>
      </c>
      <c r="H1132" s="68" t="inlineStr">
        <is>
          <t>DefRatio</t>
        </is>
      </c>
      <c r="I1132" s="68">
        <f>G1132</f>
        <v/>
      </c>
    </row>
    <row r="1133">
      <c r="A1133" s="68">
        <f>B1133&amp;TEXT(C1133,"0000")</f>
        <v/>
      </c>
      <c r="B1133" s="68" t="n">
        <v>200</v>
      </c>
      <c r="C1133" s="68" t="n">
        <v>230</v>
      </c>
      <c r="D1133" s="68" t="inlineStr">
        <is>
          <t>HpRatio</t>
        </is>
      </c>
      <c r="E1133" s="68" t="n">
        <v>72675158700</v>
      </c>
      <c r="F1133" s="68" t="inlineStr">
        <is>
          <t>AtkRatio</t>
        </is>
      </c>
      <c r="G1133" s="68" t="n">
        <v>1351526500</v>
      </c>
      <c r="H1133" s="68" t="inlineStr">
        <is>
          <t>DefRatio</t>
        </is>
      </c>
      <c r="I1133" s="68">
        <f>G1133</f>
        <v/>
      </c>
    </row>
    <row r="1134">
      <c r="A1134" s="68">
        <f>B1134&amp;TEXT(C1134,"0000")</f>
        <v/>
      </c>
      <c r="B1134" s="68" t="n">
        <v>200</v>
      </c>
      <c r="C1134" s="68" t="n">
        <v>231</v>
      </c>
      <c r="D1134" s="68" t="inlineStr">
        <is>
          <t>HpRatio</t>
        </is>
      </c>
      <c r="E1134" s="68" t="n">
        <v>75582169000</v>
      </c>
      <c r="F1134" s="68" t="inlineStr">
        <is>
          <t>AtkRatio</t>
        </is>
      </c>
      <c r="G1134" s="68" t="n">
        <v>1378559000</v>
      </c>
      <c r="H1134" s="68" t="inlineStr">
        <is>
          <t>DefRatio</t>
        </is>
      </c>
      <c r="I1134" s="68">
        <f>G1134</f>
        <v/>
      </c>
    </row>
    <row r="1135">
      <c r="A1135" s="68">
        <f>B1135&amp;TEXT(C1135,"0000")</f>
        <v/>
      </c>
      <c r="B1135" s="68" t="n">
        <v>200</v>
      </c>
      <c r="C1135" s="68" t="n">
        <v>232</v>
      </c>
      <c r="D1135" s="68" t="inlineStr">
        <is>
          <t>HpRatio</t>
        </is>
      </c>
      <c r="E1135" s="68" t="n">
        <v>78605460000</v>
      </c>
      <c r="F1135" s="68" t="inlineStr">
        <is>
          <t>AtkRatio</t>
        </is>
      </c>
      <c r="G1135" s="68" t="n">
        <v>1406132500</v>
      </c>
      <c r="H1135" s="68" t="inlineStr">
        <is>
          <t>DefRatio</t>
        </is>
      </c>
      <c r="I1135" s="68">
        <f>G1135</f>
        <v/>
      </c>
    </row>
    <row r="1136">
      <c r="A1136" s="68">
        <f>B1136&amp;TEXT(C1136,"0000")</f>
        <v/>
      </c>
      <c r="B1136" s="68" t="n">
        <v>200</v>
      </c>
      <c r="C1136" s="68" t="n">
        <v>233</v>
      </c>
      <c r="D1136" s="68" t="inlineStr">
        <is>
          <t>HpRatio</t>
        </is>
      </c>
      <c r="E1136" s="68" t="n">
        <v>81749682300</v>
      </c>
      <c r="F1136" s="68" t="inlineStr">
        <is>
          <t>AtkRatio</t>
        </is>
      </c>
      <c r="G1136" s="68" t="n">
        <v>1434257000</v>
      </c>
      <c r="H1136" s="68" t="inlineStr">
        <is>
          <t>DefRatio</t>
        </is>
      </c>
      <c r="I1136" s="68">
        <f>G1136</f>
        <v/>
      </c>
    </row>
    <row r="1137">
      <c r="A1137" s="68">
        <f>B1137&amp;TEXT(C1137,"0000")</f>
        <v/>
      </c>
      <c r="B1137" s="68" t="n">
        <v>200</v>
      </c>
      <c r="C1137" s="68" t="n">
        <v>234</v>
      </c>
      <c r="D1137" s="68" t="inlineStr">
        <is>
          <t>HpRatio</t>
        </is>
      </c>
      <c r="E1137" s="68" t="n">
        <v>85019673700</v>
      </c>
      <c r="F1137" s="68" t="inlineStr">
        <is>
          <t>AtkRatio</t>
        </is>
      </c>
      <c r="G1137" s="68" t="n">
        <v>1462944000</v>
      </c>
      <c r="H1137" s="68" t="inlineStr">
        <is>
          <t>DefRatio</t>
        </is>
      </c>
      <c r="I1137" s="68">
        <f>G1137</f>
        <v/>
      </c>
    </row>
    <row r="1138">
      <c r="A1138" s="68">
        <f>B1138&amp;TEXT(C1138,"0000")</f>
        <v/>
      </c>
      <c r="B1138" s="68" t="n">
        <v>200</v>
      </c>
      <c r="C1138" s="68" t="n">
        <v>235</v>
      </c>
      <c r="D1138" s="68" t="inlineStr">
        <is>
          <t>HpRatio</t>
        </is>
      </c>
      <c r="E1138" s="68" t="n">
        <v>88420464700</v>
      </c>
      <c r="F1138" s="68" t="inlineStr">
        <is>
          <t>AtkRatio</t>
        </is>
      </c>
      <c r="G1138" s="68" t="n">
        <v>1492205000</v>
      </c>
      <c r="H1138" s="68" t="inlineStr">
        <is>
          <t>DefRatio</t>
        </is>
      </c>
      <c r="I1138" s="68">
        <f>G1138</f>
        <v/>
      </c>
    </row>
    <row r="1139">
      <c r="A1139" s="68">
        <f>B1139&amp;TEXT(C1139,"0000")</f>
        <v/>
      </c>
      <c r="B1139" s="68" t="n">
        <v>200</v>
      </c>
      <c r="C1139" s="68" t="n">
        <v>236</v>
      </c>
      <c r="D1139" s="68" t="inlineStr">
        <is>
          <t>HpRatio</t>
        </is>
      </c>
      <c r="E1139" s="68" t="n">
        <v>91957287000</v>
      </c>
      <c r="F1139" s="68" t="inlineStr">
        <is>
          <t>AtkRatio</t>
        </is>
      </c>
      <c r="G1139" s="68" t="n">
        <v>1522051000</v>
      </c>
      <c r="H1139" s="68" t="inlineStr">
        <is>
          <t>DefRatio</t>
        </is>
      </c>
      <c r="I1139" s="68">
        <f>G1139</f>
        <v/>
      </c>
    </row>
    <row r="1140">
      <c r="A1140" s="68">
        <f>B1140&amp;TEXT(C1140,"0000")</f>
        <v/>
      </c>
      <c r="B1140" s="68" t="n">
        <v>200</v>
      </c>
      <c r="C1140" s="68" t="n">
        <v>237</v>
      </c>
      <c r="D1140" s="68" t="inlineStr">
        <is>
          <t>HpRatio</t>
        </is>
      </c>
      <c r="E1140" s="68" t="n">
        <v>95635582700</v>
      </c>
      <c r="F1140" s="68" t="inlineStr">
        <is>
          <t>AtkRatio</t>
        </is>
      </c>
      <c r="G1140" s="68" t="n">
        <v>1552494000</v>
      </c>
      <c r="H1140" s="68" t="inlineStr">
        <is>
          <t>DefRatio</t>
        </is>
      </c>
      <c r="I1140" s="68">
        <f>G1140</f>
        <v/>
      </c>
    </row>
    <row r="1141">
      <c r="A1141" s="68">
        <f>B1141&amp;TEXT(C1141,"0000")</f>
        <v/>
      </c>
      <c r="B1141" s="68" t="n">
        <v>200</v>
      </c>
      <c r="C1141" s="68" t="n">
        <v>238</v>
      </c>
      <c r="D1141" s="68" t="inlineStr">
        <is>
          <t>HpRatio</t>
        </is>
      </c>
      <c r="E1141" s="68" t="n">
        <v>99461010000</v>
      </c>
      <c r="F1141" s="68" t="inlineStr">
        <is>
          <t>AtkRatio</t>
        </is>
      </c>
      <c r="G1141" s="68" t="n">
        <v>1583546000</v>
      </c>
      <c r="H1141" s="68" t="inlineStr">
        <is>
          <t>DefRatio</t>
        </is>
      </c>
      <c r="I1141" s="68">
        <f>G1141</f>
        <v/>
      </c>
    </row>
    <row r="1142">
      <c r="A1142" s="68">
        <f>B1142&amp;TEXT(C1142,"0000")</f>
        <v/>
      </c>
      <c r="B1142" s="68" t="n">
        <v>200</v>
      </c>
      <c r="C1142" s="68" t="n">
        <v>239</v>
      </c>
      <c r="D1142" s="68" t="inlineStr">
        <is>
          <t>HpRatio</t>
        </is>
      </c>
      <c r="E1142" s="68" t="n">
        <v>103439454300</v>
      </c>
      <c r="F1142" s="68" t="inlineStr">
        <is>
          <t>AtkRatio</t>
        </is>
      </c>
      <c r="G1142" s="68" t="n">
        <v>1615219000</v>
      </c>
      <c r="H1142" s="68" t="inlineStr">
        <is>
          <t>DefRatio</t>
        </is>
      </c>
      <c r="I1142" s="68">
        <f>G1142</f>
        <v/>
      </c>
    </row>
    <row r="1143">
      <c r="A1143" s="68">
        <f>B1143&amp;TEXT(C1143,"0000")</f>
        <v/>
      </c>
      <c r="B1143" s="68" t="n">
        <v>200</v>
      </c>
      <c r="C1143" s="68" t="n">
        <v>240</v>
      </c>
      <c r="D1143" s="68" t="inlineStr">
        <is>
          <t>HpRatio</t>
        </is>
      </c>
      <c r="E1143" s="68" t="n">
        <v>107577036700</v>
      </c>
      <c r="F1143" s="68" t="inlineStr">
        <is>
          <t>AtkRatio</t>
        </is>
      </c>
      <c r="G1143" s="68" t="n">
        <v>1647525500</v>
      </c>
      <c r="H1143" s="68" t="inlineStr">
        <is>
          <t>DefRatio</t>
        </is>
      </c>
      <c r="I1143" s="68">
        <f>G1143</f>
        <v/>
      </c>
    </row>
    <row r="1144">
      <c r="A1144" s="68">
        <f>B1144&amp;TEXT(C1144,"0000")</f>
        <v/>
      </c>
      <c r="B1144" s="68" t="n">
        <v>200</v>
      </c>
      <c r="C1144" s="68" t="n">
        <v>241</v>
      </c>
      <c r="D1144" s="68" t="inlineStr">
        <is>
          <t>HpRatio</t>
        </is>
      </c>
      <c r="E1144" s="68" t="n">
        <v>111880122000</v>
      </c>
      <c r="F1144" s="68" t="inlineStr">
        <is>
          <t>AtkRatio</t>
        </is>
      </c>
      <c r="G1144" s="68" t="n">
        <v>1680478000</v>
      </c>
      <c r="H1144" s="68" t="inlineStr">
        <is>
          <t>DefRatio</t>
        </is>
      </c>
      <c r="I1144" s="68">
        <f>G1144</f>
        <v/>
      </c>
    </row>
    <row r="1145">
      <c r="A1145" s="68">
        <f>B1145&amp;TEXT(C1145,"0000")</f>
        <v/>
      </c>
      <c r="B1145" s="68" t="n">
        <v>200</v>
      </c>
      <c r="C1145" s="68" t="n">
        <v>242</v>
      </c>
      <c r="D1145" s="68" t="inlineStr">
        <is>
          <t>HpRatio</t>
        </is>
      </c>
      <c r="E1145" s="68" t="n">
        <v>116355331000</v>
      </c>
      <c r="F1145" s="68" t="inlineStr">
        <is>
          <t>AtkRatio</t>
        </is>
      </c>
      <c r="G1145" s="68" t="n">
        <v>1714089500</v>
      </c>
      <c r="H1145" s="68" t="inlineStr">
        <is>
          <t>DefRatio</t>
        </is>
      </c>
      <c r="I1145" s="68">
        <f>G1145</f>
        <v/>
      </c>
    </row>
    <row r="1146">
      <c r="A1146" s="68">
        <f>B1146&amp;TEXT(C1146,"0000")</f>
        <v/>
      </c>
      <c r="B1146" s="68" t="n">
        <v>200</v>
      </c>
      <c r="C1146" s="68" t="n">
        <v>243</v>
      </c>
      <c r="D1146" s="68" t="inlineStr">
        <is>
          <t>HpRatio</t>
        </is>
      </c>
      <c r="E1146" s="68" t="n">
        <v>121009548000</v>
      </c>
      <c r="F1146" s="68" t="inlineStr">
        <is>
          <t>AtkRatio</t>
        </is>
      </c>
      <c r="G1146" s="68" t="n">
        <v>1748373000</v>
      </c>
      <c r="H1146" s="68" t="inlineStr">
        <is>
          <t>DefRatio</t>
        </is>
      </c>
      <c r="I1146" s="68">
        <f>G1146</f>
        <v/>
      </c>
    </row>
    <row r="1147">
      <c r="A1147" s="68">
        <f>B1147&amp;TEXT(C1147,"0000")</f>
        <v/>
      </c>
      <c r="B1147" s="68" t="n">
        <v>200</v>
      </c>
      <c r="C1147" s="68" t="n">
        <v>244</v>
      </c>
      <c r="D1147" s="68" t="inlineStr">
        <is>
          <t>HpRatio</t>
        </is>
      </c>
      <c r="E1147" s="68" t="n">
        <v>125849934000</v>
      </c>
      <c r="F1147" s="68" t="inlineStr">
        <is>
          <t>AtkRatio</t>
        </is>
      </c>
      <c r="G1147" s="68" t="n">
        <v>1783342500</v>
      </c>
      <c r="H1147" s="68" t="inlineStr">
        <is>
          <t>DefRatio</t>
        </is>
      </c>
      <c r="I1147" s="68">
        <f>G1147</f>
        <v/>
      </c>
    </row>
    <row r="1148">
      <c r="A1148" s="68">
        <f>B1148&amp;TEXT(C1148,"0000")</f>
        <v/>
      </c>
      <c r="B1148" s="68" t="n">
        <v>200</v>
      </c>
      <c r="C1148" s="68" t="n">
        <v>245</v>
      </c>
      <c r="D1148" s="68" t="inlineStr">
        <is>
          <t>HpRatio</t>
        </is>
      </c>
      <c r="E1148" s="68" t="n">
        <v>130883935300</v>
      </c>
      <c r="F1148" s="68" t="inlineStr">
        <is>
          <t>AtkRatio</t>
        </is>
      </c>
      <c r="G1148" s="68" t="n">
        <v>1819011500</v>
      </c>
      <c r="H1148" s="68" t="inlineStr">
        <is>
          <t>DefRatio</t>
        </is>
      </c>
      <c r="I1148" s="68">
        <f>G1148</f>
        <v/>
      </c>
    </row>
    <row r="1149">
      <c r="A1149" s="68">
        <f>B1149&amp;TEXT(C1149,"0000")</f>
        <v/>
      </c>
      <c r="B1149" s="68" t="n">
        <v>200</v>
      </c>
      <c r="C1149" s="68" t="n">
        <v>246</v>
      </c>
      <c r="D1149" s="68" t="inlineStr">
        <is>
          <t>HpRatio</t>
        </is>
      </c>
      <c r="E1149" s="68" t="n">
        <v>136119297000</v>
      </c>
      <c r="F1149" s="68" t="inlineStr">
        <is>
          <t>AtkRatio</t>
        </is>
      </c>
      <c r="G1149" s="68" t="n">
        <v>1855393500</v>
      </c>
      <c r="H1149" s="68" t="inlineStr">
        <is>
          <t>DefRatio</t>
        </is>
      </c>
      <c r="I1149" s="68">
        <f>G1149</f>
        <v/>
      </c>
    </row>
    <row r="1150">
      <c r="A1150" s="68">
        <f>B1150&amp;TEXT(C1150,"0000")</f>
        <v/>
      </c>
      <c r="B1150" s="68" t="n">
        <v>200</v>
      </c>
      <c r="C1150" s="68" t="n">
        <v>247</v>
      </c>
      <c r="D1150" s="68" t="inlineStr">
        <is>
          <t>HpRatio</t>
        </is>
      </c>
      <c r="E1150" s="68" t="n">
        <v>141564072700</v>
      </c>
      <c r="F1150" s="68" t="inlineStr">
        <is>
          <t>AtkRatio</t>
        </is>
      </c>
      <c r="G1150" s="68" t="n">
        <v>1892503500</v>
      </c>
      <c r="H1150" s="68" t="inlineStr">
        <is>
          <t>DefRatio</t>
        </is>
      </c>
      <c r="I1150" s="68">
        <f>G1150</f>
        <v/>
      </c>
    </row>
    <row r="1151">
      <c r="A1151" s="68">
        <f>B1151&amp;TEXT(C1151,"0000")</f>
        <v/>
      </c>
      <c r="B1151" s="68" t="n">
        <v>200</v>
      </c>
      <c r="C1151" s="68" t="n">
        <v>248</v>
      </c>
      <c r="D1151" s="68" t="inlineStr">
        <is>
          <t>HpRatio</t>
        </is>
      </c>
      <c r="E1151" s="68" t="n">
        <v>147226639700</v>
      </c>
      <c r="F1151" s="68" t="inlineStr">
        <is>
          <t>AtkRatio</t>
        </is>
      </c>
      <c r="G1151" s="68" t="n">
        <v>1930355500</v>
      </c>
      <c r="H1151" s="68" t="inlineStr">
        <is>
          <t>DefRatio</t>
        </is>
      </c>
      <c r="I1151" s="68">
        <f>G1151</f>
        <v/>
      </c>
    </row>
    <row r="1152">
      <c r="A1152" s="68">
        <f>B1152&amp;TEXT(C1152,"0000")</f>
        <v/>
      </c>
      <c r="B1152" s="68" t="n">
        <v>200</v>
      </c>
      <c r="C1152" s="68" t="n">
        <v>249</v>
      </c>
      <c r="D1152" s="68" t="inlineStr">
        <is>
          <t>HpRatio</t>
        </is>
      </c>
      <c r="E1152" s="68" t="n">
        <v>153115709300</v>
      </c>
      <c r="F1152" s="68" t="inlineStr">
        <is>
          <t>AtkRatio</t>
        </is>
      </c>
      <c r="G1152" s="68" t="n">
        <v>1968965000</v>
      </c>
      <c r="H1152" s="68" t="inlineStr">
        <is>
          <t>DefRatio</t>
        </is>
      </c>
      <c r="I1152" s="68">
        <f>G1152</f>
        <v/>
      </c>
    </row>
    <row r="1153">
      <c r="A1153" s="68">
        <f>B1153&amp;TEXT(C1153,"0000")</f>
        <v/>
      </c>
      <c r="B1153" s="68" t="n">
        <v>200</v>
      </c>
      <c r="C1153" s="68" t="n">
        <v>250</v>
      </c>
      <c r="D1153" s="68" t="inlineStr">
        <is>
          <t>HpRatio</t>
        </is>
      </c>
      <c r="E1153" s="68" t="n">
        <v>159240341700</v>
      </c>
      <c r="F1153" s="68" t="inlineStr">
        <is>
          <t>AtkRatio</t>
        </is>
      </c>
      <c r="G1153" s="68" t="n">
        <v>2008346000</v>
      </c>
      <c r="H1153" s="68" t="inlineStr">
        <is>
          <t>DefRatio</t>
        </is>
      </c>
      <c r="I1153" s="68">
        <f>G1153</f>
        <v/>
      </c>
    </row>
    <row r="1154">
      <c r="A1154" s="68">
        <f>B1154&amp;TEXT(C1154,"0000")</f>
        <v/>
      </c>
      <c r="B1154" s="68" t="n">
        <v>200</v>
      </c>
      <c r="C1154" s="68" t="n">
        <v>251</v>
      </c>
      <c r="D1154" s="68" t="inlineStr">
        <is>
          <t>HpRatio</t>
        </is>
      </c>
      <c r="E1154" s="68" t="n">
        <v>165609959300</v>
      </c>
      <c r="F1154" s="68" t="inlineStr">
        <is>
          <t>AtkRatio</t>
        </is>
      </c>
      <c r="G1154" s="68" t="n">
        <v>2048515000</v>
      </c>
      <c r="H1154" s="68" t="inlineStr">
        <is>
          <t>DefRatio</t>
        </is>
      </c>
      <c r="I1154" s="68">
        <f>G1154</f>
        <v/>
      </c>
    </row>
    <row r="1155">
      <c r="A1155" s="68">
        <f>B1155&amp;TEXT(C1155,"0000")</f>
        <v/>
      </c>
      <c r="B1155" s="68" t="n">
        <v>200</v>
      </c>
      <c r="C1155" s="68" t="n">
        <v>252</v>
      </c>
      <c r="D1155" s="68" t="inlineStr">
        <is>
          <t>HpRatio</t>
        </is>
      </c>
      <c r="E1155" s="68" t="n">
        <v>172234361700</v>
      </c>
      <c r="F1155" s="68" t="inlineStr">
        <is>
          <t>AtkRatio</t>
        </is>
      </c>
      <c r="G1155" s="68" t="n">
        <v>2089487500</v>
      </c>
      <c r="H1155" s="68" t="inlineStr">
        <is>
          <t>DefRatio</t>
        </is>
      </c>
      <c r="I1155" s="68">
        <f>G1155</f>
        <v/>
      </c>
    </row>
    <row r="1156">
      <c r="A1156" s="68">
        <f>B1156&amp;TEXT(C1156,"0000")</f>
        <v/>
      </c>
      <c r="B1156" s="68" t="n">
        <v>200</v>
      </c>
      <c r="C1156" s="68" t="n">
        <v>253</v>
      </c>
      <c r="D1156" s="68" t="inlineStr">
        <is>
          <t>HpRatio</t>
        </is>
      </c>
      <c r="E1156" s="68" t="n">
        <v>179123740000</v>
      </c>
      <c r="F1156" s="68" t="inlineStr">
        <is>
          <t>AtkRatio</t>
        </is>
      </c>
      <c r="G1156" s="68" t="n">
        <v>2131279000</v>
      </c>
      <c r="H1156" s="68" t="inlineStr">
        <is>
          <t>DefRatio</t>
        </is>
      </c>
      <c r="I1156" s="68">
        <f>G1156</f>
        <v/>
      </c>
    </row>
    <row r="1157">
      <c r="A1157" s="68">
        <f>B1157&amp;TEXT(C1157,"0000")</f>
        <v/>
      </c>
      <c r="B1157" s="68" t="n">
        <v>200</v>
      </c>
      <c r="C1157" s="68" t="n">
        <v>254</v>
      </c>
      <c r="D1157" s="68" t="inlineStr">
        <is>
          <t>HpRatio</t>
        </is>
      </c>
      <c r="E1157" s="68" t="n">
        <v>186288693700</v>
      </c>
      <c r="F1157" s="68" t="inlineStr">
        <is>
          <t>AtkRatio</t>
        </is>
      </c>
      <c r="G1157" s="68" t="n">
        <v>2173906500</v>
      </c>
      <c r="H1157" s="68" t="inlineStr">
        <is>
          <t>DefRatio</t>
        </is>
      </c>
      <c r="I1157" s="68">
        <f>G1157</f>
        <v/>
      </c>
    </row>
    <row r="1158">
      <c r="A1158" s="68">
        <f>B1158&amp;TEXT(C1158,"0000")</f>
        <v/>
      </c>
      <c r="B1158" s="68" t="n">
        <v>200</v>
      </c>
      <c r="C1158" s="68" t="n">
        <v>255</v>
      </c>
      <c r="D1158" s="68" t="inlineStr">
        <is>
          <t>HpRatio</t>
        </is>
      </c>
      <c r="E1158" s="68" t="n">
        <v>193740245300</v>
      </c>
      <c r="F1158" s="68" t="inlineStr">
        <is>
          <t>AtkRatio</t>
        </is>
      </c>
      <c r="G1158" s="68" t="n">
        <v>2217387000</v>
      </c>
      <c r="H1158" s="68" t="inlineStr">
        <is>
          <t>DefRatio</t>
        </is>
      </c>
      <c r="I1158" s="68">
        <f>G1158</f>
        <v/>
      </c>
    </row>
    <row r="1159">
      <c r="A1159" s="68">
        <f>B1159&amp;TEXT(C1159,"0000")</f>
        <v/>
      </c>
      <c r="B1159" s="68" t="n">
        <v>200</v>
      </c>
      <c r="C1159" s="68" t="n">
        <v>256</v>
      </c>
      <c r="D1159" s="68" t="inlineStr">
        <is>
          <t>HpRatio</t>
        </is>
      </c>
      <c r="E1159" s="68" t="n">
        <v>201489859300</v>
      </c>
      <c r="F1159" s="68" t="inlineStr">
        <is>
          <t>AtkRatio</t>
        </is>
      </c>
      <c r="G1159" s="68" t="n">
        <v>2261736500</v>
      </c>
      <c r="H1159" s="68" t="inlineStr">
        <is>
          <t>DefRatio</t>
        </is>
      </c>
      <c r="I1159" s="68">
        <f>G1159</f>
        <v/>
      </c>
    </row>
    <row r="1160">
      <c r="A1160" s="68">
        <f>B1160&amp;TEXT(C1160,"0000")</f>
        <v/>
      </c>
      <c r="B1160" s="68" t="n">
        <v>200</v>
      </c>
      <c r="C1160" s="68" t="n">
        <v>257</v>
      </c>
      <c r="D1160" s="68" t="inlineStr">
        <is>
          <t>HpRatio</t>
        </is>
      </c>
      <c r="E1160" s="68" t="n">
        <v>209549457700</v>
      </c>
      <c r="F1160" s="68" t="inlineStr">
        <is>
          <t>AtkRatio</t>
        </is>
      </c>
      <c r="G1160" s="68" t="n">
        <v>2306973500</v>
      </c>
      <c r="H1160" s="68" t="inlineStr">
        <is>
          <t>DefRatio</t>
        </is>
      </c>
      <c r="I1160" s="68">
        <f>G1160</f>
        <v/>
      </c>
    </row>
    <row r="1161">
      <c r="A1161" s="68">
        <f>B1161&amp;TEXT(C1161,"0000")</f>
        <v/>
      </c>
      <c r="B1161" s="68" t="n">
        <v>200</v>
      </c>
      <c r="C1161" s="68" t="n">
        <v>258</v>
      </c>
      <c r="D1161" s="68" t="inlineStr">
        <is>
          <t>HpRatio</t>
        </is>
      </c>
      <c r="E1161" s="68" t="n">
        <v>217931440000</v>
      </c>
      <c r="F1161" s="68" t="inlineStr">
        <is>
          <t>AtkRatio</t>
        </is>
      </c>
      <c r="G1161" s="68" t="n">
        <v>2353115000</v>
      </c>
      <c r="H1161" s="68" t="inlineStr">
        <is>
          <t>DefRatio</t>
        </is>
      </c>
      <c r="I1161" s="68">
        <f>G1161</f>
        <v/>
      </c>
    </row>
    <row r="1162">
      <c r="A1162" s="68">
        <f>B1162&amp;TEXT(C1162,"0000")</f>
        <v/>
      </c>
      <c r="B1162" s="68" t="n">
        <v>200</v>
      </c>
      <c r="C1162" s="68" t="n">
        <v>259</v>
      </c>
      <c r="D1162" s="68" t="inlineStr">
        <is>
          <t>HpRatio</t>
        </is>
      </c>
      <c r="E1162" s="68" t="n">
        <v>226648701700</v>
      </c>
      <c r="F1162" s="68" t="inlineStr">
        <is>
          <t>AtkRatio</t>
        </is>
      </c>
      <c r="G1162" s="68" t="n">
        <v>2400179000</v>
      </c>
      <c r="H1162" s="68" t="inlineStr">
        <is>
          <t>DefRatio</t>
        </is>
      </c>
      <c r="I1162" s="68">
        <f>G1162</f>
        <v/>
      </c>
    </row>
    <row r="1163">
      <c r="A1163" s="68">
        <f>B1163&amp;TEXT(C1163,"0000")</f>
        <v/>
      </c>
      <c r="B1163" s="68" t="n">
        <v>200</v>
      </c>
      <c r="C1163" s="68" t="n">
        <v>260</v>
      </c>
      <c r="D1163" s="68" t="inlineStr">
        <is>
          <t>HpRatio</t>
        </is>
      </c>
      <c r="E1163" s="68" t="n">
        <v>235714653700</v>
      </c>
      <c r="F1163" s="68" t="inlineStr">
        <is>
          <t>AtkRatio</t>
        </is>
      </c>
      <c r="G1163" s="68" t="n">
        <v>2448184500</v>
      </c>
      <c r="H1163" s="68" t="inlineStr">
        <is>
          <t>DefRatio</t>
        </is>
      </c>
      <c r="I1163" s="68">
        <f>G1163</f>
        <v/>
      </c>
    </row>
    <row r="1164">
      <c r="A1164" s="68">
        <f>B1164&amp;TEXT(C1164,"0000")</f>
        <v/>
      </c>
      <c r="B1164" s="68" t="n">
        <v>200</v>
      </c>
      <c r="C1164" s="68" t="n">
        <v>261</v>
      </c>
      <c r="D1164" s="68" t="inlineStr">
        <is>
          <t>HpRatio</t>
        </is>
      </c>
      <c r="E1164" s="68" t="n">
        <v>245143244000</v>
      </c>
      <c r="F1164" s="68" t="inlineStr">
        <is>
          <t>AtkRatio</t>
        </is>
      </c>
      <c r="G1164" s="68" t="n">
        <v>2497150500</v>
      </c>
      <c r="H1164" s="68" t="inlineStr">
        <is>
          <t>DefRatio</t>
        </is>
      </c>
      <c r="I1164" s="68">
        <f>G1164</f>
        <v/>
      </c>
    </row>
    <row r="1165">
      <c r="A1165" s="68">
        <f>B1165&amp;TEXT(C1165,"0000")</f>
        <v/>
      </c>
      <c r="B1165" s="68" t="n">
        <v>200</v>
      </c>
      <c r="C1165" s="68" t="n">
        <v>262</v>
      </c>
      <c r="D1165" s="68" t="inlineStr">
        <is>
          <t>HpRatio</t>
        </is>
      </c>
      <c r="E1165" s="68" t="n">
        <v>254948977700</v>
      </c>
      <c r="F1165" s="68" t="inlineStr">
        <is>
          <t>AtkRatio</t>
        </is>
      </c>
      <c r="G1165" s="68" t="n">
        <v>2547095500</v>
      </c>
      <c r="H1165" s="68" t="inlineStr">
        <is>
          <t>DefRatio</t>
        </is>
      </c>
      <c r="I1165" s="68">
        <f>G1165</f>
        <v/>
      </c>
    </row>
    <row r="1166">
      <c r="A1166" s="68">
        <f>B1166&amp;TEXT(C1166,"0000")</f>
        <v/>
      </c>
      <c r="B1166" s="68" t="n">
        <v>200</v>
      </c>
      <c r="C1166" s="68" t="n">
        <v>263</v>
      </c>
      <c r="D1166" s="68" t="inlineStr">
        <is>
          <t>HpRatio</t>
        </is>
      </c>
      <c r="E1166" s="68" t="n">
        <v>265146940700</v>
      </c>
      <c r="F1166" s="68" t="inlineStr">
        <is>
          <t>AtkRatio</t>
        </is>
      </c>
      <c r="G1166" s="68" t="n">
        <v>2598039500</v>
      </c>
      <c r="H1166" s="68" t="inlineStr">
        <is>
          <t>DefRatio</t>
        </is>
      </c>
      <c r="I1166" s="68">
        <f>G1166</f>
        <v/>
      </c>
    </row>
    <row r="1167">
      <c r="A1167" s="68">
        <f>B1167&amp;TEXT(C1167,"0000")</f>
        <v/>
      </c>
      <c r="B1167" s="68" t="n">
        <v>200</v>
      </c>
      <c r="C1167" s="68" t="n">
        <v>264</v>
      </c>
      <c r="D1167" s="68" t="inlineStr">
        <is>
          <t>HpRatio</t>
        </is>
      </c>
      <c r="E1167" s="68" t="n">
        <v>275752822300</v>
      </c>
      <c r="F1167" s="68" t="inlineStr">
        <is>
          <t>AtkRatio</t>
        </is>
      </c>
      <c r="G1167" s="68" t="n">
        <v>2650002000</v>
      </c>
      <c r="H1167" s="68" t="inlineStr">
        <is>
          <t>DefRatio</t>
        </is>
      </c>
      <c r="I1167" s="68">
        <f>G1167</f>
        <v/>
      </c>
    </row>
    <row r="1168">
      <c r="A1168" s="68">
        <f>B1168&amp;TEXT(C1168,"0000")</f>
        <v/>
      </c>
      <c r="B1168" s="68" t="n">
        <v>200</v>
      </c>
      <c r="C1168" s="68" t="n">
        <v>265</v>
      </c>
      <c r="D1168" s="68" t="inlineStr">
        <is>
          <t>HpRatio</t>
        </is>
      </c>
      <c r="E1168" s="68" t="n">
        <v>286782939300</v>
      </c>
      <c r="F1168" s="68" t="inlineStr">
        <is>
          <t>AtkRatio</t>
        </is>
      </c>
      <c r="G1168" s="68" t="n">
        <v>2703004000</v>
      </c>
      <c r="H1168" s="68" t="inlineStr">
        <is>
          <t>DefRatio</t>
        </is>
      </c>
      <c r="I1168" s="68">
        <f>G1168</f>
        <v/>
      </c>
    </row>
    <row r="1169">
      <c r="A1169" s="68">
        <f>B1169&amp;TEXT(C1169,"0000")</f>
        <v/>
      </c>
      <c r="B1169" s="68" t="n">
        <v>200</v>
      </c>
      <c r="C1169" s="68" t="n">
        <v>266</v>
      </c>
      <c r="D1169" s="68" t="inlineStr">
        <is>
          <t>HpRatio</t>
        </is>
      </c>
      <c r="E1169" s="68" t="n">
        <v>298254261000</v>
      </c>
      <c r="F1169" s="68" t="inlineStr">
        <is>
          <t>AtkRatio</t>
        </is>
      </c>
      <c r="G1169" s="68" t="n">
        <v>2757066000</v>
      </c>
      <c r="H1169" s="68" t="inlineStr">
        <is>
          <t>DefRatio</t>
        </is>
      </c>
      <c r="I1169" s="68">
        <f>G1169</f>
        <v/>
      </c>
    </row>
    <row r="1170">
      <c r="A1170" s="68">
        <f>B1170&amp;TEXT(C1170,"0000")</f>
        <v/>
      </c>
      <c r="B1170" s="68" t="n">
        <v>200</v>
      </c>
      <c r="C1170" s="68" t="n">
        <v>267</v>
      </c>
      <c r="D1170" s="68" t="inlineStr">
        <is>
          <t>HpRatio</t>
        </is>
      </c>
      <c r="E1170" s="68" t="n">
        <v>310184435300</v>
      </c>
      <c r="F1170" s="68" t="inlineStr">
        <is>
          <t>AtkRatio</t>
        </is>
      </c>
      <c r="G1170" s="68" t="n">
        <v>2812209500</v>
      </c>
      <c r="H1170" s="68" t="inlineStr">
        <is>
          <t>DefRatio</t>
        </is>
      </c>
      <c r="I1170" s="68">
        <f>G1170</f>
        <v/>
      </c>
    </row>
    <row r="1171">
      <c r="A1171" s="68">
        <f>B1171&amp;TEXT(C1171,"0000")</f>
        <v/>
      </c>
      <c r="B1171" s="68" t="n">
        <v>200</v>
      </c>
      <c r="C1171" s="68" t="n">
        <v>268</v>
      </c>
      <c r="D1171" s="68" t="inlineStr">
        <is>
          <t>HpRatio</t>
        </is>
      </c>
      <c r="E1171" s="68" t="n">
        <v>322591816700</v>
      </c>
      <c r="F1171" s="68" t="inlineStr">
        <is>
          <t>AtkRatio</t>
        </is>
      </c>
      <c r="G1171" s="68" t="n">
        <v>2868455500</v>
      </c>
      <c r="H1171" s="68" t="inlineStr">
        <is>
          <t>DefRatio</t>
        </is>
      </c>
      <c r="I1171" s="68">
        <f>G1171</f>
        <v/>
      </c>
    </row>
    <row r="1172">
      <c r="A1172" s="68">
        <f>B1172&amp;TEXT(C1172,"0000")</f>
        <v/>
      </c>
      <c r="B1172" s="68" t="n">
        <v>200</v>
      </c>
      <c r="C1172" s="68" t="n">
        <v>269</v>
      </c>
      <c r="D1172" s="68" t="inlineStr">
        <is>
          <t>HpRatio</t>
        </is>
      </c>
      <c r="E1172" s="68" t="n">
        <v>335495493300</v>
      </c>
      <c r="F1172" s="68" t="inlineStr">
        <is>
          <t>AtkRatio</t>
        </is>
      </c>
      <c r="G1172" s="68" t="n">
        <v>2925827000</v>
      </c>
      <c r="H1172" s="68" t="inlineStr">
        <is>
          <t>DefRatio</t>
        </is>
      </c>
      <c r="I1172" s="68">
        <f>G1172</f>
        <v/>
      </c>
    </row>
    <row r="1173">
      <c r="A1173" s="68">
        <f>B1173&amp;TEXT(C1173,"0000")</f>
        <v/>
      </c>
      <c r="B1173" s="68" t="n">
        <v>200</v>
      </c>
      <c r="C1173" s="68" t="n">
        <v>270</v>
      </c>
      <c r="D1173" s="68" t="inlineStr">
        <is>
          <t>HpRatio</t>
        </is>
      </c>
      <c r="E1173" s="68" t="n">
        <v>348915317000</v>
      </c>
      <c r="F1173" s="68" t="inlineStr">
        <is>
          <t>AtkRatio</t>
        </is>
      </c>
      <c r="G1173" s="68" t="n">
        <v>2984345500</v>
      </c>
      <c r="H1173" s="68" t="inlineStr">
        <is>
          <t>DefRatio</t>
        </is>
      </c>
      <c r="I1173" s="68">
        <f>G1173</f>
        <v/>
      </c>
    </row>
    <row r="1174">
      <c r="A1174" s="68">
        <f>B1174&amp;TEXT(C1174,"0000")</f>
        <v/>
      </c>
      <c r="B1174" s="68" t="n">
        <v>200</v>
      </c>
      <c r="C1174" s="68" t="n">
        <v>271</v>
      </c>
      <c r="D1174" s="68" t="inlineStr">
        <is>
          <t>HpRatio</t>
        </is>
      </c>
      <c r="E1174" s="68" t="n">
        <v>362871933700</v>
      </c>
      <c r="F1174" s="68" t="inlineStr">
        <is>
          <t>AtkRatio</t>
        </is>
      </c>
      <c r="G1174" s="68" t="n">
        <v>3044034500</v>
      </c>
      <c r="H1174" s="68" t="inlineStr">
        <is>
          <t>DefRatio</t>
        </is>
      </c>
      <c r="I1174" s="68">
        <f>G1174</f>
        <v/>
      </c>
    </row>
    <row r="1175">
      <c r="A1175" s="68">
        <f>B1175&amp;TEXT(C1175,"0000")</f>
        <v/>
      </c>
      <c r="B1175" s="68" t="n">
        <v>200</v>
      </c>
      <c r="C1175" s="68" t="n">
        <v>272</v>
      </c>
      <c r="D1175" s="68" t="inlineStr">
        <is>
          <t>HpRatio</t>
        </is>
      </c>
      <c r="E1175" s="68" t="n">
        <v>377386815000</v>
      </c>
      <c r="F1175" s="68" t="inlineStr">
        <is>
          <t>AtkRatio</t>
        </is>
      </c>
      <c r="G1175" s="68" t="n">
        <v>3104917000</v>
      </c>
      <c r="H1175" s="68" t="inlineStr">
        <is>
          <t>DefRatio</t>
        </is>
      </c>
      <c r="I1175" s="68">
        <f>G1175</f>
        <v/>
      </c>
    </row>
    <row r="1176">
      <c r="A1176" s="68">
        <f>B1176&amp;TEXT(C1176,"0000")</f>
        <v/>
      </c>
      <c r="B1176" s="68" t="n">
        <v>200</v>
      </c>
      <c r="C1176" s="68" t="n">
        <v>273</v>
      </c>
      <c r="D1176" s="68" t="inlineStr">
        <is>
          <t>HpRatio</t>
        </is>
      </c>
      <c r="E1176" s="68" t="n">
        <v>392482291700</v>
      </c>
      <c r="F1176" s="68" t="inlineStr">
        <is>
          <t>AtkRatio</t>
        </is>
      </c>
      <c r="G1176" s="68" t="n">
        <v>3167017500</v>
      </c>
      <c r="H1176" s="68" t="inlineStr">
        <is>
          <t>DefRatio</t>
        </is>
      </c>
      <c r="I1176" s="68">
        <f>G1176</f>
        <v/>
      </c>
    </row>
    <row r="1177">
      <c r="A1177" s="68">
        <f>B1177&amp;TEXT(C1177,"0000")</f>
        <v/>
      </c>
      <c r="B1177" s="68" t="n">
        <v>200</v>
      </c>
      <c r="C1177" s="68" t="n">
        <v>274</v>
      </c>
      <c r="D1177" s="68" t="inlineStr">
        <is>
          <t>HpRatio</t>
        </is>
      </c>
      <c r="E1177" s="68" t="n">
        <v>408181587300</v>
      </c>
      <c r="F1177" s="68" t="inlineStr">
        <is>
          <t>AtkRatio</t>
        </is>
      </c>
      <c r="G1177" s="68" t="n">
        <v>3230359500</v>
      </c>
      <c r="H1177" s="68" t="inlineStr">
        <is>
          <t>DefRatio</t>
        </is>
      </c>
      <c r="I1177" s="68">
        <f>G1177</f>
        <v/>
      </c>
    </row>
    <row r="1178">
      <c r="A1178" s="68">
        <f>B1178&amp;TEXT(C1178,"0000")</f>
        <v/>
      </c>
      <c r="B1178" s="68" t="n">
        <v>200</v>
      </c>
      <c r="C1178" s="68" t="n">
        <v>275</v>
      </c>
      <c r="D1178" s="68" t="inlineStr">
        <is>
          <t>HpRatio</t>
        </is>
      </c>
      <c r="E1178" s="68" t="n">
        <v>424508855000</v>
      </c>
      <c r="F1178" s="68" t="inlineStr">
        <is>
          <t>AtkRatio</t>
        </is>
      </c>
      <c r="G1178" s="68" t="n">
        <v>3294969000</v>
      </c>
      <c r="H1178" s="68" t="inlineStr">
        <is>
          <t>DefRatio</t>
        </is>
      </c>
      <c r="I1178" s="68">
        <f>G1178</f>
        <v/>
      </c>
    </row>
    <row r="1179">
      <c r="A1179" s="68">
        <f>B1179&amp;TEXT(C1179,"0000")</f>
        <v/>
      </c>
      <c r="B1179" s="68" t="n">
        <v>200</v>
      </c>
      <c r="C1179" s="68" t="n">
        <v>276</v>
      </c>
      <c r="D1179" s="68" t="inlineStr">
        <is>
          <t>HpRatio</t>
        </is>
      </c>
      <c r="E1179" s="68" t="n">
        <v>441489213000</v>
      </c>
      <c r="F1179" s="68" t="inlineStr">
        <is>
          <t>AtkRatio</t>
        </is>
      </c>
      <c r="G1179" s="68" t="n">
        <v>3360870500</v>
      </c>
      <c r="H1179" s="68" t="inlineStr">
        <is>
          <t>DefRatio</t>
        </is>
      </c>
      <c r="I1179" s="68">
        <f>G1179</f>
        <v/>
      </c>
    </row>
    <row r="1180">
      <c r="A1180" s="68">
        <f>B1180&amp;TEXT(C1180,"0000")</f>
        <v/>
      </c>
      <c r="B1180" s="68" t="n">
        <v>200</v>
      </c>
      <c r="C1180" s="68" t="n">
        <v>277</v>
      </c>
      <c r="D1180" s="68" t="inlineStr">
        <is>
          <t>HpRatio</t>
        </is>
      </c>
      <c r="E1180" s="68" t="n">
        <v>459148785700</v>
      </c>
      <c r="F1180" s="68" t="inlineStr">
        <is>
          <t>AtkRatio</t>
        </is>
      </c>
      <c r="G1180" s="68" t="n">
        <v>3428089500</v>
      </c>
      <c r="H1180" s="68" t="inlineStr">
        <is>
          <t>DefRatio</t>
        </is>
      </c>
      <c r="I1180" s="68">
        <f>G1180</f>
        <v/>
      </c>
    </row>
    <row r="1181">
      <c r="A1181" s="68">
        <f>B1181&amp;TEXT(C1181,"0000")</f>
        <v/>
      </c>
      <c r="B1181" s="68" t="n">
        <v>200</v>
      </c>
      <c r="C1181" s="68" t="n">
        <v>278</v>
      </c>
      <c r="D1181" s="68" t="inlineStr">
        <is>
          <t>HpRatio</t>
        </is>
      </c>
      <c r="E1181" s="68" t="n">
        <v>477514741000</v>
      </c>
      <c r="F1181" s="68" t="inlineStr">
        <is>
          <t>AtkRatio</t>
        </is>
      </c>
      <c r="G1181" s="68" t="n">
        <v>3496653500</v>
      </c>
      <c r="H1181" s="68" t="inlineStr">
        <is>
          <t>DefRatio</t>
        </is>
      </c>
      <c r="I1181" s="68">
        <f>G1181</f>
        <v/>
      </c>
    </row>
    <row r="1182">
      <c r="A1182" s="68">
        <f>B1182&amp;TEXT(C1182,"0000")</f>
        <v/>
      </c>
      <c r="B1182" s="68" t="n">
        <v>200</v>
      </c>
      <c r="C1182" s="68" t="n">
        <v>279</v>
      </c>
      <c r="D1182" s="68" t="inlineStr">
        <is>
          <t>HpRatio</t>
        </is>
      </c>
      <c r="E1182" s="68" t="n">
        <v>496615334700</v>
      </c>
      <c r="F1182" s="68" t="inlineStr">
        <is>
          <t>AtkRatio</t>
        </is>
      </c>
      <c r="G1182" s="68" t="n">
        <v>3566588500</v>
      </c>
      <c r="H1182" s="68" t="inlineStr">
        <is>
          <t>DefRatio</t>
        </is>
      </c>
      <c r="I1182" s="68">
        <f>G1182</f>
        <v/>
      </c>
    </row>
    <row r="1183">
      <c r="A1183" s="68">
        <f>B1183&amp;TEXT(C1183,"0000")</f>
        <v/>
      </c>
      <c r="B1183" s="68" t="n">
        <v>200</v>
      </c>
      <c r="C1183" s="68" t="n">
        <v>280</v>
      </c>
      <c r="D1183" s="68" t="inlineStr">
        <is>
          <t>HpRatio</t>
        </is>
      </c>
      <c r="E1183" s="68" t="n">
        <v>516479952300</v>
      </c>
      <c r="F1183" s="68" t="inlineStr">
        <is>
          <t>AtkRatio</t>
        </is>
      </c>
      <c r="G1183" s="68" t="n">
        <v>3637922500</v>
      </c>
      <c r="H1183" s="68" t="inlineStr">
        <is>
          <t>DefRatio</t>
        </is>
      </c>
      <c r="I1183" s="68">
        <f>G1183</f>
        <v/>
      </c>
    </row>
    <row r="1184">
      <c r="A1184" s="68">
        <f>B1184&amp;TEXT(C1184,"0000")</f>
        <v/>
      </c>
      <c r="B1184" s="68" t="n">
        <v>200</v>
      </c>
      <c r="C1184" s="68" t="n">
        <v>281</v>
      </c>
      <c r="D1184" s="68" t="inlineStr">
        <is>
          <t>HpRatio</t>
        </is>
      </c>
      <c r="E1184" s="68" t="n">
        <v>537139154300</v>
      </c>
      <c r="F1184" s="68" t="inlineStr">
        <is>
          <t>AtkRatio</t>
        </is>
      </c>
      <c r="G1184" s="68" t="n">
        <v>3710683000</v>
      </c>
      <c r="H1184" s="68" t="inlineStr">
        <is>
          <t>DefRatio</t>
        </is>
      </c>
      <c r="I1184" s="68">
        <f>G1184</f>
        <v/>
      </c>
    </row>
    <row r="1185">
      <c r="A1185" s="68">
        <f>B1185&amp;TEXT(C1185,"0000")</f>
        <v/>
      </c>
      <c r="B1185" s="68" t="n">
        <v>200</v>
      </c>
      <c r="C1185" s="68" t="n">
        <v>282</v>
      </c>
      <c r="D1185" s="68" t="inlineStr">
        <is>
          <t>HpRatio</t>
        </is>
      </c>
      <c r="E1185" s="68" t="n">
        <v>558624724300</v>
      </c>
      <c r="F1185" s="68" t="inlineStr">
        <is>
          <t>AtkRatio</t>
        </is>
      </c>
      <c r="G1185" s="68" t="n">
        <v>3784898500</v>
      </c>
      <c r="H1185" s="68" t="inlineStr">
        <is>
          <t>DefRatio</t>
        </is>
      </c>
      <c r="I1185" s="68">
        <f>G1185</f>
        <v/>
      </c>
    </row>
    <row r="1186">
      <c r="A1186" s="68">
        <f>B1186&amp;TEXT(C1186,"0000")</f>
        <v/>
      </c>
      <c r="B1186" s="68" t="n">
        <v>200</v>
      </c>
      <c r="C1186" s="68" t="n">
        <v>283</v>
      </c>
      <c r="D1186" s="68" t="inlineStr">
        <is>
          <t>HpRatio</t>
        </is>
      </c>
      <c r="E1186" s="68" t="n">
        <v>580969717300</v>
      </c>
      <c r="F1186" s="68" t="inlineStr">
        <is>
          <t>AtkRatio</t>
        </is>
      </c>
      <c r="G1186" s="68" t="n">
        <v>3860598500</v>
      </c>
      <c r="H1186" s="68" t="inlineStr">
        <is>
          <t>DefRatio</t>
        </is>
      </c>
      <c r="I1186" s="68">
        <f>G1186</f>
        <v/>
      </c>
    </row>
    <row r="1187">
      <c r="A1187" s="68">
        <f>B1187&amp;TEXT(C1187,"0000")</f>
        <v/>
      </c>
      <c r="B1187" s="68" t="n">
        <v>200</v>
      </c>
      <c r="C1187" s="68" t="n">
        <v>284</v>
      </c>
      <c r="D1187" s="68" t="inlineStr">
        <is>
          <t>HpRatio</t>
        </is>
      </c>
      <c r="E1187" s="68" t="n">
        <v>604208510000</v>
      </c>
      <c r="F1187" s="68" t="inlineStr">
        <is>
          <t>AtkRatio</t>
        </is>
      </c>
      <c r="G1187" s="68" t="n">
        <v>3937812500</v>
      </c>
      <c r="H1187" s="68" t="inlineStr">
        <is>
          <t>DefRatio</t>
        </is>
      </c>
      <c r="I1187" s="68">
        <f>G1187</f>
        <v/>
      </c>
    </row>
    <row r="1188">
      <c r="A1188" s="68">
        <f>B1188&amp;TEXT(C1188,"0000")</f>
        <v/>
      </c>
      <c r="B1188" s="68" t="n">
        <v>200</v>
      </c>
      <c r="C1188" s="68" t="n">
        <v>285</v>
      </c>
      <c r="D1188" s="68" t="inlineStr">
        <is>
          <t>HpRatio</t>
        </is>
      </c>
      <c r="E1188" s="68" t="n">
        <v>628376854700</v>
      </c>
      <c r="F1188" s="68" t="inlineStr">
        <is>
          <t>AtkRatio</t>
        </is>
      </c>
      <c r="G1188" s="68" t="n">
        <v>4016570500</v>
      </c>
      <c r="H1188" s="68" t="inlineStr">
        <is>
          <t>DefRatio</t>
        </is>
      </c>
      <c r="I1188" s="68">
        <f>G1188</f>
        <v/>
      </c>
    </row>
    <row r="1189">
      <c r="A1189" s="68">
        <f>B1189&amp;TEXT(C1189,"0000")</f>
        <v/>
      </c>
      <c r="B1189" s="68" t="n">
        <v>200</v>
      </c>
      <c r="C1189" s="68" t="n">
        <v>286</v>
      </c>
      <c r="D1189" s="68" t="inlineStr">
        <is>
          <t>HpRatio</t>
        </is>
      </c>
      <c r="E1189" s="68" t="n">
        <v>653511932700</v>
      </c>
      <c r="F1189" s="68" t="inlineStr">
        <is>
          <t>AtkRatio</t>
        </is>
      </c>
      <c r="G1189" s="68" t="n">
        <v>4096904000</v>
      </c>
      <c r="H1189" s="68" t="inlineStr">
        <is>
          <t>DefRatio</t>
        </is>
      </c>
      <c r="I1189" s="68">
        <f>G1189</f>
        <v/>
      </c>
    </row>
    <row r="1190">
      <c r="A1190" s="68">
        <f>B1190&amp;TEXT(C1190,"0000")</f>
        <v/>
      </c>
      <c r="B1190" s="68" t="n">
        <v>200</v>
      </c>
      <c r="C1190" s="68" t="n">
        <v>287</v>
      </c>
      <c r="D1190" s="68" t="inlineStr">
        <is>
          <t>HpRatio</t>
        </is>
      </c>
      <c r="E1190" s="68" t="n">
        <v>679652414000</v>
      </c>
      <c r="F1190" s="68" t="inlineStr">
        <is>
          <t>AtkRatio</t>
        </is>
      </c>
      <c r="G1190" s="68" t="n">
        <v>4178844000</v>
      </c>
      <c r="H1190" s="68" t="inlineStr">
        <is>
          <t>DefRatio</t>
        </is>
      </c>
      <c r="I1190" s="68">
        <f>G1190</f>
        <v/>
      </c>
    </row>
    <row r="1191">
      <c r="A1191" s="68">
        <f>B1191&amp;TEXT(C1191,"0000")</f>
        <v/>
      </c>
      <c r="B1191" s="68" t="n">
        <v>200</v>
      </c>
      <c r="C1191" s="68" t="n">
        <v>288</v>
      </c>
      <c r="D1191" s="68" t="inlineStr">
        <is>
          <t>HpRatio</t>
        </is>
      </c>
      <c r="E1191" s="68" t="n">
        <v>706838514700</v>
      </c>
      <c r="F1191" s="68" t="inlineStr">
        <is>
          <t>AtkRatio</t>
        </is>
      </c>
      <c r="G1191" s="68" t="n">
        <v>4262423000</v>
      </c>
      <c r="H1191" s="68" t="inlineStr">
        <is>
          <t>DefRatio</t>
        </is>
      </c>
      <c r="I1191" s="68">
        <f>G1191</f>
        <v/>
      </c>
    </row>
    <row r="1192">
      <c r="A1192" s="68">
        <f>B1192&amp;TEXT(C1192,"0000")</f>
        <v/>
      </c>
      <c r="B1192" s="68" t="n">
        <v>200</v>
      </c>
      <c r="C1192" s="68" t="n">
        <v>289</v>
      </c>
      <c r="D1192" s="68" t="inlineStr">
        <is>
          <t>HpRatio</t>
        </is>
      </c>
      <c r="E1192" s="68" t="n">
        <v>735112059300</v>
      </c>
      <c r="F1192" s="68" t="inlineStr">
        <is>
          <t>AtkRatio</t>
        </is>
      </c>
      <c r="G1192" s="68" t="n">
        <v>4347673500</v>
      </c>
      <c r="H1192" s="68" t="inlineStr">
        <is>
          <t>DefRatio</t>
        </is>
      </c>
      <c r="I1192" s="68">
        <f>G1192</f>
        <v/>
      </c>
    </row>
    <row r="1193">
      <c r="A1193" s="68">
        <f>B1193&amp;TEXT(C1193,"0000")</f>
        <v/>
      </c>
      <c r="B1193" s="68" t="n">
        <v>200</v>
      </c>
      <c r="C1193" s="68" t="n">
        <v>290</v>
      </c>
      <c r="D1193" s="68" t="inlineStr">
        <is>
          <t>HpRatio</t>
        </is>
      </c>
      <c r="E1193" s="68" t="n">
        <v>764516545700</v>
      </c>
      <c r="F1193" s="68" t="inlineStr">
        <is>
          <t>AtkRatio</t>
        </is>
      </c>
      <c r="G1193" s="68" t="n">
        <v>4434629000</v>
      </c>
      <c r="H1193" s="68" t="inlineStr">
        <is>
          <t>DefRatio</t>
        </is>
      </c>
      <c r="I1193" s="68">
        <f>G1193</f>
        <v/>
      </c>
    </row>
    <row r="1194">
      <c r="A1194" s="68">
        <f>B1194&amp;TEXT(C1194,"0000")</f>
        <v/>
      </c>
      <c r="B1194" s="68" t="n">
        <v>200</v>
      </c>
      <c r="C1194" s="68" t="n">
        <v>291</v>
      </c>
      <c r="D1194" s="68" t="inlineStr">
        <is>
          <t>HpRatio</t>
        </is>
      </c>
      <c r="E1194" s="68" t="n">
        <v>795097211300</v>
      </c>
      <c r="F1194" s="68" t="inlineStr">
        <is>
          <t>AtkRatio</t>
        </is>
      </c>
      <c r="G1194" s="68" t="n">
        <v>4523323500</v>
      </c>
      <c r="H1194" s="68" t="inlineStr">
        <is>
          <t>DefRatio</t>
        </is>
      </c>
      <c r="I1194" s="68">
        <f>G1194</f>
        <v/>
      </c>
    </row>
    <row r="1195">
      <c r="A1195" s="68">
        <f>B1195&amp;TEXT(C1195,"0000")</f>
        <v/>
      </c>
      <c r="B1195" s="68" t="n">
        <v>200</v>
      </c>
      <c r="C1195" s="68" t="n">
        <v>292</v>
      </c>
      <c r="D1195" s="68" t="inlineStr">
        <is>
          <t>HpRatio</t>
        </is>
      </c>
      <c r="E1195" s="68" t="n">
        <v>826901104000</v>
      </c>
      <c r="F1195" s="68" t="inlineStr">
        <is>
          <t>AtkRatio</t>
        </is>
      </c>
      <c r="G1195" s="68" t="n">
        <v>4613792000</v>
      </c>
      <c r="H1195" s="68" t="inlineStr">
        <is>
          <t>DefRatio</t>
        </is>
      </c>
      <c r="I1195" s="68">
        <f>G1195</f>
        <v/>
      </c>
    </row>
    <row r="1196">
      <c r="A1196" s="68">
        <f>B1196&amp;TEXT(C1196,"0000")</f>
        <v/>
      </c>
      <c r="B1196" s="68" t="n">
        <v>200</v>
      </c>
      <c r="C1196" s="68" t="n">
        <v>293</v>
      </c>
      <c r="D1196" s="68" t="inlineStr">
        <is>
          <t>HpRatio</t>
        </is>
      </c>
      <c r="E1196" s="68" t="n">
        <v>859977152000</v>
      </c>
      <c r="F1196" s="68" t="inlineStr">
        <is>
          <t>AtkRatio</t>
        </is>
      </c>
      <c r="G1196" s="68" t="n">
        <v>4706070000</v>
      </c>
      <c r="H1196" s="68" t="inlineStr">
        <is>
          <t>DefRatio</t>
        </is>
      </c>
      <c r="I1196" s="68">
        <f>G1196</f>
        <v/>
      </c>
    </row>
    <row r="1197">
      <c r="A1197" s="68">
        <f>B1197&amp;TEXT(C1197,"0000")</f>
        <v/>
      </c>
      <c r="B1197" s="68" t="n">
        <v>200</v>
      </c>
      <c r="C1197" s="68" t="n">
        <v>294</v>
      </c>
      <c r="D1197" s="68" t="inlineStr">
        <is>
          <t>HpRatio</t>
        </is>
      </c>
      <c r="E1197" s="68" t="n">
        <v>894376242000</v>
      </c>
      <c r="F1197" s="68" t="inlineStr">
        <is>
          <t>AtkRatio</t>
        </is>
      </c>
      <c r="G1197" s="68" t="n">
        <v>4800193500</v>
      </c>
      <c r="H1197" s="68" t="inlineStr">
        <is>
          <t>DefRatio</t>
        </is>
      </c>
      <c r="I1197" s="68">
        <f>G1197</f>
        <v/>
      </c>
    </row>
    <row r="1198">
      <c r="A1198" s="68">
        <f>B1198&amp;TEXT(C1198,"0000")</f>
        <v/>
      </c>
      <c r="B1198" s="68" t="n">
        <v>200</v>
      </c>
      <c r="C1198" s="68" t="n">
        <v>295</v>
      </c>
      <c r="D1198" s="68" t="inlineStr">
        <is>
          <t>HpRatio</t>
        </is>
      </c>
      <c r="E1198" s="68" t="n">
        <v>930151296000</v>
      </c>
      <c r="F1198" s="68" t="inlineStr">
        <is>
          <t>AtkRatio</t>
        </is>
      </c>
      <c r="G1198" s="68" t="n">
        <v>4896199000</v>
      </c>
      <c r="H1198" s="68" t="inlineStr">
        <is>
          <t>DefRatio</t>
        </is>
      </c>
      <c r="I1198" s="68">
        <f>G1198</f>
        <v/>
      </c>
    </row>
    <row r="1199">
      <c r="A1199" s="68">
        <f>B1199&amp;TEXT(C1199,"0000")</f>
        <v/>
      </c>
      <c r="B1199" s="68" t="n">
        <v>200</v>
      </c>
      <c r="C1199" s="68" t="n">
        <v>296</v>
      </c>
      <c r="D1199" s="68" t="inlineStr">
        <is>
          <t>HpRatio</t>
        </is>
      </c>
      <c r="E1199" s="68" t="n">
        <v>967357351700</v>
      </c>
      <c r="F1199" s="68" t="inlineStr">
        <is>
          <t>AtkRatio</t>
        </is>
      </c>
      <c r="G1199" s="68" t="n">
        <v>4994125000</v>
      </c>
      <c r="H1199" s="68" t="inlineStr">
        <is>
          <t>DefRatio</t>
        </is>
      </c>
      <c r="I1199" s="68">
        <f>G1199</f>
        <v/>
      </c>
    </row>
    <row r="1200">
      <c r="A1200" s="68">
        <f>B1200&amp;TEXT(C1200,"0000")</f>
        <v/>
      </c>
      <c r="B1200" s="68" t="n">
        <v>200</v>
      </c>
      <c r="C1200" s="68" t="n">
        <v>297</v>
      </c>
      <c r="D1200" s="68" t="inlineStr">
        <is>
          <t>HpRatio</t>
        </is>
      </c>
      <c r="E1200" s="68" t="n">
        <v>1006051649700</v>
      </c>
      <c r="F1200" s="68" t="inlineStr">
        <is>
          <t>AtkRatio</t>
        </is>
      </c>
      <c r="G1200" s="68" t="n">
        <v>5094009500</v>
      </c>
      <c r="H1200" s="68" t="inlineStr">
        <is>
          <t>DefRatio</t>
        </is>
      </c>
      <c r="I1200" s="68">
        <f>G1200</f>
        <v/>
      </c>
    </row>
    <row r="1201">
      <c r="A1201" s="68">
        <f>B1201&amp;TEXT(C1201,"0000")</f>
        <v/>
      </c>
      <c r="B1201" s="68" t="n">
        <v>200</v>
      </c>
      <c r="C1201" s="68" t="n">
        <v>298</v>
      </c>
      <c r="D1201" s="68" t="inlineStr">
        <is>
          <t>HpRatio</t>
        </is>
      </c>
      <c r="E1201" s="68" t="n">
        <v>1046293719700</v>
      </c>
      <c r="F1201" s="68" t="inlineStr">
        <is>
          <t>AtkRatio</t>
        </is>
      </c>
      <c r="G1201" s="68" t="n">
        <v>5195892000</v>
      </c>
      <c r="H1201" s="68" t="inlineStr">
        <is>
          <t>DefRatio</t>
        </is>
      </c>
      <c r="I1201" s="68">
        <f>G1201</f>
        <v/>
      </c>
    </row>
    <row r="1202">
      <c r="A1202" s="68">
        <f>B1202&amp;TEXT(C1202,"0000")</f>
        <v/>
      </c>
      <c r="B1202" s="68" t="n">
        <v>200</v>
      </c>
      <c r="C1202" s="68" t="n">
        <v>299</v>
      </c>
      <c r="D1202" s="68" t="inlineStr">
        <is>
          <t>HpRatio</t>
        </is>
      </c>
      <c r="E1202" s="68" t="n">
        <v>1088145472700</v>
      </c>
      <c r="F1202" s="68" t="inlineStr">
        <is>
          <t>AtkRatio</t>
        </is>
      </c>
      <c r="G1202" s="68" t="n">
        <v>5299811500</v>
      </c>
      <c r="H1202" s="68" t="inlineStr">
        <is>
          <t>DefRatio</t>
        </is>
      </c>
      <c r="I1202" s="68">
        <f>G1202</f>
        <v/>
      </c>
    </row>
    <row r="1203">
      <c r="A1203" s="68">
        <f>B1203&amp;TEXT(C1203,"0000")</f>
        <v/>
      </c>
      <c r="B1203" s="68" t="n">
        <v>200</v>
      </c>
      <c r="C1203" s="68" t="n">
        <v>300</v>
      </c>
      <c r="D1203" s="68" t="inlineStr">
        <is>
          <t>HpRatio</t>
        </is>
      </c>
      <c r="E1203" s="68" t="n">
        <v>1131671295300</v>
      </c>
      <c r="F1203" s="68" t="inlineStr">
        <is>
          <t>AtkRatio</t>
        </is>
      </c>
      <c r="G1203" s="68" t="n">
        <v>5405810000</v>
      </c>
      <c r="H1203" s="68" t="inlineStr">
        <is>
          <t>DefRatio</t>
        </is>
      </c>
      <c r="I1203" s="68">
        <f>G1203</f>
        <v/>
      </c>
    </row>
    <row r="1204">
      <c r="A1204" s="68">
        <f>B1204&amp;TEXT(C1204,"0000")</f>
        <v/>
      </c>
      <c r="B1204" s="68" t="n">
        <v>200</v>
      </c>
      <c r="C1204" s="68" t="n">
        <v>301</v>
      </c>
      <c r="D1204" s="68" t="inlineStr">
        <is>
          <t>HpRatio</t>
        </is>
      </c>
      <c r="E1204" s="68">
        <f>INT(E1203*1.01)</f>
        <v/>
      </c>
      <c r="F1204" s="68" t="inlineStr">
        <is>
          <t>AtkRatio</t>
        </is>
      </c>
      <c r="G1204" s="68">
        <f>INT(G1203*1.01)</f>
        <v/>
      </c>
      <c r="H1204" s="68" t="inlineStr">
        <is>
          <t>DefRatio</t>
        </is>
      </c>
      <c r="I1204" s="68">
        <f>G1204</f>
        <v/>
      </c>
    </row>
    <row r="1205">
      <c r="A1205" s="68">
        <f>B1205&amp;TEXT(C1205,"0000")</f>
        <v/>
      </c>
      <c r="B1205" s="68" t="n">
        <v>200</v>
      </c>
      <c r="C1205" s="68" t="n">
        <v>302</v>
      </c>
      <c r="D1205" s="68" t="inlineStr">
        <is>
          <t>HpRatio</t>
        </is>
      </c>
      <c r="E1205" s="68">
        <f>INT(E1204*1.01)</f>
        <v/>
      </c>
      <c r="F1205" s="68" t="inlineStr">
        <is>
          <t>AtkRatio</t>
        </is>
      </c>
      <c r="G1205" s="68">
        <f>INT(G1204*1.01)</f>
        <v/>
      </c>
      <c r="H1205" s="68" t="inlineStr">
        <is>
          <t>DefRatio</t>
        </is>
      </c>
      <c r="I1205" s="68">
        <f>G1205</f>
        <v/>
      </c>
    </row>
    <row r="1206">
      <c r="A1206" s="68">
        <f>B1206&amp;TEXT(C1206,"0000")</f>
        <v/>
      </c>
      <c r="B1206" s="68" t="n">
        <v>200</v>
      </c>
      <c r="C1206" s="68" t="n">
        <v>303</v>
      </c>
      <c r="D1206" s="68" t="inlineStr">
        <is>
          <t>HpRatio</t>
        </is>
      </c>
      <c r="E1206" s="68">
        <f>INT(E1205*1.01)</f>
        <v/>
      </c>
      <c r="F1206" s="68" t="inlineStr">
        <is>
          <t>AtkRatio</t>
        </is>
      </c>
      <c r="G1206" s="68">
        <f>INT(G1205*1.01)</f>
        <v/>
      </c>
      <c r="H1206" s="68" t="inlineStr">
        <is>
          <t>DefRatio</t>
        </is>
      </c>
      <c r="I1206" s="68">
        <f>G1206</f>
        <v/>
      </c>
    </row>
    <row r="1207">
      <c r="A1207" s="68">
        <f>B1207&amp;TEXT(C1207,"0000")</f>
        <v/>
      </c>
      <c r="B1207" s="68" t="n">
        <v>200</v>
      </c>
      <c r="C1207" s="68" t="n">
        <v>304</v>
      </c>
      <c r="D1207" s="68" t="inlineStr">
        <is>
          <t>HpRatio</t>
        </is>
      </c>
      <c r="E1207" s="68">
        <f>INT(E1206*1.01)</f>
        <v/>
      </c>
      <c r="F1207" s="68" t="inlineStr">
        <is>
          <t>AtkRatio</t>
        </is>
      </c>
      <c r="G1207" s="68">
        <f>INT(G1206*1.01)</f>
        <v/>
      </c>
      <c r="H1207" s="68" t="inlineStr">
        <is>
          <t>DefRatio</t>
        </is>
      </c>
      <c r="I1207" s="68">
        <f>G1207</f>
        <v/>
      </c>
    </row>
    <row r="1208">
      <c r="A1208" s="68">
        <f>B1208&amp;TEXT(C1208,"0000")</f>
        <v/>
      </c>
      <c r="B1208" s="68" t="n">
        <v>200</v>
      </c>
      <c r="C1208" s="68" t="n">
        <v>305</v>
      </c>
      <c r="D1208" s="68" t="inlineStr">
        <is>
          <t>HpRatio</t>
        </is>
      </c>
      <c r="E1208" s="68">
        <f>INT(E1207*1.01)</f>
        <v/>
      </c>
      <c r="F1208" s="68" t="inlineStr">
        <is>
          <t>AtkRatio</t>
        </is>
      </c>
      <c r="G1208" s="68">
        <f>INT(G1207*1.01)</f>
        <v/>
      </c>
      <c r="H1208" s="68" t="inlineStr">
        <is>
          <t>DefRatio</t>
        </is>
      </c>
      <c r="I1208" s="68">
        <f>G1208</f>
        <v/>
      </c>
    </row>
    <row r="1209">
      <c r="A1209" s="68">
        <f>B1209&amp;TEXT(C1209,"0000")</f>
        <v/>
      </c>
      <c r="B1209" s="68" t="n">
        <v>200</v>
      </c>
      <c r="C1209" s="68" t="n">
        <v>306</v>
      </c>
      <c r="D1209" s="68" t="inlineStr">
        <is>
          <t>HpRatio</t>
        </is>
      </c>
      <c r="E1209" s="68">
        <f>INT(E1208*1.01)</f>
        <v/>
      </c>
      <c r="F1209" s="68" t="inlineStr">
        <is>
          <t>AtkRatio</t>
        </is>
      </c>
      <c r="G1209" s="68">
        <f>INT(G1208*1.01)</f>
        <v/>
      </c>
      <c r="H1209" s="68" t="inlineStr">
        <is>
          <t>DefRatio</t>
        </is>
      </c>
      <c r="I1209" s="68">
        <f>G1209</f>
        <v/>
      </c>
    </row>
    <row r="1210">
      <c r="A1210" s="68">
        <f>B1210&amp;TEXT(C1210,"0000")</f>
        <v/>
      </c>
      <c r="B1210" s="68" t="n">
        <v>200</v>
      </c>
      <c r="C1210" s="68" t="n">
        <v>307</v>
      </c>
      <c r="D1210" s="68" t="inlineStr">
        <is>
          <t>HpRatio</t>
        </is>
      </c>
      <c r="E1210" s="68">
        <f>INT(E1209*1.01)</f>
        <v/>
      </c>
      <c r="F1210" s="68" t="inlineStr">
        <is>
          <t>AtkRatio</t>
        </is>
      </c>
      <c r="G1210" s="68">
        <f>INT(G1209*1.01)</f>
        <v/>
      </c>
      <c r="H1210" s="68" t="inlineStr">
        <is>
          <t>DefRatio</t>
        </is>
      </c>
      <c r="I1210" s="68">
        <f>G1210</f>
        <v/>
      </c>
    </row>
    <row r="1211">
      <c r="A1211" s="68">
        <f>B1211&amp;TEXT(C1211,"0000")</f>
        <v/>
      </c>
      <c r="B1211" s="68" t="n">
        <v>200</v>
      </c>
      <c r="C1211" s="68" t="n">
        <v>308</v>
      </c>
      <c r="D1211" s="68" t="inlineStr">
        <is>
          <t>HpRatio</t>
        </is>
      </c>
      <c r="E1211" s="68">
        <f>INT(E1210*1.01)</f>
        <v/>
      </c>
      <c r="F1211" s="68" t="inlineStr">
        <is>
          <t>AtkRatio</t>
        </is>
      </c>
      <c r="G1211" s="68">
        <f>INT(G1210*1.01)</f>
        <v/>
      </c>
      <c r="H1211" s="68" t="inlineStr">
        <is>
          <t>DefRatio</t>
        </is>
      </c>
      <c r="I1211" s="68">
        <f>G1211</f>
        <v/>
      </c>
    </row>
    <row r="1212">
      <c r="A1212" s="68">
        <f>B1212&amp;TEXT(C1212,"0000")</f>
        <v/>
      </c>
      <c r="B1212" s="68" t="n">
        <v>200</v>
      </c>
      <c r="C1212" s="68" t="n">
        <v>309</v>
      </c>
      <c r="D1212" s="68" t="inlineStr">
        <is>
          <t>HpRatio</t>
        </is>
      </c>
      <c r="E1212" s="68">
        <f>INT(E1211*1.01)</f>
        <v/>
      </c>
      <c r="F1212" s="68" t="inlineStr">
        <is>
          <t>AtkRatio</t>
        </is>
      </c>
      <c r="G1212" s="68">
        <f>INT(G1211*1.01)</f>
        <v/>
      </c>
      <c r="H1212" s="68" t="inlineStr">
        <is>
          <t>DefRatio</t>
        </is>
      </c>
      <c r="I1212" s="68">
        <f>G1212</f>
        <v/>
      </c>
    </row>
    <row r="1213">
      <c r="A1213" s="68">
        <f>B1213&amp;TEXT(C1213,"0000")</f>
        <v/>
      </c>
      <c r="B1213" s="68" t="n">
        <v>200</v>
      </c>
      <c r="C1213" s="68" t="n">
        <v>310</v>
      </c>
      <c r="D1213" s="68" t="inlineStr">
        <is>
          <t>HpRatio</t>
        </is>
      </c>
      <c r="E1213" s="68">
        <f>INT(E1212*1.01)</f>
        <v/>
      </c>
      <c r="F1213" s="68" t="inlineStr">
        <is>
          <t>AtkRatio</t>
        </is>
      </c>
      <c r="G1213" s="68">
        <f>INT(G1212*1.01)</f>
        <v/>
      </c>
      <c r="H1213" s="68" t="inlineStr">
        <is>
          <t>DefRatio</t>
        </is>
      </c>
      <c r="I1213" s="68">
        <f>G1213</f>
        <v/>
      </c>
    </row>
    <row r="1214">
      <c r="A1214" s="68">
        <f>B1214&amp;TEXT(C1214,"0000")</f>
        <v/>
      </c>
      <c r="B1214" s="68" t="n">
        <v>200</v>
      </c>
      <c r="C1214" s="68" t="n">
        <v>311</v>
      </c>
      <c r="D1214" s="68" t="inlineStr">
        <is>
          <t>HpRatio</t>
        </is>
      </c>
      <c r="E1214" s="68">
        <f>INT(E1213*1.01)</f>
        <v/>
      </c>
      <c r="F1214" s="68" t="inlineStr">
        <is>
          <t>AtkRatio</t>
        </is>
      </c>
      <c r="G1214" s="68">
        <f>INT(G1213*1.01)</f>
        <v/>
      </c>
      <c r="H1214" s="68" t="inlineStr">
        <is>
          <t>DefRatio</t>
        </is>
      </c>
      <c r="I1214" s="68">
        <f>G1214</f>
        <v/>
      </c>
    </row>
    <row r="1215">
      <c r="A1215" s="68">
        <f>B1215&amp;TEXT(C1215,"0000")</f>
        <v/>
      </c>
      <c r="B1215" s="68" t="n">
        <v>200</v>
      </c>
      <c r="C1215" s="68" t="n">
        <v>312</v>
      </c>
      <c r="D1215" s="68" t="inlineStr">
        <is>
          <t>HpRatio</t>
        </is>
      </c>
      <c r="E1215" s="68">
        <f>INT(E1214*1.01)</f>
        <v/>
      </c>
      <c r="F1215" s="68" t="inlineStr">
        <is>
          <t>AtkRatio</t>
        </is>
      </c>
      <c r="G1215" s="68">
        <f>INT(G1214*1.01)</f>
        <v/>
      </c>
      <c r="H1215" s="68" t="inlineStr">
        <is>
          <t>DefRatio</t>
        </is>
      </c>
      <c r="I1215" s="68">
        <f>G1215</f>
        <v/>
      </c>
    </row>
    <row r="1216">
      <c r="A1216" s="68">
        <f>B1216&amp;TEXT(C1216,"0000")</f>
        <v/>
      </c>
      <c r="B1216" s="68" t="n">
        <v>200</v>
      </c>
      <c r="C1216" s="68" t="n">
        <v>313</v>
      </c>
      <c r="D1216" s="68" t="inlineStr">
        <is>
          <t>HpRatio</t>
        </is>
      </c>
      <c r="E1216" s="68">
        <f>INT(E1215*1.01)</f>
        <v/>
      </c>
      <c r="F1216" s="68" t="inlineStr">
        <is>
          <t>AtkRatio</t>
        </is>
      </c>
      <c r="G1216" s="68">
        <f>INT(G1215*1.01)</f>
        <v/>
      </c>
      <c r="H1216" s="68" t="inlineStr">
        <is>
          <t>DefRatio</t>
        </is>
      </c>
      <c r="I1216" s="68">
        <f>G1216</f>
        <v/>
      </c>
    </row>
    <row r="1217">
      <c r="A1217" s="68">
        <f>B1217&amp;TEXT(C1217,"0000")</f>
        <v/>
      </c>
      <c r="B1217" s="68" t="n">
        <v>200</v>
      </c>
      <c r="C1217" s="68" t="n">
        <v>314</v>
      </c>
      <c r="D1217" s="68" t="inlineStr">
        <is>
          <t>HpRatio</t>
        </is>
      </c>
      <c r="E1217" s="68">
        <f>INT(E1216*1.01)</f>
        <v/>
      </c>
      <c r="F1217" s="68" t="inlineStr">
        <is>
          <t>AtkRatio</t>
        </is>
      </c>
      <c r="G1217" s="68">
        <f>INT(G1216*1.01)</f>
        <v/>
      </c>
      <c r="H1217" s="68" t="inlineStr">
        <is>
          <t>DefRatio</t>
        </is>
      </c>
      <c r="I1217" s="68">
        <f>G1217</f>
        <v/>
      </c>
    </row>
    <row r="1218">
      <c r="A1218" s="68">
        <f>B1218&amp;TEXT(C1218,"0000")</f>
        <v/>
      </c>
      <c r="B1218" s="68" t="n">
        <v>200</v>
      </c>
      <c r="C1218" s="68" t="n">
        <v>315</v>
      </c>
      <c r="D1218" s="68" t="inlineStr">
        <is>
          <t>HpRatio</t>
        </is>
      </c>
      <c r="E1218" s="68">
        <f>INT(E1217*1.01)</f>
        <v/>
      </c>
      <c r="F1218" s="68" t="inlineStr">
        <is>
          <t>AtkRatio</t>
        </is>
      </c>
      <c r="G1218" s="68">
        <f>INT(G1217*1.01)</f>
        <v/>
      </c>
      <c r="H1218" s="68" t="inlineStr">
        <is>
          <t>DefRatio</t>
        </is>
      </c>
      <c r="I1218" s="68">
        <f>G1218</f>
        <v/>
      </c>
    </row>
    <row r="1219">
      <c r="A1219" s="68">
        <f>B1219&amp;TEXT(C1219,"0000")</f>
        <v/>
      </c>
      <c r="B1219" s="68" t="n">
        <v>200</v>
      </c>
      <c r="C1219" s="68" t="n">
        <v>316</v>
      </c>
      <c r="D1219" s="68" t="inlineStr">
        <is>
          <t>HpRatio</t>
        </is>
      </c>
      <c r="E1219" s="68">
        <f>INT(E1218*1.01)</f>
        <v/>
      </c>
      <c r="F1219" s="68" t="inlineStr">
        <is>
          <t>AtkRatio</t>
        </is>
      </c>
      <c r="G1219" s="68">
        <f>INT(G1218*1.01)</f>
        <v/>
      </c>
      <c r="H1219" s="68" t="inlineStr">
        <is>
          <t>DefRatio</t>
        </is>
      </c>
      <c r="I1219" s="68">
        <f>G1219</f>
        <v/>
      </c>
    </row>
    <row r="1220">
      <c r="A1220" s="68">
        <f>B1220&amp;TEXT(C1220,"0000")</f>
        <v/>
      </c>
      <c r="B1220" s="68" t="n">
        <v>200</v>
      </c>
      <c r="C1220" s="68" t="n">
        <v>317</v>
      </c>
      <c r="D1220" s="68" t="inlineStr">
        <is>
          <t>HpRatio</t>
        </is>
      </c>
      <c r="E1220" s="68">
        <f>INT(E1219*1.01)</f>
        <v/>
      </c>
      <c r="F1220" s="68" t="inlineStr">
        <is>
          <t>AtkRatio</t>
        </is>
      </c>
      <c r="G1220" s="68">
        <f>INT(G1219*1.01)</f>
        <v/>
      </c>
      <c r="H1220" s="68" t="inlineStr">
        <is>
          <t>DefRatio</t>
        </is>
      </c>
      <c r="I1220" s="68">
        <f>G1220</f>
        <v/>
      </c>
    </row>
    <row r="1221">
      <c r="A1221" s="68">
        <f>B1221&amp;TEXT(C1221,"0000")</f>
        <v/>
      </c>
      <c r="B1221" s="68" t="n">
        <v>200</v>
      </c>
      <c r="C1221" s="68" t="n">
        <v>318</v>
      </c>
      <c r="D1221" s="68" t="inlineStr">
        <is>
          <t>HpRatio</t>
        </is>
      </c>
      <c r="E1221" s="68">
        <f>INT(E1220*1.01)</f>
        <v/>
      </c>
      <c r="F1221" s="68" t="inlineStr">
        <is>
          <t>AtkRatio</t>
        </is>
      </c>
      <c r="G1221" s="68">
        <f>INT(G1220*1.01)</f>
        <v/>
      </c>
      <c r="H1221" s="68" t="inlineStr">
        <is>
          <t>DefRatio</t>
        </is>
      </c>
      <c r="I1221" s="68">
        <f>G1221</f>
        <v/>
      </c>
    </row>
    <row r="1222">
      <c r="A1222" s="68">
        <f>B1222&amp;TEXT(C1222,"0000")</f>
        <v/>
      </c>
      <c r="B1222" s="68" t="n">
        <v>200</v>
      </c>
      <c r="C1222" s="68" t="n">
        <v>319</v>
      </c>
      <c r="D1222" s="68" t="inlineStr">
        <is>
          <t>HpRatio</t>
        </is>
      </c>
      <c r="E1222" s="68">
        <f>INT(E1221*1.01)</f>
        <v/>
      </c>
      <c r="F1222" s="68" t="inlineStr">
        <is>
          <t>AtkRatio</t>
        </is>
      </c>
      <c r="G1222" s="68">
        <f>INT(G1221*1.01)</f>
        <v/>
      </c>
      <c r="H1222" s="68" t="inlineStr">
        <is>
          <t>DefRatio</t>
        </is>
      </c>
      <c r="I1222" s="68">
        <f>G1222</f>
        <v/>
      </c>
    </row>
    <row r="1223">
      <c r="A1223" s="68">
        <f>B1223&amp;TEXT(C1223,"0000")</f>
        <v/>
      </c>
      <c r="B1223" s="68" t="n">
        <v>200</v>
      </c>
      <c r="C1223" s="68" t="n">
        <v>320</v>
      </c>
      <c r="D1223" s="68" t="inlineStr">
        <is>
          <t>HpRatio</t>
        </is>
      </c>
      <c r="E1223" s="68">
        <f>INT(E1222*1.01)</f>
        <v/>
      </c>
      <c r="F1223" s="68" t="inlineStr">
        <is>
          <t>AtkRatio</t>
        </is>
      </c>
      <c r="G1223" s="68">
        <f>INT(G1222*1.01)</f>
        <v/>
      </c>
      <c r="H1223" s="68" t="inlineStr">
        <is>
          <t>DefRatio</t>
        </is>
      </c>
      <c r="I1223" s="68">
        <f>G1223</f>
        <v/>
      </c>
    </row>
    <row r="1224">
      <c r="A1224" s="68">
        <f>B1224&amp;TEXT(C1224,"0000")</f>
        <v/>
      </c>
      <c r="B1224" s="68" t="n">
        <v>200</v>
      </c>
      <c r="C1224" s="68" t="n">
        <v>321</v>
      </c>
      <c r="D1224" s="68" t="inlineStr">
        <is>
          <t>HpRatio</t>
        </is>
      </c>
      <c r="E1224" s="68">
        <f>INT(E1223*1.01)</f>
        <v/>
      </c>
      <c r="F1224" s="68" t="inlineStr">
        <is>
          <t>AtkRatio</t>
        </is>
      </c>
      <c r="G1224" s="68">
        <f>INT(G1223*1.01)</f>
        <v/>
      </c>
      <c r="H1224" s="68" t="inlineStr">
        <is>
          <t>DefRatio</t>
        </is>
      </c>
      <c r="I1224" s="68">
        <f>G1224</f>
        <v/>
      </c>
    </row>
    <row r="1225">
      <c r="A1225" s="68">
        <f>B1225&amp;TEXT(C1225,"0000")</f>
        <v/>
      </c>
      <c r="B1225" s="68" t="n">
        <v>200</v>
      </c>
      <c r="C1225" s="68" t="n">
        <v>322</v>
      </c>
      <c r="D1225" s="68" t="inlineStr">
        <is>
          <t>HpRatio</t>
        </is>
      </c>
      <c r="E1225" s="68">
        <f>INT(E1224*1.01)</f>
        <v/>
      </c>
      <c r="F1225" s="68" t="inlineStr">
        <is>
          <t>AtkRatio</t>
        </is>
      </c>
      <c r="G1225" s="68">
        <f>INT(G1224*1.01)</f>
        <v/>
      </c>
      <c r="H1225" s="68" t="inlineStr">
        <is>
          <t>DefRatio</t>
        </is>
      </c>
      <c r="I1225" s="68">
        <f>G1225</f>
        <v/>
      </c>
    </row>
    <row r="1226">
      <c r="A1226" s="68">
        <f>B1226&amp;TEXT(C1226,"0000")</f>
        <v/>
      </c>
      <c r="B1226" s="68" t="n">
        <v>200</v>
      </c>
      <c r="C1226" s="68" t="n">
        <v>323</v>
      </c>
      <c r="D1226" s="68" t="inlineStr">
        <is>
          <t>HpRatio</t>
        </is>
      </c>
      <c r="E1226" s="68">
        <f>INT(E1225*1.01)</f>
        <v/>
      </c>
      <c r="F1226" s="68" t="inlineStr">
        <is>
          <t>AtkRatio</t>
        </is>
      </c>
      <c r="G1226" s="68">
        <f>INT(G1225*1.01)</f>
        <v/>
      </c>
      <c r="H1226" s="68" t="inlineStr">
        <is>
          <t>DefRatio</t>
        </is>
      </c>
      <c r="I1226" s="68">
        <f>G1226</f>
        <v/>
      </c>
    </row>
    <row r="1227">
      <c r="A1227" s="68">
        <f>B1227&amp;TEXT(C1227,"0000")</f>
        <v/>
      </c>
      <c r="B1227" s="68" t="n">
        <v>200</v>
      </c>
      <c r="C1227" s="68" t="n">
        <v>324</v>
      </c>
      <c r="D1227" s="68" t="inlineStr">
        <is>
          <t>HpRatio</t>
        </is>
      </c>
      <c r="E1227" s="68">
        <f>INT(E1226*1.01)</f>
        <v/>
      </c>
      <c r="F1227" s="68" t="inlineStr">
        <is>
          <t>AtkRatio</t>
        </is>
      </c>
      <c r="G1227" s="68">
        <f>INT(G1226*1.01)</f>
        <v/>
      </c>
      <c r="H1227" s="68" t="inlineStr">
        <is>
          <t>DefRatio</t>
        </is>
      </c>
      <c r="I1227" s="68">
        <f>G1227</f>
        <v/>
      </c>
    </row>
    <row r="1228">
      <c r="A1228" s="68">
        <f>B1228&amp;TEXT(C1228,"0000")</f>
        <v/>
      </c>
      <c r="B1228" s="68" t="n">
        <v>200</v>
      </c>
      <c r="C1228" s="68" t="n">
        <v>325</v>
      </c>
      <c r="D1228" s="68" t="inlineStr">
        <is>
          <t>HpRatio</t>
        </is>
      </c>
      <c r="E1228" s="68">
        <f>INT(E1227*1.01)</f>
        <v/>
      </c>
      <c r="F1228" s="68" t="inlineStr">
        <is>
          <t>AtkRatio</t>
        </is>
      </c>
      <c r="G1228" s="68">
        <f>INT(G1227*1.01)</f>
        <v/>
      </c>
      <c r="H1228" s="68" t="inlineStr">
        <is>
          <t>DefRatio</t>
        </is>
      </c>
      <c r="I1228" s="68">
        <f>G1228</f>
        <v/>
      </c>
    </row>
    <row r="1229">
      <c r="A1229" s="68">
        <f>B1229&amp;TEXT(C1229,"0000")</f>
        <v/>
      </c>
      <c r="B1229" s="68" t="n">
        <v>200</v>
      </c>
      <c r="C1229" s="68" t="n">
        <v>326</v>
      </c>
      <c r="D1229" s="68" t="inlineStr">
        <is>
          <t>HpRatio</t>
        </is>
      </c>
      <c r="E1229" s="68">
        <f>INT(E1228*1.01)</f>
        <v/>
      </c>
      <c r="F1229" s="68" t="inlineStr">
        <is>
          <t>AtkRatio</t>
        </is>
      </c>
      <c r="G1229" s="68">
        <f>INT(G1228*1.01)</f>
        <v/>
      </c>
      <c r="H1229" s="68" t="inlineStr">
        <is>
          <t>DefRatio</t>
        </is>
      </c>
      <c r="I1229" s="68">
        <f>G1229</f>
        <v/>
      </c>
    </row>
    <row r="1230">
      <c r="A1230" s="68">
        <f>B1230&amp;TEXT(C1230,"0000")</f>
        <v/>
      </c>
      <c r="B1230" s="68" t="n">
        <v>200</v>
      </c>
      <c r="C1230" s="68" t="n">
        <v>327</v>
      </c>
      <c r="D1230" s="68" t="inlineStr">
        <is>
          <t>HpRatio</t>
        </is>
      </c>
      <c r="E1230" s="68">
        <f>INT(E1229*1.01)</f>
        <v/>
      </c>
      <c r="F1230" s="68" t="inlineStr">
        <is>
          <t>AtkRatio</t>
        </is>
      </c>
      <c r="G1230" s="68">
        <f>INT(G1229*1.01)</f>
        <v/>
      </c>
      <c r="H1230" s="68" t="inlineStr">
        <is>
          <t>DefRatio</t>
        </is>
      </c>
      <c r="I1230" s="68">
        <f>G1230</f>
        <v/>
      </c>
    </row>
    <row r="1231">
      <c r="A1231" s="68">
        <f>B1231&amp;TEXT(C1231,"0000")</f>
        <v/>
      </c>
      <c r="B1231" s="68" t="n">
        <v>200</v>
      </c>
      <c r="C1231" s="68" t="n">
        <v>328</v>
      </c>
      <c r="D1231" s="68" t="inlineStr">
        <is>
          <t>HpRatio</t>
        </is>
      </c>
      <c r="E1231" s="68">
        <f>INT(E1230*1.01)</f>
        <v/>
      </c>
      <c r="F1231" s="68" t="inlineStr">
        <is>
          <t>AtkRatio</t>
        </is>
      </c>
      <c r="G1231" s="68">
        <f>INT(G1230*1.01)</f>
        <v/>
      </c>
      <c r="H1231" s="68" t="inlineStr">
        <is>
          <t>DefRatio</t>
        </is>
      </c>
      <c r="I1231" s="68">
        <f>G1231</f>
        <v/>
      </c>
    </row>
    <row r="1232">
      <c r="A1232" s="68">
        <f>B1232&amp;TEXT(C1232,"0000")</f>
        <v/>
      </c>
      <c r="B1232" s="68" t="n">
        <v>200</v>
      </c>
      <c r="C1232" s="68" t="n">
        <v>329</v>
      </c>
      <c r="D1232" s="68" t="inlineStr">
        <is>
          <t>HpRatio</t>
        </is>
      </c>
      <c r="E1232" s="68">
        <f>INT(E1231*1.01)</f>
        <v/>
      </c>
      <c r="F1232" s="68" t="inlineStr">
        <is>
          <t>AtkRatio</t>
        </is>
      </c>
      <c r="G1232" s="68">
        <f>INT(G1231*1.01)</f>
        <v/>
      </c>
      <c r="H1232" s="68" t="inlineStr">
        <is>
          <t>DefRatio</t>
        </is>
      </c>
      <c r="I1232" s="68">
        <f>G1232</f>
        <v/>
      </c>
    </row>
    <row r="1233">
      <c r="A1233" s="68">
        <f>B1233&amp;TEXT(C1233,"0000")</f>
        <v/>
      </c>
      <c r="B1233" s="68" t="n">
        <v>200</v>
      </c>
      <c r="C1233" s="68" t="n">
        <v>330</v>
      </c>
      <c r="D1233" s="68" t="inlineStr">
        <is>
          <t>HpRatio</t>
        </is>
      </c>
      <c r="E1233" s="68">
        <f>INT(E1232*1.01)</f>
        <v/>
      </c>
      <c r="F1233" s="68" t="inlineStr">
        <is>
          <t>AtkRatio</t>
        </is>
      </c>
      <c r="G1233" s="68">
        <f>INT(G1232*1.01)</f>
        <v/>
      </c>
      <c r="H1233" s="68" t="inlineStr">
        <is>
          <t>DefRatio</t>
        </is>
      </c>
      <c r="I1233" s="68">
        <f>G1233</f>
        <v/>
      </c>
    </row>
    <row r="1234">
      <c r="A1234" s="68">
        <f>B1234&amp;TEXT(C1234,"0000")</f>
        <v/>
      </c>
      <c r="B1234" s="68" t="n">
        <v>200</v>
      </c>
      <c r="C1234" s="68" t="n">
        <v>331</v>
      </c>
      <c r="D1234" s="68" t="inlineStr">
        <is>
          <t>HpRatio</t>
        </is>
      </c>
      <c r="E1234" s="68">
        <f>INT(E1233*1.01)</f>
        <v/>
      </c>
      <c r="F1234" s="68" t="inlineStr">
        <is>
          <t>AtkRatio</t>
        </is>
      </c>
      <c r="G1234" s="68">
        <f>INT(G1233*1.01)</f>
        <v/>
      </c>
      <c r="H1234" s="68" t="inlineStr">
        <is>
          <t>DefRatio</t>
        </is>
      </c>
      <c r="I1234" s="68">
        <f>G1234</f>
        <v/>
      </c>
    </row>
    <row r="1235">
      <c r="A1235" s="68">
        <f>B1235&amp;TEXT(C1235,"0000")</f>
        <v/>
      </c>
      <c r="B1235" s="68" t="n">
        <v>200</v>
      </c>
      <c r="C1235" s="68" t="n">
        <v>332</v>
      </c>
      <c r="D1235" s="68" t="inlineStr">
        <is>
          <t>HpRatio</t>
        </is>
      </c>
      <c r="E1235" s="68">
        <f>INT(E1234*1.01)</f>
        <v/>
      </c>
      <c r="F1235" s="68" t="inlineStr">
        <is>
          <t>AtkRatio</t>
        </is>
      </c>
      <c r="G1235" s="68">
        <f>INT(G1234*1.01)</f>
        <v/>
      </c>
      <c r="H1235" s="68" t="inlineStr">
        <is>
          <t>DefRatio</t>
        </is>
      </c>
      <c r="I1235" s="68">
        <f>G1235</f>
        <v/>
      </c>
    </row>
    <row r="1236">
      <c r="A1236" s="68">
        <f>B1236&amp;TEXT(C1236,"0000")</f>
        <v/>
      </c>
      <c r="B1236" s="68" t="n">
        <v>200</v>
      </c>
      <c r="C1236" s="68" t="n">
        <v>333</v>
      </c>
      <c r="D1236" s="68" t="inlineStr">
        <is>
          <t>HpRatio</t>
        </is>
      </c>
      <c r="E1236" s="68">
        <f>INT(E1235*1.01)</f>
        <v/>
      </c>
      <c r="F1236" s="68" t="inlineStr">
        <is>
          <t>AtkRatio</t>
        </is>
      </c>
      <c r="G1236" s="68">
        <f>INT(G1235*1.01)</f>
        <v/>
      </c>
      <c r="H1236" s="68" t="inlineStr">
        <is>
          <t>DefRatio</t>
        </is>
      </c>
      <c r="I1236" s="68">
        <f>G1236</f>
        <v/>
      </c>
    </row>
    <row r="1237">
      <c r="A1237" s="68">
        <f>B1237&amp;TEXT(C1237,"0000")</f>
        <v/>
      </c>
      <c r="B1237" s="68" t="n">
        <v>200</v>
      </c>
      <c r="C1237" s="68" t="n">
        <v>334</v>
      </c>
      <c r="D1237" s="68" t="inlineStr">
        <is>
          <t>HpRatio</t>
        </is>
      </c>
      <c r="E1237" s="68">
        <f>INT(E1236*1.01)</f>
        <v/>
      </c>
      <c r="F1237" s="68" t="inlineStr">
        <is>
          <t>AtkRatio</t>
        </is>
      </c>
      <c r="G1237" s="68">
        <f>INT(G1236*1.01)</f>
        <v/>
      </c>
      <c r="H1237" s="68" t="inlineStr">
        <is>
          <t>DefRatio</t>
        </is>
      </c>
      <c r="I1237" s="68">
        <f>G1237</f>
        <v/>
      </c>
    </row>
    <row r="1238">
      <c r="A1238" s="68">
        <f>B1238&amp;TEXT(C1238,"0000")</f>
        <v/>
      </c>
      <c r="B1238" s="68" t="n">
        <v>200</v>
      </c>
      <c r="C1238" s="68" t="n">
        <v>335</v>
      </c>
      <c r="D1238" s="68" t="inlineStr">
        <is>
          <t>HpRatio</t>
        </is>
      </c>
      <c r="E1238" s="68">
        <f>INT(E1237*1.01)</f>
        <v/>
      </c>
      <c r="F1238" s="68" t="inlineStr">
        <is>
          <t>AtkRatio</t>
        </is>
      </c>
      <c r="G1238" s="68">
        <f>INT(G1237*1.01)</f>
        <v/>
      </c>
      <c r="H1238" s="68" t="inlineStr">
        <is>
          <t>DefRatio</t>
        </is>
      </c>
      <c r="I1238" s="68">
        <f>G1238</f>
        <v/>
      </c>
    </row>
    <row r="1239">
      <c r="A1239" s="68">
        <f>B1239&amp;TEXT(C1239,"0000")</f>
        <v/>
      </c>
      <c r="B1239" s="68" t="n">
        <v>200</v>
      </c>
      <c r="C1239" s="68" t="n">
        <v>336</v>
      </c>
      <c r="D1239" s="68" t="inlineStr">
        <is>
          <t>HpRatio</t>
        </is>
      </c>
      <c r="E1239" s="68">
        <f>INT(E1238*1.01)</f>
        <v/>
      </c>
      <c r="F1239" s="68" t="inlineStr">
        <is>
          <t>AtkRatio</t>
        </is>
      </c>
      <c r="G1239" s="68">
        <f>INT(G1238*1.01)</f>
        <v/>
      </c>
      <c r="H1239" s="68" t="inlineStr">
        <is>
          <t>DefRatio</t>
        </is>
      </c>
      <c r="I1239" s="68">
        <f>G1239</f>
        <v/>
      </c>
    </row>
    <row r="1240">
      <c r="A1240" s="68">
        <f>B1240&amp;TEXT(C1240,"0000")</f>
        <v/>
      </c>
      <c r="B1240" s="68" t="n">
        <v>200</v>
      </c>
      <c r="C1240" s="68" t="n">
        <v>337</v>
      </c>
      <c r="D1240" s="68" t="inlineStr">
        <is>
          <t>HpRatio</t>
        </is>
      </c>
      <c r="E1240" s="68">
        <f>INT(E1239*1.01)</f>
        <v/>
      </c>
      <c r="F1240" s="68" t="inlineStr">
        <is>
          <t>AtkRatio</t>
        </is>
      </c>
      <c r="G1240" s="68">
        <f>INT(G1239*1.01)</f>
        <v/>
      </c>
      <c r="H1240" s="68" t="inlineStr">
        <is>
          <t>DefRatio</t>
        </is>
      </c>
      <c r="I1240" s="68">
        <f>G1240</f>
        <v/>
      </c>
    </row>
    <row r="1241">
      <c r="A1241" s="68">
        <f>B1241&amp;TEXT(C1241,"0000")</f>
        <v/>
      </c>
      <c r="B1241" s="68" t="n">
        <v>200</v>
      </c>
      <c r="C1241" s="68" t="n">
        <v>338</v>
      </c>
      <c r="D1241" s="68" t="inlineStr">
        <is>
          <t>HpRatio</t>
        </is>
      </c>
      <c r="E1241" s="68">
        <f>INT(E1240*1.01)</f>
        <v/>
      </c>
      <c r="F1241" s="68" t="inlineStr">
        <is>
          <t>AtkRatio</t>
        </is>
      </c>
      <c r="G1241" s="68">
        <f>INT(G1240*1.01)</f>
        <v/>
      </c>
      <c r="H1241" s="68" t="inlineStr">
        <is>
          <t>DefRatio</t>
        </is>
      </c>
      <c r="I1241" s="68">
        <f>G1241</f>
        <v/>
      </c>
    </row>
    <row r="1242">
      <c r="A1242" s="68">
        <f>B1242&amp;TEXT(C1242,"0000")</f>
        <v/>
      </c>
      <c r="B1242" s="68" t="n">
        <v>200</v>
      </c>
      <c r="C1242" s="68" t="n">
        <v>339</v>
      </c>
      <c r="D1242" s="68" t="inlineStr">
        <is>
          <t>HpRatio</t>
        </is>
      </c>
      <c r="E1242" s="68">
        <f>INT(E1241*1.01)</f>
        <v/>
      </c>
      <c r="F1242" s="68" t="inlineStr">
        <is>
          <t>AtkRatio</t>
        </is>
      </c>
      <c r="G1242" s="68">
        <f>INT(G1241*1.01)</f>
        <v/>
      </c>
      <c r="H1242" s="68" t="inlineStr">
        <is>
          <t>DefRatio</t>
        </is>
      </c>
      <c r="I1242" s="68">
        <f>G1242</f>
        <v/>
      </c>
    </row>
    <row r="1243">
      <c r="A1243" s="68">
        <f>B1243&amp;TEXT(C1243,"0000")</f>
        <v/>
      </c>
      <c r="B1243" s="68" t="n">
        <v>200</v>
      </c>
      <c r="C1243" s="68" t="n">
        <v>340</v>
      </c>
      <c r="D1243" s="68" t="inlineStr">
        <is>
          <t>HpRatio</t>
        </is>
      </c>
      <c r="E1243" s="68">
        <f>INT(E1242*1.01)</f>
        <v/>
      </c>
      <c r="F1243" s="68" t="inlineStr">
        <is>
          <t>AtkRatio</t>
        </is>
      </c>
      <c r="G1243" s="68">
        <f>INT(G1242*1.01)</f>
        <v/>
      </c>
      <c r="H1243" s="68" t="inlineStr">
        <is>
          <t>DefRatio</t>
        </is>
      </c>
      <c r="I1243" s="68">
        <f>G1243</f>
        <v/>
      </c>
    </row>
    <row r="1244">
      <c r="A1244" s="68">
        <f>B1244&amp;TEXT(C1244,"0000")</f>
        <v/>
      </c>
      <c r="B1244" s="68" t="n">
        <v>200</v>
      </c>
      <c r="C1244" s="68" t="n">
        <v>341</v>
      </c>
      <c r="D1244" s="68" t="inlineStr">
        <is>
          <t>HpRatio</t>
        </is>
      </c>
      <c r="E1244" s="68">
        <f>INT(E1243*1.01)</f>
        <v/>
      </c>
      <c r="F1244" s="68" t="inlineStr">
        <is>
          <t>AtkRatio</t>
        </is>
      </c>
      <c r="G1244" s="68">
        <f>INT(G1243*1.01)</f>
        <v/>
      </c>
      <c r="H1244" s="68" t="inlineStr">
        <is>
          <t>DefRatio</t>
        </is>
      </c>
      <c r="I1244" s="68">
        <f>G1244</f>
        <v/>
      </c>
    </row>
    <row r="1245">
      <c r="A1245" s="68">
        <f>B1245&amp;TEXT(C1245,"0000")</f>
        <v/>
      </c>
      <c r="B1245" s="68" t="n">
        <v>200</v>
      </c>
      <c r="C1245" s="68" t="n">
        <v>342</v>
      </c>
      <c r="D1245" s="68" t="inlineStr">
        <is>
          <t>HpRatio</t>
        </is>
      </c>
      <c r="E1245" s="68">
        <f>INT(E1244*1.01)</f>
        <v/>
      </c>
      <c r="F1245" s="68" t="inlineStr">
        <is>
          <t>AtkRatio</t>
        </is>
      </c>
      <c r="G1245" s="68">
        <f>INT(G1244*1.01)</f>
        <v/>
      </c>
      <c r="H1245" s="68" t="inlineStr">
        <is>
          <t>DefRatio</t>
        </is>
      </c>
      <c r="I1245" s="68">
        <f>G1245</f>
        <v/>
      </c>
    </row>
    <row r="1246">
      <c r="A1246" s="68">
        <f>B1246&amp;TEXT(C1246,"0000")</f>
        <v/>
      </c>
      <c r="B1246" s="68" t="n">
        <v>200</v>
      </c>
      <c r="C1246" s="68" t="n">
        <v>343</v>
      </c>
      <c r="D1246" s="68" t="inlineStr">
        <is>
          <t>HpRatio</t>
        </is>
      </c>
      <c r="E1246" s="68">
        <f>INT(E1245*1.01)</f>
        <v/>
      </c>
      <c r="F1246" s="68" t="inlineStr">
        <is>
          <t>AtkRatio</t>
        </is>
      </c>
      <c r="G1246" s="68">
        <f>INT(G1245*1.01)</f>
        <v/>
      </c>
      <c r="H1246" s="68" t="inlineStr">
        <is>
          <t>DefRatio</t>
        </is>
      </c>
      <c r="I1246" s="68">
        <f>G1246</f>
        <v/>
      </c>
    </row>
    <row r="1247">
      <c r="A1247" s="68">
        <f>B1247&amp;TEXT(C1247,"0000")</f>
        <v/>
      </c>
      <c r="B1247" s="68" t="n">
        <v>200</v>
      </c>
      <c r="C1247" s="68" t="n">
        <v>344</v>
      </c>
      <c r="D1247" s="68" t="inlineStr">
        <is>
          <t>HpRatio</t>
        </is>
      </c>
      <c r="E1247" s="68">
        <f>INT(E1246*1.01)</f>
        <v/>
      </c>
      <c r="F1247" s="68" t="inlineStr">
        <is>
          <t>AtkRatio</t>
        </is>
      </c>
      <c r="G1247" s="68">
        <f>INT(G1246*1.01)</f>
        <v/>
      </c>
      <c r="H1247" s="68" t="inlineStr">
        <is>
          <t>DefRatio</t>
        </is>
      </c>
      <c r="I1247" s="68">
        <f>G1247</f>
        <v/>
      </c>
    </row>
    <row r="1248">
      <c r="A1248" s="68">
        <f>B1248&amp;TEXT(C1248,"0000")</f>
        <v/>
      </c>
      <c r="B1248" s="68" t="n">
        <v>200</v>
      </c>
      <c r="C1248" s="68" t="n">
        <v>345</v>
      </c>
      <c r="D1248" s="68" t="inlineStr">
        <is>
          <t>HpRatio</t>
        </is>
      </c>
      <c r="E1248" s="68">
        <f>INT(E1247*1.01)</f>
        <v/>
      </c>
      <c r="F1248" s="68" t="inlineStr">
        <is>
          <t>AtkRatio</t>
        </is>
      </c>
      <c r="G1248" s="68">
        <f>INT(G1247*1.01)</f>
        <v/>
      </c>
      <c r="H1248" s="68" t="inlineStr">
        <is>
          <t>DefRatio</t>
        </is>
      </c>
      <c r="I1248" s="68">
        <f>G1248</f>
        <v/>
      </c>
    </row>
    <row r="1249">
      <c r="A1249" s="68">
        <f>B1249&amp;TEXT(C1249,"0000")</f>
        <v/>
      </c>
      <c r="B1249" s="68" t="n">
        <v>200</v>
      </c>
      <c r="C1249" s="68" t="n">
        <v>346</v>
      </c>
      <c r="D1249" s="68" t="inlineStr">
        <is>
          <t>HpRatio</t>
        </is>
      </c>
      <c r="E1249" s="68">
        <f>INT(E1248*1.01)</f>
        <v/>
      </c>
      <c r="F1249" s="68" t="inlineStr">
        <is>
          <t>AtkRatio</t>
        </is>
      </c>
      <c r="G1249" s="68">
        <f>INT(G1248*1.01)</f>
        <v/>
      </c>
      <c r="H1249" s="68" t="inlineStr">
        <is>
          <t>DefRatio</t>
        </is>
      </c>
      <c r="I1249" s="68">
        <f>G1249</f>
        <v/>
      </c>
    </row>
    <row r="1250">
      <c r="A1250" s="68">
        <f>B1250&amp;TEXT(C1250,"0000")</f>
        <v/>
      </c>
      <c r="B1250" s="68" t="n">
        <v>200</v>
      </c>
      <c r="C1250" s="68" t="n">
        <v>347</v>
      </c>
      <c r="D1250" s="68" t="inlineStr">
        <is>
          <t>HpRatio</t>
        </is>
      </c>
      <c r="E1250" s="68">
        <f>INT(E1249*1.01)</f>
        <v/>
      </c>
      <c r="F1250" s="68" t="inlineStr">
        <is>
          <t>AtkRatio</t>
        </is>
      </c>
      <c r="G1250" s="68">
        <f>INT(G1249*1.01)</f>
        <v/>
      </c>
      <c r="H1250" s="68" t="inlineStr">
        <is>
          <t>DefRatio</t>
        </is>
      </c>
      <c r="I1250" s="68">
        <f>G1250</f>
        <v/>
      </c>
    </row>
    <row r="1251">
      <c r="A1251" s="68">
        <f>B1251&amp;TEXT(C1251,"0000")</f>
        <v/>
      </c>
      <c r="B1251" s="68" t="n">
        <v>200</v>
      </c>
      <c r="C1251" s="68" t="n">
        <v>348</v>
      </c>
      <c r="D1251" s="68" t="inlineStr">
        <is>
          <t>HpRatio</t>
        </is>
      </c>
      <c r="E1251" s="68">
        <f>INT(E1250*1.01)</f>
        <v/>
      </c>
      <c r="F1251" s="68" t="inlineStr">
        <is>
          <t>AtkRatio</t>
        </is>
      </c>
      <c r="G1251" s="68">
        <f>INT(G1250*1.01)</f>
        <v/>
      </c>
      <c r="H1251" s="68" t="inlineStr">
        <is>
          <t>DefRatio</t>
        </is>
      </c>
      <c r="I1251" s="68">
        <f>G1251</f>
        <v/>
      </c>
    </row>
    <row r="1252">
      <c r="A1252" s="68">
        <f>B1252&amp;TEXT(C1252,"0000")</f>
        <v/>
      </c>
      <c r="B1252" s="68" t="n">
        <v>200</v>
      </c>
      <c r="C1252" s="68" t="n">
        <v>349</v>
      </c>
      <c r="D1252" s="68" t="inlineStr">
        <is>
          <t>HpRatio</t>
        </is>
      </c>
      <c r="E1252" s="68">
        <f>INT(E1251*1.01)</f>
        <v/>
      </c>
      <c r="F1252" s="68" t="inlineStr">
        <is>
          <t>AtkRatio</t>
        </is>
      </c>
      <c r="G1252" s="68">
        <f>INT(G1251*1.01)</f>
        <v/>
      </c>
      <c r="H1252" s="68" t="inlineStr">
        <is>
          <t>DefRatio</t>
        </is>
      </c>
      <c r="I1252" s="68">
        <f>G1252</f>
        <v/>
      </c>
    </row>
    <row r="1253">
      <c r="A1253" s="68">
        <f>B1253&amp;TEXT(C1253,"0000")</f>
        <v/>
      </c>
      <c r="B1253" s="68" t="n">
        <v>200</v>
      </c>
      <c r="C1253" s="68" t="n">
        <v>350</v>
      </c>
      <c r="D1253" s="68" t="inlineStr">
        <is>
          <t>HpRatio</t>
        </is>
      </c>
      <c r="E1253" s="68">
        <f>INT(E1252*1.01)</f>
        <v/>
      </c>
      <c r="F1253" s="68" t="inlineStr">
        <is>
          <t>AtkRatio</t>
        </is>
      </c>
      <c r="G1253" s="68">
        <f>INT(G1252*1.01)</f>
        <v/>
      </c>
      <c r="H1253" s="68" t="inlineStr">
        <is>
          <t>DefRatio</t>
        </is>
      </c>
      <c r="I1253" s="68">
        <f>G1253</f>
        <v/>
      </c>
    </row>
    <row r="1254">
      <c r="A1254" s="68">
        <f>B1254&amp;TEXT(C1254,"0000")</f>
        <v/>
      </c>
      <c r="B1254" s="68" t="n">
        <v>200</v>
      </c>
      <c r="C1254" s="68" t="n">
        <v>351</v>
      </c>
      <c r="D1254" s="68" t="inlineStr">
        <is>
          <t>HpRatio</t>
        </is>
      </c>
      <c r="E1254" s="68">
        <f>INT(E1253*1.01)</f>
        <v/>
      </c>
      <c r="F1254" s="68" t="inlineStr">
        <is>
          <t>AtkRatio</t>
        </is>
      </c>
      <c r="G1254" s="68">
        <f>INT(G1253*1.01)</f>
        <v/>
      </c>
      <c r="H1254" s="68" t="inlineStr">
        <is>
          <t>DefRatio</t>
        </is>
      </c>
      <c r="I1254" s="68">
        <f>G1254</f>
        <v/>
      </c>
    </row>
    <row r="1255">
      <c r="A1255" s="68">
        <f>B1255&amp;TEXT(C1255,"0000")</f>
        <v/>
      </c>
      <c r="B1255" s="68" t="n">
        <v>200</v>
      </c>
      <c r="C1255" s="68" t="n">
        <v>352</v>
      </c>
      <c r="D1255" s="68" t="inlineStr">
        <is>
          <t>HpRatio</t>
        </is>
      </c>
      <c r="E1255" s="68">
        <f>INT(E1254*1.01)</f>
        <v/>
      </c>
      <c r="F1255" s="68" t="inlineStr">
        <is>
          <t>AtkRatio</t>
        </is>
      </c>
      <c r="G1255" s="68">
        <f>INT(G1254*1.01)</f>
        <v/>
      </c>
      <c r="H1255" s="68" t="inlineStr">
        <is>
          <t>DefRatio</t>
        </is>
      </c>
      <c r="I1255" s="68">
        <f>G1255</f>
        <v/>
      </c>
    </row>
    <row r="1256">
      <c r="A1256" s="68">
        <f>B1256&amp;TEXT(C1256,"0000")</f>
        <v/>
      </c>
      <c r="B1256" s="68" t="n">
        <v>200</v>
      </c>
      <c r="C1256" s="68" t="n">
        <v>353</v>
      </c>
      <c r="D1256" s="68" t="inlineStr">
        <is>
          <t>HpRatio</t>
        </is>
      </c>
      <c r="E1256" s="68">
        <f>INT(E1255*1.01)</f>
        <v/>
      </c>
      <c r="F1256" s="68" t="inlineStr">
        <is>
          <t>AtkRatio</t>
        </is>
      </c>
      <c r="G1256" s="68">
        <f>INT(G1255*1.01)</f>
        <v/>
      </c>
      <c r="H1256" s="68" t="inlineStr">
        <is>
          <t>DefRatio</t>
        </is>
      </c>
      <c r="I1256" s="68">
        <f>G1256</f>
        <v/>
      </c>
    </row>
    <row r="1257">
      <c r="A1257" s="68">
        <f>B1257&amp;TEXT(C1257,"0000")</f>
        <v/>
      </c>
      <c r="B1257" s="68" t="n">
        <v>200</v>
      </c>
      <c r="C1257" s="68" t="n">
        <v>354</v>
      </c>
      <c r="D1257" s="68" t="inlineStr">
        <is>
          <t>HpRatio</t>
        </is>
      </c>
      <c r="E1257" s="68">
        <f>INT(E1256*1.01)</f>
        <v/>
      </c>
      <c r="F1257" s="68" t="inlineStr">
        <is>
          <t>AtkRatio</t>
        </is>
      </c>
      <c r="G1257" s="68">
        <f>INT(G1256*1.01)</f>
        <v/>
      </c>
      <c r="H1257" s="68" t="inlineStr">
        <is>
          <t>DefRatio</t>
        </is>
      </c>
      <c r="I1257" s="68">
        <f>G1257</f>
        <v/>
      </c>
    </row>
    <row r="1258">
      <c r="A1258" s="68">
        <f>B1258&amp;TEXT(C1258,"0000")</f>
        <v/>
      </c>
      <c r="B1258" s="68" t="n">
        <v>200</v>
      </c>
      <c r="C1258" s="68" t="n">
        <v>355</v>
      </c>
      <c r="D1258" s="68" t="inlineStr">
        <is>
          <t>HpRatio</t>
        </is>
      </c>
      <c r="E1258" s="68">
        <f>INT(E1257*1.01)</f>
        <v/>
      </c>
      <c r="F1258" s="68" t="inlineStr">
        <is>
          <t>AtkRatio</t>
        </is>
      </c>
      <c r="G1258" s="68">
        <f>INT(G1257*1.01)</f>
        <v/>
      </c>
      <c r="H1258" s="68" t="inlineStr">
        <is>
          <t>DefRatio</t>
        </is>
      </c>
      <c r="I1258" s="68">
        <f>G1258</f>
        <v/>
      </c>
    </row>
    <row r="1259">
      <c r="A1259" s="68">
        <f>B1259&amp;TEXT(C1259,"0000")</f>
        <v/>
      </c>
      <c r="B1259" s="68" t="n">
        <v>200</v>
      </c>
      <c r="C1259" s="68" t="n">
        <v>356</v>
      </c>
      <c r="D1259" s="68" t="inlineStr">
        <is>
          <t>HpRatio</t>
        </is>
      </c>
      <c r="E1259" s="68">
        <f>INT(E1258*1.01)</f>
        <v/>
      </c>
      <c r="F1259" s="68" t="inlineStr">
        <is>
          <t>AtkRatio</t>
        </is>
      </c>
      <c r="G1259" s="68">
        <f>INT(G1258*1.01)</f>
        <v/>
      </c>
      <c r="H1259" s="68" t="inlineStr">
        <is>
          <t>DefRatio</t>
        </is>
      </c>
      <c r="I1259" s="68">
        <f>G1259</f>
        <v/>
      </c>
    </row>
    <row r="1260">
      <c r="A1260" s="68">
        <f>B1260&amp;TEXT(C1260,"0000")</f>
        <v/>
      </c>
      <c r="B1260" s="68" t="n">
        <v>200</v>
      </c>
      <c r="C1260" s="68" t="n">
        <v>357</v>
      </c>
      <c r="D1260" s="68" t="inlineStr">
        <is>
          <t>HpRatio</t>
        </is>
      </c>
      <c r="E1260" s="68">
        <f>INT(E1259*1.01)</f>
        <v/>
      </c>
      <c r="F1260" s="68" t="inlineStr">
        <is>
          <t>AtkRatio</t>
        </is>
      </c>
      <c r="G1260" s="68">
        <f>INT(G1259*1.01)</f>
        <v/>
      </c>
      <c r="H1260" s="68" t="inlineStr">
        <is>
          <t>DefRatio</t>
        </is>
      </c>
      <c r="I1260" s="68">
        <f>G1260</f>
        <v/>
      </c>
    </row>
    <row r="1261">
      <c r="A1261" s="68">
        <f>B1261&amp;TEXT(C1261,"0000")</f>
        <v/>
      </c>
      <c r="B1261" s="68" t="n">
        <v>200</v>
      </c>
      <c r="C1261" s="68" t="n">
        <v>358</v>
      </c>
      <c r="D1261" s="68" t="inlineStr">
        <is>
          <t>HpRatio</t>
        </is>
      </c>
      <c r="E1261" s="68">
        <f>INT(E1260*1.01)</f>
        <v/>
      </c>
      <c r="F1261" s="68" t="inlineStr">
        <is>
          <t>AtkRatio</t>
        </is>
      </c>
      <c r="G1261" s="68">
        <f>INT(G1260*1.01)</f>
        <v/>
      </c>
      <c r="H1261" s="68" t="inlineStr">
        <is>
          <t>DefRatio</t>
        </is>
      </c>
      <c r="I1261" s="68">
        <f>G1261</f>
        <v/>
      </c>
    </row>
    <row r="1262">
      <c r="A1262" s="68">
        <f>B1262&amp;TEXT(C1262,"0000")</f>
        <v/>
      </c>
      <c r="B1262" s="68" t="n">
        <v>200</v>
      </c>
      <c r="C1262" s="68" t="n">
        <v>359</v>
      </c>
      <c r="D1262" s="68" t="inlineStr">
        <is>
          <t>HpRatio</t>
        </is>
      </c>
      <c r="E1262" s="68">
        <f>INT(E1261*1.01)</f>
        <v/>
      </c>
      <c r="F1262" s="68" t="inlineStr">
        <is>
          <t>AtkRatio</t>
        </is>
      </c>
      <c r="G1262" s="68">
        <f>INT(G1261*1.01)</f>
        <v/>
      </c>
      <c r="H1262" s="68" t="inlineStr">
        <is>
          <t>DefRatio</t>
        </is>
      </c>
      <c r="I1262" s="68">
        <f>G1262</f>
        <v/>
      </c>
    </row>
    <row r="1263">
      <c r="A1263" s="68">
        <f>B1263&amp;TEXT(C1263,"0000")</f>
        <v/>
      </c>
      <c r="B1263" s="68" t="n">
        <v>200</v>
      </c>
      <c r="C1263" s="68" t="n">
        <v>360</v>
      </c>
      <c r="D1263" s="68" t="inlineStr">
        <is>
          <t>HpRatio</t>
        </is>
      </c>
      <c r="E1263" s="68">
        <f>INT(E1262*1.01)</f>
        <v/>
      </c>
      <c r="F1263" s="68" t="inlineStr">
        <is>
          <t>AtkRatio</t>
        </is>
      </c>
      <c r="G1263" s="68">
        <f>INT(G1262*1.01)</f>
        <v/>
      </c>
      <c r="H1263" s="68" t="inlineStr">
        <is>
          <t>DefRatio</t>
        </is>
      </c>
      <c r="I1263" s="68">
        <f>G1263</f>
        <v/>
      </c>
    </row>
    <row r="1264">
      <c r="A1264" s="68">
        <f>B1264&amp;TEXT(C1264,"0000")</f>
        <v/>
      </c>
      <c r="B1264" s="68" t="n">
        <v>200</v>
      </c>
      <c r="C1264" s="68" t="n">
        <v>361</v>
      </c>
      <c r="D1264" s="68" t="inlineStr">
        <is>
          <t>HpRatio</t>
        </is>
      </c>
      <c r="E1264" s="68">
        <f>INT(E1263*1.01)</f>
        <v/>
      </c>
      <c r="F1264" s="68" t="inlineStr">
        <is>
          <t>AtkRatio</t>
        </is>
      </c>
      <c r="G1264" s="68">
        <f>INT(G1263*1.01)</f>
        <v/>
      </c>
      <c r="H1264" s="68" t="inlineStr">
        <is>
          <t>DefRatio</t>
        </is>
      </c>
      <c r="I1264" s="68">
        <f>G1264</f>
        <v/>
      </c>
    </row>
    <row r="1265">
      <c r="A1265" s="68">
        <f>B1265&amp;TEXT(C1265,"0000")</f>
        <v/>
      </c>
      <c r="B1265" s="68" t="n">
        <v>200</v>
      </c>
      <c r="C1265" s="68" t="n">
        <v>362</v>
      </c>
      <c r="D1265" s="68" t="inlineStr">
        <is>
          <t>HpRatio</t>
        </is>
      </c>
      <c r="E1265" s="68">
        <f>INT(E1264*1.01)</f>
        <v/>
      </c>
      <c r="F1265" s="68" t="inlineStr">
        <is>
          <t>AtkRatio</t>
        </is>
      </c>
      <c r="G1265" s="68">
        <f>INT(G1264*1.01)</f>
        <v/>
      </c>
      <c r="H1265" s="68" t="inlineStr">
        <is>
          <t>DefRatio</t>
        </is>
      </c>
      <c r="I1265" s="68">
        <f>G1265</f>
        <v/>
      </c>
    </row>
    <row r="1266">
      <c r="A1266" s="68">
        <f>B1266&amp;TEXT(C1266,"0000")</f>
        <v/>
      </c>
      <c r="B1266" s="68" t="n">
        <v>200</v>
      </c>
      <c r="C1266" s="68" t="n">
        <v>363</v>
      </c>
      <c r="D1266" s="68" t="inlineStr">
        <is>
          <t>HpRatio</t>
        </is>
      </c>
      <c r="E1266" s="68">
        <f>INT(E1265*1.01)</f>
        <v/>
      </c>
      <c r="F1266" s="68" t="inlineStr">
        <is>
          <t>AtkRatio</t>
        </is>
      </c>
      <c r="G1266" s="68">
        <f>INT(G1265*1.01)</f>
        <v/>
      </c>
      <c r="H1266" s="68" t="inlineStr">
        <is>
          <t>DefRatio</t>
        </is>
      </c>
      <c r="I1266" s="68">
        <f>G1266</f>
        <v/>
      </c>
    </row>
    <row r="1267">
      <c r="A1267" s="68">
        <f>B1267&amp;TEXT(C1267,"0000")</f>
        <v/>
      </c>
      <c r="B1267" s="68" t="n">
        <v>200</v>
      </c>
      <c r="C1267" s="68" t="n">
        <v>364</v>
      </c>
      <c r="D1267" s="68" t="inlineStr">
        <is>
          <t>HpRatio</t>
        </is>
      </c>
      <c r="E1267" s="68">
        <f>INT(E1266*1.01)</f>
        <v/>
      </c>
      <c r="F1267" s="68" t="inlineStr">
        <is>
          <t>AtkRatio</t>
        </is>
      </c>
      <c r="G1267" s="68">
        <f>INT(G1266*1.01)</f>
        <v/>
      </c>
      <c r="H1267" s="68" t="inlineStr">
        <is>
          <t>DefRatio</t>
        </is>
      </c>
      <c r="I1267" s="68">
        <f>G1267</f>
        <v/>
      </c>
    </row>
    <row r="1268">
      <c r="A1268" s="68">
        <f>B1268&amp;TEXT(C1268,"0000")</f>
        <v/>
      </c>
      <c r="B1268" s="68" t="n">
        <v>200</v>
      </c>
      <c r="C1268" s="68" t="n">
        <v>365</v>
      </c>
      <c r="D1268" s="68" t="inlineStr">
        <is>
          <t>HpRatio</t>
        </is>
      </c>
      <c r="E1268" s="68">
        <f>INT(E1267*1.01)</f>
        <v/>
      </c>
      <c r="F1268" s="68" t="inlineStr">
        <is>
          <t>AtkRatio</t>
        </is>
      </c>
      <c r="G1268" s="68">
        <f>INT(G1267*1.01)</f>
        <v/>
      </c>
      <c r="H1268" s="68" t="inlineStr">
        <is>
          <t>DefRatio</t>
        </is>
      </c>
      <c r="I1268" s="68">
        <f>G1268</f>
        <v/>
      </c>
    </row>
    <row r="1269">
      <c r="A1269" s="68">
        <f>B1269&amp;TEXT(C1269,"0000")</f>
        <v/>
      </c>
      <c r="B1269" s="68" t="n">
        <v>200</v>
      </c>
      <c r="C1269" s="68" t="n">
        <v>366</v>
      </c>
      <c r="D1269" s="68" t="inlineStr">
        <is>
          <t>HpRatio</t>
        </is>
      </c>
      <c r="E1269" s="68">
        <f>INT(E1268*1.01)</f>
        <v/>
      </c>
      <c r="F1269" s="68" t="inlineStr">
        <is>
          <t>AtkRatio</t>
        </is>
      </c>
      <c r="G1269" s="68">
        <f>INT(G1268*1.01)</f>
        <v/>
      </c>
      <c r="H1269" s="68" t="inlineStr">
        <is>
          <t>DefRatio</t>
        </is>
      </c>
      <c r="I1269" s="68">
        <f>G1269</f>
        <v/>
      </c>
    </row>
    <row r="1270">
      <c r="A1270" s="68">
        <f>B1270&amp;TEXT(C1270,"0000")</f>
        <v/>
      </c>
      <c r="B1270" s="68" t="n">
        <v>200</v>
      </c>
      <c r="C1270" s="68" t="n">
        <v>367</v>
      </c>
      <c r="D1270" s="68" t="inlineStr">
        <is>
          <t>HpRatio</t>
        </is>
      </c>
      <c r="E1270" s="68">
        <f>INT(E1269*1.01)</f>
        <v/>
      </c>
      <c r="F1270" s="68" t="inlineStr">
        <is>
          <t>AtkRatio</t>
        </is>
      </c>
      <c r="G1270" s="68">
        <f>INT(G1269*1.01)</f>
        <v/>
      </c>
      <c r="H1270" s="68" t="inlineStr">
        <is>
          <t>DefRatio</t>
        </is>
      </c>
      <c r="I1270" s="68">
        <f>G1270</f>
        <v/>
      </c>
    </row>
    <row r="1271">
      <c r="A1271" s="68">
        <f>B1271&amp;TEXT(C1271,"0000")</f>
        <v/>
      </c>
      <c r="B1271" s="68" t="n">
        <v>200</v>
      </c>
      <c r="C1271" s="68" t="n">
        <v>368</v>
      </c>
      <c r="D1271" s="68" t="inlineStr">
        <is>
          <t>HpRatio</t>
        </is>
      </c>
      <c r="E1271" s="68">
        <f>INT(E1270*1.01)</f>
        <v/>
      </c>
      <c r="F1271" s="68" t="inlineStr">
        <is>
          <t>AtkRatio</t>
        </is>
      </c>
      <c r="G1271" s="68">
        <f>INT(G1270*1.01)</f>
        <v/>
      </c>
      <c r="H1271" s="68" t="inlineStr">
        <is>
          <t>DefRatio</t>
        </is>
      </c>
      <c r="I1271" s="68">
        <f>G1271</f>
        <v/>
      </c>
    </row>
    <row r="1272">
      <c r="A1272" s="68">
        <f>B1272&amp;TEXT(C1272,"0000")</f>
        <v/>
      </c>
      <c r="B1272" s="68" t="n">
        <v>200</v>
      </c>
      <c r="C1272" s="68" t="n">
        <v>369</v>
      </c>
      <c r="D1272" s="68" t="inlineStr">
        <is>
          <t>HpRatio</t>
        </is>
      </c>
      <c r="E1272" s="68">
        <f>INT(E1271*1.01)</f>
        <v/>
      </c>
      <c r="F1272" s="68" t="inlineStr">
        <is>
          <t>AtkRatio</t>
        </is>
      </c>
      <c r="G1272" s="68">
        <f>INT(G1271*1.01)</f>
        <v/>
      </c>
      <c r="H1272" s="68" t="inlineStr">
        <is>
          <t>DefRatio</t>
        </is>
      </c>
      <c r="I1272" s="68">
        <f>G1272</f>
        <v/>
      </c>
    </row>
    <row r="1273">
      <c r="A1273" s="68">
        <f>B1273&amp;TEXT(C1273,"0000")</f>
        <v/>
      </c>
      <c r="B1273" s="68" t="n">
        <v>200</v>
      </c>
      <c r="C1273" s="68" t="n">
        <v>370</v>
      </c>
      <c r="D1273" s="68" t="inlineStr">
        <is>
          <t>HpRatio</t>
        </is>
      </c>
      <c r="E1273" s="68">
        <f>INT(E1272*1.01)</f>
        <v/>
      </c>
      <c r="F1273" s="68" t="inlineStr">
        <is>
          <t>AtkRatio</t>
        </is>
      </c>
      <c r="G1273" s="68">
        <f>INT(G1272*1.01)</f>
        <v/>
      </c>
      <c r="H1273" s="68" t="inlineStr">
        <is>
          <t>DefRatio</t>
        </is>
      </c>
      <c r="I1273" s="68">
        <f>G1273</f>
        <v/>
      </c>
    </row>
    <row r="1274">
      <c r="A1274" s="68">
        <f>B1274&amp;TEXT(C1274,"0000")</f>
        <v/>
      </c>
      <c r="B1274" s="68" t="n">
        <v>200</v>
      </c>
      <c r="C1274" s="68" t="n">
        <v>371</v>
      </c>
      <c r="D1274" s="68" t="inlineStr">
        <is>
          <t>HpRatio</t>
        </is>
      </c>
      <c r="E1274" s="68">
        <f>INT(E1273*1.01)</f>
        <v/>
      </c>
      <c r="F1274" s="68" t="inlineStr">
        <is>
          <t>AtkRatio</t>
        </is>
      </c>
      <c r="G1274" s="68">
        <f>INT(G1273*1.01)</f>
        <v/>
      </c>
      <c r="H1274" s="68" t="inlineStr">
        <is>
          <t>DefRatio</t>
        </is>
      </c>
      <c r="I1274" s="68">
        <f>G1274</f>
        <v/>
      </c>
    </row>
    <row r="1275">
      <c r="A1275" s="68">
        <f>B1275&amp;TEXT(C1275,"0000")</f>
        <v/>
      </c>
      <c r="B1275" s="68" t="n">
        <v>200</v>
      </c>
      <c r="C1275" s="68" t="n">
        <v>372</v>
      </c>
      <c r="D1275" s="68" t="inlineStr">
        <is>
          <t>HpRatio</t>
        </is>
      </c>
      <c r="E1275" s="68">
        <f>INT(E1274*1.01)</f>
        <v/>
      </c>
      <c r="F1275" s="68" t="inlineStr">
        <is>
          <t>AtkRatio</t>
        </is>
      </c>
      <c r="G1275" s="68">
        <f>INT(G1274*1.01)</f>
        <v/>
      </c>
      <c r="H1275" s="68" t="inlineStr">
        <is>
          <t>DefRatio</t>
        </is>
      </c>
      <c r="I1275" s="68">
        <f>G1275</f>
        <v/>
      </c>
    </row>
    <row r="1276">
      <c r="A1276" s="68">
        <f>B1276&amp;TEXT(C1276,"0000")</f>
        <v/>
      </c>
      <c r="B1276" s="68" t="n">
        <v>200</v>
      </c>
      <c r="C1276" s="68" t="n">
        <v>373</v>
      </c>
      <c r="D1276" s="68" t="inlineStr">
        <is>
          <t>HpRatio</t>
        </is>
      </c>
      <c r="E1276" s="68">
        <f>INT(E1275*1.01)</f>
        <v/>
      </c>
      <c r="F1276" s="68" t="inlineStr">
        <is>
          <t>AtkRatio</t>
        </is>
      </c>
      <c r="G1276" s="68">
        <f>INT(G1275*1.01)</f>
        <v/>
      </c>
      <c r="H1276" s="68" t="inlineStr">
        <is>
          <t>DefRatio</t>
        </is>
      </c>
      <c r="I1276" s="68">
        <f>G1276</f>
        <v/>
      </c>
    </row>
    <row r="1277">
      <c r="A1277" s="68">
        <f>B1277&amp;TEXT(C1277,"0000")</f>
        <v/>
      </c>
      <c r="B1277" s="68" t="n">
        <v>200</v>
      </c>
      <c r="C1277" s="68" t="n">
        <v>374</v>
      </c>
      <c r="D1277" s="68" t="inlineStr">
        <is>
          <t>HpRatio</t>
        </is>
      </c>
      <c r="E1277" s="68">
        <f>INT(E1276*1.01)</f>
        <v/>
      </c>
      <c r="F1277" s="68" t="inlineStr">
        <is>
          <t>AtkRatio</t>
        </is>
      </c>
      <c r="G1277" s="68">
        <f>INT(G1276*1.01)</f>
        <v/>
      </c>
      <c r="H1277" s="68" t="inlineStr">
        <is>
          <t>DefRatio</t>
        </is>
      </c>
      <c r="I1277" s="68">
        <f>G1277</f>
        <v/>
      </c>
    </row>
    <row r="1278">
      <c r="A1278" s="68">
        <f>B1278&amp;TEXT(C1278,"0000")</f>
        <v/>
      </c>
      <c r="B1278" s="68" t="n">
        <v>200</v>
      </c>
      <c r="C1278" s="68" t="n">
        <v>375</v>
      </c>
      <c r="D1278" s="68" t="inlineStr">
        <is>
          <t>HpRatio</t>
        </is>
      </c>
      <c r="E1278" s="68">
        <f>INT(E1277*1.01)</f>
        <v/>
      </c>
      <c r="F1278" s="68" t="inlineStr">
        <is>
          <t>AtkRatio</t>
        </is>
      </c>
      <c r="G1278" s="68">
        <f>INT(G1277*1.01)</f>
        <v/>
      </c>
      <c r="H1278" s="68" t="inlineStr">
        <is>
          <t>DefRatio</t>
        </is>
      </c>
      <c r="I1278" s="68">
        <f>G1278</f>
        <v/>
      </c>
    </row>
    <row r="1279">
      <c r="A1279" s="68">
        <f>B1279&amp;TEXT(C1279,"0000")</f>
        <v/>
      </c>
      <c r="B1279" s="68" t="n">
        <v>200</v>
      </c>
      <c r="C1279" s="68" t="n">
        <v>376</v>
      </c>
      <c r="D1279" s="68" t="inlineStr">
        <is>
          <t>HpRatio</t>
        </is>
      </c>
      <c r="E1279" s="68">
        <f>INT(E1278*1.01)</f>
        <v/>
      </c>
      <c r="F1279" s="68" t="inlineStr">
        <is>
          <t>AtkRatio</t>
        </is>
      </c>
      <c r="G1279" s="68">
        <f>INT(G1278*1.01)</f>
        <v/>
      </c>
      <c r="H1279" s="68" t="inlineStr">
        <is>
          <t>DefRatio</t>
        </is>
      </c>
      <c r="I1279" s="68">
        <f>G1279</f>
        <v/>
      </c>
    </row>
    <row r="1280">
      <c r="A1280" s="68">
        <f>B1280&amp;TEXT(C1280,"0000")</f>
        <v/>
      </c>
      <c r="B1280" s="68" t="n">
        <v>200</v>
      </c>
      <c r="C1280" s="68" t="n">
        <v>377</v>
      </c>
      <c r="D1280" s="68" t="inlineStr">
        <is>
          <t>HpRatio</t>
        </is>
      </c>
      <c r="E1280" s="68">
        <f>INT(E1279*1.01)</f>
        <v/>
      </c>
      <c r="F1280" s="68" t="inlineStr">
        <is>
          <t>AtkRatio</t>
        </is>
      </c>
      <c r="G1280" s="68">
        <f>INT(G1279*1.01)</f>
        <v/>
      </c>
      <c r="H1280" s="68" t="inlineStr">
        <is>
          <t>DefRatio</t>
        </is>
      </c>
      <c r="I1280" s="68">
        <f>G1280</f>
        <v/>
      </c>
    </row>
    <row r="1281">
      <c r="A1281" s="68">
        <f>B1281&amp;TEXT(C1281,"0000")</f>
        <v/>
      </c>
      <c r="B1281" s="68" t="n">
        <v>200</v>
      </c>
      <c r="C1281" s="68" t="n">
        <v>378</v>
      </c>
      <c r="D1281" s="68" t="inlineStr">
        <is>
          <t>HpRatio</t>
        </is>
      </c>
      <c r="E1281" s="68">
        <f>INT(E1280*1.01)</f>
        <v/>
      </c>
      <c r="F1281" s="68" t="inlineStr">
        <is>
          <t>AtkRatio</t>
        </is>
      </c>
      <c r="G1281" s="68">
        <f>INT(G1280*1.01)</f>
        <v/>
      </c>
      <c r="H1281" s="68" t="inlineStr">
        <is>
          <t>DefRatio</t>
        </is>
      </c>
      <c r="I1281" s="68">
        <f>G1281</f>
        <v/>
      </c>
    </row>
    <row r="1282">
      <c r="A1282" s="68">
        <f>B1282&amp;TEXT(C1282,"0000")</f>
        <v/>
      </c>
      <c r="B1282" s="68" t="n">
        <v>200</v>
      </c>
      <c r="C1282" s="68" t="n">
        <v>379</v>
      </c>
      <c r="D1282" s="68" t="inlineStr">
        <is>
          <t>HpRatio</t>
        </is>
      </c>
      <c r="E1282" s="68">
        <f>INT(E1281*1.01)</f>
        <v/>
      </c>
      <c r="F1282" s="68" t="inlineStr">
        <is>
          <t>AtkRatio</t>
        </is>
      </c>
      <c r="G1282" s="68">
        <f>INT(G1281*1.01)</f>
        <v/>
      </c>
      <c r="H1282" s="68" t="inlineStr">
        <is>
          <t>DefRatio</t>
        </is>
      </c>
      <c r="I1282" s="68">
        <f>G1282</f>
        <v/>
      </c>
    </row>
    <row r="1283">
      <c r="A1283" s="68">
        <f>B1283&amp;TEXT(C1283,"0000")</f>
        <v/>
      </c>
      <c r="B1283" s="68" t="n">
        <v>200</v>
      </c>
      <c r="C1283" s="68" t="n">
        <v>380</v>
      </c>
      <c r="D1283" s="68" t="inlineStr">
        <is>
          <t>HpRatio</t>
        </is>
      </c>
      <c r="E1283" s="68">
        <f>INT(E1282*1.01)</f>
        <v/>
      </c>
      <c r="F1283" s="68" t="inlineStr">
        <is>
          <t>AtkRatio</t>
        </is>
      </c>
      <c r="G1283" s="68">
        <f>INT(G1282*1.01)</f>
        <v/>
      </c>
      <c r="H1283" s="68" t="inlineStr">
        <is>
          <t>DefRatio</t>
        </is>
      </c>
      <c r="I1283" s="68">
        <f>G1283</f>
        <v/>
      </c>
    </row>
    <row r="1284">
      <c r="A1284" s="68">
        <f>B1284&amp;TEXT(C1284,"0000")</f>
        <v/>
      </c>
      <c r="B1284" s="68" t="n">
        <v>200</v>
      </c>
      <c r="C1284" s="68" t="n">
        <v>381</v>
      </c>
      <c r="D1284" s="68" t="inlineStr">
        <is>
          <t>HpRatio</t>
        </is>
      </c>
      <c r="E1284" s="68">
        <f>INT(E1283*1.01)</f>
        <v/>
      </c>
      <c r="F1284" s="68" t="inlineStr">
        <is>
          <t>AtkRatio</t>
        </is>
      </c>
      <c r="G1284" s="68">
        <f>INT(G1283*1.01)</f>
        <v/>
      </c>
      <c r="H1284" s="68" t="inlineStr">
        <is>
          <t>DefRatio</t>
        </is>
      </c>
      <c r="I1284" s="68">
        <f>G1284</f>
        <v/>
      </c>
    </row>
    <row r="1285">
      <c r="A1285" s="68">
        <f>B1285&amp;TEXT(C1285,"0000")</f>
        <v/>
      </c>
      <c r="B1285" s="68" t="n">
        <v>200</v>
      </c>
      <c r="C1285" s="68" t="n">
        <v>382</v>
      </c>
      <c r="D1285" s="68" t="inlineStr">
        <is>
          <t>HpRatio</t>
        </is>
      </c>
      <c r="E1285" s="68">
        <f>INT(E1284*1.01)</f>
        <v/>
      </c>
      <c r="F1285" s="68" t="inlineStr">
        <is>
          <t>AtkRatio</t>
        </is>
      </c>
      <c r="G1285" s="68">
        <f>INT(G1284*1.01)</f>
        <v/>
      </c>
      <c r="H1285" s="68" t="inlineStr">
        <is>
          <t>DefRatio</t>
        </is>
      </c>
      <c r="I1285" s="68">
        <f>G1285</f>
        <v/>
      </c>
    </row>
    <row r="1286">
      <c r="A1286" s="68">
        <f>B1286&amp;TEXT(C1286,"0000")</f>
        <v/>
      </c>
      <c r="B1286" s="68" t="n">
        <v>200</v>
      </c>
      <c r="C1286" s="68" t="n">
        <v>383</v>
      </c>
      <c r="D1286" s="68" t="inlineStr">
        <is>
          <t>HpRatio</t>
        </is>
      </c>
      <c r="E1286" s="68">
        <f>INT(E1285*1.01)</f>
        <v/>
      </c>
      <c r="F1286" s="68" t="inlineStr">
        <is>
          <t>AtkRatio</t>
        </is>
      </c>
      <c r="G1286" s="68">
        <f>INT(G1285*1.01)</f>
        <v/>
      </c>
      <c r="H1286" s="68" t="inlineStr">
        <is>
          <t>DefRatio</t>
        </is>
      </c>
      <c r="I1286" s="68">
        <f>G1286</f>
        <v/>
      </c>
    </row>
    <row r="1287">
      <c r="A1287" s="68">
        <f>B1287&amp;TEXT(C1287,"0000")</f>
        <v/>
      </c>
      <c r="B1287" s="68" t="n">
        <v>200</v>
      </c>
      <c r="C1287" s="68" t="n">
        <v>384</v>
      </c>
      <c r="D1287" s="68" t="inlineStr">
        <is>
          <t>HpRatio</t>
        </is>
      </c>
      <c r="E1287" s="68">
        <f>INT(E1286*1.01)</f>
        <v/>
      </c>
      <c r="F1287" s="68" t="inlineStr">
        <is>
          <t>AtkRatio</t>
        </is>
      </c>
      <c r="G1287" s="68">
        <f>INT(G1286*1.01)</f>
        <v/>
      </c>
      <c r="H1287" s="68" t="inlineStr">
        <is>
          <t>DefRatio</t>
        </is>
      </c>
      <c r="I1287" s="68">
        <f>G1287</f>
        <v/>
      </c>
    </row>
    <row r="1288">
      <c r="A1288" s="68">
        <f>B1288&amp;TEXT(C1288,"0000")</f>
        <v/>
      </c>
      <c r="B1288" s="68" t="n">
        <v>200</v>
      </c>
      <c r="C1288" s="68" t="n">
        <v>385</v>
      </c>
      <c r="D1288" s="68" t="inlineStr">
        <is>
          <t>HpRatio</t>
        </is>
      </c>
      <c r="E1288" s="68">
        <f>INT(E1287*1.01)</f>
        <v/>
      </c>
      <c r="F1288" s="68" t="inlineStr">
        <is>
          <t>AtkRatio</t>
        </is>
      </c>
      <c r="G1288" s="68">
        <f>INT(G1287*1.01)</f>
        <v/>
      </c>
      <c r="H1288" s="68" t="inlineStr">
        <is>
          <t>DefRatio</t>
        </is>
      </c>
      <c r="I1288" s="68">
        <f>G1288</f>
        <v/>
      </c>
    </row>
    <row r="1289">
      <c r="A1289" s="68">
        <f>B1289&amp;TEXT(C1289,"0000")</f>
        <v/>
      </c>
      <c r="B1289" s="68" t="n">
        <v>200</v>
      </c>
      <c r="C1289" s="68" t="n">
        <v>386</v>
      </c>
      <c r="D1289" s="68" t="inlineStr">
        <is>
          <t>HpRatio</t>
        </is>
      </c>
      <c r="E1289" s="68">
        <f>INT(E1288*1.01)</f>
        <v/>
      </c>
      <c r="F1289" s="68" t="inlineStr">
        <is>
          <t>AtkRatio</t>
        </is>
      </c>
      <c r="G1289" s="68">
        <f>INT(G1288*1.01)</f>
        <v/>
      </c>
      <c r="H1289" s="68" t="inlineStr">
        <is>
          <t>DefRatio</t>
        </is>
      </c>
      <c r="I1289" s="68">
        <f>G1289</f>
        <v/>
      </c>
    </row>
    <row r="1290">
      <c r="A1290" s="68">
        <f>B1290&amp;TEXT(C1290,"0000")</f>
        <v/>
      </c>
      <c r="B1290" s="68" t="n">
        <v>200</v>
      </c>
      <c r="C1290" s="68" t="n">
        <v>387</v>
      </c>
      <c r="D1290" s="68" t="inlineStr">
        <is>
          <t>HpRatio</t>
        </is>
      </c>
      <c r="E1290" s="68">
        <f>INT(E1289*1.01)</f>
        <v/>
      </c>
      <c r="F1290" s="68" t="inlineStr">
        <is>
          <t>AtkRatio</t>
        </is>
      </c>
      <c r="G1290" s="68">
        <f>INT(G1289*1.01)</f>
        <v/>
      </c>
      <c r="H1290" s="68" t="inlineStr">
        <is>
          <t>DefRatio</t>
        </is>
      </c>
      <c r="I1290" s="68">
        <f>G1290</f>
        <v/>
      </c>
    </row>
    <row r="1291">
      <c r="A1291" s="68">
        <f>B1291&amp;TEXT(C1291,"0000")</f>
        <v/>
      </c>
      <c r="B1291" s="68" t="n">
        <v>200</v>
      </c>
      <c r="C1291" s="68" t="n">
        <v>388</v>
      </c>
      <c r="D1291" s="68" t="inlineStr">
        <is>
          <t>HpRatio</t>
        </is>
      </c>
      <c r="E1291" s="68">
        <f>INT(E1290*1.01)</f>
        <v/>
      </c>
      <c r="F1291" s="68" t="inlineStr">
        <is>
          <t>AtkRatio</t>
        </is>
      </c>
      <c r="G1291" s="68">
        <f>INT(G1290*1.01)</f>
        <v/>
      </c>
      <c r="H1291" s="68" t="inlineStr">
        <is>
          <t>DefRatio</t>
        </is>
      </c>
      <c r="I1291" s="68">
        <f>G1291</f>
        <v/>
      </c>
    </row>
    <row r="1292">
      <c r="A1292" s="68">
        <f>B1292&amp;TEXT(C1292,"0000")</f>
        <v/>
      </c>
      <c r="B1292" s="68" t="n">
        <v>200</v>
      </c>
      <c r="C1292" s="68" t="n">
        <v>389</v>
      </c>
      <c r="D1292" s="68" t="inlineStr">
        <is>
          <t>HpRatio</t>
        </is>
      </c>
      <c r="E1292" s="68">
        <f>INT(E1291*1.01)</f>
        <v/>
      </c>
      <c r="F1292" s="68" t="inlineStr">
        <is>
          <t>AtkRatio</t>
        </is>
      </c>
      <c r="G1292" s="68">
        <f>INT(G1291*1.01)</f>
        <v/>
      </c>
      <c r="H1292" s="68" t="inlineStr">
        <is>
          <t>DefRatio</t>
        </is>
      </c>
      <c r="I1292" s="68">
        <f>G1292</f>
        <v/>
      </c>
    </row>
    <row r="1293">
      <c r="A1293" s="68">
        <f>B1293&amp;TEXT(C1293,"0000")</f>
        <v/>
      </c>
      <c r="B1293" s="68" t="n">
        <v>200</v>
      </c>
      <c r="C1293" s="68" t="n">
        <v>390</v>
      </c>
      <c r="D1293" s="68" t="inlineStr">
        <is>
          <t>HpRatio</t>
        </is>
      </c>
      <c r="E1293" s="68">
        <f>INT(E1292*1.01)</f>
        <v/>
      </c>
      <c r="F1293" s="68" t="inlineStr">
        <is>
          <t>AtkRatio</t>
        </is>
      </c>
      <c r="G1293" s="68">
        <f>INT(G1292*1.01)</f>
        <v/>
      </c>
      <c r="H1293" s="68" t="inlineStr">
        <is>
          <t>DefRatio</t>
        </is>
      </c>
      <c r="I1293" s="68">
        <f>G1293</f>
        <v/>
      </c>
    </row>
    <row r="1294">
      <c r="A1294" s="68">
        <f>B1294&amp;TEXT(C1294,"0000")</f>
        <v/>
      </c>
      <c r="B1294" s="68" t="n">
        <v>200</v>
      </c>
      <c r="C1294" s="68" t="n">
        <v>391</v>
      </c>
      <c r="D1294" s="68" t="inlineStr">
        <is>
          <t>HpRatio</t>
        </is>
      </c>
      <c r="E1294" s="68">
        <f>INT(E1293*1.01)</f>
        <v/>
      </c>
      <c r="F1294" s="68" t="inlineStr">
        <is>
          <t>AtkRatio</t>
        </is>
      </c>
      <c r="G1294" s="68">
        <f>INT(G1293*1.01)</f>
        <v/>
      </c>
      <c r="H1294" s="68" t="inlineStr">
        <is>
          <t>DefRatio</t>
        </is>
      </c>
      <c r="I1294" s="68">
        <f>G1294</f>
        <v/>
      </c>
    </row>
    <row r="1295">
      <c r="A1295" s="68">
        <f>B1295&amp;TEXT(C1295,"0000")</f>
        <v/>
      </c>
      <c r="B1295" s="68" t="n">
        <v>200</v>
      </c>
      <c r="C1295" s="68" t="n">
        <v>392</v>
      </c>
      <c r="D1295" s="68" t="inlineStr">
        <is>
          <t>HpRatio</t>
        </is>
      </c>
      <c r="E1295" s="68">
        <f>INT(E1294*1.01)</f>
        <v/>
      </c>
      <c r="F1295" s="68" t="inlineStr">
        <is>
          <t>AtkRatio</t>
        </is>
      </c>
      <c r="G1295" s="68">
        <f>INT(G1294*1.01)</f>
        <v/>
      </c>
      <c r="H1295" s="68" t="inlineStr">
        <is>
          <t>DefRatio</t>
        </is>
      </c>
      <c r="I1295" s="68">
        <f>G1295</f>
        <v/>
      </c>
    </row>
    <row r="1296">
      <c r="A1296" s="68">
        <f>B1296&amp;TEXT(C1296,"0000")</f>
        <v/>
      </c>
      <c r="B1296" s="68" t="n">
        <v>200</v>
      </c>
      <c r="C1296" s="68" t="n">
        <v>393</v>
      </c>
      <c r="D1296" s="68" t="inlineStr">
        <is>
          <t>HpRatio</t>
        </is>
      </c>
      <c r="E1296" s="68">
        <f>INT(E1295*1.01)</f>
        <v/>
      </c>
      <c r="F1296" s="68" t="inlineStr">
        <is>
          <t>AtkRatio</t>
        </is>
      </c>
      <c r="G1296" s="68">
        <f>INT(G1295*1.01)</f>
        <v/>
      </c>
      <c r="H1296" s="68" t="inlineStr">
        <is>
          <t>DefRatio</t>
        </is>
      </c>
      <c r="I1296" s="68">
        <f>G1296</f>
        <v/>
      </c>
    </row>
    <row r="1297">
      <c r="A1297" s="68">
        <f>B1297&amp;TEXT(C1297,"0000")</f>
        <v/>
      </c>
      <c r="B1297" s="68" t="n">
        <v>200</v>
      </c>
      <c r="C1297" s="68" t="n">
        <v>394</v>
      </c>
      <c r="D1297" s="68" t="inlineStr">
        <is>
          <t>HpRatio</t>
        </is>
      </c>
      <c r="E1297" s="68">
        <f>INT(E1296*1.01)</f>
        <v/>
      </c>
      <c r="F1297" s="68" t="inlineStr">
        <is>
          <t>AtkRatio</t>
        </is>
      </c>
      <c r="G1297" s="68">
        <f>INT(G1296*1.01)</f>
        <v/>
      </c>
      <c r="H1297" s="68" t="inlineStr">
        <is>
          <t>DefRatio</t>
        </is>
      </c>
      <c r="I1297" s="68">
        <f>G1297</f>
        <v/>
      </c>
    </row>
    <row r="1298">
      <c r="A1298" s="68">
        <f>B1298&amp;TEXT(C1298,"0000")</f>
        <v/>
      </c>
      <c r="B1298" s="68" t="n">
        <v>200</v>
      </c>
      <c r="C1298" s="68" t="n">
        <v>395</v>
      </c>
      <c r="D1298" s="68" t="inlineStr">
        <is>
          <t>HpRatio</t>
        </is>
      </c>
      <c r="E1298" s="68">
        <f>INT(E1297*1.01)</f>
        <v/>
      </c>
      <c r="F1298" s="68" t="inlineStr">
        <is>
          <t>AtkRatio</t>
        </is>
      </c>
      <c r="G1298" s="68">
        <f>INT(G1297*1.01)</f>
        <v/>
      </c>
      <c r="H1298" s="68" t="inlineStr">
        <is>
          <t>DefRatio</t>
        </is>
      </c>
      <c r="I1298" s="68">
        <f>G1298</f>
        <v/>
      </c>
    </row>
    <row r="1299">
      <c r="A1299" s="68">
        <f>B1299&amp;TEXT(C1299,"0000")</f>
        <v/>
      </c>
      <c r="B1299" s="68" t="n">
        <v>200</v>
      </c>
      <c r="C1299" s="68" t="n">
        <v>396</v>
      </c>
      <c r="D1299" s="68" t="inlineStr">
        <is>
          <t>HpRatio</t>
        </is>
      </c>
      <c r="E1299" s="68">
        <f>INT(E1298*1.01)</f>
        <v/>
      </c>
      <c r="F1299" s="68" t="inlineStr">
        <is>
          <t>AtkRatio</t>
        </is>
      </c>
      <c r="G1299" s="68">
        <f>INT(G1298*1.01)</f>
        <v/>
      </c>
      <c r="H1299" s="68" t="inlineStr">
        <is>
          <t>DefRatio</t>
        </is>
      </c>
      <c r="I1299" s="68">
        <f>G1299</f>
        <v/>
      </c>
    </row>
    <row r="1300">
      <c r="A1300" s="68">
        <f>B1300&amp;TEXT(C1300,"0000")</f>
        <v/>
      </c>
      <c r="B1300" s="68" t="n">
        <v>200</v>
      </c>
      <c r="C1300" s="68" t="n">
        <v>397</v>
      </c>
      <c r="D1300" s="68" t="inlineStr">
        <is>
          <t>HpRatio</t>
        </is>
      </c>
      <c r="E1300" s="68">
        <f>INT(E1299*1.01)</f>
        <v/>
      </c>
      <c r="F1300" s="68" t="inlineStr">
        <is>
          <t>AtkRatio</t>
        </is>
      </c>
      <c r="G1300" s="68">
        <f>INT(G1299*1.01)</f>
        <v/>
      </c>
      <c r="H1300" s="68" t="inlineStr">
        <is>
          <t>DefRatio</t>
        </is>
      </c>
      <c r="I1300" s="68">
        <f>G1300</f>
        <v/>
      </c>
    </row>
    <row r="1301">
      <c r="A1301" s="68">
        <f>B1301&amp;TEXT(C1301,"0000")</f>
        <v/>
      </c>
      <c r="B1301" s="68" t="n">
        <v>200</v>
      </c>
      <c r="C1301" s="68" t="n">
        <v>398</v>
      </c>
      <c r="D1301" s="68" t="inlineStr">
        <is>
          <t>HpRatio</t>
        </is>
      </c>
      <c r="E1301" s="68">
        <f>INT(E1300*1.01)</f>
        <v/>
      </c>
      <c r="F1301" s="68" t="inlineStr">
        <is>
          <t>AtkRatio</t>
        </is>
      </c>
      <c r="G1301" s="68">
        <f>INT(G1300*1.01)</f>
        <v/>
      </c>
      <c r="H1301" s="68" t="inlineStr">
        <is>
          <t>DefRatio</t>
        </is>
      </c>
      <c r="I1301" s="68">
        <f>G1301</f>
        <v/>
      </c>
    </row>
    <row r="1302">
      <c r="A1302" s="68">
        <f>B1302&amp;TEXT(C1302,"0000")</f>
        <v/>
      </c>
      <c r="B1302" s="68" t="n">
        <v>200</v>
      </c>
      <c r="C1302" s="68" t="n">
        <v>399</v>
      </c>
      <c r="D1302" s="68" t="inlineStr">
        <is>
          <t>HpRatio</t>
        </is>
      </c>
      <c r="E1302" s="68">
        <f>INT(E1301*1.01)</f>
        <v/>
      </c>
      <c r="F1302" s="68" t="inlineStr">
        <is>
          <t>AtkRatio</t>
        </is>
      </c>
      <c r="G1302" s="68">
        <f>INT(G1301*1.01)</f>
        <v/>
      </c>
      <c r="H1302" s="68" t="inlineStr">
        <is>
          <t>DefRatio</t>
        </is>
      </c>
      <c r="I1302" s="68">
        <f>G1302</f>
        <v/>
      </c>
    </row>
    <row r="1303">
      <c r="A1303" s="68">
        <f>B1303&amp;TEXT(C1303,"0000")</f>
        <v/>
      </c>
      <c r="B1303" s="68" t="n">
        <v>200</v>
      </c>
      <c r="C1303" s="68" t="n">
        <v>400</v>
      </c>
      <c r="D1303" s="68" t="inlineStr">
        <is>
          <t>HpRatio</t>
        </is>
      </c>
      <c r="E1303" s="68">
        <f>INT(E1302*1.01)</f>
        <v/>
      </c>
      <c r="F1303" s="68" t="inlineStr">
        <is>
          <t>AtkRatio</t>
        </is>
      </c>
      <c r="G1303" s="68">
        <f>INT(G1302*1.01)</f>
        <v/>
      </c>
      <c r="H1303" s="68" t="inlineStr">
        <is>
          <t>DefRatio</t>
        </is>
      </c>
      <c r="I1303" s="68">
        <f>G1303</f>
        <v/>
      </c>
    </row>
    <row r="1304">
      <c r="A1304" s="68">
        <f>B1304&amp;TEXT(C1304,"0000")</f>
        <v/>
      </c>
      <c r="B1304" s="68" t="n">
        <v>200</v>
      </c>
      <c r="C1304" s="68" t="n">
        <v>401</v>
      </c>
      <c r="D1304" s="68" t="inlineStr">
        <is>
          <t>HpRatio</t>
        </is>
      </c>
      <c r="E1304" s="68">
        <f>INT(E1303*1.01)</f>
        <v/>
      </c>
      <c r="F1304" s="68" t="inlineStr">
        <is>
          <t>AtkRatio</t>
        </is>
      </c>
      <c r="G1304" s="68">
        <f>INT(G1303*1.01)</f>
        <v/>
      </c>
      <c r="H1304" s="68" t="inlineStr">
        <is>
          <t>DefRatio</t>
        </is>
      </c>
      <c r="I1304" s="68">
        <f>G1304</f>
        <v/>
      </c>
    </row>
    <row r="1305">
      <c r="A1305" s="68">
        <f>B1305&amp;TEXT(C1305,"0000")</f>
        <v/>
      </c>
      <c r="B1305" s="68" t="n">
        <v>200</v>
      </c>
      <c r="C1305" s="68" t="n">
        <v>402</v>
      </c>
      <c r="D1305" s="68" t="inlineStr">
        <is>
          <t>HpRatio</t>
        </is>
      </c>
      <c r="E1305" s="68">
        <f>INT(E1304*1.01)</f>
        <v/>
      </c>
      <c r="F1305" s="68" t="inlineStr">
        <is>
          <t>AtkRatio</t>
        </is>
      </c>
      <c r="G1305" s="68">
        <f>INT(G1304*1.01)</f>
        <v/>
      </c>
      <c r="H1305" s="68" t="inlineStr">
        <is>
          <t>DefRatio</t>
        </is>
      </c>
      <c r="I1305" s="68">
        <f>G1305</f>
        <v/>
      </c>
    </row>
    <row r="1306">
      <c r="A1306" s="68">
        <f>B1306&amp;TEXT(C1306,"0000")</f>
        <v/>
      </c>
      <c r="B1306" s="68" t="n">
        <v>200</v>
      </c>
      <c r="C1306" s="68" t="n">
        <v>403</v>
      </c>
      <c r="D1306" s="68" t="inlineStr">
        <is>
          <t>HpRatio</t>
        </is>
      </c>
      <c r="E1306" s="68">
        <f>INT(E1305*1.01)</f>
        <v/>
      </c>
      <c r="F1306" s="68" t="inlineStr">
        <is>
          <t>AtkRatio</t>
        </is>
      </c>
      <c r="G1306" s="68">
        <f>INT(G1305*1.01)</f>
        <v/>
      </c>
      <c r="H1306" s="68" t="inlineStr">
        <is>
          <t>DefRatio</t>
        </is>
      </c>
      <c r="I1306" s="68">
        <f>G1306</f>
        <v/>
      </c>
    </row>
    <row r="1307">
      <c r="A1307" s="68">
        <f>B1307&amp;TEXT(C1307,"0000")</f>
        <v/>
      </c>
      <c r="B1307" s="68" t="n">
        <v>200</v>
      </c>
      <c r="C1307" s="68" t="n">
        <v>404</v>
      </c>
      <c r="D1307" s="68" t="inlineStr">
        <is>
          <t>HpRatio</t>
        </is>
      </c>
      <c r="E1307" s="68">
        <f>INT(E1306*1.01)</f>
        <v/>
      </c>
      <c r="F1307" s="68" t="inlineStr">
        <is>
          <t>AtkRatio</t>
        </is>
      </c>
      <c r="G1307" s="68">
        <f>INT(G1306*1.01)</f>
        <v/>
      </c>
      <c r="H1307" s="68" t="inlineStr">
        <is>
          <t>DefRatio</t>
        </is>
      </c>
      <c r="I1307" s="68">
        <f>G1307</f>
        <v/>
      </c>
    </row>
    <row r="1308">
      <c r="A1308" s="68">
        <f>B1308&amp;TEXT(C1308,"0000")</f>
        <v/>
      </c>
      <c r="B1308" s="68" t="n">
        <v>200</v>
      </c>
      <c r="C1308" s="68" t="n">
        <v>405</v>
      </c>
      <c r="D1308" s="68" t="inlineStr">
        <is>
          <t>HpRatio</t>
        </is>
      </c>
      <c r="E1308" s="68">
        <f>INT(E1307*1.01)</f>
        <v/>
      </c>
      <c r="F1308" s="68" t="inlineStr">
        <is>
          <t>AtkRatio</t>
        </is>
      </c>
      <c r="G1308" s="68">
        <f>INT(G1307*1.01)</f>
        <v/>
      </c>
      <c r="H1308" s="68" t="inlineStr">
        <is>
          <t>DefRatio</t>
        </is>
      </c>
      <c r="I1308" s="68">
        <f>G1308</f>
        <v/>
      </c>
    </row>
    <row r="1309">
      <c r="A1309" s="68">
        <f>B1309&amp;TEXT(C1309,"0000")</f>
        <v/>
      </c>
      <c r="B1309" s="68" t="n">
        <v>200</v>
      </c>
      <c r="C1309" s="68" t="n">
        <v>406</v>
      </c>
      <c r="D1309" s="68" t="inlineStr">
        <is>
          <t>HpRatio</t>
        </is>
      </c>
      <c r="E1309" s="68">
        <f>INT(E1308*1.01)</f>
        <v/>
      </c>
      <c r="F1309" s="68" t="inlineStr">
        <is>
          <t>AtkRatio</t>
        </is>
      </c>
      <c r="G1309" s="68">
        <f>INT(G1308*1.01)</f>
        <v/>
      </c>
      <c r="H1309" s="68" t="inlineStr">
        <is>
          <t>DefRatio</t>
        </is>
      </c>
      <c r="I1309" s="68">
        <f>G1309</f>
        <v/>
      </c>
    </row>
    <row r="1310">
      <c r="A1310" s="68">
        <f>B1310&amp;TEXT(C1310,"0000")</f>
        <v/>
      </c>
      <c r="B1310" s="68" t="n">
        <v>200</v>
      </c>
      <c r="C1310" s="68" t="n">
        <v>407</v>
      </c>
      <c r="D1310" s="68" t="inlineStr">
        <is>
          <t>HpRatio</t>
        </is>
      </c>
      <c r="E1310" s="68">
        <f>INT(E1309*1.01)</f>
        <v/>
      </c>
      <c r="F1310" s="68" t="inlineStr">
        <is>
          <t>AtkRatio</t>
        </is>
      </c>
      <c r="G1310" s="68">
        <f>INT(G1309*1.01)</f>
        <v/>
      </c>
      <c r="H1310" s="68" t="inlineStr">
        <is>
          <t>DefRatio</t>
        </is>
      </c>
      <c r="I1310" s="68">
        <f>G1310</f>
        <v/>
      </c>
    </row>
    <row r="1311">
      <c r="A1311" s="68">
        <f>B1311&amp;TEXT(C1311,"0000")</f>
        <v/>
      </c>
      <c r="B1311" s="68" t="n">
        <v>200</v>
      </c>
      <c r="C1311" s="68" t="n">
        <v>408</v>
      </c>
      <c r="D1311" s="68" t="inlineStr">
        <is>
          <t>HpRatio</t>
        </is>
      </c>
      <c r="E1311" s="68">
        <f>INT(E1310*1.01)</f>
        <v/>
      </c>
      <c r="F1311" s="68" t="inlineStr">
        <is>
          <t>AtkRatio</t>
        </is>
      </c>
      <c r="G1311" s="68">
        <f>INT(G1310*1.01)</f>
        <v/>
      </c>
      <c r="H1311" s="68" t="inlineStr">
        <is>
          <t>DefRatio</t>
        </is>
      </c>
      <c r="I1311" s="68">
        <f>G1311</f>
        <v/>
      </c>
    </row>
    <row r="1312">
      <c r="A1312" s="68">
        <f>B1312&amp;TEXT(C1312,"0000")</f>
        <v/>
      </c>
      <c r="B1312" s="68" t="n">
        <v>200</v>
      </c>
      <c r="C1312" s="68" t="n">
        <v>409</v>
      </c>
      <c r="D1312" s="68" t="inlineStr">
        <is>
          <t>HpRatio</t>
        </is>
      </c>
      <c r="E1312" s="68">
        <f>INT(E1311*1.01)</f>
        <v/>
      </c>
      <c r="F1312" s="68" t="inlineStr">
        <is>
          <t>AtkRatio</t>
        </is>
      </c>
      <c r="G1312" s="68">
        <f>INT(G1311*1.01)</f>
        <v/>
      </c>
      <c r="H1312" s="68" t="inlineStr">
        <is>
          <t>DefRatio</t>
        </is>
      </c>
      <c r="I1312" s="68">
        <f>G1312</f>
        <v/>
      </c>
    </row>
    <row r="1313">
      <c r="A1313" s="68">
        <f>B1313&amp;TEXT(C1313,"0000")</f>
        <v/>
      </c>
      <c r="B1313" s="68" t="n">
        <v>200</v>
      </c>
      <c r="C1313" s="68" t="n">
        <v>410</v>
      </c>
      <c r="D1313" s="68" t="inlineStr">
        <is>
          <t>HpRatio</t>
        </is>
      </c>
      <c r="E1313" s="68">
        <f>INT(E1312*1.01)</f>
        <v/>
      </c>
      <c r="F1313" s="68" t="inlineStr">
        <is>
          <t>AtkRatio</t>
        </is>
      </c>
      <c r="G1313" s="68">
        <f>INT(G1312*1.01)</f>
        <v/>
      </c>
      <c r="H1313" s="68" t="inlineStr">
        <is>
          <t>DefRatio</t>
        </is>
      </c>
      <c r="I1313" s="68">
        <f>G1313</f>
        <v/>
      </c>
    </row>
    <row r="1314">
      <c r="A1314" s="68">
        <f>B1314&amp;TEXT(C1314,"0000")</f>
        <v/>
      </c>
      <c r="B1314" s="68" t="n">
        <v>200</v>
      </c>
      <c r="C1314" s="68" t="n">
        <v>411</v>
      </c>
      <c r="D1314" s="68" t="inlineStr">
        <is>
          <t>HpRatio</t>
        </is>
      </c>
      <c r="E1314" s="68">
        <f>INT(E1313*1.01)</f>
        <v/>
      </c>
      <c r="F1314" s="68" t="inlineStr">
        <is>
          <t>AtkRatio</t>
        </is>
      </c>
      <c r="G1314" s="68">
        <f>INT(G1313*1.01)</f>
        <v/>
      </c>
      <c r="H1314" s="68" t="inlineStr">
        <is>
          <t>DefRatio</t>
        </is>
      </c>
      <c r="I1314" s="68">
        <f>G1314</f>
        <v/>
      </c>
    </row>
    <row r="1315">
      <c r="A1315" s="68">
        <f>B1315&amp;TEXT(C1315,"0000")</f>
        <v/>
      </c>
      <c r="B1315" s="68" t="n">
        <v>200</v>
      </c>
      <c r="C1315" s="68" t="n">
        <v>412</v>
      </c>
      <c r="D1315" s="68" t="inlineStr">
        <is>
          <t>HpRatio</t>
        </is>
      </c>
      <c r="E1315" s="68">
        <f>INT(E1314*1.01)</f>
        <v/>
      </c>
      <c r="F1315" s="68" t="inlineStr">
        <is>
          <t>AtkRatio</t>
        </is>
      </c>
      <c r="G1315" s="68">
        <f>INT(G1314*1.01)</f>
        <v/>
      </c>
      <c r="H1315" s="68" t="inlineStr">
        <is>
          <t>DefRatio</t>
        </is>
      </c>
      <c r="I1315" s="68">
        <f>G1315</f>
        <v/>
      </c>
    </row>
    <row r="1316">
      <c r="A1316" s="68">
        <f>B1316&amp;TEXT(C1316,"0000")</f>
        <v/>
      </c>
      <c r="B1316" s="68" t="n">
        <v>200</v>
      </c>
      <c r="C1316" s="68" t="n">
        <v>413</v>
      </c>
      <c r="D1316" s="68" t="inlineStr">
        <is>
          <t>HpRatio</t>
        </is>
      </c>
      <c r="E1316" s="68">
        <f>INT(E1315*1.01)</f>
        <v/>
      </c>
      <c r="F1316" s="68" t="inlineStr">
        <is>
          <t>AtkRatio</t>
        </is>
      </c>
      <c r="G1316" s="68">
        <f>INT(G1315*1.01)</f>
        <v/>
      </c>
      <c r="H1316" s="68" t="inlineStr">
        <is>
          <t>DefRatio</t>
        </is>
      </c>
      <c r="I1316" s="68">
        <f>G1316</f>
        <v/>
      </c>
    </row>
    <row r="1317">
      <c r="A1317" s="68">
        <f>B1317&amp;TEXT(C1317,"0000")</f>
        <v/>
      </c>
      <c r="B1317" s="68" t="n">
        <v>200</v>
      </c>
      <c r="C1317" s="68" t="n">
        <v>414</v>
      </c>
      <c r="D1317" s="68" t="inlineStr">
        <is>
          <t>HpRatio</t>
        </is>
      </c>
      <c r="E1317" s="68">
        <f>INT(E1316*1.01)</f>
        <v/>
      </c>
      <c r="F1317" s="68" t="inlineStr">
        <is>
          <t>AtkRatio</t>
        </is>
      </c>
      <c r="G1317" s="68">
        <f>INT(G1316*1.01)</f>
        <v/>
      </c>
      <c r="H1317" s="68" t="inlineStr">
        <is>
          <t>DefRatio</t>
        </is>
      </c>
      <c r="I1317" s="68">
        <f>G1317</f>
        <v/>
      </c>
    </row>
    <row r="1318">
      <c r="A1318" s="68">
        <f>B1318&amp;TEXT(C1318,"0000")</f>
        <v/>
      </c>
      <c r="B1318" s="68" t="n">
        <v>200</v>
      </c>
      <c r="C1318" s="68" t="n">
        <v>415</v>
      </c>
      <c r="D1318" s="68" t="inlineStr">
        <is>
          <t>HpRatio</t>
        </is>
      </c>
      <c r="E1318" s="68">
        <f>INT(E1317*1.01)</f>
        <v/>
      </c>
      <c r="F1318" s="68" t="inlineStr">
        <is>
          <t>AtkRatio</t>
        </is>
      </c>
      <c r="G1318" s="68">
        <f>INT(G1317*1.01)</f>
        <v/>
      </c>
      <c r="H1318" s="68" t="inlineStr">
        <is>
          <t>DefRatio</t>
        </is>
      </c>
      <c r="I1318" s="68">
        <f>G1318</f>
        <v/>
      </c>
    </row>
    <row r="1319">
      <c r="A1319" s="68">
        <f>B1319&amp;TEXT(C1319,"0000")</f>
        <v/>
      </c>
      <c r="B1319" s="68" t="n">
        <v>200</v>
      </c>
      <c r="C1319" s="68" t="n">
        <v>416</v>
      </c>
      <c r="D1319" s="68" t="inlineStr">
        <is>
          <t>HpRatio</t>
        </is>
      </c>
      <c r="E1319" s="68">
        <f>INT(E1318*1.01)</f>
        <v/>
      </c>
      <c r="F1319" s="68" t="inlineStr">
        <is>
          <t>AtkRatio</t>
        </is>
      </c>
      <c r="G1319" s="68">
        <f>INT(G1318*1.01)</f>
        <v/>
      </c>
      <c r="H1319" s="68" t="inlineStr">
        <is>
          <t>DefRatio</t>
        </is>
      </c>
      <c r="I1319" s="68">
        <f>G1319</f>
        <v/>
      </c>
    </row>
    <row r="1320">
      <c r="A1320" s="68">
        <f>B1320&amp;TEXT(C1320,"0000")</f>
        <v/>
      </c>
      <c r="B1320" s="68" t="n">
        <v>200</v>
      </c>
      <c r="C1320" s="68" t="n">
        <v>417</v>
      </c>
      <c r="D1320" s="68" t="inlineStr">
        <is>
          <t>HpRatio</t>
        </is>
      </c>
      <c r="E1320" s="68">
        <f>INT(E1319*1.01)</f>
        <v/>
      </c>
      <c r="F1320" s="68" t="inlineStr">
        <is>
          <t>AtkRatio</t>
        </is>
      </c>
      <c r="G1320" s="68">
        <f>INT(G1319*1.01)</f>
        <v/>
      </c>
      <c r="H1320" s="68" t="inlineStr">
        <is>
          <t>DefRatio</t>
        </is>
      </c>
      <c r="I1320" s="68">
        <f>G1320</f>
        <v/>
      </c>
    </row>
    <row r="1321">
      <c r="A1321" s="68">
        <f>B1321&amp;TEXT(C1321,"0000")</f>
        <v/>
      </c>
      <c r="B1321" s="68" t="n">
        <v>200</v>
      </c>
      <c r="C1321" s="68" t="n">
        <v>418</v>
      </c>
      <c r="D1321" s="68" t="inlineStr">
        <is>
          <t>HpRatio</t>
        </is>
      </c>
      <c r="E1321" s="68">
        <f>INT(E1320*1.01)</f>
        <v/>
      </c>
      <c r="F1321" s="68" t="inlineStr">
        <is>
          <t>AtkRatio</t>
        </is>
      </c>
      <c r="G1321" s="68">
        <f>INT(G1320*1.01)</f>
        <v/>
      </c>
      <c r="H1321" s="68" t="inlineStr">
        <is>
          <t>DefRatio</t>
        </is>
      </c>
      <c r="I1321" s="68">
        <f>G1321</f>
        <v/>
      </c>
    </row>
    <row r="1322">
      <c r="A1322" s="68">
        <f>B1322&amp;TEXT(C1322,"0000")</f>
        <v/>
      </c>
      <c r="B1322" s="68" t="n">
        <v>200</v>
      </c>
      <c r="C1322" s="68" t="n">
        <v>419</v>
      </c>
      <c r="D1322" s="68" t="inlineStr">
        <is>
          <t>HpRatio</t>
        </is>
      </c>
      <c r="E1322" s="68">
        <f>INT(E1321*1.01)</f>
        <v/>
      </c>
      <c r="F1322" s="68" t="inlineStr">
        <is>
          <t>AtkRatio</t>
        </is>
      </c>
      <c r="G1322" s="68">
        <f>INT(G1321*1.01)</f>
        <v/>
      </c>
      <c r="H1322" s="68" t="inlineStr">
        <is>
          <t>DefRatio</t>
        </is>
      </c>
      <c r="I1322" s="68">
        <f>G1322</f>
        <v/>
      </c>
    </row>
    <row r="1323">
      <c r="A1323" s="68">
        <f>B1323&amp;TEXT(C1323,"0000")</f>
        <v/>
      </c>
      <c r="B1323" s="68" t="n">
        <v>200</v>
      </c>
      <c r="C1323" s="68" t="n">
        <v>420</v>
      </c>
      <c r="D1323" s="68" t="inlineStr">
        <is>
          <t>HpRatio</t>
        </is>
      </c>
      <c r="E1323" s="68">
        <f>INT(E1322*1.01)</f>
        <v/>
      </c>
      <c r="F1323" s="68" t="inlineStr">
        <is>
          <t>AtkRatio</t>
        </is>
      </c>
      <c r="G1323" s="68">
        <f>INT(G1322*1.01)</f>
        <v/>
      </c>
      <c r="H1323" s="68" t="inlineStr">
        <is>
          <t>DefRatio</t>
        </is>
      </c>
      <c r="I1323" s="68">
        <f>G1323</f>
        <v/>
      </c>
    </row>
    <row r="1324">
      <c r="A1324" s="68">
        <f>B1324&amp;TEXT(C1324,"0000")</f>
        <v/>
      </c>
      <c r="B1324" s="68" t="n">
        <v>200</v>
      </c>
      <c r="C1324" s="68" t="n">
        <v>421</v>
      </c>
      <c r="D1324" s="68" t="inlineStr">
        <is>
          <t>HpRatio</t>
        </is>
      </c>
      <c r="E1324" s="68">
        <f>INT(E1323*1.01)</f>
        <v/>
      </c>
      <c r="F1324" s="68" t="inlineStr">
        <is>
          <t>AtkRatio</t>
        </is>
      </c>
      <c r="G1324" s="68">
        <f>INT(G1323*1.01)</f>
        <v/>
      </c>
      <c r="H1324" s="68" t="inlineStr">
        <is>
          <t>DefRatio</t>
        </is>
      </c>
      <c r="I1324" s="68">
        <f>G1324</f>
        <v/>
      </c>
    </row>
    <row r="1325">
      <c r="A1325" s="68">
        <f>B1325&amp;TEXT(C1325,"0000")</f>
        <v/>
      </c>
      <c r="B1325" s="68" t="n">
        <v>200</v>
      </c>
      <c r="C1325" s="68" t="n">
        <v>422</v>
      </c>
      <c r="D1325" s="68" t="inlineStr">
        <is>
          <t>HpRatio</t>
        </is>
      </c>
      <c r="E1325" s="68">
        <f>INT(E1324*1.01)</f>
        <v/>
      </c>
      <c r="F1325" s="68" t="inlineStr">
        <is>
          <t>AtkRatio</t>
        </is>
      </c>
      <c r="G1325" s="68">
        <f>INT(G1324*1.01)</f>
        <v/>
      </c>
      <c r="H1325" s="68" t="inlineStr">
        <is>
          <t>DefRatio</t>
        </is>
      </c>
      <c r="I1325" s="68">
        <f>G1325</f>
        <v/>
      </c>
    </row>
    <row r="1326">
      <c r="A1326" s="68">
        <f>B1326&amp;TEXT(C1326,"0000")</f>
        <v/>
      </c>
      <c r="B1326" s="68" t="n">
        <v>200</v>
      </c>
      <c r="C1326" s="68" t="n">
        <v>423</v>
      </c>
      <c r="D1326" s="68" t="inlineStr">
        <is>
          <t>HpRatio</t>
        </is>
      </c>
      <c r="E1326" s="68">
        <f>INT(E1325*1.01)</f>
        <v/>
      </c>
      <c r="F1326" s="68" t="inlineStr">
        <is>
          <t>AtkRatio</t>
        </is>
      </c>
      <c r="G1326" s="68">
        <f>INT(G1325*1.01)</f>
        <v/>
      </c>
      <c r="H1326" s="68" t="inlineStr">
        <is>
          <t>DefRatio</t>
        </is>
      </c>
      <c r="I1326" s="68">
        <f>G1326</f>
        <v/>
      </c>
    </row>
    <row r="1327">
      <c r="A1327" s="68">
        <f>B1327&amp;TEXT(C1327,"0000")</f>
        <v/>
      </c>
      <c r="B1327" s="68" t="n">
        <v>200</v>
      </c>
      <c r="C1327" s="68" t="n">
        <v>424</v>
      </c>
      <c r="D1327" s="68" t="inlineStr">
        <is>
          <t>HpRatio</t>
        </is>
      </c>
      <c r="E1327" s="68">
        <f>INT(E1326*1.01)</f>
        <v/>
      </c>
      <c r="F1327" s="68" t="inlineStr">
        <is>
          <t>AtkRatio</t>
        </is>
      </c>
      <c r="G1327" s="68">
        <f>INT(G1326*1.01)</f>
        <v/>
      </c>
      <c r="H1327" s="68" t="inlineStr">
        <is>
          <t>DefRatio</t>
        </is>
      </c>
      <c r="I1327" s="68">
        <f>G1327</f>
        <v/>
      </c>
    </row>
    <row r="1328">
      <c r="A1328" s="68">
        <f>B1328&amp;TEXT(C1328,"0000")</f>
        <v/>
      </c>
      <c r="B1328" s="68" t="n">
        <v>200</v>
      </c>
      <c r="C1328" s="68" t="n">
        <v>425</v>
      </c>
      <c r="D1328" s="68" t="inlineStr">
        <is>
          <t>HpRatio</t>
        </is>
      </c>
      <c r="E1328" s="68">
        <f>INT(E1327*1.01)</f>
        <v/>
      </c>
      <c r="F1328" s="68" t="inlineStr">
        <is>
          <t>AtkRatio</t>
        </is>
      </c>
      <c r="G1328" s="68">
        <f>INT(G1327*1.01)</f>
        <v/>
      </c>
      <c r="H1328" s="68" t="inlineStr">
        <is>
          <t>DefRatio</t>
        </is>
      </c>
      <c r="I1328" s="68">
        <f>G1328</f>
        <v/>
      </c>
    </row>
    <row r="1329">
      <c r="A1329" s="68">
        <f>B1329&amp;TEXT(C1329,"0000")</f>
        <v/>
      </c>
      <c r="B1329" s="68" t="n">
        <v>200</v>
      </c>
      <c r="C1329" s="68" t="n">
        <v>426</v>
      </c>
      <c r="D1329" s="68" t="inlineStr">
        <is>
          <t>HpRatio</t>
        </is>
      </c>
      <c r="E1329" s="68">
        <f>INT(E1328*1.01)</f>
        <v/>
      </c>
      <c r="F1329" s="68" t="inlineStr">
        <is>
          <t>AtkRatio</t>
        </is>
      </c>
      <c r="G1329" s="68">
        <f>INT(G1328*1.01)</f>
        <v/>
      </c>
      <c r="H1329" s="68" t="inlineStr">
        <is>
          <t>DefRatio</t>
        </is>
      </c>
      <c r="I1329" s="68">
        <f>G1329</f>
        <v/>
      </c>
    </row>
    <row r="1330">
      <c r="A1330" s="68">
        <f>B1330&amp;TEXT(C1330,"0000")</f>
        <v/>
      </c>
      <c r="B1330" s="68" t="n">
        <v>200</v>
      </c>
      <c r="C1330" s="68" t="n">
        <v>427</v>
      </c>
      <c r="D1330" s="68" t="inlineStr">
        <is>
          <t>HpRatio</t>
        </is>
      </c>
      <c r="E1330" s="68">
        <f>INT(E1329*1.01)</f>
        <v/>
      </c>
      <c r="F1330" s="68" t="inlineStr">
        <is>
          <t>AtkRatio</t>
        </is>
      </c>
      <c r="G1330" s="68">
        <f>INT(G1329*1.01)</f>
        <v/>
      </c>
      <c r="H1330" s="68" t="inlineStr">
        <is>
          <t>DefRatio</t>
        </is>
      </c>
      <c r="I1330" s="68">
        <f>G1330</f>
        <v/>
      </c>
    </row>
    <row r="1331">
      <c r="A1331" s="68">
        <f>B1331&amp;TEXT(C1331,"0000")</f>
        <v/>
      </c>
      <c r="B1331" s="68" t="n">
        <v>200</v>
      </c>
      <c r="C1331" s="68" t="n">
        <v>428</v>
      </c>
      <c r="D1331" s="68" t="inlineStr">
        <is>
          <t>HpRatio</t>
        </is>
      </c>
      <c r="E1331" s="68">
        <f>INT(E1330*1.01)</f>
        <v/>
      </c>
      <c r="F1331" s="68" t="inlineStr">
        <is>
          <t>AtkRatio</t>
        </is>
      </c>
      <c r="G1331" s="68">
        <f>INT(G1330*1.01)</f>
        <v/>
      </c>
      <c r="H1331" s="68" t="inlineStr">
        <is>
          <t>DefRatio</t>
        </is>
      </c>
      <c r="I1331" s="68">
        <f>G1331</f>
        <v/>
      </c>
    </row>
    <row r="1332">
      <c r="A1332" s="68">
        <f>B1332&amp;TEXT(C1332,"0000")</f>
        <v/>
      </c>
      <c r="B1332" s="68" t="n">
        <v>200</v>
      </c>
      <c r="C1332" s="68" t="n">
        <v>429</v>
      </c>
      <c r="D1332" s="68" t="inlineStr">
        <is>
          <t>HpRatio</t>
        </is>
      </c>
      <c r="E1332" s="68">
        <f>INT(E1331*1.01)</f>
        <v/>
      </c>
      <c r="F1332" s="68" t="inlineStr">
        <is>
          <t>AtkRatio</t>
        </is>
      </c>
      <c r="G1332" s="68">
        <f>INT(G1331*1.01)</f>
        <v/>
      </c>
      <c r="H1332" s="68" t="inlineStr">
        <is>
          <t>DefRatio</t>
        </is>
      </c>
      <c r="I1332" s="68">
        <f>G1332</f>
        <v/>
      </c>
    </row>
    <row r="1333">
      <c r="A1333" s="68">
        <f>B1333&amp;TEXT(C1333,"0000")</f>
        <v/>
      </c>
      <c r="B1333" s="68" t="n">
        <v>200</v>
      </c>
      <c r="C1333" s="68" t="n">
        <v>430</v>
      </c>
      <c r="D1333" s="68" t="inlineStr">
        <is>
          <t>HpRatio</t>
        </is>
      </c>
      <c r="E1333" s="68">
        <f>INT(E1332*1.01)</f>
        <v/>
      </c>
      <c r="F1333" s="68" t="inlineStr">
        <is>
          <t>AtkRatio</t>
        </is>
      </c>
      <c r="G1333" s="68">
        <f>INT(G1332*1.01)</f>
        <v/>
      </c>
      <c r="H1333" s="68" t="inlineStr">
        <is>
          <t>DefRatio</t>
        </is>
      </c>
      <c r="I1333" s="68">
        <f>G1333</f>
        <v/>
      </c>
    </row>
    <row r="1334">
      <c r="A1334" s="68">
        <f>B1334&amp;TEXT(C1334,"0000")</f>
        <v/>
      </c>
      <c r="B1334" s="68" t="n">
        <v>200</v>
      </c>
      <c r="C1334" s="68" t="n">
        <v>431</v>
      </c>
      <c r="D1334" s="68" t="inlineStr">
        <is>
          <t>HpRatio</t>
        </is>
      </c>
      <c r="E1334" s="68">
        <f>INT(E1333*1.01)</f>
        <v/>
      </c>
      <c r="F1334" s="68" t="inlineStr">
        <is>
          <t>AtkRatio</t>
        </is>
      </c>
      <c r="G1334" s="68">
        <f>INT(G1333*1.01)</f>
        <v/>
      </c>
      <c r="H1334" s="68" t="inlineStr">
        <is>
          <t>DefRatio</t>
        </is>
      </c>
      <c r="I1334" s="68">
        <f>G1334</f>
        <v/>
      </c>
    </row>
    <row r="1335">
      <c r="A1335" s="68">
        <f>B1335&amp;TEXT(C1335,"0000")</f>
        <v/>
      </c>
      <c r="B1335" s="68" t="n">
        <v>200</v>
      </c>
      <c r="C1335" s="68" t="n">
        <v>432</v>
      </c>
      <c r="D1335" s="68" t="inlineStr">
        <is>
          <t>HpRatio</t>
        </is>
      </c>
      <c r="E1335" s="68">
        <f>INT(E1334*1.01)</f>
        <v/>
      </c>
      <c r="F1335" s="68" t="inlineStr">
        <is>
          <t>AtkRatio</t>
        </is>
      </c>
      <c r="G1335" s="68">
        <f>INT(G1334*1.01)</f>
        <v/>
      </c>
      <c r="H1335" s="68" t="inlineStr">
        <is>
          <t>DefRatio</t>
        </is>
      </c>
      <c r="I1335" s="68">
        <f>G1335</f>
        <v/>
      </c>
    </row>
    <row r="1336">
      <c r="A1336" s="68">
        <f>B1336&amp;TEXT(C1336,"0000")</f>
        <v/>
      </c>
      <c r="B1336" s="68" t="n">
        <v>200</v>
      </c>
      <c r="C1336" s="68" t="n">
        <v>433</v>
      </c>
      <c r="D1336" s="68" t="inlineStr">
        <is>
          <t>HpRatio</t>
        </is>
      </c>
      <c r="E1336" s="68">
        <f>INT(E1335*1.01)</f>
        <v/>
      </c>
      <c r="F1336" s="68" t="inlineStr">
        <is>
          <t>AtkRatio</t>
        </is>
      </c>
      <c r="G1336" s="68">
        <f>INT(G1335*1.01)</f>
        <v/>
      </c>
      <c r="H1336" s="68" t="inlineStr">
        <is>
          <t>DefRatio</t>
        </is>
      </c>
      <c r="I1336" s="68">
        <f>G1336</f>
        <v/>
      </c>
    </row>
    <row r="1337">
      <c r="A1337" s="68">
        <f>B1337&amp;TEXT(C1337,"0000")</f>
        <v/>
      </c>
      <c r="B1337" s="68" t="n">
        <v>200</v>
      </c>
      <c r="C1337" s="68" t="n">
        <v>434</v>
      </c>
      <c r="D1337" s="68" t="inlineStr">
        <is>
          <t>HpRatio</t>
        </is>
      </c>
      <c r="E1337" s="68">
        <f>INT(E1336*1.01)</f>
        <v/>
      </c>
      <c r="F1337" s="68" t="inlineStr">
        <is>
          <t>AtkRatio</t>
        </is>
      </c>
      <c r="G1337" s="68">
        <f>INT(G1336*1.01)</f>
        <v/>
      </c>
      <c r="H1337" s="68" t="inlineStr">
        <is>
          <t>DefRatio</t>
        </is>
      </c>
      <c r="I1337" s="68">
        <f>G1337</f>
        <v/>
      </c>
    </row>
    <row r="1338">
      <c r="A1338" s="68">
        <f>B1338&amp;TEXT(C1338,"0000")</f>
        <v/>
      </c>
      <c r="B1338" s="68" t="n">
        <v>200</v>
      </c>
      <c r="C1338" s="68" t="n">
        <v>435</v>
      </c>
      <c r="D1338" s="68" t="inlineStr">
        <is>
          <t>HpRatio</t>
        </is>
      </c>
      <c r="E1338" s="68">
        <f>INT(E1337*1.01)</f>
        <v/>
      </c>
      <c r="F1338" s="68" t="inlineStr">
        <is>
          <t>AtkRatio</t>
        </is>
      </c>
      <c r="G1338" s="68">
        <f>INT(G1337*1.01)</f>
        <v/>
      </c>
      <c r="H1338" s="68" t="inlineStr">
        <is>
          <t>DefRatio</t>
        </is>
      </c>
      <c r="I1338" s="68">
        <f>G1338</f>
        <v/>
      </c>
    </row>
    <row r="1339">
      <c r="A1339" s="68">
        <f>B1339&amp;TEXT(C1339,"0000")</f>
        <v/>
      </c>
      <c r="B1339" s="68" t="n">
        <v>200</v>
      </c>
      <c r="C1339" s="68" t="n">
        <v>436</v>
      </c>
      <c r="D1339" s="68" t="inlineStr">
        <is>
          <t>HpRatio</t>
        </is>
      </c>
      <c r="E1339" s="68">
        <f>INT(E1338*1.01)</f>
        <v/>
      </c>
      <c r="F1339" s="68" t="inlineStr">
        <is>
          <t>AtkRatio</t>
        </is>
      </c>
      <c r="G1339" s="68">
        <f>INT(G1338*1.01)</f>
        <v/>
      </c>
      <c r="H1339" s="68" t="inlineStr">
        <is>
          <t>DefRatio</t>
        </is>
      </c>
      <c r="I1339" s="68">
        <f>G1339</f>
        <v/>
      </c>
    </row>
    <row r="1340">
      <c r="A1340" s="68">
        <f>B1340&amp;TEXT(C1340,"0000")</f>
        <v/>
      </c>
      <c r="B1340" s="68" t="n">
        <v>200</v>
      </c>
      <c r="C1340" s="68" t="n">
        <v>437</v>
      </c>
      <c r="D1340" s="68" t="inlineStr">
        <is>
          <t>HpRatio</t>
        </is>
      </c>
      <c r="E1340" s="68">
        <f>INT(E1339*1.01)</f>
        <v/>
      </c>
      <c r="F1340" s="68" t="inlineStr">
        <is>
          <t>AtkRatio</t>
        </is>
      </c>
      <c r="G1340" s="68">
        <f>INT(G1339*1.01)</f>
        <v/>
      </c>
      <c r="H1340" s="68" t="inlineStr">
        <is>
          <t>DefRatio</t>
        </is>
      </c>
      <c r="I1340" s="68">
        <f>G1340</f>
        <v/>
      </c>
    </row>
    <row r="1341">
      <c r="A1341" s="68">
        <f>B1341&amp;TEXT(C1341,"0000")</f>
        <v/>
      </c>
      <c r="B1341" s="68" t="n">
        <v>200</v>
      </c>
      <c r="C1341" s="68" t="n">
        <v>438</v>
      </c>
      <c r="D1341" s="68" t="inlineStr">
        <is>
          <t>HpRatio</t>
        </is>
      </c>
      <c r="E1341" s="68">
        <f>INT(E1340*1.01)</f>
        <v/>
      </c>
      <c r="F1341" s="68" t="inlineStr">
        <is>
          <t>AtkRatio</t>
        </is>
      </c>
      <c r="G1341" s="68">
        <f>INT(G1340*1.01)</f>
        <v/>
      </c>
      <c r="H1341" s="68" t="inlineStr">
        <is>
          <t>DefRatio</t>
        </is>
      </c>
      <c r="I1341" s="68">
        <f>G1341</f>
        <v/>
      </c>
    </row>
    <row r="1342">
      <c r="A1342" s="68">
        <f>B1342&amp;TEXT(C1342,"0000")</f>
        <v/>
      </c>
      <c r="B1342" s="68" t="n">
        <v>200</v>
      </c>
      <c r="C1342" s="68" t="n">
        <v>439</v>
      </c>
      <c r="D1342" s="68" t="inlineStr">
        <is>
          <t>HpRatio</t>
        </is>
      </c>
      <c r="E1342" s="68">
        <f>INT(E1341*1.01)</f>
        <v/>
      </c>
      <c r="F1342" s="68" t="inlineStr">
        <is>
          <t>AtkRatio</t>
        </is>
      </c>
      <c r="G1342" s="68">
        <f>INT(G1341*1.01)</f>
        <v/>
      </c>
      <c r="H1342" s="68" t="inlineStr">
        <is>
          <t>DefRatio</t>
        </is>
      </c>
      <c r="I1342" s="68">
        <f>G1342</f>
        <v/>
      </c>
    </row>
    <row r="1343">
      <c r="A1343" s="68">
        <f>B1343&amp;TEXT(C1343,"0000")</f>
        <v/>
      </c>
      <c r="B1343" s="68" t="n">
        <v>200</v>
      </c>
      <c r="C1343" s="68" t="n">
        <v>440</v>
      </c>
      <c r="D1343" s="68" t="inlineStr">
        <is>
          <t>HpRatio</t>
        </is>
      </c>
      <c r="E1343" s="68">
        <f>INT(E1342*1.01)</f>
        <v/>
      </c>
      <c r="F1343" s="68" t="inlineStr">
        <is>
          <t>AtkRatio</t>
        </is>
      </c>
      <c r="G1343" s="68">
        <f>INT(G1342*1.01)</f>
        <v/>
      </c>
      <c r="H1343" s="68" t="inlineStr">
        <is>
          <t>DefRatio</t>
        </is>
      </c>
      <c r="I1343" s="68">
        <f>G1343</f>
        <v/>
      </c>
    </row>
    <row r="1344">
      <c r="A1344" s="68">
        <f>B1344&amp;TEXT(C1344,"0000")</f>
        <v/>
      </c>
      <c r="B1344" s="68" t="n">
        <v>200</v>
      </c>
      <c r="C1344" s="68" t="n">
        <v>441</v>
      </c>
      <c r="D1344" s="68" t="inlineStr">
        <is>
          <t>HpRatio</t>
        </is>
      </c>
      <c r="E1344" s="68">
        <f>INT(E1343*1.01)</f>
        <v/>
      </c>
      <c r="F1344" s="68" t="inlineStr">
        <is>
          <t>AtkRatio</t>
        </is>
      </c>
      <c r="G1344" s="68">
        <f>INT(G1343*1.01)</f>
        <v/>
      </c>
      <c r="H1344" s="68" t="inlineStr">
        <is>
          <t>DefRatio</t>
        </is>
      </c>
      <c r="I1344" s="68">
        <f>G1344</f>
        <v/>
      </c>
    </row>
    <row r="1345">
      <c r="A1345" s="68">
        <f>B1345&amp;TEXT(C1345,"0000")</f>
        <v/>
      </c>
      <c r="B1345" s="68" t="n">
        <v>200</v>
      </c>
      <c r="C1345" s="68" t="n">
        <v>442</v>
      </c>
      <c r="D1345" s="68" t="inlineStr">
        <is>
          <t>HpRatio</t>
        </is>
      </c>
      <c r="E1345" s="68">
        <f>INT(E1344*1.01)</f>
        <v/>
      </c>
      <c r="F1345" s="68" t="inlineStr">
        <is>
          <t>AtkRatio</t>
        </is>
      </c>
      <c r="G1345" s="68">
        <f>INT(G1344*1.01)</f>
        <v/>
      </c>
      <c r="H1345" s="68" t="inlineStr">
        <is>
          <t>DefRatio</t>
        </is>
      </c>
      <c r="I1345" s="68">
        <f>G1345</f>
        <v/>
      </c>
    </row>
    <row r="1346">
      <c r="A1346" s="68">
        <f>B1346&amp;TEXT(C1346,"0000")</f>
        <v/>
      </c>
      <c r="B1346" s="68" t="n">
        <v>200</v>
      </c>
      <c r="C1346" s="68" t="n">
        <v>443</v>
      </c>
      <c r="D1346" s="68" t="inlineStr">
        <is>
          <t>HpRatio</t>
        </is>
      </c>
      <c r="E1346" s="68">
        <f>INT(E1345*1.01)</f>
        <v/>
      </c>
      <c r="F1346" s="68" t="inlineStr">
        <is>
          <t>AtkRatio</t>
        </is>
      </c>
      <c r="G1346" s="68">
        <f>INT(G1345*1.01)</f>
        <v/>
      </c>
      <c r="H1346" s="68" t="inlineStr">
        <is>
          <t>DefRatio</t>
        </is>
      </c>
      <c r="I1346" s="68">
        <f>G1346</f>
        <v/>
      </c>
    </row>
    <row r="1347">
      <c r="A1347" s="68">
        <f>B1347&amp;TEXT(C1347,"0000")</f>
        <v/>
      </c>
      <c r="B1347" s="68" t="n">
        <v>200</v>
      </c>
      <c r="C1347" s="68" t="n">
        <v>444</v>
      </c>
      <c r="D1347" s="68" t="inlineStr">
        <is>
          <t>HpRatio</t>
        </is>
      </c>
      <c r="E1347" s="68">
        <f>INT(E1346*1.01)</f>
        <v/>
      </c>
      <c r="F1347" s="68" t="inlineStr">
        <is>
          <t>AtkRatio</t>
        </is>
      </c>
      <c r="G1347" s="68">
        <f>INT(G1346*1.01)</f>
        <v/>
      </c>
      <c r="H1347" s="68" t="inlineStr">
        <is>
          <t>DefRatio</t>
        </is>
      </c>
      <c r="I1347" s="68">
        <f>G1347</f>
        <v/>
      </c>
    </row>
    <row r="1348">
      <c r="A1348" s="68">
        <f>B1348&amp;TEXT(C1348,"0000")</f>
        <v/>
      </c>
      <c r="B1348" s="68" t="n">
        <v>200</v>
      </c>
      <c r="C1348" s="68" t="n">
        <v>445</v>
      </c>
      <c r="D1348" s="68" t="inlineStr">
        <is>
          <t>HpRatio</t>
        </is>
      </c>
      <c r="E1348" s="68">
        <f>INT(E1347*1.01)</f>
        <v/>
      </c>
      <c r="F1348" s="68" t="inlineStr">
        <is>
          <t>AtkRatio</t>
        </is>
      </c>
      <c r="G1348" s="68">
        <f>INT(G1347*1.01)</f>
        <v/>
      </c>
      <c r="H1348" s="68" t="inlineStr">
        <is>
          <t>DefRatio</t>
        </is>
      </c>
      <c r="I1348" s="68">
        <f>G1348</f>
        <v/>
      </c>
    </row>
    <row r="1349">
      <c r="A1349" s="68">
        <f>B1349&amp;TEXT(C1349,"0000")</f>
        <v/>
      </c>
      <c r="B1349" s="68" t="n">
        <v>200</v>
      </c>
      <c r="C1349" s="68" t="n">
        <v>446</v>
      </c>
      <c r="D1349" s="68" t="inlineStr">
        <is>
          <t>HpRatio</t>
        </is>
      </c>
      <c r="E1349" s="68">
        <f>INT(E1348*1.01)</f>
        <v/>
      </c>
      <c r="F1349" s="68" t="inlineStr">
        <is>
          <t>AtkRatio</t>
        </is>
      </c>
      <c r="G1349" s="68">
        <f>INT(G1348*1.01)</f>
        <v/>
      </c>
      <c r="H1349" s="68" t="inlineStr">
        <is>
          <t>DefRatio</t>
        </is>
      </c>
      <c r="I1349" s="68">
        <f>G1349</f>
        <v/>
      </c>
    </row>
    <row r="1350">
      <c r="A1350" s="68">
        <f>B1350&amp;TEXT(C1350,"0000")</f>
        <v/>
      </c>
      <c r="B1350" s="68" t="n">
        <v>200</v>
      </c>
      <c r="C1350" s="68" t="n">
        <v>447</v>
      </c>
      <c r="D1350" s="68" t="inlineStr">
        <is>
          <t>HpRatio</t>
        </is>
      </c>
      <c r="E1350" s="68">
        <f>INT(E1349*1.01)</f>
        <v/>
      </c>
      <c r="F1350" s="68" t="inlineStr">
        <is>
          <t>AtkRatio</t>
        </is>
      </c>
      <c r="G1350" s="68">
        <f>INT(G1349*1.01)</f>
        <v/>
      </c>
      <c r="H1350" s="68" t="inlineStr">
        <is>
          <t>DefRatio</t>
        </is>
      </c>
      <c r="I1350" s="68">
        <f>G1350</f>
        <v/>
      </c>
    </row>
    <row r="1351">
      <c r="A1351" s="68">
        <f>B1351&amp;TEXT(C1351,"0000")</f>
        <v/>
      </c>
      <c r="B1351" s="68" t="n">
        <v>200</v>
      </c>
      <c r="C1351" s="68" t="n">
        <v>448</v>
      </c>
      <c r="D1351" s="68" t="inlineStr">
        <is>
          <t>HpRatio</t>
        </is>
      </c>
      <c r="E1351" s="68">
        <f>INT(E1350*1.01)</f>
        <v/>
      </c>
      <c r="F1351" s="68" t="inlineStr">
        <is>
          <t>AtkRatio</t>
        </is>
      </c>
      <c r="G1351" s="68">
        <f>INT(G1350*1.01)</f>
        <v/>
      </c>
      <c r="H1351" s="68" t="inlineStr">
        <is>
          <t>DefRatio</t>
        </is>
      </c>
      <c r="I1351" s="68">
        <f>G1351</f>
        <v/>
      </c>
    </row>
    <row r="1352">
      <c r="A1352" s="68">
        <f>B1352&amp;TEXT(C1352,"0000")</f>
        <v/>
      </c>
      <c r="B1352" s="68" t="n">
        <v>200</v>
      </c>
      <c r="C1352" s="68" t="n">
        <v>449</v>
      </c>
      <c r="D1352" s="68" t="inlineStr">
        <is>
          <t>HpRatio</t>
        </is>
      </c>
      <c r="E1352" s="68">
        <f>INT(E1351*1.01)</f>
        <v/>
      </c>
      <c r="F1352" s="68" t="inlineStr">
        <is>
          <t>AtkRatio</t>
        </is>
      </c>
      <c r="G1352" s="68">
        <f>INT(G1351*1.01)</f>
        <v/>
      </c>
      <c r="H1352" s="68" t="inlineStr">
        <is>
          <t>DefRatio</t>
        </is>
      </c>
      <c r="I1352" s="68">
        <f>G1352</f>
        <v/>
      </c>
    </row>
    <row r="1353">
      <c r="A1353" s="68">
        <f>B1353&amp;TEXT(C1353,"0000")</f>
        <v/>
      </c>
      <c r="B1353" s="68" t="n">
        <v>200</v>
      </c>
      <c r="C1353" s="68" t="n">
        <v>450</v>
      </c>
      <c r="D1353" s="68" t="inlineStr">
        <is>
          <t>HpRatio</t>
        </is>
      </c>
      <c r="E1353" s="68">
        <f>INT(E1352*1.01)</f>
        <v/>
      </c>
      <c r="F1353" s="68" t="inlineStr">
        <is>
          <t>AtkRatio</t>
        </is>
      </c>
      <c r="G1353" s="68">
        <f>INT(G1352*1.01)</f>
        <v/>
      </c>
      <c r="H1353" s="68" t="inlineStr">
        <is>
          <t>DefRatio</t>
        </is>
      </c>
      <c r="I1353" s="68">
        <f>G1353</f>
        <v/>
      </c>
    </row>
    <row r="1354">
      <c r="A1354" s="68">
        <f>B1354&amp;TEXT(C1354,"0000")</f>
        <v/>
      </c>
      <c r="B1354" s="68" t="n">
        <v>200</v>
      </c>
      <c r="C1354" s="68" t="n">
        <v>451</v>
      </c>
      <c r="D1354" s="68" t="inlineStr">
        <is>
          <t>HpRatio</t>
        </is>
      </c>
      <c r="E1354" s="68">
        <f>INT(E1353*1.01)</f>
        <v/>
      </c>
      <c r="F1354" s="68" t="inlineStr">
        <is>
          <t>AtkRatio</t>
        </is>
      </c>
      <c r="G1354" s="68">
        <f>INT(G1353*1.01)</f>
        <v/>
      </c>
      <c r="H1354" s="68" t="inlineStr">
        <is>
          <t>DefRatio</t>
        </is>
      </c>
      <c r="I1354" s="68">
        <f>G1354</f>
        <v/>
      </c>
    </row>
    <row r="1355">
      <c r="A1355" s="68">
        <f>B1355&amp;TEXT(C1355,"0000")</f>
        <v/>
      </c>
      <c r="B1355" s="68" t="n">
        <v>200</v>
      </c>
      <c r="C1355" s="68" t="n">
        <v>452</v>
      </c>
      <c r="D1355" s="68" t="inlineStr">
        <is>
          <t>HpRatio</t>
        </is>
      </c>
      <c r="E1355" s="68">
        <f>INT(E1354*1.01)</f>
        <v/>
      </c>
      <c r="F1355" s="68" t="inlineStr">
        <is>
          <t>AtkRatio</t>
        </is>
      </c>
      <c r="G1355" s="68">
        <f>INT(G1354*1.01)</f>
        <v/>
      </c>
      <c r="H1355" s="68" t="inlineStr">
        <is>
          <t>DefRatio</t>
        </is>
      </c>
      <c r="I1355" s="68">
        <f>G1355</f>
        <v/>
      </c>
    </row>
    <row r="1356">
      <c r="A1356" s="68">
        <f>B1356&amp;TEXT(C1356,"0000")</f>
        <v/>
      </c>
      <c r="B1356" s="68" t="n">
        <v>200</v>
      </c>
      <c r="C1356" s="68" t="n">
        <v>453</v>
      </c>
      <c r="D1356" s="68" t="inlineStr">
        <is>
          <t>HpRatio</t>
        </is>
      </c>
      <c r="E1356" s="68">
        <f>INT(E1355*1.01)</f>
        <v/>
      </c>
      <c r="F1356" s="68" t="inlineStr">
        <is>
          <t>AtkRatio</t>
        </is>
      </c>
      <c r="G1356" s="68">
        <f>INT(G1355*1.01)</f>
        <v/>
      </c>
      <c r="H1356" s="68" t="inlineStr">
        <is>
          <t>DefRatio</t>
        </is>
      </c>
      <c r="I1356" s="68">
        <f>G1356</f>
        <v/>
      </c>
    </row>
    <row r="1357">
      <c r="A1357" s="68">
        <f>B1357&amp;TEXT(C1357,"0000")</f>
        <v/>
      </c>
      <c r="B1357" s="68" t="n">
        <v>200</v>
      </c>
      <c r="C1357" s="68" t="n">
        <v>454</v>
      </c>
      <c r="D1357" s="68" t="inlineStr">
        <is>
          <t>HpRatio</t>
        </is>
      </c>
      <c r="E1357" s="68">
        <f>INT(E1356*1.01)</f>
        <v/>
      </c>
      <c r="F1357" s="68" t="inlineStr">
        <is>
          <t>AtkRatio</t>
        </is>
      </c>
      <c r="G1357" s="68">
        <f>INT(G1356*1.01)</f>
        <v/>
      </c>
      <c r="H1357" s="68" t="inlineStr">
        <is>
          <t>DefRatio</t>
        </is>
      </c>
      <c r="I1357" s="68">
        <f>G1357</f>
        <v/>
      </c>
    </row>
    <row r="1358">
      <c r="A1358" s="68">
        <f>B1358&amp;TEXT(C1358,"0000")</f>
        <v/>
      </c>
      <c r="B1358" s="68" t="n">
        <v>200</v>
      </c>
      <c r="C1358" s="68" t="n">
        <v>455</v>
      </c>
      <c r="D1358" s="68" t="inlineStr">
        <is>
          <t>HpRatio</t>
        </is>
      </c>
      <c r="E1358" s="68">
        <f>INT(E1357*1.01)</f>
        <v/>
      </c>
      <c r="F1358" s="68" t="inlineStr">
        <is>
          <t>AtkRatio</t>
        </is>
      </c>
      <c r="G1358" s="68">
        <f>INT(G1357*1.01)</f>
        <v/>
      </c>
      <c r="H1358" s="68" t="inlineStr">
        <is>
          <t>DefRatio</t>
        </is>
      </c>
      <c r="I1358" s="68">
        <f>G1358</f>
        <v/>
      </c>
    </row>
    <row r="1359">
      <c r="A1359" s="68">
        <f>B1359&amp;TEXT(C1359,"0000")</f>
        <v/>
      </c>
      <c r="B1359" s="68" t="n">
        <v>200</v>
      </c>
      <c r="C1359" s="68" t="n">
        <v>456</v>
      </c>
      <c r="D1359" s="68" t="inlineStr">
        <is>
          <t>HpRatio</t>
        </is>
      </c>
      <c r="E1359" s="68">
        <f>INT(E1358*1.01)</f>
        <v/>
      </c>
      <c r="F1359" s="68" t="inlineStr">
        <is>
          <t>AtkRatio</t>
        </is>
      </c>
      <c r="G1359" s="68">
        <f>INT(G1358*1.01)</f>
        <v/>
      </c>
      <c r="H1359" s="68" t="inlineStr">
        <is>
          <t>DefRatio</t>
        </is>
      </c>
      <c r="I1359" s="68">
        <f>G1359</f>
        <v/>
      </c>
    </row>
    <row r="1360">
      <c r="A1360" s="68">
        <f>B1360&amp;TEXT(C1360,"0000")</f>
        <v/>
      </c>
      <c r="B1360" s="68" t="n">
        <v>200</v>
      </c>
      <c r="C1360" s="68" t="n">
        <v>457</v>
      </c>
      <c r="D1360" s="68" t="inlineStr">
        <is>
          <t>HpRatio</t>
        </is>
      </c>
      <c r="E1360" s="68">
        <f>INT(E1359*1.01)</f>
        <v/>
      </c>
      <c r="F1360" s="68" t="inlineStr">
        <is>
          <t>AtkRatio</t>
        </is>
      </c>
      <c r="G1360" s="68">
        <f>INT(G1359*1.01)</f>
        <v/>
      </c>
      <c r="H1360" s="68" t="inlineStr">
        <is>
          <t>DefRatio</t>
        </is>
      </c>
      <c r="I1360" s="68">
        <f>G1360</f>
        <v/>
      </c>
    </row>
    <row r="1361">
      <c r="A1361" s="68">
        <f>B1361&amp;TEXT(C1361,"0000")</f>
        <v/>
      </c>
      <c r="B1361" s="68" t="n">
        <v>200</v>
      </c>
      <c r="C1361" s="68" t="n">
        <v>458</v>
      </c>
      <c r="D1361" s="68" t="inlineStr">
        <is>
          <t>HpRatio</t>
        </is>
      </c>
      <c r="E1361" s="68">
        <f>INT(E1360*1.01)</f>
        <v/>
      </c>
      <c r="F1361" s="68" t="inlineStr">
        <is>
          <t>AtkRatio</t>
        </is>
      </c>
      <c r="G1361" s="68">
        <f>INT(G1360*1.01)</f>
        <v/>
      </c>
      <c r="H1361" s="68" t="inlineStr">
        <is>
          <t>DefRatio</t>
        </is>
      </c>
      <c r="I1361" s="68">
        <f>G1361</f>
        <v/>
      </c>
    </row>
    <row r="1362">
      <c r="A1362" s="68">
        <f>B1362&amp;TEXT(C1362,"0000")</f>
        <v/>
      </c>
      <c r="B1362" s="68" t="n">
        <v>200</v>
      </c>
      <c r="C1362" s="68" t="n">
        <v>459</v>
      </c>
      <c r="D1362" s="68" t="inlineStr">
        <is>
          <t>HpRatio</t>
        </is>
      </c>
      <c r="E1362" s="68">
        <f>INT(E1361*1.01)</f>
        <v/>
      </c>
      <c r="F1362" s="68" t="inlineStr">
        <is>
          <t>AtkRatio</t>
        </is>
      </c>
      <c r="G1362" s="68">
        <f>INT(G1361*1.01)</f>
        <v/>
      </c>
      <c r="H1362" s="68" t="inlineStr">
        <is>
          <t>DefRatio</t>
        </is>
      </c>
      <c r="I1362" s="68">
        <f>G1362</f>
        <v/>
      </c>
    </row>
    <row r="1363">
      <c r="A1363" s="68">
        <f>B1363&amp;TEXT(C1363,"0000")</f>
        <v/>
      </c>
      <c r="B1363" s="68" t="n">
        <v>200</v>
      </c>
      <c r="C1363" s="68" t="n">
        <v>460</v>
      </c>
      <c r="D1363" s="68" t="inlineStr">
        <is>
          <t>HpRatio</t>
        </is>
      </c>
      <c r="E1363" s="68">
        <f>INT(E1362*1.01)</f>
        <v/>
      </c>
      <c r="F1363" s="68" t="inlineStr">
        <is>
          <t>AtkRatio</t>
        </is>
      </c>
      <c r="G1363" s="68">
        <f>INT(G1362*1.01)</f>
        <v/>
      </c>
      <c r="H1363" s="68" t="inlineStr">
        <is>
          <t>DefRatio</t>
        </is>
      </c>
      <c r="I1363" s="68">
        <f>G1363</f>
        <v/>
      </c>
    </row>
    <row r="1364">
      <c r="A1364" s="68">
        <f>B1364&amp;TEXT(C1364,"0000")</f>
        <v/>
      </c>
      <c r="B1364" s="68" t="n">
        <v>200</v>
      </c>
      <c r="C1364" s="68" t="n">
        <v>461</v>
      </c>
      <c r="D1364" s="68" t="inlineStr">
        <is>
          <t>HpRatio</t>
        </is>
      </c>
      <c r="E1364" s="68">
        <f>INT(E1363*1.01)</f>
        <v/>
      </c>
      <c r="F1364" s="68" t="inlineStr">
        <is>
          <t>AtkRatio</t>
        </is>
      </c>
      <c r="G1364" s="68">
        <f>INT(G1363*1.01)</f>
        <v/>
      </c>
      <c r="H1364" s="68" t="inlineStr">
        <is>
          <t>DefRatio</t>
        </is>
      </c>
      <c r="I1364" s="68">
        <f>G1364</f>
        <v/>
      </c>
    </row>
    <row r="1365">
      <c r="A1365" s="68">
        <f>B1365&amp;TEXT(C1365,"0000")</f>
        <v/>
      </c>
      <c r="B1365" s="68" t="n">
        <v>200</v>
      </c>
      <c r="C1365" s="68" t="n">
        <v>462</v>
      </c>
      <c r="D1365" s="68" t="inlineStr">
        <is>
          <t>HpRatio</t>
        </is>
      </c>
      <c r="E1365" s="68">
        <f>INT(E1364*1.01)</f>
        <v/>
      </c>
      <c r="F1365" s="68" t="inlineStr">
        <is>
          <t>AtkRatio</t>
        </is>
      </c>
      <c r="G1365" s="68">
        <f>INT(G1364*1.01)</f>
        <v/>
      </c>
      <c r="H1365" s="68" t="inlineStr">
        <is>
          <t>DefRatio</t>
        </is>
      </c>
      <c r="I1365" s="68">
        <f>G1365</f>
        <v/>
      </c>
    </row>
    <row r="1366">
      <c r="A1366" s="68">
        <f>B1366&amp;TEXT(C1366,"0000")</f>
        <v/>
      </c>
      <c r="B1366" s="68" t="n">
        <v>200</v>
      </c>
      <c r="C1366" s="68" t="n">
        <v>463</v>
      </c>
      <c r="D1366" s="68" t="inlineStr">
        <is>
          <t>HpRatio</t>
        </is>
      </c>
      <c r="E1366" s="68">
        <f>INT(E1365*1.01)</f>
        <v/>
      </c>
      <c r="F1366" s="68" t="inlineStr">
        <is>
          <t>AtkRatio</t>
        </is>
      </c>
      <c r="G1366" s="68">
        <f>INT(G1365*1.01)</f>
        <v/>
      </c>
      <c r="H1366" s="68" t="inlineStr">
        <is>
          <t>DefRatio</t>
        </is>
      </c>
      <c r="I1366" s="68">
        <f>G1366</f>
        <v/>
      </c>
    </row>
    <row r="1367">
      <c r="A1367" s="68">
        <f>B1367&amp;TEXT(C1367,"0000")</f>
        <v/>
      </c>
      <c r="B1367" s="68" t="n">
        <v>200</v>
      </c>
      <c r="C1367" s="68" t="n">
        <v>464</v>
      </c>
      <c r="D1367" s="68" t="inlineStr">
        <is>
          <t>HpRatio</t>
        </is>
      </c>
      <c r="E1367" s="68">
        <f>INT(E1366*1.01)</f>
        <v/>
      </c>
      <c r="F1367" s="68" t="inlineStr">
        <is>
          <t>AtkRatio</t>
        </is>
      </c>
      <c r="G1367" s="68">
        <f>INT(G1366*1.01)</f>
        <v/>
      </c>
      <c r="H1367" s="68" t="inlineStr">
        <is>
          <t>DefRatio</t>
        </is>
      </c>
      <c r="I1367" s="68">
        <f>G1367</f>
        <v/>
      </c>
    </row>
    <row r="1368">
      <c r="A1368" s="68">
        <f>B1368&amp;TEXT(C1368,"0000")</f>
        <v/>
      </c>
      <c r="B1368" s="68" t="n">
        <v>200</v>
      </c>
      <c r="C1368" s="68" t="n">
        <v>465</v>
      </c>
      <c r="D1368" s="68" t="inlineStr">
        <is>
          <t>HpRatio</t>
        </is>
      </c>
      <c r="E1368" s="68">
        <f>INT(E1367*1.01)</f>
        <v/>
      </c>
      <c r="F1368" s="68" t="inlineStr">
        <is>
          <t>AtkRatio</t>
        </is>
      </c>
      <c r="G1368" s="68">
        <f>INT(G1367*1.01)</f>
        <v/>
      </c>
      <c r="H1368" s="68" t="inlineStr">
        <is>
          <t>DefRatio</t>
        </is>
      </c>
      <c r="I1368" s="68">
        <f>G1368</f>
        <v/>
      </c>
    </row>
    <row r="1369">
      <c r="A1369" s="68">
        <f>B1369&amp;TEXT(C1369,"0000")</f>
        <v/>
      </c>
      <c r="B1369" s="68" t="n">
        <v>200</v>
      </c>
      <c r="C1369" s="68" t="n">
        <v>466</v>
      </c>
      <c r="D1369" s="68" t="inlineStr">
        <is>
          <t>HpRatio</t>
        </is>
      </c>
      <c r="E1369" s="68">
        <f>INT(E1368*1.01)</f>
        <v/>
      </c>
      <c r="F1369" s="68" t="inlineStr">
        <is>
          <t>AtkRatio</t>
        </is>
      </c>
      <c r="G1369" s="68">
        <f>INT(G1368*1.01)</f>
        <v/>
      </c>
      <c r="H1369" s="68" t="inlineStr">
        <is>
          <t>DefRatio</t>
        </is>
      </c>
      <c r="I1369" s="68">
        <f>G1369</f>
        <v/>
      </c>
    </row>
    <row r="1370">
      <c r="A1370" s="68">
        <f>B1370&amp;TEXT(C1370,"0000")</f>
        <v/>
      </c>
      <c r="B1370" s="68" t="n">
        <v>200</v>
      </c>
      <c r="C1370" s="68" t="n">
        <v>467</v>
      </c>
      <c r="D1370" s="68" t="inlineStr">
        <is>
          <t>HpRatio</t>
        </is>
      </c>
      <c r="E1370" s="68">
        <f>INT(E1369*1.01)</f>
        <v/>
      </c>
      <c r="F1370" s="68" t="inlineStr">
        <is>
          <t>AtkRatio</t>
        </is>
      </c>
      <c r="G1370" s="68">
        <f>INT(G1369*1.01)</f>
        <v/>
      </c>
      <c r="H1370" s="68" t="inlineStr">
        <is>
          <t>DefRatio</t>
        </is>
      </c>
      <c r="I1370" s="68">
        <f>G1370</f>
        <v/>
      </c>
    </row>
    <row r="1371">
      <c r="A1371" s="68">
        <f>B1371&amp;TEXT(C1371,"0000")</f>
        <v/>
      </c>
      <c r="B1371" s="68" t="n">
        <v>200</v>
      </c>
      <c r="C1371" s="68" t="n">
        <v>468</v>
      </c>
      <c r="D1371" s="68" t="inlineStr">
        <is>
          <t>HpRatio</t>
        </is>
      </c>
      <c r="E1371" s="68">
        <f>INT(E1370*1.01)</f>
        <v/>
      </c>
      <c r="F1371" s="68" t="inlineStr">
        <is>
          <t>AtkRatio</t>
        </is>
      </c>
      <c r="G1371" s="68">
        <f>INT(G1370*1.01)</f>
        <v/>
      </c>
      <c r="H1371" s="68" t="inlineStr">
        <is>
          <t>DefRatio</t>
        </is>
      </c>
      <c r="I1371" s="68">
        <f>G1371</f>
        <v/>
      </c>
    </row>
    <row r="1372">
      <c r="A1372" s="68">
        <f>B1372&amp;TEXT(C1372,"0000")</f>
        <v/>
      </c>
      <c r="B1372" s="68" t="n">
        <v>200</v>
      </c>
      <c r="C1372" s="68" t="n">
        <v>469</v>
      </c>
      <c r="D1372" s="68" t="inlineStr">
        <is>
          <t>HpRatio</t>
        </is>
      </c>
      <c r="E1372" s="68">
        <f>INT(E1371*1.01)</f>
        <v/>
      </c>
      <c r="F1372" s="68" t="inlineStr">
        <is>
          <t>AtkRatio</t>
        </is>
      </c>
      <c r="G1372" s="68">
        <f>INT(G1371*1.01)</f>
        <v/>
      </c>
      <c r="H1372" s="68" t="inlineStr">
        <is>
          <t>DefRatio</t>
        </is>
      </c>
      <c r="I1372" s="68">
        <f>G1372</f>
        <v/>
      </c>
    </row>
    <row r="1373">
      <c r="A1373" s="68">
        <f>B1373&amp;TEXT(C1373,"0000")</f>
        <v/>
      </c>
      <c r="B1373" s="68" t="n">
        <v>200</v>
      </c>
      <c r="C1373" s="68" t="n">
        <v>470</v>
      </c>
      <c r="D1373" s="68" t="inlineStr">
        <is>
          <t>HpRatio</t>
        </is>
      </c>
      <c r="E1373" s="68">
        <f>INT(E1372*1.01)</f>
        <v/>
      </c>
      <c r="F1373" s="68" t="inlineStr">
        <is>
          <t>AtkRatio</t>
        </is>
      </c>
      <c r="G1373" s="68">
        <f>INT(G1372*1.01)</f>
        <v/>
      </c>
      <c r="H1373" s="68" t="inlineStr">
        <is>
          <t>DefRatio</t>
        </is>
      </c>
      <c r="I1373" s="68">
        <f>G1373</f>
        <v/>
      </c>
    </row>
    <row r="1374">
      <c r="A1374" s="68">
        <f>B1374&amp;TEXT(C1374,"0000")</f>
        <v/>
      </c>
      <c r="B1374" s="68" t="n">
        <v>200</v>
      </c>
      <c r="C1374" s="68" t="n">
        <v>471</v>
      </c>
      <c r="D1374" s="68" t="inlineStr">
        <is>
          <t>HpRatio</t>
        </is>
      </c>
      <c r="E1374" s="68">
        <f>INT(E1373*1.01)</f>
        <v/>
      </c>
      <c r="F1374" s="68" t="inlineStr">
        <is>
          <t>AtkRatio</t>
        </is>
      </c>
      <c r="G1374" s="68">
        <f>INT(G1373*1.01)</f>
        <v/>
      </c>
      <c r="H1374" s="68" t="inlineStr">
        <is>
          <t>DefRatio</t>
        </is>
      </c>
      <c r="I1374" s="68">
        <f>G1374</f>
        <v/>
      </c>
    </row>
    <row r="1375">
      <c r="A1375" s="68">
        <f>B1375&amp;TEXT(C1375,"0000")</f>
        <v/>
      </c>
      <c r="B1375" s="68" t="n">
        <v>200</v>
      </c>
      <c r="C1375" s="68" t="n">
        <v>472</v>
      </c>
      <c r="D1375" s="68" t="inlineStr">
        <is>
          <t>HpRatio</t>
        </is>
      </c>
      <c r="E1375" s="68">
        <f>INT(E1374*1.01)</f>
        <v/>
      </c>
      <c r="F1375" s="68" t="inlineStr">
        <is>
          <t>AtkRatio</t>
        </is>
      </c>
      <c r="G1375" s="68">
        <f>INT(G1374*1.01)</f>
        <v/>
      </c>
      <c r="H1375" s="68" t="inlineStr">
        <is>
          <t>DefRatio</t>
        </is>
      </c>
      <c r="I1375" s="68">
        <f>G1375</f>
        <v/>
      </c>
    </row>
    <row r="1376">
      <c r="A1376" s="68">
        <f>B1376&amp;TEXT(C1376,"0000")</f>
        <v/>
      </c>
      <c r="B1376" s="68" t="n">
        <v>200</v>
      </c>
      <c r="C1376" s="68" t="n">
        <v>473</v>
      </c>
      <c r="D1376" s="68" t="inlineStr">
        <is>
          <t>HpRatio</t>
        </is>
      </c>
      <c r="E1376" s="68">
        <f>INT(E1375*1.01)</f>
        <v/>
      </c>
      <c r="F1376" s="68" t="inlineStr">
        <is>
          <t>AtkRatio</t>
        </is>
      </c>
      <c r="G1376" s="68">
        <f>INT(G1375*1.01)</f>
        <v/>
      </c>
      <c r="H1376" s="68" t="inlineStr">
        <is>
          <t>DefRatio</t>
        </is>
      </c>
      <c r="I1376" s="68">
        <f>G1376</f>
        <v/>
      </c>
    </row>
    <row r="1377">
      <c r="A1377" s="68">
        <f>B1377&amp;TEXT(C1377,"0000")</f>
        <v/>
      </c>
      <c r="B1377" s="68" t="n">
        <v>200</v>
      </c>
      <c r="C1377" s="68" t="n">
        <v>474</v>
      </c>
      <c r="D1377" s="68" t="inlineStr">
        <is>
          <t>HpRatio</t>
        </is>
      </c>
      <c r="E1377" s="68">
        <f>INT(E1376*1.01)</f>
        <v/>
      </c>
      <c r="F1377" s="68" t="inlineStr">
        <is>
          <t>AtkRatio</t>
        </is>
      </c>
      <c r="G1377" s="68">
        <f>INT(G1376*1.01)</f>
        <v/>
      </c>
      <c r="H1377" s="68" t="inlineStr">
        <is>
          <t>DefRatio</t>
        </is>
      </c>
      <c r="I1377" s="68">
        <f>G1377</f>
        <v/>
      </c>
    </row>
    <row r="1378">
      <c r="A1378" s="68">
        <f>B1378&amp;TEXT(C1378,"0000")</f>
        <v/>
      </c>
      <c r="B1378" s="68" t="n">
        <v>200</v>
      </c>
      <c r="C1378" s="68" t="n">
        <v>475</v>
      </c>
      <c r="D1378" s="68" t="inlineStr">
        <is>
          <t>HpRatio</t>
        </is>
      </c>
      <c r="E1378" s="68">
        <f>INT(E1377*1.01)</f>
        <v/>
      </c>
      <c r="F1378" s="68" t="inlineStr">
        <is>
          <t>AtkRatio</t>
        </is>
      </c>
      <c r="G1378" s="68">
        <f>INT(G1377*1.01)</f>
        <v/>
      </c>
      <c r="H1378" s="68" t="inlineStr">
        <is>
          <t>DefRatio</t>
        </is>
      </c>
      <c r="I1378" s="68">
        <f>G1378</f>
        <v/>
      </c>
    </row>
    <row r="1379">
      <c r="A1379" s="68">
        <f>B1379&amp;TEXT(C1379,"0000")</f>
        <v/>
      </c>
      <c r="B1379" s="68" t="n">
        <v>200</v>
      </c>
      <c r="C1379" s="68" t="n">
        <v>476</v>
      </c>
      <c r="D1379" s="68" t="inlineStr">
        <is>
          <t>HpRatio</t>
        </is>
      </c>
      <c r="E1379" s="68">
        <f>INT(E1378*1.01)</f>
        <v/>
      </c>
      <c r="F1379" s="68" t="inlineStr">
        <is>
          <t>AtkRatio</t>
        </is>
      </c>
      <c r="G1379" s="68">
        <f>INT(G1378*1.01)</f>
        <v/>
      </c>
      <c r="H1379" s="68" t="inlineStr">
        <is>
          <t>DefRatio</t>
        </is>
      </c>
      <c r="I1379" s="68">
        <f>G1379</f>
        <v/>
      </c>
    </row>
    <row r="1380">
      <c r="A1380" s="68">
        <f>B1380&amp;TEXT(C1380,"0000")</f>
        <v/>
      </c>
      <c r="B1380" s="68" t="n">
        <v>200</v>
      </c>
      <c r="C1380" s="68" t="n">
        <v>477</v>
      </c>
      <c r="D1380" s="68" t="inlineStr">
        <is>
          <t>HpRatio</t>
        </is>
      </c>
      <c r="E1380" s="68">
        <f>INT(E1379*1.01)</f>
        <v/>
      </c>
      <c r="F1380" s="68" t="inlineStr">
        <is>
          <t>AtkRatio</t>
        </is>
      </c>
      <c r="G1380" s="68">
        <f>INT(G1379*1.01)</f>
        <v/>
      </c>
      <c r="H1380" s="68" t="inlineStr">
        <is>
          <t>DefRatio</t>
        </is>
      </c>
      <c r="I1380" s="68">
        <f>G1380</f>
        <v/>
      </c>
    </row>
    <row r="1381">
      <c r="A1381" s="68">
        <f>B1381&amp;TEXT(C1381,"0000")</f>
        <v/>
      </c>
      <c r="B1381" s="68" t="n">
        <v>200</v>
      </c>
      <c r="C1381" s="68" t="n">
        <v>478</v>
      </c>
      <c r="D1381" s="68" t="inlineStr">
        <is>
          <t>HpRatio</t>
        </is>
      </c>
      <c r="E1381" s="68">
        <f>INT(E1380*1.01)</f>
        <v/>
      </c>
      <c r="F1381" s="68" t="inlineStr">
        <is>
          <t>AtkRatio</t>
        </is>
      </c>
      <c r="G1381" s="68">
        <f>INT(G1380*1.01)</f>
        <v/>
      </c>
      <c r="H1381" s="68" t="inlineStr">
        <is>
          <t>DefRatio</t>
        </is>
      </c>
      <c r="I1381" s="68">
        <f>G1381</f>
        <v/>
      </c>
    </row>
    <row r="1382">
      <c r="A1382" s="68">
        <f>B1382&amp;TEXT(C1382,"0000")</f>
        <v/>
      </c>
      <c r="B1382" s="68" t="n">
        <v>200</v>
      </c>
      <c r="C1382" s="68" t="n">
        <v>479</v>
      </c>
      <c r="D1382" s="68" t="inlineStr">
        <is>
          <t>HpRatio</t>
        </is>
      </c>
      <c r="E1382" s="68">
        <f>INT(E1381*1.01)</f>
        <v/>
      </c>
      <c r="F1382" s="68" t="inlineStr">
        <is>
          <t>AtkRatio</t>
        </is>
      </c>
      <c r="G1382" s="68">
        <f>INT(G1381*1.01)</f>
        <v/>
      </c>
      <c r="H1382" s="68" t="inlineStr">
        <is>
          <t>DefRatio</t>
        </is>
      </c>
      <c r="I1382" s="68">
        <f>G1382</f>
        <v/>
      </c>
    </row>
    <row r="1383">
      <c r="A1383" s="68">
        <f>B1383&amp;TEXT(C1383,"0000")</f>
        <v/>
      </c>
      <c r="B1383" s="68" t="n">
        <v>200</v>
      </c>
      <c r="C1383" s="68" t="n">
        <v>480</v>
      </c>
      <c r="D1383" s="68" t="inlineStr">
        <is>
          <t>HpRatio</t>
        </is>
      </c>
      <c r="E1383" s="68">
        <f>INT(E1382*1.01)</f>
        <v/>
      </c>
      <c r="F1383" s="68" t="inlineStr">
        <is>
          <t>AtkRatio</t>
        </is>
      </c>
      <c r="G1383" s="68">
        <f>INT(G1382*1.01)</f>
        <v/>
      </c>
      <c r="H1383" s="68" t="inlineStr">
        <is>
          <t>DefRatio</t>
        </is>
      </c>
      <c r="I1383" s="68">
        <f>G1383</f>
        <v/>
      </c>
    </row>
    <row r="1384">
      <c r="A1384" s="68">
        <f>B1384&amp;TEXT(C1384,"0000")</f>
        <v/>
      </c>
      <c r="B1384" s="68" t="n">
        <v>200</v>
      </c>
      <c r="C1384" s="68" t="n">
        <v>481</v>
      </c>
      <c r="D1384" s="68" t="inlineStr">
        <is>
          <t>HpRatio</t>
        </is>
      </c>
      <c r="E1384" s="68">
        <f>INT(E1383*1.01)</f>
        <v/>
      </c>
      <c r="F1384" s="68" t="inlineStr">
        <is>
          <t>AtkRatio</t>
        </is>
      </c>
      <c r="G1384" s="68">
        <f>INT(G1383*1.01)</f>
        <v/>
      </c>
      <c r="H1384" s="68" t="inlineStr">
        <is>
          <t>DefRatio</t>
        </is>
      </c>
      <c r="I1384" s="68">
        <f>G1384</f>
        <v/>
      </c>
    </row>
    <row r="1385">
      <c r="A1385" s="68">
        <f>B1385&amp;TEXT(C1385,"0000")</f>
        <v/>
      </c>
      <c r="B1385" s="68" t="n">
        <v>200</v>
      </c>
      <c r="C1385" s="68" t="n">
        <v>482</v>
      </c>
      <c r="D1385" s="68" t="inlineStr">
        <is>
          <t>HpRatio</t>
        </is>
      </c>
      <c r="E1385" s="68">
        <f>INT(E1384*1.01)</f>
        <v/>
      </c>
      <c r="F1385" s="68" t="inlineStr">
        <is>
          <t>AtkRatio</t>
        </is>
      </c>
      <c r="G1385" s="68">
        <f>INT(G1384*1.01)</f>
        <v/>
      </c>
      <c r="H1385" s="68" t="inlineStr">
        <is>
          <t>DefRatio</t>
        </is>
      </c>
      <c r="I1385" s="68">
        <f>G1385</f>
        <v/>
      </c>
    </row>
    <row r="1386">
      <c r="A1386" s="68">
        <f>B1386&amp;TEXT(C1386,"0000")</f>
        <v/>
      </c>
      <c r="B1386" s="68" t="n">
        <v>200</v>
      </c>
      <c r="C1386" s="68" t="n">
        <v>483</v>
      </c>
      <c r="D1386" s="68" t="inlineStr">
        <is>
          <t>HpRatio</t>
        </is>
      </c>
      <c r="E1386" s="68">
        <f>INT(E1385*1.01)</f>
        <v/>
      </c>
      <c r="F1386" s="68" t="inlineStr">
        <is>
          <t>AtkRatio</t>
        </is>
      </c>
      <c r="G1386" s="68">
        <f>INT(G1385*1.01)</f>
        <v/>
      </c>
      <c r="H1386" s="68" t="inlineStr">
        <is>
          <t>DefRatio</t>
        </is>
      </c>
      <c r="I1386" s="68">
        <f>G1386</f>
        <v/>
      </c>
    </row>
    <row r="1387">
      <c r="A1387" s="68">
        <f>B1387&amp;TEXT(C1387,"0000")</f>
        <v/>
      </c>
      <c r="B1387" s="68" t="n">
        <v>200</v>
      </c>
      <c r="C1387" s="68" t="n">
        <v>484</v>
      </c>
      <c r="D1387" s="68" t="inlineStr">
        <is>
          <t>HpRatio</t>
        </is>
      </c>
      <c r="E1387" s="68">
        <f>INT(E1386*1.01)</f>
        <v/>
      </c>
      <c r="F1387" s="68" t="inlineStr">
        <is>
          <t>AtkRatio</t>
        </is>
      </c>
      <c r="G1387" s="68">
        <f>INT(G1386*1.01)</f>
        <v/>
      </c>
      <c r="H1387" s="68" t="inlineStr">
        <is>
          <t>DefRatio</t>
        </is>
      </c>
      <c r="I1387" s="68">
        <f>G1387</f>
        <v/>
      </c>
    </row>
    <row r="1388">
      <c r="A1388" s="68">
        <f>B1388&amp;TEXT(C1388,"0000")</f>
        <v/>
      </c>
      <c r="B1388" s="68" t="n">
        <v>200</v>
      </c>
      <c r="C1388" s="68" t="n">
        <v>485</v>
      </c>
      <c r="D1388" s="68" t="inlineStr">
        <is>
          <t>HpRatio</t>
        </is>
      </c>
      <c r="E1388" s="68">
        <f>INT(E1387*1.01)</f>
        <v/>
      </c>
      <c r="F1388" s="68" t="inlineStr">
        <is>
          <t>AtkRatio</t>
        </is>
      </c>
      <c r="G1388" s="68">
        <f>INT(G1387*1.01)</f>
        <v/>
      </c>
      <c r="H1388" s="68" t="inlineStr">
        <is>
          <t>DefRatio</t>
        </is>
      </c>
      <c r="I1388" s="68">
        <f>G1388</f>
        <v/>
      </c>
    </row>
    <row r="1389">
      <c r="A1389" s="68">
        <f>B1389&amp;TEXT(C1389,"0000")</f>
        <v/>
      </c>
      <c r="B1389" s="68" t="n">
        <v>200</v>
      </c>
      <c r="C1389" s="68" t="n">
        <v>486</v>
      </c>
      <c r="D1389" s="68" t="inlineStr">
        <is>
          <t>HpRatio</t>
        </is>
      </c>
      <c r="E1389" s="68">
        <f>INT(E1388*1.01)</f>
        <v/>
      </c>
      <c r="F1389" s="68" t="inlineStr">
        <is>
          <t>AtkRatio</t>
        </is>
      </c>
      <c r="G1389" s="68">
        <f>INT(G1388*1.01)</f>
        <v/>
      </c>
      <c r="H1389" s="68" t="inlineStr">
        <is>
          <t>DefRatio</t>
        </is>
      </c>
      <c r="I1389" s="68">
        <f>G1389</f>
        <v/>
      </c>
    </row>
    <row r="1390">
      <c r="A1390" s="68">
        <f>B1390&amp;TEXT(C1390,"0000")</f>
        <v/>
      </c>
      <c r="B1390" s="68" t="n">
        <v>200</v>
      </c>
      <c r="C1390" s="68" t="n">
        <v>487</v>
      </c>
      <c r="D1390" s="68" t="inlineStr">
        <is>
          <t>HpRatio</t>
        </is>
      </c>
      <c r="E1390" s="68">
        <f>INT(E1389*1.01)</f>
        <v/>
      </c>
      <c r="F1390" s="68" t="inlineStr">
        <is>
          <t>AtkRatio</t>
        </is>
      </c>
      <c r="G1390" s="68">
        <f>INT(G1389*1.01)</f>
        <v/>
      </c>
      <c r="H1390" s="68" t="inlineStr">
        <is>
          <t>DefRatio</t>
        </is>
      </c>
      <c r="I1390" s="68">
        <f>G1390</f>
        <v/>
      </c>
    </row>
    <row r="1391">
      <c r="A1391" s="68">
        <f>B1391&amp;TEXT(C1391,"0000")</f>
        <v/>
      </c>
      <c r="B1391" s="68" t="n">
        <v>200</v>
      </c>
      <c r="C1391" s="68" t="n">
        <v>488</v>
      </c>
      <c r="D1391" s="68" t="inlineStr">
        <is>
          <t>HpRatio</t>
        </is>
      </c>
      <c r="E1391" s="68">
        <f>INT(E1390*1.01)</f>
        <v/>
      </c>
      <c r="F1391" s="68" t="inlineStr">
        <is>
          <t>AtkRatio</t>
        </is>
      </c>
      <c r="G1391" s="68">
        <f>INT(G1390*1.01)</f>
        <v/>
      </c>
      <c r="H1391" s="68" t="inlineStr">
        <is>
          <t>DefRatio</t>
        </is>
      </c>
      <c r="I1391" s="68">
        <f>G1391</f>
        <v/>
      </c>
    </row>
    <row r="1392">
      <c r="A1392" s="68">
        <f>B1392&amp;TEXT(C1392,"0000")</f>
        <v/>
      </c>
      <c r="B1392" s="68" t="n">
        <v>200</v>
      </c>
      <c r="C1392" s="68" t="n">
        <v>489</v>
      </c>
      <c r="D1392" s="68" t="inlineStr">
        <is>
          <t>HpRatio</t>
        </is>
      </c>
      <c r="E1392" s="68">
        <f>INT(E1391*1.01)</f>
        <v/>
      </c>
      <c r="F1392" s="68" t="inlineStr">
        <is>
          <t>AtkRatio</t>
        </is>
      </c>
      <c r="G1392" s="68">
        <f>INT(G1391*1.01)</f>
        <v/>
      </c>
      <c r="H1392" s="68" t="inlineStr">
        <is>
          <t>DefRatio</t>
        </is>
      </c>
      <c r="I1392" s="68">
        <f>G1392</f>
        <v/>
      </c>
    </row>
    <row r="1393">
      <c r="A1393" s="68">
        <f>B1393&amp;TEXT(C1393,"0000")</f>
        <v/>
      </c>
      <c r="B1393" s="68" t="n">
        <v>200</v>
      </c>
      <c r="C1393" s="68" t="n">
        <v>490</v>
      </c>
      <c r="D1393" s="68" t="inlineStr">
        <is>
          <t>HpRatio</t>
        </is>
      </c>
      <c r="E1393" s="68">
        <f>INT(E1392*1.01)</f>
        <v/>
      </c>
      <c r="F1393" s="68" t="inlineStr">
        <is>
          <t>AtkRatio</t>
        </is>
      </c>
      <c r="G1393" s="68">
        <f>INT(G1392*1.01)</f>
        <v/>
      </c>
      <c r="H1393" s="68" t="inlineStr">
        <is>
          <t>DefRatio</t>
        </is>
      </c>
      <c r="I1393" s="68">
        <f>G1393</f>
        <v/>
      </c>
    </row>
    <row r="1394">
      <c r="A1394" s="68">
        <f>B1394&amp;TEXT(C1394,"0000")</f>
        <v/>
      </c>
      <c r="B1394" s="68" t="n">
        <v>200</v>
      </c>
      <c r="C1394" s="68" t="n">
        <v>491</v>
      </c>
      <c r="D1394" s="68" t="inlineStr">
        <is>
          <t>HpRatio</t>
        </is>
      </c>
      <c r="E1394" s="68">
        <f>INT(E1393*1.01)</f>
        <v/>
      </c>
      <c r="F1394" s="68" t="inlineStr">
        <is>
          <t>AtkRatio</t>
        </is>
      </c>
      <c r="G1394" s="68">
        <f>INT(G1393*1.01)</f>
        <v/>
      </c>
      <c r="H1394" s="68" t="inlineStr">
        <is>
          <t>DefRatio</t>
        </is>
      </c>
      <c r="I1394" s="68">
        <f>G1394</f>
        <v/>
      </c>
    </row>
    <row r="1395">
      <c r="A1395" s="68">
        <f>B1395&amp;TEXT(C1395,"0000")</f>
        <v/>
      </c>
      <c r="B1395" s="68" t="n">
        <v>200</v>
      </c>
      <c r="C1395" s="68" t="n">
        <v>492</v>
      </c>
      <c r="D1395" s="68" t="inlineStr">
        <is>
          <t>HpRatio</t>
        </is>
      </c>
      <c r="E1395" s="68">
        <f>INT(E1394*1.01)</f>
        <v/>
      </c>
      <c r="F1395" s="68" t="inlineStr">
        <is>
          <t>AtkRatio</t>
        </is>
      </c>
      <c r="G1395" s="68">
        <f>INT(G1394*1.01)</f>
        <v/>
      </c>
      <c r="H1395" s="68" t="inlineStr">
        <is>
          <t>DefRatio</t>
        </is>
      </c>
      <c r="I1395" s="68">
        <f>G1395</f>
        <v/>
      </c>
    </row>
    <row r="1396">
      <c r="A1396" s="68">
        <f>B1396&amp;TEXT(C1396,"0000")</f>
        <v/>
      </c>
      <c r="B1396" s="68" t="n">
        <v>200</v>
      </c>
      <c r="C1396" s="68" t="n">
        <v>493</v>
      </c>
      <c r="D1396" s="68" t="inlineStr">
        <is>
          <t>HpRatio</t>
        </is>
      </c>
      <c r="E1396" s="68">
        <f>INT(E1395*1.01)</f>
        <v/>
      </c>
      <c r="F1396" s="68" t="inlineStr">
        <is>
          <t>AtkRatio</t>
        </is>
      </c>
      <c r="G1396" s="68">
        <f>INT(G1395*1.01)</f>
        <v/>
      </c>
      <c r="H1396" s="68" t="inlineStr">
        <is>
          <t>DefRatio</t>
        </is>
      </c>
      <c r="I1396" s="68">
        <f>G1396</f>
        <v/>
      </c>
    </row>
    <row r="1397">
      <c r="A1397" s="68">
        <f>B1397&amp;TEXT(C1397,"0000")</f>
        <v/>
      </c>
      <c r="B1397" s="68" t="n">
        <v>200</v>
      </c>
      <c r="C1397" s="68" t="n">
        <v>494</v>
      </c>
      <c r="D1397" s="68" t="inlineStr">
        <is>
          <t>HpRatio</t>
        </is>
      </c>
      <c r="E1397" s="68">
        <f>INT(E1396*1.01)</f>
        <v/>
      </c>
      <c r="F1397" s="68" t="inlineStr">
        <is>
          <t>AtkRatio</t>
        </is>
      </c>
      <c r="G1397" s="68">
        <f>INT(G1396*1.01)</f>
        <v/>
      </c>
      <c r="H1397" s="68" t="inlineStr">
        <is>
          <t>DefRatio</t>
        </is>
      </c>
      <c r="I1397" s="68">
        <f>G1397</f>
        <v/>
      </c>
    </row>
    <row r="1398">
      <c r="A1398" s="68">
        <f>B1398&amp;TEXT(C1398,"0000")</f>
        <v/>
      </c>
      <c r="B1398" s="68" t="n">
        <v>200</v>
      </c>
      <c r="C1398" s="68" t="n">
        <v>495</v>
      </c>
      <c r="D1398" s="68" t="inlineStr">
        <is>
          <t>HpRatio</t>
        </is>
      </c>
      <c r="E1398" s="68">
        <f>INT(E1397*1.01)</f>
        <v/>
      </c>
      <c r="F1398" s="68" t="inlineStr">
        <is>
          <t>AtkRatio</t>
        </is>
      </c>
      <c r="G1398" s="68">
        <f>INT(G1397*1.01)</f>
        <v/>
      </c>
      <c r="H1398" s="68" t="inlineStr">
        <is>
          <t>DefRatio</t>
        </is>
      </c>
      <c r="I1398" s="68">
        <f>G1398</f>
        <v/>
      </c>
    </row>
    <row r="1399">
      <c r="A1399" s="68">
        <f>B1399&amp;TEXT(C1399,"0000")</f>
        <v/>
      </c>
      <c r="B1399" s="68" t="n">
        <v>200</v>
      </c>
      <c r="C1399" s="68" t="n">
        <v>496</v>
      </c>
      <c r="D1399" s="68" t="inlineStr">
        <is>
          <t>HpRatio</t>
        </is>
      </c>
      <c r="E1399" s="68">
        <f>INT(E1398*1.01)</f>
        <v/>
      </c>
      <c r="F1399" s="68" t="inlineStr">
        <is>
          <t>AtkRatio</t>
        </is>
      </c>
      <c r="G1399" s="68">
        <f>INT(G1398*1.01)</f>
        <v/>
      </c>
      <c r="H1399" s="68" t="inlineStr">
        <is>
          <t>DefRatio</t>
        </is>
      </c>
      <c r="I1399" s="68">
        <f>G1399</f>
        <v/>
      </c>
    </row>
    <row r="1400">
      <c r="A1400" s="68">
        <f>B1400&amp;TEXT(C1400,"0000")</f>
        <v/>
      </c>
      <c r="B1400" s="68" t="n">
        <v>200</v>
      </c>
      <c r="C1400" s="68" t="n">
        <v>497</v>
      </c>
      <c r="D1400" s="68" t="inlineStr">
        <is>
          <t>HpRatio</t>
        </is>
      </c>
      <c r="E1400" s="68">
        <f>INT(E1399*1.01)</f>
        <v/>
      </c>
      <c r="F1400" s="68" t="inlineStr">
        <is>
          <t>AtkRatio</t>
        </is>
      </c>
      <c r="G1400" s="68">
        <f>INT(G1399*1.01)</f>
        <v/>
      </c>
      <c r="H1400" s="68" t="inlineStr">
        <is>
          <t>DefRatio</t>
        </is>
      </c>
      <c r="I1400" s="68">
        <f>G1400</f>
        <v/>
      </c>
    </row>
    <row r="1401">
      <c r="A1401" s="68">
        <f>B1401&amp;TEXT(C1401,"0000")</f>
        <v/>
      </c>
      <c r="B1401" s="68" t="n">
        <v>200</v>
      </c>
      <c r="C1401" s="68" t="n">
        <v>498</v>
      </c>
      <c r="D1401" s="68" t="inlineStr">
        <is>
          <t>HpRatio</t>
        </is>
      </c>
      <c r="E1401" s="68">
        <f>INT(E1400*1.01)</f>
        <v/>
      </c>
      <c r="F1401" s="68" t="inlineStr">
        <is>
          <t>AtkRatio</t>
        </is>
      </c>
      <c r="G1401" s="68">
        <f>INT(G1400*1.01)</f>
        <v/>
      </c>
      <c r="H1401" s="68" t="inlineStr">
        <is>
          <t>DefRatio</t>
        </is>
      </c>
      <c r="I1401" s="68">
        <f>G1401</f>
        <v/>
      </c>
    </row>
    <row r="1402">
      <c r="A1402" s="68">
        <f>B1402&amp;TEXT(C1402,"0000")</f>
        <v/>
      </c>
      <c r="B1402" s="68" t="n">
        <v>200</v>
      </c>
      <c r="C1402" s="68" t="n">
        <v>499</v>
      </c>
      <c r="D1402" s="68" t="inlineStr">
        <is>
          <t>HpRatio</t>
        </is>
      </c>
      <c r="E1402" s="68">
        <f>INT(E1401*1.01)</f>
        <v/>
      </c>
      <c r="F1402" s="68" t="inlineStr">
        <is>
          <t>AtkRatio</t>
        </is>
      </c>
      <c r="G1402" s="68">
        <f>INT(G1401*1.01)</f>
        <v/>
      </c>
      <c r="H1402" s="68" t="inlineStr">
        <is>
          <t>DefRatio</t>
        </is>
      </c>
      <c r="I1402" s="68">
        <f>G1402</f>
        <v/>
      </c>
    </row>
    <row r="1403">
      <c r="A1403" s="68">
        <f>B1403&amp;TEXT(C1403,"0000")</f>
        <v/>
      </c>
      <c r="B1403" s="68" t="n">
        <v>200</v>
      </c>
      <c r="C1403" s="68" t="n">
        <v>500</v>
      </c>
      <c r="D1403" s="68" t="inlineStr">
        <is>
          <t>HpRatio</t>
        </is>
      </c>
      <c r="E1403" s="68">
        <f>INT(E1402*1.01)</f>
        <v/>
      </c>
      <c r="F1403" s="68" t="inlineStr">
        <is>
          <t>AtkRatio</t>
        </is>
      </c>
      <c r="G1403" s="68">
        <f>INT(G1402*1.01)</f>
        <v/>
      </c>
      <c r="H1403" s="68" t="inlineStr">
        <is>
          <t>DefRatio</t>
        </is>
      </c>
      <c r="I1403" s="68">
        <f>G1403</f>
        <v/>
      </c>
    </row>
    <row r="1404">
      <c r="A1404" s="68">
        <f>B1404&amp;TEXT(C1404,"0000")</f>
        <v/>
      </c>
      <c r="B1404" s="68" t="n">
        <v>200</v>
      </c>
      <c r="C1404" s="68" t="n">
        <v>501</v>
      </c>
      <c r="D1404" s="68" t="inlineStr">
        <is>
          <t>HpRatio</t>
        </is>
      </c>
      <c r="E1404" s="68">
        <f>INT(E1403*1.01)</f>
        <v/>
      </c>
      <c r="F1404" s="68" t="inlineStr">
        <is>
          <t>AtkRatio</t>
        </is>
      </c>
      <c r="G1404" s="68">
        <f>INT(G1403*1.01)</f>
        <v/>
      </c>
      <c r="H1404" s="68" t="inlineStr">
        <is>
          <t>DefRatio</t>
        </is>
      </c>
      <c r="I1404" s="68">
        <f>G1404</f>
        <v/>
      </c>
    </row>
    <row r="1405">
      <c r="A1405" s="68">
        <f>B1405&amp;TEXT(C1405,"0000")</f>
        <v/>
      </c>
      <c r="B1405" s="68" t="n">
        <v>200</v>
      </c>
      <c r="C1405" s="68" t="n">
        <v>502</v>
      </c>
      <c r="D1405" s="68" t="inlineStr">
        <is>
          <t>HpRatio</t>
        </is>
      </c>
      <c r="E1405" s="68">
        <f>INT(E1404*1.01)</f>
        <v/>
      </c>
      <c r="F1405" s="68" t="inlineStr">
        <is>
          <t>AtkRatio</t>
        </is>
      </c>
      <c r="G1405" s="68">
        <f>INT(G1404*1.01)</f>
        <v/>
      </c>
      <c r="H1405" s="68" t="inlineStr">
        <is>
          <t>DefRatio</t>
        </is>
      </c>
      <c r="I1405" s="68">
        <f>G1405</f>
        <v/>
      </c>
    </row>
    <row r="1406">
      <c r="A1406" s="68">
        <f>B1406&amp;TEXT(C1406,"0000")</f>
        <v/>
      </c>
      <c r="B1406" s="68" t="n">
        <v>200</v>
      </c>
      <c r="C1406" s="68" t="n">
        <v>503</v>
      </c>
      <c r="D1406" s="68" t="inlineStr">
        <is>
          <t>HpRatio</t>
        </is>
      </c>
      <c r="E1406" s="68">
        <f>INT(E1405*1.01)</f>
        <v/>
      </c>
      <c r="F1406" s="68" t="inlineStr">
        <is>
          <t>AtkRatio</t>
        </is>
      </c>
      <c r="G1406" s="68">
        <f>INT(G1405*1.01)</f>
        <v/>
      </c>
      <c r="H1406" s="68" t="inlineStr">
        <is>
          <t>DefRatio</t>
        </is>
      </c>
      <c r="I1406" s="68">
        <f>G1406</f>
        <v/>
      </c>
    </row>
    <row r="1407">
      <c r="A1407" s="68">
        <f>B1407&amp;TEXT(C1407,"0000")</f>
        <v/>
      </c>
      <c r="B1407" s="68" t="n">
        <v>200</v>
      </c>
      <c r="C1407" s="68" t="n">
        <v>504</v>
      </c>
      <c r="D1407" s="68" t="inlineStr">
        <is>
          <t>HpRatio</t>
        </is>
      </c>
      <c r="E1407" s="68">
        <f>INT(E1406*1.01)</f>
        <v/>
      </c>
      <c r="F1407" s="68" t="inlineStr">
        <is>
          <t>AtkRatio</t>
        </is>
      </c>
      <c r="G1407" s="68">
        <f>INT(G1406*1.01)</f>
        <v/>
      </c>
      <c r="H1407" s="68" t="inlineStr">
        <is>
          <t>DefRatio</t>
        </is>
      </c>
      <c r="I1407" s="68">
        <f>G1407</f>
        <v/>
      </c>
    </row>
    <row r="1408">
      <c r="A1408" s="68">
        <f>B1408&amp;TEXT(C1408,"0000")</f>
        <v/>
      </c>
      <c r="B1408" s="68" t="n">
        <v>200</v>
      </c>
      <c r="C1408" s="68" t="n">
        <v>505</v>
      </c>
      <c r="D1408" s="68" t="inlineStr">
        <is>
          <t>HpRatio</t>
        </is>
      </c>
      <c r="E1408" s="68">
        <f>INT(E1407*1.01)</f>
        <v/>
      </c>
      <c r="F1408" s="68" t="inlineStr">
        <is>
          <t>AtkRatio</t>
        </is>
      </c>
      <c r="G1408" s="68">
        <f>INT(G1407*1.01)</f>
        <v/>
      </c>
      <c r="H1408" s="68" t="inlineStr">
        <is>
          <t>DefRatio</t>
        </is>
      </c>
      <c r="I1408" s="68">
        <f>G1408</f>
        <v/>
      </c>
    </row>
    <row r="1409">
      <c r="A1409" s="68">
        <f>B1409&amp;TEXT(C1409,"0000")</f>
        <v/>
      </c>
      <c r="B1409" s="68" t="n">
        <v>200</v>
      </c>
      <c r="C1409" s="68" t="n">
        <v>506</v>
      </c>
      <c r="D1409" s="68" t="inlineStr">
        <is>
          <t>HpRatio</t>
        </is>
      </c>
      <c r="E1409" s="68">
        <f>INT(E1408*1.01)</f>
        <v/>
      </c>
      <c r="F1409" s="68" t="inlineStr">
        <is>
          <t>AtkRatio</t>
        </is>
      </c>
      <c r="G1409" s="68">
        <f>INT(G1408*1.01)</f>
        <v/>
      </c>
      <c r="H1409" s="68" t="inlineStr">
        <is>
          <t>DefRatio</t>
        </is>
      </c>
      <c r="I1409" s="68">
        <f>G1409</f>
        <v/>
      </c>
    </row>
    <row r="1410">
      <c r="A1410" s="68">
        <f>B1410&amp;TEXT(C1410,"0000")</f>
        <v/>
      </c>
      <c r="B1410" s="68" t="n">
        <v>200</v>
      </c>
      <c r="C1410" s="68" t="n">
        <v>507</v>
      </c>
      <c r="D1410" s="68" t="inlineStr">
        <is>
          <t>HpRatio</t>
        </is>
      </c>
      <c r="E1410" s="68">
        <f>INT(E1409*1.01)</f>
        <v/>
      </c>
      <c r="F1410" s="68" t="inlineStr">
        <is>
          <t>AtkRatio</t>
        </is>
      </c>
      <c r="G1410" s="68">
        <f>INT(G1409*1.01)</f>
        <v/>
      </c>
      <c r="H1410" s="68" t="inlineStr">
        <is>
          <t>DefRatio</t>
        </is>
      </c>
      <c r="I1410" s="68">
        <f>G1410</f>
        <v/>
      </c>
    </row>
    <row r="1411">
      <c r="A1411" s="68">
        <f>B1411&amp;TEXT(C1411,"0000")</f>
        <v/>
      </c>
      <c r="B1411" s="68" t="n">
        <v>200</v>
      </c>
      <c r="C1411" s="68" t="n">
        <v>508</v>
      </c>
      <c r="D1411" s="68" t="inlineStr">
        <is>
          <t>HpRatio</t>
        </is>
      </c>
      <c r="E1411" s="68">
        <f>INT(E1410*1.01)</f>
        <v/>
      </c>
      <c r="F1411" s="68" t="inlineStr">
        <is>
          <t>AtkRatio</t>
        </is>
      </c>
      <c r="G1411" s="68">
        <f>INT(G1410*1.01)</f>
        <v/>
      </c>
      <c r="H1411" s="68" t="inlineStr">
        <is>
          <t>DefRatio</t>
        </is>
      </c>
      <c r="I1411" s="68">
        <f>G1411</f>
        <v/>
      </c>
    </row>
    <row r="1412">
      <c r="A1412" s="68">
        <f>B1412&amp;TEXT(C1412,"0000")</f>
        <v/>
      </c>
      <c r="B1412" s="68" t="n">
        <v>200</v>
      </c>
      <c r="C1412" s="68" t="n">
        <v>509</v>
      </c>
      <c r="D1412" s="68" t="inlineStr">
        <is>
          <t>HpRatio</t>
        </is>
      </c>
      <c r="E1412" s="68">
        <f>INT(E1411*1.01)</f>
        <v/>
      </c>
      <c r="F1412" s="68" t="inlineStr">
        <is>
          <t>AtkRatio</t>
        </is>
      </c>
      <c r="G1412" s="68">
        <f>INT(G1411*1.01)</f>
        <v/>
      </c>
      <c r="H1412" s="68" t="inlineStr">
        <is>
          <t>DefRatio</t>
        </is>
      </c>
      <c r="I1412" s="68">
        <f>G1412</f>
        <v/>
      </c>
    </row>
    <row r="1413">
      <c r="A1413" s="68">
        <f>B1413&amp;TEXT(C1413,"0000")</f>
        <v/>
      </c>
      <c r="B1413" s="68" t="n">
        <v>200</v>
      </c>
      <c r="C1413" s="68" t="n">
        <v>510</v>
      </c>
      <c r="D1413" s="68" t="inlineStr">
        <is>
          <t>HpRatio</t>
        </is>
      </c>
      <c r="E1413" s="68">
        <f>INT(E1412*1.01)</f>
        <v/>
      </c>
      <c r="F1413" s="68" t="inlineStr">
        <is>
          <t>AtkRatio</t>
        </is>
      </c>
      <c r="G1413" s="68">
        <f>INT(G1412*1.01)</f>
        <v/>
      </c>
      <c r="H1413" s="68" t="inlineStr">
        <is>
          <t>DefRatio</t>
        </is>
      </c>
      <c r="I1413" s="68">
        <f>G1413</f>
        <v/>
      </c>
    </row>
    <row r="1414">
      <c r="A1414" s="68">
        <f>B1414&amp;TEXT(C1414,"0000")</f>
        <v/>
      </c>
      <c r="B1414" s="68" t="n">
        <v>200</v>
      </c>
      <c r="C1414" s="68" t="n">
        <v>511</v>
      </c>
      <c r="D1414" s="68" t="inlineStr">
        <is>
          <t>HpRatio</t>
        </is>
      </c>
      <c r="E1414" s="68">
        <f>INT(E1413*1.01)</f>
        <v/>
      </c>
      <c r="F1414" s="68" t="inlineStr">
        <is>
          <t>AtkRatio</t>
        </is>
      </c>
      <c r="G1414" s="68">
        <f>INT(G1413*1.01)</f>
        <v/>
      </c>
      <c r="H1414" s="68" t="inlineStr">
        <is>
          <t>DefRatio</t>
        </is>
      </c>
      <c r="I1414" s="68">
        <f>G1414</f>
        <v/>
      </c>
    </row>
    <row r="1415">
      <c r="A1415" s="68">
        <f>B1415&amp;TEXT(C1415,"0000")</f>
        <v/>
      </c>
      <c r="B1415" s="68" t="n">
        <v>200</v>
      </c>
      <c r="C1415" s="68" t="n">
        <v>512</v>
      </c>
      <c r="D1415" s="68" t="inlineStr">
        <is>
          <t>HpRatio</t>
        </is>
      </c>
      <c r="E1415" s="68">
        <f>INT(E1414*1.01)</f>
        <v/>
      </c>
      <c r="F1415" s="68" t="inlineStr">
        <is>
          <t>AtkRatio</t>
        </is>
      </c>
      <c r="G1415" s="68">
        <f>INT(G1414*1.01)</f>
        <v/>
      </c>
      <c r="H1415" s="68" t="inlineStr">
        <is>
          <t>DefRatio</t>
        </is>
      </c>
      <c r="I1415" s="68">
        <f>G1415</f>
        <v/>
      </c>
    </row>
    <row r="1416">
      <c r="A1416" s="68">
        <f>B1416&amp;TEXT(C1416,"0000")</f>
        <v/>
      </c>
      <c r="B1416" s="68" t="n">
        <v>200</v>
      </c>
      <c r="C1416" s="68" t="n">
        <v>513</v>
      </c>
      <c r="D1416" s="68" t="inlineStr">
        <is>
          <t>HpRatio</t>
        </is>
      </c>
      <c r="E1416" s="68">
        <f>INT(E1415*1.01)</f>
        <v/>
      </c>
      <c r="F1416" s="68" t="inlineStr">
        <is>
          <t>AtkRatio</t>
        </is>
      </c>
      <c r="G1416" s="68">
        <f>INT(G1415*1.01)</f>
        <v/>
      </c>
      <c r="H1416" s="68" t="inlineStr">
        <is>
          <t>DefRatio</t>
        </is>
      </c>
      <c r="I1416" s="68">
        <f>G1416</f>
        <v/>
      </c>
    </row>
    <row r="1417">
      <c r="A1417" s="68">
        <f>B1417&amp;TEXT(C1417,"0000")</f>
        <v/>
      </c>
      <c r="B1417" s="68" t="n">
        <v>200</v>
      </c>
      <c r="C1417" s="68" t="n">
        <v>514</v>
      </c>
      <c r="D1417" s="68" t="inlineStr">
        <is>
          <t>HpRatio</t>
        </is>
      </c>
      <c r="E1417" s="68">
        <f>INT(E1416*1.01)</f>
        <v/>
      </c>
      <c r="F1417" s="68" t="inlineStr">
        <is>
          <t>AtkRatio</t>
        </is>
      </c>
      <c r="G1417" s="68">
        <f>INT(G1416*1.01)</f>
        <v/>
      </c>
      <c r="H1417" s="68" t="inlineStr">
        <is>
          <t>DefRatio</t>
        </is>
      </c>
      <c r="I1417" s="68">
        <f>G1417</f>
        <v/>
      </c>
    </row>
    <row r="1418">
      <c r="A1418" s="68">
        <f>B1418&amp;TEXT(C1418,"0000")</f>
        <v/>
      </c>
      <c r="B1418" s="68" t="n">
        <v>200</v>
      </c>
      <c r="C1418" s="68" t="n">
        <v>515</v>
      </c>
      <c r="D1418" s="68" t="inlineStr">
        <is>
          <t>HpRatio</t>
        </is>
      </c>
      <c r="E1418" s="68">
        <f>INT(E1417*1.01)</f>
        <v/>
      </c>
      <c r="F1418" s="68" t="inlineStr">
        <is>
          <t>AtkRatio</t>
        </is>
      </c>
      <c r="G1418" s="68">
        <f>INT(G1417*1.01)</f>
        <v/>
      </c>
      <c r="H1418" s="68" t="inlineStr">
        <is>
          <t>DefRatio</t>
        </is>
      </c>
      <c r="I1418" s="68">
        <f>G1418</f>
        <v/>
      </c>
    </row>
    <row r="1419">
      <c r="A1419" s="68">
        <f>B1419&amp;TEXT(C1419,"0000")</f>
        <v/>
      </c>
      <c r="B1419" s="68" t="n">
        <v>200</v>
      </c>
      <c r="C1419" s="68" t="n">
        <v>516</v>
      </c>
      <c r="D1419" s="68" t="inlineStr">
        <is>
          <t>HpRatio</t>
        </is>
      </c>
      <c r="E1419" s="68">
        <f>INT(E1418*1.01)</f>
        <v/>
      </c>
      <c r="F1419" s="68" t="inlineStr">
        <is>
          <t>AtkRatio</t>
        </is>
      </c>
      <c r="G1419" s="68">
        <f>INT(G1418*1.01)</f>
        <v/>
      </c>
      <c r="H1419" s="68" t="inlineStr">
        <is>
          <t>DefRatio</t>
        </is>
      </c>
      <c r="I1419" s="68">
        <f>G1419</f>
        <v/>
      </c>
    </row>
    <row r="1420">
      <c r="A1420" s="68">
        <f>B1420&amp;TEXT(C1420,"0000")</f>
        <v/>
      </c>
      <c r="B1420" s="68" t="n">
        <v>200</v>
      </c>
      <c r="C1420" s="68" t="n">
        <v>517</v>
      </c>
      <c r="D1420" s="68" t="inlineStr">
        <is>
          <t>HpRatio</t>
        </is>
      </c>
      <c r="E1420" s="68">
        <f>INT(E1419*1.01)</f>
        <v/>
      </c>
      <c r="F1420" s="68" t="inlineStr">
        <is>
          <t>AtkRatio</t>
        </is>
      </c>
      <c r="G1420" s="68">
        <f>INT(G1419*1.01)</f>
        <v/>
      </c>
      <c r="H1420" s="68" t="inlineStr">
        <is>
          <t>DefRatio</t>
        </is>
      </c>
      <c r="I1420" s="68">
        <f>G1420</f>
        <v/>
      </c>
    </row>
    <row r="1421">
      <c r="A1421" s="68">
        <f>B1421&amp;TEXT(C1421,"0000")</f>
        <v/>
      </c>
      <c r="B1421" s="68" t="n">
        <v>200</v>
      </c>
      <c r="C1421" s="68" t="n">
        <v>518</v>
      </c>
      <c r="D1421" s="68" t="inlineStr">
        <is>
          <t>HpRatio</t>
        </is>
      </c>
      <c r="E1421" s="68">
        <f>INT(E1420*1.01)</f>
        <v/>
      </c>
      <c r="F1421" s="68" t="inlineStr">
        <is>
          <t>AtkRatio</t>
        </is>
      </c>
      <c r="G1421" s="68">
        <f>INT(G1420*1.01)</f>
        <v/>
      </c>
      <c r="H1421" s="68" t="inlineStr">
        <is>
          <t>DefRatio</t>
        </is>
      </c>
      <c r="I1421" s="68">
        <f>G1421</f>
        <v/>
      </c>
    </row>
    <row r="1422">
      <c r="A1422" s="68">
        <f>B1422&amp;TEXT(C1422,"0000")</f>
        <v/>
      </c>
      <c r="B1422" s="68" t="n">
        <v>200</v>
      </c>
      <c r="C1422" s="68" t="n">
        <v>519</v>
      </c>
      <c r="D1422" s="68" t="inlineStr">
        <is>
          <t>HpRatio</t>
        </is>
      </c>
      <c r="E1422" s="68">
        <f>INT(E1421*1.01)</f>
        <v/>
      </c>
      <c r="F1422" s="68" t="inlineStr">
        <is>
          <t>AtkRatio</t>
        </is>
      </c>
      <c r="G1422" s="68">
        <f>INT(G1421*1.01)</f>
        <v/>
      </c>
      <c r="H1422" s="68" t="inlineStr">
        <is>
          <t>DefRatio</t>
        </is>
      </c>
      <c r="I1422" s="68">
        <f>G1422</f>
        <v/>
      </c>
    </row>
    <row r="1423">
      <c r="A1423" s="68">
        <f>B1423&amp;TEXT(C1423,"0000")</f>
        <v/>
      </c>
      <c r="B1423" s="68" t="n">
        <v>200</v>
      </c>
      <c r="C1423" s="68" t="n">
        <v>520</v>
      </c>
      <c r="D1423" s="68" t="inlineStr">
        <is>
          <t>HpRatio</t>
        </is>
      </c>
      <c r="E1423" s="68">
        <f>INT(E1422*1.01)</f>
        <v/>
      </c>
      <c r="F1423" s="68" t="inlineStr">
        <is>
          <t>AtkRatio</t>
        </is>
      </c>
      <c r="G1423" s="68">
        <f>INT(G1422*1.01)</f>
        <v/>
      </c>
      <c r="H1423" s="68" t="inlineStr">
        <is>
          <t>DefRatio</t>
        </is>
      </c>
      <c r="I1423" s="68">
        <f>G1423</f>
        <v/>
      </c>
    </row>
    <row r="1424">
      <c r="A1424" s="68">
        <f>B1424&amp;TEXT(C1424,"0000")</f>
        <v/>
      </c>
      <c r="B1424" s="68" t="n">
        <v>200</v>
      </c>
      <c r="C1424" s="68" t="n">
        <v>521</v>
      </c>
      <c r="D1424" s="68" t="inlineStr">
        <is>
          <t>HpRatio</t>
        </is>
      </c>
      <c r="E1424" s="68">
        <f>INT(E1423*1.01)</f>
        <v/>
      </c>
      <c r="F1424" s="68" t="inlineStr">
        <is>
          <t>AtkRatio</t>
        </is>
      </c>
      <c r="G1424" s="68">
        <f>INT(G1423*1.01)</f>
        <v/>
      </c>
      <c r="H1424" s="68" t="inlineStr">
        <is>
          <t>DefRatio</t>
        </is>
      </c>
      <c r="I1424" s="68">
        <f>G1424</f>
        <v/>
      </c>
    </row>
    <row r="1425">
      <c r="A1425" s="68">
        <f>B1425&amp;TEXT(C1425,"0000")</f>
        <v/>
      </c>
      <c r="B1425" s="68" t="n">
        <v>200</v>
      </c>
      <c r="C1425" s="68" t="n">
        <v>522</v>
      </c>
      <c r="D1425" s="68" t="inlineStr">
        <is>
          <t>HpRatio</t>
        </is>
      </c>
      <c r="E1425" s="68">
        <f>INT(E1424*1.01)</f>
        <v/>
      </c>
      <c r="F1425" s="68" t="inlineStr">
        <is>
          <t>AtkRatio</t>
        </is>
      </c>
      <c r="G1425" s="68">
        <f>INT(G1424*1.01)</f>
        <v/>
      </c>
      <c r="H1425" s="68" t="inlineStr">
        <is>
          <t>DefRatio</t>
        </is>
      </c>
      <c r="I1425" s="68">
        <f>G1425</f>
        <v/>
      </c>
    </row>
    <row r="1426">
      <c r="A1426" s="68">
        <f>B1426&amp;TEXT(C1426,"0000")</f>
        <v/>
      </c>
      <c r="B1426" s="68" t="n">
        <v>200</v>
      </c>
      <c r="C1426" s="68" t="n">
        <v>523</v>
      </c>
      <c r="D1426" s="68" t="inlineStr">
        <is>
          <t>HpRatio</t>
        </is>
      </c>
      <c r="E1426" s="68">
        <f>INT(E1425*1.01)</f>
        <v/>
      </c>
      <c r="F1426" s="68" t="inlineStr">
        <is>
          <t>AtkRatio</t>
        </is>
      </c>
      <c r="G1426" s="68">
        <f>INT(G1425*1.01)</f>
        <v/>
      </c>
      <c r="H1426" s="68" t="inlineStr">
        <is>
          <t>DefRatio</t>
        </is>
      </c>
      <c r="I1426" s="68">
        <f>G1426</f>
        <v/>
      </c>
    </row>
    <row r="1427">
      <c r="A1427" s="68">
        <f>B1427&amp;TEXT(C1427,"0000")</f>
        <v/>
      </c>
      <c r="B1427" s="68" t="n">
        <v>200</v>
      </c>
      <c r="C1427" s="68" t="n">
        <v>524</v>
      </c>
      <c r="D1427" s="68" t="inlineStr">
        <is>
          <t>HpRatio</t>
        </is>
      </c>
      <c r="E1427" s="68">
        <f>INT(E1426*1.01)</f>
        <v/>
      </c>
      <c r="F1427" s="68" t="inlineStr">
        <is>
          <t>AtkRatio</t>
        </is>
      </c>
      <c r="G1427" s="68">
        <f>INT(G1426*1.01)</f>
        <v/>
      </c>
      <c r="H1427" s="68" t="inlineStr">
        <is>
          <t>DefRatio</t>
        </is>
      </c>
      <c r="I1427" s="68">
        <f>G1427</f>
        <v/>
      </c>
    </row>
    <row r="1428">
      <c r="A1428" s="68">
        <f>B1428&amp;TEXT(C1428,"0000")</f>
        <v/>
      </c>
      <c r="B1428" s="68" t="n">
        <v>200</v>
      </c>
      <c r="C1428" s="68" t="n">
        <v>525</v>
      </c>
      <c r="D1428" s="68" t="inlineStr">
        <is>
          <t>HpRatio</t>
        </is>
      </c>
      <c r="E1428" s="68">
        <f>INT(E1427*1.01)</f>
        <v/>
      </c>
      <c r="F1428" s="68" t="inlineStr">
        <is>
          <t>AtkRatio</t>
        </is>
      </c>
      <c r="G1428" s="68">
        <f>INT(G1427*1.01)</f>
        <v/>
      </c>
      <c r="H1428" s="68" t="inlineStr">
        <is>
          <t>DefRatio</t>
        </is>
      </c>
      <c r="I1428" s="68">
        <f>G1428</f>
        <v/>
      </c>
    </row>
    <row r="1429">
      <c r="A1429" s="68">
        <f>B1429&amp;TEXT(C1429,"0000")</f>
        <v/>
      </c>
      <c r="B1429" s="68" t="n">
        <v>200</v>
      </c>
      <c r="C1429" s="68" t="n">
        <v>526</v>
      </c>
      <c r="D1429" s="68" t="inlineStr">
        <is>
          <t>HpRatio</t>
        </is>
      </c>
      <c r="E1429" s="68">
        <f>INT(E1428*1.01)</f>
        <v/>
      </c>
      <c r="F1429" s="68" t="inlineStr">
        <is>
          <t>AtkRatio</t>
        </is>
      </c>
      <c r="G1429" s="68">
        <f>INT(G1428*1.01)</f>
        <v/>
      </c>
      <c r="H1429" s="68" t="inlineStr">
        <is>
          <t>DefRatio</t>
        </is>
      </c>
      <c r="I1429" s="68">
        <f>G1429</f>
        <v/>
      </c>
    </row>
    <row r="1430">
      <c r="A1430" s="68">
        <f>B1430&amp;TEXT(C1430,"0000")</f>
        <v/>
      </c>
      <c r="B1430" s="68" t="n">
        <v>200</v>
      </c>
      <c r="C1430" s="68" t="n">
        <v>527</v>
      </c>
      <c r="D1430" s="68" t="inlineStr">
        <is>
          <t>HpRatio</t>
        </is>
      </c>
      <c r="E1430" s="68">
        <f>INT(E1429*1.01)</f>
        <v/>
      </c>
      <c r="F1430" s="68" t="inlineStr">
        <is>
          <t>AtkRatio</t>
        </is>
      </c>
      <c r="G1430" s="68">
        <f>INT(G1429*1.01)</f>
        <v/>
      </c>
      <c r="H1430" s="68" t="inlineStr">
        <is>
          <t>DefRatio</t>
        </is>
      </c>
      <c r="I1430" s="68">
        <f>G1430</f>
        <v/>
      </c>
    </row>
    <row r="1431">
      <c r="A1431" s="68">
        <f>B1431&amp;TEXT(C1431,"0000")</f>
        <v/>
      </c>
      <c r="B1431" s="68" t="n">
        <v>200</v>
      </c>
      <c r="C1431" s="68" t="n">
        <v>528</v>
      </c>
      <c r="D1431" s="68" t="inlineStr">
        <is>
          <t>HpRatio</t>
        </is>
      </c>
      <c r="E1431" s="68">
        <f>INT(E1430*1.01)</f>
        <v/>
      </c>
      <c r="F1431" s="68" t="inlineStr">
        <is>
          <t>AtkRatio</t>
        </is>
      </c>
      <c r="G1431" s="68">
        <f>INT(G1430*1.01)</f>
        <v/>
      </c>
      <c r="H1431" s="68" t="inlineStr">
        <is>
          <t>DefRatio</t>
        </is>
      </c>
      <c r="I1431" s="68">
        <f>G1431</f>
        <v/>
      </c>
    </row>
    <row r="1432">
      <c r="A1432" s="68">
        <f>B1432&amp;TEXT(C1432,"0000")</f>
        <v/>
      </c>
      <c r="B1432" s="68" t="n">
        <v>200</v>
      </c>
      <c r="C1432" s="68" t="n">
        <v>529</v>
      </c>
      <c r="D1432" s="68" t="inlineStr">
        <is>
          <t>HpRatio</t>
        </is>
      </c>
      <c r="E1432" s="68">
        <f>INT(E1431*1.01)</f>
        <v/>
      </c>
      <c r="F1432" s="68" t="inlineStr">
        <is>
          <t>AtkRatio</t>
        </is>
      </c>
      <c r="G1432" s="68">
        <f>INT(G1431*1.01)</f>
        <v/>
      </c>
      <c r="H1432" s="68" t="inlineStr">
        <is>
          <t>DefRatio</t>
        </is>
      </c>
      <c r="I1432" s="68">
        <f>G1432</f>
        <v/>
      </c>
    </row>
    <row r="1433">
      <c r="A1433" s="68">
        <f>B1433&amp;TEXT(C1433,"0000")</f>
        <v/>
      </c>
      <c r="B1433" s="68" t="n">
        <v>200</v>
      </c>
      <c r="C1433" s="68" t="n">
        <v>530</v>
      </c>
      <c r="D1433" s="68" t="inlineStr">
        <is>
          <t>HpRatio</t>
        </is>
      </c>
      <c r="E1433" s="68">
        <f>INT(E1432*1.01)</f>
        <v/>
      </c>
      <c r="F1433" s="68" t="inlineStr">
        <is>
          <t>AtkRatio</t>
        </is>
      </c>
      <c r="G1433" s="68">
        <f>INT(G1432*1.01)</f>
        <v/>
      </c>
      <c r="H1433" s="68" t="inlineStr">
        <is>
          <t>DefRatio</t>
        </is>
      </c>
      <c r="I1433" s="68">
        <f>G1433</f>
        <v/>
      </c>
    </row>
    <row r="1434">
      <c r="A1434" s="68">
        <f>B1434&amp;TEXT(C1434,"0000")</f>
        <v/>
      </c>
      <c r="B1434" s="68" t="n">
        <v>200</v>
      </c>
      <c r="C1434" s="68" t="n">
        <v>531</v>
      </c>
      <c r="D1434" s="68" t="inlineStr">
        <is>
          <t>HpRatio</t>
        </is>
      </c>
      <c r="E1434" s="68">
        <f>INT(E1433*1.01)</f>
        <v/>
      </c>
      <c r="F1434" s="68" t="inlineStr">
        <is>
          <t>AtkRatio</t>
        </is>
      </c>
      <c r="G1434" s="68">
        <f>INT(G1433*1.01)</f>
        <v/>
      </c>
      <c r="H1434" s="68" t="inlineStr">
        <is>
          <t>DefRatio</t>
        </is>
      </c>
      <c r="I1434" s="68">
        <f>G1434</f>
        <v/>
      </c>
    </row>
    <row r="1435">
      <c r="A1435" s="68">
        <f>B1435&amp;TEXT(C1435,"0000")</f>
        <v/>
      </c>
      <c r="B1435" s="68" t="n">
        <v>200</v>
      </c>
      <c r="C1435" s="68" t="n">
        <v>532</v>
      </c>
      <c r="D1435" s="68" t="inlineStr">
        <is>
          <t>HpRatio</t>
        </is>
      </c>
      <c r="E1435" s="68">
        <f>INT(E1434*1.01)</f>
        <v/>
      </c>
      <c r="F1435" s="68" t="inlineStr">
        <is>
          <t>AtkRatio</t>
        </is>
      </c>
      <c r="G1435" s="68">
        <f>INT(G1434*1.01)</f>
        <v/>
      </c>
      <c r="H1435" s="68" t="inlineStr">
        <is>
          <t>DefRatio</t>
        </is>
      </c>
      <c r="I1435" s="68">
        <f>G1435</f>
        <v/>
      </c>
    </row>
    <row r="1436">
      <c r="A1436" s="68">
        <f>B1436&amp;TEXT(C1436,"0000")</f>
        <v/>
      </c>
      <c r="B1436" s="68" t="n">
        <v>200</v>
      </c>
      <c r="C1436" s="68" t="n">
        <v>533</v>
      </c>
      <c r="D1436" s="68" t="inlineStr">
        <is>
          <t>HpRatio</t>
        </is>
      </c>
      <c r="E1436" s="68">
        <f>INT(E1435*1.01)</f>
        <v/>
      </c>
      <c r="F1436" s="68" t="inlineStr">
        <is>
          <t>AtkRatio</t>
        </is>
      </c>
      <c r="G1436" s="68">
        <f>INT(G1435*1.01)</f>
        <v/>
      </c>
      <c r="H1436" s="68" t="inlineStr">
        <is>
          <t>DefRatio</t>
        </is>
      </c>
      <c r="I1436" s="68">
        <f>G1436</f>
        <v/>
      </c>
    </row>
    <row r="1437">
      <c r="A1437" s="68">
        <f>B1437&amp;TEXT(C1437,"0000")</f>
        <v/>
      </c>
      <c r="B1437" s="68" t="n">
        <v>200</v>
      </c>
      <c r="C1437" s="68" t="n">
        <v>534</v>
      </c>
      <c r="D1437" s="68" t="inlineStr">
        <is>
          <t>HpRatio</t>
        </is>
      </c>
      <c r="E1437" s="68">
        <f>INT(E1436*1.01)</f>
        <v/>
      </c>
      <c r="F1437" s="68" t="inlineStr">
        <is>
          <t>AtkRatio</t>
        </is>
      </c>
      <c r="G1437" s="68">
        <f>INT(G1436*1.01)</f>
        <v/>
      </c>
      <c r="H1437" s="68" t="inlineStr">
        <is>
          <t>DefRatio</t>
        </is>
      </c>
      <c r="I1437" s="68">
        <f>G1437</f>
        <v/>
      </c>
    </row>
    <row r="1438">
      <c r="A1438" s="68">
        <f>B1438&amp;TEXT(C1438,"0000")</f>
        <v/>
      </c>
      <c r="B1438" s="68" t="n">
        <v>200</v>
      </c>
      <c r="C1438" s="68" t="n">
        <v>535</v>
      </c>
      <c r="D1438" s="68" t="inlineStr">
        <is>
          <t>HpRatio</t>
        </is>
      </c>
      <c r="E1438" s="68">
        <f>INT(E1437*1.01)</f>
        <v/>
      </c>
      <c r="F1438" s="68" t="inlineStr">
        <is>
          <t>AtkRatio</t>
        </is>
      </c>
      <c r="G1438" s="68">
        <f>INT(G1437*1.01)</f>
        <v/>
      </c>
      <c r="H1438" s="68" t="inlineStr">
        <is>
          <t>DefRatio</t>
        </is>
      </c>
      <c r="I1438" s="68">
        <f>G1438</f>
        <v/>
      </c>
    </row>
    <row r="1439">
      <c r="A1439" s="68">
        <f>B1439&amp;TEXT(C1439,"0000")</f>
        <v/>
      </c>
      <c r="B1439" s="68" t="n">
        <v>200</v>
      </c>
      <c r="C1439" s="68" t="n">
        <v>536</v>
      </c>
      <c r="D1439" s="68" t="inlineStr">
        <is>
          <t>HpRatio</t>
        </is>
      </c>
      <c r="E1439" s="68">
        <f>INT(E1438*1.01)</f>
        <v/>
      </c>
      <c r="F1439" s="68" t="inlineStr">
        <is>
          <t>AtkRatio</t>
        </is>
      </c>
      <c r="G1439" s="68">
        <f>INT(G1438*1.01)</f>
        <v/>
      </c>
      <c r="H1439" s="68" t="inlineStr">
        <is>
          <t>DefRatio</t>
        </is>
      </c>
      <c r="I1439" s="68">
        <f>G1439</f>
        <v/>
      </c>
    </row>
    <row r="1440">
      <c r="A1440" s="68">
        <f>B1440&amp;TEXT(C1440,"0000")</f>
        <v/>
      </c>
      <c r="B1440" s="68" t="n">
        <v>200</v>
      </c>
      <c r="C1440" s="68" t="n">
        <v>537</v>
      </c>
      <c r="D1440" s="68" t="inlineStr">
        <is>
          <t>HpRatio</t>
        </is>
      </c>
      <c r="E1440" s="68">
        <f>INT(E1439*1.01)</f>
        <v/>
      </c>
      <c r="F1440" s="68" t="inlineStr">
        <is>
          <t>AtkRatio</t>
        </is>
      </c>
      <c r="G1440" s="68">
        <f>INT(G1439*1.01)</f>
        <v/>
      </c>
      <c r="H1440" s="68" t="inlineStr">
        <is>
          <t>DefRatio</t>
        </is>
      </c>
      <c r="I1440" s="68">
        <f>G1440</f>
        <v/>
      </c>
    </row>
    <row r="1441">
      <c r="A1441" s="68">
        <f>B1441&amp;TEXT(C1441,"0000")</f>
        <v/>
      </c>
      <c r="B1441" s="68" t="n">
        <v>200</v>
      </c>
      <c r="C1441" s="68" t="n">
        <v>538</v>
      </c>
      <c r="D1441" s="68" t="inlineStr">
        <is>
          <t>HpRatio</t>
        </is>
      </c>
      <c r="E1441" s="68">
        <f>INT(E1440*1.01)</f>
        <v/>
      </c>
      <c r="F1441" s="68" t="inlineStr">
        <is>
          <t>AtkRatio</t>
        </is>
      </c>
      <c r="G1441" s="68">
        <f>INT(G1440*1.01)</f>
        <v/>
      </c>
      <c r="H1441" s="68" t="inlineStr">
        <is>
          <t>DefRatio</t>
        </is>
      </c>
      <c r="I1441" s="68">
        <f>G1441</f>
        <v/>
      </c>
    </row>
    <row r="1442">
      <c r="A1442" s="68">
        <f>B1442&amp;TEXT(C1442,"0000")</f>
        <v/>
      </c>
      <c r="B1442" s="68" t="n">
        <v>200</v>
      </c>
      <c r="C1442" s="68" t="n">
        <v>539</v>
      </c>
      <c r="D1442" s="68" t="inlineStr">
        <is>
          <t>HpRatio</t>
        </is>
      </c>
      <c r="E1442" s="68">
        <f>INT(E1441*1.01)</f>
        <v/>
      </c>
      <c r="F1442" s="68" t="inlineStr">
        <is>
          <t>AtkRatio</t>
        </is>
      </c>
      <c r="G1442" s="68">
        <f>INT(G1441*1.01)</f>
        <v/>
      </c>
      <c r="H1442" s="68" t="inlineStr">
        <is>
          <t>DefRatio</t>
        </is>
      </c>
      <c r="I1442" s="68">
        <f>G1442</f>
        <v/>
      </c>
    </row>
    <row r="1443">
      <c r="A1443" s="68">
        <f>B1443&amp;TEXT(C1443,"0000")</f>
        <v/>
      </c>
      <c r="B1443" s="68" t="n">
        <v>200</v>
      </c>
      <c r="C1443" s="68" t="n">
        <v>540</v>
      </c>
      <c r="D1443" s="68" t="inlineStr">
        <is>
          <t>HpRatio</t>
        </is>
      </c>
      <c r="E1443" s="68">
        <f>INT(E1442*1.01)</f>
        <v/>
      </c>
      <c r="F1443" s="68" t="inlineStr">
        <is>
          <t>AtkRatio</t>
        </is>
      </c>
      <c r="G1443" s="68">
        <f>INT(G1442*1.01)</f>
        <v/>
      </c>
      <c r="H1443" s="68" t="inlineStr">
        <is>
          <t>DefRatio</t>
        </is>
      </c>
      <c r="I1443" s="68">
        <f>G1443</f>
        <v/>
      </c>
    </row>
    <row r="1444">
      <c r="A1444" s="68">
        <f>B1444&amp;TEXT(C1444,"0000")</f>
        <v/>
      </c>
      <c r="B1444" s="68" t="n">
        <v>200</v>
      </c>
      <c r="C1444" s="68" t="n">
        <v>541</v>
      </c>
      <c r="D1444" s="68" t="inlineStr">
        <is>
          <t>HpRatio</t>
        </is>
      </c>
      <c r="E1444" s="68">
        <f>INT(E1443*1.01)</f>
        <v/>
      </c>
      <c r="F1444" s="68" t="inlineStr">
        <is>
          <t>AtkRatio</t>
        </is>
      </c>
      <c r="G1444" s="68">
        <f>INT(G1443*1.01)</f>
        <v/>
      </c>
      <c r="H1444" s="68" t="inlineStr">
        <is>
          <t>DefRatio</t>
        </is>
      </c>
      <c r="I1444" s="68">
        <f>G1444</f>
        <v/>
      </c>
    </row>
    <row r="1445">
      <c r="A1445" s="68">
        <f>B1445&amp;TEXT(C1445,"0000")</f>
        <v/>
      </c>
      <c r="B1445" s="68" t="n">
        <v>200</v>
      </c>
      <c r="C1445" s="68" t="n">
        <v>542</v>
      </c>
      <c r="D1445" s="68" t="inlineStr">
        <is>
          <t>HpRatio</t>
        </is>
      </c>
      <c r="E1445" s="68">
        <f>INT(E1444*1.01)</f>
        <v/>
      </c>
      <c r="F1445" s="68" t="inlineStr">
        <is>
          <t>AtkRatio</t>
        </is>
      </c>
      <c r="G1445" s="68">
        <f>INT(G1444*1.01)</f>
        <v/>
      </c>
      <c r="H1445" s="68" t="inlineStr">
        <is>
          <t>DefRatio</t>
        </is>
      </c>
      <c r="I1445" s="68">
        <f>G1445</f>
        <v/>
      </c>
    </row>
    <row r="1446">
      <c r="A1446" s="68">
        <f>B1446&amp;TEXT(C1446,"0000")</f>
        <v/>
      </c>
      <c r="B1446" s="68" t="n">
        <v>200</v>
      </c>
      <c r="C1446" s="68" t="n">
        <v>543</v>
      </c>
      <c r="D1446" s="68" t="inlineStr">
        <is>
          <t>HpRatio</t>
        </is>
      </c>
      <c r="E1446" s="68">
        <f>INT(E1445*1.01)</f>
        <v/>
      </c>
      <c r="F1446" s="68" t="inlineStr">
        <is>
          <t>AtkRatio</t>
        </is>
      </c>
      <c r="G1446" s="68">
        <f>INT(G1445*1.01)</f>
        <v/>
      </c>
      <c r="H1446" s="68" t="inlineStr">
        <is>
          <t>DefRatio</t>
        </is>
      </c>
      <c r="I1446" s="68">
        <f>G1446</f>
        <v/>
      </c>
    </row>
    <row r="1447">
      <c r="A1447" s="68">
        <f>B1447&amp;TEXT(C1447,"0000")</f>
        <v/>
      </c>
      <c r="B1447" s="68" t="n">
        <v>200</v>
      </c>
      <c r="C1447" s="68" t="n">
        <v>544</v>
      </c>
      <c r="D1447" s="68" t="inlineStr">
        <is>
          <t>HpRatio</t>
        </is>
      </c>
      <c r="E1447" s="68">
        <f>INT(E1446*1.01)</f>
        <v/>
      </c>
      <c r="F1447" s="68" t="inlineStr">
        <is>
          <t>AtkRatio</t>
        </is>
      </c>
      <c r="G1447" s="68">
        <f>INT(G1446*1.01)</f>
        <v/>
      </c>
      <c r="H1447" s="68" t="inlineStr">
        <is>
          <t>DefRatio</t>
        </is>
      </c>
      <c r="I1447" s="68">
        <f>G1447</f>
        <v/>
      </c>
    </row>
    <row r="1448">
      <c r="A1448" s="68">
        <f>B1448&amp;TEXT(C1448,"0000")</f>
        <v/>
      </c>
      <c r="B1448" s="68" t="n">
        <v>200</v>
      </c>
      <c r="C1448" s="68" t="n">
        <v>545</v>
      </c>
      <c r="D1448" s="68" t="inlineStr">
        <is>
          <t>HpRatio</t>
        </is>
      </c>
      <c r="E1448" s="68">
        <f>INT(E1447*1.01)</f>
        <v/>
      </c>
      <c r="F1448" s="68" t="inlineStr">
        <is>
          <t>AtkRatio</t>
        </is>
      </c>
      <c r="G1448" s="68">
        <f>INT(G1447*1.01)</f>
        <v/>
      </c>
      <c r="H1448" s="68" t="inlineStr">
        <is>
          <t>DefRatio</t>
        </is>
      </c>
      <c r="I1448" s="68">
        <f>G1448</f>
        <v/>
      </c>
    </row>
    <row r="1449">
      <c r="A1449" s="68">
        <f>B1449&amp;TEXT(C1449,"0000")</f>
        <v/>
      </c>
      <c r="B1449" s="68" t="n">
        <v>200</v>
      </c>
      <c r="C1449" s="68" t="n">
        <v>546</v>
      </c>
      <c r="D1449" s="68" t="inlineStr">
        <is>
          <t>HpRatio</t>
        </is>
      </c>
      <c r="E1449" s="68">
        <f>INT(E1448*1.01)</f>
        <v/>
      </c>
      <c r="F1449" s="68" t="inlineStr">
        <is>
          <t>AtkRatio</t>
        </is>
      </c>
      <c r="G1449" s="68">
        <f>INT(G1448*1.01)</f>
        <v/>
      </c>
      <c r="H1449" s="68" t="inlineStr">
        <is>
          <t>DefRatio</t>
        </is>
      </c>
      <c r="I1449" s="68">
        <f>G1449</f>
        <v/>
      </c>
    </row>
    <row r="1450">
      <c r="A1450" s="68">
        <f>B1450&amp;TEXT(C1450,"0000")</f>
        <v/>
      </c>
      <c r="B1450" s="68" t="n">
        <v>200</v>
      </c>
      <c r="C1450" s="68" t="n">
        <v>547</v>
      </c>
      <c r="D1450" s="68" t="inlineStr">
        <is>
          <t>HpRatio</t>
        </is>
      </c>
      <c r="E1450" s="68">
        <f>INT(E1449*1.01)</f>
        <v/>
      </c>
      <c r="F1450" s="68" t="inlineStr">
        <is>
          <t>AtkRatio</t>
        </is>
      </c>
      <c r="G1450" s="68">
        <f>INT(G1449*1.01)</f>
        <v/>
      </c>
      <c r="H1450" s="68" t="inlineStr">
        <is>
          <t>DefRatio</t>
        </is>
      </c>
      <c r="I1450" s="68">
        <f>G1450</f>
        <v/>
      </c>
    </row>
    <row r="1451">
      <c r="A1451" s="68">
        <f>B1451&amp;TEXT(C1451,"0000")</f>
        <v/>
      </c>
      <c r="B1451" s="68" t="n">
        <v>200</v>
      </c>
      <c r="C1451" s="68" t="n">
        <v>548</v>
      </c>
      <c r="D1451" s="68" t="inlineStr">
        <is>
          <t>HpRatio</t>
        </is>
      </c>
      <c r="E1451" s="68">
        <f>INT(E1450*1.01)</f>
        <v/>
      </c>
      <c r="F1451" s="68" t="inlineStr">
        <is>
          <t>AtkRatio</t>
        </is>
      </c>
      <c r="G1451" s="68">
        <f>INT(G1450*1.01)</f>
        <v/>
      </c>
      <c r="H1451" s="68" t="inlineStr">
        <is>
          <t>DefRatio</t>
        </is>
      </c>
      <c r="I1451" s="68">
        <f>G1451</f>
        <v/>
      </c>
    </row>
    <row r="1452">
      <c r="A1452" s="68">
        <f>B1452&amp;TEXT(C1452,"0000")</f>
        <v/>
      </c>
      <c r="B1452" s="68" t="n">
        <v>200</v>
      </c>
      <c r="C1452" s="68" t="n">
        <v>549</v>
      </c>
      <c r="D1452" s="68" t="inlineStr">
        <is>
          <t>HpRatio</t>
        </is>
      </c>
      <c r="E1452" s="68">
        <f>INT(E1451*1.01)</f>
        <v/>
      </c>
      <c r="F1452" s="68" t="inlineStr">
        <is>
          <t>AtkRatio</t>
        </is>
      </c>
      <c r="G1452" s="68">
        <f>INT(G1451*1.01)</f>
        <v/>
      </c>
      <c r="H1452" s="68" t="inlineStr">
        <is>
          <t>DefRatio</t>
        </is>
      </c>
      <c r="I1452" s="68">
        <f>G1452</f>
        <v/>
      </c>
    </row>
    <row r="1453">
      <c r="A1453" s="68">
        <f>B1453&amp;TEXT(C1453,"0000")</f>
        <v/>
      </c>
      <c r="B1453" s="68" t="n">
        <v>200</v>
      </c>
      <c r="C1453" s="68" t="n">
        <v>550</v>
      </c>
      <c r="D1453" s="68" t="inlineStr">
        <is>
          <t>HpRatio</t>
        </is>
      </c>
      <c r="E1453" s="68">
        <f>INT(E1452*1.01)</f>
        <v/>
      </c>
      <c r="F1453" s="68" t="inlineStr">
        <is>
          <t>AtkRatio</t>
        </is>
      </c>
      <c r="G1453" s="68">
        <f>INT(G1452*1.01)</f>
        <v/>
      </c>
      <c r="H1453" s="68" t="inlineStr">
        <is>
          <t>DefRatio</t>
        </is>
      </c>
      <c r="I1453" s="68">
        <f>G1453</f>
        <v/>
      </c>
    </row>
    <row r="1454">
      <c r="A1454" s="68">
        <f>B1454&amp;TEXT(C1454,"0000")</f>
        <v/>
      </c>
      <c r="B1454" s="68" t="n">
        <v>200</v>
      </c>
      <c r="C1454" s="68" t="n">
        <v>551</v>
      </c>
      <c r="D1454" s="68" t="inlineStr">
        <is>
          <t>HpRatio</t>
        </is>
      </c>
      <c r="E1454" s="68">
        <f>INT(E1453*1.01)</f>
        <v/>
      </c>
      <c r="F1454" s="68" t="inlineStr">
        <is>
          <t>AtkRatio</t>
        </is>
      </c>
      <c r="G1454" s="68">
        <f>INT(G1453*1.01)</f>
        <v/>
      </c>
      <c r="H1454" s="68" t="inlineStr">
        <is>
          <t>DefRatio</t>
        </is>
      </c>
      <c r="I1454" s="68">
        <f>G1454</f>
        <v/>
      </c>
    </row>
    <row r="1455">
      <c r="A1455" s="68">
        <f>B1455&amp;TEXT(C1455,"0000")</f>
        <v/>
      </c>
      <c r="B1455" s="68" t="n">
        <v>200</v>
      </c>
      <c r="C1455" s="68" t="n">
        <v>552</v>
      </c>
      <c r="D1455" s="68" t="inlineStr">
        <is>
          <t>HpRatio</t>
        </is>
      </c>
      <c r="E1455" s="68">
        <f>INT(E1454*1.01)</f>
        <v/>
      </c>
      <c r="F1455" s="68" t="inlineStr">
        <is>
          <t>AtkRatio</t>
        </is>
      </c>
      <c r="G1455" s="68">
        <f>INT(G1454*1.01)</f>
        <v/>
      </c>
      <c r="H1455" s="68" t="inlineStr">
        <is>
          <t>DefRatio</t>
        </is>
      </c>
      <c r="I1455" s="68">
        <f>G1455</f>
        <v/>
      </c>
    </row>
    <row r="1456">
      <c r="A1456" s="68">
        <f>B1456&amp;TEXT(C1456,"0000")</f>
        <v/>
      </c>
      <c r="B1456" s="68" t="n">
        <v>200</v>
      </c>
      <c r="C1456" s="68" t="n">
        <v>553</v>
      </c>
      <c r="D1456" s="68" t="inlineStr">
        <is>
          <t>HpRatio</t>
        </is>
      </c>
      <c r="E1456" s="68">
        <f>INT(E1455*1.01)</f>
        <v/>
      </c>
      <c r="F1456" s="68" t="inlineStr">
        <is>
          <t>AtkRatio</t>
        </is>
      </c>
      <c r="G1456" s="68">
        <f>INT(G1455*1.01)</f>
        <v/>
      </c>
      <c r="H1456" s="68" t="inlineStr">
        <is>
          <t>DefRatio</t>
        </is>
      </c>
      <c r="I1456" s="68">
        <f>G1456</f>
        <v/>
      </c>
    </row>
    <row r="1457">
      <c r="A1457" s="68">
        <f>B1457&amp;TEXT(C1457,"0000")</f>
        <v/>
      </c>
      <c r="B1457" s="68" t="n">
        <v>200</v>
      </c>
      <c r="C1457" s="68" t="n">
        <v>554</v>
      </c>
      <c r="D1457" s="68" t="inlineStr">
        <is>
          <t>HpRatio</t>
        </is>
      </c>
      <c r="E1457" s="68">
        <f>INT(E1456*1.01)</f>
        <v/>
      </c>
      <c r="F1457" s="68" t="inlineStr">
        <is>
          <t>AtkRatio</t>
        </is>
      </c>
      <c r="G1457" s="68">
        <f>INT(G1456*1.01)</f>
        <v/>
      </c>
      <c r="H1457" s="68" t="inlineStr">
        <is>
          <t>DefRatio</t>
        </is>
      </c>
      <c r="I1457" s="68">
        <f>G1457</f>
        <v/>
      </c>
    </row>
    <row r="1458">
      <c r="A1458" s="68">
        <f>B1458&amp;TEXT(C1458,"0000")</f>
        <v/>
      </c>
      <c r="B1458" s="68" t="n">
        <v>200</v>
      </c>
      <c r="C1458" s="68" t="n">
        <v>555</v>
      </c>
      <c r="D1458" s="68" t="inlineStr">
        <is>
          <t>HpRatio</t>
        </is>
      </c>
      <c r="E1458" s="68">
        <f>INT(E1457*1.01)</f>
        <v/>
      </c>
      <c r="F1458" s="68" t="inlineStr">
        <is>
          <t>AtkRatio</t>
        </is>
      </c>
      <c r="G1458" s="68">
        <f>INT(G1457*1.01)</f>
        <v/>
      </c>
      <c r="H1458" s="68" t="inlineStr">
        <is>
          <t>DefRatio</t>
        </is>
      </c>
      <c r="I1458" s="68">
        <f>G1458</f>
        <v/>
      </c>
    </row>
    <row r="1459">
      <c r="A1459" s="68">
        <f>B1459&amp;TEXT(C1459,"0000")</f>
        <v/>
      </c>
      <c r="B1459" s="68" t="n">
        <v>200</v>
      </c>
      <c r="C1459" s="68" t="n">
        <v>556</v>
      </c>
      <c r="D1459" s="68" t="inlineStr">
        <is>
          <t>HpRatio</t>
        </is>
      </c>
      <c r="E1459" s="68">
        <f>INT(E1458*1.01)</f>
        <v/>
      </c>
      <c r="F1459" s="68" t="inlineStr">
        <is>
          <t>AtkRatio</t>
        </is>
      </c>
      <c r="G1459" s="68">
        <f>INT(G1458*1.01)</f>
        <v/>
      </c>
      <c r="H1459" s="68" t="inlineStr">
        <is>
          <t>DefRatio</t>
        </is>
      </c>
      <c r="I1459" s="68">
        <f>G1459</f>
        <v/>
      </c>
    </row>
    <row r="1460">
      <c r="A1460" s="68">
        <f>B1460&amp;TEXT(C1460,"0000")</f>
        <v/>
      </c>
      <c r="B1460" s="68" t="n">
        <v>200</v>
      </c>
      <c r="C1460" s="68" t="n">
        <v>557</v>
      </c>
      <c r="D1460" s="68" t="inlineStr">
        <is>
          <t>HpRatio</t>
        </is>
      </c>
      <c r="E1460" s="68">
        <f>INT(E1459*1.01)</f>
        <v/>
      </c>
      <c r="F1460" s="68" t="inlineStr">
        <is>
          <t>AtkRatio</t>
        </is>
      </c>
      <c r="G1460" s="68">
        <f>INT(G1459*1.01)</f>
        <v/>
      </c>
      <c r="H1460" s="68" t="inlineStr">
        <is>
          <t>DefRatio</t>
        </is>
      </c>
      <c r="I1460" s="68">
        <f>G1460</f>
        <v/>
      </c>
    </row>
    <row r="1461">
      <c r="A1461" s="68">
        <f>B1461&amp;TEXT(C1461,"0000")</f>
        <v/>
      </c>
      <c r="B1461" s="68" t="n">
        <v>200</v>
      </c>
      <c r="C1461" s="68" t="n">
        <v>558</v>
      </c>
      <c r="D1461" s="68" t="inlineStr">
        <is>
          <t>HpRatio</t>
        </is>
      </c>
      <c r="E1461" s="68">
        <f>INT(E1460*1.01)</f>
        <v/>
      </c>
      <c r="F1461" s="68" t="inlineStr">
        <is>
          <t>AtkRatio</t>
        </is>
      </c>
      <c r="G1461" s="68">
        <f>INT(G1460*1.01)</f>
        <v/>
      </c>
      <c r="H1461" s="68" t="inlineStr">
        <is>
          <t>DefRatio</t>
        </is>
      </c>
      <c r="I1461" s="68">
        <f>G1461</f>
        <v/>
      </c>
    </row>
    <row r="1462">
      <c r="A1462" s="68">
        <f>B1462&amp;TEXT(C1462,"0000")</f>
        <v/>
      </c>
      <c r="B1462" s="68" t="n">
        <v>200</v>
      </c>
      <c r="C1462" s="68" t="n">
        <v>559</v>
      </c>
      <c r="D1462" s="68" t="inlineStr">
        <is>
          <t>HpRatio</t>
        </is>
      </c>
      <c r="E1462" s="68">
        <f>INT(E1461*1.01)</f>
        <v/>
      </c>
      <c r="F1462" s="68" t="inlineStr">
        <is>
          <t>AtkRatio</t>
        </is>
      </c>
      <c r="G1462" s="68">
        <f>INT(G1461*1.01)</f>
        <v/>
      </c>
      <c r="H1462" s="68" t="inlineStr">
        <is>
          <t>DefRatio</t>
        </is>
      </c>
      <c r="I1462" s="68">
        <f>G1462</f>
        <v/>
      </c>
    </row>
    <row r="1463">
      <c r="A1463" s="68">
        <f>B1463&amp;TEXT(C1463,"0000")</f>
        <v/>
      </c>
      <c r="B1463" s="68" t="n">
        <v>200</v>
      </c>
      <c r="C1463" s="68" t="n">
        <v>560</v>
      </c>
      <c r="D1463" s="68" t="inlineStr">
        <is>
          <t>HpRatio</t>
        </is>
      </c>
      <c r="E1463" s="68">
        <f>INT(E1462*1.01)</f>
        <v/>
      </c>
      <c r="F1463" s="68" t="inlineStr">
        <is>
          <t>AtkRatio</t>
        </is>
      </c>
      <c r="G1463" s="68">
        <f>INT(G1462*1.01)</f>
        <v/>
      </c>
      <c r="H1463" s="68" t="inlineStr">
        <is>
          <t>DefRatio</t>
        </is>
      </c>
      <c r="I1463" s="68">
        <f>G1463</f>
        <v/>
      </c>
    </row>
    <row r="1464">
      <c r="A1464" s="68">
        <f>B1464&amp;TEXT(C1464,"0000")</f>
        <v/>
      </c>
      <c r="B1464" s="68" t="n">
        <v>200</v>
      </c>
      <c r="C1464" s="68" t="n">
        <v>561</v>
      </c>
      <c r="D1464" s="68" t="inlineStr">
        <is>
          <t>HpRatio</t>
        </is>
      </c>
      <c r="E1464" s="68">
        <f>INT(E1463*1.01)</f>
        <v/>
      </c>
      <c r="F1464" s="68" t="inlineStr">
        <is>
          <t>AtkRatio</t>
        </is>
      </c>
      <c r="G1464" s="68">
        <f>INT(G1463*1.01)</f>
        <v/>
      </c>
      <c r="H1464" s="68" t="inlineStr">
        <is>
          <t>DefRatio</t>
        </is>
      </c>
      <c r="I1464" s="68">
        <f>G1464</f>
        <v/>
      </c>
    </row>
    <row r="1465">
      <c r="A1465" s="68">
        <f>B1465&amp;TEXT(C1465,"0000")</f>
        <v/>
      </c>
      <c r="B1465" s="68" t="n">
        <v>200</v>
      </c>
      <c r="C1465" s="68" t="n">
        <v>562</v>
      </c>
      <c r="D1465" s="68" t="inlineStr">
        <is>
          <t>HpRatio</t>
        </is>
      </c>
      <c r="E1465" s="68">
        <f>INT(E1464*1.01)</f>
        <v/>
      </c>
      <c r="F1465" s="68" t="inlineStr">
        <is>
          <t>AtkRatio</t>
        </is>
      </c>
      <c r="G1465" s="68">
        <f>INT(G1464*1.01)</f>
        <v/>
      </c>
      <c r="H1465" s="68" t="inlineStr">
        <is>
          <t>DefRatio</t>
        </is>
      </c>
      <c r="I1465" s="68">
        <f>G1465</f>
        <v/>
      </c>
    </row>
    <row r="1466">
      <c r="A1466" s="68">
        <f>B1466&amp;TEXT(C1466,"0000")</f>
        <v/>
      </c>
      <c r="B1466" s="68" t="n">
        <v>200</v>
      </c>
      <c r="C1466" s="68" t="n">
        <v>563</v>
      </c>
      <c r="D1466" s="68" t="inlineStr">
        <is>
          <t>HpRatio</t>
        </is>
      </c>
      <c r="E1466" s="68">
        <f>INT(E1465*1.01)</f>
        <v/>
      </c>
      <c r="F1466" s="68" t="inlineStr">
        <is>
          <t>AtkRatio</t>
        </is>
      </c>
      <c r="G1466" s="68">
        <f>INT(G1465*1.01)</f>
        <v/>
      </c>
      <c r="H1466" s="68" t="inlineStr">
        <is>
          <t>DefRatio</t>
        </is>
      </c>
      <c r="I1466" s="68">
        <f>G1466</f>
        <v/>
      </c>
    </row>
    <row r="1467">
      <c r="A1467" s="68">
        <f>B1467&amp;TEXT(C1467,"0000")</f>
        <v/>
      </c>
      <c r="B1467" s="68" t="n">
        <v>200</v>
      </c>
      <c r="C1467" s="68" t="n">
        <v>564</v>
      </c>
      <c r="D1467" s="68" t="inlineStr">
        <is>
          <t>HpRatio</t>
        </is>
      </c>
      <c r="E1467" s="68">
        <f>INT(E1466*1.01)</f>
        <v/>
      </c>
      <c r="F1467" s="68" t="inlineStr">
        <is>
          <t>AtkRatio</t>
        </is>
      </c>
      <c r="G1467" s="68">
        <f>INT(G1466*1.01)</f>
        <v/>
      </c>
      <c r="H1467" s="68" t="inlineStr">
        <is>
          <t>DefRatio</t>
        </is>
      </c>
      <c r="I1467" s="68">
        <f>G1467</f>
        <v/>
      </c>
    </row>
    <row r="1468">
      <c r="A1468" s="68">
        <f>B1468&amp;TEXT(C1468,"0000")</f>
        <v/>
      </c>
      <c r="B1468" s="68" t="n">
        <v>200</v>
      </c>
      <c r="C1468" s="68" t="n">
        <v>565</v>
      </c>
      <c r="D1468" s="68" t="inlineStr">
        <is>
          <t>HpRatio</t>
        </is>
      </c>
      <c r="E1468" s="68">
        <f>INT(E1467*1.01)</f>
        <v/>
      </c>
      <c r="F1468" s="68" t="inlineStr">
        <is>
          <t>AtkRatio</t>
        </is>
      </c>
      <c r="G1468" s="68">
        <f>INT(G1467*1.01)</f>
        <v/>
      </c>
      <c r="H1468" s="68" t="inlineStr">
        <is>
          <t>DefRatio</t>
        </is>
      </c>
      <c r="I1468" s="68">
        <f>G1468</f>
        <v/>
      </c>
    </row>
    <row r="1469">
      <c r="A1469" s="68">
        <f>B1469&amp;TEXT(C1469,"0000")</f>
        <v/>
      </c>
      <c r="B1469" s="68" t="n">
        <v>200</v>
      </c>
      <c r="C1469" s="68" t="n">
        <v>566</v>
      </c>
      <c r="D1469" s="68" t="inlineStr">
        <is>
          <t>HpRatio</t>
        </is>
      </c>
      <c r="E1469" s="68">
        <f>INT(E1468*1.01)</f>
        <v/>
      </c>
      <c r="F1469" s="68" t="inlineStr">
        <is>
          <t>AtkRatio</t>
        </is>
      </c>
      <c r="G1469" s="68">
        <f>INT(G1468*1.01)</f>
        <v/>
      </c>
      <c r="H1469" s="68" t="inlineStr">
        <is>
          <t>DefRatio</t>
        </is>
      </c>
      <c r="I1469" s="68">
        <f>G1469</f>
        <v/>
      </c>
    </row>
    <row r="1470">
      <c r="A1470" s="68">
        <f>B1470&amp;TEXT(C1470,"0000")</f>
        <v/>
      </c>
      <c r="B1470" s="68" t="n">
        <v>200</v>
      </c>
      <c r="C1470" s="68" t="n">
        <v>567</v>
      </c>
      <c r="D1470" s="68" t="inlineStr">
        <is>
          <t>HpRatio</t>
        </is>
      </c>
      <c r="E1470" s="68">
        <f>INT(E1469*1.01)</f>
        <v/>
      </c>
      <c r="F1470" s="68" t="inlineStr">
        <is>
          <t>AtkRatio</t>
        </is>
      </c>
      <c r="G1470" s="68">
        <f>INT(G1469*1.01)</f>
        <v/>
      </c>
      <c r="H1470" s="68" t="inlineStr">
        <is>
          <t>DefRatio</t>
        </is>
      </c>
      <c r="I1470" s="68">
        <f>G1470</f>
        <v/>
      </c>
    </row>
    <row r="1471">
      <c r="A1471" s="68">
        <f>B1471&amp;TEXT(C1471,"0000")</f>
        <v/>
      </c>
      <c r="B1471" s="68" t="n">
        <v>200</v>
      </c>
      <c r="C1471" s="68" t="n">
        <v>568</v>
      </c>
      <c r="D1471" s="68" t="inlineStr">
        <is>
          <t>HpRatio</t>
        </is>
      </c>
      <c r="E1471" s="68">
        <f>INT(E1470*1.01)</f>
        <v/>
      </c>
      <c r="F1471" s="68" t="inlineStr">
        <is>
          <t>AtkRatio</t>
        </is>
      </c>
      <c r="G1471" s="68">
        <f>INT(G1470*1.01)</f>
        <v/>
      </c>
      <c r="H1471" s="68" t="inlineStr">
        <is>
          <t>DefRatio</t>
        </is>
      </c>
      <c r="I1471" s="68">
        <f>G1471</f>
        <v/>
      </c>
    </row>
    <row r="1472">
      <c r="A1472" s="68">
        <f>B1472&amp;TEXT(C1472,"0000")</f>
        <v/>
      </c>
      <c r="B1472" s="68" t="n">
        <v>200</v>
      </c>
      <c r="C1472" s="68" t="n">
        <v>569</v>
      </c>
      <c r="D1472" s="68" t="inlineStr">
        <is>
          <t>HpRatio</t>
        </is>
      </c>
      <c r="E1472" s="68">
        <f>INT(E1471*1.01)</f>
        <v/>
      </c>
      <c r="F1472" s="68" t="inlineStr">
        <is>
          <t>AtkRatio</t>
        </is>
      </c>
      <c r="G1472" s="68">
        <f>INT(G1471*1.01)</f>
        <v/>
      </c>
      <c r="H1472" s="68" t="inlineStr">
        <is>
          <t>DefRatio</t>
        </is>
      </c>
      <c r="I1472" s="68">
        <f>G1472</f>
        <v/>
      </c>
    </row>
    <row r="1473">
      <c r="A1473" s="68">
        <f>B1473&amp;TEXT(C1473,"0000")</f>
        <v/>
      </c>
      <c r="B1473" s="68" t="n">
        <v>200</v>
      </c>
      <c r="C1473" s="68" t="n">
        <v>570</v>
      </c>
      <c r="D1473" s="68" t="inlineStr">
        <is>
          <t>HpRatio</t>
        </is>
      </c>
      <c r="E1473" s="68">
        <f>INT(E1472*1.01)</f>
        <v/>
      </c>
      <c r="F1473" s="68" t="inlineStr">
        <is>
          <t>AtkRatio</t>
        </is>
      </c>
      <c r="G1473" s="68">
        <f>INT(G1472*1.01)</f>
        <v/>
      </c>
      <c r="H1473" s="68" t="inlineStr">
        <is>
          <t>DefRatio</t>
        </is>
      </c>
      <c r="I1473" s="68">
        <f>G1473</f>
        <v/>
      </c>
    </row>
    <row r="1474">
      <c r="A1474" s="68">
        <f>B1474&amp;TEXT(C1474,"0000")</f>
        <v/>
      </c>
      <c r="B1474" s="68" t="n">
        <v>200</v>
      </c>
      <c r="C1474" s="68" t="n">
        <v>571</v>
      </c>
      <c r="D1474" s="68" t="inlineStr">
        <is>
          <t>HpRatio</t>
        </is>
      </c>
      <c r="E1474" s="68">
        <f>INT(E1473*1.01)</f>
        <v/>
      </c>
      <c r="F1474" s="68" t="inlineStr">
        <is>
          <t>AtkRatio</t>
        </is>
      </c>
      <c r="G1474" s="68">
        <f>INT(G1473*1.01)</f>
        <v/>
      </c>
      <c r="H1474" s="68" t="inlineStr">
        <is>
          <t>DefRatio</t>
        </is>
      </c>
      <c r="I1474" s="68">
        <f>G1474</f>
        <v/>
      </c>
    </row>
    <row r="1475">
      <c r="A1475" s="68">
        <f>B1475&amp;TEXT(C1475,"0000")</f>
        <v/>
      </c>
      <c r="B1475" s="68" t="n">
        <v>200</v>
      </c>
      <c r="C1475" s="68" t="n">
        <v>572</v>
      </c>
      <c r="D1475" s="68" t="inlineStr">
        <is>
          <t>HpRatio</t>
        </is>
      </c>
      <c r="E1475" s="68">
        <f>INT(E1474*1.01)</f>
        <v/>
      </c>
      <c r="F1475" s="68" t="inlineStr">
        <is>
          <t>AtkRatio</t>
        </is>
      </c>
      <c r="G1475" s="68">
        <f>INT(G1474*1.01)</f>
        <v/>
      </c>
      <c r="H1475" s="68" t="inlineStr">
        <is>
          <t>DefRatio</t>
        </is>
      </c>
      <c r="I1475" s="68">
        <f>G1475</f>
        <v/>
      </c>
    </row>
    <row r="1476">
      <c r="A1476" s="68">
        <f>B1476&amp;TEXT(C1476,"0000")</f>
        <v/>
      </c>
      <c r="B1476" s="68" t="n">
        <v>200</v>
      </c>
      <c r="C1476" s="68" t="n">
        <v>573</v>
      </c>
      <c r="D1476" s="68" t="inlineStr">
        <is>
          <t>HpRatio</t>
        </is>
      </c>
      <c r="E1476" s="68">
        <f>INT(E1475*1.01)</f>
        <v/>
      </c>
      <c r="F1476" s="68" t="inlineStr">
        <is>
          <t>AtkRatio</t>
        </is>
      </c>
      <c r="G1476" s="68">
        <f>INT(G1475*1.01)</f>
        <v/>
      </c>
      <c r="H1476" s="68" t="inlineStr">
        <is>
          <t>DefRatio</t>
        </is>
      </c>
      <c r="I1476" s="68">
        <f>G1476</f>
        <v/>
      </c>
    </row>
    <row r="1477">
      <c r="A1477" s="68">
        <f>B1477&amp;TEXT(C1477,"0000")</f>
        <v/>
      </c>
      <c r="B1477" s="68" t="n">
        <v>200</v>
      </c>
      <c r="C1477" s="68" t="n">
        <v>574</v>
      </c>
      <c r="D1477" s="68" t="inlineStr">
        <is>
          <t>HpRatio</t>
        </is>
      </c>
      <c r="E1477" s="68">
        <f>INT(E1476*1.01)</f>
        <v/>
      </c>
      <c r="F1477" s="68" t="inlineStr">
        <is>
          <t>AtkRatio</t>
        </is>
      </c>
      <c r="G1477" s="68">
        <f>INT(G1476*1.01)</f>
        <v/>
      </c>
      <c r="H1477" s="68" t="inlineStr">
        <is>
          <t>DefRatio</t>
        </is>
      </c>
      <c r="I1477" s="68">
        <f>G1477</f>
        <v/>
      </c>
    </row>
    <row r="1478">
      <c r="A1478" s="68">
        <f>B1478&amp;TEXT(C1478,"0000")</f>
        <v/>
      </c>
      <c r="B1478" s="68" t="n">
        <v>200</v>
      </c>
      <c r="C1478" s="68" t="n">
        <v>575</v>
      </c>
      <c r="D1478" s="68" t="inlineStr">
        <is>
          <t>HpRatio</t>
        </is>
      </c>
      <c r="E1478" s="68">
        <f>INT(E1477*1.01)</f>
        <v/>
      </c>
      <c r="F1478" s="68" t="inlineStr">
        <is>
          <t>AtkRatio</t>
        </is>
      </c>
      <c r="G1478" s="68">
        <f>INT(G1477*1.01)</f>
        <v/>
      </c>
      <c r="H1478" s="68" t="inlineStr">
        <is>
          <t>DefRatio</t>
        </is>
      </c>
      <c r="I1478" s="68">
        <f>G1478</f>
        <v/>
      </c>
    </row>
    <row r="1479">
      <c r="A1479" s="68">
        <f>B1479&amp;TEXT(C1479,"0000")</f>
        <v/>
      </c>
      <c r="B1479" s="68" t="n">
        <v>200</v>
      </c>
      <c r="C1479" s="68" t="n">
        <v>576</v>
      </c>
      <c r="D1479" s="68" t="inlineStr">
        <is>
          <t>HpRatio</t>
        </is>
      </c>
      <c r="E1479" s="68">
        <f>INT(E1478*1.01)</f>
        <v/>
      </c>
      <c r="F1479" s="68" t="inlineStr">
        <is>
          <t>AtkRatio</t>
        </is>
      </c>
      <c r="G1479" s="68">
        <f>INT(G1478*1.01)</f>
        <v/>
      </c>
      <c r="H1479" s="68" t="inlineStr">
        <is>
          <t>DefRatio</t>
        </is>
      </c>
      <c r="I1479" s="68">
        <f>G1479</f>
        <v/>
      </c>
    </row>
    <row r="1480">
      <c r="A1480" s="68">
        <f>B1480&amp;TEXT(C1480,"0000")</f>
        <v/>
      </c>
      <c r="B1480" s="68" t="n">
        <v>200</v>
      </c>
      <c r="C1480" s="68" t="n">
        <v>577</v>
      </c>
      <c r="D1480" s="68" t="inlineStr">
        <is>
          <t>HpRatio</t>
        </is>
      </c>
      <c r="E1480" s="68">
        <f>INT(E1479*1.01)</f>
        <v/>
      </c>
      <c r="F1480" s="68" t="inlineStr">
        <is>
          <t>AtkRatio</t>
        </is>
      </c>
      <c r="G1480" s="68">
        <f>INT(G1479*1.01)</f>
        <v/>
      </c>
      <c r="H1480" s="68" t="inlineStr">
        <is>
          <t>DefRatio</t>
        </is>
      </c>
      <c r="I1480" s="68">
        <f>G1480</f>
        <v/>
      </c>
    </row>
    <row r="1481">
      <c r="A1481" s="68">
        <f>B1481&amp;TEXT(C1481,"0000")</f>
        <v/>
      </c>
      <c r="B1481" s="68" t="n">
        <v>200</v>
      </c>
      <c r="C1481" s="68" t="n">
        <v>578</v>
      </c>
      <c r="D1481" s="68" t="inlineStr">
        <is>
          <t>HpRatio</t>
        </is>
      </c>
      <c r="E1481" s="68">
        <f>INT(E1480*1.01)</f>
        <v/>
      </c>
      <c r="F1481" s="68" t="inlineStr">
        <is>
          <t>AtkRatio</t>
        </is>
      </c>
      <c r="G1481" s="68">
        <f>INT(G1480*1.01)</f>
        <v/>
      </c>
      <c r="H1481" s="68" t="inlineStr">
        <is>
          <t>DefRatio</t>
        </is>
      </c>
      <c r="I1481" s="68">
        <f>G1481</f>
        <v/>
      </c>
    </row>
    <row r="1482">
      <c r="A1482" s="68">
        <f>B1482&amp;TEXT(C1482,"0000")</f>
        <v/>
      </c>
      <c r="B1482" s="68" t="n">
        <v>200</v>
      </c>
      <c r="C1482" s="68" t="n">
        <v>579</v>
      </c>
      <c r="D1482" s="68" t="inlineStr">
        <is>
          <t>HpRatio</t>
        </is>
      </c>
      <c r="E1482" s="68">
        <f>INT(E1481*1.01)</f>
        <v/>
      </c>
      <c r="F1482" s="68" t="inlineStr">
        <is>
          <t>AtkRatio</t>
        </is>
      </c>
      <c r="G1482" s="68">
        <f>INT(G1481*1.01)</f>
        <v/>
      </c>
      <c r="H1482" s="68" t="inlineStr">
        <is>
          <t>DefRatio</t>
        </is>
      </c>
      <c r="I1482" s="68">
        <f>G1482</f>
        <v/>
      </c>
    </row>
    <row r="1483">
      <c r="A1483" s="68">
        <f>B1483&amp;TEXT(C1483,"0000")</f>
        <v/>
      </c>
      <c r="B1483" s="68" t="n">
        <v>200</v>
      </c>
      <c r="C1483" s="68" t="n">
        <v>580</v>
      </c>
      <c r="D1483" s="68" t="inlineStr">
        <is>
          <t>HpRatio</t>
        </is>
      </c>
      <c r="E1483" s="68">
        <f>INT(E1482*1.01)</f>
        <v/>
      </c>
      <c r="F1483" s="68" t="inlineStr">
        <is>
          <t>AtkRatio</t>
        </is>
      </c>
      <c r="G1483" s="68">
        <f>INT(G1482*1.01)</f>
        <v/>
      </c>
      <c r="H1483" s="68" t="inlineStr">
        <is>
          <t>DefRatio</t>
        </is>
      </c>
      <c r="I1483" s="68">
        <f>G1483</f>
        <v/>
      </c>
    </row>
    <row r="1484">
      <c r="A1484" s="68">
        <f>B1484&amp;TEXT(C1484,"0000")</f>
        <v/>
      </c>
      <c r="B1484" s="68" t="n">
        <v>200</v>
      </c>
      <c r="C1484" s="68" t="n">
        <v>581</v>
      </c>
      <c r="D1484" s="68" t="inlineStr">
        <is>
          <t>HpRatio</t>
        </is>
      </c>
      <c r="E1484" s="68">
        <f>INT(E1483*1.01)</f>
        <v/>
      </c>
      <c r="F1484" s="68" t="inlineStr">
        <is>
          <t>AtkRatio</t>
        </is>
      </c>
      <c r="G1484" s="68">
        <f>INT(G1483*1.01)</f>
        <v/>
      </c>
      <c r="H1484" s="68" t="inlineStr">
        <is>
          <t>DefRatio</t>
        </is>
      </c>
      <c r="I1484" s="68">
        <f>G1484</f>
        <v/>
      </c>
    </row>
    <row r="1485">
      <c r="A1485" s="68">
        <f>B1485&amp;TEXT(C1485,"0000")</f>
        <v/>
      </c>
      <c r="B1485" s="68" t="n">
        <v>200</v>
      </c>
      <c r="C1485" s="68" t="n">
        <v>582</v>
      </c>
      <c r="D1485" s="68" t="inlineStr">
        <is>
          <t>HpRatio</t>
        </is>
      </c>
      <c r="E1485" s="68">
        <f>INT(E1484*1.01)</f>
        <v/>
      </c>
      <c r="F1485" s="68" t="inlineStr">
        <is>
          <t>AtkRatio</t>
        </is>
      </c>
      <c r="G1485" s="68">
        <f>INT(G1484*1.01)</f>
        <v/>
      </c>
      <c r="H1485" s="68" t="inlineStr">
        <is>
          <t>DefRatio</t>
        </is>
      </c>
      <c r="I1485" s="68">
        <f>G1485</f>
        <v/>
      </c>
    </row>
    <row r="1486">
      <c r="A1486" s="68">
        <f>B1486&amp;TEXT(C1486,"0000")</f>
        <v/>
      </c>
      <c r="B1486" s="68" t="n">
        <v>200</v>
      </c>
      <c r="C1486" s="68" t="n">
        <v>583</v>
      </c>
      <c r="D1486" s="68" t="inlineStr">
        <is>
          <t>HpRatio</t>
        </is>
      </c>
      <c r="E1486" s="68">
        <f>INT(E1485*1.01)</f>
        <v/>
      </c>
      <c r="F1486" s="68" t="inlineStr">
        <is>
          <t>AtkRatio</t>
        </is>
      </c>
      <c r="G1486" s="68">
        <f>INT(G1485*1.01)</f>
        <v/>
      </c>
      <c r="H1486" s="68" t="inlineStr">
        <is>
          <t>DefRatio</t>
        </is>
      </c>
      <c r="I1486" s="68">
        <f>G1486</f>
        <v/>
      </c>
    </row>
    <row r="1487">
      <c r="A1487" s="68">
        <f>B1487&amp;TEXT(C1487,"0000")</f>
        <v/>
      </c>
      <c r="B1487" s="68" t="n">
        <v>200</v>
      </c>
      <c r="C1487" s="68" t="n">
        <v>584</v>
      </c>
      <c r="D1487" s="68" t="inlineStr">
        <is>
          <t>HpRatio</t>
        </is>
      </c>
      <c r="E1487" s="68">
        <f>INT(E1486*1.01)</f>
        <v/>
      </c>
      <c r="F1487" s="68" t="inlineStr">
        <is>
          <t>AtkRatio</t>
        </is>
      </c>
      <c r="G1487" s="68">
        <f>INT(G1486*1.01)</f>
        <v/>
      </c>
      <c r="H1487" s="68" t="inlineStr">
        <is>
          <t>DefRatio</t>
        </is>
      </c>
      <c r="I1487" s="68">
        <f>G1487</f>
        <v/>
      </c>
    </row>
    <row r="1488">
      <c r="A1488" s="68">
        <f>B1488&amp;TEXT(C1488,"0000")</f>
        <v/>
      </c>
      <c r="B1488" s="68" t="n">
        <v>200</v>
      </c>
      <c r="C1488" s="68" t="n">
        <v>585</v>
      </c>
      <c r="D1488" s="68" t="inlineStr">
        <is>
          <t>HpRatio</t>
        </is>
      </c>
      <c r="E1488" s="68">
        <f>INT(E1487*1.01)</f>
        <v/>
      </c>
      <c r="F1488" s="68" t="inlineStr">
        <is>
          <t>AtkRatio</t>
        </is>
      </c>
      <c r="G1488" s="68">
        <f>INT(G1487*1.01)</f>
        <v/>
      </c>
      <c r="H1488" s="68" t="inlineStr">
        <is>
          <t>DefRatio</t>
        </is>
      </c>
      <c r="I1488" s="68">
        <f>G1488</f>
        <v/>
      </c>
    </row>
    <row r="1489">
      <c r="A1489" s="68">
        <f>B1489&amp;TEXT(C1489,"0000")</f>
        <v/>
      </c>
      <c r="B1489" s="68" t="n">
        <v>200</v>
      </c>
      <c r="C1489" s="68" t="n">
        <v>586</v>
      </c>
      <c r="D1489" s="68" t="inlineStr">
        <is>
          <t>HpRatio</t>
        </is>
      </c>
      <c r="E1489" s="68">
        <f>INT(E1488*1.01)</f>
        <v/>
      </c>
      <c r="F1489" s="68" t="inlineStr">
        <is>
          <t>AtkRatio</t>
        </is>
      </c>
      <c r="G1489" s="68">
        <f>INT(G1488*1.01)</f>
        <v/>
      </c>
      <c r="H1489" s="68" t="inlineStr">
        <is>
          <t>DefRatio</t>
        </is>
      </c>
      <c r="I1489" s="68">
        <f>G1489</f>
        <v/>
      </c>
    </row>
    <row r="1490">
      <c r="A1490" s="68">
        <f>B1490&amp;TEXT(C1490,"0000")</f>
        <v/>
      </c>
      <c r="B1490" s="68" t="n">
        <v>200</v>
      </c>
      <c r="C1490" s="68" t="n">
        <v>587</v>
      </c>
      <c r="D1490" s="68" t="inlineStr">
        <is>
          <t>HpRatio</t>
        </is>
      </c>
      <c r="E1490" s="68">
        <f>INT(E1489*1.01)</f>
        <v/>
      </c>
      <c r="F1490" s="68" t="inlineStr">
        <is>
          <t>AtkRatio</t>
        </is>
      </c>
      <c r="G1490" s="68">
        <f>INT(G1489*1.01)</f>
        <v/>
      </c>
      <c r="H1490" s="68" t="inlineStr">
        <is>
          <t>DefRatio</t>
        </is>
      </c>
      <c r="I1490" s="68">
        <f>G1490</f>
        <v/>
      </c>
    </row>
    <row r="1491">
      <c r="A1491" s="68">
        <f>B1491&amp;TEXT(C1491,"0000")</f>
        <v/>
      </c>
      <c r="B1491" s="68" t="n">
        <v>200</v>
      </c>
      <c r="C1491" s="68" t="n">
        <v>588</v>
      </c>
      <c r="D1491" s="68" t="inlineStr">
        <is>
          <t>HpRatio</t>
        </is>
      </c>
      <c r="E1491" s="68">
        <f>INT(E1490*1.01)</f>
        <v/>
      </c>
      <c r="F1491" s="68" t="inlineStr">
        <is>
          <t>AtkRatio</t>
        </is>
      </c>
      <c r="G1491" s="68">
        <f>INT(G1490*1.01)</f>
        <v/>
      </c>
      <c r="H1491" s="68" t="inlineStr">
        <is>
          <t>DefRatio</t>
        </is>
      </c>
      <c r="I1491" s="68">
        <f>G1491</f>
        <v/>
      </c>
    </row>
    <row r="1492">
      <c r="A1492" s="68">
        <f>B1492&amp;TEXT(C1492,"0000")</f>
        <v/>
      </c>
      <c r="B1492" s="68" t="n">
        <v>200</v>
      </c>
      <c r="C1492" s="68" t="n">
        <v>589</v>
      </c>
      <c r="D1492" s="68" t="inlineStr">
        <is>
          <t>HpRatio</t>
        </is>
      </c>
      <c r="E1492" s="68">
        <f>INT(E1491*1.01)</f>
        <v/>
      </c>
      <c r="F1492" s="68" t="inlineStr">
        <is>
          <t>AtkRatio</t>
        </is>
      </c>
      <c r="G1492" s="68">
        <f>INT(G1491*1.01)</f>
        <v/>
      </c>
      <c r="H1492" s="68" t="inlineStr">
        <is>
          <t>DefRatio</t>
        </is>
      </c>
      <c r="I1492" s="68">
        <f>G1492</f>
        <v/>
      </c>
    </row>
    <row r="1493">
      <c r="A1493" s="68">
        <f>B1493&amp;TEXT(C1493,"0000")</f>
        <v/>
      </c>
      <c r="B1493" s="68" t="n">
        <v>200</v>
      </c>
      <c r="C1493" s="68" t="n">
        <v>590</v>
      </c>
      <c r="D1493" s="68" t="inlineStr">
        <is>
          <t>HpRatio</t>
        </is>
      </c>
      <c r="E1493" s="68">
        <f>INT(E1492*1.01)</f>
        <v/>
      </c>
      <c r="F1493" s="68" t="inlineStr">
        <is>
          <t>AtkRatio</t>
        </is>
      </c>
      <c r="G1493" s="68">
        <f>INT(G1492*1.01)</f>
        <v/>
      </c>
      <c r="H1493" s="68" t="inlineStr">
        <is>
          <t>DefRatio</t>
        </is>
      </c>
      <c r="I1493" s="68">
        <f>G1493</f>
        <v/>
      </c>
    </row>
    <row r="1494">
      <c r="A1494" s="68">
        <f>B1494&amp;TEXT(C1494,"0000")</f>
        <v/>
      </c>
      <c r="B1494" s="68" t="n">
        <v>200</v>
      </c>
      <c r="C1494" s="68" t="n">
        <v>591</v>
      </c>
      <c r="D1494" s="68" t="inlineStr">
        <is>
          <t>HpRatio</t>
        </is>
      </c>
      <c r="E1494" s="68">
        <f>INT(E1493*1.01)</f>
        <v/>
      </c>
      <c r="F1494" s="68" t="inlineStr">
        <is>
          <t>AtkRatio</t>
        </is>
      </c>
      <c r="G1494" s="68">
        <f>INT(G1493*1.01)</f>
        <v/>
      </c>
      <c r="H1494" s="68" t="inlineStr">
        <is>
          <t>DefRatio</t>
        </is>
      </c>
      <c r="I1494" s="68">
        <f>G1494</f>
        <v/>
      </c>
    </row>
    <row r="1495">
      <c r="A1495" s="68">
        <f>B1495&amp;TEXT(C1495,"0000")</f>
        <v/>
      </c>
      <c r="B1495" s="68" t="n">
        <v>200</v>
      </c>
      <c r="C1495" s="68" t="n">
        <v>592</v>
      </c>
      <c r="D1495" s="68" t="inlineStr">
        <is>
          <t>HpRatio</t>
        </is>
      </c>
      <c r="E1495" s="68">
        <f>INT(E1494*1.01)</f>
        <v/>
      </c>
      <c r="F1495" s="68" t="inlineStr">
        <is>
          <t>AtkRatio</t>
        </is>
      </c>
      <c r="G1495" s="68">
        <f>INT(G1494*1.01)</f>
        <v/>
      </c>
      <c r="H1495" s="68" t="inlineStr">
        <is>
          <t>DefRatio</t>
        </is>
      </c>
      <c r="I1495" s="68">
        <f>G1495</f>
        <v/>
      </c>
    </row>
    <row r="1496">
      <c r="A1496" s="68">
        <f>B1496&amp;TEXT(C1496,"0000")</f>
        <v/>
      </c>
      <c r="B1496" s="68" t="n">
        <v>200</v>
      </c>
      <c r="C1496" s="68" t="n">
        <v>593</v>
      </c>
      <c r="D1496" s="68" t="inlineStr">
        <is>
          <t>HpRatio</t>
        </is>
      </c>
      <c r="E1496" s="68">
        <f>INT(E1495*1.01)</f>
        <v/>
      </c>
      <c r="F1496" s="68" t="inlineStr">
        <is>
          <t>AtkRatio</t>
        </is>
      </c>
      <c r="G1496" s="68">
        <f>INT(G1495*1.01)</f>
        <v/>
      </c>
      <c r="H1496" s="68" t="inlineStr">
        <is>
          <t>DefRatio</t>
        </is>
      </c>
      <c r="I1496" s="68">
        <f>G1496</f>
        <v/>
      </c>
    </row>
    <row r="1497">
      <c r="A1497" s="68">
        <f>B1497&amp;TEXT(C1497,"0000")</f>
        <v/>
      </c>
      <c r="B1497" s="68" t="n">
        <v>200</v>
      </c>
      <c r="C1497" s="68" t="n">
        <v>594</v>
      </c>
      <c r="D1497" s="68" t="inlineStr">
        <is>
          <t>HpRatio</t>
        </is>
      </c>
      <c r="E1497" s="68">
        <f>INT(E1496*1.01)</f>
        <v/>
      </c>
      <c r="F1497" s="68" t="inlineStr">
        <is>
          <t>AtkRatio</t>
        </is>
      </c>
      <c r="G1497" s="68">
        <f>INT(G1496*1.01)</f>
        <v/>
      </c>
      <c r="H1497" s="68" t="inlineStr">
        <is>
          <t>DefRatio</t>
        </is>
      </c>
      <c r="I1497" s="68">
        <f>G1497</f>
        <v/>
      </c>
    </row>
    <row r="1498">
      <c r="A1498" s="68">
        <f>B1498&amp;TEXT(C1498,"0000")</f>
        <v/>
      </c>
      <c r="B1498" s="68" t="n">
        <v>200</v>
      </c>
      <c r="C1498" s="68" t="n">
        <v>595</v>
      </c>
      <c r="D1498" s="68" t="inlineStr">
        <is>
          <t>HpRatio</t>
        </is>
      </c>
      <c r="E1498" s="68">
        <f>INT(E1497*1.01)</f>
        <v/>
      </c>
      <c r="F1498" s="68" t="inlineStr">
        <is>
          <t>AtkRatio</t>
        </is>
      </c>
      <c r="G1498" s="68">
        <f>INT(G1497*1.01)</f>
        <v/>
      </c>
      <c r="H1498" s="68" t="inlineStr">
        <is>
          <t>DefRatio</t>
        </is>
      </c>
      <c r="I1498" s="68">
        <f>G1498</f>
        <v/>
      </c>
    </row>
    <row r="1499">
      <c r="A1499" s="68">
        <f>B1499&amp;TEXT(C1499,"0000")</f>
        <v/>
      </c>
      <c r="B1499" s="68" t="n">
        <v>200</v>
      </c>
      <c r="C1499" s="68" t="n">
        <v>596</v>
      </c>
      <c r="D1499" s="68" t="inlineStr">
        <is>
          <t>HpRatio</t>
        </is>
      </c>
      <c r="E1499" s="68">
        <f>INT(E1498*1.01)</f>
        <v/>
      </c>
      <c r="F1499" s="68" t="inlineStr">
        <is>
          <t>AtkRatio</t>
        </is>
      </c>
      <c r="G1499" s="68">
        <f>INT(G1498*1.01)</f>
        <v/>
      </c>
      <c r="H1499" s="68" t="inlineStr">
        <is>
          <t>DefRatio</t>
        </is>
      </c>
      <c r="I1499" s="68">
        <f>G1499</f>
        <v/>
      </c>
    </row>
    <row r="1500">
      <c r="A1500" s="68">
        <f>B1500&amp;TEXT(C1500,"0000")</f>
        <v/>
      </c>
      <c r="B1500" s="68" t="n">
        <v>200</v>
      </c>
      <c r="C1500" s="68" t="n">
        <v>597</v>
      </c>
      <c r="D1500" s="68" t="inlineStr">
        <is>
          <t>HpRatio</t>
        </is>
      </c>
      <c r="E1500" s="68">
        <f>INT(E1499*1.01)</f>
        <v/>
      </c>
      <c r="F1500" s="68" t="inlineStr">
        <is>
          <t>AtkRatio</t>
        </is>
      </c>
      <c r="G1500" s="68">
        <f>INT(G1499*1.01)</f>
        <v/>
      </c>
      <c r="H1500" s="68" t="inlineStr">
        <is>
          <t>DefRatio</t>
        </is>
      </c>
      <c r="I1500" s="68">
        <f>G1500</f>
        <v/>
      </c>
    </row>
    <row r="1501">
      <c r="A1501" s="68">
        <f>B1501&amp;TEXT(C1501,"0000")</f>
        <v/>
      </c>
      <c r="B1501" s="68" t="n">
        <v>200</v>
      </c>
      <c r="C1501" s="68" t="n">
        <v>598</v>
      </c>
      <c r="D1501" s="68" t="inlineStr">
        <is>
          <t>HpRatio</t>
        </is>
      </c>
      <c r="E1501" s="68">
        <f>INT(E1500*1.01)</f>
        <v/>
      </c>
      <c r="F1501" s="68" t="inlineStr">
        <is>
          <t>AtkRatio</t>
        </is>
      </c>
      <c r="G1501" s="68">
        <f>INT(G1500*1.01)</f>
        <v/>
      </c>
      <c r="H1501" s="68" t="inlineStr">
        <is>
          <t>DefRatio</t>
        </is>
      </c>
      <c r="I1501" s="68">
        <f>G1501</f>
        <v/>
      </c>
    </row>
    <row r="1502">
      <c r="A1502" s="68">
        <f>B1502&amp;TEXT(C1502,"0000")</f>
        <v/>
      </c>
      <c r="B1502" s="68" t="n">
        <v>200</v>
      </c>
      <c r="C1502" s="68" t="n">
        <v>599</v>
      </c>
      <c r="D1502" s="68" t="inlineStr">
        <is>
          <t>HpRatio</t>
        </is>
      </c>
      <c r="E1502" s="68">
        <f>INT(E1501*1.01)</f>
        <v/>
      </c>
      <c r="F1502" s="68" t="inlineStr">
        <is>
          <t>AtkRatio</t>
        </is>
      </c>
      <c r="G1502" s="68">
        <f>INT(G1501*1.01)</f>
        <v/>
      </c>
      <c r="H1502" s="68" t="inlineStr">
        <is>
          <t>DefRatio</t>
        </is>
      </c>
      <c r="I1502" s="68">
        <f>G1502</f>
        <v/>
      </c>
    </row>
    <row r="1503">
      <c r="A1503" s="68">
        <f>B1503&amp;TEXT(C1503,"0000")</f>
        <v/>
      </c>
      <c r="B1503" s="68" t="n">
        <v>200</v>
      </c>
      <c r="C1503" s="68" t="n">
        <v>600</v>
      </c>
      <c r="D1503" s="68" t="inlineStr">
        <is>
          <t>HpRatio</t>
        </is>
      </c>
      <c r="E1503" s="68">
        <f>INT(E1502*1.01)</f>
        <v/>
      </c>
      <c r="F1503" s="68" t="inlineStr">
        <is>
          <t>AtkRatio</t>
        </is>
      </c>
      <c r="G1503" s="68">
        <f>INT(G1502*1.01)</f>
        <v/>
      </c>
      <c r="H1503" s="68" t="inlineStr">
        <is>
          <t>DefRatio</t>
        </is>
      </c>
      <c r="I1503" s="68">
        <f>G1503</f>
        <v/>
      </c>
    </row>
    <row r="1504">
      <c r="A1504" s="68">
        <f>B1504&amp;TEXT(C1504,"0000")</f>
        <v/>
      </c>
      <c r="B1504" s="68" t="n">
        <v>200</v>
      </c>
      <c r="C1504" s="68" t="n">
        <v>601</v>
      </c>
      <c r="D1504" s="68" t="inlineStr">
        <is>
          <t>HpRatio</t>
        </is>
      </c>
      <c r="E1504" s="68">
        <f>INT(E1503*1.01)</f>
        <v/>
      </c>
      <c r="F1504" s="68" t="inlineStr">
        <is>
          <t>AtkRatio</t>
        </is>
      </c>
      <c r="G1504" s="68">
        <f>INT(G1503*1.01)</f>
        <v/>
      </c>
      <c r="H1504" s="68" t="inlineStr">
        <is>
          <t>DefRatio</t>
        </is>
      </c>
      <c r="I1504" s="68">
        <f>G1504</f>
        <v/>
      </c>
    </row>
    <row r="1505">
      <c r="A1505" s="68">
        <f>B1505&amp;TEXT(C1505,"0000")</f>
        <v/>
      </c>
      <c r="B1505" s="68" t="n">
        <v>200</v>
      </c>
      <c r="C1505" s="68" t="n">
        <v>602</v>
      </c>
      <c r="D1505" s="68" t="inlineStr">
        <is>
          <t>HpRatio</t>
        </is>
      </c>
      <c r="E1505" s="68">
        <f>INT(E1504*1.01)</f>
        <v/>
      </c>
      <c r="F1505" s="68" t="inlineStr">
        <is>
          <t>AtkRatio</t>
        </is>
      </c>
      <c r="G1505" s="68">
        <f>INT(G1504*1.01)</f>
        <v/>
      </c>
      <c r="H1505" s="68" t="inlineStr">
        <is>
          <t>DefRatio</t>
        </is>
      </c>
      <c r="I1505" s="68">
        <f>G1505</f>
        <v/>
      </c>
    </row>
    <row r="1506">
      <c r="A1506" s="68">
        <f>B1506&amp;TEXT(C1506,"0000")</f>
        <v/>
      </c>
      <c r="B1506" s="68" t="n">
        <v>200</v>
      </c>
      <c r="C1506" s="68" t="n">
        <v>603</v>
      </c>
      <c r="D1506" s="68" t="inlineStr">
        <is>
          <t>HpRatio</t>
        </is>
      </c>
      <c r="E1506" s="68">
        <f>INT(E1505*1.01)</f>
        <v/>
      </c>
      <c r="F1506" s="68" t="inlineStr">
        <is>
          <t>AtkRatio</t>
        </is>
      </c>
      <c r="G1506" s="68">
        <f>INT(G1505*1.01)</f>
        <v/>
      </c>
      <c r="H1506" s="68" t="inlineStr">
        <is>
          <t>DefRatio</t>
        </is>
      </c>
      <c r="I1506" s="68">
        <f>G1506</f>
        <v/>
      </c>
    </row>
    <row r="1507">
      <c r="A1507" s="68">
        <f>B1507&amp;TEXT(C1507,"0000")</f>
        <v/>
      </c>
      <c r="B1507" s="68" t="n">
        <v>200</v>
      </c>
      <c r="C1507" s="68" t="n">
        <v>604</v>
      </c>
      <c r="D1507" s="68" t="inlineStr">
        <is>
          <t>HpRatio</t>
        </is>
      </c>
      <c r="E1507" s="68">
        <f>INT(E1506*1.01)</f>
        <v/>
      </c>
      <c r="F1507" s="68" t="inlineStr">
        <is>
          <t>AtkRatio</t>
        </is>
      </c>
      <c r="G1507" s="68">
        <f>INT(G1506*1.01)</f>
        <v/>
      </c>
      <c r="H1507" s="68" t="inlineStr">
        <is>
          <t>DefRatio</t>
        </is>
      </c>
      <c r="I1507" s="68">
        <f>G1507</f>
        <v/>
      </c>
    </row>
    <row r="1508">
      <c r="A1508" s="68">
        <f>B1508&amp;TEXT(C1508,"0000")</f>
        <v/>
      </c>
      <c r="B1508" s="68" t="n">
        <v>200</v>
      </c>
      <c r="C1508" s="68" t="n">
        <v>605</v>
      </c>
      <c r="D1508" s="68" t="inlineStr">
        <is>
          <t>HpRatio</t>
        </is>
      </c>
      <c r="E1508" s="68">
        <f>INT(E1507*1.01)</f>
        <v/>
      </c>
      <c r="F1508" s="68" t="inlineStr">
        <is>
          <t>AtkRatio</t>
        </is>
      </c>
      <c r="G1508" s="68">
        <f>INT(G1507*1.01)</f>
        <v/>
      </c>
      <c r="H1508" s="68" t="inlineStr">
        <is>
          <t>DefRatio</t>
        </is>
      </c>
      <c r="I1508" s="68">
        <f>G1508</f>
        <v/>
      </c>
    </row>
    <row r="1509">
      <c r="A1509" s="68">
        <f>B1509&amp;TEXT(C1509,"0000")</f>
        <v/>
      </c>
      <c r="B1509" s="68" t="n">
        <v>200</v>
      </c>
      <c r="C1509" s="68" t="n">
        <v>606</v>
      </c>
      <c r="D1509" s="68" t="inlineStr">
        <is>
          <t>HpRatio</t>
        </is>
      </c>
      <c r="E1509" s="68">
        <f>INT(E1508*1.01)</f>
        <v/>
      </c>
      <c r="F1509" s="68" t="inlineStr">
        <is>
          <t>AtkRatio</t>
        </is>
      </c>
      <c r="G1509" s="68">
        <f>INT(G1508*1.01)</f>
        <v/>
      </c>
      <c r="H1509" s="68" t="inlineStr">
        <is>
          <t>DefRatio</t>
        </is>
      </c>
      <c r="I1509" s="68">
        <f>G1509</f>
        <v/>
      </c>
    </row>
    <row r="1510">
      <c r="A1510" s="68">
        <f>B1510&amp;TEXT(C1510,"0000")</f>
        <v/>
      </c>
      <c r="B1510" s="68" t="n">
        <v>200</v>
      </c>
      <c r="C1510" s="68" t="n">
        <v>607</v>
      </c>
      <c r="D1510" s="68" t="inlineStr">
        <is>
          <t>HpRatio</t>
        </is>
      </c>
      <c r="E1510" s="68">
        <f>INT(E1509*1.01)</f>
        <v/>
      </c>
      <c r="F1510" s="68" t="inlineStr">
        <is>
          <t>AtkRatio</t>
        </is>
      </c>
      <c r="G1510" s="68">
        <f>INT(G1509*1.01)</f>
        <v/>
      </c>
      <c r="H1510" s="68" t="inlineStr">
        <is>
          <t>DefRatio</t>
        </is>
      </c>
      <c r="I1510" s="68">
        <f>G1510</f>
        <v/>
      </c>
    </row>
    <row r="1511">
      <c r="A1511" s="68">
        <f>B1511&amp;TEXT(C1511,"0000")</f>
        <v/>
      </c>
      <c r="B1511" s="68" t="n">
        <v>200</v>
      </c>
      <c r="C1511" s="68" t="n">
        <v>608</v>
      </c>
      <c r="D1511" s="68" t="inlineStr">
        <is>
          <t>HpRatio</t>
        </is>
      </c>
      <c r="E1511" s="68">
        <f>INT(E1510*1.01)</f>
        <v/>
      </c>
      <c r="F1511" s="68" t="inlineStr">
        <is>
          <t>AtkRatio</t>
        </is>
      </c>
      <c r="G1511" s="68">
        <f>INT(G1510*1.01)</f>
        <v/>
      </c>
      <c r="H1511" s="68" t="inlineStr">
        <is>
          <t>DefRatio</t>
        </is>
      </c>
      <c r="I1511" s="68">
        <f>G1511</f>
        <v/>
      </c>
    </row>
    <row r="1512">
      <c r="A1512" s="68">
        <f>B1512&amp;TEXT(C1512,"0000")</f>
        <v/>
      </c>
      <c r="B1512" s="68" t="n">
        <v>200</v>
      </c>
      <c r="C1512" s="68" t="n">
        <v>609</v>
      </c>
      <c r="D1512" s="68" t="inlineStr">
        <is>
          <t>HpRatio</t>
        </is>
      </c>
      <c r="E1512" s="68">
        <f>INT(E1511*1.01)</f>
        <v/>
      </c>
      <c r="F1512" s="68" t="inlineStr">
        <is>
          <t>AtkRatio</t>
        </is>
      </c>
      <c r="G1512" s="68">
        <f>INT(G1511*1.01)</f>
        <v/>
      </c>
      <c r="H1512" s="68" t="inlineStr">
        <is>
          <t>DefRatio</t>
        </is>
      </c>
      <c r="I1512" s="68">
        <f>G1512</f>
        <v/>
      </c>
    </row>
    <row r="1513">
      <c r="A1513" s="68">
        <f>B1513&amp;TEXT(C1513,"0000")</f>
        <v/>
      </c>
      <c r="B1513" s="68" t="n">
        <v>200</v>
      </c>
      <c r="C1513" s="68" t="n">
        <v>610</v>
      </c>
      <c r="D1513" s="68" t="inlineStr">
        <is>
          <t>HpRatio</t>
        </is>
      </c>
      <c r="E1513" s="68">
        <f>INT(E1512*1.01)</f>
        <v/>
      </c>
      <c r="F1513" s="68" t="inlineStr">
        <is>
          <t>AtkRatio</t>
        </is>
      </c>
      <c r="G1513" s="68">
        <f>INT(G1512*1.01)</f>
        <v/>
      </c>
      <c r="H1513" s="68" t="inlineStr">
        <is>
          <t>DefRatio</t>
        </is>
      </c>
      <c r="I1513" s="68">
        <f>G1513</f>
        <v/>
      </c>
    </row>
    <row r="1514">
      <c r="A1514" s="68">
        <f>B1514&amp;TEXT(C1514,"0000")</f>
        <v/>
      </c>
      <c r="B1514" s="68" t="n">
        <v>200</v>
      </c>
      <c r="C1514" s="68" t="n">
        <v>611</v>
      </c>
      <c r="D1514" s="68" t="inlineStr">
        <is>
          <t>HpRatio</t>
        </is>
      </c>
      <c r="E1514" s="68">
        <f>INT(E1513*1.01)</f>
        <v/>
      </c>
      <c r="F1514" s="68" t="inlineStr">
        <is>
          <t>AtkRatio</t>
        </is>
      </c>
      <c r="G1514" s="68">
        <f>INT(G1513*1.01)</f>
        <v/>
      </c>
      <c r="H1514" s="68" t="inlineStr">
        <is>
          <t>DefRatio</t>
        </is>
      </c>
      <c r="I1514" s="68">
        <f>G1514</f>
        <v/>
      </c>
    </row>
    <row r="1515">
      <c r="A1515" s="68">
        <f>B1515&amp;TEXT(C1515,"0000")</f>
        <v/>
      </c>
      <c r="B1515" s="68" t="n">
        <v>200</v>
      </c>
      <c r="C1515" s="68" t="n">
        <v>612</v>
      </c>
      <c r="D1515" s="68" t="inlineStr">
        <is>
          <t>HpRatio</t>
        </is>
      </c>
      <c r="E1515" s="68">
        <f>INT(E1514*1.01)</f>
        <v/>
      </c>
      <c r="F1515" s="68" t="inlineStr">
        <is>
          <t>AtkRatio</t>
        </is>
      </c>
      <c r="G1515" s="68">
        <f>INT(G1514*1.01)</f>
        <v/>
      </c>
      <c r="H1515" s="68" t="inlineStr">
        <is>
          <t>DefRatio</t>
        </is>
      </c>
      <c r="I1515" s="68">
        <f>G1515</f>
        <v/>
      </c>
    </row>
    <row r="1516">
      <c r="A1516" s="68">
        <f>B1516&amp;TEXT(C1516,"0000")</f>
        <v/>
      </c>
      <c r="B1516" s="68" t="n">
        <v>200</v>
      </c>
      <c r="C1516" s="68" t="n">
        <v>613</v>
      </c>
      <c r="D1516" s="68" t="inlineStr">
        <is>
          <t>HpRatio</t>
        </is>
      </c>
      <c r="E1516" s="68">
        <f>INT(E1515*1.01)</f>
        <v/>
      </c>
      <c r="F1516" s="68" t="inlineStr">
        <is>
          <t>AtkRatio</t>
        </is>
      </c>
      <c r="G1516" s="68">
        <f>INT(G1515*1.01)</f>
        <v/>
      </c>
      <c r="H1516" s="68" t="inlineStr">
        <is>
          <t>DefRatio</t>
        </is>
      </c>
      <c r="I1516" s="68">
        <f>G1516</f>
        <v/>
      </c>
    </row>
    <row r="1517">
      <c r="A1517" s="68">
        <f>B1517&amp;TEXT(C1517,"0000")</f>
        <v/>
      </c>
      <c r="B1517" s="68" t="n">
        <v>200</v>
      </c>
      <c r="C1517" s="68" t="n">
        <v>614</v>
      </c>
      <c r="D1517" s="68" t="inlineStr">
        <is>
          <t>HpRatio</t>
        </is>
      </c>
      <c r="E1517" s="68">
        <f>INT(E1516*1.01)</f>
        <v/>
      </c>
      <c r="F1517" s="68" t="inlineStr">
        <is>
          <t>AtkRatio</t>
        </is>
      </c>
      <c r="G1517" s="68">
        <f>INT(G1516*1.01)</f>
        <v/>
      </c>
      <c r="H1517" s="68" t="inlineStr">
        <is>
          <t>DefRatio</t>
        </is>
      </c>
      <c r="I1517" s="68">
        <f>G1517</f>
        <v/>
      </c>
    </row>
    <row r="1518">
      <c r="A1518" s="68">
        <f>B1518&amp;TEXT(C1518,"0000")</f>
        <v/>
      </c>
      <c r="B1518" s="68" t="n">
        <v>200</v>
      </c>
      <c r="C1518" s="68" t="n">
        <v>615</v>
      </c>
      <c r="D1518" s="68" t="inlineStr">
        <is>
          <t>HpRatio</t>
        </is>
      </c>
      <c r="E1518" s="68">
        <f>INT(E1517*1.01)</f>
        <v/>
      </c>
      <c r="F1518" s="68" t="inlineStr">
        <is>
          <t>AtkRatio</t>
        </is>
      </c>
      <c r="G1518" s="68">
        <f>INT(G1517*1.01)</f>
        <v/>
      </c>
      <c r="H1518" s="68" t="inlineStr">
        <is>
          <t>DefRatio</t>
        </is>
      </c>
      <c r="I1518" s="68">
        <f>G1518</f>
        <v/>
      </c>
    </row>
    <row r="1519">
      <c r="A1519" s="68">
        <f>B1519&amp;TEXT(C1519,"0000")</f>
        <v/>
      </c>
      <c r="B1519" s="68" t="n">
        <v>200</v>
      </c>
      <c r="C1519" s="68" t="n">
        <v>616</v>
      </c>
      <c r="D1519" s="68" t="inlineStr">
        <is>
          <t>HpRatio</t>
        </is>
      </c>
      <c r="E1519" s="68">
        <f>INT(E1518*1.01)</f>
        <v/>
      </c>
      <c r="F1519" s="68" t="inlineStr">
        <is>
          <t>AtkRatio</t>
        </is>
      </c>
      <c r="G1519" s="68">
        <f>INT(G1518*1.01)</f>
        <v/>
      </c>
      <c r="H1519" s="68" t="inlineStr">
        <is>
          <t>DefRatio</t>
        </is>
      </c>
      <c r="I1519" s="68">
        <f>G1519</f>
        <v/>
      </c>
    </row>
    <row r="1520">
      <c r="A1520" s="68">
        <f>B1520&amp;TEXT(C1520,"0000")</f>
        <v/>
      </c>
      <c r="B1520" s="68" t="n">
        <v>200</v>
      </c>
      <c r="C1520" s="68" t="n">
        <v>617</v>
      </c>
      <c r="D1520" s="68" t="inlineStr">
        <is>
          <t>HpRatio</t>
        </is>
      </c>
      <c r="E1520" s="68">
        <f>INT(E1519*1.01)</f>
        <v/>
      </c>
      <c r="F1520" s="68" t="inlineStr">
        <is>
          <t>AtkRatio</t>
        </is>
      </c>
      <c r="G1520" s="68">
        <f>INT(G1519*1.01)</f>
        <v/>
      </c>
      <c r="H1520" s="68" t="inlineStr">
        <is>
          <t>DefRatio</t>
        </is>
      </c>
      <c r="I1520" s="68">
        <f>G1520</f>
        <v/>
      </c>
    </row>
    <row r="1521">
      <c r="A1521" s="68">
        <f>B1521&amp;TEXT(C1521,"0000")</f>
        <v/>
      </c>
      <c r="B1521" s="68" t="n">
        <v>200</v>
      </c>
      <c r="C1521" s="68" t="n">
        <v>618</v>
      </c>
      <c r="D1521" s="68" t="inlineStr">
        <is>
          <t>HpRatio</t>
        </is>
      </c>
      <c r="E1521" s="68">
        <f>INT(E1520*1.01)</f>
        <v/>
      </c>
      <c r="F1521" s="68" t="inlineStr">
        <is>
          <t>AtkRatio</t>
        </is>
      </c>
      <c r="G1521" s="68">
        <f>INT(G1520*1.01)</f>
        <v/>
      </c>
      <c r="H1521" s="68" t="inlineStr">
        <is>
          <t>DefRatio</t>
        </is>
      </c>
      <c r="I1521" s="68">
        <f>G1521</f>
        <v/>
      </c>
    </row>
    <row r="1522">
      <c r="A1522" s="68">
        <f>B1522&amp;TEXT(C1522,"0000")</f>
        <v/>
      </c>
      <c r="B1522" s="68" t="n">
        <v>200</v>
      </c>
      <c r="C1522" s="68" t="n">
        <v>619</v>
      </c>
      <c r="D1522" s="68" t="inlineStr">
        <is>
          <t>HpRatio</t>
        </is>
      </c>
      <c r="E1522" s="68">
        <f>INT(E1521*1.01)</f>
        <v/>
      </c>
      <c r="F1522" s="68" t="inlineStr">
        <is>
          <t>AtkRatio</t>
        </is>
      </c>
      <c r="G1522" s="68">
        <f>INT(G1521*1.01)</f>
        <v/>
      </c>
      <c r="H1522" s="68" t="inlineStr">
        <is>
          <t>DefRatio</t>
        </is>
      </c>
      <c r="I1522" s="68">
        <f>G1522</f>
        <v/>
      </c>
    </row>
    <row r="1523">
      <c r="A1523" s="68">
        <f>B1523&amp;TEXT(C1523,"0000")</f>
        <v/>
      </c>
      <c r="B1523" s="68" t="n">
        <v>200</v>
      </c>
      <c r="C1523" s="68" t="n">
        <v>620</v>
      </c>
      <c r="D1523" s="68" t="inlineStr">
        <is>
          <t>HpRatio</t>
        </is>
      </c>
      <c r="E1523" s="68">
        <f>INT(E1522*1.01)</f>
        <v/>
      </c>
      <c r="F1523" s="68" t="inlineStr">
        <is>
          <t>AtkRatio</t>
        </is>
      </c>
      <c r="G1523" s="68">
        <f>INT(G1522*1.01)</f>
        <v/>
      </c>
      <c r="H1523" s="68" t="inlineStr">
        <is>
          <t>DefRatio</t>
        </is>
      </c>
      <c r="I1523" s="68">
        <f>G1523</f>
        <v/>
      </c>
    </row>
    <row r="1524">
      <c r="A1524" s="68">
        <f>B1524&amp;TEXT(C1524,"0000")</f>
        <v/>
      </c>
      <c r="B1524" s="68" t="n">
        <v>200</v>
      </c>
      <c r="C1524" s="68" t="n">
        <v>621</v>
      </c>
      <c r="D1524" s="68" t="inlineStr">
        <is>
          <t>HpRatio</t>
        </is>
      </c>
      <c r="E1524" s="68">
        <f>INT(E1523*1.01)</f>
        <v/>
      </c>
      <c r="F1524" s="68" t="inlineStr">
        <is>
          <t>AtkRatio</t>
        </is>
      </c>
      <c r="G1524" s="68">
        <f>INT(G1523*1.01)</f>
        <v/>
      </c>
      <c r="H1524" s="68" t="inlineStr">
        <is>
          <t>DefRatio</t>
        </is>
      </c>
      <c r="I1524" s="68">
        <f>G1524</f>
        <v/>
      </c>
    </row>
    <row r="1525">
      <c r="A1525" s="68">
        <f>B1525&amp;TEXT(C1525,"0000")</f>
        <v/>
      </c>
      <c r="B1525" s="68" t="n">
        <v>200</v>
      </c>
      <c r="C1525" s="68" t="n">
        <v>622</v>
      </c>
      <c r="D1525" s="68" t="inlineStr">
        <is>
          <t>HpRatio</t>
        </is>
      </c>
      <c r="E1525" s="68">
        <f>INT(E1524*1.01)</f>
        <v/>
      </c>
      <c r="F1525" s="68" t="inlineStr">
        <is>
          <t>AtkRatio</t>
        </is>
      </c>
      <c r="G1525" s="68">
        <f>INT(G1524*1.01)</f>
        <v/>
      </c>
      <c r="H1525" s="68" t="inlineStr">
        <is>
          <t>DefRatio</t>
        </is>
      </c>
      <c r="I1525" s="68">
        <f>G1525</f>
        <v/>
      </c>
    </row>
    <row r="1526">
      <c r="A1526" s="68">
        <f>B1526&amp;TEXT(C1526,"0000")</f>
        <v/>
      </c>
      <c r="B1526" s="68" t="n">
        <v>200</v>
      </c>
      <c r="C1526" s="68" t="n">
        <v>623</v>
      </c>
      <c r="D1526" s="68" t="inlineStr">
        <is>
          <t>HpRatio</t>
        </is>
      </c>
      <c r="E1526" s="68">
        <f>INT(E1525*1.01)</f>
        <v/>
      </c>
      <c r="F1526" s="68" t="inlineStr">
        <is>
          <t>AtkRatio</t>
        </is>
      </c>
      <c r="G1526" s="68">
        <f>INT(G1525*1.01)</f>
        <v/>
      </c>
      <c r="H1526" s="68" t="inlineStr">
        <is>
          <t>DefRatio</t>
        </is>
      </c>
      <c r="I1526" s="68">
        <f>G1526</f>
        <v/>
      </c>
    </row>
    <row r="1527">
      <c r="A1527" s="68">
        <f>B1527&amp;TEXT(C1527,"0000")</f>
        <v/>
      </c>
      <c r="B1527" s="68" t="n">
        <v>200</v>
      </c>
      <c r="C1527" s="68" t="n">
        <v>624</v>
      </c>
      <c r="D1527" s="68" t="inlineStr">
        <is>
          <t>HpRatio</t>
        </is>
      </c>
      <c r="E1527" s="68">
        <f>INT(E1526*1.01)</f>
        <v/>
      </c>
      <c r="F1527" s="68" t="inlineStr">
        <is>
          <t>AtkRatio</t>
        </is>
      </c>
      <c r="G1527" s="68">
        <f>INT(G1526*1.01)</f>
        <v/>
      </c>
      <c r="H1527" s="68" t="inlineStr">
        <is>
          <t>DefRatio</t>
        </is>
      </c>
      <c r="I1527" s="68">
        <f>G1527</f>
        <v/>
      </c>
    </row>
    <row r="1528">
      <c r="A1528" s="68">
        <f>B1528&amp;TEXT(C1528,"0000")</f>
        <v/>
      </c>
      <c r="B1528" s="68" t="n">
        <v>200</v>
      </c>
      <c r="C1528" s="68" t="n">
        <v>625</v>
      </c>
      <c r="D1528" s="68" t="inlineStr">
        <is>
          <t>HpRatio</t>
        </is>
      </c>
      <c r="E1528" s="68">
        <f>INT(E1527*1.01)</f>
        <v/>
      </c>
      <c r="F1528" s="68" t="inlineStr">
        <is>
          <t>AtkRatio</t>
        </is>
      </c>
      <c r="G1528" s="68">
        <f>INT(G1527*1.01)</f>
        <v/>
      </c>
      <c r="H1528" s="68" t="inlineStr">
        <is>
          <t>DefRatio</t>
        </is>
      </c>
      <c r="I1528" s="68">
        <f>G1528</f>
        <v/>
      </c>
    </row>
    <row r="1529">
      <c r="A1529" s="68">
        <f>B1529&amp;TEXT(C1529,"0000")</f>
        <v/>
      </c>
      <c r="B1529" s="68" t="n">
        <v>200</v>
      </c>
      <c r="C1529" s="68" t="n">
        <v>626</v>
      </c>
      <c r="D1529" s="68" t="inlineStr">
        <is>
          <t>HpRatio</t>
        </is>
      </c>
      <c r="E1529" s="68">
        <f>INT(E1528*1.01)</f>
        <v/>
      </c>
      <c r="F1529" s="68" t="inlineStr">
        <is>
          <t>AtkRatio</t>
        </is>
      </c>
      <c r="G1529" s="68">
        <f>INT(G1528*1.01)</f>
        <v/>
      </c>
      <c r="H1529" s="68" t="inlineStr">
        <is>
          <t>DefRatio</t>
        </is>
      </c>
      <c r="I1529" s="68">
        <f>G1529</f>
        <v/>
      </c>
    </row>
    <row r="1530">
      <c r="A1530" s="68">
        <f>B1530&amp;TEXT(C1530,"0000")</f>
        <v/>
      </c>
      <c r="B1530" s="68" t="n">
        <v>200</v>
      </c>
      <c r="C1530" s="68" t="n">
        <v>627</v>
      </c>
      <c r="D1530" s="68" t="inlineStr">
        <is>
          <t>HpRatio</t>
        </is>
      </c>
      <c r="E1530" s="68">
        <f>INT(E1529*1.01)</f>
        <v/>
      </c>
      <c r="F1530" s="68" t="inlineStr">
        <is>
          <t>AtkRatio</t>
        </is>
      </c>
      <c r="G1530" s="68">
        <f>INT(G1529*1.01)</f>
        <v/>
      </c>
      <c r="H1530" s="68" t="inlineStr">
        <is>
          <t>DefRatio</t>
        </is>
      </c>
      <c r="I1530" s="68">
        <f>G1530</f>
        <v/>
      </c>
    </row>
    <row r="1531">
      <c r="A1531" s="68">
        <f>B1531&amp;TEXT(C1531,"0000")</f>
        <v/>
      </c>
      <c r="B1531" s="68" t="n">
        <v>200</v>
      </c>
      <c r="C1531" s="68" t="n">
        <v>628</v>
      </c>
      <c r="D1531" s="68" t="inlineStr">
        <is>
          <t>HpRatio</t>
        </is>
      </c>
      <c r="E1531" s="68">
        <f>INT(E1530*1.01)</f>
        <v/>
      </c>
      <c r="F1531" s="68" t="inlineStr">
        <is>
          <t>AtkRatio</t>
        </is>
      </c>
      <c r="G1531" s="68">
        <f>INT(G1530*1.01)</f>
        <v/>
      </c>
      <c r="H1531" s="68" t="inlineStr">
        <is>
          <t>DefRatio</t>
        </is>
      </c>
      <c r="I1531" s="68">
        <f>G1531</f>
        <v/>
      </c>
    </row>
    <row r="1532">
      <c r="A1532" s="68">
        <f>B1532&amp;TEXT(C1532,"0000")</f>
        <v/>
      </c>
      <c r="B1532" s="68" t="n">
        <v>200</v>
      </c>
      <c r="C1532" s="68" t="n">
        <v>629</v>
      </c>
      <c r="D1532" s="68" t="inlineStr">
        <is>
          <t>HpRatio</t>
        </is>
      </c>
      <c r="E1532" s="68">
        <f>INT(E1531*1.01)</f>
        <v/>
      </c>
      <c r="F1532" s="68" t="inlineStr">
        <is>
          <t>AtkRatio</t>
        </is>
      </c>
      <c r="G1532" s="68">
        <f>INT(G1531*1.01)</f>
        <v/>
      </c>
      <c r="H1532" s="68" t="inlineStr">
        <is>
          <t>DefRatio</t>
        </is>
      </c>
      <c r="I1532" s="68">
        <f>G1532</f>
        <v/>
      </c>
    </row>
    <row r="1533">
      <c r="A1533" s="68">
        <f>B1533&amp;TEXT(C1533,"0000")</f>
        <v/>
      </c>
      <c r="B1533" s="68" t="n">
        <v>200</v>
      </c>
      <c r="C1533" s="68" t="n">
        <v>630</v>
      </c>
      <c r="D1533" s="68" t="inlineStr">
        <is>
          <t>HpRatio</t>
        </is>
      </c>
      <c r="E1533" s="68">
        <f>INT(E1532*1.01)</f>
        <v/>
      </c>
      <c r="F1533" s="68" t="inlineStr">
        <is>
          <t>AtkRatio</t>
        </is>
      </c>
      <c r="G1533" s="68">
        <f>INT(G1532*1.01)</f>
        <v/>
      </c>
      <c r="H1533" s="68" t="inlineStr">
        <is>
          <t>DefRatio</t>
        </is>
      </c>
      <c r="I1533" s="68">
        <f>G1533</f>
        <v/>
      </c>
    </row>
    <row r="1534">
      <c r="A1534" s="68">
        <f>B1534&amp;TEXT(C1534,"0000")</f>
        <v/>
      </c>
      <c r="B1534" s="68" t="n">
        <v>200</v>
      </c>
      <c r="C1534" s="68" t="n">
        <v>631</v>
      </c>
      <c r="D1534" s="68" t="inlineStr">
        <is>
          <t>HpRatio</t>
        </is>
      </c>
      <c r="E1534" s="68">
        <f>INT(E1533*1.01)</f>
        <v/>
      </c>
      <c r="F1534" s="68" t="inlineStr">
        <is>
          <t>AtkRatio</t>
        </is>
      </c>
      <c r="G1534" s="68">
        <f>INT(G1533*1.01)</f>
        <v/>
      </c>
      <c r="H1534" s="68" t="inlineStr">
        <is>
          <t>DefRatio</t>
        </is>
      </c>
      <c r="I1534" s="68">
        <f>G1534</f>
        <v/>
      </c>
    </row>
    <row r="1535">
      <c r="A1535" s="68">
        <f>B1535&amp;TEXT(C1535,"0000")</f>
        <v/>
      </c>
      <c r="B1535" s="68" t="n">
        <v>200</v>
      </c>
      <c r="C1535" s="68" t="n">
        <v>632</v>
      </c>
      <c r="D1535" s="68" t="inlineStr">
        <is>
          <t>HpRatio</t>
        </is>
      </c>
      <c r="E1535" s="68">
        <f>INT(E1534*1.01)</f>
        <v/>
      </c>
      <c r="F1535" s="68" t="inlineStr">
        <is>
          <t>AtkRatio</t>
        </is>
      </c>
      <c r="G1535" s="68">
        <f>INT(G1534*1.01)</f>
        <v/>
      </c>
      <c r="H1535" s="68" t="inlineStr">
        <is>
          <t>DefRatio</t>
        </is>
      </c>
      <c r="I1535" s="68">
        <f>G1535</f>
        <v/>
      </c>
    </row>
    <row r="1536">
      <c r="A1536" s="68">
        <f>B1536&amp;TEXT(C1536,"0000")</f>
        <v/>
      </c>
      <c r="B1536" s="68" t="n">
        <v>200</v>
      </c>
      <c r="C1536" s="68" t="n">
        <v>633</v>
      </c>
      <c r="D1536" s="68" t="inlineStr">
        <is>
          <t>HpRatio</t>
        </is>
      </c>
      <c r="E1536" s="68">
        <f>INT(E1535*1.01)</f>
        <v/>
      </c>
      <c r="F1536" s="68" t="inlineStr">
        <is>
          <t>AtkRatio</t>
        </is>
      </c>
      <c r="G1536" s="68">
        <f>INT(G1535*1.01)</f>
        <v/>
      </c>
      <c r="H1536" s="68" t="inlineStr">
        <is>
          <t>DefRatio</t>
        </is>
      </c>
      <c r="I1536" s="68">
        <f>G1536</f>
        <v/>
      </c>
    </row>
    <row r="1537">
      <c r="A1537" s="68">
        <f>B1537&amp;TEXT(C1537,"0000")</f>
        <v/>
      </c>
      <c r="B1537" s="68" t="n">
        <v>200</v>
      </c>
      <c r="C1537" s="68" t="n">
        <v>634</v>
      </c>
      <c r="D1537" s="68" t="inlineStr">
        <is>
          <t>HpRatio</t>
        </is>
      </c>
      <c r="E1537" s="68">
        <f>INT(E1536*1.01)</f>
        <v/>
      </c>
      <c r="F1537" s="68" t="inlineStr">
        <is>
          <t>AtkRatio</t>
        </is>
      </c>
      <c r="G1537" s="68">
        <f>INT(G1536*1.01)</f>
        <v/>
      </c>
      <c r="H1537" s="68" t="inlineStr">
        <is>
          <t>DefRatio</t>
        </is>
      </c>
      <c r="I1537" s="68">
        <f>G1537</f>
        <v/>
      </c>
    </row>
    <row r="1538">
      <c r="A1538" s="68">
        <f>B1538&amp;TEXT(C1538,"0000")</f>
        <v/>
      </c>
      <c r="B1538" s="68" t="n">
        <v>200</v>
      </c>
      <c r="C1538" s="68" t="n">
        <v>635</v>
      </c>
      <c r="D1538" s="68" t="inlineStr">
        <is>
          <t>HpRatio</t>
        </is>
      </c>
      <c r="E1538" s="68">
        <f>INT(E1537*1.01)</f>
        <v/>
      </c>
      <c r="F1538" s="68" t="inlineStr">
        <is>
          <t>AtkRatio</t>
        </is>
      </c>
      <c r="G1538" s="68">
        <f>INT(G1537*1.01)</f>
        <v/>
      </c>
      <c r="H1538" s="68" t="inlineStr">
        <is>
          <t>DefRatio</t>
        </is>
      </c>
      <c r="I1538" s="68">
        <f>G1538</f>
        <v/>
      </c>
    </row>
    <row r="1539">
      <c r="A1539" s="68">
        <f>B1539&amp;TEXT(C1539,"0000")</f>
        <v/>
      </c>
      <c r="B1539" s="68" t="n">
        <v>200</v>
      </c>
      <c r="C1539" s="68" t="n">
        <v>636</v>
      </c>
      <c r="D1539" s="68" t="inlineStr">
        <is>
          <t>HpRatio</t>
        </is>
      </c>
      <c r="E1539" s="68">
        <f>INT(E1538*1.01)</f>
        <v/>
      </c>
      <c r="F1539" s="68" t="inlineStr">
        <is>
          <t>AtkRatio</t>
        </is>
      </c>
      <c r="G1539" s="68">
        <f>INT(G1538*1.01)</f>
        <v/>
      </c>
      <c r="H1539" s="68" t="inlineStr">
        <is>
          <t>DefRatio</t>
        </is>
      </c>
      <c r="I1539" s="68">
        <f>G1539</f>
        <v/>
      </c>
    </row>
    <row r="1540">
      <c r="A1540" s="68">
        <f>B1540&amp;TEXT(C1540,"0000")</f>
        <v/>
      </c>
      <c r="B1540" s="68" t="n">
        <v>200</v>
      </c>
      <c r="C1540" s="68" t="n">
        <v>637</v>
      </c>
      <c r="D1540" s="68" t="inlineStr">
        <is>
          <t>HpRatio</t>
        </is>
      </c>
      <c r="E1540" s="68">
        <f>INT(E1539*1.01)</f>
        <v/>
      </c>
      <c r="F1540" s="68" t="inlineStr">
        <is>
          <t>AtkRatio</t>
        </is>
      </c>
      <c r="G1540" s="68">
        <f>INT(G1539*1.01)</f>
        <v/>
      </c>
      <c r="H1540" s="68" t="inlineStr">
        <is>
          <t>DefRatio</t>
        </is>
      </c>
      <c r="I1540" s="68">
        <f>G1540</f>
        <v/>
      </c>
    </row>
    <row r="1541">
      <c r="A1541" s="68">
        <f>B1541&amp;TEXT(C1541,"0000")</f>
        <v/>
      </c>
      <c r="B1541" s="68" t="n">
        <v>200</v>
      </c>
      <c r="C1541" s="68" t="n">
        <v>638</v>
      </c>
      <c r="D1541" s="68" t="inlineStr">
        <is>
          <t>HpRatio</t>
        </is>
      </c>
      <c r="E1541" s="68">
        <f>INT(E1540*1.01)</f>
        <v/>
      </c>
      <c r="F1541" s="68" t="inlineStr">
        <is>
          <t>AtkRatio</t>
        </is>
      </c>
      <c r="G1541" s="68">
        <f>INT(G1540*1.01)</f>
        <v/>
      </c>
      <c r="H1541" s="68" t="inlineStr">
        <is>
          <t>DefRatio</t>
        </is>
      </c>
      <c r="I1541" s="68">
        <f>G1541</f>
        <v/>
      </c>
    </row>
    <row r="1542">
      <c r="A1542" s="68">
        <f>B1542&amp;TEXT(C1542,"0000")</f>
        <v/>
      </c>
      <c r="B1542" s="68" t="n">
        <v>200</v>
      </c>
      <c r="C1542" s="68" t="n">
        <v>639</v>
      </c>
      <c r="D1542" s="68" t="inlineStr">
        <is>
          <t>HpRatio</t>
        </is>
      </c>
      <c r="E1542" s="68">
        <f>INT(E1541*1.01)</f>
        <v/>
      </c>
      <c r="F1542" s="68" t="inlineStr">
        <is>
          <t>AtkRatio</t>
        </is>
      </c>
      <c r="G1542" s="68">
        <f>INT(G1541*1.01)</f>
        <v/>
      </c>
      <c r="H1542" s="68" t="inlineStr">
        <is>
          <t>DefRatio</t>
        </is>
      </c>
      <c r="I1542" s="68">
        <f>G1542</f>
        <v/>
      </c>
    </row>
    <row r="1543">
      <c r="A1543" s="68">
        <f>B1543&amp;TEXT(C1543,"0000")</f>
        <v/>
      </c>
      <c r="B1543" s="68" t="n">
        <v>200</v>
      </c>
      <c r="C1543" s="68" t="n">
        <v>640</v>
      </c>
      <c r="D1543" s="68" t="inlineStr">
        <is>
          <t>HpRatio</t>
        </is>
      </c>
      <c r="E1543" s="68">
        <f>INT(E1542*1.01)</f>
        <v/>
      </c>
      <c r="F1543" s="68" t="inlineStr">
        <is>
          <t>AtkRatio</t>
        </is>
      </c>
      <c r="G1543" s="68">
        <f>INT(G1542*1.01)</f>
        <v/>
      </c>
      <c r="H1543" s="68" t="inlineStr">
        <is>
          <t>DefRatio</t>
        </is>
      </c>
      <c r="I1543" s="68">
        <f>G1543</f>
        <v/>
      </c>
    </row>
    <row r="1544">
      <c r="A1544" s="68">
        <f>B1544&amp;TEXT(C1544,"0000")</f>
        <v/>
      </c>
      <c r="B1544" s="68" t="n">
        <v>200</v>
      </c>
      <c r="C1544" s="68" t="n">
        <v>641</v>
      </c>
      <c r="D1544" s="68" t="inlineStr">
        <is>
          <t>HpRatio</t>
        </is>
      </c>
      <c r="E1544" s="68">
        <f>INT(E1543*1.01)</f>
        <v/>
      </c>
      <c r="F1544" s="68" t="inlineStr">
        <is>
          <t>AtkRatio</t>
        </is>
      </c>
      <c r="G1544" s="68">
        <f>INT(G1543*1.01)</f>
        <v/>
      </c>
      <c r="H1544" s="68" t="inlineStr">
        <is>
          <t>DefRatio</t>
        </is>
      </c>
      <c r="I1544" s="68">
        <f>G1544</f>
        <v/>
      </c>
    </row>
    <row r="1545">
      <c r="A1545" s="68">
        <f>B1545&amp;TEXT(C1545,"0000")</f>
        <v/>
      </c>
      <c r="B1545" s="68" t="n">
        <v>200</v>
      </c>
      <c r="C1545" s="68" t="n">
        <v>642</v>
      </c>
      <c r="D1545" s="68" t="inlineStr">
        <is>
          <t>HpRatio</t>
        </is>
      </c>
      <c r="E1545" s="68">
        <f>INT(E1544*1.01)</f>
        <v/>
      </c>
      <c r="F1545" s="68" t="inlineStr">
        <is>
          <t>AtkRatio</t>
        </is>
      </c>
      <c r="G1545" s="68">
        <f>INT(G1544*1.01)</f>
        <v/>
      </c>
      <c r="H1545" s="68" t="inlineStr">
        <is>
          <t>DefRatio</t>
        </is>
      </c>
      <c r="I1545" s="68">
        <f>G1545</f>
        <v/>
      </c>
    </row>
    <row r="1546">
      <c r="A1546" s="68">
        <f>B1546&amp;TEXT(C1546,"0000")</f>
        <v/>
      </c>
      <c r="B1546" s="68" t="n">
        <v>200</v>
      </c>
      <c r="C1546" s="68" t="n">
        <v>643</v>
      </c>
      <c r="D1546" s="68" t="inlineStr">
        <is>
          <t>HpRatio</t>
        </is>
      </c>
      <c r="E1546" s="68">
        <f>INT(E1545*1.01)</f>
        <v/>
      </c>
      <c r="F1546" s="68" t="inlineStr">
        <is>
          <t>AtkRatio</t>
        </is>
      </c>
      <c r="G1546" s="68">
        <f>INT(G1545*1.01)</f>
        <v/>
      </c>
      <c r="H1546" s="68" t="inlineStr">
        <is>
          <t>DefRatio</t>
        </is>
      </c>
      <c r="I1546" s="68">
        <f>G1546</f>
        <v/>
      </c>
    </row>
    <row r="1547">
      <c r="A1547" s="68">
        <f>B1547&amp;TEXT(C1547,"0000")</f>
        <v/>
      </c>
      <c r="B1547" s="68" t="n">
        <v>200</v>
      </c>
      <c r="C1547" s="68" t="n">
        <v>644</v>
      </c>
      <c r="D1547" s="68" t="inlineStr">
        <is>
          <t>HpRatio</t>
        </is>
      </c>
      <c r="E1547" s="68">
        <f>INT(E1546*1.01)</f>
        <v/>
      </c>
      <c r="F1547" s="68" t="inlineStr">
        <is>
          <t>AtkRatio</t>
        </is>
      </c>
      <c r="G1547" s="68">
        <f>INT(G1546*1.01)</f>
        <v/>
      </c>
      <c r="H1547" s="68" t="inlineStr">
        <is>
          <t>DefRatio</t>
        </is>
      </c>
      <c r="I1547" s="68">
        <f>G1547</f>
        <v/>
      </c>
    </row>
    <row r="1548">
      <c r="A1548" s="68">
        <f>B1548&amp;TEXT(C1548,"0000")</f>
        <v/>
      </c>
      <c r="B1548" s="68" t="n">
        <v>200</v>
      </c>
      <c r="C1548" s="68" t="n">
        <v>645</v>
      </c>
      <c r="D1548" s="68" t="inlineStr">
        <is>
          <t>HpRatio</t>
        </is>
      </c>
      <c r="E1548" s="68">
        <f>INT(E1547*1.01)</f>
        <v/>
      </c>
      <c r="F1548" s="68" t="inlineStr">
        <is>
          <t>AtkRatio</t>
        </is>
      </c>
      <c r="G1548" s="68">
        <f>INT(G1547*1.01)</f>
        <v/>
      </c>
      <c r="H1548" s="68" t="inlineStr">
        <is>
          <t>DefRatio</t>
        </is>
      </c>
      <c r="I1548" s="68">
        <f>G1548</f>
        <v/>
      </c>
    </row>
    <row r="1549">
      <c r="A1549" s="68">
        <f>B1549&amp;TEXT(C1549,"0000")</f>
        <v/>
      </c>
      <c r="B1549" s="68" t="n">
        <v>200</v>
      </c>
      <c r="C1549" s="68" t="n">
        <v>646</v>
      </c>
      <c r="D1549" s="68" t="inlineStr">
        <is>
          <t>HpRatio</t>
        </is>
      </c>
      <c r="E1549" s="68">
        <f>INT(E1548*1.01)</f>
        <v/>
      </c>
      <c r="F1549" s="68" t="inlineStr">
        <is>
          <t>AtkRatio</t>
        </is>
      </c>
      <c r="G1549" s="68">
        <f>INT(G1548*1.01)</f>
        <v/>
      </c>
      <c r="H1549" s="68" t="inlineStr">
        <is>
          <t>DefRatio</t>
        </is>
      </c>
      <c r="I1549" s="68">
        <f>G1549</f>
        <v/>
      </c>
    </row>
    <row r="1550">
      <c r="A1550" s="68">
        <f>B1550&amp;TEXT(C1550,"0000")</f>
        <v/>
      </c>
      <c r="B1550" s="68" t="n">
        <v>200</v>
      </c>
      <c r="C1550" s="68" t="n">
        <v>647</v>
      </c>
      <c r="D1550" s="68" t="inlineStr">
        <is>
          <t>HpRatio</t>
        </is>
      </c>
      <c r="E1550" s="68">
        <f>INT(E1549*1.01)</f>
        <v/>
      </c>
      <c r="F1550" s="68" t="inlineStr">
        <is>
          <t>AtkRatio</t>
        </is>
      </c>
      <c r="G1550" s="68">
        <f>INT(G1549*1.01)</f>
        <v/>
      </c>
      <c r="H1550" s="68" t="inlineStr">
        <is>
          <t>DefRatio</t>
        </is>
      </c>
      <c r="I1550" s="68">
        <f>G1550</f>
        <v/>
      </c>
    </row>
    <row r="1551">
      <c r="A1551" s="68">
        <f>B1551&amp;TEXT(C1551,"0000")</f>
        <v/>
      </c>
      <c r="B1551" s="68" t="n">
        <v>200</v>
      </c>
      <c r="C1551" s="68" t="n">
        <v>648</v>
      </c>
      <c r="D1551" s="68" t="inlineStr">
        <is>
          <t>HpRatio</t>
        </is>
      </c>
      <c r="E1551" s="68">
        <f>INT(E1550*1.01)</f>
        <v/>
      </c>
      <c r="F1551" s="68" t="inlineStr">
        <is>
          <t>AtkRatio</t>
        </is>
      </c>
      <c r="G1551" s="68">
        <f>INT(G1550*1.01)</f>
        <v/>
      </c>
      <c r="H1551" s="68" t="inlineStr">
        <is>
          <t>DefRatio</t>
        </is>
      </c>
      <c r="I1551" s="68">
        <f>G1551</f>
        <v/>
      </c>
    </row>
    <row r="1552">
      <c r="A1552" s="68">
        <f>B1552&amp;TEXT(C1552,"0000")</f>
        <v/>
      </c>
      <c r="B1552" s="68" t="n">
        <v>200</v>
      </c>
      <c r="C1552" s="68" t="n">
        <v>649</v>
      </c>
      <c r="D1552" s="68" t="inlineStr">
        <is>
          <t>HpRatio</t>
        </is>
      </c>
      <c r="E1552" s="68">
        <f>INT(E1551*1.01)</f>
        <v/>
      </c>
      <c r="F1552" s="68" t="inlineStr">
        <is>
          <t>AtkRatio</t>
        </is>
      </c>
      <c r="G1552" s="68">
        <f>INT(G1551*1.01)</f>
        <v/>
      </c>
      <c r="H1552" s="68" t="inlineStr">
        <is>
          <t>DefRatio</t>
        </is>
      </c>
      <c r="I1552" s="68">
        <f>G1552</f>
        <v/>
      </c>
    </row>
    <row r="1553">
      <c r="A1553" s="68">
        <f>B1553&amp;TEXT(C1553,"0000")</f>
        <v/>
      </c>
      <c r="B1553" s="68" t="n">
        <v>200</v>
      </c>
      <c r="C1553" s="68" t="n">
        <v>650</v>
      </c>
      <c r="D1553" s="68" t="inlineStr">
        <is>
          <t>HpRatio</t>
        </is>
      </c>
      <c r="E1553" s="68">
        <f>INT(E1552*1.01)</f>
        <v/>
      </c>
      <c r="F1553" s="68" t="inlineStr">
        <is>
          <t>AtkRatio</t>
        </is>
      </c>
      <c r="G1553" s="68">
        <f>INT(G1552*1.01)</f>
        <v/>
      </c>
      <c r="H1553" s="68" t="inlineStr">
        <is>
          <t>DefRatio</t>
        </is>
      </c>
      <c r="I1553" s="68">
        <f>G1553</f>
        <v/>
      </c>
    </row>
    <row r="1554">
      <c r="A1554" s="68">
        <f>B1554&amp;TEXT(C1554,"0000")</f>
        <v/>
      </c>
      <c r="B1554" s="68" t="n">
        <v>200</v>
      </c>
      <c r="C1554" s="68" t="n">
        <v>651</v>
      </c>
      <c r="D1554" s="68" t="inlineStr">
        <is>
          <t>HpRatio</t>
        </is>
      </c>
      <c r="E1554" s="68">
        <f>INT(E1553*1.01)</f>
        <v/>
      </c>
      <c r="F1554" s="68" t="inlineStr">
        <is>
          <t>AtkRatio</t>
        </is>
      </c>
      <c r="G1554" s="68">
        <f>INT(G1553*1.01)</f>
        <v/>
      </c>
      <c r="H1554" s="68" t="inlineStr">
        <is>
          <t>DefRatio</t>
        </is>
      </c>
      <c r="I1554" s="68">
        <f>G1554</f>
        <v/>
      </c>
    </row>
    <row r="1555">
      <c r="A1555" s="68">
        <f>B1555&amp;TEXT(C1555,"0000")</f>
        <v/>
      </c>
      <c r="B1555" s="68" t="n">
        <v>200</v>
      </c>
      <c r="C1555" s="68" t="n">
        <v>652</v>
      </c>
      <c r="D1555" s="68" t="inlineStr">
        <is>
          <t>HpRatio</t>
        </is>
      </c>
      <c r="E1555" s="68">
        <f>INT(E1554*1.01)</f>
        <v/>
      </c>
      <c r="F1555" s="68" t="inlineStr">
        <is>
          <t>AtkRatio</t>
        </is>
      </c>
      <c r="G1555" s="68">
        <f>INT(G1554*1.01)</f>
        <v/>
      </c>
      <c r="H1555" s="68" t="inlineStr">
        <is>
          <t>DefRatio</t>
        </is>
      </c>
      <c r="I1555" s="68">
        <f>G1555</f>
        <v/>
      </c>
    </row>
    <row r="1556">
      <c r="A1556" s="68">
        <f>B1556&amp;TEXT(C1556,"0000")</f>
        <v/>
      </c>
      <c r="B1556" s="68" t="n">
        <v>200</v>
      </c>
      <c r="C1556" s="68" t="n">
        <v>653</v>
      </c>
      <c r="D1556" s="68" t="inlineStr">
        <is>
          <t>HpRatio</t>
        </is>
      </c>
      <c r="E1556" s="68">
        <f>INT(E1555*1.01)</f>
        <v/>
      </c>
      <c r="F1556" s="68" t="inlineStr">
        <is>
          <t>AtkRatio</t>
        </is>
      </c>
      <c r="G1556" s="68">
        <f>INT(G1555*1.01)</f>
        <v/>
      </c>
      <c r="H1556" s="68" t="inlineStr">
        <is>
          <t>DefRatio</t>
        </is>
      </c>
      <c r="I1556" s="68">
        <f>G1556</f>
        <v/>
      </c>
    </row>
    <row r="1557">
      <c r="A1557" s="68">
        <f>B1557&amp;TEXT(C1557,"0000")</f>
        <v/>
      </c>
      <c r="B1557" s="68" t="n">
        <v>200</v>
      </c>
      <c r="C1557" s="68" t="n">
        <v>654</v>
      </c>
      <c r="D1557" s="68" t="inlineStr">
        <is>
          <t>HpRatio</t>
        </is>
      </c>
      <c r="E1557" s="68">
        <f>INT(E1556*1.01)</f>
        <v/>
      </c>
      <c r="F1557" s="68" t="inlineStr">
        <is>
          <t>AtkRatio</t>
        </is>
      </c>
      <c r="G1557" s="68">
        <f>INT(G1556*1.01)</f>
        <v/>
      </c>
      <c r="H1557" s="68" t="inlineStr">
        <is>
          <t>DefRatio</t>
        </is>
      </c>
      <c r="I1557" s="68">
        <f>G1557</f>
        <v/>
      </c>
    </row>
    <row r="1558">
      <c r="A1558" s="68">
        <f>B1558&amp;TEXT(C1558,"0000")</f>
        <v/>
      </c>
      <c r="B1558" s="68" t="n">
        <v>200</v>
      </c>
      <c r="C1558" s="68" t="n">
        <v>655</v>
      </c>
      <c r="D1558" s="68" t="inlineStr">
        <is>
          <t>HpRatio</t>
        </is>
      </c>
      <c r="E1558" s="68">
        <f>INT(E1557*1.01)</f>
        <v/>
      </c>
      <c r="F1558" s="68" t="inlineStr">
        <is>
          <t>AtkRatio</t>
        </is>
      </c>
      <c r="G1558" s="68">
        <f>INT(G1557*1.01)</f>
        <v/>
      </c>
      <c r="H1558" s="68" t="inlineStr">
        <is>
          <t>DefRatio</t>
        </is>
      </c>
      <c r="I1558" s="68">
        <f>G1558</f>
        <v/>
      </c>
    </row>
    <row r="1559">
      <c r="A1559" s="68">
        <f>B1559&amp;TEXT(C1559,"0000")</f>
        <v/>
      </c>
      <c r="B1559" s="68" t="n">
        <v>200</v>
      </c>
      <c r="C1559" s="68" t="n">
        <v>656</v>
      </c>
      <c r="D1559" s="68" t="inlineStr">
        <is>
          <t>HpRatio</t>
        </is>
      </c>
      <c r="E1559" s="68">
        <f>INT(E1558*1.01)</f>
        <v/>
      </c>
      <c r="F1559" s="68" t="inlineStr">
        <is>
          <t>AtkRatio</t>
        </is>
      </c>
      <c r="G1559" s="68">
        <f>INT(G1558*1.01)</f>
        <v/>
      </c>
      <c r="H1559" s="68" t="inlineStr">
        <is>
          <t>DefRatio</t>
        </is>
      </c>
      <c r="I1559" s="68">
        <f>G1559</f>
        <v/>
      </c>
    </row>
    <row r="1560">
      <c r="A1560" s="68">
        <f>B1560&amp;TEXT(C1560,"0000")</f>
        <v/>
      </c>
      <c r="B1560" s="68" t="n">
        <v>200</v>
      </c>
      <c r="C1560" s="68" t="n">
        <v>657</v>
      </c>
      <c r="D1560" s="68" t="inlineStr">
        <is>
          <t>HpRatio</t>
        </is>
      </c>
      <c r="E1560" s="68">
        <f>INT(E1559*1.01)</f>
        <v/>
      </c>
      <c r="F1560" s="68" t="inlineStr">
        <is>
          <t>AtkRatio</t>
        </is>
      </c>
      <c r="G1560" s="68">
        <f>INT(G1559*1.01)</f>
        <v/>
      </c>
      <c r="H1560" s="68" t="inlineStr">
        <is>
          <t>DefRatio</t>
        </is>
      </c>
      <c r="I1560" s="68">
        <f>G1560</f>
        <v/>
      </c>
    </row>
    <row r="1561">
      <c r="A1561" s="68">
        <f>B1561&amp;TEXT(C1561,"0000")</f>
        <v/>
      </c>
      <c r="B1561" s="68" t="n">
        <v>200</v>
      </c>
      <c r="C1561" s="68" t="n">
        <v>658</v>
      </c>
      <c r="D1561" s="68" t="inlineStr">
        <is>
          <t>HpRatio</t>
        </is>
      </c>
      <c r="E1561" s="68">
        <f>INT(E1560*1.01)</f>
        <v/>
      </c>
      <c r="F1561" s="68" t="inlineStr">
        <is>
          <t>AtkRatio</t>
        </is>
      </c>
      <c r="G1561" s="68">
        <f>INT(G1560*1.01)</f>
        <v/>
      </c>
      <c r="H1561" s="68" t="inlineStr">
        <is>
          <t>DefRatio</t>
        </is>
      </c>
      <c r="I1561" s="68">
        <f>G1561</f>
        <v/>
      </c>
    </row>
    <row r="1562">
      <c r="A1562" s="68">
        <f>B1562&amp;TEXT(C1562,"0000")</f>
        <v/>
      </c>
      <c r="B1562" s="68" t="n">
        <v>200</v>
      </c>
      <c r="C1562" s="68" t="n">
        <v>659</v>
      </c>
      <c r="D1562" s="68" t="inlineStr">
        <is>
          <t>HpRatio</t>
        </is>
      </c>
      <c r="E1562" s="68">
        <f>INT(E1561*1.01)</f>
        <v/>
      </c>
      <c r="F1562" s="68" t="inlineStr">
        <is>
          <t>AtkRatio</t>
        </is>
      </c>
      <c r="G1562" s="68">
        <f>INT(G1561*1.01)</f>
        <v/>
      </c>
      <c r="H1562" s="68" t="inlineStr">
        <is>
          <t>DefRatio</t>
        </is>
      </c>
      <c r="I1562" s="68">
        <f>G1562</f>
        <v/>
      </c>
    </row>
    <row r="1563">
      <c r="A1563" s="68">
        <f>B1563&amp;TEXT(C1563,"0000")</f>
        <v/>
      </c>
      <c r="B1563" s="68" t="n">
        <v>200</v>
      </c>
      <c r="C1563" s="68" t="n">
        <v>660</v>
      </c>
      <c r="D1563" s="68" t="inlineStr">
        <is>
          <t>HpRatio</t>
        </is>
      </c>
      <c r="E1563" s="68">
        <f>INT(E1562*1.01)</f>
        <v/>
      </c>
      <c r="F1563" s="68" t="inlineStr">
        <is>
          <t>AtkRatio</t>
        </is>
      </c>
      <c r="G1563" s="68">
        <f>INT(G1562*1.01)</f>
        <v/>
      </c>
      <c r="H1563" s="68" t="inlineStr">
        <is>
          <t>DefRatio</t>
        </is>
      </c>
      <c r="I1563" s="68">
        <f>G1563</f>
        <v/>
      </c>
    </row>
    <row r="1564">
      <c r="A1564" s="68">
        <f>B1564&amp;TEXT(C1564,"0000")</f>
        <v/>
      </c>
      <c r="B1564" s="68" t="n">
        <v>200</v>
      </c>
      <c r="C1564" s="68" t="n">
        <v>661</v>
      </c>
      <c r="D1564" s="68" t="inlineStr">
        <is>
          <t>HpRatio</t>
        </is>
      </c>
      <c r="E1564" s="68">
        <f>INT(E1563*1.01)</f>
        <v/>
      </c>
      <c r="F1564" s="68" t="inlineStr">
        <is>
          <t>AtkRatio</t>
        </is>
      </c>
      <c r="G1564" s="68">
        <f>INT(G1563*1.01)</f>
        <v/>
      </c>
      <c r="H1564" s="68" t="inlineStr">
        <is>
          <t>DefRatio</t>
        </is>
      </c>
      <c r="I1564" s="68">
        <f>G1564</f>
        <v/>
      </c>
    </row>
    <row r="1565">
      <c r="A1565" s="68">
        <f>B1565&amp;TEXT(C1565,"0000")</f>
        <v/>
      </c>
      <c r="B1565" s="68" t="n">
        <v>200</v>
      </c>
      <c r="C1565" s="68" t="n">
        <v>662</v>
      </c>
      <c r="D1565" s="68" t="inlineStr">
        <is>
          <t>HpRatio</t>
        </is>
      </c>
      <c r="E1565" s="68">
        <f>INT(E1564*1.01)</f>
        <v/>
      </c>
      <c r="F1565" s="68" t="inlineStr">
        <is>
          <t>AtkRatio</t>
        </is>
      </c>
      <c r="G1565" s="68">
        <f>INT(G1564*1.01)</f>
        <v/>
      </c>
      <c r="H1565" s="68" t="inlineStr">
        <is>
          <t>DefRatio</t>
        </is>
      </c>
      <c r="I1565" s="68">
        <f>G1565</f>
        <v/>
      </c>
    </row>
    <row r="1566">
      <c r="A1566" s="68">
        <f>B1566&amp;TEXT(C1566,"0000")</f>
        <v/>
      </c>
      <c r="B1566" s="68" t="n">
        <v>200</v>
      </c>
      <c r="C1566" s="68" t="n">
        <v>663</v>
      </c>
      <c r="D1566" s="68" t="inlineStr">
        <is>
          <t>HpRatio</t>
        </is>
      </c>
      <c r="E1566" s="68">
        <f>INT(E1565*1.01)</f>
        <v/>
      </c>
      <c r="F1566" s="68" t="inlineStr">
        <is>
          <t>AtkRatio</t>
        </is>
      </c>
      <c r="G1566" s="68">
        <f>INT(G1565*1.01)</f>
        <v/>
      </c>
      <c r="H1566" s="68" t="inlineStr">
        <is>
          <t>DefRatio</t>
        </is>
      </c>
      <c r="I1566" s="68">
        <f>G1566</f>
        <v/>
      </c>
    </row>
    <row r="1567">
      <c r="A1567" s="68">
        <f>B1567&amp;TEXT(C1567,"0000")</f>
        <v/>
      </c>
      <c r="B1567" s="68" t="n">
        <v>200</v>
      </c>
      <c r="C1567" s="68" t="n">
        <v>664</v>
      </c>
      <c r="D1567" s="68" t="inlineStr">
        <is>
          <t>HpRatio</t>
        </is>
      </c>
      <c r="E1567" s="68">
        <f>INT(E1566*1.01)</f>
        <v/>
      </c>
      <c r="F1567" s="68" t="inlineStr">
        <is>
          <t>AtkRatio</t>
        </is>
      </c>
      <c r="G1567" s="68">
        <f>INT(G1566*1.01)</f>
        <v/>
      </c>
      <c r="H1567" s="68" t="inlineStr">
        <is>
          <t>DefRatio</t>
        </is>
      </c>
      <c r="I1567" s="68">
        <f>G1567</f>
        <v/>
      </c>
    </row>
    <row r="1568">
      <c r="A1568" s="68">
        <f>B1568&amp;TEXT(C1568,"0000")</f>
        <v/>
      </c>
      <c r="B1568" s="68" t="n">
        <v>200</v>
      </c>
      <c r="C1568" s="68" t="n">
        <v>665</v>
      </c>
      <c r="D1568" s="68" t="inlineStr">
        <is>
          <t>HpRatio</t>
        </is>
      </c>
      <c r="E1568" s="68">
        <f>INT(E1567*1.01)</f>
        <v/>
      </c>
      <c r="F1568" s="68" t="inlineStr">
        <is>
          <t>AtkRatio</t>
        </is>
      </c>
      <c r="G1568" s="68">
        <f>INT(G1567*1.01)</f>
        <v/>
      </c>
      <c r="H1568" s="68" t="inlineStr">
        <is>
          <t>DefRatio</t>
        </is>
      </c>
      <c r="I1568" s="68">
        <f>G1568</f>
        <v/>
      </c>
    </row>
    <row r="1569">
      <c r="A1569" s="68">
        <f>B1569&amp;TEXT(C1569,"0000")</f>
        <v/>
      </c>
      <c r="B1569" s="68" t="n">
        <v>200</v>
      </c>
      <c r="C1569" s="68" t="n">
        <v>666</v>
      </c>
      <c r="D1569" s="68" t="inlineStr">
        <is>
          <t>HpRatio</t>
        </is>
      </c>
      <c r="E1569" s="68">
        <f>INT(E1568*1.01)</f>
        <v/>
      </c>
      <c r="F1569" s="68" t="inlineStr">
        <is>
          <t>AtkRatio</t>
        </is>
      </c>
      <c r="G1569" s="68">
        <f>INT(G1568*1.01)</f>
        <v/>
      </c>
      <c r="H1569" s="68" t="inlineStr">
        <is>
          <t>DefRatio</t>
        </is>
      </c>
      <c r="I1569" s="68">
        <f>G1569</f>
        <v/>
      </c>
    </row>
    <row r="1570">
      <c r="A1570" s="68">
        <f>B1570&amp;TEXT(C1570,"0000")</f>
        <v/>
      </c>
      <c r="B1570" s="68" t="n">
        <v>200</v>
      </c>
      <c r="C1570" s="68" t="n">
        <v>667</v>
      </c>
      <c r="D1570" s="68" t="inlineStr">
        <is>
          <t>HpRatio</t>
        </is>
      </c>
      <c r="E1570" s="68">
        <f>INT(E1569*1.01)</f>
        <v/>
      </c>
      <c r="F1570" s="68" t="inlineStr">
        <is>
          <t>AtkRatio</t>
        </is>
      </c>
      <c r="G1570" s="68">
        <f>INT(G1569*1.01)</f>
        <v/>
      </c>
      <c r="H1570" s="68" t="inlineStr">
        <is>
          <t>DefRatio</t>
        </is>
      </c>
      <c r="I1570" s="68">
        <f>G1570</f>
        <v/>
      </c>
    </row>
    <row r="1571">
      <c r="A1571" s="68">
        <f>B1571&amp;TEXT(C1571,"0000")</f>
        <v/>
      </c>
      <c r="B1571" s="68" t="n">
        <v>200</v>
      </c>
      <c r="C1571" s="68" t="n">
        <v>668</v>
      </c>
      <c r="D1571" s="68" t="inlineStr">
        <is>
          <t>HpRatio</t>
        </is>
      </c>
      <c r="E1571" s="68">
        <f>INT(E1570*1.01)</f>
        <v/>
      </c>
      <c r="F1571" s="68" t="inlineStr">
        <is>
          <t>AtkRatio</t>
        </is>
      </c>
      <c r="G1571" s="68">
        <f>INT(G1570*1.01)</f>
        <v/>
      </c>
      <c r="H1571" s="68" t="inlineStr">
        <is>
          <t>DefRatio</t>
        </is>
      </c>
      <c r="I1571" s="68">
        <f>G1571</f>
        <v/>
      </c>
    </row>
    <row r="1572">
      <c r="A1572" s="68">
        <f>B1572&amp;TEXT(C1572,"0000")</f>
        <v/>
      </c>
      <c r="B1572" s="68" t="n">
        <v>200</v>
      </c>
      <c r="C1572" s="68" t="n">
        <v>669</v>
      </c>
      <c r="D1572" s="68" t="inlineStr">
        <is>
          <t>HpRatio</t>
        </is>
      </c>
      <c r="E1572" s="68">
        <f>INT(E1571*1.01)</f>
        <v/>
      </c>
      <c r="F1572" s="68" t="inlineStr">
        <is>
          <t>AtkRatio</t>
        </is>
      </c>
      <c r="G1572" s="68">
        <f>INT(G1571*1.01)</f>
        <v/>
      </c>
      <c r="H1572" s="68" t="inlineStr">
        <is>
          <t>DefRatio</t>
        </is>
      </c>
      <c r="I1572" s="68">
        <f>G1572</f>
        <v/>
      </c>
    </row>
    <row r="1573">
      <c r="A1573" s="68">
        <f>B1573&amp;TEXT(C1573,"0000")</f>
        <v/>
      </c>
      <c r="B1573" s="68" t="n">
        <v>200</v>
      </c>
      <c r="C1573" s="68" t="n">
        <v>670</v>
      </c>
      <c r="D1573" s="68" t="inlineStr">
        <is>
          <t>HpRatio</t>
        </is>
      </c>
      <c r="E1573" s="68">
        <f>INT(E1572*1.01)</f>
        <v/>
      </c>
      <c r="F1573" s="68" t="inlineStr">
        <is>
          <t>AtkRatio</t>
        </is>
      </c>
      <c r="G1573" s="68">
        <f>INT(G1572*1.01)</f>
        <v/>
      </c>
      <c r="H1573" s="68" t="inlineStr">
        <is>
          <t>DefRatio</t>
        </is>
      </c>
      <c r="I1573" s="68">
        <f>G1573</f>
        <v/>
      </c>
    </row>
    <row r="1574">
      <c r="A1574" s="68">
        <f>B1574&amp;TEXT(C1574,"0000")</f>
        <v/>
      </c>
      <c r="B1574" s="68" t="n">
        <v>200</v>
      </c>
      <c r="C1574" s="68" t="n">
        <v>671</v>
      </c>
      <c r="D1574" s="68" t="inlineStr">
        <is>
          <t>HpRatio</t>
        </is>
      </c>
      <c r="E1574" s="68">
        <f>INT(E1573*1.01)</f>
        <v/>
      </c>
      <c r="F1574" s="68" t="inlineStr">
        <is>
          <t>AtkRatio</t>
        </is>
      </c>
      <c r="G1574" s="68">
        <f>INT(G1573*1.01)</f>
        <v/>
      </c>
      <c r="H1574" s="68" t="inlineStr">
        <is>
          <t>DefRatio</t>
        </is>
      </c>
      <c r="I1574" s="68">
        <f>G1574</f>
        <v/>
      </c>
    </row>
    <row r="1575">
      <c r="A1575" s="68">
        <f>B1575&amp;TEXT(C1575,"0000")</f>
        <v/>
      </c>
      <c r="B1575" s="68" t="n">
        <v>200</v>
      </c>
      <c r="C1575" s="68" t="n">
        <v>672</v>
      </c>
      <c r="D1575" s="68" t="inlineStr">
        <is>
          <t>HpRatio</t>
        </is>
      </c>
      <c r="E1575" s="68">
        <f>INT(E1574*1.01)</f>
        <v/>
      </c>
      <c r="F1575" s="68" t="inlineStr">
        <is>
          <t>AtkRatio</t>
        </is>
      </c>
      <c r="G1575" s="68">
        <f>INT(G1574*1.01)</f>
        <v/>
      </c>
      <c r="H1575" s="68" t="inlineStr">
        <is>
          <t>DefRatio</t>
        </is>
      </c>
      <c r="I1575" s="68">
        <f>G1575</f>
        <v/>
      </c>
    </row>
    <row r="1576">
      <c r="A1576" s="68">
        <f>B1576&amp;TEXT(C1576,"0000")</f>
        <v/>
      </c>
      <c r="B1576" s="68" t="n">
        <v>200</v>
      </c>
      <c r="C1576" s="68" t="n">
        <v>673</v>
      </c>
      <c r="D1576" s="68" t="inlineStr">
        <is>
          <t>HpRatio</t>
        </is>
      </c>
      <c r="E1576" s="68">
        <f>INT(E1575*1.01)</f>
        <v/>
      </c>
      <c r="F1576" s="68" t="inlineStr">
        <is>
          <t>AtkRatio</t>
        </is>
      </c>
      <c r="G1576" s="68">
        <f>INT(G1575*1.01)</f>
        <v/>
      </c>
      <c r="H1576" s="68" t="inlineStr">
        <is>
          <t>DefRatio</t>
        </is>
      </c>
      <c r="I1576" s="68">
        <f>G1576</f>
        <v/>
      </c>
    </row>
    <row r="1577">
      <c r="A1577" s="68">
        <f>B1577&amp;TEXT(C1577,"0000")</f>
        <v/>
      </c>
      <c r="B1577" s="68" t="n">
        <v>200</v>
      </c>
      <c r="C1577" s="68" t="n">
        <v>674</v>
      </c>
      <c r="D1577" s="68" t="inlineStr">
        <is>
          <t>HpRatio</t>
        </is>
      </c>
      <c r="E1577" s="68">
        <f>INT(E1576*1.01)</f>
        <v/>
      </c>
      <c r="F1577" s="68" t="inlineStr">
        <is>
          <t>AtkRatio</t>
        </is>
      </c>
      <c r="G1577" s="68">
        <f>INT(G1576*1.01)</f>
        <v/>
      </c>
      <c r="H1577" s="68" t="inlineStr">
        <is>
          <t>DefRatio</t>
        </is>
      </c>
      <c r="I1577" s="68">
        <f>G1577</f>
        <v/>
      </c>
    </row>
    <row r="1578">
      <c r="A1578" s="68">
        <f>B1578&amp;TEXT(C1578,"0000")</f>
        <v/>
      </c>
      <c r="B1578" s="68" t="n">
        <v>200</v>
      </c>
      <c r="C1578" s="68" t="n">
        <v>675</v>
      </c>
      <c r="D1578" s="68" t="inlineStr">
        <is>
          <t>HpRatio</t>
        </is>
      </c>
      <c r="E1578" s="68">
        <f>INT(E1577*1.01)</f>
        <v/>
      </c>
      <c r="F1578" s="68" t="inlineStr">
        <is>
          <t>AtkRatio</t>
        </is>
      </c>
      <c r="G1578" s="68">
        <f>INT(G1577*1.01)</f>
        <v/>
      </c>
      <c r="H1578" s="68" t="inlineStr">
        <is>
          <t>DefRatio</t>
        </is>
      </c>
      <c r="I1578" s="68">
        <f>G1578</f>
        <v/>
      </c>
    </row>
    <row r="1579">
      <c r="A1579" s="68">
        <f>B1579&amp;TEXT(C1579,"0000")</f>
        <v/>
      </c>
      <c r="B1579" s="68" t="n">
        <v>200</v>
      </c>
      <c r="C1579" s="68" t="n">
        <v>676</v>
      </c>
      <c r="D1579" s="68" t="inlineStr">
        <is>
          <t>HpRatio</t>
        </is>
      </c>
      <c r="E1579" s="68">
        <f>INT(E1578*1.01)</f>
        <v/>
      </c>
      <c r="F1579" s="68" t="inlineStr">
        <is>
          <t>AtkRatio</t>
        </is>
      </c>
      <c r="G1579" s="68">
        <f>INT(G1578*1.01)</f>
        <v/>
      </c>
      <c r="H1579" s="68" t="inlineStr">
        <is>
          <t>DefRatio</t>
        </is>
      </c>
      <c r="I1579" s="68">
        <f>G1579</f>
        <v/>
      </c>
    </row>
    <row r="1580">
      <c r="A1580" s="68">
        <f>B1580&amp;TEXT(C1580,"0000")</f>
        <v/>
      </c>
      <c r="B1580" s="68" t="n">
        <v>200</v>
      </c>
      <c r="C1580" s="68" t="n">
        <v>677</v>
      </c>
      <c r="D1580" s="68" t="inlineStr">
        <is>
          <t>HpRatio</t>
        </is>
      </c>
      <c r="E1580" s="68">
        <f>INT(E1579*1.01)</f>
        <v/>
      </c>
      <c r="F1580" s="68" t="inlineStr">
        <is>
          <t>AtkRatio</t>
        </is>
      </c>
      <c r="G1580" s="68">
        <f>INT(G1579*1.01)</f>
        <v/>
      </c>
      <c r="H1580" s="68" t="inlineStr">
        <is>
          <t>DefRatio</t>
        </is>
      </c>
      <c r="I1580" s="68">
        <f>G1580</f>
        <v/>
      </c>
    </row>
    <row r="1581">
      <c r="A1581" s="68">
        <f>B1581&amp;TEXT(C1581,"0000")</f>
        <v/>
      </c>
      <c r="B1581" s="68" t="n">
        <v>200</v>
      </c>
      <c r="C1581" s="68" t="n">
        <v>678</v>
      </c>
      <c r="D1581" s="68" t="inlineStr">
        <is>
          <t>HpRatio</t>
        </is>
      </c>
      <c r="E1581" s="68">
        <f>INT(E1580*1.01)</f>
        <v/>
      </c>
      <c r="F1581" s="68" t="inlineStr">
        <is>
          <t>AtkRatio</t>
        </is>
      </c>
      <c r="G1581" s="68">
        <f>INT(G1580*1.01)</f>
        <v/>
      </c>
      <c r="H1581" s="68" t="inlineStr">
        <is>
          <t>DefRatio</t>
        </is>
      </c>
      <c r="I1581" s="68">
        <f>G1581</f>
        <v/>
      </c>
    </row>
    <row r="1582">
      <c r="A1582" s="68">
        <f>B1582&amp;TEXT(C1582,"0000")</f>
        <v/>
      </c>
      <c r="B1582" s="68" t="n">
        <v>200</v>
      </c>
      <c r="C1582" s="68" t="n">
        <v>679</v>
      </c>
      <c r="D1582" s="68" t="inlineStr">
        <is>
          <t>HpRatio</t>
        </is>
      </c>
      <c r="E1582" s="68">
        <f>INT(E1581*1.01)</f>
        <v/>
      </c>
      <c r="F1582" s="68" t="inlineStr">
        <is>
          <t>AtkRatio</t>
        </is>
      </c>
      <c r="G1582" s="68">
        <f>INT(G1581*1.01)</f>
        <v/>
      </c>
      <c r="H1582" s="68" t="inlineStr">
        <is>
          <t>DefRatio</t>
        </is>
      </c>
      <c r="I1582" s="68">
        <f>G1582</f>
        <v/>
      </c>
    </row>
    <row r="1583">
      <c r="A1583" s="68">
        <f>B1583&amp;TEXT(C1583,"0000")</f>
        <v/>
      </c>
      <c r="B1583" s="68" t="n">
        <v>200</v>
      </c>
      <c r="C1583" s="68" t="n">
        <v>680</v>
      </c>
      <c r="D1583" s="68" t="inlineStr">
        <is>
          <t>HpRatio</t>
        </is>
      </c>
      <c r="E1583" s="68">
        <f>INT(E1582*1.01)</f>
        <v/>
      </c>
      <c r="F1583" s="68" t="inlineStr">
        <is>
          <t>AtkRatio</t>
        </is>
      </c>
      <c r="G1583" s="68">
        <f>INT(G1582*1.01)</f>
        <v/>
      </c>
      <c r="H1583" s="68" t="inlineStr">
        <is>
          <t>DefRatio</t>
        </is>
      </c>
      <c r="I1583" s="68">
        <f>G1583</f>
        <v/>
      </c>
    </row>
    <row r="1584">
      <c r="A1584" s="68">
        <f>B1584&amp;TEXT(C1584,"0000")</f>
        <v/>
      </c>
      <c r="B1584" s="68" t="n">
        <v>200</v>
      </c>
      <c r="C1584" s="68" t="n">
        <v>681</v>
      </c>
      <c r="D1584" s="68" t="inlineStr">
        <is>
          <t>HpRatio</t>
        </is>
      </c>
      <c r="E1584" s="68">
        <f>INT(E1583*1.01)</f>
        <v/>
      </c>
      <c r="F1584" s="68" t="inlineStr">
        <is>
          <t>AtkRatio</t>
        </is>
      </c>
      <c r="G1584" s="68">
        <f>INT(G1583*1.01)</f>
        <v/>
      </c>
      <c r="H1584" s="68" t="inlineStr">
        <is>
          <t>DefRatio</t>
        </is>
      </c>
      <c r="I1584" s="68">
        <f>G1584</f>
        <v/>
      </c>
    </row>
    <row r="1585">
      <c r="A1585" s="68">
        <f>B1585&amp;TEXT(C1585,"0000")</f>
        <v/>
      </c>
      <c r="B1585" s="68" t="n">
        <v>200</v>
      </c>
      <c r="C1585" s="68" t="n">
        <v>682</v>
      </c>
      <c r="D1585" s="68" t="inlineStr">
        <is>
          <t>HpRatio</t>
        </is>
      </c>
      <c r="E1585" s="68">
        <f>INT(E1584*1.01)</f>
        <v/>
      </c>
      <c r="F1585" s="68" t="inlineStr">
        <is>
          <t>AtkRatio</t>
        </is>
      </c>
      <c r="G1585" s="68">
        <f>INT(G1584*1.01)</f>
        <v/>
      </c>
      <c r="H1585" s="68" t="inlineStr">
        <is>
          <t>DefRatio</t>
        </is>
      </c>
      <c r="I1585" s="68">
        <f>G1585</f>
        <v/>
      </c>
    </row>
    <row r="1586">
      <c r="A1586" s="68">
        <f>B1586&amp;TEXT(C1586,"0000")</f>
        <v/>
      </c>
      <c r="B1586" s="68" t="n">
        <v>200</v>
      </c>
      <c r="C1586" s="68" t="n">
        <v>683</v>
      </c>
      <c r="D1586" s="68" t="inlineStr">
        <is>
          <t>HpRatio</t>
        </is>
      </c>
      <c r="E1586" s="68">
        <f>INT(E1585*1.01)</f>
        <v/>
      </c>
      <c r="F1586" s="68" t="inlineStr">
        <is>
          <t>AtkRatio</t>
        </is>
      </c>
      <c r="G1586" s="68">
        <f>INT(G1585*1.01)</f>
        <v/>
      </c>
      <c r="H1586" s="68" t="inlineStr">
        <is>
          <t>DefRatio</t>
        </is>
      </c>
      <c r="I1586" s="68">
        <f>G1586</f>
        <v/>
      </c>
    </row>
    <row r="1587">
      <c r="A1587" s="68">
        <f>B1587&amp;TEXT(C1587,"0000")</f>
        <v/>
      </c>
      <c r="B1587" s="68" t="n">
        <v>200</v>
      </c>
      <c r="C1587" s="68" t="n">
        <v>684</v>
      </c>
      <c r="D1587" s="68" t="inlineStr">
        <is>
          <t>HpRatio</t>
        </is>
      </c>
      <c r="E1587" s="68">
        <f>INT(E1586*1.01)</f>
        <v/>
      </c>
      <c r="F1587" s="68" t="inlineStr">
        <is>
          <t>AtkRatio</t>
        </is>
      </c>
      <c r="G1587" s="68">
        <f>INT(G1586*1.01)</f>
        <v/>
      </c>
      <c r="H1587" s="68" t="inlineStr">
        <is>
          <t>DefRatio</t>
        </is>
      </c>
      <c r="I1587" s="68">
        <f>G1587</f>
        <v/>
      </c>
    </row>
    <row r="1588">
      <c r="A1588" s="68">
        <f>B1588&amp;TEXT(C1588,"0000")</f>
        <v/>
      </c>
      <c r="B1588" s="68" t="n">
        <v>200</v>
      </c>
      <c r="C1588" s="68" t="n">
        <v>685</v>
      </c>
      <c r="D1588" s="68" t="inlineStr">
        <is>
          <t>HpRatio</t>
        </is>
      </c>
      <c r="E1588" s="68">
        <f>INT(E1587*1.01)</f>
        <v/>
      </c>
      <c r="F1588" s="68" t="inlineStr">
        <is>
          <t>AtkRatio</t>
        </is>
      </c>
      <c r="G1588" s="68">
        <f>INT(G1587*1.01)</f>
        <v/>
      </c>
      <c r="H1588" s="68" t="inlineStr">
        <is>
          <t>DefRatio</t>
        </is>
      </c>
      <c r="I1588" s="68">
        <f>G1588</f>
        <v/>
      </c>
    </row>
    <row r="1589">
      <c r="A1589" s="68">
        <f>B1589&amp;TEXT(C1589,"0000")</f>
        <v/>
      </c>
      <c r="B1589" s="68" t="n">
        <v>200</v>
      </c>
      <c r="C1589" s="68" t="n">
        <v>686</v>
      </c>
      <c r="D1589" s="68" t="inlineStr">
        <is>
          <t>HpRatio</t>
        </is>
      </c>
      <c r="E1589" s="68">
        <f>INT(E1588*1.01)</f>
        <v/>
      </c>
      <c r="F1589" s="68" t="inlineStr">
        <is>
          <t>AtkRatio</t>
        </is>
      </c>
      <c r="G1589" s="68">
        <f>INT(G1588*1.01)</f>
        <v/>
      </c>
      <c r="H1589" s="68" t="inlineStr">
        <is>
          <t>DefRatio</t>
        </is>
      </c>
      <c r="I1589" s="68">
        <f>G1589</f>
        <v/>
      </c>
    </row>
    <row r="1590">
      <c r="A1590" s="68">
        <f>B1590&amp;TEXT(C1590,"0000")</f>
        <v/>
      </c>
      <c r="B1590" s="68" t="n">
        <v>200</v>
      </c>
      <c r="C1590" s="68" t="n">
        <v>687</v>
      </c>
      <c r="D1590" s="68" t="inlineStr">
        <is>
          <t>HpRatio</t>
        </is>
      </c>
      <c r="E1590" s="68">
        <f>INT(E1589*1.01)</f>
        <v/>
      </c>
      <c r="F1590" s="68" t="inlineStr">
        <is>
          <t>AtkRatio</t>
        </is>
      </c>
      <c r="G1590" s="68">
        <f>INT(G1589*1.01)</f>
        <v/>
      </c>
      <c r="H1590" s="68" t="inlineStr">
        <is>
          <t>DefRatio</t>
        </is>
      </c>
      <c r="I1590" s="68">
        <f>G1590</f>
        <v/>
      </c>
    </row>
    <row r="1591">
      <c r="A1591" s="68">
        <f>B1591&amp;TEXT(C1591,"0000")</f>
        <v/>
      </c>
      <c r="B1591" s="68" t="n">
        <v>200</v>
      </c>
      <c r="C1591" s="68" t="n">
        <v>688</v>
      </c>
      <c r="D1591" s="68" t="inlineStr">
        <is>
          <t>HpRatio</t>
        </is>
      </c>
      <c r="E1591" s="68">
        <f>INT(E1590*1.01)</f>
        <v/>
      </c>
      <c r="F1591" s="68" t="inlineStr">
        <is>
          <t>AtkRatio</t>
        </is>
      </c>
      <c r="G1591" s="68">
        <f>INT(G1590*1.01)</f>
        <v/>
      </c>
      <c r="H1591" s="68" t="inlineStr">
        <is>
          <t>DefRatio</t>
        </is>
      </c>
      <c r="I1591" s="68">
        <f>G1591</f>
        <v/>
      </c>
    </row>
    <row r="1592">
      <c r="A1592" s="68">
        <f>B1592&amp;TEXT(C1592,"0000")</f>
        <v/>
      </c>
      <c r="B1592" s="68" t="n">
        <v>200</v>
      </c>
      <c r="C1592" s="68" t="n">
        <v>689</v>
      </c>
      <c r="D1592" s="68" t="inlineStr">
        <is>
          <t>HpRatio</t>
        </is>
      </c>
      <c r="E1592" s="68">
        <f>INT(E1591*1.01)</f>
        <v/>
      </c>
      <c r="F1592" s="68" t="inlineStr">
        <is>
          <t>AtkRatio</t>
        </is>
      </c>
      <c r="G1592" s="68">
        <f>INT(G1591*1.01)</f>
        <v/>
      </c>
      <c r="H1592" s="68" t="inlineStr">
        <is>
          <t>DefRatio</t>
        </is>
      </c>
      <c r="I1592" s="68">
        <f>G1592</f>
        <v/>
      </c>
    </row>
    <row r="1593">
      <c r="A1593" s="68">
        <f>B1593&amp;TEXT(C1593,"0000")</f>
        <v/>
      </c>
      <c r="B1593" s="68" t="n">
        <v>200</v>
      </c>
      <c r="C1593" s="68" t="n">
        <v>690</v>
      </c>
      <c r="D1593" s="68" t="inlineStr">
        <is>
          <t>HpRatio</t>
        </is>
      </c>
      <c r="E1593" s="68">
        <f>INT(E1592*1.01)</f>
        <v/>
      </c>
      <c r="F1593" s="68" t="inlineStr">
        <is>
          <t>AtkRatio</t>
        </is>
      </c>
      <c r="G1593" s="68">
        <f>INT(G1592*1.01)</f>
        <v/>
      </c>
      <c r="H1593" s="68" t="inlineStr">
        <is>
          <t>DefRatio</t>
        </is>
      </c>
      <c r="I1593" s="68">
        <f>G1593</f>
        <v/>
      </c>
    </row>
    <row r="1594">
      <c r="A1594" s="68">
        <f>B1594&amp;TEXT(C1594,"0000")</f>
        <v/>
      </c>
      <c r="B1594" s="68" t="n">
        <v>200</v>
      </c>
      <c r="C1594" s="68" t="n">
        <v>691</v>
      </c>
      <c r="D1594" s="68" t="inlineStr">
        <is>
          <t>HpRatio</t>
        </is>
      </c>
      <c r="E1594" s="68">
        <f>INT(E1593*1.01)</f>
        <v/>
      </c>
      <c r="F1594" s="68" t="inlineStr">
        <is>
          <t>AtkRatio</t>
        </is>
      </c>
      <c r="G1594" s="68">
        <f>INT(G1593*1.01)</f>
        <v/>
      </c>
      <c r="H1594" s="68" t="inlineStr">
        <is>
          <t>DefRatio</t>
        </is>
      </c>
      <c r="I1594" s="68">
        <f>G1594</f>
        <v/>
      </c>
    </row>
    <row r="1595">
      <c r="A1595" s="68">
        <f>B1595&amp;TEXT(C1595,"0000")</f>
        <v/>
      </c>
      <c r="B1595" s="68" t="n">
        <v>200</v>
      </c>
      <c r="C1595" s="68" t="n">
        <v>692</v>
      </c>
      <c r="D1595" s="68" t="inlineStr">
        <is>
          <t>HpRatio</t>
        </is>
      </c>
      <c r="E1595" s="68">
        <f>INT(E1594*1.01)</f>
        <v/>
      </c>
      <c r="F1595" s="68" t="inlineStr">
        <is>
          <t>AtkRatio</t>
        </is>
      </c>
      <c r="G1595" s="68">
        <f>INT(G1594*1.01)</f>
        <v/>
      </c>
      <c r="H1595" s="68" t="inlineStr">
        <is>
          <t>DefRatio</t>
        </is>
      </c>
      <c r="I1595" s="68">
        <f>G1595</f>
        <v/>
      </c>
    </row>
    <row r="1596">
      <c r="A1596" s="68">
        <f>B1596&amp;TEXT(C1596,"0000")</f>
        <v/>
      </c>
      <c r="B1596" s="68" t="n">
        <v>200</v>
      </c>
      <c r="C1596" s="68" t="n">
        <v>693</v>
      </c>
      <c r="D1596" s="68" t="inlineStr">
        <is>
          <t>HpRatio</t>
        </is>
      </c>
      <c r="E1596" s="68">
        <f>INT(E1595*1.01)</f>
        <v/>
      </c>
      <c r="F1596" s="68" t="inlineStr">
        <is>
          <t>AtkRatio</t>
        </is>
      </c>
      <c r="G1596" s="68">
        <f>INT(G1595*1.01)</f>
        <v/>
      </c>
      <c r="H1596" s="68" t="inlineStr">
        <is>
          <t>DefRatio</t>
        </is>
      </c>
      <c r="I1596" s="68">
        <f>G1596</f>
        <v/>
      </c>
    </row>
    <row r="1597">
      <c r="A1597" s="68">
        <f>B1597&amp;TEXT(C1597,"0000")</f>
        <v/>
      </c>
      <c r="B1597" s="68" t="n">
        <v>200</v>
      </c>
      <c r="C1597" s="68" t="n">
        <v>694</v>
      </c>
      <c r="D1597" s="68" t="inlineStr">
        <is>
          <t>HpRatio</t>
        </is>
      </c>
      <c r="E1597" s="68">
        <f>INT(E1596*1.01)</f>
        <v/>
      </c>
      <c r="F1597" s="68" t="inlineStr">
        <is>
          <t>AtkRatio</t>
        </is>
      </c>
      <c r="G1597" s="68">
        <f>INT(G1596*1.01)</f>
        <v/>
      </c>
      <c r="H1597" s="68" t="inlineStr">
        <is>
          <t>DefRatio</t>
        </is>
      </c>
      <c r="I1597" s="68">
        <f>G1597</f>
        <v/>
      </c>
    </row>
    <row r="1598">
      <c r="A1598" s="68">
        <f>B1598&amp;TEXT(C1598,"0000")</f>
        <v/>
      </c>
      <c r="B1598" s="68" t="n">
        <v>200</v>
      </c>
      <c r="C1598" s="68" t="n">
        <v>695</v>
      </c>
      <c r="D1598" s="68" t="inlineStr">
        <is>
          <t>HpRatio</t>
        </is>
      </c>
      <c r="E1598" s="68">
        <f>INT(E1597*1.01)</f>
        <v/>
      </c>
      <c r="F1598" s="68" t="inlineStr">
        <is>
          <t>AtkRatio</t>
        </is>
      </c>
      <c r="G1598" s="68">
        <f>INT(G1597*1.01)</f>
        <v/>
      </c>
      <c r="H1598" s="68" t="inlineStr">
        <is>
          <t>DefRatio</t>
        </is>
      </c>
      <c r="I1598" s="68">
        <f>G1598</f>
        <v/>
      </c>
    </row>
    <row r="1599">
      <c r="A1599" s="68">
        <f>B1599&amp;TEXT(C1599,"0000")</f>
        <v/>
      </c>
      <c r="B1599" s="68" t="n">
        <v>200</v>
      </c>
      <c r="C1599" s="68" t="n">
        <v>696</v>
      </c>
      <c r="D1599" s="68" t="inlineStr">
        <is>
          <t>HpRatio</t>
        </is>
      </c>
      <c r="E1599" s="68">
        <f>INT(E1598*1.01)</f>
        <v/>
      </c>
      <c r="F1599" s="68" t="inlineStr">
        <is>
          <t>AtkRatio</t>
        </is>
      </c>
      <c r="G1599" s="68">
        <f>INT(G1598*1.01)</f>
        <v/>
      </c>
      <c r="H1599" s="68" t="inlineStr">
        <is>
          <t>DefRatio</t>
        </is>
      </c>
      <c r="I1599" s="68">
        <f>G1599</f>
        <v/>
      </c>
    </row>
    <row r="1600">
      <c r="A1600" s="68">
        <f>B1600&amp;TEXT(C1600,"0000")</f>
        <v/>
      </c>
      <c r="B1600" s="68" t="n">
        <v>200</v>
      </c>
      <c r="C1600" s="68" t="n">
        <v>697</v>
      </c>
      <c r="D1600" s="68" t="inlineStr">
        <is>
          <t>HpRatio</t>
        </is>
      </c>
      <c r="E1600" s="68">
        <f>INT(E1599*1.01)</f>
        <v/>
      </c>
      <c r="F1600" s="68" t="inlineStr">
        <is>
          <t>AtkRatio</t>
        </is>
      </c>
      <c r="G1600" s="68">
        <f>INT(G1599*1.01)</f>
        <v/>
      </c>
      <c r="H1600" s="68" t="inlineStr">
        <is>
          <t>DefRatio</t>
        </is>
      </c>
      <c r="I1600" s="68">
        <f>G1600</f>
        <v/>
      </c>
    </row>
    <row r="1601">
      <c r="A1601" s="68">
        <f>B1601&amp;TEXT(C1601,"0000")</f>
        <v/>
      </c>
      <c r="B1601" s="68" t="n">
        <v>200</v>
      </c>
      <c r="C1601" s="68" t="n">
        <v>698</v>
      </c>
      <c r="D1601" s="68" t="inlineStr">
        <is>
          <t>HpRatio</t>
        </is>
      </c>
      <c r="E1601" s="68">
        <f>INT(E1600*1.01)</f>
        <v/>
      </c>
      <c r="F1601" s="68" t="inlineStr">
        <is>
          <t>AtkRatio</t>
        </is>
      </c>
      <c r="G1601" s="68">
        <f>INT(G1600*1.01)</f>
        <v/>
      </c>
      <c r="H1601" s="68" t="inlineStr">
        <is>
          <t>DefRatio</t>
        </is>
      </c>
      <c r="I1601" s="68">
        <f>G1601</f>
        <v/>
      </c>
    </row>
    <row r="1602">
      <c r="A1602" s="68">
        <f>B1602&amp;TEXT(C1602,"0000")</f>
        <v/>
      </c>
      <c r="B1602" s="68" t="n">
        <v>200</v>
      </c>
      <c r="C1602" s="68" t="n">
        <v>699</v>
      </c>
      <c r="D1602" s="68" t="inlineStr">
        <is>
          <t>HpRatio</t>
        </is>
      </c>
      <c r="E1602" s="68">
        <f>INT(E1601*1.01)</f>
        <v/>
      </c>
      <c r="F1602" s="68" t="inlineStr">
        <is>
          <t>AtkRatio</t>
        </is>
      </c>
      <c r="G1602" s="68">
        <f>INT(G1601*1.01)</f>
        <v/>
      </c>
      <c r="H1602" s="68" t="inlineStr">
        <is>
          <t>DefRatio</t>
        </is>
      </c>
      <c r="I1602" s="68">
        <f>G1602</f>
        <v/>
      </c>
    </row>
    <row r="1603">
      <c r="A1603" s="68">
        <f>B1603&amp;TEXT(C1603,"0000")</f>
        <v/>
      </c>
      <c r="B1603" s="68" t="n">
        <v>200</v>
      </c>
      <c r="C1603" s="68" t="n">
        <v>700</v>
      </c>
      <c r="D1603" s="68" t="inlineStr">
        <is>
          <t>HpRatio</t>
        </is>
      </c>
      <c r="E1603" s="68">
        <f>INT(E1602*1.01)</f>
        <v/>
      </c>
      <c r="F1603" s="68" t="inlineStr">
        <is>
          <t>AtkRatio</t>
        </is>
      </c>
      <c r="G1603" s="68">
        <f>INT(G1602*1.01)</f>
        <v/>
      </c>
      <c r="H1603" s="68" t="inlineStr">
        <is>
          <t>DefRatio</t>
        </is>
      </c>
      <c r="I1603" s="68">
        <f>G1603</f>
        <v/>
      </c>
    </row>
    <row r="1604">
      <c r="A1604" s="68">
        <f>B1604&amp;TEXT(C1604,"0000")</f>
        <v/>
      </c>
      <c r="B1604" s="68" t="n">
        <v>200</v>
      </c>
      <c r="C1604" s="68" t="n">
        <v>701</v>
      </c>
      <c r="D1604" s="68" t="inlineStr">
        <is>
          <t>HpRatio</t>
        </is>
      </c>
      <c r="E1604" s="68">
        <f>INT(E1603*1.01)</f>
        <v/>
      </c>
      <c r="F1604" s="68" t="inlineStr">
        <is>
          <t>AtkRatio</t>
        </is>
      </c>
      <c r="G1604" s="68">
        <f>INT(G1603*1.01)</f>
        <v/>
      </c>
      <c r="H1604" s="68" t="inlineStr">
        <is>
          <t>DefRatio</t>
        </is>
      </c>
      <c r="I1604" s="68">
        <f>G1604</f>
        <v/>
      </c>
    </row>
    <row r="1605">
      <c r="A1605" s="68">
        <f>B1605&amp;TEXT(C1605,"0000")</f>
        <v/>
      </c>
      <c r="B1605" s="68" t="n">
        <v>200</v>
      </c>
      <c r="C1605" s="68" t="n">
        <v>702</v>
      </c>
      <c r="D1605" s="68" t="inlineStr">
        <is>
          <t>HpRatio</t>
        </is>
      </c>
      <c r="E1605" s="68">
        <f>INT(E1604*1.01)</f>
        <v/>
      </c>
      <c r="F1605" s="68" t="inlineStr">
        <is>
          <t>AtkRatio</t>
        </is>
      </c>
      <c r="G1605" s="68">
        <f>INT(G1604*1.01)</f>
        <v/>
      </c>
      <c r="H1605" s="68" t="inlineStr">
        <is>
          <t>DefRatio</t>
        </is>
      </c>
      <c r="I1605" s="68">
        <f>G1605</f>
        <v/>
      </c>
    </row>
    <row r="1606">
      <c r="A1606" s="68">
        <f>B1606&amp;TEXT(C1606,"0000")</f>
        <v/>
      </c>
      <c r="B1606" s="68" t="n">
        <v>200</v>
      </c>
      <c r="C1606" s="68" t="n">
        <v>703</v>
      </c>
      <c r="D1606" s="68" t="inlineStr">
        <is>
          <t>HpRatio</t>
        </is>
      </c>
      <c r="E1606" s="68">
        <f>INT(E1605*1.01)</f>
        <v/>
      </c>
      <c r="F1606" s="68" t="inlineStr">
        <is>
          <t>AtkRatio</t>
        </is>
      </c>
      <c r="G1606" s="68">
        <f>INT(G1605*1.01)</f>
        <v/>
      </c>
      <c r="H1606" s="68" t="inlineStr">
        <is>
          <t>DefRatio</t>
        </is>
      </c>
      <c r="I1606" s="68">
        <f>G1606</f>
        <v/>
      </c>
    </row>
    <row r="1607">
      <c r="A1607" s="68">
        <f>B1607&amp;TEXT(C1607,"0000")</f>
        <v/>
      </c>
      <c r="B1607" s="68" t="n">
        <v>200</v>
      </c>
      <c r="C1607" s="68" t="n">
        <v>704</v>
      </c>
      <c r="D1607" s="68" t="inlineStr">
        <is>
          <t>HpRatio</t>
        </is>
      </c>
      <c r="E1607" s="68">
        <f>INT(E1606*1.01)</f>
        <v/>
      </c>
      <c r="F1607" s="68" t="inlineStr">
        <is>
          <t>AtkRatio</t>
        </is>
      </c>
      <c r="G1607" s="68">
        <f>INT(G1606*1.01)</f>
        <v/>
      </c>
      <c r="H1607" s="68" t="inlineStr">
        <is>
          <t>DefRatio</t>
        </is>
      </c>
      <c r="I1607" s="68">
        <f>G1607</f>
        <v/>
      </c>
    </row>
    <row r="1608">
      <c r="A1608" s="68">
        <f>B1608&amp;TEXT(C1608,"0000")</f>
        <v/>
      </c>
      <c r="B1608" s="68" t="n">
        <v>200</v>
      </c>
      <c r="C1608" s="68" t="n">
        <v>705</v>
      </c>
      <c r="D1608" s="68" t="inlineStr">
        <is>
          <t>HpRatio</t>
        </is>
      </c>
      <c r="E1608" s="68">
        <f>INT(E1607*1.01)</f>
        <v/>
      </c>
      <c r="F1608" s="68" t="inlineStr">
        <is>
          <t>AtkRatio</t>
        </is>
      </c>
      <c r="G1608" s="68">
        <f>INT(G1607*1.01)</f>
        <v/>
      </c>
      <c r="H1608" s="68" t="inlineStr">
        <is>
          <t>DefRatio</t>
        </is>
      </c>
      <c r="I1608" s="68">
        <f>G1608</f>
        <v/>
      </c>
    </row>
    <row r="1609">
      <c r="A1609" s="68">
        <f>B1609&amp;TEXT(C1609,"0000")</f>
        <v/>
      </c>
      <c r="B1609" s="68" t="n">
        <v>200</v>
      </c>
      <c r="C1609" s="68" t="n">
        <v>706</v>
      </c>
      <c r="D1609" s="68" t="inlineStr">
        <is>
          <t>HpRatio</t>
        </is>
      </c>
      <c r="E1609" s="68">
        <f>INT(E1608*1.01)</f>
        <v/>
      </c>
      <c r="F1609" s="68" t="inlineStr">
        <is>
          <t>AtkRatio</t>
        </is>
      </c>
      <c r="G1609" s="68">
        <f>INT(G1608*1.01)</f>
        <v/>
      </c>
      <c r="H1609" s="68" t="inlineStr">
        <is>
          <t>DefRatio</t>
        </is>
      </c>
      <c r="I1609" s="68">
        <f>G1609</f>
        <v/>
      </c>
    </row>
    <row r="1610">
      <c r="A1610" s="68">
        <f>B1610&amp;TEXT(C1610,"0000")</f>
        <v/>
      </c>
      <c r="B1610" s="68" t="n">
        <v>200</v>
      </c>
      <c r="C1610" s="68" t="n">
        <v>707</v>
      </c>
      <c r="D1610" s="68" t="inlineStr">
        <is>
          <t>HpRatio</t>
        </is>
      </c>
      <c r="E1610" s="68">
        <f>INT(E1609*1.01)</f>
        <v/>
      </c>
      <c r="F1610" s="68" t="inlineStr">
        <is>
          <t>AtkRatio</t>
        </is>
      </c>
      <c r="G1610" s="68">
        <f>INT(G1609*1.01)</f>
        <v/>
      </c>
      <c r="H1610" s="68" t="inlineStr">
        <is>
          <t>DefRatio</t>
        </is>
      </c>
      <c r="I1610" s="68">
        <f>G1610</f>
        <v/>
      </c>
    </row>
    <row r="1611">
      <c r="A1611" s="68">
        <f>B1611&amp;TEXT(C1611,"0000")</f>
        <v/>
      </c>
      <c r="B1611" s="68" t="n">
        <v>200</v>
      </c>
      <c r="C1611" s="68" t="n">
        <v>708</v>
      </c>
      <c r="D1611" s="68" t="inlineStr">
        <is>
          <t>HpRatio</t>
        </is>
      </c>
      <c r="E1611" s="68">
        <f>INT(E1610*1.01)</f>
        <v/>
      </c>
      <c r="F1611" s="68" t="inlineStr">
        <is>
          <t>AtkRatio</t>
        </is>
      </c>
      <c r="G1611" s="68">
        <f>INT(G1610*1.01)</f>
        <v/>
      </c>
      <c r="H1611" s="68" t="inlineStr">
        <is>
          <t>DefRatio</t>
        </is>
      </c>
      <c r="I1611" s="68">
        <f>G1611</f>
        <v/>
      </c>
    </row>
    <row r="1612">
      <c r="A1612" s="68">
        <f>B1612&amp;TEXT(C1612,"0000")</f>
        <v/>
      </c>
      <c r="B1612" s="68" t="n">
        <v>200</v>
      </c>
      <c r="C1612" s="68" t="n">
        <v>709</v>
      </c>
      <c r="D1612" s="68" t="inlineStr">
        <is>
          <t>HpRatio</t>
        </is>
      </c>
      <c r="E1612" s="68">
        <f>INT(E1611*1.01)</f>
        <v/>
      </c>
      <c r="F1612" s="68" t="inlineStr">
        <is>
          <t>AtkRatio</t>
        </is>
      </c>
      <c r="G1612" s="68">
        <f>INT(G1611*1.01)</f>
        <v/>
      </c>
      <c r="H1612" s="68" t="inlineStr">
        <is>
          <t>DefRatio</t>
        </is>
      </c>
      <c r="I1612" s="68">
        <f>G1612</f>
        <v/>
      </c>
    </row>
    <row r="1613">
      <c r="A1613" s="68">
        <f>B1613&amp;TEXT(C1613,"0000")</f>
        <v/>
      </c>
      <c r="B1613" s="68" t="n">
        <v>200</v>
      </c>
      <c r="C1613" s="68" t="n">
        <v>710</v>
      </c>
      <c r="D1613" s="68" t="inlineStr">
        <is>
          <t>HpRatio</t>
        </is>
      </c>
      <c r="E1613" s="68">
        <f>INT(E1612*1.01)</f>
        <v/>
      </c>
      <c r="F1613" s="68" t="inlineStr">
        <is>
          <t>AtkRatio</t>
        </is>
      </c>
      <c r="G1613" s="68">
        <f>INT(G1612*1.01)</f>
        <v/>
      </c>
      <c r="H1613" s="68" t="inlineStr">
        <is>
          <t>DefRatio</t>
        </is>
      </c>
      <c r="I1613" s="68">
        <f>G1613</f>
        <v/>
      </c>
    </row>
    <row r="1614">
      <c r="A1614" s="68">
        <f>B1614&amp;TEXT(C1614,"0000")</f>
        <v/>
      </c>
      <c r="B1614" s="68" t="n">
        <v>200</v>
      </c>
      <c r="C1614" s="68" t="n">
        <v>711</v>
      </c>
      <c r="D1614" s="68" t="inlineStr">
        <is>
          <t>HpRatio</t>
        </is>
      </c>
      <c r="E1614" s="68">
        <f>INT(E1613*1.01)</f>
        <v/>
      </c>
      <c r="F1614" s="68" t="inlineStr">
        <is>
          <t>AtkRatio</t>
        </is>
      </c>
      <c r="G1614" s="68">
        <f>INT(G1613*1.01)</f>
        <v/>
      </c>
      <c r="H1614" s="68" t="inlineStr">
        <is>
          <t>DefRatio</t>
        </is>
      </c>
      <c r="I1614" s="68">
        <f>G1614</f>
        <v/>
      </c>
    </row>
    <row r="1615">
      <c r="A1615" s="68">
        <f>B1615&amp;TEXT(C1615,"0000")</f>
        <v/>
      </c>
      <c r="B1615" s="68" t="n">
        <v>200</v>
      </c>
      <c r="C1615" s="68" t="n">
        <v>712</v>
      </c>
      <c r="D1615" s="68" t="inlineStr">
        <is>
          <t>HpRatio</t>
        </is>
      </c>
      <c r="E1615" s="68">
        <f>INT(E1614*1.01)</f>
        <v/>
      </c>
      <c r="F1615" s="68" t="inlineStr">
        <is>
          <t>AtkRatio</t>
        </is>
      </c>
      <c r="G1615" s="68">
        <f>INT(G1614*1.01)</f>
        <v/>
      </c>
      <c r="H1615" s="68" t="inlineStr">
        <is>
          <t>DefRatio</t>
        </is>
      </c>
      <c r="I1615" s="68">
        <f>G1615</f>
        <v/>
      </c>
    </row>
    <row r="1616">
      <c r="A1616" s="68">
        <f>B1616&amp;TEXT(C1616,"0000")</f>
        <v/>
      </c>
      <c r="B1616" s="68" t="n">
        <v>200</v>
      </c>
      <c r="C1616" s="68" t="n">
        <v>713</v>
      </c>
      <c r="D1616" s="68" t="inlineStr">
        <is>
          <t>HpRatio</t>
        </is>
      </c>
      <c r="E1616" s="68">
        <f>INT(E1615*1.01)</f>
        <v/>
      </c>
      <c r="F1616" s="68" t="inlineStr">
        <is>
          <t>AtkRatio</t>
        </is>
      </c>
      <c r="G1616" s="68">
        <f>INT(G1615*1.01)</f>
        <v/>
      </c>
      <c r="H1616" s="68" t="inlineStr">
        <is>
          <t>DefRatio</t>
        </is>
      </c>
      <c r="I1616" s="68">
        <f>G1616</f>
        <v/>
      </c>
    </row>
    <row r="1617">
      <c r="A1617" s="68">
        <f>B1617&amp;TEXT(C1617,"0000")</f>
        <v/>
      </c>
      <c r="B1617" s="68" t="n">
        <v>200</v>
      </c>
      <c r="C1617" s="68" t="n">
        <v>714</v>
      </c>
      <c r="D1617" s="68" t="inlineStr">
        <is>
          <t>HpRatio</t>
        </is>
      </c>
      <c r="E1617" s="68">
        <f>INT(E1616*1.01)</f>
        <v/>
      </c>
      <c r="F1617" s="68" t="inlineStr">
        <is>
          <t>AtkRatio</t>
        </is>
      </c>
      <c r="G1617" s="68">
        <f>INT(G1616*1.01)</f>
        <v/>
      </c>
      <c r="H1617" s="68" t="inlineStr">
        <is>
          <t>DefRatio</t>
        </is>
      </c>
      <c r="I1617" s="68">
        <f>G1617</f>
        <v/>
      </c>
    </row>
    <row r="1618">
      <c r="A1618" s="68">
        <f>B1618&amp;TEXT(C1618,"0000")</f>
        <v/>
      </c>
      <c r="B1618" s="68" t="n">
        <v>200</v>
      </c>
      <c r="C1618" s="68" t="n">
        <v>715</v>
      </c>
      <c r="D1618" s="68" t="inlineStr">
        <is>
          <t>HpRatio</t>
        </is>
      </c>
      <c r="E1618" s="68">
        <f>INT(E1617*1.01)</f>
        <v/>
      </c>
      <c r="F1618" s="68" t="inlineStr">
        <is>
          <t>AtkRatio</t>
        </is>
      </c>
      <c r="G1618" s="68">
        <f>INT(G1617*1.01)</f>
        <v/>
      </c>
      <c r="H1618" s="68" t="inlineStr">
        <is>
          <t>DefRatio</t>
        </is>
      </c>
      <c r="I1618" s="68">
        <f>G1618</f>
        <v/>
      </c>
    </row>
    <row r="1619">
      <c r="A1619" s="68">
        <f>B1619&amp;TEXT(C1619,"0000")</f>
        <v/>
      </c>
      <c r="B1619" s="68" t="n">
        <v>200</v>
      </c>
      <c r="C1619" s="68" t="n">
        <v>716</v>
      </c>
      <c r="D1619" s="68" t="inlineStr">
        <is>
          <t>HpRatio</t>
        </is>
      </c>
      <c r="E1619" s="68">
        <f>INT(E1618*1.01)</f>
        <v/>
      </c>
      <c r="F1619" s="68" t="inlineStr">
        <is>
          <t>AtkRatio</t>
        </is>
      </c>
      <c r="G1619" s="68">
        <f>INT(G1618*1.01)</f>
        <v/>
      </c>
      <c r="H1619" s="68" t="inlineStr">
        <is>
          <t>DefRatio</t>
        </is>
      </c>
      <c r="I1619" s="68">
        <f>G1619</f>
        <v/>
      </c>
    </row>
    <row r="1620">
      <c r="A1620" s="68">
        <f>B1620&amp;TEXT(C1620,"0000")</f>
        <v/>
      </c>
      <c r="B1620" s="68" t="n">
        <v>200</v>
      </c>
      <c r="C1620" s="68" t="n">
        <v>717</v>
      </c>
      <c r="D1620" s="68" t="inlineStr">
        <is>
          <t>HpRatio</t>
        </is>
      </c>
      <c r="E1620" s="68">
        <f>INT(E1619*1.01)</f>
        <v/>
      </c>
      <c r="F1620" s="68" t="inlineStr">
        <is>
          <t>AtkRatio</t>
        </is>
      </c>
      <c r="G1620" s="68">
        <f>INT(G1619*1.01)</f>
        <v/>
      </c>
      <c r="H1620" s="68" t="inlineStr">
        <is>
          <t>DefRatio</t>
        </is>
      </c>
      <c r="I1620" s="68">
        <f>G1620</f>
        <v/>
      </c>
    </row>
    <row r="1621">
      <c r="A1621" s="68">
        <f>B1621&amp;TEXT(C1621,"0000")</f>
        <v/>
      </c>
      <c r="B1621" s="68" t="n">
        <v>200</v>
      </c>
      <c r="C1621" s="68" t="n">
        <v>718</v>
      </c>
      <c r="D1621" s="68" t="inlineStr">
        <is>
          <t>HpRatio</t>
        </is>
      </c>
      <c r="E1621" s="68">
        <f>INT(E1620*1.01)</f>
        <v/>
      </c>
      <c r="F1621" s="68" t="inlineStr">
        <is>
          <t>AtkRatio</t>
        </is>
      </c>
      <c r="G1621" s="68">
        <f>INT(G1620*1.01)</f>
        <v/>
      </c>
      <c r="H1621" s="68" t="inlineStr">
        <is>
          <t>DefRatio</t>
        </is>
      </c>
      <c r="I1621" s="68">
        <f>G1621</f>
        <v/>
      </c>
    </row>
    <row r="1622">
      <c r="A1622" s="68">
        <f>B1622&amp;TEXT(C1622,"0000")</f>
        <v/>
      </c>
      <c r="B1622" s="68" t="n">
        <v>200</v>
      </c>
      <c r="C1622" s="68" t="n">
        <v>719</v>
      </c>
      <c r="D1622" s="68" t="inlineStr">
        <is>
          <t>HpRatio</t>
        </is>
      </c>
      <c r="E1622" s="68">
        <f>INT(E1621*1.01)</f>
        <v/>
      </c>
      <c r="F1622" s="68" t="inlineStr">
        <is>
          <t>AtkRatio</t>
        </is>
      </c>
      <c r="G1622" s="68">
        <f>INT(G1621*1.01)</f>
        <v/>
      </c>
      <c r="H1622" s="68" t="inlineStr">
        <is>
          <t>DefRatio</t>
        </is>
      </c>
      <c r="I1622" s="68">
        <f>G1622</f>
        <v/>
      </c>
    </row>
    <row r="1623">
      <c r="A1623" s="68">
        <f>B1623&amp;TEXT(C1623,"0000")</f>
        <v/>
      </c>
      <c r="B1623" s="68" t="n">
        <v>200</v>
      </c>
      <c r="C1623" s="68" t="n">
        <v>720</v>
      </c>
      <c r="D1623" s="68" t="inlineStr">
        <is>
          <t>HpRatio</t>
        </is>
      </c>
      <c r="E1623" s="68">
        <f>INT(E1622*1.01)</f>
        <v/>
      </c>
      <c r="F1623" s="68" t="inlineStr">
        <is>
          <t>AtkRatio</t>
        </is>
      </c>
      <c r="G1623" s="68">
        <f>INT(G1622*1.01)</f>
        <v/>
      </c>
      <c r="H1623" s="68" t="inlineStr">
        <is>
          <t>DefRatio</t>
        </is>
      </c>
      <c r="I1623" s="68">
        <f>G1623</f>
        <v/>
      </c>
    </row>
    <row r="1624">
      <c r="A1624" s="68">
        <f>B1624&amp;TEXT(C1624,"0000")</f>
        <v/>
      </c>
      <c r="B1624" s="68" t="n">
        <v>200</v>
      </c>
      <c r="C1624" s="68" t="n">
        <v>721</v>
      </c>
      <c r="D1624" s="68" t="inlineStr">
        <is>
          <t>HpRatio</t>
        </is>
      </c>
      <c r="E1624" s="68">
        <f>INT(E1623*1.01)</f>
        <v/>
      </c>
      <c r="F1624" s="68" t="inlineStr">
        <is>
          <t>AtkRatio</t>
        </is>
      </c>
      <c r="G1624" s="68">
        <f>INT(G1623*1.01)</f>
        <v/>
      </c>
      <c r="H1624" s="68" t="inlineStr">
        <is>
          <t>DefRatio</t>
        </is>
      </c>
      <c r="I1624" s="68">
        <f>G1624</f>
        <v/>
      </c>
    </row>
    <row r="1625">
      <c r="A1625" s="68">
        <f>B1625&amp;TEXT(C1625,"0000")</f>
        <v/>
      </c>
      <c r="B1625" s="68" t="n">
        <v>200</v>
      </c>
      <c r="C1625" s="68" t="n">
        <v>722</v>
      </c>
      <c r="D1625" s="68" t="inlineStr">
        <is>
          <t>HpRatio</t>
        </is>
      </c>
      <c r="E1625" s="68">
        <f>INT(E1624*1.01)</f>
        <v/>
      </c>
      <c r="F1625" s="68" t="inlineStr">
        <is>
          <t>AtkRatio</t>
        </is>
      </c>
      <c r="G1625" s="68">
        <f>INT(G1624*1.01)</f>
        <v/>
      </c>
      <c r="H1625" s="68" t="inlineStr">
        <is>
          <t>DefRatio</t>
        </is>
      </c>
      <c r="I1625" s="68">
        <f>G1625</f>
        <v/>
      </c>
    </row>
    <row r="1626">
      <c r="A1626" s="68">
        <f>B1626&amp;TEXT(C1626,"0000")</f>
        <v/>
      </c>
      <c r="B1626" s="68" t="n">
        <v>200</v>
      </c>
      <c r="C1626" s="68" t="n">
        <v>723</v>
      </c>
      <c r="D1626" s="68" t="inlineStr">
        <is>
          <t>HpRatio</t>
        </is>
      </c>
      <c r="E1626" s="68">
        <f>INT(E1625*1.01)</f>
        <v/>
      </c>
      <c r="F1626" s="68" t="inlineStr">
        <is>
          <t>AtkRatio</t>
        </is>
      </c>
      <c r="G1626" s="68">
        <f>INT(G1625*1.01)</f>
        <v/>
      </c>
      <c r="H1626" s="68" t="inlineStr">
        <is>
          <t>DefRatio</t>
        </is>
      </c>
      <c r="I1626" s="68">
        <f>G1626</f>
        <v/>
      </c>
    </row>
    <row r="1627">
      <c r="A1627" s="68">
        <f>B1627&amp;TEXT(C1627,"0000")</f>
        <v/>
      </c>
      <c r="B1627" s="68" t="n">
        <v>200</v>
      </c>
      <c r="C1627" s="68" t="n">
        <v>724</v>
      </c>
      <c r="D1627" s="68" t="inlineStr">
        <is>
          <t>HpRatio</t>
        </is>
      </c>
      <c r="E1627" s="68">
        <f>INT(E1626*1.01)</f>
        <v/>
      </c>
      <c r="F1627" s="68" t="inlineStr">
        <is>
          <t>AtkRatio</t>
        </is>
      </c>
      <c r="G1627" s="68">
        <f>INT(G1626*1.01)</f>
        <v/>
      </c>
      <c r="H1627" s="68" t="inlineStr">
        <is>
          <t>DefRatio</t>
        </is>
      </c>
      <c r="I1627" s="68">
        <f>G1627</f>
        <v/>
      </c>
    </row>
    <row r="1628">
      <c r="A1628" s="68">
        <f>B1628&amp;TEXT(C1628,"0000")</f>
        <v/>
      </c>
      <c r="B1628" s="68" t="n">
        <v>200</v>
      </c>
      <c r="C1628" s="68" t="n">
        <v>725</v>
      </c>
      <c r="D1628" s="68" t="inlineStr">
        <is>
          <t>HpRatio</t>
        </is>
      </c>
      <c r="E1628" s="68">
        <f>INT(E1627*1.01)</f>
        <v/>
      </c>
      <c r="F1628" s="68" t="inlineStr">
        <is>
          <t>AtkRatio</t>
        </is>
      </c>
      <c r="G1628" s="68">
        <f>INT(G1627*1.01)</f>
        <v/>
      </c>
      <c r="H1628" s="68" t="inlineStr">
        <is>
          <t>DefRatio</t>
        </is>
      </c>
      <c r="I1628" s="68">
        <f>G1628</f>
        <v/>
      </c>
    </row>
    <row r="1629">
      <c r="A1629" s="68">
        <f>B1629&amp;TEXT(C1629,"0000")</f>
        <v/>
      </c>
      <c r="B1629" s="68" t="n">
        <v>200</v>
      </c>
      <c r="C1629" s="68" t="n">
        <v>726</v>
      </c>
      <c r="D1629" s="68" t="inlineStr">
        <is>
          <t>HpRatio</t>
        </is>
      </c>
      <c r="E1629" s="68">
        <f>INT(E1628*1.01)</f>
        <v/>
      </c>
      <c r="F1629" s="68" t="inlineStr">
        <is>
          <t>AtkRatio</t>
        </is>
      </c>
      <c r="G1629" s="68">
        <f>INT(G1628*1.01)</f>
        <v/>
      </c>
      <c r="H1629" s="68" t="inlineStr">
        <is>
          <t>DefRatio</t>
        </is>
      </c>
      <c r="I1629" s="68">
        <f>G1629</f>
        <v/>
      </c>
    </row>
    <row r="1630">
      <c r="A1630" s="68">
        <f>B1630&amp;TEXT(C1630,"0000")</f>
        <v/>
      </c>
      <c r="B1630" s="68" t="n">
        <v>200</v>
      </c>
      <c r="C1630" s="68" t="n">
        <v>727</v>
      </c>
      <c r="D1630" s="68" t="inlineStr">
        <is>
          <t>HpRatio</t>
        </is>
      </c>
      <c r="E1630" s="68">
        <f>INT(E1629*1.01)</f>
        <v/>
      </c>
      <c r="F1630" s="68" t="inlineStr">
        <is>
          <t>AtkRatio</t>
        </is>
      </c>
      <c r="G1630" s="68">
        <f>INT(G1629*1.01)</f>
        <v/>
      </c>
      <c r="H1630" s="68" t="inlineStr">
        <is>
          <t>DefRatio</t>
        </is>
      </c>
      <c r="I1630" s="68">
        <f>G1630</f>
        <v/>
      </c>
    </row>
    <row r="1631">
      <c r="A1631" s="68">
        <f>B1631&amp;TEXT(C1631,"0000")</f>
        <v/>
      </c>
      <c r="B1631" s="68" t="n">
        <v>200</v>
      </c>
      <c r="C1631" s="68" t="n">
        <v>728</v>
      </c>
      <c r="D1631" s="68" t="inlineStr">
        <is>
          <t>HpRatio</t>
        </is>
      </c>
      <c r="E1631" s="68">
        <f>INT(E1630*1.01)</f>
        <v/>
      </c>
      <c r="F1631" s="68" t="inlineStr">
        <is>
          <t>AtkRatio</t>
        </is>
      </c>
      <c r="G1631" s="68">
        <f>INT(G1630*1.01)</f>
        <v/>
      </c>
      <c r="H1631" s="68" t="inlineStr">
        <is>
          <t>DefRatio</t>
        </is>
      </c>
      <c r="I1631" s="68">
        <f>G1631</f>
        <v/>
      </c>
    </row>
    <row r="1632">
      <c r="A1632" s="68">
        <f>B1632&amp;TEXT(C1632,"0000")</f>
        <v/>
      </c>
      <c r="B1632" s="68" t="n">
        <v>200</v>
      </c>
      <c r="C1632" s="68" t="n">
        <v>729</v>
      </c>
      <c r="D1632" s="68" t="inlineStr">
        <is>
          <t>HpRatio</t>
        </is>
      </c>
      <c r="E1632" s="68">
        <f>INT(E1631*1.01)</f>
        <v/>
      </c>
      <c r="F1632" s="68" t="inlineStr">
        <is>
          <t>AtkRatio</t>
        </is>
      </c>
      <c r="G1632" s="68">
        <f>INT(G1631*1.01)</f>
        <v/>
      </c>
      <c r="H1632" s="68" t="inlineStr">
        <is>
          <t>DefRatio</t>
        </is>
      </c>
      <c r="I1632" s="68">
        <f>G1632</f>
        <v/>
      </c>
    </row>
    <row r="1633">
      <c r="A1633" s="68">
        <f>B1633&amp;TEXT(C1633,"0000")</f>
        <v/>
      </c>
      <c r="B1633" s="68" t="n">
        <v>200</v>
      </c>
      <c r="C1633" s="68" t="n">
        <v>730</v>
      </c>
      <c r="D1633" s="68" t="inlineStr">
        <is>
          <t>HpRatio</t>
        </is>
      </c>
      <c r="E1633" s="68">
        <f>INT(E1632*1.01)</f>
        <v/>
      </c>
      <c r="F1633" s="68" t="inlineStr">
        <is>
          <t>AtkRatio</t>
        </is>
      </c>
      <c r="G1633" s="68">
        <f>INT(G1632*1.01)</f>
        <v/>
      </c>
      <c r="H1633" s="68" t="inlineStr">
        <is>
          <t>DefRatio</t>
        </is>
      </c>
      <c r="I1633" s="68">
        <f>G1633</f>
        <v/>
      </c>
    </row>
    <row r="1634">
      <c r="A1634" s="68">
        <f>B1634&amp;TEXT(C1634,"0000")</f>
        <v/>
      </c>
      <c r="B1634" s="68" t="n">
        <v>200</v>
      </c>
      <c r="C1634" s="68" t="n">
        <v>731</v>
      </c>
      <c r="D1634" s="68" t="inlineStr">
        <is>
          <t>HpRatio</t>
        </is>
      </c>
      <c r="E1634" s="68">
        <f>INT(E1633*1.01)</f>
        <v/>
      </c>
      <c r="F1634" s="68" t="inlineStr">
        <is>
          <t>AtkRatio</t>
        </is>
      </c>
      <c r="G1634" s="68">
        <f>INT(G1633*1.01)</f>
        <v/>
      </c>
      <c r="H1634" s="68" t="inlineStr">
        <is>
          <t>DefRatio</t>
        </is>
      </c>
      <c r="I1634" s="68">
        <f>G1634</f>
        <v/>
      </c>
    </row>
    <row r="1635">
      <c r="A1635" s="68">
        <f>B1635&amp;TEXT(C1635,"0000")</f>
        <v/>
      </c>
      <c r="B1635" s="68" t="n">
        <v>200</v>
      </c>
      <c r="C1635" s="68" t="n">
        <v>732</v>
      </c>
      <c r="D1635" s="68" t="inlineStr">
        <is>
          <t>HpRatio</t>
        </is>
      </c>
      <c r="E1635" s="68">
        <f>INT(E1634*1.01)</f>
        <v/>
      </c>
      <c r="F1635" s="68" t="inlineStr">
        <is>
          <t>AtkRatio</t>
        </is>
      </c>
      <c r="G1635" s="68">
        <f>INT(G1634*1.01)</f>
        <v/>
      </c>
      <c r="H1635" s="68" t="inlineStr">
        <is>
          <t>DefRatio</t>
        </is>
      </c>
      <c r="I1635" s="68">
        <f>G1635</f>
        <v/>
      </c>
    </row>
    <row r="1636">
      <c r="A1636" s="68">
        <f>B1636&amp;TEXT(C1636,"0000")</f>
        <v/>
      </c>
      <c r="B1636" s="68" t="n">
        <v>200</v>
      </c>
      <c r="C1636" s="68" t="n">
        <v>733</v>
      </c>
      <c r="D1636" s="68" t="inlineStr">
        <is>
          <t>HpRatio</t>
        </is>
      </c>
      <c r="E1636" s="68">
        <f>INT(E1635*1.01)</f>
        <v/>
      </c>
      <c r="F1636" s="68" t="inlineStr">
        <is>
          <t>AtkRatio</t>
        </is>
      </c>
      <c r="G1636" s="68">
        <f>INT(G1635*1.01)</f>
        <v/>
      </c>
      <c r="H1636" s="68" t="inlineStr">
        <is>
          <t>DefRatio</t>
        </is>
      </c>
      <c r="I1636" s="68">
        <f>G1636</f>
        <v/>
      </c>
    </row>
    <row r="1637">
      <c r="A1637" s="68">
        <f>B1637&amp;TEXT(C1637,"0000")</f>
        <v/>
      </c>
      <c r="B1637" s="68" t="n">
        <v>200</v>
      </c>
      <c r="C1637" s="68" t="n">
        <v>734</v>
      </c>
      <c r="D1637" s="68" t="inlineStr">
        <is>
          <t>HpRatio</t>
        </is>
      </c>
      <c r="E1637" s="68">
        <f>INT(E1636*1.01)</f>
        <v/>
      </c>
      <c r="F1637" s="68" t="inlineStr">
        <is>
          <t>AtkRatio</t>
        </is>
      </c>
      <c r="G1637" s="68">
        <f>INT(G1636*1.01)</f>
        <v/>
      </c>
      <c r="H1637" s="68" t="inlineStr">
        <is>
          <t>DefRatio</t>
        </is>
      </c>
      <c r="I1637" s="68">
        <f>G1637</f>
        <v/>
      </c>
    </row>
    <row r="1638">
      <c r="A1638" s="68">
        <f>B1638&amp;TEXT(C1638,"0000")</f>
        <v/>
      </c>
      <c r="B1638" s="68" t="n">
        <v>200</v>
      </c>
      <c r="C1638" s="68" t="n">
        <v>735</v>
      </c>
      <c r="D1638" s="68" t="inlineStr">
        <is>
          <t>HpRatio</t>
        </is>
      </c>
      <c r="E1638" s="68">
        <f>INT(E1637*1.01)</f>
        <v/>
      </c>
      <c r="F1638" s="68" t="inlineStr">
        <is>
          <t>AtkRatio</t>
        </is>
      </c>
      <c r="G1638" s="68">
        <f>INT(G1637*1.01)</f>
        <v/>
      </c>
      <c r="H1638" s="68" t="inlineStr">
        <is>
          <t>DefRatio</t>
        </is>
      </c>
      <c r="I1638" s="68">
        <f>G1638</f>
        <v/>
      </c>
    </row>
    <row r="1639">
      <c r="A1639" s="68">
        <f>B1639&amp;TEXT(C1639,"0000")</f>
        <v/>
      </c>
      <c r="B1639" s="68" t="n">
        <v>200</v>
      </c>
      <c r="C1639" s="68" t="n">
        <v>736</v>
      </c>
      <c r="D1639" s="68" t="inlineStr">
        <is>
          <t>HpRatio</t>
        </is>
      </c>
      <c r="E1639" s="68">
        <f>INT(E1638*1.01)</f>
        <v/>
      </c>
      <c r="F1639" s="68" t="inlineStr">
        <is>
          <t>AtkRatio</t>
        </is>
      </c>
      <c r="G1639" s="68">
        <f>INT(G1638*1.01)</f>
        <v/>
      </c>
      <c r="H1639" s="68" t="inlineStr">
        <is>
          <t>DefRatio</t>
        </is>
      </c>
      <c r="I1639" s="68">
        <f>G1639</f>
        <v/>
      </c>
    </row>
    <row r="1640">
      <c r="A1640" s="68">
        <f>B1640&amp;TEXT(C1640,"0000")</f>
        <v/>
      </c>
      <c r="B1640" s="68" t="n">
        <v>200</v>
      </c>
      <c r="C1640" s="68" t="n">
        <v>737</v>
      </c>
      <c r="D1640" s="68" t="inlineStr">
        <is>
          <t>HpRatio</t>
        </is>
      </c>
      <c r="E1640" s="68">
        <f>INT(E1639*1.01)</f>
        <v/>
      </c>
      <c r="F1640" s="68" t="inlineStr">
        <is>
          <t>AtkRatio</t>
        </is>
      </c>
      <c r="G1640" s="68">
        <f>INT(G1639*1.01)</f>
        <v/>
      </c>
      <c r="H1640" s="68" t="inlineStr">
        <is>
          <t>DefRatio</t>
        </is>
      </c>
      <c r="I1640" s="68">
        <f>G1640</f>
        <v/>
      </c>
    </row>
    <row r="1641">
      <c r="A1641" s="68">
        <f>B1641&amp;TEXT(C1641,"0000")</f>
        <v/>
      </c>
      <c r="B1641" s="68" t="n">
        <v>200</v>
      </c>
      <c r="C1641" s="68" t="n">
        <v>738</v>
      </c>
      <c r="D1641" s="68" t="inlineStr">
        <is>
          <t>HpRatio</t>
        </is>
      </c>
      <c r="E1641" s="68">
        <f>INT(E1640*1.01)</f>
        <v/>
      </c>
      <c r="F1641" s="68" t="inlineStr">
        <is>
          <t>AtkRatio</t>
        </is>
      </c>
      <c r="G1641" s="68">
        <f>INT(G1640*1.01)</f>
        <v/>
      </c>
      <c r="H1641" s="68" t="inlineStr">
        <is>
          <t>DefRatio</t>
        </is>
      </c>
      <c r="I1641" s="68">
        <f>G1641</f>
        <v/>
      </c>
    </row>
    <row r="1642">
      <c r="A1642" s="68">
        <f>B1642&amp;TEXT(C1642,"0000")</f>
        <v/>
      </c>
      <c r="B1642" s="68" t="n">
        <v>200</v>
      </c>
      <c r="C1642" s="68" t="n">
        <v>739</v>
      </c>
      <c r="D1642" s="68" t="inlineStr">
        <is>
          <t>HpRatio</t>
        </is>
      </c>
      <c r="E1642" s="68">
        <f>INT(E1641*1.01)</f>
        <v/>
      </c>
      <c r="F1642" s="68" t="inlineStr">
        <is>
          <t>AtkRatio</t>
        </is>
      </c>
      <c r="G1642" s="68">
        <f>INT(G1641*1.01)</f>
        <v/>
      </c>
      <c r="H1642" s="68" t="inlineStr">
        <is>
          <t>DefRatio</t>
        </is>
      </c>
      <c r="I1642" s="68">
        <f>G1642</f>
        <v/>
      </c>
    </row>
    <row r="1643">
      <c r="A1643" s="68">
        <f>B1643&amp;TEXT(C1643,"0000")</f>
        <v/>
      </c>
      <c r="B1643" s="68" t="n">
        <v>200</v>
      </c>
      <c r="C1643" s="68" t="n">
        <v>740</v>
      </c>
      <c r="D1643" s="68" t="inlineStr">
        <is>
          <t>HpRatio</t>
        </is>
      </c>
      <c r="E1643" s="68">
        <f>INT(E1642*1.01)</f>
        <v/>
      </c>
      <c r="F1643" s="68" t="inlineStr">
        <is>
          <t>AtkRatio</t>
        </is>
      </c>
      <c r="G1643" s="68">
        <f>INT(G1642*1.01)</f>
        <v/>
      </c>
      <c r="H1643" s="68" t="inlineStr">
        <is>
          <t>DefRatio</t>
        </is>
      </c>
      <c r="I1643" s="68">
        <f>G1643</f>
        <v/>
      </c>
    </row>
    <row r="1644">
      <c r="A1644" s="68">
        <f>B1644&amp;TEXT(C1644,"0000")</f>
        <v/>
      </c>
      <c r="B1644" s="68" t="n">
        <v>200</v>
      </c>
      <c r="C1644" s="68" t="n">
        <v>741</v>
      </c>
      <c r="D1644" s="68" t="inlineStr">
        <is>
          <t>HpRatio</t>
        </is>
      </c>
      <c r="E1644" s="68">
        <f>INT(E1643*1.01)</f>
        <v/>
      </c>
      <c r="F1644" s="68" t="inlineStr">
        <is>
          <t>AtkRatio</t>
        </is>
      </c>
      <c r="G1644" s="68">
        <f>INT(G1643*1.01)</f>
        <v/>
      </c>
      <c r="H1644" s="68" t="inlineStr">
        <is>
          <t>DefRatio</t>
        </is>
      </c>
      <c r="I1644" s="68">
        <f>G1644</f>
        <v/>
      </c>
    </row>
    <row r="1645">
      <c r="A1645" s="68">
        <f>B1645&amp;TEXT(C1645,"0000")</f>
        <v/>
      </c>
      <c r="B1645" s="68" t="n">
        <v>200</v>
      </c>
      <c r="C1645" s="68" t="n">
        <v>742</v>
      </c>
      <c r="D1645" s="68" t="inlineStr">
        <is>
          <t>HpRatio</t>
        </is>
      </c>
      <c r="E1645" s="68">
        <f>INT(E1644*1.01)</f>
        <v/>
      </c>
      <c r="F1645" s="68" t="inlineStr">
        <is>
          <t>AtkRatio</t>
        </is>
      </c>
      <c r="G1645" s="68">
        <f>INT(G1644*1.01)</f>
        <v/>
      </c>
      <c r="H1645" s="68" t="inlineStr">
        <is>
          <t>DefRatio</t>
        </is>
      </c>
      <c r="I1645" s="68">
        <f>G1645</f>
        <v/>
      </c>
    </row>
    <row r="1646">
      <c r="A1646" s="68">
        <f>B1646&amp;TEXT(C1646,"0000")</f>
        <v/>
      </c>
      <c r="B1646" s="68" t="n">
        <v>200</v>
      </c>
      <c r="C1646" s="68" t="n">
        <v>743</v>
      </c>
      <c r="D1646" s="68" t="inlineStr">
        <is>
          <t>HpRatio</t>
        </is>
      </c>
      <c r="E1646" s="68">
        <f>INT(E1645*1.01)</f>
        <v/>
      </c>
      <c r="F1646" s="68" t="inlineStr">
        <is>
          <t>AtkRatio</t>
        </is>
      </c>
      <c r="G1646" s="68">
        <f>INT(G1645*1.01)</f>
        <v/>
      </c>
      <c r="H1646" s="68" t="inlineStr">
        <is>
          <t>DefRatio</t>
        </is>
      </c>
      <c r="I1646" s="68">
        <f>G1646</f>
        <v/>
      </c>
    </row>
    <row r="1647">
      <c r="A1647" s="68">
        <f>B1647&amp;TEXT(C1647,"0000")</f>
        <v/>
      </c>
      <c r="B1647" s="68" t="n">
        <v>200</v>
      </c>
      <c r="C1647" s="68" t="n">
        <v>744</v>
      </c>
      <c r="D1647" s="68" t="inlineStr">
        <is>
          <t>HpRatio</t>
        </is>
      </c>
      <c r="E1647" s="68">
        <f>INT(E1646*1.01)</f>
        <v/>
      </c>
      <c r="F1647" s="68" t="inlineStr">
        <is>
          <t>AtkRatio</t>
        </is>
      </c>
      <c r="G1647" s="68">
        <f>INT(G1646*1.01)</f>
        <v/>
      </c>
      <c r="H1647" s="68" t="inlineStr">
        <is>
          <t>DefRatio</t>
        </is>
      </c>
      <c r="I1647" s="68">
        <f>G1647</f>
        <v/>
      </c>
    </row>
    <row r="1648">
      <c r="A1648" s="68">
        <f>B1648&amp;TEXT(C1648,"0000")</f>
        <v/>
      </c>
      <c r="B1648" s="68" t="n">
        <v>200</v>
      </c>
      <c r="C1648" s="68" t="n">
        <v>745</v>
      </c>
      <c r="D1648" s="68" t="inlineStr">
        <is>
          <t>HpRatio</t>
        </is>
      </c>
      <c r="E1648" s="68">
        <f>INT(E1647*1.01)</f>
        <v/>
      </c>
      <c r="F1648" s="68" t="inlineStr">
        <is>
          <t>AtkRatio</t>
        </is>
      </c>
      <c r="G1648" s="68">
        <f>INT(G1647*1.01)</f>
        <v/>
      </c>
      <c r="H1648" s="68" t="inlineStr">
        <is>
          <t>DefRatio</t>
        </is>
      </c>
      <c r="I1648" s="68">
        <f>G1648</f>
        <v/>
      </c>
    </row>
    <row r="1649">
      <c r="A1649" s="68">
        <f>B1649&amp;TEXT(C1649,"0000")</f>
        <v/>
      </c>
      <c r="B1649" s="68" t="n">
        <v>200</v>
      </c>
      <c r="C1649" s="68" t="n">
        <v>746</v>
      </c>
      <c r="D1649" s="68" t="inlineStr">
        <is>
          <t>HpRatio</t>
        </is>
      </c>
      <c r="E1649" s="68">
        <f>INT(E1648*1.01)</f>
        <v/>
      </c>
      <c r="F1649" s="68" t="inlineStr">
        <is>
          <t>AtkRatio</t>
        </is>
      </c>
      <c r="G1649" s="68">
        <f>INT(G1648*1.01)</f>
        <v/>
      </c>
      <c r="H1649" s="68" t="inlineStr">
        <is>
          <t>DefRatio</t>
        </is>
      </c>
      <c r="I1649" s="68">
        <f>G1649</f>
        <v/>
      </c>
    </row>
    <row r="1650">
      <c r="A1650" s="68">
        <f>B1650&amp;TEXT(C1650,"0000")</f>
        <v/>
      </c>
      <c r="B1650" s="68" t="n">
        <v>200</v>
      </c>
      <c r="C1650" s="68" t="n">
        <v>747</v>
      </c>
      <c r="D1650" s="68" t="inlineStr">
        <is>
          <t>HpRatio</t>
        </is>
      </c>
      <c r="E1650" s="68">
        <f>INT(E1649*1.01)</f>
        <v/>
      </c>
      <c r="F1650" s="68" t="inlineStr">
        <is>
          <t>AtkRatio</t>
        </is>
      </c>
      <c r="G1650" s="68">
        <f>INT(G1649*1.01)</f>
        <v/>
      </c>
      <c r="H1650" s="68" t="inlineStr">
        <is>
          <t>DefRatio</t>
        </is>
      </c>
      <c r="I1650" s="68">
        <f>G1650</f>
        <v/>
      </c>
    </row>
    <row r="1651">
      <c r="A1651" s="68">
        <f>B1651&amp;TEXT(C1651,"0000")</f>
        <v/>
      </c>
      <c r="B1651" s="68" t="n">
        <v>200</v>
      </c>
      <c r="C1651" s="68" t="n">
        <v>748</v>
      </c>
      <c r="D1651" s="68" t="inlineStr">
        <is>
          <t>HpRatio</t>
        </is>
      </c>
      <c r="E1651" s="68">
        <f>INT(E1650*1.01)</f>
        <v/>
      </c>
      <c r="F1651" s="68" t="inlineStr">
        <is>
          <t>AtkRatio</t>
        </is>
      </c>
      <c r="G1651" s="68">
        <f>INT(G1650*1.01)</f>
        <v/>
      </c>
      <c r="H1651" s="68" t="inlineStr">
        <is>
          <t>DefRatio</t>
        </is>
      </c>
      <c r="I1651" s="68">
        <f>G1651</f>
        <v/>
      </c>
    </row>
    <row r="1652">
      <c r="A1652" s="68">
        <f>B1652&amp;TEXT(C1652,"0000")</f>
        <v/>
      </c>
      <c r="B1652" s="68" t="n">
        <v>200</v>
      </c>
      <c r="C1652" s="68" t="n">
        <v>749</v>
      </c>
      <c r="D1652" s="68" t="inlineStr">
        <is>
          <t>HpRatio</t>
        </is>
      </c>
      <c r="E1652" s="68">
        <f>INT(E1651*1.01)</f>
        <v/>
      </c>
      <c r="F1652" s="68" t="inlineStr">
        <is>
          <t>AtkRatio</t>
        </is>
      </c>
      <c r="G1652" s="68">
        <f>INT(G1651*1.01)</f>
        <v/>
      </c>
      <c r="H1652" s="68" t="inlineStr">
        <is>
          <t>DefRatio</t>
        </is>
      </c>
      <c r="I1652" s="68">
        <f>G1652</f>
        <v/>
      </c>
    </row>
    <row r="1653">
      <c r="A1653" s="68">
        <f>B1653&amp;TEXT(C1653,"0000")</f>
        <v/>
      </c>
      <c r="B1653" s="68" t="n">
        <v>200</v>
      </c>
      <c r="C1653" s="68" t="n">
        <v>750</v>
      </c>
      <c r="D1653" s="68" t="inlineStr">
        <is>
          <t>HpRatio</t>
        </is>
      </c>
      <c r="E1653" s="68">
        <f>INT(E1652*1.01)</f>
        <v/>
      </c>
      <c r="F1653" s="68" t="inlineStr">
        <is>
          <t>AtkRatio</t>
        </is>
      </c>
      <c r="G1653" s="68">
        <f>INT(G1652*1.01)</f>
        <v/>
      </c>
      <c r="H1653" s="68" t="inlineStr">
        <is>
          <t>DefRatio</t>
        </is>
      </c>
      <c r="I1653" s="68">
        <f>G1653</f>
        <v/>
      </c>
    </row>
    <row r="1654">
      <c r="A1654" s="68">
        <f>B1654&amp;TEXT(C1654,"0000")</f>
        <v/>
      </c>
      <c r="B1654" s="68" t="n">
        <v>200</v>
      </c>
      <c r="C1654" s="68" t="n">
        <v>751</v>
      </c>
      <c r="D1654" s="68" t="inlineStr">
        <is>
          <t>HpRatio</t>
        </is>
      </c>
      <c r="E1654" s="68">
        <f>INT(E1653*1.01)</f>
        <v/>
      </c>
      <c r="F1654" s="68" t="inlineStr">
        <is>
          <t>AtkRatio</t>
        </is>
      </c>
      <c r="G1654" s="68">
        <f>INT(G1653*1.01)</f>
        <v/>
      </c>
      <c r="H1654" s="68" t="inlineStr">
        <is>
          <t>DefRatio</t>
        </is>
      </c>
      <c r="I1654" s="68">
        <f>G1654</f>
        <v/>
      </c>
    </row>
    <row r="1655">
      <c r="A1655" s="68">
        <f>B1655&amp;TEXT(C1655,"0000")</f>
        <v/>
      </c>
      <c r="B1655" s="68" t="n">
        <v>200</v>
      </c>
      <c r="C1655" s="68" t="n">
        <v>752</v>
      </c>
      <c r="D1655" s="68" t="inlineStr">
        <is>
          <t>HpRatio</t>
        </is>
      </c>
      <c r="E1655" s="68">
        <f>INT(E1654*1.01)</f>
        <v/>
      </c>
      <c r="F1655" s="68" t="inlineStr">
        <is>
          <t>AtkRatio</t>
        </is>
      </c>
      <c r="G1655" s="68">
        <f>INT(G1654*1.01)</f>
        <v/>
      </c>
      <c r="H1655" s="68" t="inlineStr">
        <is>
          <t>DefRatio</t>
        </is>
      </c>
      <c r="I1655" s="68">
        <f>G1655</f>
        <v/>
      </c>
    </row>
    <row r="1656">
      <c r="A1656" s="68">
        <f>B1656&amp;TEXT(C1656,"0000")</f>
        <v/>
      </c>
      <c r="B1656" s="68" t="n">
        <v>200</v>
      </c>
      <c r="C1656" s="68" t="n">
        <v>753</v>
      </c>
      <c r="D1656" s="68" t="inlineStr">
        <is>
          <t>HpRatio</t>
        </is>
      </c>
      <c r="E1656" s="68">
        <f>INT(E1655*1.01)</f>
        <v/>
      </c>
      <c r="F1656" s="68" t="inlineStr">
        <is>
          <t>AtkRatio</t>
        </is>
      </c>
      <c r="G1656" s="68">
        <f>INT(G1655*1.01)</f>
        <v/>
      </c>
      <c r="H1656" s="68" t="inlineStr">
        <is>
          <t>DefRatio</t>
        </is>
      </c>
      <c r="I1656" s="68">
        <f>G1656</f>
        <v/>
      </c>
    </row>
    <row r="1657">
      <c r="A1657" s="68">
        <f>B1657&amp;TEXT(C1657,"0000")</f>
        <v/>
      </c>
      <c r="B1657" s="68" t="n">
        <v>200</v>
      </c>
      <c r="C1657" s="68" t="n">
        <v>754</v>
      </c>
      <c r="D1657" s="68" t="inlineStr">
        <is>
          <t>HpRatio</t>
        </is>
      </c>
      <c r="E1657" s="68">
        <f>INT(E1656*1.01)</f>
        <v/>
      </c>
      <c r="F1657" s="68" t="inlineStr">
        <is>
          <t>AtkRatio</t>
        </is>
      </c>
      <c r="G1657" s="68">
        <f>INT(G1656*1.01)</f>
        <v/>
      </c>
      <c r="H1657" s="68" t="inlineStr">
        <is>
          <t>DefRatio</t>
        </is>
      </c>
      <c r="I1657" s="68">
        <f>G1657</f>
        <v/>
      </c>
    </row>
    <row r="1658">
      <c r="A1658" s="68">
        <f>B1658&amp;TEXT(C1658,"0000")</f>
        <v/>
      </c>
      <c r="B1658" s="68" t="n">
        <v>200</v>
      </c>
      <c r="C1658" s="68" t="n">
        <v>755</v>
      </c>
      <c r="D1658" s="68" t="inlineStr">
        <is>
          <t>HpRatio</t>
        </is>
      </c>
      <c r="E1658" s="68">
        <f>INT(E1657*1.01)</f>
        <v/>
      </c>
      <c r="F1658" s="68" t="inlineStr">
        <is>
          <t>AtkRatio</t>
        </is>
      </c>
      <c r="G1658" s="68">
        <f>INT(G1657*1.01)</f>
        <v/>
      </c>
      <c r="H1658" s="68" t="inlineStr">
        <is>
          <t>DefRatio</t>
        </is>
      </c>
      <c r="I1658" s="68">
        <f>G1658</f>
        <v/>
      </c>
    </row>
    <row r="1659">
      <c r="A1659" s="68">
        <f>B1659&amp;TEXT(C1659,"0000")</f>
        <v/>
      </c>
      <c r="B1659" s="68" t="n">
        <v>200</v>
      </c>
      <c r="C1659" s="68" t="n">
        <v>756</v>
      </c>
      <c r="D1659" s="68" t="inlineStr">
        <is>
          <t>HpRatio</t>
        </is>
      </c>
      <c r="E1659" s="68">
        <f>INT(E1658*1.01)</f>
        <v/>
      </c>
      <c r="F1659" s="68" t="inlineStr">
        <is>
          <t>AtkRatio</t>
        </is>
      </c>
      <c r="G1659" s="68">
        <f>INT(G1658*1.01)</f>
        <v/>
      </c>
      <c r="H1659" s="68" t="inlineStr">
        <is>
          <t>DefRatio</t>
        </is>
      </c>
      <c r="I1659" s="68">
        <f>G1659</f>
        <v/>
      </c>
    </row>
    <row r="1660">
      <c r="A1660" s="68">
        <f>B1660&amp;TEXT(C1660,"0000")</f>
        <v/>
      </c>
      <c r="B1660" s="68" t="n">
        <v>200</v>
      </c>
      <c r="C1660" s="68" t="n">
        <v>757</v>
      </c>
      <c r="D1660" s="68" t="inlineStr">
        <is>
          <t>HpRatio</t>
        </is>
      </c>
      <c r="E1660" s="68">
        <f>INT(E1659*1.01)</f>
        <v/>
      </c>
      <c r="F1660" s="68" t="inlineStr">
        <is>
          <t>AtkRatio</t>
        </is>
      </c>
      <c r="G1660" s="68">
        <f>INT(G1659*1.01)</f>
        <v/>
      </c>
      <c r="H1660" s="68" t="inlineStr">
        <is>
          <t>DefRatio</t>
        </is>
      </c>
      <c r="I1660" s="68">
        <f>G1660</f>
        <v/>
      </c>
    </row>
    <row r="1661">
      <c r="A1661" s="68">
        <f>B1661&amp;TEXT(C1661,"0000")</f>
        <v/>
      </c>
      <c r="B1661" s="68" t="n">
        <v>200</v>
      </c>
      <c r="C1661" s="68" t="n">
        <v>758</v>
      </c>
      <c r="D1661" s="68" t="inlineStr">
        <is>
          <t>HpRatio</t>
        </is>
      </c>
      <c r="E1661" s="68">
        <f>INT(E1660*1.01)</f>
        <v/>
      </c>
      <c r="F1661" s="68" t="inlineStr">
        <is>
          <t>AtkRatio</t>
        </is>
      </c>
      <c r="G1661" s="68">
        <f>INT(G1660*1.01)</f>
        <v/>
      </c>
      <c r="H1661" s="68" t="inlineStr">
        <is>
          <t>DefRatio</t>
        </is>
      </c>
      <c r="I1661" s="68">
        <f>G1661</f>
        <v/>
      </c>
    </row>
    <row r="1662">
      <c r="A1662" s="68">
        <f>B1662&amp;TEXT(C1662,"0000")</f>
        <v/>
      </c>
      <c r="B1662" s="68" t="n">
        <v>200</v>
      </c>
      <c r="C1662" s="68" t="n">
        <v>759</v>
      </c>
      <c r="D1662" s="68" t="inlineStr">
        <is>
          <t>HpRatio</t>
        </is>
      </c>
      <c r="E1662" s="68">
        <f>INT(E1661*1.01)</f>
        <v/>
      </c>
      <c r="F1662" s="68" t="inlineStr">
        <is>
          <t>AtkRatio</t>
        </is>
      </c>
      <c r="G1662" s="68">
        <f>INT(G1661*1.01)</f>
        <v/>
      </c>
      <c r="H1662" s="68" t="inlineStr">
        <is>
          <t>DefRatio</t>
        </is>
      </c>
      <c r="I1662" s="68">
        <f>G1662</f>
        <v/>
      </c>
    </row>
    <row r="1663">
      <c r="A1663" s="68">
        <f>B1663&amp;TEXT(C1663,"0000")</f>
        <v/>
      </c>
      <c r="B1663" s="68" t="n">
        <v>200</v>
      </c>
      <c r="C1663" s="68" t="n">
        <v>760</v>
      </c>
      <c r="D1663" s="68" t="inlineStr">
        <is>
          <t>HpRatio</t>
        </is>
      </c>
      <c r="E1663" s="68">
        <f>INT(E1662*1.01)</f>
        <v/>
      </c>
      <c r="F1663" s="68" t="inlineStr">
        <is>
          <t>AtkRatio</t>
        </is>
      </c>
      <c r="G1663" s="68">
        <f>INT(G1662*1.01)</f>
        <v/>
      </c>
      <c r="H1663" s="68" t="inlineStr">
        <is>
          <t>DefRatio</t>
        </is>
      </c>
      <c r="I1663" s="68">
        <f>G1663</f>
        <v/>
      </c>
    </row>
    <row r="1664">
      <c r="A1664" s="68">
        <f>B1664&amp;TEXT(C1664,"0000")</f>
        <v/>
      </c>
      <c r="B1664" s="68" t="n">
        <v>200</v>
      </c>
      <c r="C1664" s="68" t="n">
        <v>761</v>
      </c>
      <c r="D1664" s="68" t="inlineStr">
        <is>
          <t>HpRatio</t>
        </is>
      </c>
      <c r="E1664" s="68">
        <f>INT(E1663*1.01)</f>
        <v/>
      </c>
      <c r="F1664" s="68" t="inlineStr">
        <is>
          <t>AtkRatio</t>
        </is>
      </c>
      <c r="G1664" s="68">
        <f>INT(G1663*1.01)</f>
        <v/>
      </c>
      <c r="H1664" s="68" t="inlineStr">
        <is>
          <t>DefRatio</t>
        </is>
      </c>
      <c r="I1664" s="68">
        <f>G1664</f>
        <v/>
      </c>
    </row>
    <row r="1665">
      <c r="A1665" s="68">
        <f>B1665&amp;TEXT(C1665,"0000")</f>
        <v/>
      </c>
      <c r="B1665" s="68" t="n">
        <v>200</v>
      </c>
      <c r="C1665" s="68" t="n">
        <v>762</v>
      </c>
      <c r="D1665" s="68" t="inlineStr">
        <is>
          <t>HpRatio</t>
        </is>
      </c>
      <c r="E1665" s="68">
        <f>INT(E1664*1.01)</f>
        <v/>
      </c>
      <c r="F1665" s="68" t="inlineStr">
        <is>
          <t>AtkRatio</t>
        </is>
      </c>
      <c r="G1665" s="68">
        <f>INT(G1664*1.01)</f>
        <v/>
      </c>
      <c r="H1665" s="68" t="inlineStr">
        <is>
          <t>DefRatio</t>
        </is>
      </c>
      <c r="I1665" s="68">
        <f>G1665</f>
        <v/>
      </c>
    </row>
    <row r="1666">
      <c r="A1666" s="68">
        <f>B1666&amp;TEXT(C1666,"0000")</f>
        <v/>
      </c>
      <c r="B1666" s="68" t="n">
        <v>200</v>
      </c>
      <c r="C1666" s="68" t="n">
        <v>763</v>
      </c>
      <c r="D1666" s="68" t="inlineStr">
        <is>
          <t>HpRatio</t>
        </is>
      </c>
      <c r="E1666" s="68">
        <f>INT(E1665*1.01)</f>
        <v/>
      </c>
      <c r="F1666" s="68" t="inlineStr">
        <is>
          <t>AtkRatio</t>
        </is>
      </c>
      <c r="G1666" s="68">
        <f>INT(G1665*1.01)</f>
        <v/>
      </c>
      <c r="H1666" s="68" t="inlineStr">
        <is>
          <t>DefRatio</t>
        </is>
      </c>
      <c r="I1666" s="68">
        <f>G1666</f>
        <v/>
      </c>
    </row>
    <row r="1667">
      <c r="A1667" s="68">
        <f>B1667&amp;TEXT(C1667,"0000")</f>
        <v/>
      </c>
      <c r="B1667" s="68" t="n">
        <v>200</v>
      </c>
      <c r="C1667" s="68" t="n">
        <v>764</v>
      </c>
      <c r="D1667" s="68" t="inlineStr">
        <is>
          <t>HpRatio</t>
        </is>
      </c>
      <c r="E1667" s="68">
        <f>INT(E1666*1.01)</f>
        <v/>
      </c>
      <c r="F1667" s="68" t="inlineStr">
        <is>
          <t>AtkRatio</t>
        </is>
      </c>
      <c r="G1667" s="68">
        <f>INT(G1666*1.01)</f>
        <v/>
      </c>
      <c r="H1667" s="68" t="inlineStr">
        <is>
          <t>DefRatio</t>
        </is>
      </c>
      <c r="I1667" s="68">
        <f>G1667</f>
        <v/>
      </c>
    </row>
    <row r="1668">
      <c r="A1668" s="68">
        <f>B1668&amp;TEXT(C1668,"0000")</f>
        <v/>
      </c>
      <c r="B1668" s="68" t="n">
        <v>200</v>
      </c>
      <c r="C1668" s="68" t="n">
        <v>765</v>
      </c>
      <c r="D1668" s="68" t="inlineStr">
        <is>
          <t>HpRatio</t>
        </is>
      </c>
      <c r="E1668" s="68">
        <f>INT(E1667*1.01)</f>
        <v/>
      </c>
      <c r="F1668" s="68" t="inlineStr">
        <is>
          <t>AtkRatio</t>
        </is>
      </c>
      <c r="G1668" s="68">
        <f>INT(G1667*1.01)</f>
        <v/>
      </c>
      <c r="H1668" s="68" t="inlineStr">
        <is>
          <t>DefRatio</t>
        </is>
      </c>
      <c r="I1668" s="68">
        <f>G1668</f>
        <v/>
      </c>
    </row>
    <row r="1669">
      <c r="A1669" s="68">
        <f>B1669&amp;TEXT(C1669,"0000")</f>
        <v/>
      </c>
      <c r="B1669" s="68" t="n">
        <v>200</v>
      </c>
      <c r="C1669" s="68" t="n">
        <v>766</v>
      </c>
      <c r="D1669" s="68" t="inlineStr">
        <is>
          <t>HpRatio</t>
        </is>
      </c>
      <c r="E1669" s="68">
        <f>INT(E1668*1.01)</f>
        <v/>
      </c>
      <c r="F1669" s="68" t="inlineStr">
        <is>
          <t>AtkRatio</t>
        </is>
      </c>
      <c r="G1669" s="68">
        <f>INT(G1668*1.01)</f>
        <v/>
      </c>
      <c r="H1669" s="68" t="inlineStr">
        <is>
          <t>DefRatio</t>
        </is>
      </c>
      <c r="I1669" s="68">
        <f>G1669</f>
        <v/>
      </c>
    </row>
    <row r="1670">
      <c r="A1670" s="68">
        <f>B1670&amp;TEXT(C1670,"0000")</f>
        <v/>
      </c>
      <c r="B1670" s="68" t="n">
        <v>200</v>
      </c>
      <c r="C1670" s="68" t="n">
        <v>767</v>
      </c>
      <c r="D1670" s="68" t="inlineStr">
        <is>
          <t>HpRatio</t>
        </is>
      </c>
      <c r="E1670" s="68">
        <f>INT(E1669*1.01)</f>
        <v/>
      </c>
      <c r="F1670" s="68" t="inlineStr">
        <is>
          <t>AtkRatio</t>
        </is>
      </c>
      <c r="G1670" s="68">
        <f>INT(G1669*1.01)</f>
        <v/>
      </c>
      <c r="H1670" s="68" t="inlineStr">
        <is>
          <t>DefRatio</t>
        </is>
      </c>
      <c r="I1670" s="68">
        <f>G1670</f>
        <v/>
      </c>
    </row>
    <row r="1671">
      <c r="A1671" s="68">
        <f>B1671&amp;TEXT(C1671,"0000")</f>
        <v/>
      </c>
      <c r="B1671" s="68" t="n">
        <v>200</v>
      </c>
      <c r="C1671" s="68" t="n">
        <v>768</v>
      </c>
      <c r="D1671" s="68" t="inlineStr">
        <is>
          <t>HpRatio</t>
        </is>
      </c>
      <c r="E1671" s="68">
        <f>INT(E1670*1.01)</f>
        <v/>
      </c>
      <c r="F1671" s="68" t="inlineStr">
        <is>
          <t>AtkRatio</t>
        </is>
      </c>
      <c r="G1671" s="68">
        <f>INT(G1670*1.01)</f>
        <v/>
      </c>
      <c r="H1671" s="68" t="inlineStr">
        <is>
          <t>DefRatio</t>
        </is>
      </c>
      <c r="I1671" s="68">
        <f>G1671</f>
        <v/>
      </c>
    </row>
    <row r="1672">
      <c r="A1672" s="68">
        <f>B1672&amp;TEXT(C1672,"0000")</f>
        <v/>
      </c>
      <c r="B1672" s="68" t="n">
        <v>200</v>
      </c>
      <c r="C1672" s="68" t="n">
        <v>769</v>
      </c>
      <c r="D1672" s="68" t="inlineStr">
        <is>
          <t>HpRatio</t>
        </is>
      </c>
      <c r="E1672" s="68">
        <f>INT(E1671*1.01)</f>
        <v/>
      </c>
      <c r="F1672" s="68" t="inlineStr">
        <is>
          <t>AtkRatio</t>
        </is>
      </c>
      <c r="G1672" s="68">
        <f>INT(G1671*1.01)</f>
        <v/>
      </c>
      <c r="H1672" s="68" t="inlineStr">
        <is>
          <t>DefRatio</t>
        </is>
      </c>
      <c r="I1672" s="68">
        <f>G1672</f>
        <v/>
      </c>
    </row>
    <row r="1673">
      <c r="A1673" s="68">
        <f>B1673&amp;TEXT(C1673,"0000")</f>
        <v/>
      </c>
      <c r="B1673" s="68" t="n">
        <v>200</v>
      </c>
      <c r="C1673" s="68" t="n">
        <v>770</v>
      </c>
      <c r="D1673" s="68" t="inlineStr">
        <is>
          <t>HpRatio</t>
        </is>
      </c>
      <c r="E1673" s="68">
        <f>INT(E1672*1.01)</f>
        <v/>
      </c>
      <c r="F1673" s="68" t="inlineStr">
        <is>
          <t>AtkRatio</t>
        </is>
      </c>
      <c r="G1673" s="68">
        <f>INT(G1672*1.01)</f>
        <v/>
      </c>
      <c r="H1673" s="68" t="inlineStr">
        <is>
          <t>DefRatio</t>
        </is>
      </c>
      <c r="I1673" s="68">
        <f>G1673</f>
        <v/>
      </c>
    </row>
    <row r="1674">
      <c r="A1674" s="68">
        <f>B1674&amp;TEXT(C1674,"0000")</f>
        <v/>
      </c>
      <c r="B1674" s="68" t="n">
        <v>200</v>
      </c>
      <c r="C1674" s="68" t="n">
        <v>771</v>
      </c>
      <c r="D1674" s="68" t="inlineStr">
        <is>
          <t>HpRatio</t>
        </is>
      </c>
      <c r="E1674" s="68">
        <f>INT(E1673*1.01)</f>
        <v/>
      </c>
      <c r="F1674" s="68" t="inlineStr">
        <is>
          <t>AtkRatio</t>
        </is>
      </c>
      <c r="G1674" s="68">
        <f>INT(G1673*1.01)</f>
        <v/>
      </c>
      <c r="H1674" s="68" t="inlineStr">
        <is>
          <t>DefRatio</t>
        </is>
      </c>
      <c r="I1674" s="68">
        <f>G1674</f>
        <v/>
      </c>
    </row>
    <row r="1675">
      <c r="A1675" s="68">
        <f>B1675&amp;TEXT(C1675,"0000")</f>
        <v/>
      </c>
      <c r="B1675" s="68" t="n">
        <v>200</v>
      </c>
      <c r="C1675" s="68" t="n">
        <v>772</v>
      </c>
      <c r="D1675" s="68" t="inlineStr">
        <is>
          <t>HpRatio</t>
        </is>
      </c>
      <c r="E1675" s="68">
        <f>INT(E1674*1.01)</f>
        <v/>
      </c>
      <c r="F1675" s="68" t="inlineStr">
        <is>
          <t>AtkRatio</t>
        </is>
      </c>
      <c r="G1675" s="68">
        <f>INT(G1674*1.01)</f>
        <v/>
      </c>
      <c r="H1675" s="68" t="inlineStr">
        <is>
          <t>DefRatio</t>
        </is>
      </c>
      <c r="I1675" s="68">
        <f>G1675</f>
        <v/>
      </c>
    </row>
    <row r="1676">
      <c r="A1676" s="68">
        <f>B1676&amp;TEXT(C1676,"0000")</f>
        <v/>
      </c>
      <c r="B1676" s="68" t="n">
        <v>200</v>
      </c>
      <c r="C1676" s="68" t="n">
        <v>773</v>
      </c>
      <c r="D1676" s="68" t="inlineStr">
        <is>
          <t>HpRatio</t>
        </is>
      </c>
      <c r="E1676" s="68">
        <f>INT(E1675*1.01)</f>
        <v/>
      </c>
      <c r="F1676" s="68" t="inlineStr">
        <is>
          <t>AtkRatio</t>
        </is>
      </c>
      <c r="G1676" s="68">
        <f>INT(G1675*1.01)</f>
        <v/>
      </c>
      <c r="H1676" s="68" t="inlineStr">
        <is>
          <t>DefRatio</t>
        </is>
      </c>
      <c r="I1676" s="68">
        <f>G1676</f>
        <v/>
      </c>
    </row>
    <row r="1677">
      <c r="A1677" s="68">
        <f>B1677&amp;TEXT(C1677,"0000")</f>
        <v/>
      </c>
      <c r="B1677" s="68" t="n">
        <v>200</v>
      </c>
      <c r="C1677" s="68" t="n">
        <v>774</v>
      </c>
      <c r="D1677" s="68" t="inlineStr">
        <is>
          <t>HpRatio</t>
        </is>
      </c>
      <c r="E1677" s="68">
        <f>INT(E1676*1.01)</f>
        <v/>
      </c>
      <c r="F1677" s="68" t="inlineStr">
        <is>
          <t>AtkRatio</t>
        </is>
      </c>
      <c r="G1677" s="68">
        <f>INT(G1676*1.01)</f>
        <v/>
      </c>
      <c r="H1677" s="68" t="inlineStr">
        <is>
          <t>DefRatio</t>
        </is>
      </c>
      <c r="I1677" s="68">
        <f>G1677</f>
        <v/>
      </c>
    </row>
    <row r="1678">
      <c r="A1678" s="68">
        <f>B1678&amp;TEXT(C1678,"0000")</f>
        <v/>
      </c>
      <c r="B1678" s="68" t="n">
        <v>200</v>
      </c>
      <c r="C1678" s="68" t="n">
        <v>775</v>
      </c>
      <c r="D1678" s="68" t="inlineStr">
        <is>
          <t>HpRatio</t>
        </is>
      </c>
      <c r="E1678" s="68">
        <f>INT(E1677*1.01)</f>
        <v/>
      </c>
      <c r="F1678" s="68" t="inlineStr">
        <is>
          <t>AtkRatio</t>
        </is>
      </c>
      <c r="G1678" s="68">
        <f>INT(G1677*1.01)</f>
        <v/>
      </c>
      <c r="H1678" s="68" t="inlineStr">
        <is>
          <t>DefRatio</t>
        </is>
      </c>
      <c r="I1678" s="68">
        <f>G1678</f>
        <v/>
      </c>
    </row>
    <row r="1679">
      <c r="A1679" s="68">
        <f>B1679&amp;TEXT(C1679,"0000")</f>
        <v/>
      </c>
      <c r="B1679" s="68" t="n">
        <v>200</v>
      </c>
      <c r="C1679" s="68" t="n">
        <v>776</v>
      </c>
      <c r="D1679" s="68" t="inlineStr">
        <is>
          <t>HpRatio</t>
        </is>
      </c>
      <c r="E1679" s="68">
        <f>INT(E1678*1.01)</f>
        <v/>
      </c>
      <c r="F1679" s="68" t="inlineStr">
        <is>
          <t>AtkRatio</t>
        </is>
      </c>
      <c r="G1679" s="68">
        <f>INT(G1678*1.01)</f>
        <v/>
      </c>
      <c r="H1679" s="68" t="inlineStr">
        <is>
          <t>DefRatio</t>
        </is>
      </c>
      <c r="I1679" s="68">
        <f>G1679</f>
        <v/>
      </c>
    </row>
    <row r="1680">
      <c r="A1680" s="68">
        <f>B1680&amp;TEXT(C1680,"0000")</f>
        <v/>
      </c>
      <c r="B1680" s="68" t="n">
        <v>200</v>
      </c>
      <c r="C1680" s="68" t="n">
        <v>777</v>
      </c>
      <c r="D1680" s="68" t="inlineStr">
        <is>
          <t>HpRatio</t>
        </is>
      </c>
      <c r="E1680" s="68">
        <f>INT(E1679*1.01)</f>
        <v/>
      </c>
      <c r="F1680" s="68" t="inlineStr">
        <is>
          <t>AtkRatio</t>
        </is>
      </c>
      <c r="G1680" s="68">
        <f>INT(G1679*1.01)</f>
        <v/>
      </c>
      <c r="H1680" s="68" t="inlineStr">
        <is>
          <t>DefRatio</t>
        </is>
      </c>
      <c r="I1680" s="68">
        <f>G1680</f>
        <v/>
      </c>
    </row>
    <row r="1681">
      <c r="A1681" s="68">
        <f>B1681&amp;TEXT(C1681,"0000")</f>
        <v/>
      </c>
      <c r="B1681" s="68" t="n">
        <v>200</v>
      </c>
      <c r="C1681" s="68" t="n">
        <v>778</v>
      </c>
      <c r="D1681" s="68" t="inlineStr">
        <is>
          <t>HpRatio</t>
        </is>
      </c>
      <c r="E1681" s="68">
        <f>INT(E1680*1.01)</f>
        <v/>
      </c>
      <c r="F1681" s="68" t="inlineStr">
        <is>
          <t>AtkRatio</t>
        </is>
      </c>
      <c r="G1681" s="68">
        <f>INT(G1680*1.01)</f>
        <v/>
      </c>
      <c r="H1681" s="68" t="inlineStr">
        <is>
          <t>DefRatio</t>
        </is>
      </c>
      <c r="I1681" s="68">
        <f>G1681</f>
        <v/>
      </c>
    </row>
    <row r="1682">
      <c r="A1682" s="68">
        <f>B1682&amp;TEXT(C1682,"0000")</f>
        <v/>
      </c>
      <c r="B1682" s="68" t="n">
        <v>200</v>
      </c>
      <c r="C1682" s="68" t="n">
        <v>779</v>
      </c>
      <c r="D1682" s="68" t="inlineStr">
        <is>
          <t>HpRatio</t>
        </is>
      </c>
      <c r="E1682" s="68">
        <f>INT(E1681*1.01)</f>
        <v/>
      </c>
      <c r="F1682" s="68" t="inlineStr">
        <is>
          <t>AtkRatio</t>
        </is>
      </c>
      <c r="G1682" s="68">
        <f>INT(G1681*1.01)</f>
        <v/>
      </c>
      <c r="H1682" s="68" t="inlineStr">
        <is>
          <t>DefRatio</t>
        </is>
      </c>
      <c r="I1682" s="68">
        <f>G1682</f>
        <v/>
      </c>
    </row>
    <row r="1683">
      <c r="A1683" s="68">
        <f>B1683&amp;TEXT(C1683,"0000")</f>
        <v/>
      </c>
      <c r="B1683" s="68" t="n">
        <v>200</v>
      </c>
      <c r="C1683" s="68" t="n">
        <v>780</v>
      </c>
      <c r="D1683" s="68" t="inlineStr">
        <is>
          <t>HpRatio</t>
        </is>
      </c>
      <c r="E1683" s="68">
        <f>INT(E1682*1.01)</f>
        <v/>
      </c>
      <c r="F1683" s="68" t="inlineStr">
        <is>
          <t>AtkRatio</t>
        </is>
      </c>
      <c r="G1683" s="68">
        <f>INT(G1682*1.01)</f>
        <v/>
      </c>
      <c r="H1683" s="68" t="inlineStr">
        <is>
          <t>DefRatio</t>
        </is>
      </c>
      <c r="I1683" s="68">
        <f>G1683</f>
        <v/>
      </c>
    </row>
    <row r="1684">
      <c r="A1684" s="68">
        <f>B1684&amp;TEXT(C1684,"0000")</f>
        <v/>
      </c>
      <c r="B1684" s="68" t="n">
        <v>200</v>
      </c>
      <c r="C1684" s="68" t="n">
        <v>781</v>
      </c>
      <c r="D1684" s="68" t="inlineStr">
        <is>
          <t>HpRatio</t>
        </is>
      </c>
      <c r="E1684" s="68">
        <f>INT(E1683*1.01)</f>
        <v/>
      </c>
      <c r="F1684" s="68" t="inlineStr">
        <is>
          <t>AtkRatio</t>
        </is>
      </c>
      <c r="G1684" s="68">
        <f>INT(G1683*1.01)</f>
        <v/>
      </c>
      <c r="H1684" s="68" t="inlineStr">
        <is>
          <t>DefRatio</t>
        </is>
      </c>
      <c r="I1684" s="68">
        <f>G1684</f>
        <v/>
      </c>
    </row>
    <row r="1685">
      <c r="A1685" s="68">
        <f>B1685&amp;TEXT(C1685,"0000")</f>
        <v/>
      </c>
      <c r="B1685" s="68" t="n">
        <v>200</v>
      </c>
      <c r="C1685" s="68" t="n">
        <v>782</v>
      </c>
      <c r="D1685" s="68" t="inlineStr">
        <is>
          <t>HpRatio</t>
        </is>
      </c>
      <c r="E1685" s="68">
        <f>INT(E1684*1.01)</f>
        <v/>
      </c>
      <c r="F1685" s="68" t="inlineStr">
        <is>
          <t>AtkRatio</t>
        </is>
      </c>
      <c r="G1685" s="68">
        <f>INT(G1684*1.01)</f>
        <v/>
      </c>
      <c r="H1685" s="68" t="inlineStr">
        <is>
          <t>DefRatio</t>
        </is>
      </c>
      <c r="I1685" s="68">
        <f>G1685</f>
        <v/>
      </c>
    </row>
    <row r="1686">
      <c r="A1686" s="68">
        <f>B1686&amp;TEXT(C1686,"0000")</f>
        <v/>
      </c>
      <c r="B1686" s="68" t="n">
        <v>200</v>
      </c>
      <c r="C1686" s="68" t="n">
        <v>783</v>
      </c>
      <c r="D1686" s="68" t="inlineStr">
        <is>
          <t>HpRatio</t>
        </is>
      </c>
      <c r="E1686" s="68">
        <f>INT(E1685*1.01)</f>
        <v/>
      </c>
      <c r="F1686" s="68" t="inlineStr">
        <is>
          <t>AtkRatio</t>
        </is>
      </c>
      <c r="G1686" s="68">
        <f>INT(G1685*1.01)</f>
        <v/>
      </c>
      <c r="H1686" s="68" t="inlineStr">
        <is>
          <t>DefRatio</t>
        </is>
      </c>
      <c r="I1686" s="68">
        <f>G1686</f>
        <v/>
      </c>
    </row>
    <row r="1687">
      <c r="A1687" s="68">
        <f>B1687&amp;TEXT(C1687,"0000")</f>
        <v/>
      </c>
      <c r="B1687" s="68" t="n">
        <v>200</v>
      </c>
      <c r="C1687" s="68" t="n">
        <v>784</v>
      </c>
      <c r="D1687" s="68" t="inlineStr">
        <is>
          <t>HpRatio</t>
        </is>
      </c>
      <c r="E1687" s="68">
        <f>INT(E1686*1.01)</f>
        <v/>
      </c>
      <c r="F1687" s="68" t="inlineStr">
        <is>
          <t>AtkRatio</t>
        </is>
      </c>
      <c r="G1687" s="68">
        <f>INT(G1686*1.01)</f>
        <v/>
      </c>
      <c r="H1687" s="68" t="inlineStr">
        <is>
          <t>DefRatio</t>
        </is>
      </c>
      <c r="I1687" s="68">
        <f>G1687</f>
        <v/>
      </c>
    </row>
    <row r="1688">
      <c r="A1688" s="68">
        <f>B1688&amp;TEXT(C1688,"0000")</f>
        <v/>
      </c>
      <c r="B1688" s="68" t="n">
        <v>200</v>
      </c>
      <c r="C1688" s="68" t="n">
        <v>785</v>
      </c>
      <c r="D1688" s="68" t="inlineStr">
        <is>
          <t>HpRatio</t>
        </is>
      </c>
      <c r="E1688" s="68">
        <f>INT(E1687*1.01)</f>
        <v/>
      </c>
      <c r="F1688" s="68" t="inlineStr">
        <is>
          <t>AtkRatio</t>
        </is>
      </c>
      <c r="G1688" s="68">
        <f>INT(G1687*1.01)</f>
        <v/>
      </c>
      <c r="H1688" s="68" t="inlineStr">
        <is>
          <t>DefRatio</t>
        </is>
      </c>
      <c r="I1688" s="68">
        <f>G1688</f>
        <v/>
      </c>
    </row>
    <row r="1689">
      <c r="A1689" s="68">
        <f>B1689&amp;TEXT(C1689,"0000")</f>
        <v/>
      </c>
      <c r="B1689" s="68" t="n">
        <v>200</v>
      </c>
      <c r="C1689" s="68" t="n">
        <v>786</v>
      </c>
      <c r="D1689" s="68" t="inlineStr">
        <is>
          <t>HpRatio</t>
        </is>
      </c>
      <c r="E1689" s="68">
        <f>INT(E1688*1.01)</f>
        <v/>
      </c>
      <c r="F1689" s="68" t="inlineStr">
        <is>
          <t>AtkRatio</t>
        </is>
      </c>
      <c r="G1689" s="68">
        <f>INT(G1688*1.01)</f>
        <v/>
      </c>
      <c r="H1689" s="68" t="inlineStr">
        <is>
          <t>DefRatio</t>
        </is>
      </c>
      <c r="I1689" s="68">
        <f>G1689</f>
        <v/>
      </c>
    </row>
    <row r="1690">
      <c r="A1690" s="68">
        <f>B1690&amp;TEXT(C1690,"0000")</f>
        <v/>
      </c>
      <c r="B1690" s="68" t="n">
        <v>200</v>
      </c>
      <c r="C1690" s="68" t="n">
        <v>787</v>
      </c>
      <c r="D1690" s="68" t="inlineStr">
        <is>
          <t>HpRatio</t>
        </is>
      </c>
      <c r="E1690" s="68">
        <f>INT(E1689*1.01)</f>
        <v/>
      </c>
      <c r="F1690" s="68" t="inlineStr">
        <is>
          <t>AtkRatio</t>
        </is>
      </c>
      <c r="G1690" s="68">
        <f>INT(G1689*1.01)</f>
        <v/>
      </c>
      <c r="H1690" s="68" t="inlineStr">
        <is>
          <t>DefRatio</t>
        </is>
      </c>
      <c r="I1690" s="68">
        <f>G1690</f>
        <v/>
      </c>
    </row>
    <row r="1691">
      <c r="A1691" s="68">
        <f>B1691&amp;TEXT(C1691,"0000")</f>
        <v/>
      </c>
      <c r="B1691" s="68" t="n">
        <v>200</v>
      </c>
      <c r="C1691" s="68" t="n">
        <v>788</v>
      </c>
      <c r="D1691" s="68" t="inlineStr">
        <is>
          <t>HpRatio</t>
        </is>
      </c>
      <c r="E1691" s="68">
        <f>INT(E1690*1.01)</f>
        <v/>
      </c>
      <c r="F1691" s="68" t="inlineStr">
        <is>
          <t>AtkRatio</t>
        </is>
      </c>
      <c r="G1691" s="68">
        <f>INT(G1690*1.01)</f>
        <v/>
      </c>
      <c r="H1691" s="68" t="inlineStr">
        <is>
          <t>DefRatio</t>
        </is>
      </c>
      <c r="I1691" s="68">
        <f>G1691</f>
        <v/>
      </c>
    </row>
    <row r="1692">
      <c r="A1692" s="68">
        <f>B1692&amp;TEXT(C1692,"0000")</f>
        <v/>
      </c>
      <c r="B1692" s="68" t="n">
        <v>200</v>
      </c>
      <c r="C1692" s="68" t="n">
        <v>789</v>
      </c>
      <c r="D1692" s="68" t="inlineStr">
        <is>
          <t>HpRatio</t>
        </is>
      </c>
      <c r="E1692" s="68">
        <f>INT(E1691*1.01)</f>
        <v/>
      </c>
      <c r="F1692" s="68" t="inlineStr">
        <is>
          <t>AtkRatio</t>
        </is>
      </c>
      <c r="G1692" s="68">
        <f>INT(G1691*1.01)</f>
        <v/>
      </c>
      <c r="H1692" s="68" t="inlineStr">
        <is>
          <t>DefRatio</t>
        </is>
      </c>
      <c r="I1692" s="68">
        <f>G1692</f>
        <v/>
      </c>
    </row>
    <row r="1693">
      <c r="A1693" s="68">
        <f>B1693&amp;TEXT(C1693,"0000")</f>
        <v/>
      </c>
      <c r="B1693" s="68" t="n">
        <v>200</v>
      </c>
      <c r="C1693" s="68" t="n">
        <v>790</v>
      </c>
      <c r="D1693" s="68" t="inlineStr">
        <is>
          <t>HpRatio</t>
        </is>
      </c>
      <c r="E1693" s="68">
        <f>INT(E1692*1.01)</f>
        <v/>
      </c>
      <c r="F1693" s="68" t="inlineStr">
        <is>
          <t>AtkRatio</t>
        </is>
      </c>
      <c r="G1693" s="68">
        <f>INT(G1692*1.01)</f>
        <v/>
      </c>
      <c r="H1693" s="68" t="inlineStr">
        <is>
          <t>DefRatio</t>
        </is>
      </c>
      <c r="I1693" s="68">
        <f>G1693</f>
        <v/>
      </c>
    </row>
    <row r="1694">
      <c r="A1694" s="68">
        <f>B1694&amp;TEXT(C1694,"0000")</f>
        <v/>
      </c>
      <c r="B1694" s="68" t="n">
        <v>200</v>
      </c>
      <c r="C1694" s="68" t="n">
        <v>791</v>
      </c>
      <c r="D1694" s="68" t="inlineStr">
        <is>
          <t>HpRatio</t>
        </is>
      </c>
      <c r="E1694" s="68">
        <f>INT(E1693*1.01)</f>
        <v/>
      </c>
      <c r="F1694" s="68" t="inlineStr">
        <is>
          <t>AtkRatio</t>
        </is>
      </c>
      <c r="G1694" s="68">
        <f>INT(G1693*1.01)</f>
        <v/>
      </c>
      <c r="H1694" s="68" t="inlineStr">
        <is>
          <t>DefRatio</t>
        </is>
      </c>
      <c r="I1694" s="68">
        <f>G1694</f>
        <v/>
      </c>
    </row>
    <row r="1695">
      <c r="A1695" s="68">
        <f>B1695&amp;TEXT(C1695,"0000")</f>
        <v/>
      </c>
      <c r="B1695" s="68" t="n">
        <v>200</v>
      </c>
      <c r="C1695" s="68" t="n">
        <v>792</v>
      </c>
      <c r="D1695" s="68" t="inlineStr">
        <is>
          <t>HpRatio</t>
        </is>
      </c>
      <c r="E1695" s="68">
        <f>INT(E1694*1.01)</f>
        <v/>
      </c>
      <c r="F1695" s="68" t="inlineStr">
        <is>
          <t>AtkRatio</t>
        </is>
      </c>
      <c r="G1695" s="68">
        <f>INT(G1694*1.01)</f>
        <v/>
      </c>
      <c r="H1695" s="68" t="inlineStr">
        <is>
          <t>DefRatio</t>
        </is>
      </c>
      <c r="I1695" s="68">
        <f>G1695</f>
        <v/>
      </c>
    </row>
    <row r="1696">
      <c r="A1696" s="68">
        <f>B1696&amp;TEXT(C1696,"0000")</f>
        <v/>
      </c>
      <c r="B1696" s="68" t="n">
        <v>200</v>
      </c>
      <c r="C1696" s="68" t="n">
        <v>793</v>
      </c>
      <c r="D1696" s="68" t="inlineStr">
        <is>
          <t>HpRatio</t>
        </is>
      </c>
      <c r="E1696" s="68">
        <f>INT(E1695*1.01)</f>
        <v/>
      </c>
      <c r="F1696" s="68" t="inlineStr">
        <is>
          <t>AtkRatio</t>
        </is>
      </c>
      <c r="G1696" s="68">
        <f>INT(G1695*1.01)</f>
        <v/>
      </c>
      <c r="H1696" s="68" t="inlineStr">
        <is>
          <t>DefRatio</t>
        </is>
      </c>
      <c r="I1696" s="68">
        <f>G1696</f>
        <v/>
      </c>
    </row>
    <row r="1697">
      <c r="A1697" s="68">
        <f>B1697&amp;TEXT(C1697,"0000")</f>
        <v/>
      </c>
      <c r="B1697" s="68" t="n">
        <v>200</v>
      </c>
      <c r="C1697" s="68" t="n">
        <v>794</v>
      </c>
      <c r="D1697" s="68" t="inlineStr">
        <is>
          <t>HpRatio</t>
        </is>
      </c>
      <c r="E1697" s="68">
        <f>INT(E1696*1.01)</f>
        <v/>
      </c>
      <c r="F1697" s="68" t="inlineStr">
        <is>
          <t>AtkRatio</t>
        </is>
      </c>
      <c r="G1697" s="68">
        <f>INT(G1696*1.01)</f>
        <v/>
      </c>
      <c r="H1697" s="68" t="inlineStr">
        <is>
          <t>DefRatio</t>
        </is>
      </c>
      <c r="I1697" s="68">
        <f>G1697</f>
        <v/>
      </c>
    </row>
    <row r="1698">
      <c r="A1698" s="68">
        <f>B1698&amp;TEXT(C1698,"0000")</f>
        <v/>
      </c>
      <c r="B1698" s="68" t="n">
        <v>200</v>
      </c>
      <c r="C1698" s="68" t="n">
        <v>795</v>
      </c>
      <c r="D1698" s="68" t="inlineStr">
        <is>
          <t>HpRatio</t>
        </is>
      </c>
      <c r="E1698" s="68">
        <f>INT(E1697*1.01)</f>
        <v/>
      </c>
      <c r="F1698" s="68" t="inlineStr">
        <is>
          <t>AtkRatio</t>
        </is>
      </c>
      <c r="G1698" s="68">
        <f>INT(G1697*1.01)</f>
        <v/>
      </c>
      <c r="H1698" s="68" t="inlineStr">
        <is>
          <t>DefRatio</t>
        </is>
      </c>
      <c r="I1698" s="68">
        <f>G1698</f>
        <v/>
      </c>
    </row>
    <row r="1699">
      <c r="A1699" s="68">
        <f>B1699&amp;TEXT(C1699,"0000")</f>
        <v/>
      </c>
      <c r="B1699" s="68" t="n">
        <v>200</v>
      </c>
      <c r="C1699" s="68" t="n">
        <v>796</v>
      </c>
      <c r="D1699" s="68" t="inlineStr">
        <is>
          <t>HpRatio</t>
        </is>
      </c>
      <c r="E1699" s="68">
        <f>INT(E1698*1.01)</f>
        <v/>
      </c>
      <c r="F1699" s="68" t="inlineStr">
        <is>
          <t>AtkRatio</t>
        </is>
      </c>
      <c r="G1699" s="68">
        <f>INT(G1698*1.01)</f>
        <v/>
      </c>
      <c r="H1699" s="68" t="inlineStr">
        <is>
          <t>DefRatio</t>
        </is>
      </c>
      <c r="I1699" s="68">
        <f>G1699</f>
        <v/>
      </c>
    </row>
    <row r="1700">
      <c r="A1700" s="68">
        <f>B1700&amp;TEXT(C1700,"0000")</f>
        <v/>
      </c>
      <c r="B1700" s="68" t="n">
        <v>200</v>
      </c>
      <c r="C1700" s="68" t="n">
        <v>797</v>
      </c>
      <c r="D1700" s="68" t="inlineStr">
        <is>
          <t>HpRatio</t>
        </is>
      </c>
      <c r="E1700" s="68">
        <f>INT(E1699*1.01)</f>
        <v/>
      </c>
      <c r="F1700" s="68" t="inlineStr">
        <is>
          <t>AtkRatio</t>
        </is>
      </c>
      <c r="G1700" s="68">
        <f>INT(G1699*1.01)</f>
        <v/>
      </c>
      <c r="H1700" s="68" t="inlineStr">
        <is>
          <t>DefRatio</t>
        </is>
      </c>
      <c r="I1700" s="68">
        <f>G1700</f>
        <v/>
      </c>
    </row>
    <row r="1701">
      <c r="A1701" s="68">
        <f>B1701&amp;TEXT(C1701,"0000")</f>
        <v/>
      </c>
      <c r="B1701" s="68" t="n">
        <v>200</v>
      </c>
      <c r="C1701" s="68" t="n">
        <v>798</v>
      </c>
      <c r="D1701" s="68" t="inlineStr">
        <is>
          <t>HpRatio</t>
        </is>
      </c>
      <c r="E1701" s="68">
        <f>INT(E1700*1.01)</f>
        <v/>
      </c>
      <c r="F1701" s="68" t="inlineStr">
        <is>
          <t>AtkRatio</t>
        </is>
      </c>
      <c r="G1701" s="68">
        <f>INT(G1700*1.01)</f>
        <v/>
      </c>
      <c r="H1701" s="68" t="inlineStr">
        <is>
          <t>DefRatio</t>
        </is>
      </c>
      <c r="I1701" s="68">
        <f>G1701</f>
        <v/>
      </c>
    </row>
    <row r="1702">
      <c r="A1702" s="68">
        <f>B1702&amp;TEXT(C1702,"0000")</f>
        <v/>
      </c>
      <c r="B1702" s="68" t="n">
        <v>200</v>
      </c>
      <c r="C1702" s="68" t="n">
        <v>799</v>
      </c>
      <c r="D1702" s="68" t="inlineStr">
        <is>
          <t>HpRatio</t>
        </is>
      </c>
      <c r="E1702" s="68">
        <f>INT(E1701*1.01)</f>
        <v/>
      </c>
      <c r="F1702" s="68" t="inlineStr">
        <is>
          <t>AtkRatio</t>
        </is>
      </c>
      <c r="G1702" s="68">
        <f>INT(G1701*1.01)</f>
        <v/>
      </c>
      <c r="H1702" s="68" t="inlineStr">
        <is>
          <t>DefRatio</t>
        </is>
      </c>
      <c r="I1702" s="68">
        <f>G1702</f>
        <v/>
      </c>
    </row>
    <row r="1703">
      <c r="A1703" s="68">
        <f>B1703&amp;TEXT(C1703,"0000")</f>
        <v/>
      </c>
      <c r="B1703" s="68" t="n">
        <v>200</v>
      </c>
      <c r="C1703" s="68" t="n">
        <v>800</v>
      </c>
      <c r="D1703" s="68" t="inlineStr">
        <is>
          <t>HpRatio</t>
        </is>
      </c>
      <c r="E1703" s="68">
        <f>INT(E1702*1.01)</f>
        <v/>
      </c>
      <c r="F1703" s="68" t="inlineStr">
        <is>
          <t>AtkRatio</t>
        </is>
      </c>
      <c r="G1703" s="68">
        <f>INT(G1702*1.01)</f>
        <v/>
      </c>
      <c r="H1703" s="68" t="inlineStr">
        <is>
          <t>DefRatio</t>
        </is>
      </c>
      <c r="I1703" s="68">
        <f>G1703</f>
        <v/>
      </c>
    </row>
    <row r="1704">
      <c r="A1704" s="68">
        <f>B1704&amp;TEXT(C1704,"0000")</f>
        <v/>
      </c>
      <c r="B1704" s="68" t="n">
        <v>200</v>
      </c>
      <c r="C1704" s="68" t="n">
        <v>801</v>
      </c>
      <c r="D1704" s="68" t="inlineStr">
        <is>
          <t>HpRatio</t>
        </is>
      </c>
      <c r="E1704" s="68">
        <f>INT(E1703*1.01)</f>
        <v/>
      </c>
      <c r="F1704" s="68" t="inlineStr">
        <is>
          <t>AtkRatio</t>
        </is>
      </c>
      <c r="G1704" s="68">
        <f>INT(G1703*1.01)</f>
        <v/>
      </c>
      <c r="H1704" s="68" t="inlineStr">
        <is>
          <t>DefRatio</t>
        </is>
      </c>
      <c r="I1704" s="68">
        <f>G1704</f>
        <v/>
      </c>
    </row>
    <row r="1705">
      <c r="A1705" s="68">
        <f>B1705&amp;TEXT(C1705,"0000")</f>
        <v/>
      </c>
      <c r="B1705" s="68" t="n">
        <v>200</v>
      </c>
      <c r="C1705" s="68" t="n">
        <v>802</v>
      </c>
      <c r="D1705" s="68" t="inlineStr">
        <is>
          <t>HpRatio</t>
        </is>
      </c>
      <c r="E1705" s="68">
        <f>INT(E1704*1.01)</f>
        <v/>
      </c>
      <c r="F1705" s="68" t="inlineStr">
        <is>
          <t>AtkRatio</t>
        </is>
      </c>
      <c r="G1705" s="68">
        <f>INT(G1704*1.01)</f>
        <v/>
      </c>
      <c r="H1705" s="68" t="inlineStr">
        <is>
          <t>DefRatio</t>
        </is>
      </c>
      <c r="I1705" s="68">
        <f>G1705</f>
        <v/>
      </c>
    </row>
    <row r="1706">
      <c r="A1706" s="68">
        <f>B1706&amp;TEXT(C1706,"0000")</f>
        <v/>
      </c>
      <c r="B1706" s="68" t="n">
        <v>200</v>
      </c>
      <c r="C1706" s="68" t="n">
        <v>803</v>
      </c>
      <c r="D1706" s="68" t="inlineStr">
        <is>
          <t>HpRatio</t>
        </is>
      </c>
      <c r="E1706" s="68">
        <f>INT(E1705*1.01)</f>
        <v/>
      </c>
      <c r="F1706" s="68" t="inlineStr">
        <is>
          <t>AtkRatio</t>
        </is>
      </c>
      <c r="G1706" s="68">
        <f>INT(G1705*1.01)</f>
        <v/>
      </c>
      <c r="H1706" s="68" t="inlineStr">
        <is>
          <t>DefRatio</t>
        </is>
      </c>
      <c r="I1706" s="68">
        <f>G1706</f>
        <v/>
      </c>
    </row>
    <row r="1707">
      <c r="A1707" s="68">
        <f>B1707&amp;TEXT(C1707,"0000")</f>
        <v/>
      </c>
      <c r="B1707" s="68" t="n">
        <v>200</v>
      </c>
      <c r="C1707" s="68" t="n">
        <v>804</v>
      </c>
      <c r="D1707" s="68" t="inlineStr">
        <is>
          <t>HpRatio</t>
        </is>
      </c>
      <c r="E1707" s="68">
        <f>INT(E1706*1.01)</f>
        <v/>
      </c>
      <c r="F1707" s="68" t="inlineStr">
        <is>
          <t>AtkRatio</t>
        </is>
      </c>
      <c r="G1707" s="68">
        <f>INT(G1706*1.01)</f>
        <v/>
      </c>
      <c r="H1707" s="68" t="inlineStr">
        <is>
          <t>DefRatio</t>
        </is>
      </c>
      <c r="I1707" s="68">
        <f>G1707</f>
        <v/>
      </c>
    </row>
    <row r="1708">
      <c r="A1708" s="68">
        <f>B1708&amp;TEXT(C1708,"0000")</f>
        <v/>
      </c>
      <c r="B1708" s="68" t="n">
        <v>200</v>
      </c>
      <c r="C1708" s="68" t="n">
        <v>805</v>
      </c>
      <c r="D1708" s="68" t="inlineStr">
        <is>
          <t>HpRatio</t>
        </is>
      </c>
      <c r="E1708" s="68">
        <f>INT(E1707*1.01)</f>
        <v/>
      </c>
      <c r="F1708" s="68" t="inlineStr">
        <is>
          <t>AtkRatio</t>
        </is>
      </c>
      <c r="G1708" s="68">
        <f>INT(G1707*1.01)</f>
        <v/>
      </c>
      <c r="H1708" s="68" t="inlineStr">
        <is>
          <t>DefRatio</t>
        </is>
      </c>
      <c r="I1708" s="68">
        <f>G1708</f>
        <v/>
      </c>
    </row>
    <row r="1709">
      <c r="A1709" s="68">
        <f>B1709&amp;TEXT(C1709,"0000")</f>
        <v/>
      </c>
      <c r="B1709" s="68" t="n">
        <v>200</v>
      </c>
      <c r="C1709" s="68" t="n">
        <v>806</v>
      </c>
      <c r="D1709" s="68" t="inlineStr">
        <is>
          <t>HpRatio</t>
        </is>
      </c>
      <c r="E1709" s="68">
        <f>INT(E1708*1.01)</f>
        <v/>
      </c>
      <c r="F1709" s="68" t="inlineStr">
        <is>
          <t>AtkRatio</t>
        </is>
      </c>
      <c r="G1709" s="68">
        <f>INT(G1708*1.01)</f>
        <v/>
      </c>
      <c r="H1709" s="68" t="inlineStr">
        <is>
          <t>DefRatio</t>
        </is>
      </c>
      <c r="I1709" s="68">
        <f>G1709</f>
        <v/>
      </c>
    </row>
    <row r="1710">
      <c r="A1710" s="68">
        <f>B1710&amp;TEXT(C1710,"0000")</f>
        <v/>
      </c>
      <c r="B1710" s="68" t="n">
        <v>200</v>
      </c>
      <c r="C1710" s="68" t="n">
        <v>807</v>
      </c>
      <c r="D1710" s="68" t="inlineStr">
        <is>
          <t>HpRatio</t>
        </is>
      </c>
      <c r="E1710" s="68">
        <f>INT(E1709*1.01)</f>
        <v/>
      </c>
      <c r="F1710" s="68" t="inlineStr">
        <is>
          <t>AtkRatio</t>
        </is>
      </c>
      <c r="G1710" s="68">
        <f>INT(G1709*1.01)</f>
        <v/>
      </c>
      <c r="H1710" s="68" t="inlineStr">
        <is>
          <t>DefRatio</t>
        </is>
      </c>
      <c r="I1710" s="68">
        <f>G1710</f>
        <v/>
      </c>
    </row>
    <row r="1711">
      <c r="A1711" s="68">
        <f>B1711&amp;TEXT(C1711,"0000")</f>
        <v/>
      </c>
      <c r="B1711" s="68" t="n">
        <v>200</v>
      </c>
      <c r="C1711" s="68" t="n">
        <v>808</v>
      </c>
      <c r="D1711" s="68" t="inlineStr">
        <is>
          <t>HpRatio</t>
        </is>
      </c>
      <c r="E1711" s="68">
        <f>INT(E1710*1.01)</f>
        <v/>
      </c>
      <c r="F1711" s="68" t="inlineStr">
        <is>
          <t>AtkRatio</t>
        </is>
      </c>
      <c r="G1711" s="68">
        <f>INT(G1710*1.01)</f>
        <v/>
      </c>
      <c r="H1711" s="68" t="inlineStr">
        <is>
          <t>DefRatio</t>
        </is>
      </c>
      <c r="I1711" s="68">
        <f>G1711</f>
        <v/>
      </c>
    </row>
    <row r="1712">
      <c r="A1712" s="68">
        <f>B1712&amp;TEXT(C1712,"0000")</f>
        <v/>
      </c>
      <c r="B1712" s="68" t="n">
        <v>200</v>
      </c>
      <c r="C1712" s="68" t="n">
        <v>809</v>
      </c>
      <c r="D1712" s="68" t="inlineStr">
        <is>
          <t>HpRatio</t>
        </is>
      </c>
      <c r="E1712" s="68">
        <f>INT(E1711*1.01)</f>
        <v/>
      </c>
      <c r="F1712" s="68" t="inlineStr">
        <is>
          <t>AtkRatio</t>
        </is>
      </c>
      <c r="G1712" s="68">
        <f>INT(G1711*1.01)</f>
        <v/>
      </c>
      <c r="H1712" s="68" t="inlineStr">
        <is>
          <t>DefRatio</t>
        </is>
      </c>
      <c r="I1712" s="68">
        <f>G1712</f>
        <v/>
      </c>
    </row>
    <row r="1713">
      <c r="A1713" s="68">
        <f>B1713&amp;TEXT(C1713,"0000")</f>
        <v/>
      </c>
      <c r="B1713" s="68" t="n">
        <v>200</v>
      </c>
      <c r="C1713" s="68" t="n">
        <v>810</v>
      </c>
      <c r="D1713" s="68" t="inlineStr">
        <is>
          <t>HpRatio</t>
        </is>
      </c>
      <c r="E1713" s="68">
        <f>INT(E1712*1.01)</f>
        <v/>
      </c>
      <c r="F1713" s="68" t="inlineStr">
        <is>
          <t>AtkRatio</t>
        </is>
      </c>
      <c r="G1713" s="68">
        <f>INT(G1712*1.01)</f>
        <v/>
      </c>
      <c r="H1713" s="68" t="inlineStr">
        <is>
          <t>DefRatio</t>
        </is>
      </c>
      <c r="I1713" s="68">
        <f>G1713</f>
        <v/>
      </c>
    </row>
    <row r="1714">
      <c r="A1714" s="68">
        <f>B1714&amp;TEXT(C1714,"0000")</f>
        <v/>
      </c>
      <c r="B1714" s="68" t="n">
        <v>200</v>
      </c>
      <c r="C1714" s="68" t="n">
        <v>811</v>
      </c>
      <c r="D1714" s="68" t="inlineStr">
        <is>
          <t>HpRatio</t>
        </is>
      </c>
      <c r="E1714" s="68">
        <f>INT(E1713*1.01)</f>
        <v/>
      </c>
      <c r="F1714" s="68" t="inlineStr">
        <is>
          <t>AtkRatio</t>
        </is>
      </c>
      <c r="G1714" s="68">
        <f>INT(G1713*1.01)</f>
        <v/>
      </c>
      <c r="H1714" s="68" t="inlineStr">
        <is>
          <t>DefRatio</t>
        </is>
      </c>
      <c r="I1714" s="68">
        <f>G1714</f>
        <v/>
      </c>
    </row>
    <row r="1715">
      <c r="A1715" s="68">
        <f>B1715&amp;TEXT(C1715,"0000")</f>
        <v/>
      </c>
      <c r="B1715" s="68" t="n">
        <v>200</v>
      </c>
      <c r="C1715" s="68" t="n">
        <v>812</v>
      </c>
      <c r="D1715" s="68" t="inlineStr">
        <is>
          <t>HpRatio</t>
        </is>
      </c>
      <c r="E1715" s="68">
        <f>INT(E1714*1.01)</f>
        <v/>
      </c>
      <c r="F1715" s="68" t="inlineStr">
        <is>
          <t>AtkRatio</t>
        </is>
      </c>
      <c r="G1715" s="68">
        <f>INT(G1714*1.01)</f>
        <v/>
      </c>
      <c r="H1715" s="68" t="inlineStr">
        <is>
          <t>DefRatio</t>
        </is>
      </c>
      <c r="I1715" s="68">
        <f>G1715</f>
        <v/>
      </c>
    </row>
    <row r="1716">
      <c r="A1716" s="68">
        <f>B1716&amp;TEXT(C1716,"0000")</f>
        <v/>
      </c>
      <c r="B1716" s="68" t="n">
        <v>200</v>
      </c>
      <c r="C1716" s="68" t="n">
        <v>813</v>
      </c>
      <c r="D1716" s="68" t="inlineStr">
        <is>
          <t>HpRatio</t>
        </is>
      </c>
      <c r="E1716" s="68">
        <f>INT(E1715*1.01)</f>
        <v/>
      </c>
      <c r="F1716" s="68" t="inlineStr">
        <is>
          <t>AtkRatio</t>
        </is>
      </c>
      <c r="G1716" s="68">
        <f>INT(G1715*1.01)</f>
        <v/>
      </c>
      <c r="H1716" s="68" t="inlineStr">
        <is>
          <t>DefRatio</t>
        </is>
      </c>
      <c r="I1716" s="68">
        <f>G1716</f>
        <v/>
      </c>
    </row>
    <row r="1717">
      <c r="A1717" s="68">
        <f>B1717&amp;TEXT(C1717,"0000")</f>
        <v/>
      </c>
      <c r="B1717" s="68" t="n">
        <v>200</v>
      </c>
      <c r="C1717" s="68" t="n">
        <v>814</v>
      </c>
      <c r="D1717" s="68" t="inlineStr">
        <is>
          <t>HpRatio</t>
        </is>
      </c>
      <c r="E1717" s="68">
        <f>INT(E1716*1.01)</f>
        <v/>
      </c>
      <c r="F1717" s="68" t="inlineStr">
        <is>
          <t>AtkRatio</t>
        </is>
      </c>
      <c r="G1717" s="68">
        <f>INT(G1716*1.01)</f>
        <v/>
      </c>
      <c r="H1717" s="68" t="inlineStr">
        <is>
          <t>DefRatio</t>
        </is>
      </c>
      <c r="I1717" s="68">
        <f>G1717</f>
        <v/>
      </c>
    </row>
    <row r="1718">
      <c r="A1718" s="68">
        <f>B1718&amp;TEXT(C1718,"0000")</f>
        <v/>
      </c>
      <c r="B1718" s="68" t="n">
        <v>200</v>
      </c>
      <c r="C1718" s="68" t="n">
        <v>815</v>
      </c>
      <c r="D1718" s="68" t="inlineStr">
        <is>
          <t>HpRatio</t>
        </is>
      </c>
      <c r="E1718" s="68">
        <f>INT(E1717*1.01)</f>
        <v/>
      </c>
      <c r="F1718" s="68" t="inlineStr">
        <is>
          <t>AtkRatio</t>
        </is>
      </c>
      <c r="G1718" s="68">
        <f>INT(G1717*1.01)</f>
        <v/>
      </c>
      <c r="H1718" s="68" t="inlineStr">
        <is>
          <t>DefRatio</t>
        </is>
      </c>
      <c r="I1718" s="68">
        <f>G1718</f>
        <v/>
      </c>
    </row>
    <row r="1719">
      <c r="A1719" s="68">
        <f>B1719&amp;TEXT(C1719,"0000")</f>
        <v/>
      </c>
      <c r="B1719" s="68" t="n">
        <v>200</v>
      </c>
      <c r="C1719" s="68" t="n">
        <v>816</v>
      </c>
      <c r="D1719" s="68" t="inlineStr">
        <is>
          <t>HpRatio</t>
        </is>
      </c>
      <c r="E1719" s="68">
        <f>INT(E1718*1.01)</f>
        <v/>
      </c>
      <c r="F1719" s="68" t="inlineStr">
        <is>
          <t>AtkRatio</t>
        </is>
      </c>
      <c r="G1719" s="68">
        <f>INT(G1718*1.01)</f>
        <v/>
      </c>
      <c r="H1719" s="68" t="inlineStr">
        <is>
          <t>DefRatio</t>
        </is>
      </c>
      <c r="I1719" s="68">
        <f>G1719</f>
        <v/>
      </c>
    </row>
    <row r="1720">
      <c r="A1720" s="68">
        <f>B1720&amp;TEXT(C1720,"0000")</f>
        <v/>
      </c>
      <c r="B1720" s="68" t="n">
        <v>200</v>
      </c>
      <c r="C1720" s="68" t="n">
        <v>817</v>
      </c>
      <c r="D1720" s="68" t="inlineStr">
        <is>
          <t>HpRatio</t>
        </is>
      </c>
      <c r="E1720" s="68">
        <f>INT(E1719*1.01)</f>
        <v/>
      </c>
      <c r="F1720" s="68" t="inlineStr">
        <is>
          <t>AtkRatio</t>
        </is>
      </c>
      <c r="G1720" s="68">
        <f>INT(G1719*1.01)</f>
        <v/>
      </c>
      <c r="H1720" s="68" t="inlineStr">
        <is>
          <t>DefRatio</t>
        </is>
      </c>
      <c r="I1720" s="68">
        <f>G1720</f>
        <v/>
      </c>
    </row>
    <row r="1721">
      <c r="A1721" s="68">
        <f>B1721&amp;TEXT(C1721,"0000")</f>
        <v/>
      </c>
      <c r="B1721" s="68" t="n">
        <v>200</v>
      </c>
      <c r="C1721" s="68" t="n">
        <v>818</v>
      </c>
      <c r="D1721" s="68" t="inlineStr">
        <is>
          <t>HpRatio</t>
        </is>
      </c>
      <c r="E1721" s="68">
        <f>INT(E1720*1.01)</f>
        <v/>
      </c>
      <c r="F1721" s="68" t="inlineStr">
        <is>
          <t>AtkRatio</t>
        </is>
      </c>
      <c r="G1721" s="68">
        <f>INT(G1720*1.01)</f>
        <v/>
      </c>
      <c r="H1721" s="68" t="inlineStr">
        <is>
          <t>DefRatio</t>
        </is>
      </c>
      <c r="I1721" s="68">
        <f>G1721</f>
        <v/>
      </c>
    </row>
    <row r="1722">
      <c r="A1722" s="68">
        <f>B1722&amp;TEXT(C1722,"0000")</f>
        <v/>
      </c>
      <c r="B1722" s="68" t="n">
        <v>200</v>
      </c>
      <c r="C1722" s="68" t="n">
        <v>819</v>
      </c>
      <c r="D1722" s="68" t="inlineStr">
        <is>
          <t>HpRatio</t>
        </is>
      </c>
      <c r="E1722" s="68">
        <f>INT(E1721*1.01)</f>
        <v/>
      </c>
      <c r="F1722" s="68" t="inlineStr">
        <is>
          <t>AtkRatio</t>
        </is>
      </c>
      <c r="G1722" s="68">
        <f>INT(G1721*1.01)</f>
        <v/>
      </c>
      <c r="H1722" s="68" t="inlineStr">
        <is>
          <t>DefRatio</t>
        </is>
      </c>
      <c r="I1722" s="68">
        <f>G1722</f>
        <v/>
      </c>
    </row>
    <row r="1723">
      <c r="A1723" s="68">
        <f>B1723&amp;TEXT(C1723,"0000")</f>
        <v/>
      </c>
      <c r="B1723" s="68" t="n">
        <v>200</v>
      </c>
      <c r="C1723" s="68" t="n">
        <v>820</v>
      </c>
      <c r="D1723" s="68" t="inlineStr">
        <is>
          <t>HpRatio</t>
        </is>
      </c>
      <c r="E1723" s="68">
        <f>INT(E1722*1.01)</f>
        <v/>
      </c>
      <c r="F1723" s="68" t="inlineStr">
        <is>
          <t>AtkRatio</t>
        </is>
      </c>
      <c r="G1723" s="68">
        <f>INT(G1722*1.01)</f>
        <v/>
      </c>
      <c r="H1723" s="68" t="inlineStr">
        <is>
          <t>DefRatio</t>
        </is>
      </c>
      <c r="I1723" s="68">
        <f>G1723</f>
        <v/>
      </c>
    </row>
    <row r="1724">
      <c r="A1724" s="68">
        <f>B1724&amp;TEXT(C1724,"0000")</f>
        <v/>
      </c>
      <c r="B1724" s="68" t="n">
        <v>200</v>
      </c>
      <c r="C1724" s="68" t="n">
        <v>821</v>
      </c>
      <c r="D1724" s="68" t="inlineStr">
        <is>
          <t>HpRatio</t>
        </is>
      </c>
      <c r="E1724" s="68">
        <f>INT(E1723*1.01)</f>
        <v/>
      </c>
      <c r="F1724" s="68" t="inlineStr">
        <is>
          <t>AtkRatio</t>
        </is>
      </c>
      <c r="G1724" s="68">
        <f>INT(G1723*1.01)</f>
        <v/>
      </c>
      <c r="H1724" s="68" t="inlineStr">
        <is>
          <t>DefRatio</t>
        </is>
      </c>
      <c r="I1724" s="68">
        <f>G1724</f>
        <v/>
      </c>
    </row>
    <row r="1725">
      <c r="A1725" s="68">
        <f>B1725&amp;TEXT(C1725,"0000")</f>
        <v/>
      </c>
      <c r="B1725" s="68" t="n">
        <v>200</v>
      </c>
      <c r="C1725" s="68" t="n">
        <v>822</v>
      </c>
      <c r="D1725" s="68" t="inlineStr">
        <is>
          <t>HpRatio</t>
        </is>
      </c>
      <c r="E1725" s="68">
        <f>INT(E1724*1.01)</f>
        <v/>
      </c>
      <c r="F1725" s="68" t="inlineStr">
        <is>
          <t>AtkRatio</t>
        </is>
      </c>
      <c r="G1725" s="68">
        <f>INT(G1724*1.01)</f>
        <v/>
      </c>
      <c r="H1725" s="68" t="inlineStr">
        <is>
          <t>DefRatio</t>
        </is>
      </c>
      <c r="I1725" s="68">
        <f>G1725</f>
        <v/>
      </c>
    </row>
    <row r="1726">
      <c r="A1726" s="68">
        <f>B1726&amp;TEXT(C1726,"0000")</f>
        <v/>
      </c>
      <c r="B1726" s="68" t="n">
        <v>200</v>
      </c>
      <c r="C1726" s="68" t="n">
        <v>823</v>
      </c>
      <c r="D1726" s="68" t="inlineStr">
        <is>
          <t>HpRatio</t>
        </is>
      </c>
      <c r="E1726" s="68">
        <f>INT(E1725*1.01)</f>
        <v/>
      </c>
      <c r="F1726" s="68" t="inlineStr">
        <is>
          <t>AtkRatio</t>
        </is>
      </c>
      <c r="G1726" s="68">
        <f>INT(G1725*1.01)</f>
        <v/>
      </c>
      <c r="H1726" s="68" t="inlineStr">
        <is>
          <t>DefRatio</t>
        </is>
      </c>
      <c r="I1726" s="68">
        <f>G1726</f>
        <v/>
      </c>
    </row>
    <row r="1727">
      <c r="A1727" s="68">
        <f>B1727&amp;TEXT(C1727,"0000")</f>
        <v/>
      </c>
      <c r="B1727" s="68" t="n">
        <v>200</v>
      </c>
      <c r="C1727" s="68" t="n">
        <v>824</v>
      </c>
      <c r="D1727" s="68" t="inlineStr">
        <is>
          <t>HpRatio</t>
        </is>
      </c>
      <c r="E1727" s="68">
        <f>INT(E1726*1.01)</f>
        <v/>
      </c>
      <c r="F1727" s="68" t="inlineStr">
        <is>
          <t>AtkRatio</t>
        </is>
      </c>
      <c r="G1727" s="68">
        <f>INT(G1726*1.01)</f>
        <v/>
      </c>
      <c r="H1727" s="68" t="inlineStr">
        <is>
          <t>DefRatio</t>
        </is>
      </c>
      <c r="I1727" s="68">
        <f>G1727</f>
        <v/>
      </c>
    </row>
    <row r="1728">
      <c r="A1728" s="68">
        <f>B1728&amp;TEXT(C1728,"0000")</f>
        <v/>
      </c>
      <c r="B1728" s="68" t="n">
        <v>200</v>
      </c>
      <c r="C1728" s="68" t="n">
        <v>825</v>
      </c>
      <c r="D1728" s="68" t="inlineStr">
        <is>
          <t>HpRatio</t>
        </is>
      </c>
      <c r="E1728" s="68">
        <f>INT(E1727*1.01)</f>
        <v/>
      </c>
      <c r="F1728" s="68" t="inlineStr">
        <is>
          <t>AtkRatio</t>
        </is>
      </c>
      <c r="G1728" s="68">
        <f>INT(G1727*1.01)</f>
        <v/>
      </c>
      <c r="H1728" s="68" t="inlineStr">
        <is>
          <t>DefRatio</t>
        </is>
      </c>
      <c r="I1728" s="68">
        <f>G1728</f>
        <v/>
      </c>
    </row>
    <row r="1729">
      <c r="A1729" s="68">
        <f>B1729&amp;TEXT(C1729,"0000")</f>
        <v/>
      </c>
      <c r="B1729" s="68" t="n">
        <v>200</v>
      </c>
      <c r="C1729" s="68" t="n">
        <v>826</v>
      </c>
      <c r="D1729" s="68" t="inlineStr">
        <is>
          <t>HpRatio</t>
        </is>
      </c>
      <c r="E1729" s="68">
        <f>INT(E1728*1.01)</f>
        <v/>
      </c>
      <c r="F1729" s="68" t="inlineStr">
        <is>
          <t>AtkRatio</t>
        </is>
      </c>
      <c r="G1729" s="68">
        <f>INT(G1728*1.01)</f>
        <v/>
      </c>
      <c r="H1729" s="68" t="inlineStr">
        <is>
          <t>DefRatio</t>
        </is>
      </c>
      <c r="I1729" s="68">
        <f>G1729</f>
        <v/>
      </c>
    </row>
    <row r="1730">
      <c r="A1730" s="68">
        <f>B1730&amp;TEXT(C1730,"0000")</f>
        <v/>
      </c>
      <c r="B1730" s="68" t="n">
        <v>200</v>
      </c>
      <c r="C1730" s="68" t="n">
        <v>827</v>
      </c>
      <c r="D1730" s="68" t="inlineStr">
        <is>
          <t>HpRatio</t>
        </is>
      </c>
      <c r="E1730" s="68">
        <f>INT(E1729*1.01)</f>
        <v/>
      </c>
      <c r="F1730" s="68" t="inlineStr">
        <is>
          <t>AtkRatio</t>
        </is>
      </c>
      <c r="G1730" s="68">
        <f>INT(G1729*1.01)</f>
        <v/>
      </c>
      <c r="H1730" s="68" t="inlineStr">
        <is>
          <t>DefRatio</t>
        </is>
      </c>
      <c r="I1730" s="68">
        <f>G1730</f>
        <v/>
      </c>
    </row>
    <row r="1731">
      <c r="A1731" s="68">
        <f>B1731&amp;TEXT(C1731,"0000")</f>
        <v/>
      </c>
      <c r="B1731" s="68" t="n">
        <v>200</v>
      </c>
      <c r="C1731" s="68" t="n">
        <v>828</v>
      </c>
      <c r="D1731" s="68" t="inlineStr">
        <is>
          <t>HpRatio</t>
        </is>
      </c>
      <c r="E1731" s="68">
        <f>INT(E1730*1.01)</f>
        <v/>
      </c>
      <c r="F1731" s="68" t="inlineStr">
        <is>
          <t>AtkRatio</t>
        </is>
      </c>
      <c r="G1731" s="68">
        <f>INT(G1730*1.01)</f>
        <v/>
      </c>
      <c r="H1731" s="68" t="inlineStr">
        <is>
          <t>DefRatio</t>
        </is>
      </c>
      <c r="I1731" s="68">
        <f>G1731</f>
        <v/>
      </c>
    </row>
    <row r="1732">
      <c r="A1732" s="68">
        <f>B1732&amp;TEXT(C1732,"0000")</f>
        <v/>
      </c>
      <c r="B1732" s="68" t="n">
        <v>200</v>
      </c>
      <c r="C1732" s="68" t="n">
        <v>829</v>
      </c>
      <c r="D1732" s="68" t="inlineStr">
        <is>
          <t>HpRatio</t>
        </is>
      </c>
      <c r="E1732" s="68">
        <f>INT(E1731*1.01)</f>
        <v/>
      </c>
      <c r="F1732" s="68" t="inlineStr">
        <is>
          <t>AtkRatio</t>
        </is>
      </c>
      <c r="G1732" s="68">
        <f>INT(G1731*1.01)</f>
        <v/>
      </c>
      <c r="H1732" s="68" t="inlineStr">
        <is>
          <t>DefRatio</t>
        </is>
      </c>
      <c r="I1732" s="68">
        <f>G1732</f>
        <v/>
      </c>
    </row>
    <row r="1733">
      <c r="A1733" s="68">
        <f>B1733&amp;TEXT(C1733,"0000")</f>
        <v/>
      </c>
      <c r="B1733" s="68" t="n">
        <v>200</v>
      </c>
      <c r="C1733" s="68" t="n">
        <v>830</v>
      </c>
      <c r="D1733" s="68" t="inlineStr">
        <is>
          <t>HpRatio</t>
        </is>
      </c>
      <c r="E1733" s="68">
        <f>INT(E1732*1.01)</f>
        <v/>
      </c>
      <c r="F1733" s="68" t="inlineStr">
        <is>
          <t>AtkRatio</t>
        </is>
      </c>
      <c r="G1733" s="68">
        <f>INT(G1732*1.01)</f>
        <v/>
      </c>
      <c r="H1733" s="68" t="inlineStr">
        <is>
          <t>DefRatio</t>
        </is>
      </c>
      <c r="I1733" s="68">
        <f>G1733</f>
        <v/>
      </c>
    </row>
    <row r="1734">
      <c r="A1734" s="68">
        <f>B1734&amp;TEXT(C1734,"0000")</f>
        <v/>
      </c>
      <c r="B1734" s="68" t="n">
        <v>200</v>
      </c>
      <c r="C1734" s="68" t="n">
        <v>831</v>
      </c>
      <c r="D1734" s="68" t="inlineStr">
        <is>
          <t>HpRatio</t>
        </is>
      </c>
      <c r="E1734" s="68">
        <f>INT(E1733*1.01)</f>
        <v/>
      </c>
      <c r="F1734" s="68" t="inlineStr">
        <is>
          <t>AtkRatio</t>
        </is>
      </c>
      <c r="G1734" s="68">
        <f>INT(G1733*1.01)</f>
        <v/>
      </c>
      <c r="H1734" s="68" t="inlineStr">
        <is>
          <t>DefRatio</t>
        </is>
      </c>
      <c r="I1734" s="68">
        <f>G1734</f>
        <v/>
      </c>
    </row>
    <row r="1735">
      <c r="A1735" s="68">
        <f>B1735&amp;TEXT(C1735,"0000")</f>
        <v/>
      </c>
      <c r="B1735" s="68" t="n">
        <v>200</v>
      </c>
      <c r="C1735" s="68" t="n">
        <v>832</v>
      </c>
      <c r="D1735" s="68" t="inlineStr">
        <is>
          <t>HpRatio</t>
        </is>
      </c>
      <c r="E1735" s="68">
        <f>INT(E1734*1.01)</f>
        <v/>
      </c>
      <c r="F1735" s="68" t="inlineStr">
        <is>
          <t>AtkRatio</t>
        </is>
      </c>
      <c r="G1735" s="68">
        <f>INT(G1734*1.01)</f>
        <v/>
      </c>
      <c r="H1735" s="68" t="inlineStr">
        <is>
          <t>DefRatio</t>
        </is>
      </c>
      <c r="I1735" s="68">
        <f>G1735</f>
        <v/>
      </c>
    </row>
    <row r="1736">
      <c r="A1736" s="68">
        <f>B1736&amp;TEXT(C1736,"0000")</f>
        <v/>
      </c>
      <c r="B1736" s="68" t="n">
        <v>200</v>
      </c>
      <c r="C1736" s="68" t="n">
        <v>833</v>
      </c>
      <c r="D1736" s="68" t="inlineStr">
        <is>
          <t>HpRatio</t>
        </is>
      </c>
      <c r="E1736" s="68">
        <f>INT(E1735*1.01)</f>
        <v/>
      </c>
      <c r="F1736" s="68" t="inlineStr">
        <is>
          <t>AtkRatio</t>
        </is>
      </c>
      <c r="G1736" s="68">
        <f>INT(G1735*1.01)</f>
        <v/>
      </c>
      <c r="H1736" s="68" t="inlineStr">
        <is>
          <t>DefRatio</t>
        </is>
      </c>
      <c r="I1736" s="68">
        <f>G1736</f>
        <v/>
      </c>
    </row>
    <row r="1737">
      <c r="A1737" s="68">
        <f>B1737&amp;TEXT(C1737,"0000")</f>
        <v/>
      </c>
      <c r="B1737" s="68" t="n">
        <v>200</v>
      </c>
      <c r="C1737" s="68" t="n">
        <v>834</v>
      </c>
      <c r="D1737" s="68" t="inlineStr">
        <is>
          <t>HpRatio</t>
        </is>
      </c>
      <c r="E1737" s="68">
        <f>INT(E1736*1.01)</f>
        <v/>
      </c>
      <c r="F1737" s="68" t="inlineStr">
        <is>
          <t>AtkRatio</t>
        </is>
      </c>
      <c r="G1737" s="68">
        <f>INT(G1736*1.01)</f>
        <v/>
      </c>
      <c r="H1737" s="68" t="inlineStr">
        <is>
          <t>DefRatio</t>
        </is>
      </c>
      <c r="I1737" s="68">
        <f>G1737</f>
        <v/>
      </c>
    </row>
    <row r="1738">
      <c r="A1738" s="68">
        <f>B1738&amp;TEXT(C1738,"0000")</f>
        <v/>
      </c>
      <c r="B1738" s="68" t="n">
        <v>200</v>
      </c>
      <c r="C1738" s="68" t="n">
        <v>835</v>
      </c>
      <c r="D1738" s="68" t="inlineStr">
        <is>
          <t>HpRatio</t>
        </is>
      </c>
      <c r="E1738" s="68">
        <f>INT(E1737*1.01)</f>
        <v/>
      </c>
      <c r="F1738" s="68" t="inlineStr">
        <is>
          <t>AtkRatio</t>
        </is>
      </c>
      <c r="G1738" s="68">
        <f>INT(G1737*1.01)</f>
        <v/>
      </c>
      <c r="H1738" s="68" t="inlineStr">
        <is>
          <t>DefRatio</t>
        </is>
      </c>
      <c r="I1738" s="68">
        <f>G1738</f>
        <v/>
      </c>
    </row>
    <row r="1739">
      <c r="A1739" s="68">
        <f>B1739&amp;TEXT(C1739,"0000")</f>
        <v/>
      </c>
      <c r="B1739" s="68" t="n">
        <v>200</v>
      </c>
      <c r="C1739" s="68" t="n">
        <v>836</v>
      </c>
      <c r="D1739" s="68" t="inlineStr">
        <is>
          <t>HpRatio</t>
        </is>
      </c>
      <c r="E1739" s="68">
        <f>INT(E1738*1.01)</f>
        <v/>
      </c>
      <c r="F1739" s="68" t="inlineStr">
        <is>
          <t>AtkRatio</t>
        </is>
      </c>
      <c r="G1739" s="68">
        <f>INT(G1738*1.01)</f>
        <v/>
      </c>
      <c r="H1739" s="68" t="inlineStr">
        <is>
          <t>DefRatio</t>
        </is>
      </c>
      <c r="I1739" s="68">
        <f>G1739</f>
        <v/>
      </c>
    </row>
    <row r="1740">
      <c r="A1740" s="68">
        <f>B1740&amp;TEXT(C1740,"0000")</f>
        <v/>
      </c>
      <c r="B1740" s="68" t="n">
        <v>200</v>
      </c>
      <c r="C1740" s="68" t="n">
        <v>837</v>
      </c>
      <c r="D1740" s="68" t="inlineStr">
        <is>
          <t>HpRatio</t>
        </is>
      </c>
      <c r="E1740" s="68">
        <f>INT(E1739*1.01)</f>
        <v/>
      </c>
      <c r="F1740" s="68" t="inlineStr">
        <is>
          <t>AtkRatio</t>
        </is>
      </c>
      <c r="G1740" s="68">
        <f>INT(G1739*1.01)</f>
        <v/>
      </c>
      <c r="H1740" s="68" t="inlineStr">
        <is>
          <t>DefRatio</t>
        </is>
      </c>
      <c r="I1740" s="68">
        <f>G1740</f>
        <v/>
      </c>
    </row>
    <row r="1741">
      <c r="A1741" s="68">
        <f>B1741&amp;TEXT(C1741,"0000")</f>
        <v/>
      </c>
      <c r="B1741" s="68" t="n">
        <v>200</v>
      </c>
      <c r="C1741" s="68" t="n">
        <v>838</v>
      </c>
      <c r="D1741" s="68" t="inlineStr">
        <is>
          <t>HpRatio</t>
        </is>
      </c>
      <c r="E1741" s="68">
        <f>INT(E1740*1.01)</f>
        <v/>
      </c>
      <c r="F1741" s="68" t="inlineStr">
        <is>
          <t>AtkRatio</t>
        </is>
      </c>
      <c r="G1741" s="68">
        <f>INT(G1740*1.01)</f>
        <v/>
      </c>
      <c r="H1741" s="68" t="inlineStr">
        <is>
          <t>DefRatio</t>
        </is>
      </c>
      <c r="I1741" s="68">
        <f>G1741</f>
        <v/>
      </c>
    </row>
    <row r="1742">
      <c r="A1742" s="68">
        <f>B1742&amp;TEXT(C1742,"0000")</f>
        <v/>
      </c>
      <c r="B1742" s="68" t="n">
        <v>200</v>
      </c>
      <c r="C1742" s="68" t="n">
        <v>839</v>
      </c>
      <c r="D1742" s="68" t="inlineStr">
        <is>
          <t>HpRatio</t>
        </is>
      </c>
      <c r="E1742" s="68">
        <f>INT(E1741*1.01)</f>
        <v/>
      </c>
      <c r="F1742" s="68" t="inlineStr">
        <is>
          <t>AtkRatio</t>
        </is>
      </c>
      <c r="G1742" s="68">
        <f>INT(G1741*1.01)</f>
        <v/>
      </c>
      <c r="H1742" s="68" t="inlineStr">
        <is>
          <t>DefRatio</t>
        </is>
      </c>
      <c r="I1742" s="68">
        <f>G1742</f>
        <v/>
      </c>
    </row>
    <row r="1743">
      <c r="A1743" s="68">
        <f>B1743&amp;TEXT(C1743,"0000")</f>
        <v/>
      </c>
      <c r="B1743" s="68" t="n">
        <v>200</v>
      </c>
      <c r="C1743" s="68" t="n">
        <v>840</v>
      </c>
      <c r="D1743" s="68" t="inlineStr">
        <is>
          <t>HpRatio</t>
        </is>
      </c>
      <c r="E1743" s="68">
        <f>INT(E1742*1.01)</f>
        <v/>
      </c>
      <c r="F1743" s="68" t="inlineStr">
        <is>
          <t>AtkRatio</t>
        </is>
      </c>
      <c r="G1743" s="68">
        <f>INT(G1742*1.01)</f>
        <v/>
      </c>
      <c r="H1743" s="68" t="inlineStr">
        <is>
          <t>DefRatio</t>
        </is>
      </c>
      <c r="I1743" s="68">
        <f>G1743</f>
        <v/>
      </c>
    </row>
    <row r="1744">
      <c r="A1744" s="68">
        <f>B1744&amp;TEXT(C1744,"0000")</f>
        <v/>
      </c>
      <c r="B1744" s="68" t="n">
        <v>200</v>
      </c>
      <c r="C1744" s="68" t="n">
        <v>841</v>
      </c>
      <c r="D1744" s="68" t="inlineStr">
        <is>
          <t>HpRatio</t>
        </is>
      </c>
      <c r="E1744" s="68">
        <f>INT(E1743*1.01)</f>
        <v/>
      </c>
      <c r="F1744" s="68" t="inlineStr">
        <is>
          <t>AtkRatio</t>
        </is>
      </c>
      <c r="G1744" s="68">
        <f>INT(G1743*1.01)</f>
        <v/>
      </c>
      <c r="H1744" s="68" t="inlineStr">
        <is>
          <t>DefRatio</t>
        </is>
      </c>
      <c r="I1744" s="68">
        <f>G1744</f>
        <v/>
      </c>
    </row>
    <row r="1745">
      <c r="A1745" s="68">
        <f>B1745&amp;TEXT(C1745,"0000")</f>
        <v/>
      </c>
      <c r="B1745" s="68" t="n">
        <v>200</v>
      </c>
      <c r="C1745" s="68" t="n">
        <v>842</v>
      </c>
      <c r="D1745" s="68" t="inlineStr">
        <is>
          <t>HpRatio</t>
        </is>
      </c>
      <c r="E1745" s="68">
        <f>INT(E1744*1.01)</f>
        <v/>
      </c>
      <c r="F1745" s="68" t="inlineStr">
        <is>
          <t>AtkRatio</t>
        </is>
      </c>
      <c r="G1745" s="68">
        <f>INT(G1744*1.01)</f>
        <v/>
      </c>
      <c r="H1745" s="68" t="inlineStr">
        <is>
          <t>DefRatio</t>
        </is>
      </c>
      <c r="I1745" s="68">
        <f>G1745</f>
        <v/>
      </c>
    </row>
    <row r="1746">
      <c r="A1746" s="68">
        <f>B1746&amp;TEXT(C1746,"0000")</f>
        <v/>
      </c>
      <c r="B1746" s="68" t="n">
        <v>200</v>
      </c>
      <c r="C1746" s="68" t="n">
        <v>843</v>
      </c>
      <c r="D1746" s="68" t="inlineStr">
        <is>
          <t>HpRatio</t>
        </is>
      </c>
      <c r="E1746" s="68">
        <f>INT(E1745*1.01)</f>
        <v/>
      </c>
      <c r="F1746" s="68" t="inlineStr">
        <is>
          <t>AtkRatio</t>
        </is>
      </c>
      <c r="G1746" s="68">
        <f>INT(G1745*1.01)</f>
        <v/>
      </c>
      <c r="H1746" s="68" t="inlineStr">
        <is>
          <t>DefRatio</t>
        </is>
      </c>
      <c r="I1746" s="68">
        <f>G1746</f>
        <v/>
      </c>
    </row>
    <row r="1747">
      <c r="A1747" s="68">
        <f>B1747&amp;TEXT(C1747,"0000")</f>
        <v/>
      </c>
      <c r="B1747" s="68" t="n">
        <v>200</v>
      </c>
      <c r="C1747" s="68" t="n">
        <v>844</v>
      </c>
      <c r="D1747" s="68" t="inlineStr">
        <is>
          <t>HpRatio</t>
        </is>
      </c>
      <c r="E1747" s="68">
        <f>INT(E1746*1.01)</f>
        <v/>
      </c>
      <c r="F1747" s="68" t="inlineStr">
        <is>
          <t>AtkRatio</t>
        </is>
      </c>
      <c r="G1747" s="68">
        <f>INT(G1746*1.01)</f>
        <v/>
      </c>
      <c r="H1747" s="68" t="inlineStr">
        <is>
          <t>DefRatio</t>
        </is>
      </c>
      <c r="I1747" s="68">
        <f>G1747</f>
        <v/>
      </c>
    </row>
    <row r="1748">
      <c r="A1748" s="68">
        <f>B1748&amp;TEXT(C1748,"0000")</f>
        <v/>
      </c>
      <c r="B1748" s="68" t="n">
        <v>200</v>
      </c>
      <c r="C1748" s="68" t="n">
        <v>845</v>
      </c>
      <c r="D1748" s="68" t="inlineStr">
        <is>
          <t>HpRatio</t>
        </is>
      </c>
      <c r="E1748" s="68">
        <f>INT(E1747*1.01)</f>
        <v/>
      </c>
      <c r="F1748" s="68" t="inlineStr">
        <is>
          <t>AtkRatio</t>
        </is>
      </c>
      <c r="G1748" s="68">
        <f>INT(G1747*1.01)</f>
        <v/>
      </c>
      <c r="H1748" s="68" t="inlineStr">
        <is>
          <t>DefRatio</t>
        </is>
      </c>
      <c r="I1748" s="68">
        <f>G1748</f>
        <v/>
      </c>
    </row>
    <row r="1749">
      <c r="A1749" s="68">
        <f>B1749&amp;TEXT(C1749,"0000")</f>
        <v/>
      </c>
      <c r="B1749" s="68" t="n">
        <v>200</v>
      </c>
      <c r="C1749" s="68" t="n">
        <v>846</v>
      </c>
      <c r="D1749" s="68" t="inlineStr">
        <is>
          <t>HpRatio</t>
        </is>
      </c>
      <c r="E1749" s="68">
        <f>INT(E1748*1.01)</f>
        <v/>
      </c>
      <c r="F1749" s="68" t="inlineStr">
        <is>
          <t>AtkRatio</t>
        </is>
      </c>
      <c r="G1749" s="68">
        <f>INT(G1748*1.01)</f>
        <v/>
      </c>
      <c r="H1749" s="68" t="inlineStr">
        <is>
          <t>DefRatio</t>
        </is>
      </c>
      <c r="I1749" s="68">
        <f>G1749</f>
        <v/>
      </c>
    </row>
    <row r="1750">
      <c r="A1750" s="68">
        <f>B1750&amp;TEXT(C1750,"0000")</f>
        <v/>
      </c>
      <c r="B1750" s="68" t="n">
        <v>200</v>
      </c>
      <c r="C1750" s="68" t="n">
        <v>847</v>
      </c>
      <c r="D1750" s="68" t="inlineStr">
        <is>
          <t>HpRatio</t>
        </is>
      </c>
      <c r="E1750" s="68">
        <f>INT(E1749*1.01)</f>
        <v/>
      </c>
      <c r="F1750" s="68" t="inlineStr">
        <is>
          <t>AtkRatio</t>
        </is>
      </c>
      <c r="G1750" s="68">
        <f>INT(G1749*1.01)</f>
        <v/>
      </c>
      <c r="H1750" s="68" t="inlineStr">
        <is>
          <t>DefRatio</t>
        </is>
      </c>
      <c r="I1750" s="68">
        <f>G1750</f>
        <v/>
      </c>
    </row>
    <row r="1751">
      <c r="A1751" s="68">
        <f>B1751&amp;TEXT(C1751,"0000")</f>
        <v/>
      </c>
      <c r="B1751" s="68" t="n">
        <v>200</v>
      </c>
      <c r="C1751" s="68" t="n">
        <v>848</v>
      </c>
      <c r="D1751" s="68" t="inlineStr">
        <is>
          <t>HpRatio</t>
        </is>
      </c>
      <c r="E1751" s="68">
        <f>INT(E1750*1.01)</f>
        <v/>
      </c>
      <c r="F1751" s="68" t="inlineStr">
        <is>
          <t>AtkRatio</t>
        </is>
      </c>
      <c r="G1751" s="68">
        <f>INT(G1750*1.01)</f>
        <v/>
      </c>
      <c r="H1751" s="68" t="inlineStr">
        <is>
          <t>DefRatio</t>
        </is>
      </c>
      <c r="I1751" s="68">
        <f>G1751</f>
        <v/>
      </c>
    </row>
    <row r="1752">
      <c r="A1752" s="68">
        <f>B1752&amp;TEXT(C1752,"0000")</f>
        <v/>
      </c>
      <c r="B1752" s="68" t="n">
        <v>200</v>
      </c>
      <c r="C1752" s="68" t="n">
        <v>849</v>
      </c>
      <c r="D1752" s="68" t="inlineStr">
        <is>
          <t>HpRatio</t>
        </is>
      </c>
      <c r="E1752" s="68">
        <f>INT(E1751*1.01)</f>
        <v/>
      </c>
      <c r="F1752" s="68" t="inlineStr">
        <is>
          <t>AtkRatio</t>
        </is>
      </c>
      <c r="G1752" s="68">
        <f>INT(G1751*1.01)</f>
        <v/>
      </c>
      <c r="H1752" s="68" t="inlineStr">
        <is>
          <t>DefRatio</t>
        </is>
      </c>
      <c r="I1752" s="68">
        <f>G1752</f>
        <v/>
      </c>
    </row>
    <row r="1753">
      <c r="A1753" s="68">
        <f>B1753&amp;TEXT(C1753,"0000")</f>
        <v/>
      </c>
      <c r="B1753" s="68" t="n">
        <v>200</v>
      </c>
      <c r="C1753" s="68" t="n">
        <v>850</v>
      </c>
      <c r="D1753" s="68" t="inlineStr">
        <is>
          <t>HpRatio</t>
        </is>
      </c>
      <c r="E1753" s="68">
        <f>INT(E1752*1.01)</f>
        <v/>
      </c>
      <c r="F1753" s="68" t="inlineStr">
        <is>
          <t>AtkRatio</t>
        </is>
      </c>
      <c r="G1753" s="68">
        <f>INT(G1752*1.01)</f>
        <v/>
      </c>
      <c r="H1753" s="68" t="inlineStr">
        <is>
          <t>DefRatio</t>
        </is>
      </c>
      <c r="I1753" s="68">
        <f>G1753</f>
        <v/>
      </c>
    </row>
    <row r="1754">
      <c r="A1754" s="68">
        <f>B1754&amp;TEXT(C1754,"0000")</f>
        <v/>
      </c>
      <c r="B1754" s="68" t="n">
        <v>200</v>
      </c>
      <c r="C1754" s="68" t="n">
        <v>851</v>
      </c>
      <c r="D1754" s="68" t="inlineStr">
        <is>
          <t>HpRatio</t>
        </is>
      </c>
      <c r="E1754" s="68">
        <f>INT(E1753*1.01)</f>
        <v/>
      </c>
      <c r="F1754" s="68" t="inlineStr">
        <is>
          <t>AtkRatio</t>
        </is>
      </c>
      <c r="G1754" s="68">
        <f>INT(G1753*1.01)</f>
        <v/>
      </c>
      <c r="H1754" s="68" t="inlineStr">
        <is>
          <t>DefRatio</t>
        </is>
      </c>
      <c r="I1754" s="68">
        <f>G1754</f>
        <v/>
      </c>
    </row>
    <row r="1755">
      <c r="A1755" s="68">
        <f>B1755&amp;TEXT(C1755,"0000")</f>
        <v/>
      </c>
      <c r="B1755" s="68" t="n">
        <v>200</v>
      </c>
      <c r="C1755" s="68" t="n">
        <v>852</v>
      </c>
      <c r="D1755" s="68" t="inlineStr">
        <is>
          <t>HpRatio</t>
        </is>
      </c>
      <c r="E1755" s="68">
        <f>INT(E1754*1.01)</f>
        <v/>
      </c>
      <c r="F1755" s="68" t="inlineStr">
        <is>
          <t>AtkRatio</t>
        </is>
      </c>
      <c r="G1755" s="68">
        <f>INT(G1754*1.01)</f>
        <v/>
      </c>
      <c r="H1755" s="68" t="inlineStr">
        <is>
          <t>DefRatio</t>
        </is>
      </c>
      <c r="I1755" s="68">
        <f>G1755</f>
        <v/>
      </c>
    </row>
    <row r="1756">
      <c r="A1756" s="68">
        <f>B1756&amp;TEXT(C1756,"0000")</f>
        <v/>
      </c>
      <c r="B1756" s="68" t="n">
        <v>200</v>
      </c>
      <c r="C1756" s="68" t="n">
        <v>853</v>
      </c>
      <c r="D1756" s="68" t="inlineStr">
        <is>
          <t>HpRatio</t>
        </is>
      </c>
      <c r="E1756" s="68">
        <f>INT(E1755*1.01)</f>
        <v/>
      </c>
      <c r="F1756" s="68" t="inlineStr">
        <is>
          <t>AtkRatio</t>
        </is>
      </c>
      <c r="G1756" s="68">
        <f>INT(G1755*1.01)</f>
        <v/>
      </c>
      <c r="H1756" s="68" t="inlineStr">
        <is>
          <t>DefRatio</t>
        </is>
      </c>
      <c r="I1756" s="68">
        <f>G1756</f>
        <v/>
      </c>
    </row>
    <row r="1757">
      <c r="A1757" s="68">
        <f>B1757&amp;TEXT(C1757,"0000")</f>
        <v/>
      </c>
      <c r="B1757" s="68" t="n">
        <v>200</v>
      </c>
      <c r="C1757" s="68" t="n">
        <v>854</v>
      </c>
      <c r="D1757" s="68" t="inlineStr">
        <is>
          <t>HpRatio</t>
        </is>
      </c>
      <c r="E1757" s="68">
        <f>INT(E1756*1.01)</f>
        <v/>
      </c>
      <c r="F1757" s="68" t="inlineStr">
        <is>
          <t>AtkRatio</t>
        </is>
      </c>
      <c r="G1757" s="68">
        <f>INT(G1756*1.01)</f>
        <v/>
      </c>
      <c r="H1757" s="68" t="inlineStr">
        <is>
          <t>DefRatio</t>
        </is>
      </c>
      <c r="I1757" s="68">
        <f>G1757</f>
        <v/>
      </c>
    </row>
    <row r="1758">
      <c r="A1758" s="68">
        <f>B1758&amp;TEXT(C1758,"0000")</f>
        <v/>
      </c>
      <c r="B1758" s="68" t="n">
        <v>200</v>
      </c>
      <c r="C1758" s="68" t="n">
        <v>855</v>
      </c>
      <c r="D1758" s="68" t="inlineStr">
        <is>
          <t>HpRatio</t>
        </is>
      </c>
      <c r="E1758" s="68">
        <f>INT(E1757*1.01)</f>
        <v/>
      </c>
      <c r="F1758" s="68" t="inlineStr">
        <is>
          <t>AtkRatio</t>
        </is>
      </c>
      <c r="G1758" s="68">
        <f>INT(G1757*1.01)</f>
        <v/>
      </c>
      <c r="H1758" s="68" t="inlineStr">
        <is>
          <t>DefRatio</t>
        </is>
      </c>
      <c r="I1758" s="68">
        <f>G1758</f>
        <v/>
      </c>
    </row>
    <row r="1759">
      <c r="A1759" s="68">
        <f>B1759&amp;TEXT(C1759,"0000")</f>
        <v/>
      </c>
      <c r="B1759" s="68" t="n">
        <v>200</v>
      </c>
      <c r="C1759" s="68" t="n">
        <v>856</v>
      </c>
      <c r="D1759" s="68" t="inlineStr">
        <is>
          <t>HpRatio</t>
        </is>
      </c>
      <c r="E1759" s="68">
        <f>INT(E1758*1.01)</f>
        <v/>
      </c>
      <c r="F1759" s="68" t="inlineStr">
        <is>
          <t>AtkRatio</t>
        </is>
      </c>
      <c r="G1759" s="68">
        <f>INT(G1758*1.01)</f>
        <v/>
      </c>
      <c r="H1759" s="68" t="inlineStr">
        <is>
          <t>DefRatio</t>
        </is>
      </c>
      <c r="I1759" s="68">
        <f>G1759</f>
        <v/>
      </c>
    </row>
    <row r="1760">
      <c r="A1760" s="68">
        <f>B1760&amp;TEXT(C1760,"0000")</f>
        <v/>
      </c>
      <c r="B1760" s="68" t="n">
        <v>200</v>
      </c>
      <c r="C1760" s="68" t="n">
        <v>857</v>
      </c>
      <c r="D1760" s="68" t="inlineStr">
        <is>
          <t>HpRatio</t>
        </is>
      </c>
      <c r="E1760" s="68">
        <f>INT(E1759*1.01)</f>
        <v/>
      </c>
      <c r="F1760" s="68" t="inlineStr">
        <is>
          <t>AtkRatio</t>
        </is>
      </c>
      <c r="G1760" s="68">
        <f>INT(G1759*1.01)</f>
        <v/>
      </c>
      <c r="H1760" s="68" t="inlineStr">
        <is>
          <t>DefRatio</t>
        </is>
      </c>
      <c r="I1760" s="68">
        <f>G1760</f>
        <v/>
      </c>
    </row>
    <row r="1761">
      <c r="A1761" s="68">
        <f>B1761&amp;TEXT(C1761,"0000")</f>
        <v/>
      </c>
      <c r="B1761" s="68" t="n">
        <v>200</v>
      </c>
      <c r="C1761" s="68" t="n">
        <v>858</v>
      </c>
      <c r="D1761" s="68" t="inlineStr">
        <is>
          <t>HpRatio</t>
        </is>
      </c>
      <c r="E1761" s="68">
        <f>INT(E1760*1.01)</f>
        <v/>
      </c>
      <c r="F1761" s="68" t="inlineStr">
        <is>
          <t>AtkRatio</t>
        </is>
      </c>
      <c r="G1761" s="68">
        <f>INT(G1760*1.01)</f>
        <v/>
      </c>
      <c r="H1761" s="68" t="inlineStr">
        <is>
          <t>DefRatio</t>
        </is>
      </c>
      <c r="I1761" s="68">
        <f>G1761</f>
        <v/>
      </c>
    </row>
    <row r="1762">
      <c r="A1762" s="68">
        <f>B1762&amp;TEXT(C1762,"0000")</f>
        <v/>
      </c>
      <c r="B1762" s="68" t="n">
        <v>200</v>
      </c>
      <c r="C1762" s="68" t="n">
        <v>859</v>
      </c>
      <c r="D1762" s="68" t="inlineStr">
        <is>
          <t>HpRatio</t>
        </is>
      </c>
      <c r="E1762" s="68">
        <f>INT(E1761*1.01)</f>
        <v/>
      </c>
      <c r="F1762" s="68" t="inlineStr">
        <is>
          <t>AtkRatio</t>
        </is>
      </c>
      <c r="G1762" s="68">
        <f>INT(G1761*1.01)</f>
        <v/>
      </c>
      <c r="H1762" s="68" t="inlineStr">
        <is>
          <t>DefRatio</t>
        </is>
      </c>
      <c r="I1762" s="68">
        <f>G1762</f>
        <v/>
      </c>
    </row>
    <row r="1763">
      <c r="A1763" s="68">
        <f>B1763&amp;TEXT(C1763,"0000")</f>
        <v/>
      </c>
      <c r="B1763" s="68" t="n">
        <v>200</v>
      </c>
      <c r="C1763" s="68" t="n">
        <v>860</v>
      </c>
      <c r="D1763" s="68" t="inlineStr">
        <is>
          <t>HpRatio</t>
        </is>
      </c>
      <c r="E1763" s="68">
        <f>INT(E1762*1.01)</f>
        <v/>
      </c>
      <c r="F1763" s="68" t="inlineStr">
        <is>
          <t>AtkRatio</t>
        </is>
      </c>
      <c r="G1763" s="68">
        <f>INT(G1762*1.01)</f>
        <v/>
      </c>
      <c r="H1763" s="68" t="inlineStr">
        <is>
          <t>DefRatio</t>
        </is>
      </c>
      <c r="I1763" s="68">
        <f>G1763</f>
        <v/>
      </c>
    </row>
    <row r="1764">
      <c r="A1764" s="68">
        <f>B1764&amp;TEXT(C1764,"0000")</f>
        <v/>
      </c>
      <c r="B1764" s="68" t="n">
        <v>200</v>
      </c>
      <c r="C1764" s="68" t="n">
        <v>861</v>
      </c>
      <c r="D1764" s="68" t="inlineStr">
        <is>
          <t>HpRatio</t>
        </is>
      </c>
      <c r="E1764" s="68">
        <f>INT(E1763*1.01)</f>
        <v/>
      </c>
      <c r="F1764" s="68" t="inlineStr">
        <is>
          <t>AtkRatio</t>
        </is>
      </c>
      <c r="G1764" s="68">
        <f>INT(G1763*1.01)</f>
        <v/>
      </c>
      <c r="H1764" s="68" t="inlineStr">
        <is>
          <t>DefRatio</t>
        </is>
      </c>
      <c r="I1764" s="68">
        <f>G1764</f>
        <v/>
      </c>
    </row>
    <row r="1765">
      <c r="A1765" s="68">
        <f>B1765&amp;TEXT(C1765,"0000")</f>
        <v/>
      </c>
      <c r="B1765" s="68" t="n">
        <v>200</v>
      </c>
      <c r="C1765" s="68" t="n">
        <v>862</v>
      </c>
      <c r="D1765" s="68" t="inlineStr">
        <is>
          <t>HpRatio</t>
        </is>
      </c>
      <c r="E1765" s="68">
        <f>INT(E1764*1.01)</f>
        <v/>
      </c>
      <c r="F1765" s="68" t="inlineStr">
        <is>
          <t>AtkRatio</t>
        </is>
      </c>
      <c r="G1765" s="68">
        <f>INT(G1764*1.01)</f>
        <v/>
      </c>
      <c r="H1765" s="68" t="inlineStr">
        <is>
          <t>DefRatio</t>
        </is>
      </c>
      <c r="I1765" s="68">
        <f>G1765</f>
        <v/>
      </c>
    </row>
    <row r="1766">
      <c r="A1766" s="68">
        <f>B1766&amp;TEXT(C1766,"0000")</f>
        <v/>
      </c>
      <c r="B1766" s="68" t="n">
        <v>200</v>
      </c>
      <c r="C1766" s="68" t="n">
        <v>863</v>
      </c>
      <c r="D1766" s="68" t="inlineStr">
        <is>
          <t>HpRatio</t>
        </is>
      </c>
      <c r="E1766" s="68">
        <f>INT(E1765*1.01)</f>
        <v/>
      </c>
      <c r="F1766" s="68" t="inlineStr">
        <is>
          <t>AtkRatio</t>
        </is>
      </c>
      <c r="G1766" s="68">
        <f>INT(G1765*1.01)</f>
        <v/>
      </c>
      <c r="H1766" s="68" t="inlineStr">
        <is>
          <t>DefRatio</t>
        </is>
      </c>
      <c r="I1766" s="68">
        <f>G1766</f>
        <v/>
      </c>
    </row>
    <row r="1767">
      <c r="A1767" s="68">
        <f>B1767&amp;TEXT(C1767,"0000")</f>
        <v/>
      </c>
      <c r="B1767" s="68" t="n">
        <v>200</v>
      </c>
      <c r="C1767" s="68" t="n">
        <v>864</v>
      </c>
      <c r="D1767" s="68" t="inlineStr">
        <is>
          <t>HpRatio</t>
        </is>
      </c>
      <c r="E1767" s="68">
        <f>INT(E1766*1.01)</f>
        <v/>
      </c>
      <c r="F1767" s="68" t="inlineStr">
        <is>
          <t>AtkRatio</t>
        </is>
      </c>
      <c r="G1767" s="68">
        <f>INT(G1766*1.01)</f>
        <v/>
      </c>
      <c r="H1767" s="68" t="inlineStr">
        <is>
          <t>DefRatio</t>
        </is>
      </c>
      <c r="I1767" s="68">
        <f>G1767</f>
        <v/>
      </c>
    </row>
    <row r="1768">
      <c r="A1768" s="68">
        <f>B1768&amp;TEXT(C1768,"0000")</f>
        <v/>
      </c>
      <c r="B1768" s="68" t="n">
        <v>200</v>
      </c>
      <c r="C1768" s="68" t="n">
        <v>865</v>
      </c>
      <c r="D1768" s="68" t="inlineStr">
        <is>
          <t>HpRatio</t>
        </is>
      </c>
      <c r="E1768" s="68">
        <f>INT(E1767*1.01)</f>
        <v/>
      </c>
      <c r="F1768" s="68" t="inlineStr">
        <is>
          <t>AtkRatio</t>
        </is>
      </c>
      <c r="G1768" s="68">
        <f>INT(G1767*1.01)</f>
        <v/>
      </c>
      <c r="H1768" s="68" t="inlineStr">
        <is>
          <t>DefRatio</t>
        </is>
      </c>
      <c r="I1768" s="68">
        <f>G1768</f>
        <v/>
      </c>
    </row>
    <row r="1769">
      <c r="A1769" s="68">
        <f>B1769&amp;TEXT(C1769,"0000")</f>
        <v/>
      </c>
      <c r="B1769" s="68" t="n">
        <v>200</v>
      </c>
      <c r="C1769" s="68" t="n">
        <v>866</v>
      </c>
      <c r="D1769" s="68" t="inlineStr">
        <is>
          <t>HpRatio</t>
        </is>
      </c>
      <c r="E1769" s="68">
        <f>INT(E1768*1.01)</f>
        <v/>
      </c>
      <c r="F1769" s="68" t="inlineStr">
        <is>
          <t>AtkRatio</t>
        </is>
      </c>
      <c r="G1769" s="68">
        <f>INT(G1768*1.01)</f>
        <v/>
      </c>
      <c r="H1769" s="68" t="inlineStr">
        <is>
          <t>DefRatio</t>
        </is>
      </c>
      <c r="I1769" s="68">
        <f>G1769</f>
        <v/>
      </c>
    </row>
    <row r="1770">
      <c r="A1770" s="68">
        <f>B1770&amp;TEXT(C1770,"0000")</f>
        <v/>
      </c>
      <c r="B1770" s="68" t="n">
        <v>200</v>
      </c>
      <c r="C1770" s="68" t="n">
        <v>867</v>
      </c>
      <c r="D1770" s="68" t="inlineStr">
        <is>
          <t>HpRatio</t>
        </is>
      </c>
      <c r="E1770" s="68">
        <f>INT(E1769*1.01)</f>
        <v/>
      </c>
      <c r="F1770" s="68" t="inlineStr">
        <is>
          <t>AtkRatio</t>
        </is>
      </c>
      <c r="G1770" s="68">
        <f>INT(G1769*1.01)</f>
        <v/>
      </c>
      <c r="H1770" s="68" t="inlineStr">
        <is>
          <t>DefRatio</t>
        </is>
      </c>
      <c r="I1770" s="68">
        <f>G1770</f>
        <v/>
      </c>
    </row>
    <row r="1771">
      <c r="A1771" s="68">
        <f>B1771&amp;TEXT(C1771,"0000")</f>
        <v/>
      </c>
      <c r="B1771" s="68" t="n">
        <v>200</v>
      </c>
      <c r="C1771" s="68" t="n">
        <v>868</v>
      </c>
      <c r="D1771" s="68" t="inlineStr">
        <is>
          <t>HpRatio</t>
        </is>
      </c>
      <c r="E1771" s="68">
        <f>INT(E1770*1.01)</f>
        <v/>
      </c>
      <c r="F1771" s="68" t="inlineStr">
        <is>
          <t>AtkRatio</t>
        </is>
      </c>
      <c r="G1771" s="68">
        <f>INT(G1770*1.01)</f>
        <v/>
      </c>
      <c r="H1771" s="68" t="inlineStr">
        <is>
          <t>DefRatio</t>
        </is>
      </c>
      <c r="I1771" s="68">
        <f>G1771</f>
        <v/>
      </c>
    </row>
    <row r="1772">
      <c r="A1772" s="68">
        <f>B1772&amp;TEXT(C1772,"0000")</f>
        <v/>
      </c>
      <c r="B1772" s="68" t="n">
        <v>200</v>
      </c>
      <c r="C1772" s="68" t="n">
        <v>869</v>
      </c>
      <c r="D1772" s="68" t="inlineStr">
        <is>
          <t>HpRatio</t>
        </is>
      </c>
      <c r="E1772" s="68">
        <f>INT(E1771*1.01)</f>
        <v/>
      </c>
      <c r="F1772" s="68" t="inlineStr">
        <is>
          <t>AtkRatio</t>
        </is>
      </c>
      <c r="G1772" s="68">
        <f>INT(G1771*1.01)</f>
        <v/>
      </c>
      <c r="H1772" s="68" t="inlineStr">
        <is>
          <t>DefRatio</t>
        </is>
      </c>
      <c r="I1772" s="68">
        <f>G1772</f>
        <v/>
      </c>
    </row>
    <row r="1773">
      <c r="A1773" s="68">
        <f>B1773&amp;TEXT(C1773,"0000")</f>
        <v/>
      </c>
      <c r="B1773" s="68" t="n">
        <v>200</v>
      </c>
      <c r="C1773" s="68" t="n">
        <v>870</v>
      </c>
      <c r="D1773" s="68" t="inlineStr">
        <is>
          <t>HpRatio</t>
        </is>
      </c>
      <c r="E1773" s="68">
        <f>INT(E1772*1.01)</f>
        <v/>
      </c>
      <c r="F1773" s="68" t="inlineStr">
        <is>
          <t>AtkRatio</t>
        </is>
      </c>
      <c r="G1773" s="68">
        <f>INT(G1772*1.01)</f>
        <v/>
      </c>
      <c r="H1773" s="68" t="inlineStr">
        <is>
          <t>DefRatio</t>
        </is>
      </c>
      <c r="I1773" s="68">
        <f>G1773</f>
        <v/>
      </c>
    </row>
    <row r="1774">
      <c r="A1774" s="68">
        <f>B1774&amp;TEXT(C1774,"0000")</f>
        <v/>
      </c>
      <c r="B1774" s="68" t="n">
        <v>200</v>
      </c>
      <c r="C1774" s="68" t="n">
        <v>871</v>
      </c>
      <c r="D1774" s="68" t="inlineStr">
        <is>
          <t>HpRatio</t>
        </is>
      </c>
      <c r="E1774" s="68">
        <f>INT(E1773*1.01)</f>
        <v/>
      </c>
      <c r="F1774" s="68" t="inlineStr">
        <is>
          <t>AtkRatio</t>
        </is>
      </c>
      <c r="G1774" s="68">
        <f>INT(G1773*1.01)</f>
        <v/>
      </c>
      <c r="H1774" s="68" t="inlineStr">
        <is>
          <t>DefRatio</t>
        </is>
      </c>
      <c r="I1774" s="68">
        <f>G1774</f>
        <v/>
      </c>
    </row>
    <row r="1775">
      <c r="A1775" s="68">
        <f>B1775&amp;TEXT(C1775,"0000")</f>
        <v/>
      </c>
      <c r="B1775" s="68" t="n">
        <v>200</v>
      </c>
      <c r="C1775" s="68" t="n">
        <v>872</v>
      </c>
      <c r="D1775" s="68" t="inlineStr">
        <is>
          <t>HpRatio</t>
        </is>
      </c>
      <c r="E1775" s="68">
        <f>INT(E1774*1.01)</f>
        <v/>
      </c>
      <c r="F1775" s="68" t="inlineStr">
        <is>
          <t>AtkRatio</t>
        </is>
      </c>
      <c r="G1775" s="68">
        <f>INT(G1774*1.01)</f>
        <v/>
      </c>
      <c r="H1775" s="68" t="inlineStr">
        <is>
          <t>DefRatio</t>
        </is>
      </c>
      <c r="I1775" s="68">
        <f>G1775</f>
        <v/>
      </c>
    </row>
    <row r="1776">
      <c r="A1776" s="68">
        <f>B1776&amp;TEXT(C1776,"0000")</f>
        <v/>
      </c>
      <c r="B1776" s="68" t="n">
        <v>200</v>
      </c>
      <c r="C1776" s="68" t="n">
        <v>873</v>
      </c>
      <c r="D1776" s="68" t="inlineStr">
        <is>
          <t>HpRatio</t>
        </is>
      </c>
      <c r="E1776" s="68">
        <f>INT(E1775*1.01)</f>
        <v/>
      </c>
      <c r="F1776" s="68" t="inlineStr">
        <is>
          <t>AtkRatio</t>
        </is>
      </c>
      <c r="G1776" s="68">
        <f>INT(G1775*1.01)</f>
        <v/>
      </c>
      <c r="H1776" s="68" t="inlineStr">
        <is>
          <t>DefRatio</t>
        </is>
      </c>
      <c r="I1776" s="68">
        <f>G1776</f>
        <v/>
      </c>
    </row>
    <row r="1777">
      <c r="A1777" s="68">
        <f>B1777&amp;TEXT(C1777,"0000")</f>
        <v/>
      </c>
      <c r="B1777" s="68" t="n">
        <v>200</v>
      </c>
      <c r="C1777" s="68" t="n">
        <v>874</v>
      </c>
      <c r="D1777" s="68" t="inlineStr">
        <is>
          <t>HpRatio</t>
        </is>
      </c>
      <c r="E1777" s="68">
        <f>INT(E1776*1.01)</f>
        <v/>
      </c>
      <c r="F1777" s="68" t="inlineStr">
        <is>
          <t>AtkRatio</t>
        </is>
      </c>
      <c r="G1777" s="68">
        <f>INT(G1776*1.01)</f>
        <v/>
      </c>
      <c r="H1777" s="68" t="inlineStr">
        <is>
          <t>DefRatio</t>
        </is>
      </c>
      <c r="I1777" s="68">
        <f>G1777</f>
        <v/>
      </c>
    </row>
    <row r="1778">
      <c r="A1778" s="68">
        <f>B1778&amp;TEXT(C1778,"0000")</f>
        <v/>
      </c>
      <c r="B1778" s="68" t="n">
        <v>200</v>
      </c>
      <c r="C1778" s="68" t="n">
        <v>875</v>
      </c>
      <c r="D1778" s="68" t="inlineStr">
        <is>
          <t>HpRatio</t>
        </is>
      </c>
      <c r="E1778" s="68">
        <f>INT(E1777*1.01)</f>
        <v/>
      </c>
      <c r="F1778" s="68" t="inlineStr">
        <is>
          <t>AtkRatio</t>
        </is>
      </c>
      <c r="G1778" s="68">
        <f>INT(G1777*1.01)</f>
        <v/>
      </c>
      <c r="H1778" s="68" t="inlineStr">
        <is>
          <t>DefRatio</t>
        </is>
      </c>
      <c r="I1778" s="68">
        <f>G1778</f>
        <v/>
      </c>
    </row>
    <row r="1779">
      <c r="A1779" s="68">
        <f>B1779&amp;TEXT(C1779,"0000")</f>
        <v/>
      </c>
      <c r="B1779" s="68" t="n">
        <v>200</v>
      </c>
      <c r="C1779" s="68" t="n">
        <v>876</v>
      </c>
      <c r="D1779" s="68" t="inlineStr">
        <is>
          <t>HpRatio</t>
        </is>
      </c>
      <c r="E1779" s="68">
        <f>INT(E1778*1.01)</f>
        <v/>
      </c>
      <c r="F1779" s="68" t="inlineStr">
        <is>
          <t>AtkRatio</t>
        </is>
      </c>
      <c r="G1779" s="68">
        <f>INT(G1778*1.01)</f>
        <v/>
      </c>
      <c r="H1779" s="68" t="inlineStr">
        <is>
          <t>DefRatio</t>
        </is>
      </c>
      <c r="I1779" s="68">
        <f>G1779</f>
        <v/>
      </c>
    </row>
    <row r="1780">
      <c r="A1780" s="68">
        <f>B1780&amp;TEXT(C1780,"0000")</f>
        <v/>
      </c>
      <c r="B1780" s="68" t="n">
        <v>200</v>
      </c>
      <c r="C1780" s="68" t="n">
        <v>877</v>
      </c>
      <c r="D1780" s="68" t="inlineStr">
        <is>
          <t>HpRatio</t>
        </is>
      </c>
      <c r="E1780" s="68">
        <f>INT(E1779*1.01)</f>
        <v/>
      </c>
      <c r="F1780" s="68" t="inlineStr">
        <is>
          <t>AtkRatio</t>
        </is>
      </c>
      <c r="G1780" s="68">
        <f>INT(G1779*1.01)</f>
        <v/>
      </c>
      <c r="H1780" s="68" t="inlineStr">
        <is>
          <t>DefRatio</t>
        </is>
      </c>
      <c r="I1780" s="68">
        <f>G1780</f>
        <v/>
      </c>
    </row>
    <row r="1781">
      <c r="A1781" s="68">
        <f>B1781&amp;TEXT(C1781,"0000")</f>
        <v/>
      </c>
      <c r="B1781" s="68" t="n">
        <v>200</v>
      </c>
      <c r="C1781" s="68" t="n">
        <v>878</v>
      </c>
      <c r="D1781" s="68" t="inlineStr">
        <is>
          <t>HpRatio</t>
        </is>
      </c>
      <c r="E1781" s="68">
        <f>INT(E1780*1.01)</f>
        <v/>
      </c>
      <c r="F1781" s="68" t="inlineStr">
        <is>
          <t>AtkRatio</t>
        </is>
      </c>
      <c r="G1781" s="68">
        <f>INT(G1780*1.01)</f>
        <v/>
      </c>
      <c r="H1781" s="68" t="inlineStr">
        <is>
          <t>DefRatio</t>
        </is>
      </c>
      <c r="I1781" s="68">
        <f>G1781</f>
        <v/>
      </c>
    </row>
    <row r="1782">
      <c r="A1782" s="68">
        <f>B1782&amp;TEXT(C1782,"0000")</f>
        <v/>
      </c>
      <c r="B1782" s="68" t="n">
        <v>200</v>
      </c>
      <c r="C1782" s="68" t="n">
        <v>879</v>
      </c>
      <c r="D1782" s="68" t="inlineStr">
        <is>
          <t>HpRatio</t>
        </is>
      </c>
      <c r="E1782" s="68">
        <f>INT(E1781*1.01)</f>
        <v/>
      </c>
      <c r="F1782" s="68" t="inlineStr">
        <is>
          <t>AtkRatio</t>
        </is>
      </c>
      <c r="G1782" s="68">
        <f>INT(G1781*1.01)</f>
        <v/>
      </c>
      <c r="H1782" s="68" t="inlineStr">
        <is>
          <t>DefRatio</t>
        </is>
      </c>
      <c r="I1782" s="68">
        <f>G1782</f>
        <v/>
      </c>
    </row>
    <row r="1783">
      <c r="A1783" s="68">
        <f>B1783&amp;TEXT(C1783,"0000")</f>
        <v/>
      </c>
      <c r="B1783" s="68" t="n">
        <v>200</v>
      </c>
      <c r="C1783" s="68" t="n">
        <v>880</v>
      </c>
      <c r="D1783" s="68" t="inlineStr">
        <is>
          <t>HpRatio</t>
        </is>
      </c>
      <c r="E1783" s="68">
        <f>INT(E1782*1.01)</f>
        <v/>
      </c>
      <c r="F1783" s="68" t="inlineStr">
        <is>
          <t>AtkRatio</t>
        </is>
      </c>
      <c r="G1783" s="68">
        <f>INT(G1782*1.01)</f>
        <v/>
      </c>
      <c r="H1783" s="68" t="inlineStr">
        <is>
          <t>DefRatio</t>
        </is>
      </c>
      <c r="I1783" s="68">
        <f>G1783</f>
        <v/>
      </c>
    </row>
    <row r="1784">
      <c r="A1784" s="68">
        <f>B1784&amp;TEXT(C1784,"0000")</f>
        <v/>
      </c>
      <c r="B1784" s="68" t="n">
        <v>200</v>
      </c>
      <c r="C1784" s="68" t="n">
        <v>881</v>
      </c>
      <c r="D1784" s="68" t="inlineStr">
        <is>
          <t>HpRatio</t>
        </is>
      </c>
      <c r="E1784" s="68">
        <f>INT(E1783*1.01)</f>
        <v/>
      </c>
      <c r="F1784" s="68" t="inlineStr">
        <is>
          <t>AtkRatio</t>
        </is>
      </c>
      <c r="G1784" s="68">
        <f>INT(G1783*1.01)</f>
        <v/>
      </c>
      <c r="H1784" s="68" t="inlineStr">
        <is>
          <t>DefRatio</t>
        </is>
      </c>
      <c r="I1784" s="68">
        <f>G1784</f>
        <v/>
      </c>
    </row>
    <row r="1785">
      <c r="A1785" s="68">
        <f>B1785&amp;TEXT(C1785,"0000")</f>
        <v/>
      </c>
      <c r="B1785" s="68" t="n">
        <v>200</v>
      </c>
      <c r="C1785" s="68" t="n">
        <v>882</v>
      </c>
      <c r="D1785" s="68" t="inlineStr">
        <is>
          <t>HpRatio</t>
        </is>
      </c>
      <c r="E1785" s="68">
        <f>INT(E1784*1.01)</f>
        <v/>
      </c>
      <c r="F1785" s="68" t="inlineStr">
        <is>
          <t>AtkRatio</t>
        </is>
      </c>
      <c r="G1785" s="68">
        <f>INT(G1784*1.01)</f>
        <v/>
      </c>
      <c r="H1785" s="68" t="inlineStr">
        <is>
          <t>DefRatio</t>
        </is>
      </c>
      <c r="I1785" s="68">
        <f>G1785</f>
        <v/>
      </c>
    </row>
    <row r="1786">
      <c r="A1786" s="68">
        <f>B1786&amp;TEXT(C1786,"0000")</f>
        <v/>
      </c>
      <c r="B1786" s="68" t="n">
        <v>200</v>
      </c>
      <c r="C1786" s="68" t="n">
        <v>883</v>
      </c>
      <c r="D1786" s="68" t="inlineStr">
        <is>
          <t>HpRatio</t>
        </is>
      </c>
      <c r="E1786" s="68">
        <f>INT(E1785*1.01)</f>
        <v/>
      </c>
      <c r="F1786" s="68" t="inlineStr">
        <is>
          <t>AtkRatio</t>
        </is>
      </c>
      <c r="G1786" s="68">
        <f>INT(G1785*1.01)</f>
        <v/>
      </c>
      <c r="H1786" s="68" t="inlineStr">
        <is>
          <t>DefRatio</t>
        </is>
      </c>
      <c r="I1786" s="68">
        <f>G1786</f>
        <v/>
      </c>
    </row>
    <row r="1787">
      <c r="A1787" s="68">
        <f>B1787&amp;TEXT(C1787,"0000")</f>
        <v/>
      </c>
      <c r="B1787" s="68" t="n">
        <v>200</v>
      </c>
      <c r="C1787" s="68" t="n">
        <v>884</v>
      </c>
      <c r="D1787" s="68" t="inlineStr">
        <is>
          <t>HpRatio</t>
        </is>
      </c>
      <c r="E1787" s="68">
        <f>INT(E1786*1.01)</f>
        <v/>
      </c>
      <c r="F1787" s="68" t="inlineStr">
        <is>
          <t>AtkRatio</t>
        </is>
      </c>
      <c r="G1787" s="68">
        <f>INT(G1786*1.01)</f>
        <v/>
      </c>
      <c r="H1787" s="68" t="inlineStr">
        <is>
          <t>DefRatio</t>
        </is>
      </c>
      <c r="I1787" s="68">
        <f>G1787</f>
        <v/>
      </c>
    </row>
    <row r="1788">
      <c r="A1788" s="68">
        <f>B1788&amp;TEXT(C1788,"0000")</f>
        <v/>
      </c>
      <c r="B1788" s="68" t="n">
        <v>200</v>
      </c>
      <c r="C1788" s="68" t="n">
        <v>885</v>
      </c>
      <c r="D1788" s="68" t="inlineStr">
        <is>
          <t>HpRatio</t>
        </is>
      </c>
      <c r="E1788" s="68">
        <f>INT(E1787*1.01)</f>
        <v/>
      </c>
      <c r="F1788" s="68" t="inlineStr">
        <is>
          <t>AtkRatio</t>
        </is>
      </c>
      <c r="G1788" s="68">
        <f>INT(G1787*1.01)</f>
        <v/>
      </c>
      <c r="H1788" s="68" t="inlineStr">
        <is>
          <t>DefRatio</t>
        </is>
      </c>
      <c r="I1788" s="68">
        <f>G1788</f>
        <v/>
      </c>
    </row>
    <row r="1789">
      <c r="A1789" s="68">
        <f>B1789&amp;TEXT(C1789,"0000")</f>
        <v/>
      </c>
      <c r="B1789" s="68" t="n">
        <v>200</v>
      </c>
      <c r="C1789" s="68" t="n">
        <v>886</v>
      </c>
      <c r="D1789" s="68" t="inlineStr">
        <is>
          <t>HpRatio</t>
        </is>
      </c>
      <c r="E1789" s="68">
        <f>INT(E1788*1.01)</f>
        <v/>
      </c>
      <c r="F1789" s="68" t="inlineStr">
        <is>
          <t>AtkRatio</t>
        </is>
      </c>
      <c r="G1789" s="68">
        <f>INT(G1788*1.01)</f>
        <v/>
      </c>
      <c r="H1789" s="68" t="inlineStr">
        <is>
          <t>DefRatio</t>
        </is>
      </c>
      <c r="I1789" s="68">
        <f>G1789</f>
        <v/>
      </c>
    </row>
    <row r="1790">
      <c r="A1790" s="68">
        <f>B1790&amp;TEXT(C1790,"0000")</f>
        <v/>
      </c>
      <c r="B1790" s="68" t="n">
        <v>200</v>
      </c>
      <c r="C1790" s="68" t="n">
        <v>887</v>
      </c>
      <c r="D1790" s="68" t="inlineStr">
        <is>
          <t>HpRatio</t>
        </is>
      </c>
      <c r="E1790" s="68">
        <f>INT(E1789*1.01)</f>
        <v/>
      </c>
      <c r="F1790" s="68" t="inlineStr">
        <is>
          <t>AtkRatio</t>
        </is>
      </c>
      <c r="G1790" s="68">
        <f>INT(G1789*1.01)</f>
        <v/>
      </c>
      <c r="H1790" s="68" t="inlineStr">
        <is>
          <t>DefRatio</t>
        </is>
      </c>
      <c r="I1790" s="68">
        <f>G1790</f>
        <v/>
      </c>
    </row>
    <row r="1791">
      <c r="A1791" s="68">
        <f>B1791&amp;TEXT(C1791,"0000")</f>
        <v/>
      </c>
      <c r="B1791" s="68" t="n">
        <v>200</v>
      </c>
      <c r="C1791" s="68" t="n">
        <v>888</v>
      </c>
      <c r="D1791" s="68" t="inlineStr">
        <is>
          <t>HpRatio</t>
        </is>
      </c>
      <c r="E1791" s="68">
        <f>INT(E1790*1.01)</f>
        <v/>
      </c>
      <c r="F1791" s="68" t="inlineStr">
        <is>
          <t>AtkRatio</t>
        </is>
      </c>
      <c r="G1791" s="68">
        <f>INT(G1790*1.01)</f>
        <v/>
      </c>
      <c r="H1791" s="68" t="inlineStr">
        <is>
          <t>DefRatio</t>
        </is>
      </c>
      <c r="I1791" s="68">
        <f>G1791</f>
        <v/>
      </c>
    </row>
    <row r="1792">
      <c r="A1792" s="68">
        <f>B1792&amp;TEXT(C1792,"0000")</f>
        <v/>
      </c>
      <c r="B1792" s="68" t="n">
        <v>200</v>
      </c>
      <c r="C1792" s="68" t="n">
        <v>889</v>
      </c>
      <c r="D1792" s="68" t="inlineStr">
        <is>
          <t>HpRatio</t>
        </is>
      </c>
      <c r="E1792" s="68">
        <f>INT(E1791*1.01)</f>
        <v/>
      </c>
      <c r="F1792" s="68" t="inlineStr">
        <is>
          <t>AtkRatio</t>
        </is>
      </c>
      <c r="G1792" s="68">
        <f>INT(G1791*1.01)</f>
        <v/>
      </c>
      <c r="H1792" s="68" t="inlineStr">
        <is>
          <t>DefRatio</t>
        </is>
      </c>
      <c r="I1792" s="68">
        <f>G1792</f>
        <v/>
      </c>
    </row>
    <row r="1793">
      <c r="A1793" s="68">
        <f>B1793&amp;TEXT(C1793,"0000")</f>
        <v/>
      </c>
      <c r="B1793" s="68" t="n">
        <v>200</v>
      </c>
      <c r="C1793" s="68" t="n">
        <v>890</v>
      </c>
      <c r="D1793" s="68" t="inlineStr">
        <is>
          <t>HpRatio</t>
        </is>
      </c>
      <c r="E1793" s="68">
        <f>INT(E1792*1.01)</f>
        <v/>
      </c>
      <c r="F1793" s="68" t="inlineStr">
        <is>
          <t>AtkRatio</t>
        </is>
      </c>
      <c r="G1793" s="68">
        <f>INT(G1792*1.01)</f>
        <v/>
      </c>
      <c r="H1793" s="68" t="inlineStr">
        <is>
          <t>DefRatio</t>
        </is>
      </c>
      <c r="I1793" s="68">
        <f>G1793</f>
        <v/>
      </c>
    </row>
    <row r="1794">
      <c r="A1794" s="68">
        <f>B1794&amp;TEXT(C1794,"0000")</f>
        <v/>
      </c>
      <c r="B1794" s="68" t="n">
        <v>200</v>
      </c>
      <c r="C1794" s="68" t="n">
        <v>891</v>
      </c>
      <c r="D1794" s="68" t="inlineStr">
        <is>
          <t>HpRatio</t>
        </is>
      </c>
      <c r="E1794" s="68">
        <f>INT(E1793*1.01)</f>
        <v/>
      </c>
      <c r="F1794" s="68" t="inlineStr">
        <is>
          <t>AtkRatio</t>
        </is>
      </c>
      <c r="G1794" s="68">
        <f>INT(G1793*1.01)</f>
        <v/>
      </c>
      <c r="H1794" s="68" t="inlineStr">
        <is>
          <t>DefRatio</t>
        </is>
      </c>
      <c r="I1794" s="68">
        <f>G1794</f>
        <v/>
      </c>
    </row>
    <row r="1795">
      <c r="A1795" s="68">
        <f>B1795&amp;TEXT(C1795,"0000")</f>
        <v/>
      </c>
      <c r="B1795" s="68" t="n">
        <v>200</v>
      </c>
      <c r="C1795" s="68" t="n">
        <v>892</v>
      </c>
      <c r="D1795" s="68" t="inlineStr">
        <is>
          <t>HpRatio</t>
        </is>
      </c>
      <c r="E1795" s="68">
        <f>INT(E1794*1.01)</f>
        <v/>
      </c>
      <c r="F1795" s="68" t="inlineStr">
        <is>
          <t>AtkRatio</t>
        </is>
      </c>
      <c r="G1795" s="68">
        <f>INT(G1794*1.01)</f>
        <v/>
      </c>
      <c r="H1795" s="68" t="inlineStr">
        <is>
          <t>DefRatio</t>
        </is>
      </c>
      <c r="I1795" s="68">
        <f>G1795</f>
        <v/>
      </c>
    </row>
    <row r="1796">
      <c r="A1796" s="68">
        <f>B1796&amp;TEXT(C1796,"0000")</f>
        <v/>
      </c>
      <c r="B1796" s="68" t="n">
        <v>200</v>
      </c>
      <c r="C1796" s="68" t="n">
        <v>893</v>
      </c>
      <c r="D1796" s="68" t="inlineStr">
        <is>
          <t>HpRatio</t>
        </is>
      </c>
      <c r="E1796" s="68">
        <f>INT(E1795*1.01)</f>
        <v/>
      </c>
      <c r="F1796" s="68" t="inlineStr">
        <is>
          <t>AtkRatio</t>
        </is>
      </c>
      <c r="G1796" s="68">
        <f>INT(G1795*1.01)</f>
        <v/>
      </c>
      <c r="H1796" s="68" t="inlineStr">
        <is>
          <t>DefRatio</t>
        </is>
      </c>
      <c r="I1796" s="68">
        <f>G1796</f>
        <v/>
      </c>
    </row>
    <row r="1797">
      <c r="A1797" s="68">
        <f>B1797&amp;TEXT(C1797,"0000")</f>
        <v/>
      </c>
      <c r="B1797" s="68" t="n">
        <v>200</v>
      </c>
      <c r="C1797" s="68" t="n">
        <v>894</v>
      </c>
      <c r="D1797" s="68" t="inlineStr">
        <is>
          <t>HpRatio</t>
        </is>
      </c>
      <c r="E1797" s="68">
        <f>INT(E1796*1.01)</f>
        <v/>
      </c>
      <c r="F1797" s="68" t="inlineStr">
        <is>
          <t>AtkRatio</t>
        </is>
      </c>
      <c r="G1797" s="68">
        <f>INT(G1796*1.01)</f>
        <v/>
      </c>
      <c r="H1797" s="68" t="inlineStr">
        <is>
          <t>DefRatio</t>
        </is>
      </c>
      <c r="I1797" s="68">
        <f>G1797</f>
        <v/>
      </c>
    </row>
    <row r="1798">
      <c r="A1798" s="68">
        <f>B1798&amp;TEXT(C1798,"0000")</f>
        <v/>
      </c>
      <c r="B1798" s="68" t="n">
        <v>200</v>
      </c>
      <c r="C1798" s="68" t="n">
        <v>895</v>
      </c>
      <c r="D1798" s="68" t="inlineStr">
        <is>
          <t>HpRatio</t>
        </is>
      </c>
      <c r="E1798" s="68">
        <f>INT(E1797*1.01)</f>
        <v/>
      </c>
      <c r="F1798" s="68" t="inlineStr">
        <is>
          <t>AtkRatio</t>
        </is>
      </c>
      <c r="G1798" s="68">
        <f>INT(G1797*1.01)</f>
        <v/>
      </c>
      <c r="H1798" s="68" t="inlineStr">
        <is>
          <t>DefRatio</t>
        </is>
      </c>
      <c r="I1798" s="68">
        <f>G1798</f>
        <v/>
      </c>
    </row>
    <row r="1799">
      <c r="A1799" s="68">
        <f>B1799&amp;TEXT(C1799,"0000")</f>
        <v/>
      </c>
      <c r="B1799" s="68" t="n">
        <v>200</v>
      </c>
      <c r="C1799" s="68" t="n">
        <v>896</v>
      </c>
      <c r="D1799" s="68" t="inlineStr">
        <is>
          <t>HpRatio</t>
        </is>
      </c>
      <c r="E1799" s="68">
        <f>INT(E1798*1.01)</f>
        <v/>
      </c>
      <c r="F1799" s="68" t="inlineStr">
        <is>
          <t>AtkRatio</t>
        </is>
      </c>
      <c r="G1799" s="68">
        <f>INT(G1798*1.01)</f>
        <v/>
      </c>
      <c r="H1799" s="68" t="inlineStr">
        <is>
          <t>DefRatio</t>
        </is>
      </c>
      <c r="I1799" s="68">
        <f>G1799</f>
        <v/>
      </c>
    </row>
    <row r="1800">
      <c r="A1800" s="68">
        <f>B1800&amp;TEXT(C1800,"0000")</f>
        <v/>
      </c>
      <c r="B1800" s="68" t="n">
        <v>200</v>
      </c>
      <c r="C1800" s="68" t="n">
        <v>897</v>
      </c>
      <c r="D1800" s="68" t="inlineStr">
        <is>
          <t>HpRatio</t>
        </is>
      </c>
      <c r="E1800" s="68">
        <f>INT(E1799*1.01)</f>
        <v/>
      </c>
      <c r="F1800" s="68" t="inlineStr">
        <is>
          <t>AtkRatio</t>
        </is>
      </c>
      <c r="G1800" s="68">
        <f>INT(G1799*1.01)</f>
        <v/>
      </c>
      <c r="H1800" s="68" t="inlineStr">
        <is>
          <t>DefRatio</t>
        </is>
      </c>
      <c r="I1800" s="68">
        <f>G1800</f>
        <v/>
      </c>
    </row>
    <row r="1801">
      <c r="A1801" s="68">
        <f>B1801&amp;TEXT(C1801,"0000")</f>
        <v/>
      </c>
      <c r="B1801" s="68" t="n">
        <v>200</v>
      </c>
      <c r="C1801" s="68" t="n">
        <v>898</v>
      </c>
      <c r="D1801" s="68" t="inlineStr">
        <is>
          <t>HpRatio</t>
        </is>
      </c>
      <c r="E1801" s="68">
        <f>INT(E1800*1.01)</f>
        <v/>
      </c>
      <c r="F1801" s="68" t="inlineStr">
        <is>
          <t>AtkRatio</t>
        </is>
      </c>
      <c r="G1801" s="68">
        <f>INT(G1800*1.01)</f>
        <v/>
      </c>
      <c r="H1801" s="68" t="inlineStr">
        <is>
          <t>DefRatio</t>
        </is>
      </c>
      <c r="I1801" s="68">
        <f>G1801</f>
        <v/>
      </c>
    </row>
    <row r="1802">
      <c r="A1802" s="68">
        <f>B1802&amp;TEXT(C1802,"0000")</f>
        <v/>
      </c>
      <c r="B1802" s="68" t="n">
        <v>200</v>
      </c>
      <c r="C1802" s="68" t="n">
        <v>899</v>
      </c>
      <c r="D1802" s="68" t="inlineStr">
        <is>
          <t>HpRatio</t>
        </is>
      </c>
      <c r="E1802" s="68">
        <f>INT(E1801*1.01)</f>
        <v/>
      </c>
      <c r="F1802" s="68" t="inlineStr">
        <is>
          <t>AtkRatio</t>
        </is>
      </c>
      <c r="G1802" s="68">
        <f>INT(G1801*1.01)</f>
        <v/>
      </c>
      <c r="H1802" s="68" t="inlineStr">
        <is>
          <t>DefRatio</t>
        </is>
      </c>
      <c r="I1802" s="68">
        <f>G1802</f>
        <v/>
      </c>
    </row>
    <row r="1803">
      <c r="A1803" s="68">
        <f>B1803&amp;TEXT(C1803,"0000")</f>
        <v/>
      </c>
      <c r="B1803" s="68" t="n">
        <v>200</v>
      </c>
      <c r="C1803" s="68" t="n">
        <v>900</v>
      </c>
      <c r="D1803" s="68" t="inlineStr">
        <is>
          <t>HpRatio</t>
        </is>
      </c>
      <c r="E1803" s="68">
        <f>INT(E1802*1.01)</f>
        <v/>
      </c>
      <c r="F1803" s="68" t="inlineStr">
        <is>
          <t>AtkRatio</t>
        </is>
      </c>
      <c r="G1803" s="68">
        <f>INT(G1802*1.01)</f>
        <v/>
      </c>
      <c r="H1803" s="68" t="inlineStr">
        <is>
          <t>DefRatio</t>
        </is>
      </c>
      <c r="I1803" s="68">
        <f>G1803</f>
        <v/>
      </c>
    </row>
    <row r="1804">
      <c r="A1804" s="68">
        <f>B1804&amp;TEXT(C1804,"0000")</f>
        <v/>
      </c>
      <c r="B1804" s="68" t="n">
        <v>200</v>
      </c>
      <c r="C1804" s="68" t="n">
        <v>901</v>
      </c>
      <c r="D1804" s="68" t="inlineStr">
        <is>
          <t>HpRatio</t>
        </is>
      </c>
      <c r="E1804" s="68">
        <f>INT(E1803*1.01)</f>
        <v/>
      </c>
      <c r="F1804" s="68" t="inlineStr">
        <is>
          <t>AtkRatio</t>
        </is>
      </c>
      <c r="G1804" s="68">
        <f>INT(G1803*1.01)</f>
        <v/>
      </c>
      <c r="H1804" s="68" t="inlineStr">
        <is>
          <t>DefRatio</t>
        </is>
      </c>
      <c r="I1804" s="68">
        <f>G1804</f>
        <v/>
      </c>
    </row>
    <row r="1805">
      <c r="A1805" s="68">
        <f>B1805&amp;TEXT(C1805,"0000")</f>
        <v/>
      </c>
      <c r="B1805" s="68" t="n">
        <v>200</v>
      </c>
      <c r="C1805" s="68" t="n">
        <v>902</v>
      </c>
      <c r="D1805" s="68" t="inlineStr">
        <is>
          <t>HpRatio</t>
        </is>
      </c>
      <c r="E1805" s="68">
        <f>INT(E1804*1.01)</f>
        <v/>
      </c>
      <c r="F1805" s="68" t="inlineStr">
        <is>
          <t>AtkRatio</t>
        </is>
      </c>
      <c r="G1805" s="68">
        <f>INT(G1804*1.01)</f>
        <v/>
      </c>
      <c r="H1805" s="68" t="inlineStr">
        <is>
          <t>DefRatio</t>
        </is>
      </c>
      <c r="I1805" s="68">
        <f>G1805</f>
        <v/>
      </c>
    </row>
    <row r="1806">
      <c r="A1806" s="68">
        <f>B1806&amp;TEXT(C1806,"0000")</f>
        <v/>
      </c>
      <c r="B1806" s="68" t="n">
        <v>200</v>
      </c>
      <c r="C1806" s="68" t="n">
        <v>903</v>
      </c>
      <c r="D1806" s="68" t="inlineStr">
        <is>
          <t>HpRatio</t>
        </is>
      </c>
      <c r="E1806" s="68">
        <f>INT(E1805*1.01)</f>
        <v/>
      </c>
      <c r="F1806" s="68" t="inlineStr">
        <is>
          <t>AtkRatio</t>
        </is>
      </c>
      <c r="G1806" s="68">
        <f>INT(G1805*1.01)</f>
        <v/>
      </c>
      <c r="H1806" s="68" t="inlineStr">
        <is>
          <t>DefRatio</t>
        </is>
      </c>
      <c r="I1806" s="68">
        <f>G1806</f>
        <v/>
      </c>
    </row>
    <row r="1807">
      <c r="A1807" s="68">
        <f>B1807&amp;TEXT(C1807,"0000")</f>
        <v/>
      </c>
      <c r="B1807" s="68" t="n">
        <v>200</v>
      </c>
      <c r="C1807" s="68" t="n">
        <v>904</v>
      </c>
      <c r="D1807" s="68" t="inlineStr">
        <is>
          <t>HpRatio</t>
        </is>
      </c>
      <c r="E1807" s="68">
        <f>INT(E1806*1.01)</f>
        <v/>
      </c>
      <c r="F1807" s="68" t="inlineStr">
        <is>
          <t>AtkRatio</t>
        </is>
      </c>
      <c r="G1807" s="68">
        <f>INT(G1806*1.01)</f>
        <v/>
      </c>
      <c r="H1807" s="68" t="inlineStr">
        <is>
          <t>DefRatio</t>
        </is>
      </c>
      <c r="I1807" s="68">
        <f>G1807</f>
        <v/>
      </c>
    </row>
    <row r="1808">
      <c r="A1808" s="68">
        <f>B1808&amp;TEXT(C1808,"0000")</f>
        <v/>
      </c>
      <c r="B1808" s="68" t="n">
        <v>200</v>
      </c>
      <c r="C1808" s="68" t="n">
        <v>905</v>
      </c>
      <c r="D1808" s="68" t="inlineStr">
        <is>
          <t>HpRatio</t>
        </is>
      </c>
      <c r="E1808" s="68">
        <f>INT(E1807*1.01)</f>
        <v/>
      </c>
      <c r="F1808" s="68" t="inlineStr">
        <is>
          <t>AtkRatio</t>
        </is>
      </c>
      <c r="G1808" s="68">
        <f>INT(G1807*1.01)</f>
        <v/>
      </c>
      <c r="H1808" s="68" t="inlineStr">
        <is>
          <t>DefRatio</t>
        </is>
      </c>
      <c r="I1808" s="68">
        <f>G1808</f>
        <v/>
      </c>
    </row>
    <row r="1809">
      <c r="A1809" s="68">
        <f>B1809&amp;TEXT(C1809,"0000")</f>
        <v/>
      </c>
      <c r="B1809" s="68" t="n">
        <v>200</v>
      </c>
      <c r="C1809" s="68" t="n">
        <v>906</v>
      </c>
      <c r="D1809" s="68" t="inlineStr">
        <is>
          <t>HpRatio</t>
        </is>
      </c>
      <c r="E1809" s="68">
        <f>INT(E1808*1.01)</f>
        <v/>
      </c>
      <c r="F1809" s="68" t="inlineStr">
        <is>
          <t>AtkRatio</t>
        </is>
      </c>
      <c r="G1809" s="68">
        <f>INT(G1808*1.01)</f>
        <v/>
      </c>
      <c r="H1809" s="68" t="inlineStr">
        <is>
          <t>DefRatio</t>
        </is>
      </c>
      <c r="I1809" s="68">
        <f>G1809</f>
        <v/>
      </c>
    </row>
    <row r="1810">
      <c r="A1810" s="68">
        <f>B1810&amp;TEXT(C1810,"0000")</f>
        <v/>
      </c>
      <c r="B1810" s="68" t="n">
        <v>200</v>
      </c>
      <c r="C1810" s="68" t="n">
        <v>907</v>
      </c>
      <c r="D1810" s="68" t="inlineStr">
        <is>
          <t>HpRatio</t>
        </is>
      </c>
      <c r="E1810" s="68">
        <f>INT(E1809*1.01)</f>
        <v/>
      </c>
      <c r="F1810" s="68" t="inlineStr">
        <is>
          <t>AtkRatio</t>
        </is>
      </c>
      <c r="G1810" s="68">
        <f>INT(G1809*1.01)</f>
        <v/>
      </c>
      <c r="H1810" s="68" t="inlineStr">
        <is>
          <t>DefRatio</t>
        </is>
      </c>
      <c r="I1810" s="68">
        <f>G1810</f>
        <v/>
      </c>
    </row>
    <row r="1811">
      <c r="A1811" s="68">
        <f>B1811&amp;TEXT(C1811,"0000")</f>
        <v/>
      </c>
      <c r="B1811" s="68" t="n">
        <v>200</v>
      </c>
      <c r="C1811" s="68" t="n">
        <v>908</v>
      </c>
      <c r="D1811" s="68" t="inlineStr">
        <is>
          <t>HpRatio</t>
        </is>
      </c>
      <c r="E1811" s="68">
        <f>INT(E1810*1.01)</f>
        <v/>
      </c>
      <c r="F1811" s="68" t="inlineStr">
        <is>
          <t>AtkRatio</t>
        </is>
      </c>
      <c r="G1811" s="68">
        <f>INT(G1810*1.01)</f>
        <v/>
      </c>
      <c r="H1811" s="68" t="inlineStr">
        <is>
          <t>DefRatio</t>
        </is>
      </c>
      <c r="I1811" s="68">
        <f>G1811</f>
        <v/>
      </c>
    </row>
    <row r="1812">
      <c r="A1812" s="68">
        <f>B1812&amp;TEXT(C1812,"0000")</f>
        <v/>
      </c>
      <c r="B1812" s="68" t="n">
        <v>200</v>
      </c>
      <c r="C1812" s="68" t="n">
        <v>909</v>
      </c>
      <c r="D1812" s="68" t="inlineStr">
        <is>
          <t>HpRatio</t>
        </is>
      </c>
      <c r="E1812" s="68">
        <f>INT(E1811*1.01)</f>
        <v/>
      </c>
      <c r="F1812" s="68" t="inlineStr">
        <is>
          <t>AtkRatio</t>
        </is>
      </c>
      <c r="G1812" s="68">
        <f>INT(G1811*1.01)</f>
        <v/>
      </c>
      <c r="H1812" s="68" t="inlineStr">
        <is>
          <t>DefRatio</t>
        </is>
      </c>
      <c r="I1812" s="68">
        <f>G1812</f>
        <v/>
      </c>
    </row>
    <row r="1813">
      <c r="A1813" s="68">
        <f>B1813&amp;TEXT(C1813,"0000")</f>
        <v/>
      </c>
      <c r="B1813" s="68" t="n">
        <v>200</v>
      </c>
      <c r="C1813" s="68" t="n">
        <v>910</v>
      </c>
      <c r="D1813" s="68" t="inlineStr">
        <is>
          <t>HpRatio</t>
        </is>
      </c>
      <c r="E1813" s="68">
        <f>INT(E1812*1.01)</f>
        <v/>
      </c>
      <c r="F1813" s="68" t="inlineStr">
        <is>
          <t>AtkRatio</t>
        </is>
      </c>
      <c r="G1813" s="68">
        <f>INT(G1812*1.01)</f>
        <v/>
      </c>
      <c r="H1813" s="68" t="inlineStr">
        <is>
          <t>DefRatio</t>
        </is>
      </c>
      <c r="I1813" s="68">
        <f>G1813</f>
        <v/>
      </c>
    </row>
    <row r="1814">
      <c r="A1814" s="68">
        <f>B1814&amp;TEXT(C1814,"0000")</f>
        <v/>
      </c>
      <c r="B1814" s="68" t="n">
        <v>200</v>
      </c>
      <c r="C1814" s="68" t="n">
        <v>911</v>
      </c>
      <c r="D1814" s="68" t="inlineStr">
        <is>
          <t>HpRatio</t>
        </is>
      </c>
      <c r="E1814" s="68">
        <f>INT(E1813*1.01)</f>
        <v/>
      </c>
      <c r="F1814" s="68" t="inlineStr">
        <is>
          <t>AtkRatio</t>
        </is>
      </c>
      <c r="G1814" s="68">
        <f>INT(G1813*1.01)</f>
        <v/>
      </c>
      <c r="H1814" s="68" t="inlineStr">
        <is>
          <t>DefRatio</t>
        </is>
      </c>
      <c r="I1814" s="68">
        <f>G1814</f>
        <v/>
      </c>
    </row>
    <row r="1815">
      <c r="A1815" s="68">
        <f>B1815&amp;TEXT(C1815,"0000")</f>
        <v/>
      </c>
      <c r="B1815" s="68" t="n">
        <v>200</v>
      </c>
      <c r="C1815" s="68" t="n">
        <v>912</v>
      </c>
      <c r="D1815" s="68" t="inlineStr">
        <is>
          <t>HpRatio</t>
        </is>
      </c>
      <c r="E1815" s="68">
        <f>INT(E1814*1.01)</f>
        <v/>
      </c>
      <c r="F1815" s="68" t="inlineStr">
        <is>
          <t>AtkRatio</t>
        </is>
      </c>
      <c r="G1815" s="68">
        <f>INT(G1814*1.01)</f>
        <v/>
      </c>
      <c r="H1815" s="68" t="inlineStr">
        <is>
          <t>DefRatio</t>
        </is>
      </c>
      <c r="I1815" s="68">
        <f>G1815</f>
        <v/>
      </c>
    </row>
    <row r="1816">
      <c r="A1816" s="68">
        <f>B1816&amp;TEXT(C1816,"0000")</f>
        <v/>
      </c>
      <c r="B1816" s="68" t="n">
        <v>200</v>
      </c>
      <c r="C1816" s="68" t="n">
        <v>913</v>
      </c>
      <c r="D1816" s="68" t="inlineStr">
        <is>
          <t>HpRatio</t>
        </is>
      </c>
      <c r="E1816" s="68">
        <f>INT(E1815*1.01)</f>
        <v/>
      </c>
      <c r="F1816" s="68" t="inlineStr">
        <is>
          <t>AtkRatio</t>
        </is>
      </c>
      <c r="G1816" s="68">
        <f>INT(G1815*1.01)</f>
        <v/>
      </c>
      <c r="H1816" s="68" t="inlineStr">
        <is>
          <t>DefRatio</t>
        </is>
      </c>
      <c r="I1816" s="68">
        <f>G1816</f>
        <v/>
      </c>
    </row>
    <row r="1817">
      <c r="A1817" s="68">
        <f>B1817&amp;TEXT(C1817,"0000")</f>
        <v/>
      </c>
      <c r="B1817" s="68" t="n">
        <v>200</v>
      </c>
      <c r="C1817" s="68" t="n">
        <v>914</v>
      </c>
      <c r="D1817" s="68" t="inlineStr">
        <is>
          <t>HpRatio</t>
        </is>
      </c>
      <c r="E1817" s="68">
        <f>INT(E1816*1.01)</f>
        <v/>
      </c>
      <c r="F1817" s="68" t="inlineStr">
        <is>
          <t>AtkRatio</t>
        </is>
      </c>
      <c r="G1817" s="68">
        <f>INT(G1816*1.01)</f>
        <v/>
      </c>
      <c r="H1817" s="68" t="inlineStr">
        <is>
          <t>DefRatio</t>
        </is>
      </c>
      <c r="I1817" s="68">
        <f>G1817</f>
        <v/>
      </c>
    </row>
    <row r="1818">
      <c r="A1818" s="68">
        <f>B1818&amp;TEXT(C1818,"0000")</f>
        <v/>
      </c>
      <c r="B1818" s="68" t="n">
        <v>200</v>
      </c>
      <c r="C1818" s="68" t="n">
        <v>915</v>
      </c>
      <c r="D1818" s="68" t="inlineStr">
        <is>
          <t>HpRatio</t>
        </is>
      </c>
      <c r="E1818" s="68">
        <f>INT(E1817*1.01)</f>
        <v/>
      </c>
      <c r="F1818" s="68" t="inlineStr">
        <is>
          <t>AtkRatio</t>
        </is>
      </c>
      <c r="G1818" s="68">
        <f>INT(G1817*1.01)</f>
        <v/>
      </c>
      <c r="H1818" s="68" t="inlineStr">
        <is>
          <t>DefRatio</t>
        </is>
      </c>
      <c r="I1818" s="68">
        <f>G1818</f>
        <v/>
      </c>
    </row>
    <row r="1819">
      <c r="A1819" s="68">
        <f>B1819&amp;TEXT(C1819,"0000")</f>
        <v/>
      </c>
      <c r="B1819" s="68" t="n">
        <v>200</v>
      </c>
      <c r="C1819" s="68" t="n">
        <v>916</v>
      </c>
      <c r="D1819" s="68" t="inlineStr">
        <is>
          <t>HpRatio</t>
        </is>
      </c>
      <c r="E1819" s="68">
        <f>INT(E1818*1.01)</f>
        <v/>
      </c>
      <c r="F1819" s="68" t="inlineStr">
        <is>
          <t>AtkRatio</t>
        </is>
      </c>
      <c r="G1819" s="68">
        <f>INT(G1818*1.01)</f>
        <v/>
      </c>
      <c r="H1819" s="68" t="inlineStr">
        <is>
          <t>DefRatio</t>
        </is>
      </c>
      <c r="I1819" s="68">
        <f>G1819</f>
        <v/>
      </c>
    </row>
    <row r="1820">
      <c r="A1820" s="68">
        <f>B1820&amp;TEXT(C1820,"0000")</f>
        <v/>
      </c>
      <c r="B1820" s="68" t="n">
        <v>200</v>
      </c>
      <c r="C1820" s="68" t="n">
        <v>917</v>
      </c>
      <c r="D1820" s="68" t="inlineStr">
        <is>
          <t>HpRatio</t>
        </is>
      </c>
      <c r="E1820" s="68">
        <f>INT(E1819*1.01)</f>
        <v/>
      </c>
      <c r="F1820" s="68" t="inlineStr">
        <is>
          <t>AtkRatio</t>
        </is>
      </c>
      <c r="G1820" s="68">
        <f>INT(G1819*1.01)</f>
        <v/>
      </c>
      <c r="H1820" s="68" t="inlineStr">
        <is>
          <t>DefRatio</t>
        </is>
      </c>
      <c r="I1820" s="68">
        <f>G1820</f>
        <v/>
      </c>
    </row>
    <row r="1821">
      <c r="A1821" s="68">
        <f>B1821&amp;TEXT(C1821,"0000")</f>
        <v/>
      </c>
      <c r="B1821" s="68" t="n">
        <v>200</v>
      </c>
      <c r="C1821" s="68" t="n">
        <v>918</v>
      </c>
      <c r="D1821" s="68" t="inlineStr">
        <is>
          <t>HpRatio</t>
        </is>
      </c>
      <c r="E1821" s="68">
        <f>INT(E1820*1.01)</f>
        <v/>
      </c>
      <c r="F1821" s="68" t="inlineStr">
        <is>
          <t>AtkRatio</t>
        </is>
      </c>
      <c r="G1821" s="68">
        <f>INT(G1820*1.01)</f>
        <v/>
      </c>
      <c r="H1821" s="68" t="inlineStr">
        <is>
          <t>DefRatio</t>
        </is>
      </c>
      <c r="I1821" s="68">
        <f>G1821</f>
        <v/>
      </c>
    </row>
    <row r="1822">
      <c r="A1822" s="68">
        <f>B1822&amp;TEXT(C1822,"0000")</f>
        <v/>
      </c>
      <c r="B1822" s="68" t="n">
        <v>200</v>
      </c>
      <c r="C1822" s="68" t="n">
        <v>919</v>
      </c>
      <c r="D1822" s="68" t="inlineStr">
        <is>
          <t>HpRatio</t>
        </is>
      </c>
      <c r="E1822" s="68">
        <f>INT(E1821*1.01)</f>
        <v/>
      </c>
      <c r="F1822" s="68" t="inlineStr">
        <is>
          <t>AtkRatio</t>
        </is>
      </c>
      <c r="G1822" s="68">
        <f>INT(G1821*1.01)</f>
        <v/>
      </c>
      <c r="H1822" s="68" t="inlineStr">
        <is>
          <t>DefRatio</t>
        </is>
      </c>
      <c r="I1822" s="68">
        <f>G1822</f>
        <v/>
      </c>
    </row>
    <row r="1823">
      <c r="A1823" s="68">
        <f>B1823&amp;TEXT(C1823,"0000")</f>
        <v/>
      </c>
      <c r="B1823" s="68" t="n">
        <v>200</v>
      </c>
      <c r="C1823" s="68" t="n">
        <v>920</v>
      </c>
      <c r="D1823" s="68" t="inlineStr">
        <is>
          <t>HpRatio</t>
        </is>
      </c>
      <c r="E1823" s="68">
        <f>INT(E1822*1.01)</f>
        <v/>
      </c>
      <c r="F1823" s="68" t="inlineStr">
        <is>
          <t>AtkRatio</t>
        </is>
      </c>
      <c r="G1823" s="68">
        <f>INT(G1822*1.01)</f>
        <v/>
      </c>
      <c r="H1823" s="68" t="inlineStr">
        <is>
          <t>DefRatio</t>
        </is>
      </c>
      <c r="I1823" s="68">
        <f>G1823</f>
        <v/>
      </c>
    </row>
    <row r="1824">
      <c r="A1824" s="68">
        <f>B1824&amp;TEXT(C1824,"0000")</f>
        <v/>
      </c>
      <c r="B1824" s="68" t="n">
        <v>200</v>
      </c>
      <c r="C1824" s="68" t="n">
        <v>921</v>
      </c>
      <c r="D1824" s="68" t="inlineStr">
        <is>
          <t>HpRatio</t>
        </is>
      </c>
      <c r="E1824" s="68">
        <f>INT(E1823*1.01)</f>
        <v/>
      </c>
      <c r="F1824" s="68" t="inlineStr">
        <is>
          <t>AtkRatio</t>
        </is>
      </c>
      <c r="G1824" s="68">
        <f>INT(G1823*1.01)</f>
        <v/>
      </c>
      <c r="H1824" s="68" t="inlineStr">
        <is>
          <t>DefRatio</t>
        </is>
      </c>
      <c r="I1824" s="68">
        <f>G1824</f>
        <v/>
      </c>
    </row>
    <row r="1825">
      <c r="A1825" s="68">
        <f>B1825&amp;TEXT(C1825,"0000")</f>
        <v/>
      </c>
      <c r="B1825" s="68" t="n">
        <v>200</v>
      </c>
      <c r="C1825" s="68" t="n">
        <v>922</v>
      </c>
      <c r="D1825" s="68" t="inlineStr">
        <is>
          <t>HpRatio</t>
        </is>
      </c>
      <c r="E1825" s="68">
        <f>INT(E1824*1.01)</f>
        <v/>
      </c>
      <c r="F1825" s="68" t="inlineStr">
        <is>
          <t>AtkRatio</t>
        </is>
      </c>
      <c r="G1825" s="68">
        <f>INT(G1824*1.01)</f>
        <v/>
      </c>
      <c r="H1825" s="68" t="inlineStr">
        <is>
          <t>DefRatio</t>
        </is>
      </c>
      <c r="I1825" s="68">
        <f>G1825</f>
        <v/>
      </c>
    </row>
    <row r="1826">
      <c r="A1826" s="68">
        <f>B1826&amp;TEXT(C1826,"0000")</f>
        <v/>
      </c>
      <c r="B1826" s="68" t="n">
        <v>200</v>
      </c>
      <c r="C1826" s="68" t="n">
        <v>923</v>
      </c>
      <c r="D1826" s="68" t="inlineStr">
        <is>
          <t>HpRatio</t>
        </is>
      </c>
      <c r="E1826" s="68">
        <f>INT(E1825*1.01)</f>
        <v/>
      </c>
      <c r="F1826" s="68" t="inlineStr">
        <is>
          <t>AtkRatio</t>
        </is>
      </c>
      <c r="G1826" s="68">
        <f>INT(G1825*1.01)</f>
        <v/>
      </c>
      <c r="H1826" s="68" t="inlineStr">
        <is>
          <t>DefRatio</t>
        </is>
      </c>
      <c r="I1826" s="68">
        <f>G1826</f>
        <v/>
      </c>
    </row>
    <row r="1827">
      <c r="A1827" s="68">
        <f>B1827&amp;TEXT(C1827,"0000")</f>
        <v/>
      </c>
      <c r="B1827" s="68" t="n">
        <v>200</v>
      </c>
      <c r="C1827" s="68" t="n">
        <v>924</v>
      </c>
      <c r="D1827" s="68" t="inlineStr">
        <is>
          <t>HpRatio</t>
        </is>
      </c>
      <c r="E1827" s="68">
        <f>INT(E1826*1.01)</f>
        <v/>
      </c>
      <c r="F1827" s="68" t="inlineStr">
        <is>
          <t>AtkRatio</t>
        </is>
      </c>
      <c r="G1827" s="68">
        <f>INT(G1826*1.01)</f>
        <v/>
      </c>
      <c r="H1827" s="68" t="inlineStr">
        <is>
          <t>DefRatio</t>
        </is>
      </c>
      <c r="I1827" s="68">
        <f>G1827</f>
        <v/>
      </c>
    </row>
    <row r="1828">
      <c r="A1828" s="68">
        <f>B1828&amp;TEXT(C1828,"0000")</f>
        <v/>
      </c>
      <c r="B1828" s="68" t="n">
        <v>200</v>
      </c>
      <c r="C1828" s="68" t="n">
        <v>925</v>
      </c>
      <c r="D1828" s="68" t="inlineStr">
        <is>
          <t>HpRatio</t>
        </is>
      </c>
      <c r="E1828" s="68">
        <f>INT(E1827*1.01)</f>
        <v/>
      </c>
      <c r="F1828" s="68" t="inlineStr">
        <is>
          <t>AtkRatio</t>
        </is>
      </c>
      <c r="G1828" s="68">
        <f>INT(G1827*1.01)</f>
        <v/>
      </c>
      <c r="H1828" s="68" t="inlineStr">
        <is>
          <t>DefRatio</t>
        </is>
      </c>
      <c r="I1828" s="68">
        <f>G1828</f>
        <v/>
      </c>
    </row>
    <row r="1829">
      <c r="A1829" s="68">
        <f>B1829&amp;TEXT(C1829,"0000")</f>
        <v/>
      </c>
      <c r="B1829" s="68" t="n">
        <v>200</v>
      </c>
      <c r="C1829" s="68" t="n">
        <v>926</v>
      </c>
      <c r="D1829" s="68" t="inlineStr">
        <is>
          <t>HpRatio</t>
        </is>
      </c>
      <c r="E1829" s="68">
        <f>INT(E1828*1.01)</f>
        <v/>
      </c>
      <c r="F1829" s="68" t="inlineStr">
        <is>
          <t>AtkRatio</t>
        </is>
      </c>
      <c r="G1829" s="68">
        <f>INT(G1828*1.01)</f>
        <v/>
      </c>
      <c r="H1829" s="68" t="inlineStr">
        <is>
          <t>DefRatio</t>
        </is>
      </c>
      <c r="I1829" s="68">
        <f>G1829</f>
        <v/>
      </c>
    </row>
    <row r="1830">
      <c r="A1830" s="68">
        <f>B1830&amp;TEXT(C1830,"0000")</f>
        <v/>
      </c>
      <c r="B1830" s="68" t="n">
        <v>200</v>
      </c>
      <c r="C1830" s="68" t="n">
        <v>927</v>
      </c>
      <c r="D1830" s="68" t="inlineStr">
        <is>
          <t>HpRatio</t>
        </is>
      </c>
      <c r="E1830" s="68">
        <f>INT(E1829*1.01)</f>
        <v/>
      </c>
      <c r="F1830" s="68" t="inlineStr">
        <is>
          <t>AtkRatio</t>
        </is>
      </c>
      <c r="G1830" s="68">
        <f>INT(G1829*1.01)</f>
        <v/>
      </c>
      <c r="H1830" s="68" t="inlineStr">
        <is>
          <t>DefRatio</t>
        </is>
      </c>
      <c r="I1830" s="68">
        <f>G1830</f>
        <v/>
      </c>
    </row>
    <row r="1831">
      <c r="A1831" s="68">
        <f>B1831&amp;TEXT(C1831,"0000")</f>
        <v/>
      </c>
      <c r="B1831" s="68" t="n">
        <v>200</v>
      </c>
      <c r="C1831" s="68" t="n">
        <v>928</v>
      </c>
      <c r="D1831" s="68" t="inlineStr">
        <is>
          <t>HpRatio</t>
        </is>
      </c>
      <c r="E1831" s="68">
        <f>INT(E1830*1.01)</f>
        <v/>
      </c>
      <c r="F1831" s="68" t="inlineStr">
        <is>
          <t>AtkRatio</t>
        </is>
      </c>
      <c r="G1831" s="68">
        <f>INT(G1830*1.01)</f>
        <v/>
      </c>
      <c r="H1831" s="68" t="inlineStr">
        <is>
          <t>DefRatio</t>
        </is>
      </c>
      <c r="I1831" s="68">
        <f>G1831</f>
        <v/>
      </c>
    </row>
    <row r="1832">
      <c r="A1832" s="68">
        <f>B1832&amp;TEXT(C1832,"0000")</f>
        <v/>
      </c>
      <c r="B1832" s="68" t="n">
        <v>200</v>
      </c>
      <c r="C1832" s="68" t="n">
        <v>929</v>
      </c>
      <c r="D1832" s="68" t="inlineStr">
        <is>
          <t>HpRatio</t>
        </is>
      </c>
      <c r="E1832" s="68">
        <f>INT(E1831*1.01)</f>
        <v/>
      </c>
      <c r="F1832" s="68" t="inlineStr">
        <is>
          <t>AtkRatio</t>
        </is>
      </c>
      <c r="G1832" s="68">
        <f>INT(G1831*1.01)</f>
        <v/>
      </c>
      <c r="H1832" s="68" t="inlineStr">
        <is>
          <t>DefRatio</t>
        </is>
      </c>
      <c r="I1832" s="68">
        <f>G1832</f>
        <v/>
      </c>
    </row>
    <row r="1833">
      <c r="A1833" s="68">
        <f>B1833&amp;TEXT(C1833,"0000")</f>
        <v/>
      </c>
      <c r="B1833" s="68" t="n">
        <v>200</v>
      </c>
      <c r="C1833" s="68" t="n">
        <v>930</v>
      </c>
      <c r="D1833" s="68" t="inlineStr">
        <is>
          <t>HpRatio</t>
        </is>
      </c>
      <c r="E1833" s="68">
        <f>INT(E1832*1.01)</f>
        <v/>
      </c>
      <c r="F1833" s="68" t="inlineStr">
        <is>
          <t>AtkRatio</t>
        </is>
      </c>
      <c r="G1833" s="68">
        <f>INT(G1832*1.01)</f>
        <v/>
      </c>
      <c r="H1833" s="68" t="inlineStr">
        <is>
          <t>DefRatio</t>
        </is>
      </c>
      <c r="I1833" s="68">
        <f>G1833</f>
        <v/>
      </c>
    </row>
    <row r="1834">
      <c r="A1834" s="68">
        <f>B1834&amp;TEXT(C1834,"0000")</f>
        <v/>
      </c>
      <c r="B1834" s="68" t="n">
        <v>200</v>
      </c>
      <c r="C1834" s="68" t="n">
        <v>931</v>
      </c>
      <c r="D1834" s="68" t="inlineStr">
        <is>
          <t>HpRatio</t>
        </is>
      </c>
      <c r="E1834" s="68">
        <f>INT(E1833*1.01)</f>
        <v/>
      </c>
      <c r="F1834" s="68" t="inlineStr">
        <is>
          <t>AtkRatio</t>
        </is>
      </c>
      <c r="G1834" s="68">
        <f>INT(G1833*1.01)</f>
        <v/>
      </c>
      <c r="H1834" s="68" t="inlineStr">
        <is>
          <t>DefRatio</t>
        </is>
      </c>
      <c r="I1834" s="68">
        <f>G1834</f>
        <v/>
      </c>
    </row>
    <row r="1835">
      <c r="A1835" s="68">
        <f>B1835&amp;TEXT(C1835,"0000")</f>
        <v/>
      </c>
      <c r="B1835" s="68" t="n">
        <v>200</v>
      </c>
      <c r="C1835" s="68" t="n">
        <v>932</v>
      </c>
      <c r="D1835" s="68" t="inlineStr">
        <is>
          <t>HpRatio</t>
        </is>
      </c>
      <c r="E1835" s="68">
        <f>INT(E1834*1.01)</f>
        <v/>
      </c>
      <c r="F1835" s="68" t="inlineStr">
        <is>
          <t>AtkRatio</t>
        </is>
      </c>
      <c r="G1835" s="68">
        <f>INT(G1834*1.01)</f>
        <v/>
      </c>
      <c r="H1835" s="68" t="inlineStr">
        <is>
          <t>DefRatio</t>
        </is>
      </c>
      <c r="I1835" s="68">
        <f>G1835</f>
        <v/>
      </c>
    </row>
    <row r="1836">
      <c r="A1836" s="68">
        <f>B1836&amp;TEXT(C1836,"0000")</f>
        <v/>
      </c>
      <c r="B1836" s="68" t="n">
        <v>200</v>
      </c>
      <c r="C1836" s="68" t="n">
        <v>933</v>
      </c>
      <c r="D1836" s="68" t="inlineStr">
        <is>
          <t>HpRatio</t>
        </is>
      </c>
      <c r="E1836" s="68">
        <f>INT(E1835*1.01)</f>
        <v/>
      </c>
      <c r="F1836" s="68" t="inlineStr">
        <is>
          <t>AtkRatio</t>
        </is>
      </c>
      <c r="G1836" s="68">
        <f>INT(G1835*1.01)</f>
        <v/>
      </c>
      <c r="H1836" s="68" t="inlineStr">
        <is>
          <t>DefRatio</t>
        </is>
      </c>
      <c r="I1836" s="68">
        <f>G1836</f>
        <v/>
      </c>
    </row>
    <row r="1837">
      <c r="A1837" s="68">
        <f>B1837&amp;TEXT(C1837,"0000")</f>
        <v/>
      </c>
      <c r="B1837" s="68" t="n">
        <v>200</v>
      </c>
      <c r="C1837" s="68" t="n">
        <v>934</v>
      </c>
      <c r="D1837" s="68" t="inlineStr">
        <is>
          <t>HpRatio</t>
        </is>
      </c>
      <c r="E1837" s="68">
        <f>INT(E1836*1.01)</f>
        <v/>
      </c>
      <c r="F1837" s="68" t="inlineStr">
        <is>
          <t>AtkRatio</t>
        </is>
      </c>
      <c r="G1837" s="68">
        <f>INT(G1836*1.01)</f>
        <v/>
      </c>
      <c r="H1837" s="68" t="inlineStr">
        <is>
          <t>DefRatio</t>
        </is>
      </c>
      <c r="I1837" s="68">
        <f>G1837</f>
        <v/>
      </c>
    </row>
    <row r="1838">
      <c r="A1838" s="68">
        <f>B1838&amp;TEXT(C1838,"0000")</f>
        <v/>
      </c>
      <c r="B1838" s="68" t="n">
        <v>200</v>
      </c>
      <c r="C1838" s="68" t="n">
        <v>935</v>
      </c>
      <c r="D1838" s="68" t="inlineStr">
        <is>
          <t>HpRatio</t>
        </is>
      </c>
      <c r="E1838" s="68">
        <f>INT(E1837*1.01)</f>
        <v/>
      </c>
      <c r="F1838" s="68" t="inlineStr">
        <is>
          <t>AtkRatio</t>
        </is>
      </c>
      <c r="G1838" s="68">
        <f>INT(G1837*1.01)</f>
        <v/>
      </c>
      <c r="H1838" s="68" t="inlineStr">
        <is>
          <t>DefRatio</t>
        </is>
      </c>
      <c r="I1838" s="68">
        <f>G1838</f>
        <v/>
      </c>
    </row>
    <row r="1839">
      <c r="A1839" s="68">
        <f>B1839&amp;TEXT(C1839,"0000")</f>
        <v/>
      </c>
      <c r="B1839" s="68" t="n">
        <v>200</v>
      </c>
      <c r="C1839" s="68" t="n">
        <v>936</v>
      </c>
      <c r="D1839" s="68" t="inlineStr">
        <is>
          <t>HpRatio</t>
        </is>
      </c>
      <c r="E1839" s="68">
        <f>INT(E1838*1.01)</f>
        <v/>
      </c>
      <c r="F1839" s="68" t="inlineStr">
        <is>
          <t>AtkRatio</t>
        </is>
      </c>
      <c r="G1839" s="68">
        <f>INT(G1838*1.01)</f>
        <v/>
      </c>
      <c r="H1839" s="68" t="inlineStr">
        <is>
          <t>DefRatio</t>
        </is>
      </c>
      <c r="I1839" s="68">
        <f>G1839</f>
        <v/>
      </c>
    </row>
    <row r="1840">
      <c r="A1840" s="68">
        <f>B1840&amp;TEXT(C1840,"0000")</f>
        <v/>
      </c>
      <c r="B1840" s="68" t="n">
        <v>200</v>
      </c>
      <c r="C1840" s="68" t="n">
        <v>937</v>
      </c>
      <c r="D1840" s="68" t="inlineStr">
        <is>
          <t>HpRatio</t>
        </is>
      </c>
      <c r="E1840" s="68">
        <f>INT(E1839*1.01)</f>
        <v/>
      </c>
      <c r="F1840" s="68" t="inlineStr">
        <is>
          <t>AtkRatio</t>
        </is>
      </c>
      <c r="G1840" s="68">
        <f>INT(G1839*1.01)</f>
        <v/>
      </c>
      <c r="H1840" s="68" t="inlineStr">
        <is>
          <t>DefRatio</t>
        </is>
      </c>
      <c r="I1840" s="68">
        <f>G1840</f>
        <v/>
      </c>
    </row>
    <row r="1841">
      <c r="A1841" s="68">
        <f>B1841&amp;TEXT(C1841,"0000")</f>
        <v/>
      </c>
      <c r="B1841" s="68" t="n">
        <v>200</v>
      </c>
      <c r="C1841" s="68" t="n">
        <v>938</v>
      </c>
      <c r="D1841" s="68" t="inlineStr">
        <is>
          <t>HpRatio</t>
        </is>
      </c>
      <c r="E1841" s="68">
        <f>INT(E1840*1.01)</f>
        <v/>
      </c>
      <c r="F1841" s="68" t="inlineStr">
        <is>
          <t>AtkRatio</t>
        </is>
      </c>
      <c r="G1841" s="68">
        <f>INT(G1840*1.01)</f>
        <v/>
      </c>
      <c r="H1841" s="68" t="inlineStr">
        <is>
          <t>DefRatio</t>
        </is>
      </c>
      <c r="I1841" s="68">
        <f>G1841</f>
        <v/>
      </c>
    </row>
    <row r="1842">
      <c r="A1842" s="68">
        <f>B1842&amp;TEXT(C1842,"0000")</f>
        <v/>
      </c>
      <c r="B1842" s="68" t="n">
        <v>200</v>
      </c>
      <c r="C1842" s="68" t="n">
        <v>939</v>
      </c>
      <c r="D1842" s="68" t="inlineStr">
        <is>
          <t>HpRatio</t>
        </is>
      </c>
      <c r="E1842" s="68">
        <f>INT(E1841*1.01)</f>
        <v/>
      </c>
      <c r="F1842" s="68" t="inlineStr">
        <is>
          <t>AtkRatio</t>
        </is>
      </c>
      <c r="G1842" s="68">
        <f>INT(G1841*1.01)</f>
        <v/>
      </c>
      <c r="H1842" s="68" t="inlineStr">
        <is>
          <t>DefRatio</t>
        </is>
      </c>
      <c r="I1842" s="68">
        <f>G1842</f>
        <v/>
      </c>
    </row>
    <row r="1843">
      <c r="A1843" s="68">
        <f>B1843&amp;TEXT(C1843,"0000")</f>
        <v/>
      </c>
      <c r="B1843" s="68" t="n">
        <v>200</v>
      </c>
      <c r="C1843" s="68" t="n">
        <v>940</v>
      </c>
      <c r="D1843" s="68" t="inlineStr">
        <is>
          <t>HpRatio</t>
        </is>
      </c>
      <c r="E1843" s="68">
        <f>INT(E1842*1.01)</f>
        <v/>
      </c>
      <c r="F1843" s="68" t="inlineStr">
        <is>
          <t>AtkRatio</t>
        </is>
      </c>
      <c r="G1843" s="68">
        <f>INT(G1842*1.01)</f>
        <v/>
      </c>
      <c r="H1843" s="68" t="inlineStr">
        <is>
          <t>DefRatio</t>
        </is>
      </c>
      <c r="I1843" s="68">
        <f>G1843</f>
        <v/>
      </c>
    </row>
    <row r="1844">
      <c r="A1844" s="68">
        <f>B1844&amp;TEXT(C1844,"0000")</f>
        <v/>
      </c>
      <c r="B1844" s="68" t="n">
        <v>200</v>
      </c>
      <c r="C1844" s="68" t="n">
        <v>941</v>
      </c>
      <c r="D1844" s="68" t="inlineStr">
        <is>
          <t>HpRatio</t>
        </is>
      </c>
      <c r="E1844" s="68">
        <f>INT(E1843*1.01)</f>
        <v/>
      </c>
      <c r="F1844" s="68" t="inlineStr">
        <is>
          <t>AtkRatio</t>
        </is>
      </c>
      <c r="G1844" s="68">
        <f>INT(G1843*1.01)</f>
        <v/>
      </c>
      <c r="H1844" s="68" t="inlineStr">
        <is>
          <t>DefRatio</t>
        </is>
      </c>
      <c r="I1844" s="68">
        <f>G1844</f>
        <v/>
      </c>
    </row>
    <row r="1845">
      <c r="A1845" s="68">
        <f>B1845&amp;TEXT(C1845,"0000")</f>
        <v/>
      </c>
      <c r="B1845" s="68" t="n">
        <v>200</v>
      </c>
      <c r="C1845" s="68" t="n">
        <v>942</v>
      </c>
      <c r="D1845" s="68" t="inlineStr">
        <is>
          <t>HpRatio</t>
        </is>
      </c>
      <c r="E1845" s="68">
        <f>INT(E1844*1.01)</f>
        <v/>
      </c>
      <c r="F1845" s="68" t="inlineStr">
        <is>
          <t>AtkRatio</t>
        </is>
      </c>
      <c r="G1845" s="68">
        <f>INT(G1844*1.01)</f>
        <v/>
      </c>
      <c r="H1845" s="68" t="inlineStr">
        <is>
          <t>DefRatio</t>
        </is>
      </c>
      <c r="I1845" s="68">
        <f>G1845</f>
        <v/>
      </c>
    </row>
    <row r="1846">
      <c r="A1846" s="68">
        <f>B1846&amp;TEXT(C1846,"0000")</f>
        <v/>
      </c>
      <c r="B1846" s="68" t="n">
        <v>200</v>
      </c>
      <c r="C1846" s="68" t="n">
        <v>943</v>
      </c>
      <c r="D1846" s="68" t="inlineStr">
        <is>
          <t>HpRatio</t>
        </is>
      </c>
      <c r="E1846" s="68">
        <f>INT(E1845*1.01)</f>
        <v/>
      </c>
      <c r="F1846" s="68" t="inlineStr">
        <is>
          <t>AtkRatio</t>
        </is>
      </c>
      <c r="G1846" s="68">
        <f>INT(G1845*1.01)</f>
        <v/>
      </c>
      <c r="H1846" s="68" t="inlineStr">
        <is>
          <t>DefRatio</t>
        </is>
      </c>
      <c r="I1846" s="68">
        <f>G1846</f>
        <v/>
      </c>
    </row>
    <row r="1847">
      <c r="A1847" s="68">
        <f>B1847&amp;TEXT(C1847,"0000")</f>
        <v/>
      </c>
      <c r="B1847" s="68" t="n">
        <v>200</v>
      </c>
      <c r="C1847" s="68" t="n">
        <v>944</v>
      </c>
      <c r="D1847" s="68" t="inlineStr">
        <is>
          <t>HpRatio</t>
        </is>
      </c>
      <c r="E1847" s="68">
        <f>INT(E1846*1.01)</f>
        <v/>
      </c>
      <c r="F1847" s="68" t="inlineStr">
        <is>
          <t>AtkRatio</t>
        </is>
      </c>
      <c r="G1847" s="68">
        <f>INT(G1846*1.01)</f>
        <v/>
      </c>
      <c r="H1847" s="68" t="inlineStr">
        <is>
          <t>DefRatio</t>
        </is>
      </c>
      <c r="I1847" s="68">
        <f>G1847</f>
        <v/>
      </c>
    </row>
    <row r="1848">
      <c r="A1848" s="68">
        <f>B1848&amp;TEXT(C1848,"0000")</f>
        <v/>
      </c>
      <c r="B1848" s="68" t="n">
        <v>200</v>
      </c>
      <c r="C1848" s="68" t="n">
        <v>945</v>
      </c>
      <c r="D1848" s="68" t="inlineStr">
        <is>
          <t>HpRatio</t>
        </is>
      </c>
      <c r="E1848" s="68">
        <f>INT(E1847*1.01)</f>
        <v/>
      </c>
      <c r="F1848" s="68" t="inlineStr">
        <is>
          <t>AtkRatio</t>
        </is>
      </c>
      <c r="G1848" s="68">
        <f>INT(G1847*1.01)</f>
        <v/>
      </c>
      <c r="H1848" s="68" t="inlineStr">
        <is>
          <t>DefRatio</t>
        </is>
      </c>
      <c r="I1848" s="68">
        <f>G1848</f>
        <v/>
      </c>
    </row>
    <row r="1849">
      <c r="A1849" s="68">
        <f>B1849&amp;TEXT(C1849,"0000")</f>
        <v/>
      </c>
      <c r="B1849" s="68" t="n">
        <v>200</v>
      </c>
      <c r="C1849" s="68" t="n">
        <v>946</v>
      </c>
      <c r="D1849" s="68" t="inlineStr">
        <is>
          <t>HpRatio</t>
        </is>
      </c>
      <c r="E1849" s="68">
        <f>INT(E1848*1.01)</f>
        <v/>
      </c>
      <c r="F1849" s="68" t="inlineStr">
        <is>
          <t>AtkRatio</t>
        </is>
      </c>
      <c r="G1849" s="68">
        <f>INT(G1848*1.01)</f>
        <v/>
      </c>
      <c r="H1849" s="68" t="inlineStr">
        <is>
          <t>DefRatio</t>
        </is>
      </c>
      <c r="I1849" s="68">
        <f>G1849</f>
        <v/>
      </c>
    </row>
    <row r="1850">
      <c r="A1850" s="68">
        <f>B1850&amp;TEXT(C1850,"0000")</f>
        <v/>
      </c>
      <c r="B1850" s="68" t="n">
        <v>200</v>
      </c>
      <c r="C1850" s="68" t="n">
        <v>947</v>
      </c>
      <c r="D1850" s="68" t="inlineStr">
        <is>
          <t>HpRatio</t>
        </is>
      </c>
      <c r="E1850" s="68">
        <f>INT(E1849*1.01)</f>
        <v/>
      </c>
      <c r="F1850" s="68" t="inlineStr">
        <is>
          <t>AtkRatio</t>
        </is>
      </c>
      <c r="G1850" s="68">
        <f>INT(G1849*1.01)</f>
        <v/>
      </c>
      <c r="H1850" s="68" t="inlineStr">
        <is>
          <t>DefRatio</t>
        </is>
      </c>
      <c r="I1850" s="68">
        <f>G1850</f>
        <v/>
      </c>
    </row>
    <row r="1851">
      <c r="A1851" s="68">
        <f>B1851&amp;TEXT(C1851,"0000")</f>
        <v/>
      </c>
      <c r="B1851" s="68" t="n">
        <v>200</v>
      </c>
      <c r="C1851" s="68" t="n">
        <v>948</v>
      </c>
      <c r="D1851" s="68" t="inlineStr">
        <is>
          <t>HpRatio</t>
        </is>
      </c>
      <c r="E1851" s="68">
        <f>INT(E1850*1.01)</f>
        <v/>
      </c>
      <c r="F1851" s="68" t="inlineStr">
        <is>
          <t>AtkRatio</t>
        </is>
      </c>
      <c r="G1851" s="68">
        <f>INT(G1850*1.01)</f>
        <v/>
      </c>
      <c r="H1851" s="68" t="inlineStr">
        <is>
          <t>DefRatio</t>
        </is>
      </c>
      <c r="I1851" s="68">
        <f>G1851</f>
        <v/>
      </c>
    </row>
    <row r="1852">
      <c r="A1852" s="68">
        <f>B1852&amp;TEXT(C1852,"0000")</f>
        <v/>
      </c>
      <c r="B1852" s="68" t="n">
        <v>200</v>
      </c>
      <c r="C1852" s="68" t="n">
        <v>949</v>
      </c>
      <c r="D1852" s="68" t="inlineStr">
        <is>
          <t>HpRatio</t>
        </is>
      </c>
      <c r="E1852" s="68">
        <f>INT(E1851*1.01)</f>
        <v/>
      </c>
      <c r="F1852" s="68" t="inlineStr">
        <is>
          <t>AtkRatio</t>
        </is>
      </c>
      <c r="G1852" s="68">
        <f>INT(G1851*1.01)</f>
        <v/>
      </c>
      <c r="H1852" s="68" t="inlineStr">
        <is>
          <t>DefRatio</t>
        </is>
      </c>
      <c r="I1852" s="68">
        <f>G1852</f>
        <v/>
      </c>
    </row>
    <row r="1853">
      <c r="A1853" s="68">
        <f>B1853&amp;TEXT(C1853,"0000")</f>
        <v/>
      </c>
      <c r="B1853" s="68" t="n">
        <v>200</v>
      </c>
      <c r="C1853" s="68" t="n">
        <v>950</v>
      </c>
      <c r="D1853" s="68" t="inlineStr">
        <is>
          <t>HpRatio</t>
        </is>
      </c>
      <c r="E1853" s="68">
        <f>INT(E1852*1.01)</f>
        <v/>
      </c>
      <c r="F1853" s="68" t="inlineStr">
        <is>
          <t>AtkRatio</t>
        </is>
      </c>
      <c r="G1853" s="68">
        <f>INT(G1852*1.01)</f>
        <v/>
      </c>
      <c r="H1853" s="68" t="inlineStr">
        <is>
          <t>DefRatio</t>
        </is>
      </c>
      <c r="I1853" s="68">
        <f>G1853</f>
        <v/>
      </c>
    </row>
    <row r="1854">
      <c r="A1854" s="68">
        <f>B1854&amp;TEXT(C1854,"0000")</f>
        <v/>
      </c>
      <c r="B1854" s="68" t="n">
        <v>200</v>
      </c>
      <c r="C1854" s="68" t="n">
        <v>951</v>
      </c>
      <c r="D1854" s="68" t="inlineStr">
        <is>
          <t>HpRatio</t>
        </is>
      </c>
      <c r="E1854" s="68">
        <f>INT(E1853*1.01)</f>
        <v/>
      </c>
      <c r="F1854" s="68" t="inlineStr">
        <is>
          <t>AtkRatio</t>
        </is>
      </c>
      <c r="G1854" s="68">
        <f>INT(G1853*1.01)</f>
        <v/>
      </c>
      <c r="H1854" s="68" t="inlineStr">
        <is>
          <t>DefRatio</t>
        </is>
      </c>
      <c r="I1854" s="68">
        <f>G1854</f>
        <v/>
      </c>
    </row>
    <row r="1855">
      <c r="A1855" s="68">
        <f>B1855&amp;TEXT(C1855,"0000")</f>
        <v/>
      </c>
      <c r="B1855" s="68" t="n">
        <v>200</v>
      </c>
      <c r="C1855" s="68" t="n">
        <v>952</v>
      </c>
      <c r="D1855" s="68" t="inlineStr">
        <is>
          <t>HpRatio</t>
        </is>
      </c>
      <c r="E1855" s="68">
        <f>INT(E1854*1.01)</f>
        <v/>
      </c>
      <c r="F1855" s="68" t="inlineStr">
        <is>
          <t>AtkRatio</t>
        </is>
      </c>
      <c r="G1855" s="68">
        <f>INT(G1854*1.01)</f>
        <v/>
      </c>
      <c r="H1855" s="68" t="inlineStr">
        <is>
          <t>DefRatio</t>
        </is>
      </c>
      <c r="I1855" s="68">
        <f>G1855</f>
        <v/>
      </c>
    </row>
    <row r="1856">
      <c r="A1856" s="68">
        <f>B1856&amp;TEXT(C1856,"0000")</f>
        <v/>
      </c>
      <c r="B1856" s="68" t="n">
        <v>200</v>
      </c>
      <c r="C1856" s="68" t="n">
        <v>953</v>
      </c>
      <c r="D1856" s="68" t="inlineStr">
        <is>
          <t>HpRatio</t>
        </is>
      </c>
      <c r="E1856" s="68">
        <f>INT(E1855*1.01)</f>
        <v/>
      </c>
      <c r="F1856" s="68" t="inlineStr">
        <is>
          <t>AtkRatio</t>
        </is>
      </c>
      <c r="G1856" s="68">
        <f>INT(G1855*1.01)</f>
        <v/>
      </c>
      <c r="H1856" s="68" t="inlineStr">
        <is>
          <t>DefRatio</t>
        </is>
      </c>
      <c r="I1856" s="68">
        <f>G1856</f>
        <v/>
      </c>
    </row>
    <row r="1857">
      <c r="A1857" s="68">
        <f>B1857&amp;TEXT(C1857,"0000")</f>
        <v/>
      </c>
      <c r="B1857" s="68" t="n">
        <v>200</v>
      </c>
      <c r="C1857" s="68" t="n">
        <v>954</v>
      </c>
      <c r="D1857" s="68" t="inlineStr">
        <is>
          <t>HpRatio</t>
        </is>
      </c>
      <c r="E1857" s="68">
        <f>INT(E1856*1.01)</f>
        <v/>
      </c>
      <c r="F1857" s="68" t="inlineStr">
        <is>
          <t>AtkRatio</t>
        </is>
      </c>
      <c r="G1857" s="68">
        <f>INT(G1856*1.01)</f>
        <v/>
      </c>
      <c r="H1857" s="68" t="inlineStr">
        <is>
          <t>DefRatio</t>
        </is>
      </c>
      <c r="I1857" s="68">
        <f>G1857</f>
        <v/>
      </c>
    </row>
    <row r="1858">
      <c r="A1858" s="68">
        <f>B1858&amp;TEXT(C1858,"0000")</f>
        <v/>
      </c>
      <c r="B1858" s="68" t="n">
        <v>200</v>
      </c>
      <c r="C1858" s="68" t="n">
        <v>955</v>
      </c>
      <c r="D1858" s="68" t="inlineStr">
        <is>
          <t>HpRatio</t>
        </is>
      </c>
      <c r="E1858" s="68">
        <f>INT(E1857*1.01)</f>
        <v/>
      </c>
      <c r="F1858" s="68" t="inlineStr">
        <is>
          <t>AtkRatio</t>
        </is>
      </c>
      <c r="G1858" s="68">
        <f>INT(G1857*1.01)</f>
        <v/>
      </c>
      <c r="H1858" s="68" t="inlineStr">
        <is>
          <t>DefRatio</t>
        </is>
      </c>
      <c r="I1858" s="68">
        <f>G1858</f>
        <v/>
      </c>
    </row>
    <row r="1859">
      <c r="A1859" s="68">
        <f>B1859&amp;TEXT(C1859,"0000")</f>
        <v/>
      </c>
      <c r="B1859" s="68" t="n">
        <v>200</v>
      </c>
      <c r="C1859" s="68" t="n">
        <v>956</v>
      </c>
      <c r="D1859" s="68" t="inlineStr">
        <is>
          <t>HpRatio</t>
        </is>
      </c>
      <c r="E1859" s="68">
        <f>INT(E1858*1.01)</f>
        <v/>
      </c>
      <c r="F1859" s="68" t="inlineStr">
        <is>
          <t>AtkRatio</t>
        </is>
      </c>
      <c r="G1859" s="68">
        <f>INT(G1858*1.01)</f>
        <v/>
      </c>
      <c r="H1859" s="68" t="inlineStr">
        <is>
          <t>DefRatio</t>
        </is>
      </c>
      <c r="I1859" s="68">
        <f>G1859</f>
        <v/>
      </c>
    </row>
    <row r="1860">
      <c r="A1860" s="68">
        <f>B1860&amp;TEXT(C1860,"0000")</f>
        <v/>
      </c>
      <c r="B1860" s="68" t="n">
        <v>200</v>
      </c>
      <c r="C1860" s="68" t="n">
        <v>957</v>
      </c>
      <c r="D1860" s="68" t="inlineStr">
        <is>
          <t>HpRatio</t>
        </is>
      </c>
      <c r="E1860" s="68">
        <f>INT(E1859*1.01)</f>
        <v/>
      </c>
      <c r="F1860" s="68" t="inlineStr">
        <is>
          <t>AtkRatio</t>
        </is>
      </c>
      <c r="G1860" s="68">
        <f>INT(G1859*1.01)</f>
        <v/>
      </c>
      <c r="H1860" s="68" t="inlineStr">
        <is>
          <t>DefRatio</t>
        </is>
      </c>
      <c r="I1860" s="68">
        <f>G1860</f>
        <v/>
      </c>
    </row>
    <row r="1861">
      <c r="A1861" s="68">
        <f>B1861&amp;TEXT(C1861,"0000")</f>
        <v/>
      </c>
      <c r="B1861" s="68" t="n">
        <v>200</v>
      </c>
      <c r="C1861" s="68" t="n">
        <v>958</v>
      </c>
      <c r="D1861" s="68" t="inlineStr">
        <is>
          <t>HpRatio</t>
        </is>
      </c>
      <c r="E1861" s="68">
        <f>INT(E1860*1.01)</f>
        <v/>
      </c>
      <c r="F1861" s="68" t="inlineStr">
        <is>
          <t>AtkRatio</t>
        </is>
      </c>
      <c r="G1861" s="68">
        <f>INT(G1860*1.01)</f>
        <v/>
      </c>
      <c r="H1861" s="68" t="inlineStr">
        <is>
          <t>DefRatio</t>
        </is>
      </c>
      <c r="I1861" s="68">
        <f>G1861</f>
        <v/>
      </c>
    </row>
    <row r="1862">
      <c r="A1862" s="68">
        <f>B1862&amp;TEXT(C1862,"0000")</f>
        <v/>
      </c>
      <c r="B1862" s="68" t="n">
        <v>200</v>
      </c>
      <c r="C1862" s="68" t="n">
        <v>959</v>
      </c>
      <c r="D1862" s="68" t="inlineStr">
        <is>
          <t>HpRatio</t>
        </is>
      </c>
      <c r="E1862" s="68">
        <f>INT(E1861*1.01)</f>
        <v/>
      </c>
      <c r="F1862" s="68" t="inlineStr">
        <is>
          <t>AtkRatio</t>
        </is>
      </c>
      <c r="G1862" s="68">
        <f>INT(G1861*1.01)</f>
        <v/>
      </c>
      <c r="H1862" s="68" t="inlineStr">
        <is>
          <t>DefRatio</t>
        </is>
      </c>
      <c r="I1862" s="68">
        <f>G1862</f>
        <v/>
      </c>
    </row>
    <row r="1863">
      <c r="A1863" s="68">
        <f>B1863&amp;TEXT(C1863,"0000")</f>
        <v/>
      </c>
      <c r="B1863" s="68" t="n">
        <v>200</v>
      </c>
      <c r="C1863" s="68" t="n">
        <v>960</v>
      </c>
      <c r="D1863" s="68" t="inlineStr">
        <is>
          <t>HpRatio</t>
        </is>
      </c>
      <c r="E1863" s="68">
        <f>INT(E1862*1.01)</f>
        <v/>
      </c>
      <c r="F1863" s="68" t="inlineStr">
        <is>
          <t>AtkRatio</t>
        </is>
      </c>
      <c r="G1863" s="68">
        <f>INT(G1862*1.01)</f>
        <v/>
      </c>
      <c r="H1863" s="68" t="inlineStr">
        <is>
          <t>DefRatio</t>
        </is>
      </c>
      <c r="I1863" s="68">
        <f>G1863</f>
        <v/>
      </c>
    </row>
    <row r="1864">
      <c r="A1864" s="68">
        <f>B1864&amp;TEXT(C1864,"0000")</f>
        <v/>
      </c>
      <c r="B1864" s="68" t="n">
        <v>200</v>
      </c>
      <c r="C1864" s="68" t="n">
        <v>961</v>
      </c>
      <c r="D1864" s="68" t="inlineStr">
        <is>
          <t>HpRatio</t>
        </is>
      </c>
      <c r="E1864" s="68">
        <f>INT(E1863*1.01)</f>
        <v/>
      </c>
      <c r="F1864" s="68" t="inlineStr">
        <is>
          <t>AtkRatio</t>
        </is>
      </c>
      <c r="G1864" s="68">
        <f>INT(G1863*1.01)</f>
        <v/>
      </c>
      <c r="H1864" s="68" t="inlineStr">
        <is>
          <t>DefRatio</t>
        </is>
      </c>
      <c r="I1864" s="68">
        <f>G1864</f>
        <v/>
      </c>
    </row>
    <row r="1865">
      <c r="A1865" s="68">
        <f>B1865&amp;TEXT(C1865,"0000")</f>
        <v/>
      </c>
      <c r="B1865" s="68" t="n">
        <v>200</v>
      </c>
      <c r="C1865" s="68" t="n">
        <v>962</v>
      </c>
      <c r="D1865" s="68" t="inlineStr">
        <is>
          <t>HpRatio</t>
        </is>
      </c>
      <c r="E1865" s="68">
        <f>INT(E1864*1.01)</f>
        <v/>
      </c>
      <c r="F1865" s="68" t="inlineStr">
        <is>
          <t>AtkRatio</t>
        </is>
      </c>
      <c r="G1865" s="68">
        <f>INT(G1864*1.01)</f>
        <v/>
      </c>
      <c r="H1865" s="68" t="inlineStr">
        <is>
          <t>DefRatio</t>
        </is>
      </c>
      <c r="I1865" s="68">
        <f>G1865</f>
        <v/>
      </c>
    </row>
    <row r="1866">
      <c r="A1866" s="68">
        <f>B1866&amp;TEXT(C1866,"0000")</f>
        <v/>
      </c>
      <c r="B1866" s="68" t="n">
        <v>200</v>
      </c>
      <c r="C1866" s="68" t="n">
        <v>963</v>
      </c>
      <c r="D1866" s="68" t="inlineStr">
        <is>
          <t>HpRatio</t>
        </is>
      </c>
      <c r="E1866" s="68">
        <f>INT(E1865*1.01)</f>
        <v/>
      </c>
      <c r="F1866" s="68" t="inlineStr">
        <is>
          <t>AtkRatio</t>
        </is>
      </c>
      <c r="G1866" s="68">
        <f>INT(G1865*1.01)</f>
        <v/>
      </c>
      <c r="H1866" s="68" t="inlineStr">
        <is>
          <t>DefRatio</t>
        </is>
      </c>
      <c r="I1866" s="68">
        <f>G1866</f>
        <v/>
      </c>
    </row>
    <row r="1867">
      <c r="A1867" s="68">
        <f>B1867&amp;TEXT(C1867,"0000")</f>
        <v/>
      </c>
      <c r="B1867" s="68" t="n">
        <v>200</v>
      </c>
      <c r="C1867" s="68" t="n">
        <v>964</v>
      </c>
      <c r="D1867" s="68" t="inlineStr">
        <is>
          <t>HpRatio</t>
        </is>
      </c>
      <c r="E1867" s="68">
        <f>INT(E1866*1.01)</f>
        <v/>
      </c>
      <c r="F1867" s="68" t="inlineStr">
        <is>
          <t>AtkRatio</t>
        </is>
      </c>
      <c r="G1867" s="68">
        <f>INT(G1866*1.01)</f>
        <v/>
      </c>
      <c r="H1867" s="68" t="inlineStr">
        <is>
          <t>DefRatio</t>
        </is>
      </c>
      <c r="I1867" s="68">
        <f>G1867</f>
        <v/>
      </c>
    </row>
    <row r="1868">
      <c r="A1868" s="68">
        <f>B1868&amp;TEXT(C1868,"0000")</f>
        <v/>
      </c>
      <c r="B1868" s="68" t="n">
        <v>200</v>
      </c>
      <c r="C1868" s="68" t="n">
        <v>965</v>
      </c>
      <c r="D1868" s="68" t="inlineStr">
        <is>
          <t>HpRatio</t>
        </is>
      </c>
      <c r="E1868" s="68">
        <f>INT(E1867*1.01)</f>
        <v/>
      </c>
      <c r="F1868" s="68" t="inlineStr">
        <is>
          <t>AtkRatio</t>
        </is>
      </c>
      <c r="G1868" s="68">
        <f>INT(G1867*1.01)</f>
        <v/>
      </c>
      <c r="H1868" s="68" t="inlineStr">
        <is>
          <t>DefRatio</t>
        </is>
      </c>
      <c r="I1868" s="68">
        <f>G1868</f>
        <v/>
      </c>
    </row>
    <row r="1869">
      <c r="A1869" s="68">
        <f>B1869&amp;TEXT(C1869,"0000")</f>
        <v/>
      </c>
      <c r="B1869" s="68" t="n">
        <v>200</v>
      </c>
      <c r="C1869" s="68" t="n">
        <v>966</v>
      </c>
      <c r="D1869" s="68" t="inlineStr">
        <is>
          <t>HpRatio</t>
        </is>
      </c>
      <c r="E1869" s="68">
        <f>INT(E1868*1.01)</f>
        <v/>
      </c>
      <c r="F1869" s="68" t="inlineStr">
        <is>
          <t>AtkRatio</t>
        </is>
      </c>
      <c r="G1869" s="68">
        <f>INT(G1868*1.01)</f>
        <v/>
      </c>
      <c r="H1869" s="68" t="inlineStr">
        <is>
          <t>DefRatio</t>
        </is>
      </c>
      <c r="I1869" s="68">
        <f>G1869</f>
        <v/>
      </c>
    </row>
    <row r="1870">
      <c r="A1870" s="68">
        <f>B1870&amp;TEXT(C1870,"0000")</f>
        <v/>
      </c>
      <c r="B1870" s="68" t="n">
        <v>200</v>
      </c>
      <c r="C1870" s="68" t="n">
        <v>967</v>
      </c>
      <c r="D1870" s="68" t="inlineStr">
        <is>
          <t>HpRatio</t>
        </is>
      </c>
      <c r="E1870" s="68">
        <f>INT(E1869*1.01)</f>
        <v/>
      </c>
      <c r="F1870" s="68" t="inlineStr">
        <is>
          <t>AtkRatio</t>
        </is>
      </c>
      <c r="G1870" s="68">
        <f>INT(G1869*1.01)</f>
        <v/>
      </c>
      <c r="H1870" s="68" t="inlineStr">
        <is>
          <t>DefRatio</t>
        </is>
      </c>
      <c r="I1870" s="68">
        <f>G1870</f>
        <v/>
      </c>
    </row>
    <row r="1871">
      <c r="A1871" s="68">
        <f>B1871&amp;TEXT(C1871,"0000")</f>
        <v/>
      </c>
      <c r="B1871" s="68" t="n">
        <v>200</v>
      </c>
      <c r="C1871" s="68" t="n">
        <v>968</v>
      </c>
      <c r="D1871" s="68" t="inlineStr">
        <is>
          <t>HpRatio</t>
        </is>
      </c>
      <c r="E1871" s="68">
        <f>INT(E1870*1.01)</f>
        <v/>
      </c>
      <c r="F1871" s="68" t="inlineStr">
        <is>
          <t>AtkRatio</t>
        </is>
      </c>
      <c r="G1871" s="68">
        <f>INT(G1870*1.01)</f>
        <v/>
      </c>
      <c r="H1871" s="68" t="inlineStr">
        <is>
          <t>DefRatio</t>
        </is>
      </c>
      <c r="I1871" s="68">
        <f>G1871</f>
        <v/>
      </c>
    </row>
    <row r="1872">
      <c r="A1872" s="68">
        <f>B1872&amp;TEXT(C1872,"0000")</f>
        <v/>
      </c>
      <c r="B1872" s="68" t="n">
        <v>200</v>
      </c>
      <c r="C1872" s="68" t="n">
        <v>969</v>
      </c>
      <c r="D1872" s="68" t="inlineStr">
        <is>
          <t>HpRatio</t>
        </is>
      </c>
      <c r="E1872" s="68">
        <f>INT(E1871*1.01)</f>
        <v/>
      </c>
      <c r="F1872" s="68" t="inlineStr">
        <is>
          <t>AtkRatio</t>
        </is>
      </c>
      <c r="G1872" s="68">
        <f>INT(G1871*1.01)</f>
        <v/>
      </c>
      <c r="H1872" s="68" t="inlineStr">
        <is>
          <t>DefRatio</t>
        </is>
      </c>
      <c r="I1872" s="68">
        <f>G1872</f>
        <v/>
      </c>
    </row>
    <row r="1873">
      <c r="A1873" s="68">
        <f>B1873&amp;TEXT(C1873,"0000")</f>
        <v/>
      </c>
      <c r="B1873" s="68" t="n">
        <v>200</v>
      </c>
      <c r="C1873" s="68" t="n">
        <v>970</v>
      </c>
      <c r="D1873" s="68" t="inlineStr">
        <is>
          <t>HpRatio</t>
        </is>
      </c>
      <c r="E1873" s="68">
        <f>INT(E1872*1.01)</f>
        <v/>
      </c>
      <c r="F1873" s="68" t="inlineStr">
        <is>
          <t>AtkRatio</t>
        </is>
      </c>
      <c r="G1873" s="68">
        <f>INT(G1872*1.01)</f>
        <v/>
      </c>
      <c r="H1873" s="68" t="inlineStr">
        <is>
          <t>DefRatio</t>
        </is>
      </c>
      <c r="I1873" s="68">
        <f>G1873</f>
        <v/>
      </c>
    </row>
    <row r="1874">
      <c r="A1874" s="68">
        <f>B1874&amp;TEXT(C1874,"0000")</f>
        <v/>
      </c>
      <c r="B1874" s="68" t="n">
        <v>200</v>
      </c>
      <c r="C1874" s="68" t="n">
        <v>971</v>
      </c>
      <c r="D1874" s="68" t="inlineStr">
        <is>
          <t>HpRatio</t>
        </is>
      </c>
      <c r="E1874" s="68">
        <f>INT(E1873*1.01)</f>
        <v/>
      </c>
      <c r="F1874" s="68" t="inlineStr">
        <is>
          <t>AtkRatio</t>
        </is>
      </c>
      <c r="G1874" s="68">
        <f>INT(G1873*1.01)</f>
        <v/>
      </c>
      <c r="H1874" s="68" t="inlineStr">
        <is>
          <t>DefRatio</t>
        </is>
      </c>
      <c r="I1874" s="68">
        <f>G1874</f>
        <v/>
      </c>
    </row>
    <row r="1875">
      <c r="A1875" s="68">
        <f>B1875&amp;TEXT(C1875,"0000")</f>
        <v/>
      </c>
      <c r="B1875" s="68" t="n">
        <v>200</v>
      </c>
      <c r="C1875" s="68" t="n">
        <v>972</v>
      </c>
      <c r="D1875" s="68" t="inlineStr">
        <is>
          <t>HpRatio</t>
        </is>
      </c>
      <c r="E1875" s="68">
        <f>INT(E1874*1.01)</f>
        <v/>
      </c>
      <c r="F1875" s="68" t="inlineStr">
        <is>
          <t>AtkRatio</t>
        </is>
      </c>
      <c r="G1875" s="68">
        <f>INT(G1874*1.01)</f>
        <v/>
      </c>
      <c r="H1875" s="68" t="inlineStr">
        <is>
          <t>DefRatio</t>
        </is>
      </c>
      <c r="I1875" s="68">
        <f>G1875</f>
        <v/>
      </c>
    </row>
    <row r="1876">
      <c r="A1876" s="68">
        <f>B1876&amp;TEXT(C1876,"0000")</f>
        <v/>
      </c>
      <c r="B1876" s="68" t="n">
        <v>200</v>
      </c>
      <c r="C1876" s="68" t="n">
        <v>973</v>
      </c>
      <c r="D1876" s="68" t="inlineStr">
        <is>
          <t>HpRatio</t>
        </is>
      </c>
      <c r="E1876" s="68">
        <f>INT(E1875*1.01)</f>
        <v/>
      </c>
      <c r="F1876" s="68" t="inlineStr">
        <is>
          <t>AtkRatio</t>
        </is>
      </c>
      <c r="G1876" s="68">
        <f>INT(G1875*1.01)</f>
        <v/>
      </c>
      <c r="H1876" s="68" t="inlineStr">
        <is>
          <t>DefRatio</t>
        </is>
      </c>
      <c r="I1876" s="68">
        <f>G1876</f>
        <v/>
      </c>
    </row>
    <row r="1877">
      <c r="A1877" s="68">
        <f>B1877&amp;TEXT(C1877,"0000")</f>
        <v/>
      </c>
      <c r="B1877" s="68" t="n">
        <v>200</v>
      </c>
      <c r="C1877" s="68" t="n">
        <v>974</v>
      </c>
      <c r="D1877" s="68" t="inlineStr">
        <is>
          <t>HpRatio</t>
        </is>
      </c>
      <c r="E1877" s="68">
        <f>INT(E1876*1.01)</f>
        <v/>
      </c>
      <c r="F1877" s="68" t="inlineStr">
        <is>
          <t>AtkRatio</t>
        </is>
      </c>
      <c r="G1877" s="68">
        <f>INT(G1876*1.01)</f>
        <v/>
      </c>
      <c r="H1877" s="68" t="inlineStr">
        <is>
          <t>DefRatio</t>
        </is>
      </c>
      <c r="I1877" s="68">
        <f>G1877</f>
        <v/>
      </c>
    </row>
    <row r="1878">
      <c r="A1878" s="68">
        <f>B1878&amp;TEXT(C1878,"0000")</f>
        <v/>
      </c>
      <c r="B1878" s="68" t="n">
        <v>200</v>
      </c>
      <c r="C1878" s="68" t="n">
        <v>975</v>
      </c>
      <c r="D1878" s="68" t="inlineStr">
        <is>
          <t>HpRatio</t>
        </is>
      </c>
      <c r="E1878" s="68">
        <f>INT(E1877*1.01)</f>
        <v/>
      </c>
      <c r="F1878" s="68" t="inlineStr">
        <is>
          <t>AtkRatio</t>
        </is>
      </c>
      <c r="G1878" s="68">
        <f>INT(G1877*1.01)</f>
        <v/>
      </c>
      <c r="H1878" s="68" t="inlineStr">
        <is>
          <t>DefRatio</t>
        </is>
      </c>
      <c r="I1878" s="68">
        <f>G1878</f>
        <v/>
      </c>
    </row>
    <row r="1879">
      <c r="A1879" s="68">
        <f>B1879&amp;TEXT(C1879,"0000")</f>
        <v/>
      </c>
      <c r="B1879" s="68" t="n">
        <v>200</v>
      </c>
      <c r="C1879" s="68" t="n">
        <v>976</v>
      </c>
      <c r="D1879" s="68" t="inlineStr">
        <is>
          <t>HpRatio</t>
        </is>
      </c>
      <c r="E1879" s="68">
        <f>INT(E1878*1.01)</f>
        <v/>
      </c>
      <c r="F1879" s="68" t="inlineStr">
        <is>
          <t>AtkRatio</t>
        </is>
      </c>
      <c r="G1879" s="68">
        <f>INT(G1878*1.01)</f>
        <v/>
      </c>
      <c r="H1879" s="68" t="inlineStr">
        <is>
          <t>DefRatio</t>
        </is>
      </c>
      <c r="I1879" s="68">
        <f>G1879</f>
        <v/>
      </c>
    </row>
    <row r="1880">
      <c r="A1880" s="68">
        <f>B1880&amp;TEXT(C1880,"0000")</f>
        <v/>
      </c>
      <c r="B1880" s="68" t="n">
        <v>200</v>
      </c>
      <c r="C1880" s="68" t="n">
        <v>977</v>
      </c>
      <c r="D1880" s="68" t="inlineStr">
        <is>
          <t>HpRatio</t>
        </is>
      </c>
      <c r="E1880" s="68">
        <f>INT(E1879*1.01)</f>
        <v/>
      </c>
      <c r="F1880" s="68" t="inlineStr">
        <is>
          <t>AtkRatio</t>
        </is>
      </c>
      <c r="G1880" s="68">
        <f>INT(G1879*1.01)</f>
        <v/>
      </c>
      <c r="H1880" s="68" t="inlineStr">
        <is>
          <t>DefRatio</t>
        </is>
      </c>
      <c r="I1880" s="68">
        <f>G1880</f>
        <v/>
      </c>
    </row>
    <row r="1881">
      <c r="A1881" s="68">
        <f>B1881&amp;TEXT(C1881,"0000")</f>
        <v/>
      </c>
      <c r="B1881" s="68" t="n">
        <v>200</v>
      </c>
      <c r="C1881" s="68" t="n">
        <v>978</v>
      </c>
      <c r="D1881" s="68" t="inlineStr">
        <is>
          <t>HpRatio</t>
        </is>
      </c>
      <c r="E1881" s="68">
        <f>INT(E1880*1.01)</f>
        <v/>
      </c>
      <c r="F1881" s="68" t="inlineStr">
        <is>
          <t>AtkRatio</t>
        </is>
      </c>
      <c r="G1881" s="68">
        <f>INT(G1880*1.01)</f>
        <v/>
      </c>
      <c r="H1881" s="68" t="inlineStr">
        <is>
          <t>DefRatio</t>
        </is>
      </c>
      <c r="I1881" s="68">
        <f>G1881</f>
        <v/>
      </c>
    </row>
    <row r="1882">
      <c r="A1882" s="68">
        <f>B1882&amp;TEXT(C1882,"0000")</f>
        <v/>
      </c>
      <c r="B1882" s="68" t="n">
        <v>200</v>
      </c>
      <c r="C1882" s="68" t="n">
        <v>979</v>
      </c>
      <c r="D1882" s="68" t="inlineStr">
        <is>
          <t>HpRatio</t>
        </is>
      </c>
      <c r="E1882" s="68">
        <f>INT(E1881*1.01)</f>
        <v/>
      </c>
      <c r="F1882" s="68" t="inlineStr">
        <is>
          <t>AtkRatio</t>
        </is>
      </c>
      <c r="G1882" s="68">
        <f>INT(G1881*1.01)</f>
        <v/>
      </c>
      <c r="H1882" s="68" t="inlineStr">
        <is>
          <t>DefRatio</t>
        </is>
      </c>
      <c r="I1882" s="68">
        <f>G1882</f>
        <v/>
      </c>
    </row>
    <row r="1883">
      <c r="A1883" s="68">
        <f>B1883&amp;TEXT(C1883,"0000")</f>
        <v/>
      </c>
      <c r="B1883" s="68" t="n">
        <v>200</v>
      </c>
      <c r="C1883" s="68" t="n">
        <v>980</v>
      </c>
      <c r="D1883" s="68" t="inlineStr">
        <is>
          <t>HpRatio</t>
        </is>
      </c>
      <c r="E1883" s="68">
        <f>INT(E1882*1.01)</f>
        <v/>
      </c>
      <c r="F1883" s="68" t="inlineStr">
        <is>
          <t>AtkRatio</t>
        </is>
      </c>
      <c r="G1883" s="68">
        <f>INT(G1882*1.01)</f>
        <v/>
      </c>
      <c r="H1883" s="68" t="inlineStr">
        <is>
          <t>DefRatio</t>
        </is>
      </c>
      <c r="I1883" s="68">
        <f>G1883</f>
        <v/>
      </c>
    </row>
    <row r="1884">
      <c r="A1884" s="68">
        <f>B1884&amp;TEXT(C1884,"0000")</f>
        <v/>
      </c>
      <c r="B1884" s="68" t="n">
        <v>200</v>
      </c>
      <c r="C1884" s="68" t="n">
        <v>981</v>
      </c>
      <c r="D1884" s="68" t="inlineStr">
        <is>
          <t>HpRatio</t>
        </is>
      </c>
      <c r="E1884" s="68">
        <f>INT(E1883*1.01)</f>
        <v/>
      </c>
      <c r="F1884" s="68" t="inlineStr">
        <is>
          <t>AtkRatio</t>
        </is>
      </c>
      <c r="G1884" s="68">
        <f>INT(G1883*1.01)</f>
        <v/>
      </c>
      <c r="H1884" s="68" t="inlineStr">
        <is>
          <t>DefRatio</t>
        </is>
      </c>
      <c r="I1884" s="68">
        <f>G1884</f>
        <v/>
      </c>
    </row>
    <row r="1885">
      <c r="A1885" s="68">
        <f>B1885&amp;TEXT(C1885,"0000")</f>
        <v/>
      </c>
      <c r="B1885" s="68" t="n">
        <v>200</v>
      </c>
      <c r="C1885" s="68" t="n">
        <v>982</v>
      </c>
      <c r="D1885" s="68" t="inlineStr">
        <is>
          <t>HpRatio</t>
        </is>
      </c>
      <c r="E1885" s="68">
        <f>INT(E1884*1.01)</f>
        <v/>
      </c>
      <c r="F1885" s="68" t="inlineStr">
        <is>
          <t>AtkRatio</t>
        </is>
      </c>
      <c r="G1885" s="68">
        <f>INT(G1884*1.01)</f>
        <v/>
      </c>
      <c r="H1885" s="68" t="inlineStr">
        <is>
          <t>DefRatio</t>
        </is>
      </c>
      <c r="I1885" s="68">
        <f>G1885</f>
        <v/>
      </c>
    </row>
    <row r="1886">
      <c r="A1886" s="68">
        <f>B1886&amp;TEXT(C1886,"0000")</f>
        <v/>
      </c>
      <c r="B1886" s="68" t="n">
        <v>200</v>
      </c>
      <c r="C1886" s="68" t="n">
        <v>983</v>
      </c>
      <c r="D1886" s="68" t="inlineStr">
        <is>
          <t>HpRatio</t>
        </is>
      </c>
      <c r="E1886" s="68">
        <f>INT(E1885*1.01)</f>
        <v/>
      </c>
      <c r="F1886" s="68" t="inlineStr">
        <is>
          <t>AtkRatio</t>
        </is>
      </c>
      <c r="G1886" s="68">
        <f>INT(G1885*1.01)</f>
        <v/>
      </c>
      <c r="H1886" s="68" t="inlineStr">
        <is>
          <t>DefRatio</t>
        </is>
      </c>
      <c r="I1886" s="68">
        <f>G1886</f>
        <v/>
      </c>
    </row>
    <row r="1887">
      <c r="A1887" s="68">
        <f>B1887&amp;TEXT(C1887,"0000")</f>
        <v/>
      </c>
      <c r="B1887" s="68" t="n">
        <v>200</v>
      </c>
      <c r="C1887" s="68" t="n">
        <v>984</v>
      </c>
      <c r="D1887" s="68" t="inlineStr">
        <is>
          <t>HpRatio</t>
        </is>
      </c>
      <c r="E1887" s="68">
        <f>INT(E1886*1.01)</f>
        <v/>
      </c>
      <c r="F1887" s="68" t="inlineStr">
        <is>
          <t>AtkRatio</t>
        </is>
      </c>
      <c r="G1887" s="68">
        <f>INT(G1886*1.01)</f>
        <v/>
      </c>
      <c r="H1887" s="68" t="inlineStr">
        <is>
          <t>DefRatio</t>
        </is>
      </c>
      <c r="I1887" s="68">
        <f>G1887</f>
        <v/>
      </c>
    </row>
    <row r="1888">
      <c r="A1888" s="68">
        <f>B1888&amp;TEXT(C1888,"0000")</f>
        <v/>
      </c>
      <c r="B1888" s="68" t="n">
        <v>200</v>
      </c>
      <c r="C1888" s="68" t="n">
        <v>985</v>
      </c>
      <c r="D1888" s="68" t="inlineStr">
        <is>
          <t>HpRatio</t>
        </is>
      </c>
      <c r="E1888" s="68">
        <f>INT(E1887*1.01)</f>
        <v/>
      </c>
      <c r="F1888" s="68" t="inlineStr">
        <is>
          <t>AtkRatio</t>
        </is>
      </c>
      <c r="G1888" s="68">
        <f>INT(G1887*1.01)</f>
        <v/>
      </c>
      <c r="H1888" s="68" t="inlineStr">
        <is>
          <t>DefRatio</t>
        </is>
      </c>
      <c r="I1888" s="68">
        <f>G1888</f>
        <v/>
      </c>
    </row>
    <row r="1889">
      <c r="A1889" s="68">
        <f>B1889&amp;TEXT(C1889,"0000")</f>
        <v/>
      </c>
      <c r="B1889" s="68" t="n">
        <v>200</v>
      </c>
      <c r="C1889" s="68" t="n">
        <v>986</v>
      </c>
      <c r="D1889" s="68" t="inlineStr">
        <is>
          <t>HpRatio</t>
        </is>
      </c>
      <c r="E1889" s="68">
        <f>INT(E1888*1.01)</f>
        <v/>
      </c>
      <c r="F1889" s="68" t="inlineStr">
        <is>
          <t>AtkRatio</t>
        </is>
      </c>
      <c r="G1889" s="68">
        <f>INT(G1888*1.01)</f>
        <v/>
      </c>
      <c r="H1889" s="68" t="inlineStr">
        <is>
          <t>DefRatio</t>
        </is>
      </c>
      <c r="I1889" s="68">
        <f>G1889</f>
        <v/>
      </c>
    </row>
    <row r="1890">
      <c r="A1890" s="68">
        <f>B1890&amp;TEXT(C1890,"0000")</f>
        <v/>
      </c>
      <c r="B1890" s="68" t="n">
        <v>200</v>
      </c>
      <c r="C1890" s="68" t="n">
        <v>987</v>
      </c>
      <c r="D1890" s="68" t="inlineStr">
        <is>
          <t>HpRatio</t>
        </is>
      </c>
      <c r="E1890" s="68">
        <f>INT(E1889*1.01)</f>
        <v/>
      </c>
      <c r="F1890" s="68" t="inlineStr">
        <is>
          <t>AtkRatio</t>
        </is>
      </c>
      <c r="G1890" s="68">
        <f>INT(G1889*1.01)</f>
        <v/>
      </c>
      <c r="H1890" s="68" t="inlineStr">
        <is>
          <t>DefRatio</t>
        </is>
      </c>
      <c r="I1890" s="68">
        <f>G1890</f>
        <v/>
      </c>
    </row>
    <row r="1891">
      <c r="A1891" s="68">
        <f>B1891&amp;TEXT(C1891,"0000")</f>
        <v/>
      </c>
      <c r="B1891" s="68" t="n">
        <v>200</v>
      </c>
      <c r="C1891" s="68" t="n">
        <v>988</v>
      </c>
      <c r="D1891" s="68" t="inlineStr">
        <is>
          <t>HpRatio</t>
        </is>
      </c>
      <c r="E1891" s="68">
        <f>INT(E1890*1.01)</f>
        <v/>
      </c>
      <c r="F1891" s="68" t="inlineStr">
        <is>
          <t>AtkRatio</t>
        </is>
      </c>
      <c r="G1891" s="68">
        <f>INT(G1890*1.01)</f>
        <v/>
      </c>
      <c r="H1891" s="68" t="inlineStr">
        <is>
          <t>DefRatio</t>
        </is>
      </c>
      <c r="I1891" s="68">
        <f>G1891</f>
        <v/>
      </c>
    </row>
    <row r="1892">
      <c r="A1892" s="68">
        <f>B1892&amp;TEXT(C1892,"0000")</f>
        <v/>
      </c>
      <c r="B1892" s="68" t="n">
        <v>200</v>
      </c>
      <c r="C1892" s="68" t="n">
        <v>989</v>
      </c>
      <c r="D1892" s="68" t="inlineStr">
        <is>
          <t>HpRatio</t>
        </is>
      </c>
      <c r="E1892" s="68">
        <f>INT(E1891*1.01)</f>
        <v/>
      </c>
      <c r="F1892" s="68" t="inlineStr">
        <is>
          <t>AtkRatio</t>
        </is>
      </c>
      <c r="G1892" s="68">
        <f>INT(G1891*1.01)</f>
        <v/>
      </c>
      <c r="H1892" s="68" t="inlineStr">
        <is>
          <t>DefRatio</t>
        </is>
      </c>
      <c r="I1892" s="68">
        <f>G1892</f>
        <v/>
      </c>
    </row>
    <row r="1893">
      <c r="A1893" s="68">
        <f>B1893&amp;TEXT(C1893,"0000")</f>
        <v/>
      </c>
      <c r="B1893" s="68" t="n">
        <v>200</v>
      </c>
      <c r="C1893" s="68" t="n">
        <v>990</v>
      </c>
      <c r="D1893" s="68" t="inlineStr">
        <is>
          <t>HpRatio</t>
        </is>
      </c>
      <c r="E1893" s="68">
        <f>INT(E1892*1.01)</f>
        <v/>
      </c>
      <c r="F1893" s="68" t="inlineStr">
        <is>
          <t>AtkRatio</t>
        </is>
      </c>
      <c r="G1893" s="68">
        <f>INT(G1892*1.01)</f>
        <v/>
      </c>
      <c r="H1893" s="68" t="inlineStr">
        <is>
          <t>DefRatio</t>
        </is>
      </c>
      <c r="I1893" s="68">
        <f>G1893</f>
        <v/>
      </c>
    </row>
    <row r="1894">
      <c r="A1894" s="68">
        <f>B1894&amp;TEXT(C1894,"0000")</f>
        <v/>
      </c>
      <c r="B1894" s="68" t="n">
        <v>200</v>
      </c>
      <c r="C1894" s="68" t="n">
        <v>991</v>
      </c>
      <c r="D1894" s="68" t="inlineStr">
        <is>
          <t>HpRatio</t>
        </is>
      </c>
      <c r="E1894" s="68">
        <f>INT(E1893*1.01)</f>
        <v/>
      </c>
      <c r="F1894" s="68" t="inlineStr">
        <is>
          <t>AtkRatio</t>
        </is>
      </c>
      <c r="G1894" s="68">
        <f>INT(G1893*1.01)</f>
        <v/>
      </c>
      <c r="H1894" s="68" t="inlineStr">
        <is>
          <t>DefRatio</t>
        </is>
      </c>
      <c r="I1894" s="68">
        <f>G1894</f>
        <v/>
      </c>
    </row>
    <row r="1895">
      <c r="A1895" s="68">
        <f>B1895&amp;TEXT(C1895,"0000")</f>
        <v/>
      </c>
      <c r="B1895" s="68" t="n">
        <v>200</v>
      </c>
      <c r="C1895" s="68" t="n">
        <v>992</v>
      </c>
      <c r="D1895" s="68" t="inlineStr">
        <is>
          <t>HpRatio</t>
        </is>
      </c>
      <c r="E1895" s="68">
        <f>INT(E1894*1.01)</f>
        <v/>
      </c>
      <c r="F1895" s="68" t="inlineStr">
        <is>
          <t>AtkRatio</t>
        </is>
      </c>
      <c r="G1895" s="68">
        <f>INT(G1894*1.01)</f>
        <v/>
      </c>
      <c r="H1895" s="68" t="inlineStr">
        <is>
          <t>DefRatio</t>
        </is>
      </c>
      <c r="I1895" s="68">
        <f>G1895</f>
        <v/>
      </c>
    </row>
    <row r="1896">
      <c r="A1896" s="68">
        <f>B1896&amp;TEXT(C1896,"0000")</f>
        <v/>
      </c>
      <c r="B1896" s="68" t="n">
        <v>200</v>
      </c>
      <c r="C1896" s="68" t="n">
        <v>993</v>
      </c>
      <c r="D1896" s="68" t="inlineStr">
        <is>
          <t>HpRatio</t>
        </is>
      </c>
      <c r="E1896" s="68">
        <f>INT(E1895*1.01)</f>
        <v/>
      </c>
      <c r="F1896" s="68" t="inlineStr">
        <is>
          <t>AtkRatio</t>
        </is>
      </c>
      <c r="G1896" s="68">
        <f>INT(G1895*1.01)</f>
        <v/>
      </c>
      <c r="H1896" s="68" t="inlineStr">
        <is>
          <t>DefRatio</t>
        </is>
      </c>
      <c r="I1896" s="68">
        <f>G1896</f>
        <v/>
      </c>
    </row>
    <row r="1897">
      <c r="A1897" s="68">
        <f>B1897&amp;TEXT(C1897,"0000")</f>
        <v/>
      </c>
      <c r="B1897" s="68" t="n">
        <v>200</v>
      </c>
      <c r="C1897" s="68" t="n">
        <v>994</v>
      </c>
      <c r="D1897" s="68" t="inlineStr">
        <is>
          <t>HpRatio</t>
        </is>
      </c>
      <c r="E1897" s="68">
        <f>INT(E1896*1.01)</f>
        <v/>
      </c>
      <c r="F1897" s="68" t="inlineStr">
        <is>
          <t>AtkRatio</t>
        </is>
      </c>
      <c r="G1897" s="68">
        <f>INT(G1896*1.01)</f>
        <v/>
      </c>
      <c r="H1897" s="68" t="inlineStr">
        <is>
          <t>DefRatio</t>
        </is>
      </c>
      <c r="I1897" s="68">
        <f>G1897</f>
        <v/>
      </c>
    </row>
    <row r="1898">
      <c r="A1898" s="68">
        <f>B1898&amp;TEXT(C1898,"0000")</f>
        <v/>
      </c>
      <c r="B1898" s="68" t="n">
        <v>200</v>
      </c>
      <c r="C1898" s="68" t="n">
        <v>995</v>
      </c>
      <c r="D1898" s="68" t="inlineStr">
        <is>
          <t>HpRatio</t>
        </is>
      </c>
      <c r="E1898" s="68">
        <f>INT(E1897*1.01)</f>
        <v/>
      </c>
      <c r="F1898" s="68" t="inlineStr">
        <is>
          <t>AtkRatio</t>
        </is>
      </c>
      <c r="G1898" s="68">
        <f>INT(G1897*1.01)</f>
        <v/>
      </c>
      <c r="H1898" s="68" t="inlineStr">
        <is>
          <t>DefRatio</t>
        </is>
      </c>
      <c r="I1898" s="68">
        <f>G1898</f>
        <v/>
      </c>
    </row>
    <row r="1899">
      <c r="A1899" s="68">
        <f>B1899&amp;TEXT(C1899,"0000")</f>
        <v/>
      </c>
      <c r="B1899" s="68" t="n">
        <v>200</v>
      </c>
      <c r="C1899" s="68" t="n">
        <v>996</v>
      </c>
      <c r="D1899" s="68" t="inlineStr">
        <is>
          <t>HpRatio</t>
        </is>
      </c>
      <c r="E1899" s="68">
        <f>INT(E1898*1.01)</f>
        <v/>
      </c>
      <c r="F1899" s="68" t="inlineStr">
        <is>
          <t>AtkRatio</t>
        </is>
      </c>
      <c r="G1899" s="68">
        <f>INT(G1898*1.01)</f>
        <v/>
      </c>
      <c r="H1899" s="68" t="inlineStr">
        <is>
          <t>DefRatio</t>
        </is>
      </c>
      <c r="I1899" s="68">
        <f>G1899</f>
        <v/>
      </c>
    </row>
    <row r="1900">
      <c r="A1900" s="68">
        <f>B1900&amp;TEXT(C1900,"0000")</f>
        <v/>
      </c>
      <c r="B1900" s="68" t="n">
        <v>200</v>
      </c>
      <c r="C1900" s="68" t="n">
        <v>997</v>
      </c>
      <c r="D1900" s="68" t="inlineStr">
        <is>
          <t>HpRatio</t>
        </is>
      </c>
      <c r="E1900" s="68">
        <f>INT(E1899*1.01)</f>
        <v/>
      </c>
      <c r="F1900" s="68" t="inlineStr">
        <is>
          <t>AtkRatio</t>
        </is>
      </c>
      <c r="G1900" s="68">
        <f>INT(G1899*1.01)</f>
        <v/>
      </c>
      <c r="H1900" s="68" t="inlineStr">
        <is>
          <t>DefRatio</t>
        </is>
      </c>
      <c r="I1900" s="68">
        <f>G1900</f>
        <v/>
      </c>
    </row>
    <row r="1901">
      <c r="A1901" s="68">
        <f>B1901&amp;TEXT(C1901,"0000")</f>
        <v/>
      </c>
      <c r="B1901" s="68" t="n">
        <v>200</v>
      </c>
      <c r="C1901" s="68" t="n">
        <v>998</v>
      </c>
      <c r="D1901" s="68" t="inlineStr">
        <is>
          <t>HpRatio</t>
        </is>
      </c>
      <c r="E1901" s="68">
        <f>INT(E1900*1.01)</f>
        <v/>
      </c>
      <c r="F1901" s="68" t="inlineStr">
        <is>
          <t>AtkRatio</t>
        </is>
      </c>
      <c r="G1901" s="68">
        <f>INT(G1900*1.01)</f>
        <v/>
      </c>
      <c r="H1901" s="68" t="inlineStr">
        <is>
          <t>DefRatio</t>
        </is>
      </c>
      <c r="I1901" s="68">
        <f>G1901</f>
        <v/>
      </c>
    </row>
    <row r="1902">
      <c r="A1902" s="68">
        <f>B1902&amp;TEXT(C1902,"0000")</f>
        <v/>
      </c>
      <c r="B1902" s="68" t="n">
        <v>200</v>
      </c>
      <c r="C1902" s="68" t="n">
        <v>999</v>
      </c>
      <c r="D1902" s="68" t="inlineStr">
        <is>
          <t>HpRatio</t>
        </is>
      </c>
      <c r="E1902" s="68">
        <f>INT(E1901*1.01)</f>
        <v/>
      </c>
      <c r="F1902" s="68" t="inlineStr">
        <is>
          <t>AtkRatio</t>
        </is>
      </c>
      <c r="G1902" s="68">
        <f>INT(G1901*1.01)</f>
        <v/>
      </c>
      <c r="H1902" s="68" t="inlineStr">
        <is>
          <t>DefRatio</t>
        </is>
      </c>
      <c r="I1902" s="68">
        <f>G1902</f>
        <v/>
      </c>
    </row>
    <row r="1903">
      <c r="A1903" s="68">
        <f>B1903&amp;TEXT(C1903,"0000")</f>
        <v/>
      </c>
      <c r="B1903" s="68" t="n">
        <v>200</v>
      </c>
      <c r="C1903" s="68" t="n">
        <v>1000</v>
      </c>
      <c r="D1903" s="68" t="inlineStr">
        <is>
          <t>HpRatio</t>
        </is>
      </c>
      <c r="E1903" s="68">
        <f>INT(E1902*1.01)</f>
        <v/>
      </c>
      <c r="F1903" s="68" t="inlineStr">
        <is>
          <t>AtkRatio</t>
        </is>
      </c>
      <c r="G1903" s="68">
        <f>INT(G1902*1.01)</f>
        <v/>
      </c>
      <c r="H1903" s="68" t="inlineStr">
        <is>
          <t>DefRatio</t>
        </is>
      </c>
      <c r="I1903" s="68">
        <f>G1903</f>
        <v/>
      </c>
    </row>
    <row r="1904">
      <c r="A1904" s="68">
        <f>B1904&amp;TEXT(C1904,"0000")</f>
        <v/>
      </c>
      <c r="B1904" s="68" t="n">
        <v>201</v>
      </c>
      <c r="C1904" s="68" t="n">
        <v>1</v>
      </c>
      <c r="D1904" s="68" t="inlineStr">
        <is>
          <t>HpRatio</t>
        </is>
      </c>
      <c r="E1904" s="68" t="n">
        <v>0</v>
      </c>
      <c r="F1904" s="68" t="inlineStr">
        <is>
          <t>AtkRatio</t>
        </is>
      </c>
      <c r="G1904" s="68" t="n">
        <v>0</v>
      </c>
      <c r="H1904" s="68" t="inlineStr">
        <is>
          <t>DefRatio</t>
        </is>
      </c>
      <c r="I1904" s="68" t="n">
        <v>0</v>
      </c>
    </row>
    <row r="1905">
      <c r="A1905" s="68">
        <f>B1905&amp;TEXT(C1905,"0000")</f>
        <v/>
      </c>
      <c r="B1905" s="68" t="n">
        <v>201</v>
      </c>
      <c r="C1905" s="68" t="n">
        <v>2</v>
      </c>
      <c r="D1905" s="68" t="inlineStr">
        <is>
          <t>HpRatio</t>
        </is>
      </c>
      <c r="E1905" s="68" t="n">
        <v>0</v>
      </c>
      <c r="F1905" s="68" t="inlineStr">
        <is>
          <t>AtkRatio</t>
        </is>
      </c>
      <c r="G1905" s="68" t="n">
        <v>25000</v>
      </c>
      <c r="H1905" s="68" t="inlineStr">
        <is>
          <t>DefRatio</t>
        </is>
      </c>
      <c r="I1905" s="68">
        <f>G1905</f>
        <v/>
      </c>
    </row>
    <row r="1906">
      <c r="A1906" s="68">
        <f>B1906&amp;TEXT(C1906,"0000")</f>
        <v/>
      </c>
      <c r="B1906" s="68" t="n">
        <v>201</v>
      </c>
      <c r="C1906" s="68" t="n">
        <v>3</v>
      </c>
      <c r="D1906" s="68" t="inlineStr">
        <is>
          <t>HpRatio</t>
        </is>
      </c>
      <c r="E1906" s="68" t="n">
        <v>0</v>
      </c>
      <c r="F1906" s="68" t="inlineStr">
        <is>
          <t>AtkRatio</t>
        </is>
      </c>
      <c r="G1906" s="68" t="n">
        <v>50000</v>
      </c>
      <c r="H1906" s="68" t="inlineStr">
        <is>
          <t>DefRatio</t>
        </is>
      </c>
      <c r="I1906" s="68">
        <f>G1906</f>
        <v/>
      </c>
    </row>
    <row r="1907">
      <c r="A1907" s="68">
        <f>B1907&amp;TEXT(C1907,"0000")</f>
        <v/>
      </c>
      <c r="B1907" s="68" t="n">
        <v>201</v>
      </c>
      <c r="C1907" s="68" t="n">
        <v>4</v>
      </c>
      <c r="D1907" s="68" t="inlineStr">
        <is>
          <t>HpRatio</t>
        </is>
      </c>
      <c r="E1907" s="68" t="n">
        <v>0</v>
      </c>
      <c r="F1907" s="68" t="inlineStr">
        <is>
          <t>AtkRatio</t>
        </is>
      </c>
      <c r="G1907" s="68" t="n">
        <v>100000</v>
      </c>
      <c r="H1907" s="68" t="inlineStr">
        <is>
          <t>DefRatio</t>
        </is>
      </c>
      <c r="I1907" s="68">
        <f>G1907</f>
        <v/>
      </c>
    </row>
    <row r="1908">
      <c r="A1908" s="68">
        <f>B1908&amp;TEXT(C1908,"0000")</f>
        <v/>
      </c>
      <c r="B1908" s="68" t="n">
        <v>201</v>
      </c>
      <c r="C1908" s="68" t="n">
        <v>5</v>
      </c>
      <c r="D1908" s="68" t="inlineStr">
        <is>
          <t>HpRatio</t>
        </is>
      </c>
      <c r="E1908" s="68" t="n">
        <v>0</v>
      </c>
      <c r="F1908" s="68" t="inlineStr">
        <is>
          <t>AtkRatio</t>
        </is>
      </c>
      <c r="G1908" s="68" t="n">
        <v>275000</v>
      </c>
      <c r="H1908" s="68" t="inlineStr">
        <is>
          <t>DefRatio</t>
        </is>
      </c>
      <c r="I1908" s="68">
        <f>G1908</f>
        <v/>
      </c>
    </row>
    <row r="1909">
      <c r="A1909" s="68">
        <f>B1909&amp;TEXT(C1909,"0000")</f>
        <v/>
      </c>
      <c r="B1909" s="68" t="n">
        <v>201</v>
      </c>
      <c r="C1909" s="68" t="n">
        <v>6</v>
      </c>
      <c r="D1909" s="68" t="inlineStr">
        <is>
          <t>HpRatio</t>
        </is>
      </c>
      <c r="E1909" s="68" t="n">
        <v>0</v>
      </c>
      <c r="F1909" s="68" t="inlineStr">
        <is>
          <t>AtkRatio</t>
        </is>
      </c>
      <c r="G1909" s="68" t="n">
        <v>301000</v>
      </c>
      <c r="H1909" s="68" t="inlineStr">
        <is>
          <t>DefRatio</t>
        </is>
      </c>
      <c r="I1909" s="68">
        <f>G1909</f>
        <v/>
      </c>
    </row>
    <row r="1910">
      <c r="A1910" s="68">
        <f>B1910&amp;TEXT(C1910,"0000")</f>
        <v/>
      </c>
      <c r="B1910" s="68" t="n">
        <v>201</v>
      </c>
      <c r="C1910" s="68" t="n">
        <v>7</v>
      </c>
      <c r="D1910" s="68" t="inlineStr">
        <is>
          <t>HpRatio</t>
        </is>
      </c>
      <c r="E1910" s="68" t="n">
        <v>0</v>
      </c>
      <c r="F1910" s="68" t="inlineStr">
        <is>
          <t>AtkRatio</t>
        </is>
      </c>
      <c r="G1910" s="68" t="n">
        <v>329000</v>
      </c>
      <c r="H1910" s="68" t="inlineStr">
        <is>
          <t>DefRatio</t>
        </is>
      </c>
      <c r="I1910" s="68">
        <f>G1910</f>
        <v/>
      </c>
    </row>
    <row r="1911">
      <c r="A1911" s="68">
        <f>B1911&amp;TEXT(C1911,"0000")</f>
        <v/>
      </c>
      <c r="B1911" s="68" t="n">
        <v>201</v>
      </c>
      <c r="C1911" s="68" t="n">
        <v>8</v>
      </c>
      <c r="D1911" s="68" t="inlineStr">
        <is>
          <t>HpRatio</t>
        </is>
      </c>
      <c r="E1911" s="68" t="n">
        <v>0</v>
      </c>
      <c r="F1911" s="68" t="inlineStr">
        <is>
          <t>AtkRatio</t>
        </is>
      </c>
      <c r="G1911" s="68" t="n">
        <v>359000</v>
      </c>
      <c r="H1911" s="68" t="inlineStr">
        <is>
          <t>DefRatio</t>
        </is>
      </c>
      <c r="I1911" s="68">
        <f>G1911</f>
        <v/>
      </c>
    </row>
    <row r="1912">
      <c r="A1912" s="68">
        <f>B1912&amp;TEXT(C1912,"0000")</f>
        <v/>
      </c>
      <c r="B1912" s="68" t="n">
        <v>201</v>
      </c>
      <c r="C1912" s="68" t="n">
        <v>9</v>
      </c>
      <c r="D1912" s="68" t="inlineStr">
        <is>
          <t>HpRatio</t>
        </is>
      </c>
      <c r="E1912" s="68" t="n">
        <v>0</v>
      </c>
      <c r="F1912" s="68" t="inlineStr">
        <is>
          <t>AtkRatio</t>
        </is>
      </c>
      <c r="G1912" s="68" t="n">
        <v>391500</v>
      </c>
      <c r="H1912" s="68" t="inlineStr">
        <is>
          <t>DefRatio</t>
        </is>
      </c>
      <c r="I1912" s="68">
        <f>G1912</f>
        <v/>
      </c>
    </row>
    <row r="1913">
      <c r="A1913" s="68">
        <f>B1913&amp;TEXT(C1913,"0000")</f>
        <v/>
      </c>
      <c r="B1913" s="68" t="n">
        <v>201</v>
      </c>
      <c r="C1913" s="68" t="n">
        <v>10</v>
      </c>
      <c r="D1913" s="68" t="inlineStr">
        <is>
          <t>HpRatio</t>
        </is>
      </c>
      <c r="E1913" s="68" t="n">
        <v>0</v>
      </c>
      <c r="F1913" s="68" t="inlineStr">
        <is>
          <t>AtkRatio</t>
        </is>
      </c>
      <c r="G1913" s="68" t="n">
        <v>425500</v>
      </c>
      <c r="H1913" s="68" t="inlineStr">
        <is>
          <t>DefRatio</t>
        </is>
      </c>
      <c r="I1913" s="68">
        <f>G1913</f>
        <v/>
      </c>
    </row>
    <row r="1914">
      <c r="A1914" s="68">
        <f>B1914&amp;TEXT(C1914,"0000")</f>
        <v/>
      </c>
      <c r="B1914" s="68" t="n">
        <v>201</v>
      </c>
      <c r="C1914" s="68" t="n">
        <v>11</v>
      </c>
      <c r="D1914" s="68" t="inlineStr">
        <is>
          <t>HpRatio</t>
        </is>
      </c>
      <c r="E1914" s="68" t="n">
        <v>0</v>
      </c>
      <c r="F1914" s="68" t="inlineStr">
        <is>
          <t>AtkRatio</t>
        </is>
      </c>
      <c r="G1914" s="68" t="n">
        <v>462500</v>
      </c>
      <c r="H1914" s="68" t="inlineStr">
        <is>
          <t>DefRatio</t>
        </is>
      </c>
      <c r="I1914" s="68">
        <f>G1914</f>
        <v/>
      </c>
    </row>
    <row r="1915">
      <c r="A1915" s="68">
        <f>B1915&amp;TEXT(C1915,"0000")</f>
        <v/>
      </c>
      <c r="B1915" s="68" t="n">
        <v>201</v>
      </c>
      <c r="C1915" s="68" t="n">
        <v>12</v>
      </c>
      <c r="D1915" s="68" t="inlineStr">
        <is>
          <t>HpRatio</t>
        </is>
      </c>
      <c r="E1915" s="68" t="n">
        <v>0</v>
      </c>
      <c r="F1915" s="68" t="inlineStr">
        <is>
          <t>AtkRatio</t>
        </is>
      </c>
      <c r="G1915" s="68" t="n">
        <v>502000</v>
      </c>
      <c r="H1915" s="68" t="inlineStr">
        <is>
          <t>DefRatio</t>
        </is>
      </c>
      <c r="I1915" s="68">
        <f>G1915</f>
        <v/>
      </c>
    </row>
    <row r="1916">
      <c r="A1916" s="68">
        <f>B1916&amp;TEXT(C1916,"0000")</f>
        <v/>
      </c>
      <c r="B1916" s="68" t="n">
        <v>201</v>
      </c>
      <c r="C1916" s="68" t="n">
        <v>13</v>
      </c>
      <c r="D1916" s="68" t="inlineStr">
        <is>
          <t>HpRatio</t>
        </is>
      </c>
      <c r="E1916" s="68" t="n">
        <v>0</v>
      </c>
      <c r="F1916" s="68" t="inlineStr">
        <is>
          <t>AtkRatio</t>
        </is>
      </c>
      <c r="G1916" s="68" t="n">
        <v>544000</v>
      </c>
      <c r="H1916" s="68" t="inlineStr">
        <is>
          <t>DefRatio</t>
        </is>
      </c>
      <c r="I1916" s="68">
        <f>G1916</f>
        <v/>
      </c>
    </row>
    <row r="1917">
      <c r="A1917" s="68">
        <f>B1917&amp;TEXT(C1917,"0000")</f>
        <v/>
      </c>
      <c r="B1917" s="68" t="n">
        <v>201</v>
      </c>
      <c r="C1917" s="68" t="n">
        <v>14</v>
      </c>
      <c r="D1917" s="68" t="inlineStr">
        <is>
          <t>HpRatio</t>
        </is>
      </c>
      <c r="E1917" s="68" t="n">
        <v>0</v>
      </c>
      <c r="F1917" s="68" t="inlineStr">
        <is>
          <t>AtkRatio</t>
        </is>
      </c>
      <c r="G1917" s="68" t="n">
        <v>589000</v>
      </c>
      <c r="H1917" s="68" t="inlineStr">
        <is>
          <t>DefRatio</t>
        </is>
      </c>
      <c r="I1917" s="68">
        <f>G1917</f>
        <v/>
      </c>
    </row>
    <row r="1918">
      <c r="A1918" s="68">
        <f>B1918&amp;TEXT(C1918,"0000")</f>
        <v/>
      </c>
      <c r="B1918" s="68" t="n">
        <v>201</v>
      </c>
      <c r="C1918" s="68" t="n">
        <v>15</v>
      </c>
      <c r="D1918" s="68" t="inlineStr">
        <is>
          <t>HpRatio</t>
        </is>
      </c>
      <c r="E1918" s="68" t="n">
        <v>0</v>
      </c>
      <c r="F1918" s="68" t="inlineStr">
        <is>
          <t>AtkRatio</t>
        </is>
      </c>
      <c r="G1918" s="68" t="n">
        <v>637500</v>
      </c>
      <c r="H1918" s="68" t="inlineStr">
        <is>
          <t>DefRatio</t>
        </is>
      </c>
      <c r="I1918" s="68">
        <f>G1918</f>
        <v/>
      </c>
    </row>
    <row r="1919">
      <c r="A1919" s="68">
        <f>B1919&amp;TEXT(C1919,"0000")</f>
        <v/>
      </c>
      <c r="B1919" s="68" t="n">
        <v>201</v>
      </c>
      <c r="C1919" s="68" t="n">
        <v>16</v>
      </c>
      <c r="D1919" s="68" t="inlineStr">
        <is>
          <t>HpRatio</t>
        </is>
      </c>
      <c r="E1919" s="68" t="n">
        <v>0</v>
      </c>
      <c r="F1919" s="68" t="inlineStr">
        <is>
          <t>AtkRatio</t>
        </is>
      </c>
      <c r="G1919" s="68" t="n">
        <v>689000</v>
      </c>
      <c r="H1919" s="68" t="inlineStr">
        <is>
          <t>DefRatio</t>
        </is>
      </c>
      <c r="I1919" s="68">
        <f>G1919</f>
        <v/>
      </c>
    </row>
    <row r="1920">
      <c r="A1920" s="68">
        <f>B1920&amp;TEXT(C1920,"0000")</f>
        <v/>
      </c>
      <c r="B1920" s="68" t="n">
        <v>201</v>
      </c>
      <c r="C1920" s="68" t="n">
        <v>17</v>
      </c>
      <c r="D1920" s="68" t="inlineStr">
        <is>
          <t>HpRatio</t>
        </is>
      </c>
      <c r="E1920" s="68" t="n">
        <v>0</v>
      </c>
      <c r="F1920" s="68" t="inlineStr">
        <is>
          <t>AtkRatio</t>
        </is>
      </c>
      <c r="G1920" s="68" t="n">
        <v>744500</v>
      </c>
      <c r="H1920" s="68" t="inlineStr">
        <is>
          <t>DefRatio</t>
        </is>
      </c>
      <c r="I1920" s="68">
        <f>G1920</f>
        <v/>
      </c>
    </row>
    <row r="1921">
      <c r="A1921" s="68">
        <f>B1921&amp;TEXT(C1921,"0000")</f>
        <v/>
      </c>
      <c r="B1921" s="68" t="n">
        <v>201</v>
      </c>
      <c r="C1921" s="68" t="n">
        <v>18</v>
      </c>
      <c r="D1921" s="68" t="inlineStr">
        <is>
          <t>HpRatio</t>
        </is>
      </c>
      <c r="E1921" s="68" t="n">
        <v>0</v>
      </c>
      <c r="F1921" s="68" t="inlineStr">
        <is>
          <t>AtkRatio</t>
        </is>
      </c>
      <c r="G1921" s="68" t="n">
        <v>803500</v>
      </c>
      <c r="H1921" s="68" t="inlineStr">
        <is>
          <t>DefRatio</t>
        </is>
      </c>
      <c r="I1921" s="68">
        <f>G1921</f>
        <v/>
      </c>
    </row>
    <row r="1922">
      <c r="A1922" s="68">
        <f>B1922&amp;TEXT(C1922,"0000")</f>
        <v/>
      </c>
      <c r="B1922" s="68" t="n">
        <v>201</v>
      </c>
      <c r="C1922" s="68" t="n">
        <v>19</v>
      </c>
      <c r="D1922" s="68" t="inlineStr">
        <is>
          <t>HpRatio</t>
        </is>
      </c>
      <c r="E1922" s="68" t="n">
        <v>0</v>
      </c>
      <c r="F1922" s="68" t="inlineStr">
        <is>
          <t>AtkRatio</t>
        </is>
      </c>
      <c r="G1922" s="68" t="n">
        <v>866500</v>
      </c>
      <c r="H1922" s="68" t="inlineStr">
        <is>
          <t>DefRatio</t>
        </is>
      </c>
      <c r="I1922" s="68">
        <f>G1922</f>
        <v/>
      </c>
    </row>
    <row r="1923">
      <c r="A1923" s="68">
        <f>B1923&amp;TEXT(C1923,"0000")</f>
        <v/>
      </c>
      <c r="B1923" s="68" t="n">
        <v>201</v>
      </c>
      <c r="C1923" s="68" t="n">
        <v>20</v>
      </c>
      <c r="D1923" s="68" t="inlineStr">
        <is>
          <t>HpRatio</t>
        </is>
      </c>
      <c r="E1923" s="68" t="n">
        <v>0</v>
      </c>
      <c r="F1923" s="68" t="inlineStr">
        <is>
          <t>AtkRatio</t>
        </is>
      </c>
      <c r="G1923" s="68" t="n">
        <v>934500</v>
      </c>
      <c r="H1923" s="68" t="inlineStr">
        <is>
          <t>DefRatio</t>
        </is>
      </c>
      <c r="I1923" s="68">
        <f>G1923</f>
        <v/>
      </c>
    </row>
    <row r="1924">
      <c r="A1924" s="68">
        <f>B1924&amp;TEXT(C1924,"0000")</f>
        <v/>
      </c>
      <c r="B1924" s="68" t="n">
        <v>201</v>
      </c>
      <c r="C1924" s="68" t="n">
        <v>21</v>
      </c>
      <c r="D1924" s="68" t="inlineStr">
        <is>
          <t>HpRatio</t>
        </is>
      </c>
      <c r="E1924" s="68" t="n">
        <v>0</v>
      </c>
      <c r="F1924" s="68" t="inlineStr">
        <is>
          <t>AtkRatio</t>
        </is>
      </c>
      <c r="G1924" s="68" t="n">
        <v>1007000</v>
      </c>
      <c r="H1924" s="68" t="inlineStr">
        <is>
          <t>DefRatio</t>
        </is>
      </c>
      <c r="I1924" s="68">
        <f>G1924</f>
        <v/>
      </c>
    </row>
    <row r="1925">
      <c r="A1925" s="68">
        <f>B1925&amp;TEXT(C1925,"0000")</f>
        <v/>
      </c>
      <c r="B1925" s="68" t="n">
        <v>201</v>
      </c>
      <c r="C1925" s="68" t="n">
        <v>22</v>
      </c>
      <c r="D1925" s="68" t="inlineStr">
        <is>
          <t>HpRatio</t>
        </is>
      </c>
      <c r="E1925" s="68" t="n">
        <v>0</v>
      </c>
      <c r="F1925" s="68" t="inlineStr">
        <is>
          <t>AtkRatio</t>
        </is>
      </c>
      <c r="G1925" s="68" t="n">
        <v>1084500</v>
      </c>
      <c r="H1925" s="68" t="inlineStr">
        <is>
          <t>DefRatio</t>
        </is>
      </c>
      <c r="I1925" s="68">
        <f>G1925</f>
        <v/>
      </c>
    </row>
    <row r="1926">
      <c r="A1926" s="68">
        <f>B1926&amp;TEXT(C1926,"0000")</f>
        <v/>
      </c>
      <c r="B1926" s="68" t="n">
        <v>201</v>
      </c>
      <c r="C1926" s="68" t="n">
        <v>23</v>
      </c>
      <c r="D1926" s="68" t="inlineStr">
        <is>
          <t>HpRatio</t>
        </is>
      </c>
      <c r="E1926" s="68" t="n">
        <v>0</v>
      </c>
      <c r="F1926" s="68" t="inlineStr">
        <is>
          <t>AtkRatio</t>
        </is>
      </c>
      <c r="G1926" s="68" t="n">
        <v>1167000</v>
      </c>
      <c r="H1926" s="68" t="inlineStr">
        <is>
          <t>DefRatio</t>
        </is>
      </c>
      <c r="I1926" s="68">
        <f>G1926</f>
        <v/>
      </c>
    </row>
    <row r="1927">
      <c r="A1927" s="68">
        <f>B1927&amp;TEXT(C1927,"0000")</f>
        <v/>
      </c>
      <c r="B1927" s="68" t="n">
        <v>201</v>
      </c>
      <c r="C1927" s="68" t="n">
        <v>24</v>
      </c>
      <c r="D1927" s="68" t="inlineStr">
        <is>
          <t>HpRatio</t>
        </is>
      </c>
      <c r="E1927" s="68" t="n">
        <v>0</v>
      </c>
      <c r="F1927" s="68" t="inlineStr">
        <is>
          <t>AtkRatio</t>
        </is>
      </c>
      <c r="G1927" s="68" t="n">
        <v>1256000</v>
      </c>
      <c r="H1927" s="68" t="inlineStr">
        <is>
          <t>DefRatio</t>
        </is>
      </c>
      <c r="I1927" s="68">
        <f>G1927</f>
        <v/>
      </c>
    </row>
    <row r="1928">
      <c r="A1928" s="68">
        <f>B1928&amp;TEXT(C1928,"0000")</f>
        <v/>
      </c>
      <c r="B1928" s="68" t="n">
        <v>201</v>
      </c>
      <c r="C1928" s="68" t="n">
        <v>25</v>
      </c>
      <c r="D1928" s="68" t="inlineStr">
        <is>
          <t>HpRatio</t>
        </is>
      </c>
      <c r="E1928" s="68" t="n">
        <v>0</v>
      </c>
      <c r="F1928" s="68" t="inlineStr">
        <is>
          <t>AtkRatio</t>
        </is>
      </c>
      <c r="G1928" s="68" t="n">
        <v>1351000</v>
      </c>
      <c r="H1928" s="68" t="inlineStr">
        <is>
          <t>DefRatio</t>
        </is>
      </c>
      <c r="I1928" s="68">
        <f>G1928</f>
        <v/>
      </c>
    </row>
    <row r="1929">
      <c r="A1929" s="68">
        <f>B1929&amp;TEXT(C1929,"0000")</f>
        <v/>
      </c>
      <c r="B1929" s="68" t="n">
        <v>201</v>
      </c>
      <c r="C1929" s="68" t="n">
        <v>26</v>
      </c>
      <c r="D1929" s="68" t="inlineStr">
        <is>
          <t>HpRatio</t>
        </is>
      </c>
      <c r="E1929" s="68" t="n">
        <v>0</v>
      </c>
      <c r="F1929" s="68" t="inlineStr">
        <is>
          <t>AtkRatio</t>
        </is>
      </c>
      <c r="G1929" s="68" t="n">
        <v>1452500</v>
      </c>
      <c r="H1929" s="68" t="inlineStr">
        <is>
          <t>DefRatio</t>
        </is>
      </c>
      <c r="I1929" s="68">
        <f>G1929</f>
        <v/>
      </c>
    </row>
    <row r="1930">
      <c r="A1930" s="68">
        <f>B1930&amp;TEXT(C1930,"0000")</f>
        <v/>
      </c>
      <c r="B1930" s="68" t="n">
        <v>201</v>
      </c>
      <c r="C1930" s="68" t="n">
        <v>27</v>
      </c>
      <c r="D1930" s="68" t="inlineStr">
        <is>
          <t>HpRatio</t>
        </is>
      </c>
      <c r="E1930" s="68" t="n">
        <v>0</v>
      </c>
      <c r="F1930" s="68" t="inlineStr">
        <is>
          <t>AtkRatio</t>
        </is>
      </c>
      <c r="G1930" s="68" t="n">
        <v>1561000</v>
      </c>
      <c r="H1930" s="68" t="inlineStr">
        <is>
          <t>DefRatio</t>
        </is>
      </c>
      <c r="I1930" s="68">
        <f>G1930</f>
        <v/>
      </c>
    </row>
    <row r="1931">
      <c r="A1931" s="68">
        <f>B1931&amp;TEXT(C1931,"0000")</f>
        <v/>
      </c>
      <c r="B1931" s="68" t="n">
        <v>201</v>
      </c>
      <c r="C1931" s="68" t="n">
        <v>28</v>
      </c>
      <c r="D1931" s="68" t="inlineStr">
        <is>
          <t>HpRatio</t>
        </is>
      </c>
      <c r="E1931" s="68" t="n">
        <v>0</v>
      </c>
      <c r="F1931" s="68" t="inlineStr">
        <is>
          <t>AtkRatio</t>
        </is>
      </c>
      <c r="G1931" s="68" t="n">
        <v>1677500</v>
      </c>
      <c r="H1931" s="68" t="inlineStr">
        <is>
          <t>DefRatio</t>
        </is>
      </c>
      <c r="I1931" s="68">
        <f>G1931</f>
        <v/>
      </c>
    </row>
    <row r="1932">
      <c r="A1932" s="68">
        <f>B1932&amp;TEXT(C1932,"0000")</f>
        <v/>
      </c>
      <c r="B1932" s="68" t="n">
        <v>201</v>
      </c>
      <c r="C1932" s="68" t="n">
        <v>29</v>
      </c>
      <c r="D1932" s="68" t="inlineStr">
        <is>
          <t>HpRatio</t>
        </is>
      </c>
      <c r="E1932" s="68" t="n">
        <v>0</v>
      </c>
      <c r="F1932" s="68" t="inlineStr">
        <is>
          <t>AtkRatio</t>
        </is>
      </c>
      <c r="G1932" s="68" t="n">
        <v>1802000</v>
      </c>
      <c r="H1932" s="68" t="inlineStr">
        <is>
          <t>DefRatio</t>
        </is>
      </c>
      <c r="I1932" s="68">
        <f>G1932</f>
        <v/>
      </c>
    </row>
    <row r="1933">
      <c r="A1933" s="68">
        <f>B1933&amp;TEXT(C1933,"0000")</f>
        <v/>
      </c>
      <c r="B1933" s="68" t="n">
        <v>201</v>
      </c>
      <c r="C1933" s="68" t="n">
        <v>30</v>
      </c>
      <c r="D1933" s="68" t="inlineStr">
        <is>
          <t>HpRatio</t>
        </is>
      </c>
      <c r="E1933" s="68" t="n">
        <v>0</v>
      </c>
      <c r="F1933" s="68" t="inlineStr">
        <is>
          <t>AtkRatio</t>
        </is>
      </c>
      <c r="G1933" s="68" t="n">
        <v>1935000</v>
      </c>
      <c r="H1933" s="68" t="inlineStr">
        <is>
          <t>DefRatio</t>
        </is>
      </c>
      <c r="I1933" s="68">
        <f>G1933</f>
        <v/>
      </c>
    </row>
    <row r="1934">
      <c r="A1934" s="68">
        <f>B1934&amp;TEXT(C1934,"0000")</f>
        <v/>
      </c>
      <c r="B1934" s="68" t="n">
        <v>201</v>
      </c>
      <c r="C1934" s="68" t="n">
        <v>31</v>
      </c>
      <c r="D1934" s="68" t="inlineStr">
        <is>
          <t>HpRatio</t>
        </is>
      </c>
      <c r="E1934" s="68" t="n">
        <v>0</v>
      </c>
      <c r="F1934" s="68" t="inlineStr">
        <is>
          <t>AtkRatio</t>
        </is>
      </c>
      <c r="G1934" s="68" t="n">
        <v>2077500</v>
      </c>
      <c r="H1934" s="68" t="inlineStr">
        <is>
          <t>DefRatio</t>
        </is>
      </c>
      <c r="I1934" s="68">
        <f>G1934</f>
        <v/>
      </c>
    </row>
    <row r="1935">
      <c r="A1935" s="68">
        <f>B1935&amp;TEXT(C1935,"0000")</f>
        <v/>
      </c>
      <c r="B1935" s="68" t="n">
        <v>201</v>
      </c>
      <c r="C1935" s="68" t="n">
        <v>32</v>
      </c>
      <c r="D1935" s="68" t="inlineStr">
        <is>
          <t>HpRatio</t>
        </is>
      </c>
      <c r="E1935" s="68" t="n">
        <v>0</v>
      </c>
      <c r="F1935" s="68" t="inlineStr">
        <is>
          <t>AtkRatio</t>
        </is>
      </c>
      <c r="G1935" s="68" t="n">
        <v>2230000</v>
      </c>
      <c r="H1935" s="68" t="inlineStr">
        <is>
          <t>DefRatio</t>
        </is>
      </c>
      <c r="I1935" s="68">
        <f>G1935</f>
        <v/>
      </c>
    </row>
    <row r="1936">
      <c r="A1936" s="68">
        <f>B1936&amp;TEXT(C1936,"0000")</f>
        <v/>
      </c>
      <c r="B1936" s="68" t="n">
        <v>201</v>
      </c>
      <c r="C1936" s="68" t="n">
        <v>33</v>
      </c>
      <c r="D1936" s="68" t="inlineStr">
        <is>
          <t>HpRatio</t>
        </is>
      </c>
      <c r="E1936" s="68" t="n">
        <v>0</v>
      </c>
      <c r="F1936" s="68" t="inlineStr">
        <is>
          <t>AtkRatio</t>
        </is>
      </c>
      <c r="G1936" s="68" t="n">
        <v>2393000</v>
      </c>
      <c r="H1936" s="68" t="inlineStr">
        <is>
          <t>DefRatio</t>
        </is>
      </c>
      <c r="I1936" s="68">
        <f>G1936</f>
        <v/>
      </c>
    </row>
    <row r="1937">
      <c r="A1937" s="68">
        <f>B1937&amp;TEXT(C1937,"0000")</f>
        <v/>
      </c>
      <c r="B1937" s="68" t="n">
        <v>201</v>
      </c>
      <c r="C1937" s="68" t="n">
        <v>34</v>
      </c>
      <c r="D1937" s="68" t="inlineStr">
        <is>
          <t>HpRatio</t>
        </is>
      </c>
      <c r="E1937" s="68" t="n">
        <v>0</v>
      </c>
      <c r="F1937" s="68" t="inlineStr">
        <is>
          <t>AtkRatio</t>
        </is>
      </c>
      <c r="G1937" s="68" t="n">
        <v>2567500</v>
      </c>
      <c r="H1937" s="68" t="inlineStr">
        <is>
          <t>DefRatio</t>
        </is>
      </c>
      <c r="I1937" s="68">
        <f>G1937</f>
        <v/>
      </c>
    </row>
    <row r="1938">
      <c r="A1938" s="68">
        <f>B1938&amp;TEXT(C1938,"0000")</f>
        <v/>
      </c>
      <c r="B1938" s="68" t="n">
        <v>201</v>
      </c>
      <c r="C1938" s="68" t="n">
        <v>35</v>
      </c>
      <c r="D1938" s="68" t="inlineStr">
        <is>
          <t>HpRatio</t>
        </is>
      </c>
      <c r="E1938" s="68" t="n">
        <v>0</v>
      </c>
      <c r="F1938" s="68" t="inlineStr">
        <is>
          <t>AtkRatio</t>
        </is>
      </c>
      <c r="G1938" s="68" t="n">
        <v>2754500</v>
      </c>
      <c r="H1938" s="68" t="inlineStr">
        <is>
          <t>DefRatio</t>
        </is>
      </c>
      <c r="I1938" s="68">
        <f>G1938</f>
        <v/>
      </c>
    </row>
    <row r="1939">
      <c r="A1939" s="68">
        <f>B1939&amp;TEXT(C1939,"0000")</f>
        <v/>
      </c>
      <c r="B1939" s="68" t="n">
        <v>201</v>
      </c>
      <c r="C1939" s="68" t="n">
        <v>36</v>
      </c>
      <c r="D1939" s="68" t="inlineStr">
        <is>
          <t>HpRatio</t>
        </is>
      </c>
      <c r="E1939" s="68" t="n">
        <v>0</v>
      </c>
      <c r="F1939" s="68" t="inlineStr">
        <is>
          <t>AtkRatio</t>
        </is>
      </c>
      <c r="G1939" s="68" t="n">
        <v>2954000</v>
      </c>
      <c r="H1939" s="68" t="inlineStr">
        <is>
          <t>DefRatio</t>
        </is>
      </c>
      <c r="I1939" s="68">
        <f>G1939</f>
        <v/>
      </c>
    </row>
    <row r="1940">
      <c r="A1940" s="68">
        <f>B1940&amp;TEXT(C1940,"0000")</f>
        <v/>
      </c>
      <c r="B1940" s="68" t="n">
        <v>201</v>
      </c>
      <c r="C1940" s="68" t="n">
        <v>37</v>
      </c>
      <c r="D1940" s="68" t="inlineStr">
        <is>
          <t>HpRatio</t>
        </is>
      </c>
      <c r="E1940" s="68" t="n">
        <v>0</v>
      </c>
      <c r="F1940" s="68" t="inlineStr">
        <is>
          <t>AtkRatio</t>
        </is>
      </c>
      <c r="G1940" s="68" t="n">
        <v>3168000</v>
      </c>
      <c r="H1940" s="68" t="inlineStr">
        <is>
          <t>DefRatio</t>
        </is>
      </c>
      <c r="I1940" s="68">
        <f>G1940</f>
        <v/>
      </c>
    </row>
    <row r="1941">
      <c r="A1941" s="68">
        <f>B1941&amp;TEXT(C1941,"0000")</f>
        <v/>
      </c>
      <c r="B1941" s="68" t="n">
        <v>201</v>
      </c>
      <c r="C1941" s="68" t="n">
        <v>38</v>
      </c>
      <c r="D1941" s="68" t="inlineStr">
        <is>
          <t>HpRatio</t>
        </is>
      </c>
      <c r="E1941" s="68" t="n">
        <v>0</v>
      </c>
      <c r="F1941" s="68" t="inlineStr">
        <is>
          <t>AtkRatio</t>
        </is>
      </c>
      <c r="G1941" s="68" t="n">
        <v>3397000</v>
      </c>
      <c r="H1941" s="68" t="inlineStr">
        <is>
          <t>DefRatio</t>
        </is>
      </c>
      <c r="I1941" s="68">
        <f>G1941</f>
        <v/>
      </c>
    </row>
    <row r="1942">
      <c r="A1942" s="68">
        <f>B1942&amp;TEXT(C1942,"0000")</f>
        <v/>
      </c>
      <c r="B1942" s="68" t="n">
        <v>201</v>
      </c>
      <c r="C1942" s="68" t="n">
        <v>39</v>
      </c>
      <c r="D1942" s="68" t="inlineStr">
        <is>
          <t>HpRatio</t>
        </is>
      </c>
      <c r="E1942" s="68" t="n">
        <v>0</v>
      </c>
      <c r="F1942" s="68" t="inlineStr">
        <is>
          <t>AtkRatio</t>
        </is>
      </c>
      <c r="G1942" s="68" t="n">
        <v>3641500</v>
      </c>
      <c r="H1942" s="68" t="inlineStr">
        <is>
          <t>DefRatio</t>
        </is>
      </c>
      <c r="I1942" s="68">
        <f>G1942</f>
        <v/>
      </c>
    </row>
    <row r="1943">
      <c r="A1943" s="68">
        <f>B1943&amp;TEXT(C1943,"0000")</f>
        <v/>
      </c>
      <c r="B1943" s="68" t="n">
        <v>201</v>
      </c>
      <c r="C1943" s="68" t="n">
        <v>40</v>
      </c>
      <c r="D1943" s="68" t="inlineStr">
        <is>
          <t>HpRatio</t>
        </is>
      </c>
      <c r="E1943" s="68" t="n">
        <v>0</v>
      </c>
      <c r="F1943" s="68" t="inlineStr">
        <is>
          <t>AtkRatio</t>
        </is>
      </c>
      <c r="G1943" s="68" t="n">
        <v>3903500</v>
      </c>
      <c r="H1943" s="68" t="inlineStr">
        <is>
          <t>DefRatio</t>
        </is>
      </c>
      <c r="I1943" s="68">
        <f>G1943</f>
        <v/>
      </c>
    </row>
    <row r="1944">
      <c r="A1944" s="68">
        <f>B1944&amp;TEXT(C1944,"0000")</f>
        <v/>
      </c>
      <c r="B1944" s="68" t="n">
        <v>201</v>
      </c>
      <c r="C1944" s="68" t="n">
        <v>41</v>
      </c>
      <c r="D1944" s="68" t="inlineStr">
        <is>
          <t>HpRatio</t>
        </is>
      </c>
      <c r="E1944" s="68" t="n">
        <v>0</v>
      </c>
      <c r="F1944" s="68" t="inlineStr">
        <is>
          <t>AtkRatio</t>
        </is>
      </c>
      <c r="G1944" s="68" t="n">
        <v>4183500</v>
      </c>
      <c r="H1944" s="68" t="inlineStr">
        <is>
          <t>DefRatio</t>
        </is>
      </c>
      <c r="I1944" s="68">
        <f>G1944</f>
        <v/>
      </c>
    </row>
    <row r="1945">
      <c r="A1945" s="68">
        <f>B1945&amp;TEXT(C1945,"0000")</f>
        <v/>
      </c>
      <c r="B1945" s="68" t="n">
        <v>201</v>
      </c>
      <c r="C1945" s="68" t="n">
        <v>42</v>
      </c>
      <c r="D1945" s="68" t="inlineStr">
        <is>
          <t>HpRatio</t>
        </is>
      </c>
      <c r="E1945" s="68" t="n">
        <v>0</v>
      </c>
      <c r="F1945" s="68" t="inlineStr">
        <is>
          <t>AtkRatio</t>
        </is>
      </c>
      <c r="G1945" s="68" t="n">
        <v>4483500</v>
      </c>
      <c r="H1945" s="68" t="inlineStr">
        <is>
          <t>DefRatio</t>
        </is>
      </c>
      <c r="I1945" s="68">
        <f>G1945</f>
        <v/>
      </c>
    </row>
    <row r="1946">
      <c r="A1946" s="68">
        <f>B1946&amp;TEXT(C1946,"0000")</f>
        <v/>
      </c>
      <c r="B1946" s="68" t="n">
        <v>201</v>
      </c>
      <c r="C1946" s="68" t="n">
        <v>43</v>
      </c>
      <c r="D1946" s="68" t="inlineStr">
        <is>
          <t>HpRatio</t>
        </is>
      </c>
      <c r="E1946" s="68" t="n">
        <v>0</v>
      </c>
      <c r="F1946" s="68" t="inlineStr">
        <is>
          <t>AtkRatio</t>
        </is>
      </c>
      <c r="G1946" s="68" t="n">
        <v>4804500</v>
      </c>
      <c r="H1946" s="68" t="inlineStr">
        <is>
          <t>DefRatio</t>
        </is>
      </c>
      <c r="I1946" s="68">
        <f>G1946</f>
        <v/>
      </c>
    </row>
    <row r="1947">
      <c r="A1947" s="68">
        <f>B1947&amp;TEXT(C1947,"0000")</f>
        <v/>
      </c>
      <c r="B1947" s="68" t="n">
        <v>201</v>
      </c>
      <c r="C1947" s="68" t="n">
        <v>44</v>
      </c>
      <c r="D1947" s="68" t="inlineStr">
        <is>
          <t>HpRatio</t>
        </is>
      </c>
      <c r="E1947" s="68" t="n">
        <v>0</v>
      </c>
      <c r="F1947" s="68" t="inlineStr">
        <is>
          <t>AtkRatio</t>
        </is>
      </c>
      <c r="G1947" s="68" t="n">
        <v>5148000</v>
      </c>
      <c r="H1947" s="68" t="inlineStr">
        <is>
          <t>DefRatio</t>
        </is>
      </c>
      <c r="I1947" s="68">
        <f>G1947</f>
        <v/>
      </c>
    </row>
    <row r="1948">
      <c r="A1948" s="68">
        <f>B1948&amp;TEXT(C1948,"0000")</f>
        <v/>
      </c>
      <c r="B1948" s="68" t="n">
        <v>201</v>
      </c>
      <c r="C1948" s="68" t="n">
        <v>45</v>
      </c>
      <c r="D1948" s="68" t="inlineStr">
        <is>
          <t>HpRatio</t>
        </is>
      </c>
      <c r="E1948" s="68" t="n">
        <v>0</v>
      </c>
      <c r="F1948" s="68" t="inlineStr">
        <is>
          <t>AtkRatio</t>
        </is>
      </c>
      <c r="G1948" s="68" t="n">
        <v>5515000</v>
      </c>
      <c r="H1948" s="68" t="inlineStr">
        <is>
          <t>DefRatio</t>
        </is>
      </c>
      <c r="I1948" s="68">
        <f>G1948</f>
        <v/>
      </c>
    </row>
    <row r="1949">
      <c r="A1949" s="68">
        <f>B1949&amp;TEXT(C1949,"0000")</f>
        <v/>
      </c>
      <c r="B1949" s="68" t="n">
        <v>201</v>
      </c>
      <c r="C1949" s="68" t="n">
        <v>46</v>
      </c>
      <c r="D1949" s="68" t="inlineStr">
        <is>
          <t>HpRatio</t>
        </is>
      </c>
      <c r="E1949" s="68" t="n">
        <v>0</v>
      </c>
      <c r="F1949" s="68" t="inlineStr">
        <is>
          <t>AtkRatio</t>
        </is>
      </c>
      <c r="G1949" s="68" t="n">
        <v>5908500</v>
      </c>
      <c r="H1949" s="68" t="inlineStr">
        <is>
          <t>DefRatio</t>
        </is>
      </c>
      <c r="I1949" s="68">
        <f>G1949</f>
        <v/>
      </c>
    </row>
    <row r="1950">
      <c r="A1950" s="68">
        <f>B1950&amp;TEXT(C1950,"0000")</f>
        <v/>
      </c>
      <c r="B1950" s="68" t="n">
        <v>201</v>
      </c>
      <c r="C1950" s="68" t="n">
        <v>47</v>
      </c>
      <c r="D1950" s="68" t="inlineStr">
        <is>
          <t>HpRatio</t>
        </is>
      </c>
      <c r="E1950" s="68" t="n">
        <v>0</v>
      </c>
      <c r="F1950" s="68" t="inlineStr">
        <is>
          <t>AtkRatio</t>
        </is>
      </c>
      <c r="G1950" s="68" t="n">
        <v>6269000</v>
      </c>
      <c r="H1950" s="68" t="inlineStr">
        <is>
          <t>DefRatio</t>
        </is>
      </c>
      <c r="I1950" s="68">
        <f>G1950</f>
        <v/>
      </c>
    </row>
    <row r="1951">
      <c r="A1951" s="68">
        <f>B1951&amp;TEXT(C1951,"0000")</f>
        <v/>
      </c>
      <c r="B1951" s="68" t="n">
        <v>201</v>
      </c>
      <c r="C1951" s="68" t="n">
        <v>48</v>
      </c>
      <c r="D1951" s="68" t="inlineStr">
        <is>
          <t>HpRatio</t>
        </is>
      </c>
      <c r="E1951" s="68" t="n">
        <v>0</v>
      </c>
      <c r="F1951" s="68" t="inlineStr">
        <is>
          <t>AtkRatio</t>
        </is>
      </c>
      <c r="G1951" s="68" t="n">
        <v>6651000</v>
      </c>
      <c r="H1951" s="68" t="inlineStr">
        <is>
          <t>DefRatio</t>
        </is>
      </c>
      <c r="I1951" s="68">
        <f>G1951</f>
        <v/>
      </c>
    </row>
    <row r="1952">
      <c r="A1952" s="68">
        <f>B1952&amp;TEXT(C1952,"0000")</f>
        <v/>
      </c>
      <c r="B1952" s="68" t="n">
        <v>201</v>
      </c>
      <c r="C1952" s="68" t="n">
        <v>49</v>
      </c>
      <c r="D1952" s="68" t="inlineStr">
        <is>
          <t>HpRatio</t>
        </is>
      </c>
      <c r="E1952" s="68" t="n">
        <v>0</v>
      </c>
      <c r="F1952" s="68" t="inlineStr">
        <is>
          <t>AtkRatio</t>
        </is>
      </c>
      <c r="G1952" s="68" t="n">
        <v>7056000</v>
      </c>
      <c r="H1952" s="68" t="inlineStr">
        <is>
          <t>DefRatio</t>
        </is>
      </c>
      <c r="I1952" s="68">
        <f>G1952</f>
        <v/>
      </c>
    </row>
    <row r="1953">
      <c r="A1953" s="68">
        <f>B1953&amp;TEXT(C1953,"0000")</f>
        <v/>
      </c>
      <c r="B1953" s="68" t="n">
        <v>201</v>
      </c>
      <c r="C1953" s="68" t="n">
        <v>50</v>
      </c>
      <c r="D1953" s="68" t="inlineStr">
        <is>
          <t>HpRatio</t>
        </is>
      </c>
      <c r="E1953" s="68" t="n">
        <v>0</v>
      </c>
      <c r="F1953" s="68" t="inlineStr">
        <is>
          <t>AtkRatio</t>
        </is>
      </c>
      <c r="G1953" s="68" t="n">
        <v>7485500</v>
      </c>
      <c r="H1953" s="68" t="inlineStr">
        <is>
          <t>DefRatio</t>
        </is>
      </c>
      <c r="I1953" s="68">
        <f>G1953</f>
        <v/>
      </c>
    </row>
    <row r="1954">
      <c r="A1954" s="68">
        <f>B1954&amp;TEXT(C1954,"0000")</f>
        <v/>
      </c>
      <c r="B1954" s="68" t="n">
        <v>201</v>
      </c>
      <c r="C1954" s="68" t="n">
        <v>51</v>
      </c>
      <c r="D1954" s="68" t="inlineStr">
        <is>
          <t>HpRatio</t>
        </is>
      </c>
      <c r="E1954" s="68" t="n">
        <v>0</v>
      </c>
      <c r="F1954" s="68" t="inlineStr">
        <is>
          <t>AtkRatio</t>
        </is>
      </c>
      <c r="G1954" s="68" t="n">
        <v>7940500</v>
      </c>
      <c r="H1954" s="68" t="inlineStr">
        <is>
          <t>DefRatio</t>
        </is>
      </c>
      <c r="I1954" s="68">
        <f>G1954</f>
        <v/>
      </c>
    </row>
    <row r="1955">
      <c r="A1955" s="68">
        <f>B1955&amp;TEXT(C1955,"0000")</f>
        <v/>
      </c>
      <c r="B1955" s="68" t="n">
        <v>201</v>
      </c>
      <c r="C1955" s="68" t="n">
        <v>52</v>
      </c>
      <c r="D1955" s="68" t="inlineStr">
        <is>
          <t>HpRatio</t>
        </is>
      </c>
      <c r="E1955" s="68" t="n">
        <v>0</v>
      </c>
      <c r="F1955" s="68" t="inlineStr">
        <is>
          <t>AtkRatio</t>
        </is>
      </c>
      <c r="G1955" s="68" t="n">
        <v>8423000</v>
      </c>
      <c r="H1955" s="68" t="inlineStr">
        <is>
          <t>DefRatio</t>
        </is>
      </c>
      <c r="I1955" s="68">
        <f>G1955</f>
        <v/>
      </c>
    </row>
    <row r="1956">
      <c r="A1956" s="68">
        <f>B1956&amp;TEXT(C1956,"0000")</f>
        <v/>
      </c>
      <c r="B1956" s="68" t="n">
        <v>201</v>
      </c>
      <c r="C1956" s="68" t="n">
        <v>53</v>
      </c>
      <c r="D1956" s="68" t="inlineStr">
        <is>
          <t>HpRatio</t>
        </is>
      </c>
      <c r="E1956" s="68" t="n">
        <v>0</v>
      </c>
      <c r="F1956" s="68" t="inlineStr">
        <is>
          <t>AtkRatio</t>
        </is>
      </c>
      <c r="G1956" s="68" t="n">
        <v>8934500</v>
      </c>
      <c r="H1956" s="68" t="inlineStr">
        <is>
          <t>DefRatio</t>
        </is>
      </c>
      <c r="I1956" s="68">
        <f>G1956</f>
        <v/>
      </c>
    </row>
    <row r="1957">
      <c r="A1957" s="68">
        <f>B1957&amp;TEXT(C1957,"0000")</f>
        <v/>
      </c>
      <c r="B1957" s="68" t="n">
        <v>201</v>
      </c>
      <c r="C1957" s="68" t="n">
        <v>54</v>
      </c>
      <c r="D1957" s="68" t="inlineStr">
        <is>
          <t>HpRatio</t>
        </is>
      </c>
      <c r="E1957" s="68" t="n">
        <v>0</v>
      </c>
      <c r="F1957" s="68" t="inlineStr">
        <is>
          <t>AtkRatio</t>
        </is>
      </c>
      <c r="G1957" s="68" t="n">
        <v>9476500</v>
      </c>
      <c r="H1957" s="68" t="inlineStr">
        <is>
          <t>DefRatio</t>
        </is>
      </c>
      <c r="I1957" s="68">
        <f>G1957</f>
        <v/>
      </c>
    </row>
    <row r="1958">
      <c r="A1958" s="68">
        <f>B1958&amp;TEXT(C1958,"0000")</f>
        <v/>
      </c>
      <c r="B1958" s="68" t="n">
        <v>201</v>
      </c>
      <c r="C1958" s="68" t="n">
        <v>55</v>
      </c>
      <c r="D1958" s="68" t="inlineStr">
        <is>
          <t>HpRatio</t>
        </is>
      </c>
      <c r="E1958" s="68" t="n">
        <v>0</v>
      </c>
      <c r="F1958" s="68" t="inlineStr">
        <is>
          <t>AtkRatio</t>
        </is>
      </c>
      <c r="G1958" s="68" t="n">
        <v>10051000</v>
      </c>
      <c r="H1958" s="68" t="inlineStr">
        <is>
          <t>DefRatio</t>
        </is>
      </c>
      <c r="I1958" s="68">
        <f>G1958</f>
        <v/>
      </c>
    </row>
    <row r="1959">
      <c r="A1959" s="68">
        <f>B1959&amp;TEXT(C1959,"0000")</f>
        <v/>
      </c>
      <c r="B1959" s="68" t="n">
        <v>201</v>
      </c>
      <c r="C1959" s="68" t="n">
        <v>56</v>
      </c>
      <c r="D1959" s="68" t="inlineStr">
        <is>
          <t>HpRatio</t>
        </is>
      </c>
      <c r="E1959" s="68" t="n">
        <v>0</v>
      </c>
      <c r="F1959" s="68" t="inlineStr">
        <is>
          <t>AtkRatio</t>
        </is>
      </c>
      <c r="G1959" s="68" t="n">
        <v>10660000</v>
      </c>
      <c r="H1959" s="68" t="inlineStr">
        <is>
          <t>DefRatio</t>
        </is>
      </c>
      <c r="I1959" s="68">
        <f>G1959</f>
        <v/>
      </c>
    </row>
    <row r="1960">
      <c r="A1960" s="68">
        <f>B1960&amp;TEXT(C1960,"0000")</f>
        <v/>
      </c>
      <c r="B1960" s="68" t="n">
        <v>201</v>
      </c>
      <c r="C1960" s="68" t="n">
        <v>57</v>
      </c>
      <c r="D1960" s="68" t="inlineStr">
        <is>
          <t>HpRatio</t>
        </is>
      </c>
      <c r="E1960" s="68" t="n">
        <v>0</v>
      </c>
      <c r="F1960" s="68" t="inlineStr">
        <is>
          <t>AtkRatio</t>
        </is>
      </c>
      <c r="G1960" s="68" t="n">
        <v>11305500</v>
      </c>
      <c r="H1960" s="68" t="inlineStr">
        <is>
          <t>DefRatio</t>
        </is>
      </c>
      <c r="I1960" s="68">
        <f>G1960</f>
        <v/>
      </c>
    </row>
    <row r="1961">
      <c r="A1961" s="68">
        <f>B1961&amp;TEXT(C1961,"0000")</f>
        <v/>
      </c>
      <c r="B1961" s="68" t="n">
        <v>201</v>
      </c>
      <c r="C1961" s="68" t="n">
        <v>58</v>
      </c>
      <c r="D1961" s="68" t="inlineStr">
        <is>
          <t>HpRatio</t>
        </is>
      </c>
      <c r="E1961" s="68" t="n">
        <v>0</v>
      </c>
      <c r="F1961" s="68" t="inlineStr">
        <is>
          <t>AtkRatio</t>
        </is>
      </c>
      <c r="G1961" s="68" t="n">
        <v>11990000</v>
      </c>
      <c r="H1961" s="68" t="inlineStr">
        <is>
          <t>DefRatio</t>
        </is>
      </c>
      <c r="I1961" s="68">
        <f>G1961</f>
        <v/>
      </c>
    </row>
    <row r="1962">
      <c r="A1962" s="68">
        <f>B1962&amp;TEXT(C1962,"0000")</f>
        <v/>
      </c>
      <c r="B1962" s="68" t="n">
        <v>201</v>
      </c>
      <c r="C1962" s="68" t="n">
        <v>59</v>
      </c>
      <c r="D1962" s="68" t="inlineStr">
        <is>
          <t>HpRatio</t>
        </is>
      </c>
      <c r="E1962" s="68" t="n">
        <v>0</v>
      </c>
      <c r="F1962" s="68" t="inlineStr">
        <is>
          <t>AtkRatio</t>
        </is>
      </c>
      <c r="G1962" s="68" t="n">
        <v>12715500</v>
      </c>
      <c r="H1962" s="68" t="inlineStr">
        <is>
          <t>DefRatio</t>
        </is>
      </c>
      <c r="I1962" s="68">
        <f>G1962</f>
        <v/>
      </c>
    </row>
    <row r="1963">
      <c r="A1963" s="68">
        <f>B1963&amp;TEXT(C1963,"0000")</f>
        <v/>
      </c>
      <c r="B1963" s="68" t="n">
        <v>201</v>
      </c>
      <c r="C1963" s="68" t="n">
        <v>60</v>
      </c>
      <c r="D1963" s="68" t="inlineStr">
        <is>
          <t>HpRatio</t>
        </is>
      </c>
      <c r="E1963" s="68" t="n">
        <v>0</v>
      </c>
      <c r="F1963" s="68" t="inlineStr">
        <is>
          <t>AtkRatio</t>
        </is>
      </c>
      <c r="G1963" s="68" t="n">
        <v>13484500</v>
      </c>
      <c r="H1963" s="68" t="inlineStr">
        <is>
          <t>DefRatio</t>
        </is>
      </c>
      <c r="I1963" s="68">
        <f>G1963</f>
        <v/>
      </c>
    </row>
    <row r="1964">
      <c r="A1964" s="68">
        <f>B1964&amp;TEXT(C1964,"0000")</f>
        <v/>
      </c>
      <c r="B1964" s="68" t="n">
        <v>201</v>
      </c>
      <c r="C1964" s="68" t="n">
        <v>61</v>
      </c>
      <c r="D1964" s="68" t="inlineStr">
        <is>
          <t>HpRatio</t>
        </is>
      </c>
      <c r="E1964" s="68" t="n">
        <v>0</v>
      </c>
      <c r="F1964" s="68" t="inlineStr">
        <is>
          <t>AtkRatio</t>
        </is>
      </c>
      <c r="G1964" s="68" t="n">
        <v>14299500</v>
      </c>
      <c r="H1964" s="68" t="inlineStr">
        <is>
          <t>DefRatio</t>
        </is>
      </c>
      <c r="I1964" s="68">
        <f>G1964</f>
        <v/>
      </c>
    </row>
    <row r="1965">
      <c r="A1965" s="68">
        <f>B1965&amp;TEXT(C1965,"0000")</f>
        <v/>
      </c>
      <c r="B1965" s="68" t="n">
        <v>201</v>
      </c>
      <c r="C1965" s="68" t="n">
        <v>62</v>
      </c>
      <c r="D1965" s="68" t="inlineStr">
        <is>
          <t>HpRatio</t>
        </is>
      </c>
      <c r="E1965" s="68" t="n">
        <v>0</v>
      </c>
      <c r="F1965" s="68" t="inlineStr">
        <is>
          <t>AtkRatio</t>
        </is>
      </c>
      <c r="G1965" s="68" t="n">
        <v>15163500</v>
      </c>
      <c r="H1965" s="68" t="inlineStr">
        <is>
          <t>DefRatio</t>
        </is>
      </c>
      <c r="I1965" s="68">
        <f>G1965</f>
        <v/>
      </c>
    </row>
    <row r="1966">
      <c r="A1966" s="68">
        <f>B1966&amp;TEXT(C1966,"0000")</f>
        <v/>
      </c>
      <c r="B1966" s="68" t="n">
        <v>201</v>
      </c>
      <c r="C1966" s="68" t="n">
        <v>63</v>
      </c>
      <c r="D1966" s="68" t="inlineStr">
        <is>
          <t>HpRatio</t>
        </is>
      </c>
      <c r="E1966" s="68" t="n">
        <v>0</v>
      </c>
      <c r="F1966" s="68" t="inlineStr">
        <is>
          <t>AtkRatio</t>
        </is>
      </c>
      <c r="G1966" s="68" t="n">
        <v>16079500</v>
      </c>
      <c r="H1966" s="68" t="inlineStr">
        <is>
          <t>DefRatio</t>
        </is>
      </c>
      <c r="I1966" s="68">
        <f>G1966</f>
        <v/>
      </c>
    </row>
    <row r="1967">
      <c r="A1967" s="68">
        <f>B1967&amp;TEXT(C1967,"0000")</f>
        <v/>
      </c>
      <c r="B1967" s="68" t="n">
        <v>201</v>
      </c>
      <c r="C1967" s="68" t="n">
        <v>64</v>
      </c>
      <c r="D1967" s="68" t="inlineStr">
        <is>
          <t>HpRatio</t>
        </is>
      </c>
      <c r="E1967" s="68" t="n">
        <v>0</v>
      </c>
      <c r="F1967" s="68" t="inlineStr">
        <is>
          <t>AtkRatio</t>
        </is>
      </c>
      <c r="G1967" s="68" t="n">
        <v>17050000</v>
      </c>
      <c r="H1967" s="68" t="inlineStr">
        <is>
          <t>DefRatio</t>
        </is>
      </c>
      <c r="I1967" s="68">
        <f>G1967</f>
        <v/>
      </c>
    </row>
    <row r="1968">
      <c r="A1968" s="68">
        <f>B1968&amp;TEXT(C1968,"0000")</f>
        <v/>
      </c>
      <c r="B1968" s="68" t="n">
        <v>201</v>
      </c>
      <c r="C1968" s="68" t="n">
        <v>65</v>
      </c>
      <c r="D1968" s="68" t="inlineStr">
        <is>
          <t>HpRatio</t>
        </is>
      </c>
      <c r="E1968" s="68" t="n">
        <v>0</v>
      </c>
      <c r="F1968" s="68" t="inlineStr">
        <is>
          <t>AtkRatio</t>
        </is>
      </c>
      <c r="G1968" s="68" t="n">
        <v>18079000</v>
      </c>
      <c r="H1968" s="68" t="inlineStr">
        <is>
          <t>DefRatio</t>
        </is>
      </c>
      <c r="I1968" s="68">
        <f>G1968</f>
        <v/>
      </c>
    </row>
    <row r="1969">
      <c r="A1969" s="68">
        <f>B1969&amp;TEXT(C1969,"0000")</f>
        <v/>
      </c>
      <c r="B1969" s="68" t="n">
        <v>201</v>
      </c>
      <c r="C1969" s="68" t="n">
        <v>66</v>
      </c>
      <c r="D1969" s="68" t="inlineStr">
        <is>
          <t>HpRatio</t>
        </is>
      </c>
      <c r="E1969" s="68" t="n">
        <v>0</v>
      </c>
      <c r="F1969" s="68" t="inlineStr">
        <is>
          <t>AtkRatio</t>
        </is>
      </c>
      <c r="G1969" s="68" t="n">
        <v>19170000</v>
      </c>
      <c r="H1969" s="68" t="inlineStr">
        <is>
          <t>DefRatio</t>
        </is>
      </c>
      <c r="I1969" s="68">
        <f>G1969</f>
        <v/>
      </c>
    </row>
    <row r="1970">
      <c r="A1970" s="68">
        <f>B1970&amp;TEXT(C1970,"0000")</f>
        <v/>
      </c>
      <c r="B1970" s="68" t="n">
        <v>201</v>
      </c>
      <c r="C1970" s="68" t="n">
        <v>67</v>
      </c>
      <c r="D1970" s="68" t="inlineStr">
        <is>
          <t>HpRatio</t>
        </is>
      </c>
      <c r="E1970" s="68" t="n">
        <v>0</v>
      </c>
      <c r="F1970" s="68" t="inlineStr">
        <is>
          <t>AtkRatio</t>
        </is>
      </c>
      <c r="G1970" s="68" t="n">
        <v>20326000</v>
      </c>
      <c r="H1970" s="68" t="inlineStr">
        <is>
          <t>DefRatio</t>
        </is>
      </c>
      <c r="I1970" s="68">
        <f>G1970</f>
        <v/>
      </c>
    </row>
    <row r="1971">
      <c r="A1971" s="68">
        <f>B1971&amp;TEXT(C1971,"0000")</f>
        <v/>
      </c>
      <c r="B1971" s="68" t="n">
        <v>201</v>
      </c>
      <c r="C1971" s="68" t="n">
        <v>68</v>
      </c>
      <c r="D1971" s="68" t="inlineStr">
        <is>
          <t>HpRatio</t>
        </is>
      </c>
      <c r="E1971" s="68" t="n">
        <v>0</v>
      </c>
      <c r="F1971" s="68" t="inlineStr">
        <is>
          <t>AtkRatio</t>
        </is>
      </c>
      <c r="G1971" s="68" t="n">
        <v>21551500</v>
      </c>
      <c r="H1971" s="68" t="inlineStr">
        <is>
          <t>DefRatio</t>
        </is>
      </c>
      <c r="I1971" s="68">
        <f>G1971</f>
        <v/>
      </c>
    </row>
    <row r="1972">
      <c r="A1972" s="68">
        <f>B1972&amp;TEXT(C1972,"0000")</f>
        <v/>
      </c>
      <c r="B1972" s="68" t="n">
        <v>201</v>
      </c>
      <c r="C1972" s="68" t="n">
        <v>69</v>
      </c>
      <c r="D1972" s="68" t="inlineStr">
        <is>
          <t>HpRatio</t>
        </is>
      </c>
      <c r="E1972" s="68" t="n">
        <v>0</v>
      </c>
      <c r="F1972" s="68" t="inlineStr">
        <is>
          <t>AtkRatio</t>
        </is>
      </c>
      <c r="G1972" s="68" t="n">
        <v>22850500</v>
      </c>
      <c r="H1972" s="68" t="inlineStr">
        <is>
          <t>DefRatio</t>
        </is>
      </c>
      <c r="I1972" s="68">
        <f>G1972</f>
        <v/>
      </c>
    </row>
    <row r="1973">
      <c r="A1973" s="68">
        <f>B1973&amp;TEXT(C1973,"0000")</f>
        <v/>
      </c>
      <c r="B1973" s="68" t="n">
        <v>201</v>
      </c>
      <c r="C1973" s="68" t="n">
        <v>70</v>
      </c>
      <c r="D1973" s="68" t="inlineStr">
        <is>
          <t>HpRatio</t>
        </is>
      </c>
      <c r="E1973" s="68" t="n">
        <v>0</v>
      </c>
      <c r="F1973" s="68" t="inlineStr">
        <is>
          <t>AtkRatio</t>
        </is>
      </c>
      <c r="G1973" s="68" t="n">
        <v>24228000</v>
      </c>
      <c r="H1973" s="68" t="inlineStr">
        <is>
          <t>DefRatio</t>
        </is>
      </c>
      <c r="I1973" s="68">
        <f>G1973</f>
        <v/>
      </c>
    </row>
    <row r="1974">
      <c r="A1974" s="68">
        <f>B1974&amp;TEXT(C1974,"0000")</f>
        <v/>
      </c>
      <c r="B1974" s="68" t="n">
        <v>201</v>
      </c>
      <c r="C1974" s="68" t="n">
        <v>71</v>
      </c>
      <c r="D1974" s="68" t="inlineStr">
        <is>
          <t>HpRatio</t>
        </is>
      </c>
      <c r="E1974" s="68" t="n">
        <v>0</v>
      </c>
      <c r="F1974" s="68" t="inlineStr">
        <is>
          <t>AtkRatio</t>
        </is>
      </c>
      <c r="G1974" s="68" t="n">
        <v>25687500</v>
      </c>
      <c r="H1974" s="68" t="inlineStr">
        <is>
          <t>DefRatio</t>
        </is>
      </c>
      <c r="I1974" s="68">
        <f>G1974</f>
        <v/>
      </c>
    </row>
    <row r="1975">
      <c r="A1975" s="68">
        <f>B1975&amp;TEXT(C1975,"0000")</f>
        <v/>
      </c>
      <c r="B1975" s="68" t="n">
        <v>201</v>
      </c>
      <c r="C1975" s="68" t="n">
        <v>72</v>
      </c>
      <c r="D1975" s="68" t="inlineStr">
        <is>
          <t>HpRatio</t>
        </is>
      </c>
      <c r="E1975" s="68" t="n">
        <v>0</v>
      </c>
      <c r="F1975" s="68" t="inlineStr">
        <is>
          <t>AtkRatio</t>
        </is>
      </c>
      <c r="G1975" s="68" t="n">
        <v>27234500</v>
      </c>
      <c r="H1975" s="68" t="inlineStr">
        <is>
          <t>DefRatio</t>
        </is>
      </c>
      <c r="I1975" s="68">
        <f>G1975</f>
        <v/>
      </c>
    </row>
    <row r="1976">
      <c r="A1976" s="68">
        <f>B1976&amp;TEXT(C1976,"0000")</f>
        <v/>
      </c>
      <c r="B1976" s="68" t="n">
        <v>201</v>
      </c>
      <c r="C1976" s="68" t="n">
        <v>73</v>
      </c>
      <c r="D1976" s="68" t="inlineStr">
        <is>
          <t>HpRatio</t>
        </is>
      </c>
      <c r="E1976" s="68" t="n">
        <v>0</v>
      </c>
      <c r="F1976" s="68" t="inlineStr">
        <is>
          <t>AtkRatio</t>
        </is>
      </c>
      <c r="G1976" s="68" t="n">
        <v>28875000</v>
      </c>
      <c r="H1976" s="68" t="inlineStr">
        <is>
          <t>DefRatio</t>
        </is>
      </c>
      <c r="I1976" s="68">
        <f>G1976</f>
        <v/>
      </c>
    </row>
    <row r="1977">
      <c r="A1977" s="68">
        <f>B1977&amp;TEXT(C1977,"0000")</f>
        <v/>
      </c>
      <c r="B1977" s="68" t="n">
        <v>201</v>
      </c>
      <c r="C1977" s="68" t="n">
        <v>74</v>
      </c>
      <c r="D1977" s="68" t="inlineStr">
        <is>
          <t>HpRatio</t>
        </is>
      </c>
      <c r="E1977" s="68" t="n">
        <v>0</v>
      </c>
      <c r="F1977" s="68" t="inlineStr">
        <is>
          <t>AtkRatio</t>
        </is>
      </c>
      <c r="G1977" s="68" t="n">
        <v>30613500</v>
      </c>
      <c r="H1977" s="68" t="inlineStr">
        <is>
          <t>DefRatio</t>
        </is>
      </c>
      <c r="I1977" s="68">
        <f>G1977</f>
        <v/>
      </c>
    </row>
    <row r="1978">
      <c r="A1978" s="68">
        <f>B1978&amp;TEXT(C1978,"0000")</f>
        <v/>
      </c>
      <c r="B1978" s="68" t="n">
        <v>201</v>
      </c>
      <c r="C1978" s="68" t="n">
        <v>75</v>
      </c>
      <c r="D1978" s="68" t="inlineStr">
        <is>
          <t>HpRatio</t>
        </is>
      </c>
      <c r="E1978" s="68" t="n">
        <v>0</v>
      </c>
      <c r="F1978" s="68" t="inlineStr">
        <is>
          <t>AtkRatio</t>
        </is>
      </c>
      <c r="G1978" s="68" t="n">
        <v>32456000</v>
      </c>
      <c r="H1978" s="68" t="inlineStr">
        <is>
          <t>DefRatio</t>
        </is>
      </c>
      <c r="I1978" s="68">
        <f>G1978</f>
        <v/>
      </c>
    </row>
    <row r="1979">
      <c r="A1979" s="68">
        <f>B1979&amp;TEXT(C1979,"0000")</f>
        <v/>
      </c>
      <c r="B1979" s="68" t="n">
        <v>201</v>
      </c>
      <c r="C1979" s="68" t="n">
        <v>76</v>
      </c>
      <c r="D1979" s="68" t="inlineStr">
        <is>
          <t>HpRatio</t>
        </is>
      </c>
      <c r="E1979" s="68" t="n">
        <v>0</v>
      </c>
      <c r="F1979" s="68" t="inlineStr">
        <is>
          <t>AtkRatio</t>
        </is>
      </c>
      <c r="G1979" s="68" t="n">
        <v>34409500</v>
      </c>
      <c r="H1979" s="68" t="inlineStr">
        <is>
          <t>DefRatio</t>
        </is>
      </c>
      <c r="I1979" s="68">
        <f>G1979</f>
        <v/>
      </c>
    </row>
    <row r="1980">
      <c r="A1980" s="68">
        <f>B1980&amp;TEXT(C1980,"0000")</f>
        <v/>
      </c>
      <c r="B1980" s="68" t="n">
        <v>201</v>
      </c>
      <c r="C1980" s="68" t="n">
        <v>77</v>
      </c>
      <c r="D1980" s="68" t="inlineStr">
        <is>
          <t>HpRatio</t>
        </is>
      </c>
      <c r="E1980" s="68" t="n">
        <v>0</v>
      </c>
      <c r="F1980" s="68" t="inlineStr">
        <is>
          <t>AtkRatio</t>
        </is>
      </c>
      <c r="G1980" s="68" t="n">
        <v>36135000</v>
      </c>
      <c r="H1980" s="68" t="inlineStr">
        <is>
          <t>DefRatio</t>
        </is>
      </c>
      <c r="I1980" s="68">
        <f>G1980</f>
        <v/>
      </c>
    </row>
    <row r="1981">
      <c r="A1981" s="68">
        <f>B1981&amp;TEXT(C1981,"0000")</f>
        <v/>
      </c>
      <c r="B1981" s="68" t="n">
        <v>201</v>
      </c>
      <c r="C1981" s="68" t="n">
        <v>78</v>
      </c>
      <c r="D1981" s="68" t="inlineStr">
        <is>
          <t>HpRatio</t>
        </is>
      </c>
      <c r="E1981" s="68" t="n">
        <v>0</v>
      </c>
      <c r="F1981" s="68" t="inlineStr">
        <is>
          <t>AtkRatio</t>
        </is>
      </c>
      <c r="G1981" s="68" t="n">
        <v>37947000</v>
      </c>
      <c r="H1981" s="68" t="inlineStr">
        <is>
          <t>DefRatio</t>
        </is>
      </c>
      <c r="I1981" s="68">
        <f>G1981</f>
        <v/>
      </c>
    </row>
    <row r="1982">
      <c r="A1982" s="68">
        <f>B1982&amp;TEXT(C1982,"0000")</f>
        <v/>
      </c>
      <c r="B1982" s="68" t="n">
        <v>201</v>
      </c>
      <c r="C1982" s="68" t="n">
        <v>79</v>
      </c>
      <c r="D1982" s="68" t="inlineStr">
        <is>
          <t>HpRatio</t>
        </is>
      </c>
      <c r="E1982" s="68" t="n">
        <v>0</v>
      </c>
      <c r="F1982" s="68" t="inlineStr">
        <is>
          <t>AtkRatio</t>
        </is>
      </c>
      <c r="G1982" s="68" t="n">
        <v>39849000</v>
      </c>
      <c r="H1982" s="68" t="inlineStr">
        <is>
          <t>DefRatio</t>
        </is>
      </c>
      <c r="I1982" s="68">
        <f>G1982</f>
        <v/>
      </c>
    </row>
    <row r="1983">
      <c r="A1983" s="68">
        <f>B1983&amp;TEXT(C1983,"0000")</f>
        <v/>
      </c>
      <c r="B1983" s="68" t="n">
        <v>201</v>
      </c>
      <c r="C1983" s="68" t="n">
        <v>80</v>
      </c>
      <c r="D1983" s="68" t="inlineStr">
        <is>
          <t>HpRatio</t>
        </is>
      </c>
      <c r="E1983" s="68" t="n">
        <v>0</v>
      </c>
      <c r="F1983" s="68" t="inlineStr">
        <is>
          <t>AtkRatio</t>
        </is>
      </c>
      <c r="G1983" s="68" t="n">
        <v>41846500</v>
      </c>
      <c r="H1983" s="68" t="inlineStr">
        <is>
          <t>DefRatio</t>
        </is>
      </c>
      <c r="I1983" s="68">
        <f>G1983</f>
        <v/>
      </c>
    </row>
    <row r="1984">
      <c r="A1984" s="68">
        <f>B1984&amp;TEXT(C1984,"0000")</f>
        <v/>
      </c>
      <c r="B1984" s="68" t="n">
        <v>201</v>
      </c>
      <c r="C1984" s="68" t="n">
        <v>81</v>
      </c>
      <c r="D1984" s="68" t="inlineStr">
        <is>
          <t>HpRatio</t>
        </is>
      </c>
      <c r="E1984" s="68" t="n">
        <v>0</v>
      </c>
      <c r="F1984" s="68" t="inlineStr">
        <is>
          <t>AtkRatio</t>
        </is>
      </c>
      <c r="G1984" s="68" t="n">
        <v>43944000</v>
      </c>
      <c r="H1984" s="68" t="inlineStr">
        <is>
          <t>DefRatio</t>
        </is>
      </c>
      <c r="I1984" s="68">
        <f>G1984</f>
        <v/>
      </c>
    </row>
    <row r="1985">
      <c r="A1985" s="68">
        <f>B1985&amp;TEXT(C1985,"0000")</f>
        <v/>
      </c>
      <c r="B1985" s="68" t="n">
        <v>201</v>
      </c>
      <c r="C1985" s="68" t="n">
        <v>82</v>
      </c>
      <c r="D1985" s="68" t="inlineStr">
        <is>
          <t>HpRatio</t>
        </is>
      </c>
      <c r="E1985" s="68" t="n">
        <v>0</v>
      </c>
      <c r="F1985" s="68" t="inlineStr">
        <is>
          <t>AtkRatio</t>
        </is>
      </c>
      <c r="G1985" s="68" t="n">
        <v>46146000</v>
      </c>
      <c r="H1985" s="68" t="inlineStr">
        <is>
          <t>DefRatio</t>
        </is>
      </c>
      <c r="I1985" s="68">
        <f>G1985</f>
        <v/>
      </c>
    </row>
    <row r="1986">
      <c r="A1986" s="68">
        <f>B1986&amp;TEXT(C1986,"0000")</f>
        <v/>
      </c>
      <c r="B1986" s="68" t="n">
        <v>201</v>
      </c>
      <c r="C1986" s="68" t="n">
        <v>83</v>
      </c>
      <c r="D1986" s="68" t="inlineStr">
        <is>
          <t>HpRatio</t>
        </is>
      </c>
      <c r="E1986" s="68" t="n">
        <v>0</v>
      </c>
      <c r="F1986" s="68" t="inlineStr">
        <is>
          <t>AtkRatio</t>
        </is>
      </c>
      <c r="G1986" s="68" t="n">
        <v>48458500</v>
      </c>
      <c r="H1986" s="68" t="inlineStr">
        <is>
          <t>DefRatio</t>
        </is>
      </c>
      <c r="I1986" s="68">
        <f>G1986</f>
        <v/>
      </c>
    </row>
    <row r="1987">
      <c r="A1987" s="68">
        <f>B1987&amp;TEXT(C1987,"0000")</f>
        <v/>
      </c>
      <c r="B1987" s="68" t="n">
        <v>201</v>
      </c>
      <c r="C1987" s="68" t="n">
        <v>84</v>
      </c>
      <c r="D1987" s="68" t="inlineStr">
        <is>
          <t>HpRatio</t>
        </is>
      </c>
      <c r="E1987" s="68" t="n">
        <v>0</v>
      </c>
      <c r="F1987" s="68" t="inlineStr">
        <is>
          <t>AtkRatio</t>
        </is>
      </c>
      <c r="G1987" s="68" t="n">
        <v>50886500</v>
      </c>
      <c r="H1987" s="68" t="inlineStr">
        <is>
          <t>DefRatio</t>
        </is>
      </c>
      <c r="I1987" s="68">
        <f>G1987</f>
        <v/>
      </c>
    </row>
    <row r="1988">
      <c r="A1988" s="68">
        <f>B1988&amp;TEXT(C1988,"0000")</f>
        <v/>
      </c>
      <c r="B1988" s="68" t="n">
        <v>201</v>
      </c>
      <c r="C1988" s="68" t="n">
        <v>85</v>
      </c>
      <c r="D1988" s="68" t="inlineStr">
        <is>
          <t>HpRatio</t>
        </is>
      </c>
      <c r="E1988" s="68" t="n">
        <v>0</v>
      </c>
      <c r="F1988" s="68" t="inlineStr">
        <is>
          <t>AtkRatio</t>
        </is>
      </c>
      <c r="G1988" s="68" t="n">
        <v>53435500</v>
      </c>
      <c r="H1988" s="68" t="inlineStr">
        <is>
          <t>DefRatio</t>
        </is>
      </c>
      <c r="I1988" s="68">
        <f>G1988</f>
        <v/>
      </c>
    </row>
    <row r="1989">
      <c r="A1989" s="68">
        <f>B1989&amp;TEXT(C1989,"0000")</f>
        <v/>
      </c>
      <c r="B1989" s="68" t="n">
        <v>201</v>
      </c>
      <c r="C1989" s="68" t="n">
        <v>86</v>
      </c>
      <c r="D1989" s="68" t="inlineStr">
        <is>
          <t>HpRatio</t>
        </is>
      </c>
      <c r="E1989" s="68" t="n">
        <v>0</v>
      </c>
      <c r="F1989" s="68" t="inlineStr">
        <is>
          <t>AtkRatio</t>
        </is>
      </c>
      <c r="G1989" s="68" t="n">
        <v>56112500</v>
      </c>
      <c r="H1989" s="68" t="inlineStr">
        <is>
          <t>DefRatio</t>
        </is>
      </c>
      <c r="I1989" s="68">
        <f>G1989</f>
        <v/>
      </c>
    </row>
    <row r="1990">
      <c r="A1990" s="68">
        <f>B1990&amp;TEXT(C1990,"0000")</f>
        <v/>
      </c>
      <c r="B1990" s="68" t="n">
        <v>201</v>
      </c>
      <c r="C1990" s="68" t="n">
        <v>87</v>
      </c>
      <c r="D1990" s="68" t="inlineStr">
        <is>
          <t>HpRatio</t>
        </is>
      </c>
      <c r="E1990" s="68" t="n">
        <v>0</v>
      </c>
      <c r="F1990" s="68" t="inlineStr">
        <is>
          <t>AtkRatio</t>
        </is>
      </c>
      <c r="G1990" s="68" t="n">
        <v>58923000</v>
      </c>
      <c r="H1990" s="68" t="inlineStr">
        <is>
          <t>DefRatio</t>
        </is>
      </c>
      <c r="I1990" s="68">
        <f>G1990</f>
        <v/>
      </c>
    </row>
    <row r="1991">
      <c r="A1991" s="68">
        <f>B1991&amp;TEXT(C1991,"0000")</f>
        <v/>
      </c>
      <c r="B1991" s="68" t="n">
        <v>201</v>
      </c>
      <c r="C1991" s="68" t="n">
        <v>88</v>
      </c>
      <c r="D1991" s="68" t="inlineStr">
        <is>
          <t>HpRatio</t>
        </is>
      </c>
      <c r="E1991" s="68" t="n">
        <v>0</v>
      </c>
      <c r="F1991" s="68" t="inlineStr">
        <is>
          <t>AtkRatio</t>
        </is>
      </c>
      <c r="G1991" s="68" t="n">
        <v>61874500</v>
      </c>
      <c r="H1991" s="68" t="inlineStr">
        <is>
          <t>DefRatio</t>
        </is>
      </c>
      <c r="I1991" s="68">
        <f>G1991</f>
        <v/>
      </c>
    </row>
    <row r="1992">
      <c r="A1992" s="68">
        <f>B1992&amp;TEXT(C1992,"0000")</f>
        <v/>
      </c>
      <c r="B1992" s="68" t="n">
        <v>201</v>
      </c>
      <c r="C1992" s="68" t="n">
        <v>89</v>
      </c>
      <c r="D1992" s="68" t="inlineStr">
        <is>
          <t>HpRatio</t>
        </is>
      </c>
      <c r="E1992" s="68" t="n">
        <v>0</v>
      </c>
      <c r="F1992" s="68" t="inlineStr">
        <is>
          <t>AtkRatio</t>
        </is>
      </c>
      <c r="G1992" s="68" t="n">
        <v>64973000</v>
      </c>
      <c r="H1992" s="68" t="inlineStr">
        <is>
          <t>DefRatio</t>
        </is>
      </c>
      <c r="I1992" s="68">
        <f>G1992</f>
        <v/>
      </c>
    </row>
    <row r="1993">
      <c r="A1993" s="68">
        <f>B1993&amp;TEXT(C1993,"0000")</f>
        <v/>
      </c>
      <c r="B1993" s="68" t="n">
        <v>201</v>
      </c>
      <c r="C1993" s="68" t="n">
        <v>90</v>
      </c>
      <c r="D1993" s="68" t="inlineStr">
        <is>
          <t>HpRatio</t>
        </is>
      </c>
      <c r="E1993" s="68" t="n">
        <v>0</v>
      </c>
      <c r="F1993" s="68" t="inlineStr">
        <is>
          <t>AtkRatio</t>
        </is>
      </c>
      <c r="G1993" s="68" t="n">
        <v>68226500</v>
      </c>
      <c r="H1993" s="68" t="inlineStr">
        <is>
          <t>DefRatio</t>
        </is>
      </c>
      <c r="I1993" s="68">
        <f>G1993</f>
        <v/>
      </c>
    </row>
    <row r="1994">
      <c r="A1994" s="68">
        <f>B1994&amp;TEXT(C1994,"0000")</f>
        <v/>
      </c>
      <c r="B1994" s="68" t="n">
        <v>201</v>
      </c>
      <c r="C1994" s="68" t="n">
        <v>91</v>
      </c>
      <c r="D1994" s="68" t="inlineStr">
        <is>
          <t>HpRatio</t>
        </is>
      </c>
      <c r="E1994" s="68" t="n">
        <v>0</v>
      </c>
      <c r="F1994" s="68" t="inlineStr">
        <is>
          <t>AtkRatio</t>
        </is>
      </c>
      <c r="G1994" s="68" t="n">
        <v>71643000</v>
      </c>
      <c r="H1994" s="68" t="inlineStr">
        <is>
          <t>DefRatio</t>
        </is>
      </c>
      <c r="I1994" s="68">
        <f>G1994</f>
        <v/>
      </c>
    </row>
    <row r="1995">
      <c r="A1995" s="68">
        <f>B1995&amp;TEXT(C1995,"0000")</f>
        <v/>
      </c>
      <c r="B1995" s="68" t="n">
        <v>201</v>
      </c>
      <c r="C1995" s="68" t="n">
        <v>92</v>
      </c>
      <c r="D1995" s="68" t="inlineStr">
        <is>
          <t>HpRatio</t>
        </is>
      </c>
      <c r="E1995" s="68" t="n">
        <v>0</v>
      </c>
      <c r="F1995" s="68" t="inlineStr">
        <is>
          <t>AtkRatio</t>
        </is>
      </c>
      <c r="G1995" s="68" t="n">
        <v>75230500</v>
      </c>
      <c r="H1995" s="68" t="inlineStr">
        <is>
          <t>DefRatio</t>
        </is>
      </c>
      <c r="I1995" s="68">
        <f>G1995</f>
        <v/>
      </c>
    </row>
    <row r="1996">
      <c r="A1996" s="68">
        <f>B1996&amp;TEXT(C1996,"0000")</f>
        <v/>
      </c>
      <c r="B1996" s="68" t="n">
        <v>201</v>
      </c>
      <c r="C1996" s="68" t="n">
        <v>93</v>
      </c>
      <c r="D1996" s="68" t="inlineStr">
        <is>
          <t>HpRatio</t>
        </is>
      </c>
      <c r="E1996" s="68" t="n">
        <v>0</v>
      </c>
      <c r="F1996" s="68" t="inlineStr">
        <is>
          <t>AtkRatio</t>
        </is>
      </c>
      <c r="G1996" s="68" t="n">
        <v>78997000</v>
      </c>
      <c r="H1996" s="68" t="inlineStr">
        <is>
          <t>DefRatio</t>
        </is>
      </c>
      <c r="I1996" s="68">
        <f>G1996</f>
        <v/>
      </c>
    </row>
    <row r="1997">
      <c r="A1997" s="68">
        <f>B1997&amp;TEXT(C1997,"0000")</f>
        <v/>
      </c>
      <c r="B1997" s="68" t="n">
        <v>201</v>
      </c>
      <c r="C1997" s="68" t="n">
        <v>94</v>
      </c>
      <c r="D1997" s="68" t="inlineStr">
        <is>
          <t>HpRatio</t>
        </is>
      </c>
      <c r="E1997" s="68" t="n">
        <v>0</v>
      </c>
      <c r="F1997" s="68" t="inlineStr">
        <is>
          <t>AtkRatio</t>
        </is>
      </c>
      <c r="G1997" s="68" t="n">
        <v>82951500</v>
      </c>
      <c r="H1997" s="68" t="inlineStr">
        <is>
          <t>DefRatio</t>
        </is>
      </c>
      <c r="I1997" s="68">
        <f>G1997</f>
        <v/>
      </c>
    </row>
    <row r="1998">
      <c r="A1998" s="68">
        <f>B1998&amp;TEXT(C1998,"0000")</f>
        <v/>
      </c>
      <c r="B1998" s="68" t="n">
        <v>201</v>
      </c>
      <c r="C1998" s="68" t="n">
        <v>95</v>
      </c>
      <c r="D1998" s="68" t="inlineStr">
        <is>
          <t>HpRatio</t>
        </is>
      </c>
      <c r="E1998" s="68" t="n">
        <v>0</v>
      </c>
      <c r="F1998" s="68" t="inlineStr">
        <is>
          <t>AtkRatio</t>
        </is>
      </c>
      <c r="G1998" s="68" t="n">
        <v>87104000</v>
      </c>
      <c r="H1998" s="68" t="inlineStr">
        <is>
          <t>DefRatio</t>
        </is>
      </c>
      <c r="I1998" s="68">
        <f>G1998</f>
        <v/>
      </c>
    </row>
    <row r="1999">
      <c r="A1999" s="68">
        <f>B1999&amp;TEXT(C1999,"0000")</f>
        <v/>
      </c>
      <c r="B1999" s="68" t="n">
        <v>201</v>
      </c>
      <c r="C1999" s="68" t="n">
        <v>96</v>
      </c>
      <c r="D1999" s="68" t="inlineStr">
        <is>
          <t>HpRatio</t>
        </is>
      </c>
      <c r="E1999" s="68" t="n">
        <v>0</v>
      </c>
      <c r="F1999" s="68" t="inlineStr">
        <is>
          <t>AtkRatio</t>
        </is>
      </c>
      <c r="G1999" s="68" t="n">
        <v>91464500</v>
      </c>
      <c r="H1999" s="68" t="inlineStr">
        <is>
          <t>DefRatio</t>
        </is>
      </c>
      <c r="I1999" s="68">
        <f>G1999</f>
        <v/>
      </c>
    </row>
    <row r="2000">
      <c r="A2000" s="68">
        <f>B2000&amp;TEXT(C2000,"0000")</f>
        <v/>
      </c>
      <c r="B2000" s="68" t="n">
        <v>201</v>
      </c>
      <c r="C2000" s="68" t="n">
        <v>97</v>
      </c>
      <c r="D2000" s="68" t="inlineStr">
        <is>
          <t>HpRatio</t>
        </is>
      </c>
      <c r="E2000" s="68" t="n">
        <v>0</v>
      </c>
      <c r="F2000" s="68" t="inlineStr">
        <is>
          <t>AtkRatio</t>
        </is>
      </c>
      <c r="G2000" s="68" t="n">
        <v>96958500</v>
      </c>
      <c r="H2000" s="68" t="inlineStr">
        <is>
          <t>DefRatio</t>
        </is>
      </c>
      <c r="I2000" s="68">
        <f>G2000</f>
        <v/>
      </c>
    </row>
    <row r="2001">
      <c r="A2001" s="68">
        <f>B2001&amp;TEXT(C2001,"0000")</f>
        <v/>
      </c>
      <c r="B2001" s="68" t="n">
        <v>201</v>
      </c>
      <c r="C2001" s="68" t="n">
        <v>98</v>
      </c>
      <c r="D2001" s="68" t="inlineStr">
        <is>
          <t>HpRatio</t>
        </is>
      </c>
      <c r="E2001" s="68" t="n">
        <v>0</v>
      </c>
      <c r="F2001" s="68" t="inlineStr">
        <is>
          <t>AtkRatio</t>
        </is>
      </c>
      <c r="G2001" s="68" t="n">
        <v>98899500</v>
      </c>
      <c r="H2001" s="68" t="inlineStr">
        <is>
          <t>DefRatio</t>
        </is>
      </c>
      <c r="I2001" s="68">
        <f>G2001</f>
        <v/>
      </c>
    </row>
    <row r="2002">
      <c r="A2002" s="68">
        <f>B2002&amp;TEXT(C2002,"0000")</f>
        <v/>
      </c>
      <c r="B2002" s="68" t="n">
        <v>201</v>
      </c>
      <c r="C2002" s="68" t="n">
        <v>99</v>
      </c>
      <c r="D2002" s="68" t="inlineStr">
        <is>
          <t>HpRatio</t>
        </is>
      </c>
      <c r="E2002" s="68" t="n">
        <v>0</v>
      </c>
      <c r="F2002" s="68" t="inlineStr">
        <is>
          <t>AtkRatio</t>
        </is>
      </c>
      <c r="G2002" s="68" t="n">
        <v>100879500</v>
      </c>
      <c r="H2002" s="68" t="inlineStr">
        <is>
          <t>DefRatio</t>
        </is>
      </c>
      <c r="I2002" s="68">
        <f>G2002</f>
        <v/>
      </c>
    </row>
    <row r="2003">
      <c r="A2003" s="68">
        <f>B2003&amp;TEXT(C2003,"0000")</f>
        <v/>
      </c>
      <c r="B2003" s="68" t="n">
        <v>201</v>
      </c>
      <c r="C2003" s="68" t="n">
        <v>100</v>
      </c>
      <c r="D2003" s="68" t="inlineStr">
        <is>
          <t>HpRatio</t>
        </is>
      </c>
      <c r="E2003" s="68" t="n">
        <v>0</v>
      </c>
      <c r="F2003" s="68" t="inlineStr">
        <is>
          <t>AtkRatio</t>
        </is>
      </c>
      <c r="G2003" s="68" t="n">
        <v>102899000</v>
      </c>
      <c r="H2003" s="68" t="inlineStr">
        <is>
          <t>DefRatio</t>
        </is>
      </c>
      <c r="I2003" s="68">
        <f>G2003</f>
        <v/>
      </c>
    </row>
    <row r="2004">
      <c r="A2004" s="68">
        <f>B2004&amp;TEXT(C2004,"0000")</f>
        <v/>
      </c>
      <c r="B2004" s="68" t="n">
        <v>201</v>
      </c>
      <c r="C2004" s="68" t="n">
        <v>101</v>
      </c>
      <c r="D2004" s="68" t="inlineStr">
        <is>
          <t>HpRatio</t>
        </is>
      </c>
      <c r="E2004" s="68" t="n">
        <v>0</v>
      </c>
      <c r="F2004" s="68" t="inlineStr">
        <is>
          <t>AtkRatio</t>
        </is>
      </c>
      <c r="G2004" s="68" t="n">
        <v>104959000</v>
      </c>
      <c r="H2004" s="68" t="inlineStr">
        <is>
          <t>DefRatio</t>
        </is>
      </c>
      <c r="I2004" s="68">
        <f>G2004</f>
        <v/>
      </c>
    </row>
    <row r="2005">
      <c r="A2005" s="68">
        <f>B2005&amp;TEXT(C2005,"0000")</f>
        <v/>
      </c>
      <c r="B2005" s="68" t="n">
        <v>201</v>
      </c>
      <c r="C2005" s="68" t="n">
        <v>102</v>
      </c>
      <c r="D2005" s="68" t="inlineStr">
        <is>
          <t>HpRatio</t>
        </is>
      </c>
      <c r="E2005" s="68" t="n">
        <v>0</v>
      </c>
      <c r="F2005" s="68" t="inlineStr">
        <is>
          <t>AtkRatio</t>
        </is>
      </c>
      <c r="G2005" s="68" t="n">
        <v>107060500</v>
      </c>
      <c r="H2005" s="68" t="inlineStr">
        <is>
          <t>DefRatio</t>
        </is>
      </c>
      <c r="I2005" s="68">
        <f>G2005</f>
        <v/>
      </c>
    </row>
    <row r="2006">
      <c r="A2006" s="68">
        <f>B2006&amp;TEXT(C2006,"0000")</f>
        <v/>
      </c>
      <c r="B2006" s="68" t="n">
        <v>201</v>
      </c>
      <c r="C2006" s="68" t="n">
        <v>103</v>
      </c>
      <c r="D2006" s="68" t="inlineStr">
        <is>
          <t>HpRatio</t>
        </is>
      </c>
      <c r="E2006" s="68" t="n">
        <v>0</v>
      </c>
      <c r="F2006" s="68" t="inlineStr">
        <is>
          <t>AtkRatio</t>
        </is>
      </c>
      <c r="G2006" s="68" t="n">
        <v>109203500</v>
      </c>
      <c r="H2006" s="68" t="inlineStr">
        <is>
          <t>DefRatio</t>
        </is>
      </c>
      <c r="I2006" s="68">
        <f>G2006</f>
        <v/>
      </c>
    </row>
    <row r="2007">
      <c r="A2007" s="68">
        <f>B2007&amp;TEXT(C2007,"0000")</f>
        <v/>
      </c>
      <c r="B2007" s="68" t="n">
        <v>201</v>
      </c>
      <c r="C2007" s="68" t="n">
        <v>104</v>
      </c>
      <c r="D2007" s="68" t="inlineStr">
        <is>
          <t>HpRatio</t>
        </is>
      </c>
      <c r="E2007" s="68" t="n">
        <v>0</v>
      </c>
      <c r="F2007" s="68" t="inlineStr">
        <is>
          <t>AtkRatio</t>
        </is>
      </c>
      <c r="G2007" s="68" t="n">
        <v>111389500</v>
      </c>
      <c r="H2007" s="68" t="inlineStr">
        <is>
          <t>DefRatio</t>
        </is>
      </c>
      <c r="I2007" s="68">
        <f>G2007</f>
        <v/>
      </c>
    </row>
    <row r="2008">
      <c r="A2008" s="68">
        <f>B2008&amp;TEXT(C2008,"0000")</f>
        <v/>
      </c>
      <c r="B2008" s="68" t="n">
        <v>201</v>
      </c>
      <c r="C2008" s="68" t="n">
        <v>105</v>
      </c>
      <c r="D2008" s="68" t="inlineStr">
        <is>
          <t>HpRatio</t>
        </is>
      </c>
      <c r="E2008" s="68" t="n">
        <v>0</v>
      </c>
      <c r="F2008" s="68" t="inlineStr">
        <is>
          <t>AtkRatio</t>
        </is>
      </c>
      <c r="G2008" s="68" t="n">
        <v>113619500</v>
      </c>
      <c r="H2008" s="68" t="inlineStr">
        <is>
          <t>DefRatio</t>
        </is>
      </c>
      <c r="I2008" s="68">
        <f>G2008</f>
        <v/>
      </c>
    </row>
    <row r="2009">
      <c r="A2009" s="68">
        <f>B2009&amp;TEXT(C2009,"0000")</f>
        <v/>
      </c>
      <c r="B2009" s="68" t="n">
        <v>201</v>
      </c>
      <c r="C2009" s="68" t="n">
        <v>106</v>
      </c>
      <c r="D2009" s="68" t="inlineStr">
        <is>
          <t>HpRatio</t>
        </is>
      </c>
      <c r="E2009" s="68" t="n">
        <v>0</v>
      </c>
      <c r="F2009" s="68" t="inlineStr">
        <is>
          <t>AtkRatio</t>
        </is>
      </c>
      <c r="G2009" s="68" t="n">
        <v>115893500</v>
      </c>
      <c r="H2009" s="68" t="inlineStr">
        <is>
          <t>DefRatio</t>
        </is>
      </c>
      <c r="I2009" s="68">
        <f>G2009</f>
        <v/>
      </c>
    </row>
    <row r="2010">
      <c r="A2010" s="68">
        <f>B2010&amp;TEXT(C2010,"0000")</f>
        <v/>
      </c>
      <c r="B2010" s="68" t="n">
        <v>201</v>
      </c>
      <c r="C2010" s="68" t="n">
        <v>107</v>
      </c>
      <c r="D2010" s="68" t="inlineStr">
        <is>
          <t>HpRatio</t>
        </is>
      </c>
      <c r="E2010" s="68" t="n">
        <v>0</v>
      </c>
      <c r="F2010" s="68" t="inlineStr">
        <is>
          <t>AtkRatio</t>
        </is>
      </c>
      <c r="G2010" s="68" t="n">
        <v>118213500</v>
      </c>
      <c r="H2010" s="68" t="inlineStr">
        <is>
          <t>DefRatio</t>
        </is>
      </c>
      <c r="I2010" s="68">
        <f>G2010</f>
        <v/>
      </c>
    </row>
    <row r="2011">
      <c r="A2011" s="68">
        <f>B2011&amp;TEXT(C2011,"0000")</f>
        <v/>
      </c>
      <c r="B2011" s="68" t="n">
        <v>201</v>
      </c>
      <c r="C2011" s="68" t="n">
        <v>108</v>
      </c>
      <c r="D2011" s="68" t="inlineStr">
        <is>
          <t>HpRatio</t>
        </is>
      </c>
      <c r="E2011" s="68" t="n">
        <v>0</v>
      </c>
      <c r="F2011" s="68" t="inlineStr">
        <is>
          <t>AtkRatio</t>
        </is>
      </c>
      <c r="G2011" s="68" t="n">
        <v>120580000</v>
      </c>
      <c r="H2011" s="68" t="inlineStr">
        <is>
          <t>DefRatio</t>
        </is>
      </c>
      <c r="I2011" s="68">
        <f>G2011</f>
        <v/>
      </c>
    </row>
    <row r="2012">
      <c r="A2012" s="68">
        <f>B2012&amp;TEXT(C2012,"0000")</f>
        <v/>
      </c>
      <c r="B2012" s="68" t="n">
        <v>201</v>
      </c>
      <c r="C2012" s="68" t="n">
        <v>109</v>
      </c>
      <c r="D2012" s="68" t="inlineStr">
        <is>
          <t>HpRatio</t>
        </is>
      </c>
      <c r="E2012" s="68" t="n">
        <v>0</v>
      </c>
      <c r="F2012" s="68" t="inlineStr">
        <is>
          <t>AtkRatio</t>
        </is>
      </c>
      <c r="G2012" s="68" t="n">
        <v>122993500</v>
      </c>
      <c r="H2012" s="68" t="inlineStr">
        <is>
          <t>DefRatio</t>
        </is>
      </c>
      <c r="I2012" s="68">
        <f>G2012</f>
        <v/>
      </c>
    </row>
    <row r="2013">
      <c r="A2013" s="68">
        <f>B2013&amp;TEXT(C2013,"0000")</f>
        <v/>
      </c>
      <c r="B2013" s="68" t="n">
        <v>201</v>
      </c>
      <c r="C2013" s="68" t="n">
        <v>110</v>
      </c>
      <c r="D2013" s="68" t="inlineStr">
        <is>
          <t>HpRatio</t>
        </is>
      </c>
      <c r="E2013" s="68" t="n">
        <v>0</v>
      </c>
      <c r="F2013" s="68" t="inlineStr">
        <is>
          <t>AtkRatio</t>
        </is>
      </c>
      <c r="G2013" s="68" t="n">
        <v>125455500</v>
      </c>
      <c r="H2013" s="68" t="inlineStr">
        <is>
          <t>DefRatio</t>
        </is>
      </c>
      <c r="I2013" s="68">
        <f>G2013</f>
        <v/>
      </c>
    </row>
    <row r="2014">
      <c r="A2014" s="68">
        <f>B2014&amp;TEXT(C2014,"0000")</f>
        <v/>
      </c>
      <c r="B2014" s="68" t="n">
        <v>201</v>
      </c>
      <c r="C2014" s="68" t="n">
        <v>111</v>
      </c>
      <c r="D2014" s="68" t="inlineStr">
        <is>
          <t>HpRatio</t>
        </is>
      </c>
      <c r="E2014" s="68" t="n">
        <v>0</v>
      </c>
      <c r="F2014" s="68" t="inlineStr">
        <is>
          <t>AtkRatio</t>
        </is>
      </c>
      <c r="G2014" s="68" t="n">
        <v>127966500</v>
      </c>
      <c r="H2014" s="68" t="inlineStr">
        <is>
          <t>DefRatio</t>
        </is>
      </c>
      <c r="I2014" s="68">
        <f>G2014</f>
        <v/>
      </c>
    </row>
    <row r="2015">
      <c r="A2015" s="68">
        <f>B2015&amp;TEXT(C2015,"0000")</f>
        <v/>
      </c>
      <c r="B2015" s="68" t="n">
        <v>201</v>
      </c>
      <c r="C2015" s="68" t="n">
        <v>112</v>
      </c>
      <c r="D2015" s="68" t="inlineStr">
        <is>
          <t>HpRatio</t>
        </is>
      </c>
      <c r="E2015" s="68" t="n">
        <v>0</v>
      </c>
      <c r="F2015" s="68" t="inlineStr">
        <is>
          <t>AtkRatio</t>
        </is>
      </c>
      <c r="G2015" s="68" t="n">
        <v>130528000</v>
      </c>
      <c r="H2015" s="68" t="inlineStr">
        <is>
          <t>DefRatio</t>
        </is>
      </c>
      <c r="I2015" s="68">
        <f>G2015</f>
        <v/>
      </c>
    </row>
    <row r="2016">
      <c r="A2016" s="68">
        <f>B2016&amp;TEXT(C2016,"0000")</f>
        <v/>
      </c>
      <c r="B2016" s="68" t="n">
        <v>201</v>
      </c>
      <c r="C2016" s="68" t="n">
        <v>113</v>
      </c>
      <c r="D2016" s="68" t="inlineStr">
        <is>
          <t>HpRatio</t>
        </is>
      </c>
      <c r="E2016" s="68" t="n">
        <v>0</v>
      </c>
      <c r="F2016" s="68" t="inlineStr">
        <is>
          <t>AtkRatio</t>
        </is>
      </c>
      <c r="G2016" s="68" t="n">
        <v>133140500</v>
      </c>
      <c r="H2016" s="68" t="inlineStr">
        <is>
          <t>DefRatio</t>
        </is>
      </c>
      <c r="I2016" s="68">
        <f>G2016</f>
        <v/>
      </c>
    </row>
    <row r="2017">
      <c r="A2017" s="68">
        <f>B2017&amp;TEXT(C2017,"0000")</f>
        <v/>
      </c>
      <c r="B2017" s="68" t="n">
        <v>201</v>
      </c>
      <c r="C2017" s="68" t="n">
        <v>114</v>
      </c>
      <c r="D2017" s="68" t="inlineStr">
        <is>
          <t>HpRatio</t>
        </is>
      </c>
      <c r="E2017" s="68" t="n">
        <v>0</v>
      </c>
      <c r="F2017" s="68" t="inlineStr">
        <is>
          <t>AtkRatio</t>
        </is>
      </c>
      <c r="G2017" s="68" t="n">
        <v>135805000</v>
      </c>
      <c r="H2017" s="68" t="inlineStr">
        <is>
          <t>DefRatio</t>
        </is>
      </c>
      <c r="I2017" s="68">
        <f>G2017</f>
        <v/>
      </c>
    </row>
    <row r="2018">
      <c r="A2018" s="68">
        <f>B2018&amp;TEXT(C2018,"0000")</f>
        <v/>
      </c>
      <c r="B2018" s="68" t="n">
        <v>201</v>
      </c>
      <c r="C2018" s="68" t="n">
        <v>115</v>
      </c>
      <c r="D2018" s="68" t="inlineStr">
        <is>
          <t>HpRatio</t>
        </is>
      </c>
      <c r="E2018" s="68" t="n">
        <v>0</v>
      </c>
      <c r="F2018" s="68" t="inlineStr">
        <is>
          <t>AtkRatio</t>
        </is>
      </c>
      <c r="G2018" s="68" t="n">
        <v>138523500</v>
      </c>
      <c r="H2018" s="68" t="inlineStr">
        <is>
          <t>DefRatio</t>
        </is>
      </c>
      <c r="I2018" s="68">
        <f>G2018</f>
        <v/>
      </c>
    </row>
    <row r="2019">
      <c r="A2019" s="68">
        <f>B2019&amp;TEXT(C2019,"0000")</f>
        <v/>
      </c>
      <c r="B2019" s="68" t="n">
        <v>201</v>
      </c>
      <c r="C2019" s="68" t="n">
        <v>116</v>
      </c>
      <c r="D2019" s="68" t="inlineStr">
        <is>
          <t>HpRatio</t>
        </is>
      </c>
      <c r="E2019" s="68" t="n">
        <v>0</v>
      </c>
      <c r="F2019" s="68" t="inlineStr">
        <is>
          <t>AtkRatio</t>
        </is>
      </c>
      <c r="G2019" s="68" t="n">
        <v>141296000</v>
      </c>
      <c r="H2019" s="68" t="inlineStr">
        <is>
          <t>DefRatio</t>
        </is>
      </c>
      <c r="I2019" s="68">
        <f>G2019</f>
        <v/>
      </c>
    </row>
    <row r="2020">
      <c r="A2020" s="68">
        <f>B2020&amp;TEXT(C2020,"0000")</f>
        <v/>
      </c>
      <c r="B2020" s="68" t="n">
        <v>201</v>
      </c>
      <c r="C2020" s="68" t="n">
        <v>117</v>
      </c>
      <c r="D2020" s="68" t="inlineStr">
        <is>
          <t>HpRatio</t>
        </is>
      </c>
      <c r="E2020" s="68" t="n">
        <v>0</v>
      </c>
      <c r="F2020" s="68" t="inlineStr">
        <is>
          <t>AtkRatio</t>
        </is>
      </c>
      <c r="G2020" s="68" t="n">
        <v>144123500</v>
      </c>
      <c r="H2020" s="68" t="inlineStr">
        <is>
          <t>DefRatio</t>
        </is>
      </c>
      <c r="I2020" s="68">
        <f>G2020</f>
        <v/>
      </c>
    </row>
    <row r="2021">
      <c r="A2021" s="68">
        <f>B2021&amp;TEXT(C2021,"0000")</f>
        <v/>
      </c>
      <c r="B2021" s="68" t="n">
        <v>201</v>
      </c>
      <c r="C2021" s="68" t="n">
        <v>118</v>
      </c>
      <c r="D2021" s="68" t="inlineStr">
        <is>
          <t>HpRatio</t>
        </is>
      </c>
      <c r="E2021" s="68" t="n">
        <v>0</v>
      </c>
      <c r="F2021" s="68" t="inlineStr">
        <is>
          <t>AtkRatio</t>
        </is>
      </c>
      <c r="G2021" s="68" t="n">
        <v>147008000</v>
      </c>
      <c r="H2021" s="68" t="inlineStr">
        <is>
          <t>DefRatio</t>
        </is>
      </c>
      <c r="I2021" s="68">
        <f>G2021</f>
        <v/>
      </c>
    </row>
    <row r="2022">
      <c r="A2022" s="68">
        <f>B2022&amp;TEXT(C2022,"0000")</f>
        <v/>
      </c>
      <c r="B2022" s="68" t="n">
        <v>201</v>
      </c>
      <c r="C2022" s="68" t="n">
        <v>119</v>
      </c>
      <c r="D2022" s="68" t="inlineStr">
        <is>
          <t>HpRatio</t>
        </is>
      </c>
      <c r="E2022" s="68" t="n">
        <v>0</v>
      </c>
      <c r="F2022" s="68" t="inlineStr">
        <is>
          <t>AtkRatio</t>
        </is>
      </c>
      <c r="G2022" s="68" t="n">
        <v>149950500</v>
      </c>
      <c r="H2022" s="68" t="inlineStr">
        <is>
          <t>DefRatio</t>
        </is>
      </c>
      <c r="I2022" s="68">
        <f>G2022</f>
        <v/>
      </c>
    </row>
    <row r="2023">
      <c r="A2023" s="68">
        <f>B2023&amp;TEXT(C2023,"0000")</f>
        <v/>
      </c>
      <c r="B2023" s="68" t="n">
        <v>201</v>
      </c>
      <c r="C2023" s="68" t="n">
        <v>120</v>
      </c>
      <c r="D2023" s="68" t="inlineStr">
        <is>
          <t>HpRatio</t>
        </is>
      </c>
      <c r="E2023" s="68" t="n">
        <v>0</v>
      </c>
      <c r="F2023" s="68" t="inlineStr">
        <is>
          <t>AtkRatio</t>
        </is>
      </c>
      <c r="G2023" s="68" t="n">
        <v>152951500</v>
      </c>
      <c r="H2023" s="68" t="inlineStr">
        <is>
          <t>DefRatio</t>
        </is>
      </c>
      <c r="I2023" s="68">
        <f>G2023</f>
        <v/>
      </c>
    </row>
    <row r="2024">
      <c r="A2024" s="68">
        <f>B2024&amp;TEXT(C2024,"0000")</f>
        <v/>
      </c>
      <c r="B2024" s="68" t="n">
        <v>201</v>
      </c>
      <c r="C2024" s="68" t="n">
        <v>121</v>
      </c>
      <c r="D2024" s="68" t="inlineStr">
        <is>
          <t>HpRatio</t>
        </is>
      </c>
      <c r="E2024" s="68" t="n">
        <v>0</v>
      </c>
      <c r="F2024" s="68" t="inlineStr">
        <is>
          <t>AtkRatio</t>
        </is>
      </c>
      <c r="G2024" s="68" t="n">
        <v>156012500</v>
      </c>
      <c r="H2024" s="68" t="inlineStr">
        <is>
          <t>DefRatio</t>
        </is>
      </c>
      <c r="I2024" s="68">
        <f>G2024</f>
        <v/>
      </c>
    </row>
    <row r="2025">
      <c r="A2025" s="68">
        <f>B2025&amp;TEXT(C2025,"0000")</f>
        <v/>
      </c>
      <c r="B2025" s="68" t="n">
        <v>201</v>
      </c>
      <c r="C2025" s="68" t="n">
        <v>122</v>
      </c>
      <c r="D2025" s="68" t="inlineStr">
        <is>
          <t>HpRatio</t>
        </is>
      </c>
      <c r="E2025" s="68" t="n">
        <v>0</v>
      </c>
      <c r="F2025" s="68" t="inlineStr">
        <is>
          <t>AtkRatio</t>
        </is>
      </c>
      <c r="G2025" s="68" t="n">
        <v>159134500</v>
      </c>
      <c r="H2025" s="68" t="inlineStr">
        <is>
          <t>DefRatio</t>
        </is>
      </c>
      <c r="I2025" s="68">
        <f>G2025</f>
        <v/>
      </c>
    </row>
    <row r="2026">
      <c r="A2026" s="68">
        <f>B2026&amp;TEXT(C2026,"0000")</f>
        <v/>
      </c>
      <c r="B2026" s="68" t="n">
        <v>201</v>
      </c>
      <c r="C2026" s="68" t="n">
        <v>123</v>
      </c>
      <c r="D2026" s="68" t="inlineStr">
        <is>
          <t>HpRatio</t>
        </is>
      </c>
      <c r="E2026" s="68" t="n">
        <v>0</v>
      </c>
      <c r="F2026" s="68" t="inlineStr">
        <is>
          <t>AtkRatio</t>
        </is>
      </c>
      <c r="G2026" s="68" t="n">
        <v>162319500</v>
      </c>
      <c r="H2026" s="68" t="inlineStr">
        <is>
          <t>DefRatio</t>
        </is>
      </c>
      <c r="I2026" s="68">
        <f>G2026</f>
        <v/>
      </c>
    </row>
    <row r="2027">
      <c r="A2027" s="68">
        <f>B2027&amp;TEXT(C2027,"0000")</f>
        <v/>
      </c>
      <c r="B2027" s="68" t="n">
        <v>201</v>
      </c>
      <c r="C2027" s="68" t="n">
        <v>124</v>
      </c>
      <c r="D2027" s="68" t="inlineStr">
        <is>
          <t>HpRatio</t>
        </is>
      </c>
      <c r="E2027" s="68" t="n">
        <v>0</v>
      </c>
      <c r="F2027" s="68" t="inlineStr">
        <is>
          <t>AtkRatio</t>
        </is>
      </c>
      <c r="G2027" s="68" t="n">
        <v>165567500</v>
      </c>
      <c r="H2027" s="68" t="inlineStr">
        <is>
          <t>DefRatio</t>
        </is>
      </c>
      <c r="I2027" s="68">
        <f>G2027</f>
        <v/>
      </c>
    </row>
    <row r="2028">
      <c r="A2028" s="68">
        <f>B2028&amp;TEXT(C2028,"0000")</f>
        <v/>
      </c>
      <c r="B2028" s="68" t="n">
        <v>201</v>
      </c>
      <c r="C2028" s="68" t="n">
        <v>125</v>
      </c>
      <c r="D2028" s="68" t="inlineStr">
        <is>
          <t>HpRatio</t>
        </is>
      </c>
      <c r="E2028" s="68" t="n">
        <v>0</v>
      </c>
      <c r="F2028" s="68" t="inlineStr">
        <is>
          <t>AtkRatio</t>
        </is>
      </c>
      <c r="G2028" s="68" t="n">
        <v>168881000</v>
      </c>
      <c r="H2028" s="68" t="inlineStr">
        <is>
          <t>DefRatio</t>
        </is>
      </c>
      <c r="I2028" s="68">
        <f>G2028</f>
        <v/>
      </c>
    </row>
    <row r="2029">
      <c r="A2029" s="68">
        <f>B2029&amp;TEXT(C2029,"0000")</f>
        <v/>
      </c>
      <c r="B2029" s="68" t="n">
        <v>201</v>
      </c>
      <c r="C2029" s="68" t="n">
        <v>126</v>
      </c>
      <c r="D2029" s="68" t="inlineStr">
        <is>
          <t>HpRatio</t>
        </is>
      </c>
      <c r="E2029" s="68" t="n">
        <v>0</v>
      </c>
      <c r="F2029" s="68" t="inlineStr">
        <is>
          <t>AtkRatio</t>
        </is>
      </c>
      <c r="G2029" s="68" t="n">
        <v>172260500</v>
      </c>
      <c r="H2029" s="68" t="inlineStr">
        <is>
          <t>DefRatio</t>
        </is>
      </c>
      <c r="I2029" s="68">
        <f>G2029</f>
        <v/>
      </c>
    </row>
    <row r="2030">
      <c r="A2030" s="68">
        <f>B2030&amp;TEXT(C2030,"0000")</f>
        <v/>
      </c>
      <c r="B2030" s="68" t="n">
        <v>201</v>
      </c>
      <c r="C2030" s="68" t="n">
        <v>127</v>
      </c>
      <c r="D2030" s="68" t="inlineStr">
        <is>
          <t>HpRatio</t>
        </is>
      </c>
      <c r="E2030" s="68" t="n">
        <v>0</v>
      </c>
      <c r="F2030" s="68" t="inlineStr">
        <is>
          <t>AtkRatio</t>
        </is>
      </c>
      <c r="G2030" s="68" t="n">
        <v>175708000</v>
      </c>
      <c r="H2030" s="68" t="inlineStr">
        <is>
          <t>DefRatio</t>
        </is>
      </c>
      <c r="I2030" s="68">
        <f>G2030</f>
        <v/>
      </c>
    </row>
    <row r="2031">
      <c r="A2031" s="68">
        <f>B2031&amp;TEXT(C2031,"0000")</f>
        <v/>
      </c>
      <c r="B2031" s="68" t="n">
        <v>201</v>
      </c>
      <c r="C2031" s="68" t="n">
        <v>128</v>
      </c>
      <c r="D2031" s="68" t="inlineStr">
        <is>
          <t>HpRatio</t>
        </is>
      </c>
      <c r="E2031" s="68" t="n">
        <v>0</v>
      </c>
      <c r="F2031" s="68" t="inlineStr">
        <is>
          <t>AtkRatio</t>
        </is>
      </c>
      <c r="G2031" s="68" t="n">
        <v>179224000</v>
      </c>
      <c r="H2031" s="68" t="inlineStr">
        <is>
          <t>DefRatio</t>
        </is>
      </c>
      <c r="I2031" s="68">
        <f>G2031</f>
        <v/>
      </c>
    </row>
    <row r="2032">
      <c r="A2032" s="68">
        <f>B2032&amp;TEXT(C2032,"0000")</f>
        <v/>
      </c>
      <c r="B2032" s="68" t="n">
        <v>201</v>
      </c>
      <c r="C2032" s="68" t="n">
        <v>129</v>
      </c>
      <c r="D2032" s="68" t="inlineStr">
        <is>
          <t>HpRatio</t>
        </is>
      </c>
      <c r="E2032" s="68" t="n">
        <v>0</v>
      </c>
      <c r="F2032" s="68" t="inlineStr">
        <is>
          <t>AtkRatio</t>
        </is>
      </c>
      <c r="G2032" s="68" t="n">
        <v>182810500</v>
      </c>
      <c r="H2032" s="68" t="inlineStr">
        <is>
          <t>DefRatio</t>
        </is>
      </c>
      <c r="I2032" s="68">
        <f>G2032</f>
        <v/>
      </c>
    </row>
    <row r="2033">
      <c r="A2033" s="68">
        <f>B2033&amp;TEXT(C2033,"0000")</f>
        <v/>
      </c>
      <c r="B2033" s="68" t="n">
        <v>201</v>
      </c>
      <c r="C2033" s="68" t="n">
        <v>130</v>
      </c>
      <c r="D2033" s="68" t="inlineStr">
        <is>
          <t>HpRatio</t>
        </is>
      </c>
      <c r="E2033" s="68" t="n">
        <v>0</v>
      </c>
      <c r="F2033" s="68" t="inlineStr">
        <is>
          <t>AtkRatio</t>
        </is>
      </c>
      <c r="G2033" s="68" t="n">
        <v>186469000</v>
      </c>
      <c r="H2033" s="68" t="inlineStr">
        <is>
          <t>DefRatio</t>
        </is>
      </c>
      <c r="I2033" s="68">
        <f>G2033</f>
        <v/>
      </c>
    </row>
    <row r="2034">
      <c r="A2034" s="68">
        <f>B2034&amp;TEXT(C2034,"0000")</f>
        <v/>
      </c>
      <c r="B2034" s="68" t="n">
        <v>201</v>
      </c>
      <c r="C2034" s="68" t="n">
        <v>131</v>
      </c>
      <c r="D2034" s="68" t="inlineStr">
        <is>
          <t>HpRatio</t>
        </is>
      </c>
      <c r="E2034" s="68" t="n">
        <v>0</v>
      </c>
      <c r="F2034" s="68" t="inlineStr">
        <is>
          <t>AtkRatio</t>
        </is>
      </c>
      <c r="G2034" s="68" t="n">
        <v>190200000</v>
      </c>
      <c r="H2034" s="68" t="inlineStr">
        <is>
          <t>DefRatio</t>
        </is>
      </c>
      <c r="I2034" s="68">
        <f>G2034</f>
        <v/>
      </c>
    </row>
    <row r="2035">
      <c r="A2035" s="68">
        <f>B2035&amp;TEXT(C2035,"0000")</f>
        <v/>
      </c>
      <c r="B2035" s="68" t="n">
        <v>201</v>
      </c>
      <c r="C2035" s="68" t="n">
        <v>132</v>
      </c>
      <c r="D2035" s="68" t="inlineStr">
        <is>
          <t>HpRatio</t>
        </is>
      </c>
      <c r="E2035" s="68" t="n">
        <v>0</v>
      </c>
      <c r="F2035" s="68" t="inlineStr">
        <is>
          <t>AtkRatio</t>
        </is>
      </c>
      <c r="G2035" s="68" t="n">
        <v>194006000</v>
      </c>
      <c r="H2035" s="68" t="inlineStr">
        <is>
          <t>DefRatio</t>
        </is>
      </c>
      <c r="I2035" s="68">
        <f>G2035</f>
        <v/>
      </c>
    </row>
    <row r="2036">
      <c r="A2036" s="68">
        <f>B2036&amp;TEXT(C2036,"0000")</f>
        <v/>
      </c>
      <c r="B2036" s="68" t="n">
        <v>201</v>
      </c>
      <c r="C2036" s="68" t="n">
        <v>133</v>
      </c>
      <c r="D2036" s="68" t="inlineStr">
        <is>
          <t>HpRatio</t>
        </is>
      </c>
      <c r="E2036" s="68" t="n">
        <v>0</v>
      </c>
      <c r="F2036" s="68" t="inlineStr">
        <is>
          <t>AtkRatio</t>
        </is>
      </c>
      <c r="G2036" s="68" t="n">
        <v>197888500</v>
      </c>
      <c r="H2036" s="68" t="inlineStr">
        <is>
          <t>DefRatio</t>
        </is>
      </c>
      <c r="I2036" s="68">
        <f>G2036</f>
        <v/>
      </c>
    </row>
    <row r="2037">
      <c r="A2037" s="68">
        <f>B2037&amp;TEXT(C2037,"0000")</f>
        <v/>
      </c>
      <c r="B2037" s="68" t="n">
        <v>201</v>
      </c>
      <c r="C2037" s="68" t="n">
        <v>134</v>
      </c>
      <c r="D2037" s="68" t="inlineStr">
        <is>
          <t>HpRatio</t>
        </is>
      </c>
      <c r="E2037" s="68" t="n">
        <v>0</v>
      </c>
      <c r="F2037" s="68" t="inlineStr">
        <is>
          <t>AtkRatio</t>
        </is>
      </c>
      <c r="G2037" s="68" t="n">
        <v>201848000</v>
      </c>
      <c r="H2037" s="68" t="inlineStr">
        <is>
          <t>DefRatio</t>
        </is>
      </c>
      <c r="I2037" s="68">
        <f>G2037</f>
        <v/>
      </c>
    </row>
    <row r="2038">
      <c r="A2038" s="68">
        <f>B2038&amp;TEXT(C2038,"0000")</f>
        <v/>
      </c>
      <c r="B2038" s="68" t="n">
        <v>201</v>
      </c>
      <c r="C2038" s="68" t="n">
        <v>135</v>
      </c>
      <c r="D2038" s="68" t="inlineStr">
        <is>
          <t>HpRatio</t>
        </is>
      </c>
      <c r="E2038" s="68" t="n">
        <v>0</v>
      </c>
      <c r="F2038" s="68" t="inlineStr">
        <is>
          <t>AtkRatio</t>
        </is>
      </c>
      <c r="G2038" s="68" t="n">
        <v>205887000</v>
      </c>
      <c r="H2038" s="68" t="inlineStr">
        <is>
          <t>DefRatio</t>
        </is>
      </c>
      <c r="I2038" s="68">
        <f>G2038</f>
        <v/>
      </c>
    </row>
    <row r="2039">
      <c r="A2039" s="68">
        <f>B2039&amp;TEXT(C2039,"0000")</f>
        <v/>
      </c>
      <c r="B2039" s="68" t="n">
        <v>201</v>
      </c>
      <c r="C2039" s="68" t="n">
        <v>136</v>
      </c>
      <c r="D2039" s="68" t="inlineStr">
        <is>
          <t>HpRatio</t>
        </is>
      </c>
      <c r="E2039" s="68" t="n">
        <v>0</v>
      </c>
      <c r="F2039" s="68" t="inlineStr">
        <is>
          <t>AtkRatio</t>
        </is>
      </c>
      <c r="G2039" s="68" t="n">
        <v>210007000</v>
      </c>
      <c r="H2039" s="68" t="inlineStr">
        <is>
          <t>DefRatio</t>
        </is>
      </c>
      <c r="I2039" s="68">
        <f>G2039</f>
        <v/>
      </c>
    </row>
    <row r="2040">
      <c r="A2040" s="68">
        <f>B2040&amp;TEXT(C2040,"0000")</f>
        <v/>
      </c>
      <c r="B2040" s="68" t="n">
        <v>201</v>
      </c>
      <c r="C2040" s="68" t="n">
        <v>137</v>
      </c>
      <c r="D2040" s="68" t="inlineStr">
        <is>
          <t>HpRatio</t>
        </is>
      </c>
      <c r="E2040" s="68" t="n">
        <v>0</v>
      </c>
      <c r="F2040" s="68" t="inlineStr">
        <is>
          <t>AtkRatio</t>
        </is>
      </c>
      <c r="G2040" s="68" t="n">
        <v>214209000</v>
      </c>
      <c r="H2040" s="68" t="inlineStr">
        <is>
          <t>DefRatio</t>
        </is>
      </c>
      <c r="I2040" s="68">
        <f>G2040</f>
        <v/>
      </c>
    </row>
    <row r="2041">
      <c r="A2041" s="68">
        <f>B2041&amp;TEXT(C2041,"0000")</f>
        <v/>
      </c>
      <c r="B2041" s="68" t="n">
        <v>201</v>
      </c>
      <c r="C2041" s="68" t="n">
        <v>138</v>
      </c>
      <c r="D2041" s="68" t="inlineStr">
        <is>
          <t>HpRatio</t>
        </is>
      </c>
      <c r="E2041" s="68" t="n">
        <v>0</v>
      </c>
      <c r="F2041" s="68" t="inlineStr">
        <is>
          <t>AtkRatio</t>
        </is>
      </c>
      <c r="G2041" s="68" t="n">
        <v>218495000</v>
      </c>
      <c r="H2041" s="68" t="inlineStr">
        <is>
          <t>DefRatio</t>
        </is>
      </c>
      <c r="I2041" s="68">
        <f>G2041</f>
        <v/>
      </c>
    </row>
    <row r="2042">
      <c r="A2042" s="68">
        <f>B2042&amp;TEXT(C2042,"0000")</f>
        <v/>
      </c>
      <c r="B2042" s="68" t="n">
        <v>201</v>
      </c>
      <c r="C2042" s="68" t="n">
        <v>139</v>
      </c>
      <c r="D2042" s="68" t="inlineStr">
        <is>
          <t>HpRatio</t>
        </is>
      </c>
      <c r="E2042" s="68" t="n">
        <v>0</v>
      </c>
      <c r="F2042" s="68" t="inlineStr">
        <is>
          <t>AtkRatio</t>
        </is>
      </c>
      <c r="G2042" s="68" t="n">
        <v>222867000</v>
      </c>
      <c r="H2042" s="68" t="inlineStr">
        <is>
          <t>DefRatio</t>
        </is>
      </c>
      <c r="I2042" s="68">
        <f>G2042</f>
        <v/>
      </c>
    </row>
    <row r="2043">
      <c r="A2043" s="68">
        <f>B2043&amp;TEXT(C2043,"0000")</f>
        <v/>
      </c>
      <c r="B2043" s="68" t="n">
        <v>201</v>
      </c>
      <c r="C2043" s="68" t="n">
        <v>140</v>
      </c>
      <c r="D2043" s="68" t="inlineStr">
        <is>
          <t>HpRatio</t>
        </is>
      </c>
      <c r="E2043" s="68" t="n">
        <v>0</v>
      </c>
      <c r="F2043" s="68" t="inlineStr">
        <is>
          <t>AtkRatio</t>
        </is>
      </c>
      <c r="G2043" s="68" t="n">
        <v>227326500</v>
      </c>
      <c r="H2043" s="68" t="inlineStr">
        <is>
          <t>DefRatio</t>
        </is>
      </c>
      <c r="I2043" s="68">
        <f>G2043</f>
        <v/>
      </c>
    </row>
    <row r="2044">
      <c r="A2044" s="68">
        <f>B2044&amp;TEXT(C2044,"0000")</f>
        <v/>
      </c>
      <c r="B2044" s="68" t="n">
        <v>201</v>
      </c>
      <c r="C2044" s="68" t="n">
        <v>141</v>
      </c>
      <c r="D2044" s="68" t="inlineStr">
        <is>
          <t>HpRatio</t>
        </is>
      </c>
      <c r="E2044" s="68" t="n">
        <v>0</v>
      </c>
      <c r="F2044" s="68" t="inlineStr">
        <is>
          <t>AtkRatio</t>
        </is>
      </c>
      <c r="G2044" s="68" t="n">
        <v>231875000</v>
      </c>
      <c r="H2044" s="68" t="inlineStr">
        <is>
          <t>DefRatio</t>
        </is>
      </c>
      <c r="I2044" s="68">
        <f>G2044</f>
        <v/>
      </c>
    </row>
    <row r="2045">
      <c r="A2045" s="68">
        <f>B2045&amp;TEXT(C2045,"0000")</f>
        <v/>
      </c>
      <c r="B2045" s="68" t="n">
        <v>201</v>
      </c>
      <c r="C2045" s="68" t="n">
        <v>142</v>
      </c>
      <c r="D2045" s="68" t="inlineStr">
        <is>
          <t>HpRatio</t>
        </is>
      </c>
      <c r="E2045" s="68" t="n">
        <v>0</v>
      </c>
      <c r="F2045" s="68" t="inlineStr">
        <is>
          <t>AtkRatio</t>
        </is>
      </c>
      <c r="G2045" s="68" t="n">
        <v>236514500</v>
      </c>
      <c r="H2045" s="68" t="inlineStr">
        <is>
          <t>DefRatio</t>
        </is>
      </c>
      <c r="I2045" s="68">
        <f>G2045</f>
        <v/>
      </c>
    </row>
    <row r="2046">
      <c r="A2046" s="68">
        <f>B2046&amp;TEXT(C2046,"0000")</f>
        <v/>
      </c>
      <c r="B2046" s="68" t="n">
        <v>201</v>
      </c>
      <c r="C2046" s="68" t="n">
        <v>143</v>
      </c>
      <c r="D2046" s="68" t="inlineStr">
        <is>
          <t>HpRatio</t>
        </is>
      </c>
      <c r="E2046" s="68" t="n">
        <v>0</v>
      </c>
      <c r="F2046" s="68" t="inlineStr">
        <is>
          <t>AtkRatio</t>
        </is>
      </c>
      <c r="G2046" s="68" t="n">
        <v>241246500</v>
      </c>
      <c r="H2046" s="68" t="inlineStr">
        <is>
          <t>DefRatio</t>
        </is>
      </c>
      <c r="I2046" s="68">
        <f>G2046</f>
        <v/>
      </c>
    </row>
    <row r="2047">
      <c r="A2047" s="68">
        <f>B2047&amp;TEXT(C2047,"0000")</f>
        <v/>
      </c>
      <c r="B2047" s="68" t="n">
        <v>201</v>
      </c>
      <c r="C2047" s="68" t="n">
        <v>144</v>
      </c>
      <c r="D2047" s="68" t="inlineStr">
        <is>
          <t>HpRatio</t>
        </is>
      </c>
      <c r="E2047" s="68" t="n">
        <v>0</v>
      </c>
      <c r="F2047" s="68" t="inlineStr">
        <is>
          <t>AtkRatio</t>
        </is>
      </c>
      <c r="G2047" s="68" t="n">
        <v>246073500</v>
      </c>
      <c r="H2047" s="68" t="inlineStr">
        <is>
          <t>DefRatio</t>
        </is>
      </c>
      <c r="I2047" s="68">
        <f>G2047</f>
        <v/>
      </c>
    </row>
    <row r="2048">
      <c r="A2048" s="68">
        <f>B2048&amp;TEXT(C2048,"0000")</f>
        <v/>
      </c>
      <c r="B2048" s="68" t="n">
        <v>201</v>
      </c>
      <c r="C2048" s="68" t="n">
        <v>145</v>
      </c>
      <c r="D2048" s="68" t="inlineStr">
        <is>
          <t>HpRatio</t>
        </is>
      </c>
      <c r="E2048" s="68" t="n">
        <v>0</v>
      </c>
      <c r="F2048" s="68" t="inlineStr">
        <is>
          <t>AtkRatio</t>
        </is>
      </c>
      <c r="G2048" s="68" t="n">
        <v>250997000</v>
      </c>
      <c r="H2048" s="68" t="inlineStr">
        <is>
          <t>DefRatio</t>
        </is>
      </c>
      <c r="I2048" s="68">
        <f>G2048</f>
        <v/>
      </c>
    </row>
    <row r="2049">
      <c r="A2049" s="68">
        <f>B2049&amp;TEXT(C2049,"0000")</f>
        <v/>
      </c>
      <c r="B2049" s="68" t="n">
        <v>201</v>
      </c>
      <c r="C2049" s="68" t="n">
        <v>146</v>
      </c>
      <c r="D2049" s="68" t="inlineStr">
        <is>
          <t>HpRatio</t>
        </is>
      </c>
      <c r="E2049" s="68" t="n">
        <v>0</v>
      </c>
      <c r="F2049" s="68" t="inlineStr">
        <is>
          <t>AtkRatio</t>
        </is>
      </c>
      <c r="G2049" s="68" t="n">
        <v>256019000</v>
      </c>
      <c r="H2049" s="68" t="inlineStr">
        <is>
          <t>DefRatio</t>
        </is>
      </c>
      <c r="I2049" s="68">
        <f>G2049</f>
        <v/>
      </c>
    </row>
    <row r="2050">
      <c r="A2050" s="68">
        <f>B2050&amp;TEXT(C2050,"0000")</f>
        <v/>
      </c>
      <c r="B2050" s="68" t="n">
        <v>201</v>
      </c>
      <c r="C2050" s="68" t="n">
        <v>147</v>
      </c>
      <c r="D2050" s="68" t="inlineStr">
        <is>
          <t>HpRatio</t>
        </is>
      </c>
      <c r="E2050" s="68" t="n">
        <v>0</v>
      </c>
      <c r="F2050" s="68" t="inlineStr">
        <is>
          <t>AtkRatio</t>
        </is>
      </c>
      <c r="G2050" s="68" t="n">
        <v>261141500</v>
      </c>
      <c r="H2050" s="68" t="inlineStr">
        <is>
          <t>DefRatio</t>
        </is>
      </c>
      <c r="I2050" s="68">
        <f>G2050</f>
        <v/>
      </c>
    </row>
    <row r="2051">
      <c r="A2051" s="68">
        <f>B2051&amp;TEXT(C2051,"0000")</f>
        <v/>
      </c>
      <c r="B2051" s="68" t="n">
        <v>201</v>
      </c>
      <c r="C2051" s="68" t="n">
        <v>148</v>
      </c>
      <c r="D2051" s="68" t="inlineStr">
        <is>
          <t>HpRatio</t>
        </is>
      </c>
      <c r="E2051" s="68" t="n">
        <v>0</v>
      </c>
      <c r="F2051" s="68" t="inlineStr">
        <is>
          <t>AtkRatio</t>
        </is>
      </c>
      <c r="G2051" s="68" t="n">
        <v>266366500</v>
      </c>
      <c r="H2051" s="68" t="inlineStr">
        <is>
          <t>DefRatio</t>
        </is>
      </c>
      <c r="I2051" s="68">
        <f>G2051</f>
        <v/>
      </c>
    </row>
    <row r="2052">
      <c r="A2052" s="68">
        <f>B2052&amp;TEXT(C2052,"0000")</f>
        <v/>
      </c>
      <c r="B2052" s="68" t="n">
        <v>201</v>
      </c>
      <c r="C2052" s="68" t="n">
        <v>149</v>
      </c>
      <c r="D2052" s="68" t="inlineStr">
        <is>
          <t>HpRatio</t>
        </is>
      </c>
      <c r="E2052" s="68" t="n">
        <v>0</v>
      </c>
      <c r="F2052" s="68" t="inlineStr">
        <is>
          <t>AtkRatio</t>
        </is>
      </c>
      <c r="G2052" s="68" t="n">
        <v>271695500</v>
      </c>
      <c r="H2052" s="68" t="inlineStr">
        <is>
          <t>DefRatio</t>
        </is>
      </c>
      <c r="I2052" s="68">
        <f>G2052</f>
        <v/>
      </c>
    </row>
    <row r="2053">
      <c r="A2053" s="68">
        <f>B2053&amp;TEXT(C2053,"0000")</f>
        <v/>
      </c>
      <c r="B2053" s="68" t="n">
        <v>201</v>
      </c>
      <c r="C2053" s="68" t="n">
        <v>150</v>
      </c>
      <c r="D2053" s="68" t="inlineStr">
        <is>
          <t>HpRatio</t>
        </is>
      </c>
      <c r="E2053" s="68" t="n">
        <v>0</v>
      </c>
      <c r="F2053" s="68" t="inlineStr">
        <is>
          <t>AtkRatio</t>
        </is>
      </c>
      <c r="G2053" s="68" t="n">
        <v>277131500</v>
      </c>
      <c r="H2053" s="68" t="inlineStr">
        <is>
          <t>DefRatio</t>
        </is>
      </c>
      <c r="I2053" s="68">
        <f>G2053</f>
        <v/>
      </c>
    </row>
    <row r="2054">
      <c r="A2054" s="68">
        <f>B2054&amp;TEXT(C2054,"0000")</f>
        <v/>
      </c>
      <c r="B2054" s="68" t="n">
        <v>201</v>
      </c>
      <c r="C2054" s="68" t="n">
        <v>151</v>
      </c>
      <c r="D2054" s="68" t="inlineStr">
        <is>
          <t>HpRatio</t>
        </is>
      </c>
      <c r="E2054" s="68" t="n">
        <v>0</v>
      </c>
      <c r="F2054" s="68" t="inlineStr">
        <is>
          <t>AtkRatio</t>
        </is>
      </c>
      <c r="G2054" s="68" t="n">
        <v>282676000</v>
      </c>
      <c r="H2054" s="68" t="inlineStr">
        <is>
          <t>DefRatio</t>
        </is>
      </c>
      <c r="I2054" s="68">
        <f>G2054</f>
        <v/>
      </c>
    </row>
    <row r="2055">
      <c r="A2055" s="68">
        <f>B2055&amp;TEXT(C2055,"0000")</f>
        <v/>
      </c>
      <c r="B2055" s="68" t="n">
        <v>201</v>
      </c>
      <c r="C2055" s="68" t="n">
        <v>152</v>
      </c>
      <c r="D2055" s="68" t="inlineStr">
        <is>
          <t>HpRatio</t>
        </is>
      </c>
      <c r="E2055" s="68" t="n">
        <v>0</v>
      </c>
      <c r="F2055" s="68" t="inlineStr">
        <is>
          <t>AtkRatio</t>
        </is>
      </c>
      <c r="G2055" s="68" t="n">
        <v>288331500</v>
      </c>
      <c r="H2055" s="68" t="inlineStr">
        <is>
          <t>DefRatio</t>
        </is>
      </c>
      <c r="I2055" s="68">
        <f>G2055</f>
        <v/>
      </c>
    </row>
    <row r="2056">
      <c r="A2056" s="68">
        <f>B2056&amp;TEXT(C2056,"0000")</f>
        <v/>
      </c>
      <c r="B2056" s="68" t="n">
        <v>201</v>
      </c>
      <c r="C2056" s="68" t="n">
        <v>153</v>
      </c>
      <c r="D2056" s="68" t="inlineStr">
        <is>
          <t>HpRatio</t>
        </is>
      </c>
      <c r="E2056" s="68" t="n">
        <v>0</v>
      </c>
      <c r="F2056" s="68" t="inlineStr">
        <is>
          <t>AtkRatio</t>
        </is>
      </c>
      <c r="G2056" s="68" t="n">
        <v>294100500</v>
      </c>
      <c r="H2056" s="68" t="inlineStr">
        <is>
          <t>DefRatio</t>
        </is>
      </c>
      <c r="I2056" s="68">
        <f>G2056</f>
        <v/>
      </c>
    </row>
    <row r="2057">
      <c r="A2057" s="68">
        <f>B2057&amp;TEXT(C2057,"0000")</f>
        <v/>
      </c>
      <c r="B2057" s="68" t="n">
        <v>201</v>
      </c>
      <c r="C2057" s="68" t="n">
        <v>154</v>
      </c>
      <c r="D2057" s="68" t="inlineStr">
        <is>
          <t>HpRatio</t>
        </is>
      </c>
      <c r="E2057" s="68" t="n">
        <v>0</v>
      </c>
      <c r="F2057" s="68" t="inlineStr">
        <is>
          <t>AtkRatio</t>
        </is>
      </c>
      <c r="G2057" s="68" t="n">
        <v>299984500</v>
      </c>
      <c r="H2057" s="68" t="inlineStr">
        <is>
          <t>DefRatio</t>
        </is>
      </c>
      <c r="I2057" s="68">
        <f>G2057</f>
        <v/>
      </c>
    </row>
    <row r="2058">
      <c r="A2058" s="68">
        <f>B2058&amp;TEXT(C2058,"0000")</f>
        <v/>
      </c>
      <c r="B2058" s="68" t="n">
        <v>201</v>
      </c>
      <c r="C2058" s="68" t="n">
        <v>155</v>
      </c>
      <c r="D2058" s="68" t="inlineStr">
        <is>
          <t>HpRatio</t>
        </is>
      </c>
      <c r="E2058" s="68" t="n">
        <v>0</v>
      </c>
      <c r="F2058" s="68" t="inlineStr">
        <is>
          <t>AtkRatio</t>
        </is>
      </c>
      <c r="G2058" s="68" t="n">
        <v>305986000</v>
      </c>
      <c r="H2058" s="68" t="inlineStr">
        <is>
          <t>DefRatio</t>
        </is>
      </c>
      <c r="I2058" s="68">
        <f>G2058</f>
        <v/>
      </c>
    </row>
    <row r="2059">
      <c r="A2059" s="68">
        <f>B2059&amp;TEXT(C2059,"0000")</f>
        <v/>
      </c>
      <c r="B2059" s="68" t="n">
        <v>201</v>
      </c>
      <c r="C2059" s="68" t="n">
        <v>156</v>
      </c>
      <c r="D2059" s="68" t="inlineStr">
        <is>
          <t>HpRatio</t>
        </is>
      </c>
      <c r="E2059" s="68" t="n">
        <v>0</v>
      </c>
      <c r="F2059" s="68" t="inlineStr">
        <is>
          <t>AtkRatio</t>
        </is>
      </c>
      <c r="G2059" s="68" t="n">
        <v>312108000</v>
      </c>
      <c r="H2059" s="68" t="inlineStr">
        <is>
          <t>DefRatio</t>
        </is>
      </c>
      <c r="I2059" s="68">
        <f>G2059</f>
        <v/>
      </c>
    </row>
    <row r="2060">
      <c r="A2060" s="68">
        <f>B2060&amp;TEXT(C2060,"0000")</f>
        <v/>
      </c>
      <c r="B2060" s="68" t="n">
        <v>201</v>
      </c>
      <c r="C2060" s="68" t="n">
        <v>157</v>
      </c>
      <c r="D2060" s="68" t="inlineStr">
        <is>
          <t>HpRatio</t>
        </is>
      </c>
      <c r="E2060" s="68" t="n">
        <v>0</v>
      </c>
      <c r="F2060" s="68" t="inlineStr">
        <is>
          <t>AtkRatio</t>
        </is>
      </c>
      <c r="G2060" s="68" t="n">
        <v>318352000</v>
      </c>
      <c r="H2060" s="68" t="inlineStr">
        <is>
          <t>DefRatio</t>
        </is>
      </c>
      <c r="I2060" s="68">
        <f>G2060</f>
        <v/>
      </c>
    </row>
    <row r="2061">
      <c r="A2061" s="68">
        <f>B2061&amp;TEXT(C2061,"0000")</f>
        <v/>
      </c>
      <c r="B2061" s="68" t="n">
        <v>201</v>
      </c>
      <c r="C2061" s="68" t="n">
        <v>158</v>
      </c>
      <c r="D2061" s="68" t="inlineStr">
        <is>
          <t>HpRatio</t>
        </is>
      </c>
      <c r="E2061" s="68" t="n">
        <v>0</v>
      </c>
      <c r="F2061" s="68" t="inlineStr">
        <is>
          <t>AtkRatio</t>
        </is>
      </c>
      <c r="G2061" s="68" t="n">
        <v>324721000</v>
      </c>
      <c r="H2061" s="68" t="inlineStr">
        <is>
          <t>DefRatio</t>
        </is>
      </c>
      <c r="I2061" s="68">
        <f>G2061</f>
        <v/>
      </c>
    </row>
    <row r="2062">
      <c r="A2062" s="68">
        <f>B2062&amp;TEXT(C2062,"0000")</f>
        <v/>
      </c>
      <c r="B2062" s="68" t="n">
        <v>201</v>
      </c>
      <c r="C2062" s="68" t="n">
        <v>159</v>
      </c>
      <c r="D2062" s="68" t="inlineStr">
        <is>
          <t>HpRatio</t>
        </is>
      </c>
      <c r="E2062" s="68" t="n">
        <v>0</v>
      </c>
      <c r="F2062" s="68" t="inlineStr">
        <is>
          <t>AtkRatio</t>
        </is>
      </c>
      <c r="G2062" s="68" t="n">
        <v>331217500</v>
      </c>
      <c r="H2062" s="68" t="inlineStr">
        <is>
          <t>DefRatio</t>
        </is>
      </c>
      <c r="I2062" s="68">
        <f>G2062</f>
        <v/>
      </c>
    </row>
    <row r="2063">
      <c r="A2063" s="68">
        <f>B2063&amp;TEXT(C2063,"0000")</f>
        <v/>
      </c>
      <c r="B2063" s="68" t="n">
        <v>201</v>
      </c>
      <c r="C2063" s="68" t="n">
        <v>160</v>
      </c>
      <c r="D2063" s="68" t="inlineStr">
        <is>
          <t>HpRatio</t>
        </is>
      </c>
      <c r="E2063" s="68" t="n">
        <v>0</v>
      </c>
      <c r="F2063" s="68" t="inlineStr">
        <is>
          <t>AtkRatio</t>
        </is>
      </c>
      <c r="G2063" s="68" t="n">
        <v>337844000</v>
      </c>
      <c r="H2063" s="68" t="inlineStr">
        <is>
          <t>DefRatio</t>
        </is>
      </c>
      <c r="I2063" s="68">
        <f>G2063</f>
        <v/>
      </c>
    </row>
    <row r="2064">
      <c r="A2064" s="68">
        <f>B2064&amp;TEXT(C2064,"0000")</f>
        <v/>
      </c>
      <c r="B2064" s="68" t="n">
        <v>201</v>
      </c>
      <c r="C2064" s="68" t="n">
        <v>161</v>
      </c>
      <c r="D2064" s="68" t="inlineStr">
        <is>
          <t>HpRatio</t>
        </is>
      </c>
      <c r="E2064" s="68" t="n">
        <v>0</v>
      </c>
      <c r="F2064" s="68" t="inlineStr">
        <is>
          <t>AtkRatio</t>
        </is>
      </c>
      <c r="G2064" s="68" t="n">
        <v>344602500</v>
      </c>
      <c r="H2064" s="68" t="inlineStr">
        <is>
          <t>DefRatio</t>
        </is>
      </c>
      <c r="I2064" s="68">
        <f>G2064</f>
        <v/>
      </c>
    </row>
    <row r="2065">
      <c r="A2065" s="68">
        <f>B2065&amp;TEXT(C2065,"0000")</f>
        <v/>
      </c>
      <c r="B2065" s="68" t="n">
        <v>201</v>
      </c>
      <c r="C2065" s="68" t="n">
        <v>162</v>
      </c>
      <c r="D2065" s="68" t="inlineStr">
        <is>
          <t>HpRatio</t>
        </is>
      </c>
      <c r="E2065" s="68" t="n">
        <v>0</v>
      </c>
      <c r="F2065" s="68" t="inlineStr">
        <is>
          <t>AtkRatio</t>
        </is>
      </c>
      <c r="G2065" s="68" t="n">
        <v>351496500</v>
      </c>
      <c r="H2065" s="68" t="inlineStr">
        <is>
          <t>DefRatio</t>
        </is>
      </c>
      <c r="I2065" s="68">
        <f>G2065</f>
        <v/>
      </c>
    </row>
    <row r="2066">
      <c r="A2066" s="68">
        <f>B2066&amp;TEXT(C2066,"0000")</f>
        <v/>
      </c>
      <c r="B2066" s="68" t="n">
        <v>201</v>
      </c>
      <c r="C2066" s="68" t="n">
        <v>163</v>
      </c>
      <c r="D2066" s="68" t="inlineStr">
        <is>
          <t>HpRatio</t>
        </is>
      </c>
      <c r="E2066" s="68" t="n">
        <v>0</v>
      </c>
      <c r="F2066" s="68" t="inlineStr">
        <is>
          <t>AtkRatio</t>
        </is>
      </c>
      <c r="G2066" s="68" t="n">
        <v>358528500</v>
      </c>
      <c r="H2066" s="68" t="inlineStr">
        <is>
          <t>DefRatio</t>
        </is>
      </c>
      <c r="I2066" s="68">
        <f>G2066</f>
        <v/>
      </c>
    </row>
    <row r="2067">
      <c r="A2067" s="68">
        <f>B2067&amp;TEXT(C2067,"0000")</f>
        <v/>
      </c>
      <c r="B2067" s="68" t="n">
        <v>201</v>
      </c>
      <c r="C2067" s="68" t="n">
        <v>164</v>
      </c>
      <c r="D2067" s="68" t="inlineStr">
        <is>
          <t>HpRatio</t>
        </is>
      </c>
      <c r="E2067" s="68" t="n">
        <v>0</v>
      </c>
      <c r="F2067" s="68" t="inlineStr">
        <is>
          <t>AtkRatio</t>
        </is>
      </c>
      <c r="G2067" s="68" t="n">
        <v>365701000</v>
      </c>
      <c r="H2067" s="68" t="inlineStr">
        <is>
          <t>DefRatio</t>
        </is>
      </c>
      <c r="I2067" s="68">
        <f>G2067</f>
        <v/>
      </c>
    </row>
    <row r="2068">
      <c r="A2068" s="68">
        <f>B2068&amp;TEXT(C2068,"0000")</f>
        <v/>
      </c>
      <c r="B2068" s="68" t="n">
        <v>201</v>
      </c>
      <c r="C2068" s="68" t="n">
        <v>165</v>
      </c>
      <c r="D2068" s="68" t="inlineStr">
        <is>
          <t>HpRatio</t>
        </is>
      </c>
      <c r="E2068" s="68" t="n">
        <v>0</v>
      </c>
      <c r="F2068" s="68" t="inlineStr">
        <is>
          <t>AtkRatio</t>
        </is>
      </c>
      <c r="G2068" s="68" t="n">
        <v>373017500</v>
      </c>
      <c r="H2068" s="68" t="inlineStr">
        <is>
          <t>DefRatio</t>
        </is>
      </c>
      <c r="I2068" s="68">
        <f>G2068</f>
        <v/>
      </c>
    </row>
    <row r="2069">
      <c r="A2069" s="68">
        <f>B2069&amp;TEXT(C2069,"0000")</f>
        <v/>
      </c>
      <c r="B2069" s="68" t="n">
        <v>201</v>
      </c>
      <c r="C2069" s="68" t="n">
        <v>166</v>
      </c>
      <c r="D2069" s="68" t="inlineStr">
        <is>
          <t>HpRatio</t>
        </is>
      </c>
      <c r="E2069" s="68" t="n">
        <v>0</v>
      </c>
      <c r="F2069" s="68" t="inlineStr">
        <is>
          <t>AtkRatio</t>
        </is>
      </c>
      <c r="G2069" s="68" t="n">
        <v>380479500</v>
      </c>
      <c r="H2069" s="68" t="inlineStr">
        <is>
          <t>DefRatio</t>
        </is>
      </c>
      <c r="I2069" s="68">
        <f>G2069</f>
        <v/>
      </c>
    </row>
    <row r="2070">
      <c r="A2070" s="68">
        <f>B2070&amp;TEXT(C2070,"0000")</f>
        <v/>
      </c>
      <c r="B2070" s="68" t="n">
        <v>201</v>
      </c>
      <c r="C2070" s="68" t="n">
        <v>167</v>
      </c>
      <c r="D2070" s="68" t="inlineStr">
        <is>
          <t>HpRatio</t>
        </is>
      </c>
      <c r="E2070" s="68" t="n">
        <v>0</v>
      </c>
      <c r="F2070" s="68" t="inlineStr">
        <is>
          <t>AtkRatio</t>
        </is>
      </c>
      <c r="G2070" s="68" t="n">
        <v>388091000</v>
      </c>
      <c r="H2070" s="68" t="inlineStr">
        <is>
          <t>DefRatio</t>
        </is>
      </c>
      <c r="I2070" s="68">
        <f>G2070</f>
        <v/>
      </c>
    </row>
    <row r="2071">
      <c r="A2071" s="68">
        <f>B2071&amp;TEXT(C2071,"0000")</f>
        <v/>
      </c>
      <c r="B2071" s="68" t="n">
        <v>201</v>
      </c>
      <c r="C2071" s="68" t="n">
        <v>168</v>
      </c>
      <c r="D2071" s="68" t="inlineStr">
        <is>
          <t>HpRatio</t>
        </is>
      </c>
      <c r="E2071" s="68" t="n">
        <v>0</v>
      </c>
      <c r="F2071" s="68" t="inlineStr">
        <is>
          <t>AtkRatio</t>
        </is>
      </c>
      <c r="G2071" s="68" t="n">
        <v>395855000</v>
      </c>
      <c r="H2071" s="68" t="inlineStr">
        <is>
          <t>DefRatio</t>
        </is>
      </c>
      <c r="I2071" s="68">
        <f>G2071</f>
        <v/>
      </c>
    </row>
    <row r="2072">
      <c r="A2072" s="68">
        <f>B2072&amp;TEXT(C2072,"0000")</f>
        <v/>
      </c>
      <c r="B2072" s="68" t="n">
        <v>201</v>
      </c>
      <c r="C2072" s="68" t="n">
        <v>169</v>
      </c>
      <c r="D2072" s="68" t="inlineStr">
        <is>
          <t>HpRatio</t>
        </is>
      </c>
      <c r="E2072" s="68" t="n">
        <v>0</v>
      </c>
      <c r="F2072" s="68" t="inlineStr">
        <is>
          <t>AtkRatio</t>
        </is>
      </c>
      <c r="G2072" s="68" t="n">
        <v>403774000</v>
      </c>
      <c r="H2072" s="68" t="inlineStr">
        <is>
          <t>DefRatio</t>
        </is>
      </c>
      <c r="I2072" s="68">
        <f>G2072</f>
        <v/>
      </c>
    </row>
    <row r="2073">
      <c r="A2073" s="68">
        <f>B2073&amp;TEXT(C2073,"0000")</f>
        <v/>
      </c>
      <c r="B2073" s="68" t="n">
        <v>201</v>
      </c>
      <c r="C2073" s="68" t="n">
        <v>170</v>
      </c>
      <c r="D2073" s="68" t="inlineStr">
        <is>
          <t>HpRatio</t>
        </is>
      </c>
      <c r="E2073" s="68" t="n">
        <v>0</v>
      </c>
      <c r="F2073" s="68" t="inlineStr">
        <is>
          <t>AtkRatio</t>
        </is>
      </c>
      <c r="G2073" s="68" t="n">
        <v>411851500</v>
      </c>
      <c r="H2073" s="68" t="inlineStr">
        <is>
          <t>DefRatio</t>
        </is>
      </c>
      <c r="I2073" s="68">
        <f>G2073</f>
        <v/>
      </c>
    </row>
    <row r="2074">
      <c r="A2074" s="68">
        <f>B2074&amp;TEXT(C2074,"0000")</f>
        <v/>
      </c>
      <c r="B2074" s="68" t="n">
        <v>201</v>
      </c>
      <c r="C2074" s="68" t="n">
        <v>171</v>
      </c>
      <c r="D2074" s="68" t="inlineStr">
        <is>
          <t>HpRatio</t>
        </is>
      </c>
      <c r="E2074" s="68" t="n">
        <v>0</v>
      </c>
      <c r="F2074" s="68" t="inlineStr">
        <is>
          <t>AtkRatio</t>
        </is>
      </c>
      <c r="G2074" s="68" t="n">
        <v>420090500</v>
      </c>
      <c r="H2074" s="68" t="inlineStr">
        <is>
          <t>DefRatio</t>
        </is>
      </c>
      <c r="I2074" s="68">
        <f>G2074</f>
        <v/>
      </c>
    </row>
    <row r="2075">
      <c r="A2075" s="68">
        <f>B2075&amp;TEXT(C2075,"0000")</f>
        <v/>
      </c>
      <c r="B2075" s="68" t="n">
        <v>201</v>
      </c>
      <c r="C2075" s="68" t="n">
        <v>172</v>
      </c>
      <c r="D2075" s="68" t="inlineStr">
        <is>
          <t>HpRatio</t>
        </is>
      </c>
      <c r="E2075" s="68" t="n">
        <v>0</v>
      </c>
      <c r="F2075" s="68" t="inlineStr">
        <is>
          <t>AtkRatio</t>
        </is>
      </c>
      <c r="G2075" s="68" t="n">
        <v>428494500</v>
      </c>
      <c r="H2075" s="68" t="inlineStr">
        <is>
          <t>DefRatio</t>
        </is>
      </c>
      <c r="I2075" s="68">
        <f>G2075</f>
        <v/>
      </c>
    </row>
    <row r="2076">
      <c r="A2076" s="68">
        <f>B2076&amp;TEXT(C2076,"0000")</f>
        <v/>
      </c>
      <c r="B2076" s="68" t="n">
        <v>201</v>
      </c>
      <c r="C2076" s="68" t="n">
        <v>173</v>
      </c>
      <c r="D2076" s="68" t="inlineStr">
        <is>
          <t>HpRatio</t>
        </is>
      </c>
      <c r="E2076" s="68" t="n">
        <v>0</v>
      </c>
      <c r="F2076" s="68" t="inlineStr">
        <is>
          <t>AtkRatio</t>
        </is>
      </c>
      <c r="G2076" s="68" t="n">
        <v>437066500</v>
      </c>
      <c r="H2076" s="68" t="inlineStr">
        <is>
          <t>DefRatio</t>
        </is>
      </c>
      <c r="I2076" s="68">
        <f>G2076</f>
        <v/>
      </c>
    </row>
    <row r="2077">
      <c r="A2077" s="68">
        <f>B2077&amp;TEXT(C2077,"0000")</f>
        <v/>
      </c>
      <c r="B2077" s="68" t="n">
        <v>201</v>
      </c>
      <c r="C2077" s="68" t="n">
        <v>174</v>
      </c>
      <c r="D2077" s="68" t="inlineStr">
        <is>
          <t>HpRatio</t>
        </is>
      </c>
      <c r="E2077" s="68" t="n">
        <v>0</v>
      </c>
      <c r="F2077" s="68" t="inlineStr">
        <is>
          <t>AtkRatio</t>
        </is>
      </c>
      <c r="G2077" s="68" t="n">
        <v>445809500</v>
      </c>
      <c r="H2077" s="68" t="inlineStr">
        <is>
          <t>DefRatio</t>
        </is>
      </c>
      <c r="I2077" s="68">
        <f>G2077</f>
        <v/>
      </c>
    </row>
    <row r="2078">
      <c r="A2078" s="68">
        <f>B2078&amp;TEXT(C2078,"0000")</f>
        <v/>
      </c>
      <c r="B2078" s="68" t="n">
        <v>201</v>
      </c>
      <c r="C2078" s="68" t="n">
        <v>175</v>
      </c>
      <c r="D2078" s="68" t="inlineStr">
        <is>
          <t>HpRatio</t>
        </is>
      </c>
      <c r="E2078" s="68" t="n">
        <v>0</v>
      </c>
      <c r="F2078" s="68" t="inlineStr">
        <is>
          <t>AtkRatio</t>
        </is>
      </c>
      <c r="G2078" s="68" t="n">
        <v>454728000</v>
      </c>
      <c r="H2078" s="68" t="inlineStr">
        <is>
          <t>DefRatio</t>
        </is>
      </c>
      <c r="I2078" s="68">
        <f>G2078</f>
        <v/>
      </c>
    </row>
    <row r="2079">
      <c r="A2079" s="68">
        <f>B2079&amp;TEXT(C2079,"0000")</f>
        <v/>
      </c>
      <c r="B2079" s="68" t="n">
        <v>201</v>
      </c>
      <c r="C2079" s="68" t="n">
        <v>176</v>
      </c>
      <c r="D2079" s="68" t="inlineStr">
        <is>
          <t>HpRatio</t>
        </is>
      </c>
      <c r="E2079" s="68" t="n">
        <v>0</v>
      </c>
      <c r="F2079" s="68" t="inlineStr">
        <is>
          <t>AtkRatio</t>
        </is>
      </c>
      <c r="G2079" s="68" t="n">
        <v>463824500</v>
      </c>
      <c r="H2079" s="68" t="inlineStr">
        <is>
          <t>DefRatio</t>
        </is>
      </c>
      <c r="I2079" s="68">
        <f>G2079</f>
        <v/>
      </c>
    </row>
    <row r="2080">
      <c r="A2080" s="68">
        <f>B2080&amp;TEXT(C2080,"0000")</f>
        <v/>
      </c>
      <c r="B2080" s="68" t="n">
        <v>201</v>
      </c>
      <c r="C2080" s="68" t="n">
        <v>177</v>
      </c>
      <c r="D2080" s="68" t="inlineStr">
        <is>
          <t>HpRatio</t>
        </is>
      </c>
      <c r="E2080" s="68" t="n">
        <v>0</v>
      </c>
      <c r="F2080" s="68" t="inlineStr">
        <is>
          <t>AtkRatio</t>
        </is>
      </c>
      <c r="G2080" s="68" t="n">
        <v>473103000</v>
      </c>
      <c r="H2080" s="68" t="inlineStr">
        <is>
          <t>DefRatio</t>
        </is>
      </c>
      <c r="I2080" s="68">
        <f>G2080</f>
        <v/>
      </c>
    </row>
    <row r="2081">
      <c r="A2081" s="68">
        <f>B2081&amp;TEXT(C2081,"0000")</f>
        <v/>
      </c>
      <c r="B2081" s="68" t="n">
        <v>201</v>
      </c>
      <c r="C2081" s="68" t="n">
        <v>178</v>
      </c>
      <c r="D2081" s="68" t="inlineStr">
        <is>
          <t>HpRatio</t>
        </is>
      </c>
      <c r="E2081" s="68" t="n">
        <v>0</v>
      </c>
      <c r="F2081" s="68" t="inlineStr">
        <is>
          <t>AtkRatio</t>
        </is>
      </c>
      <c r="G2081" s="68" t="n">
        <v>482567000</v>
      </c>
      <c r="H2081" s="68" t="inlineStr">
        <is>
          <t>DefRatio</t>
        </is>
      </c>
      <c r="I2081" s="68">
        <f>G2081</f>
        <v/>
      </c>
    </row>
    <row r="2082">
      <c r="A2082" s="68">
        <f>B2082&amp;TEXT(C2082,"0000")</f>
        <v/>
      </c>
      <c r="B2082" s="68" t="n">
        <v>201</v>
      </c>
      <c r="C2082" s="68" t="n">
        <v>179</v>
      </c>
      <c r="D2082" s="68" t="inlineStr">
        <is>
          <t>HpRatio</t>
        </is>
      </c>
      <c r="E2082" s="68" t="n">
        <v>0</v>
      </c>
      <c r="F2082" s="68" t="inlineStr">
        <is>
          <t>AtkRatio</t>
        </is>
      </c>
      <c r="G2082" s="68" t="n">
        <v>492220500</v>
      </c>
      <c r="H2082" s="68" t="inlineStr">
        <is>
          <t>DefRatio</t>
        </is>
      </c>
      <c r="I2082" s="68">
        <f>G2082</f>
        <v/>
      </c>
    </row>
    <row r="2083">
      <c r="A2083" s="68">
        <f>B2083&amp;TEXT(C2083,"0000")</f>
        <v/>
      </c>
      <c r="B2083" s="68" t="n">
        <v>201</v>
      </c>
      <c r="C2083" s="68" t="n">
        <v>180</v>
      </c>
      <c r="D2083" s="68" t="inlineStr">
        <is>
          <t>HpRatio</t>
        </is>
      </c>
      <c r="E2083" s="68" t="n">
        <v>0</v>
      </c>
      <c r="F2083" s="68" t="inlineStr">
        <is>
          <t>AtkRatio</t>
        </is>
      </c>
      <c r="G2083" s="68" t="n">
        <v>502067000</v>
      </c>
      <c r="H2083" s="68" t="inlineStr">
        <is>
          <t>DefRatio</t>
        </is>
      </c>
      <c r="I2083" s="68">
        <f>G2083</f>
        <v/>
      </c>
    </row>
    <row r="2084">
      <c r="A2084" s="68">
        <f>B2084&amp;TEXT(C2084,"0000")</f>
        <v/>
      </c>
      <c r="B2084" s="68" t="n">
        <v>201</v>
      </c>
      <c r="C2084" s="68" t="n">
        <v>181</v>
      </c>
      <c r="D2084" s="68" t="inlineStr">
        <is>
          <t>HpRatio</t>
        </is>
      </c>
      <c r="E2084" s="68" t="n">
        <v>0</v>
      </c>
      <c r="F2084" s="68" t="inlineStr">
        <is>
          <t>AtkRatio</t>
        </is>
      </c>
      <c r="G2084" s="68" t="n">
        <v>512110000</v>
      </c>
      <c r="H2084" s="68" t="inlineStr">
        <is>
          <t>DefRatio</t>
        </is>
      </c>
      <c r="I2084" s="68">
        <f>G2084</f>
        <v/>
      </c>
    </row>
    <row r="2085">
      <c r="A2085" s="68">
        <f>B2085&amp;TEXT(C2085,"0000")</f>
        <v/>
      </c>
      <c r="B2085" s="68" t="n">
        <v>201</v>
      </c>
      <c r="C2085" s="68" t="n">
        <v>182</v>
      </c>
      <c r="D2085" s="68" t="inlineStr">
        <is>
          <t>HpRatio</t>
        </is>
      </c>
      <c r="E2085" s="68" t="n">
        <v>0</v>
      </c>
      <c r="F2085" s="68" t="inlineStr">
        <is>
          <t>AtkRatio</t>
        </is>
      </c>
      <c r="G2085" s="68" t="n">
        <v>522354500</v>
      </c>
      <c r="H2085" s="68" t="inlineStr">
        <is>
          <t>DefRatio</t>
        </is>
      </c>
      <c r="I2085" s="68">
        <f>G2085</f>
        <v/>
      </c>
    </row>
    <row r="2086">
      <c r="A2086" s="68">
        <f>B2086&amp;TEXT(C2086,"0000")</f>
        <v/>
      </c>
      <c r="B2086" s="68" t="n">
        <v>201</v>
      </c>
      <c r="C2086" s="68" t="n">
        <v>183</v>
      </c>
      <c r="D2086" s="68" t="inlineStr">
        <is>
          <t>HpRatio</t>
        </is>
      </c>
      <c r="E2086" s="68" t="n">
        <v>0</v>
      </c>
      <c r="F2086" s="68" t="inlineStr">
        <is>
          <t>AtkRatio</t>
        </is>
      </c>
      <c r="G2086" s="68" t="n">
        <v>532803500</v>
      </c>
      <c r="H2086" s="68" t="inlineStr">
        <is>
          <t>DefRatio</t>
        </is>
      </c>
      <c r="I2086" s="68">
        <f>G2086</f>
        <v/>
      </c>
    </row>
    <row r="2087">
      <c r="A2087" s="68">
        <f>B2087&amp;TEXT(C2087,"0000")</f>
        <v/>
      </c>
      <c r="B2087" s="68" t="n">
        <v>201</v>
      </c>
      <c r="C2087" s="68" t="n">
        <v>184</v>
      </c>
      <c r="D2087" s="68" t="inlineStr">
        <is>
          <t>HpRatio</t>
        </is>
      </c>
      <c r="E2087" s="68" t="n">
        <v>0</v>
      </c>
      <c r="F2087" s="68" t="inlineStr">
        <is>
          <t>AtkRatio</t>
        </is>
      </c>
      <c r="G2087" s="68" t="n">
        <v>543461500</v>
      </c>
      <c r="H2087" s="68" t="inlineStr">
        <is>
          <t>DefRatio</t>
        </is>
      </c>
      <c r="I2087" s="68">
        <f>G2087</f>
        <v/>
      </c>
    </row>
    <row r="2088">
      <c r="A2088" s="68">
        <f>B2088&amp;TEXT(C2088,"0000")</f>
        <v/>
      </c>
      <c r="B2088" s="68" t="n">
        <v>201</v>
      </c>
      <c r="C2088" s="68" t="n">
        <v>185</v>
      </c>
      <c r="D2088" s="68" t="inlineStr">
        <is>
          <t>HpRatio</t>
        </is>
      </c>
      <c r="E2088" s="68" t="n">
        <v>0</v>
      </c>
      <c r="F2088" s="68" t="inlineStr">
        <is>
          <t>AtkRatio</t>
        </is>
      </c>
      <c r="G2088" s="68" t="n">
        <v>554333000</v>
      </c>
      <c r="H2088" s="68" t="inlineStr">
        <is>
          <t>DefRatio</t>
        </is>
      </c>
      <c r="I2088" s="68">
        <f>G2088</f>
        <v/>
      </c>
    </row>
    <row r="2089">
      <c r="A2089" s="68">
        <f>B2089&amp;TEXT(C2089,"0000")</f>
        <v/>
      </c>
      <c r="B2089" s="68" t="n">
        <v>201</v>
      </c>
      <c r="C2089" s="68" t="n">
        <v>186</v>
      </c>
      <c r="D2089" s="68" t="inlineStr">
        <is>
          <t>HpRatio</t>
        </is>
      </c>
      <c r="E2089" s="68" t="n">
        <v>0</v>
      </c>
      <c r="F2089" s="68" t="inlineStr">
        <is>
          <t>AtkRatio</t>
        </is>
      </c>
      <c r="G2089" s="68" t="n">
        <v>565421500</v>
      </c>
      <c r="H2089" s="68" t="inlineStr">
        <is>
          <t>DefRatio</t>
        </is>
      </c>
      <c r="I2089" s="68">
        <f>G2089</f>
        <v/>
      </c>
    </row>
    <row r="2090">
      <c r="A2090" s="68">
        <f>B2090&amp;TEXT(C2090,"0000")</f>
        <v/>
      </c>
      <c r="B2090" s="68" t="n">
        <v>201</v>
      </c>
      <c r="C2090" s="68" t="n">
        <v>187</v>
      </c>
      <c r="D2090" s="68" t="inlineStr">
        <is>
          <t>HpRatio</t>
        </is>
      </c>
      <c r="E2090" s="68" t="n">
        <v>0</v>
      </c>
      <c r="F2090" s="68" t="inlineStr">
        <is>
          <t>AtkRatio</t>
        </is>
      </c>
      <c r="G2090" s="68" t="n">
        <v>576732000</v>
      </c>
      <c r="H2090" s="68" t="inlineStr">
        <is>
          <t>DefRatio</t>
        </is>
      </c>
      <c r="I2090" s="68">
        <f>G2090</f>
        <v/>
      </c>
    </row>
    <row r="2091">
      <c r="A2091" s="68">
        <f>B2091&amp;TEXT(C2091,"0000")</f>
        <v/>
      </c>
      <c r="B2091" s="68" t="n">
        <v>201</v>
      </c>
      <c r="C2091" s="68" t="n">
        <v>188</v>
      </c>
      <c r="D2091" s="68" t="inlineStr">
        <is>
          <t>HpRatio</t>
        </is>
      </c>
      <c r="E2091" s="68" t="n">
        <v>0</v>
      </c>
      <c r="F2091" s="68" t="inlineStr">
        <is>
          <t>AtkRatio</t>
        </is>
      </c>
      <c r="G2091" s="68" t="n">
        <v>588268500</v>
      </c>
      <c r="H2091" s="68" t="inlineStr">
        <is>
          <t>DefRatio</t>
        </is>
      </c>
      <c r="I2091" s="68">
        <f>G2091</f>
        <v/>
      </c>
    </row>
    <row r="2092">
      <c r="A2092" s="68">
        <f>B2092&amp;TEXT(C2092,"0000")</f>
        <v/>
      </c>
      <c r="B2092" s="68" t="n">
        <v>201</v>
      </c>
      <c r="C2092" s="68" t="n">
        <v>189</v>
      </c>
      <c r="D2092" s="68" t="inlineStr">
        <is>
          <t>HpRatio</t>
        </is>
      </c>
      <c r="E2092" s="68" t="n">
        <v>0</v>
      </c>
      <c r="F2092" s="68" t="inlineStr">
        <is>
          <t>AtkRatio</t>
        </is>
      </c>
      <c r="G2092" s="68" t="n">
        <v>600036000</v>
      </c>
      <c r="H2092" s="68" t="inlineStr">
        <is>
          <t>DefRatio</t>
        </is>
      </c>
      <c r="I2092" s="68">
        <f>G2092</f>
        <v/>
      </c>
    </row>
    <row r="2093">
      <c r="A2093" s="68">
        <f>B2093&amp;TEXT(C2093,"0000")</f>
        <v/>
      </c>
      <c r="B2093" s="68" t="n">
        <v>201</v>
      </c>
      <c r="C2093" s="68" t="n">
        <v>190</v>
      </c>
      <c r="D2093" s="68" t="inlineStr">
        <is>
          <t>HpRatio</t>
        </is>
      </c>
      <c r="E2093" s="68" t="n">
        <v>0</v>
      </c>
      <c r="F2093" s="68" t="inlineStr">
        <is>
          <t>AtkRatio</t>
        </is>
      </c>
      <c r="G2093" s="68" t="n">
        <v>612038500</v>
      </c>
      <c r="H2093" s="68" t="inlineStr">
        <is>
          <t>DefRatio</t>
        </is>
      </c>
      <c r="I2093" s="68">
        <f>G2093</f>
        <v/>
      </c>
    </row>
    <row r="2094">
      <c r="A2094" s="68">
        <f>B2094&amp;TEXT(C2094,"0000")</f>
        <v/>
      </c>
      <c r="B2094" s="68" t="n">
        <v>201</v>
      </c>
      <c r="C2094" s="68" t="n">
        <v>191</v>
      </c>
      <c r="D2094" s="68" t="inlineStr">
        <is>
          <t>HpRatio</t>
        </is>
      </c>
      <c r="E2094" s="68" t="n">
        <v>0</v>
      </c>
      <c r="F2094" s="68" t="inlineStr">
        <is>
          <t>AtkRatio</t>
        </is>
      </c>
      <c r="G2094" s="68" t="n">
        <v>624281500</v>
      </c>
      <c r="H2094" s="68" t="inlineStr">
        <is>
          <t>DefRatio</t>
        </is>
      </c>
      <c r="I2094" s="68">
        <f>G2094</f>
        <v/>
      </c>
    </row>
    <row r="2095">
      <c r="A2095" s="68">
        <f>B2095&amp;TEXT(C2095,"0000")</f>
        <v/>
      </c>
      <c r="B2095" s="68" t="n">
        <v>201</v>
      </c>
      <c r="C2095" s="68" t="n">
        <v>192</v>
      </c>
      <c r="D2095" s="68" t="inlineStr">
        <is>
          <t>HpRatio</t>
        </is>
      </c>
      <c r="E2095" s="68" t="n">
        <v>0</v>
      </c>
      <c r="F2095" s="68" t="inlineStr">
        <is>
          <t>AtkRatio</t>
        </is>
      </c>
      <c r="G2095" s="68" t="n">
        <v>636769000</v>
      </c>
      <c r="H2095" s="68" t="inlineStr">
        <is>
          <t>DefRatio</t>
        </is>
      </c>
      <c r="I2095" s="68">
        <f>G2095</f>
        <v/>
      </c>
    </row>
    <row r="2096">
      <c r="A2096" s="68">
        <f>B2096&amp;TEXT(C2096,"0000")</f>
        <v/>
      </c>
      <c r="B2096" s="68" t="n">
        <v>201</v>
      </c>
      <c r="C2096" s="68" t="n">
        <v>193</v>
      </c>
      <c r="D2096" s="68" t="inlineStr">
        <is>
          <t>HpRatio</t>
        </is>
      </c>
      <c r="E2096" s="68" t="n">
        <v>0</v>
      </c>
      <c r="F2096" s="68" t="inlineStr">
        <is>
          <t>AtkRatio</t>
        </is>
      </c>
      <c r="G2096" s="68" t="n">
        <v>649506500</v>
      </c>
      <c r="H2096" s="68" t="inlineStr">
        <is>
          <t>DefRatio</t>
        </is>
      </c>
      <c r="I2096" s="68">
        <f>G2096</f>
        <v/>
      </c>
    </row>
    <row r="2097">
      <c r="A2097" s="68">
        <f>B2097&amp;TEXT(C2097,"0000")</f>
        <v/>
      </c>
      <c r="B2097" s="68" t="n">
        <v>201</v>
      </c>
      <c r="C2097" s="68" t="n">
        <v>194</v>
      </c>
      <c r="D2097" s="68" t="inlineStr">
        <is>
          <t>HpRatio</t>
        </is>
      </c>
      <c r="E2097" s="68" t="n">
        <v>0</v>
      </c>
      <c r="F2097" s="68" t="inlineStr">
        <is>
          <t>AtkRatio</t>
        </is>
      </c>
      <c r="G2097" s="68" t="n">
        <v>662498500</v>
      </c>
      <c r="H2097" s="68" t="inlineStr">
        <is>
          <t>DefRatio</t>
        </is>
      </c>
      <c r="I2097" s="68">
        <f>G2097</f>
        <v/>
      </c>
    </row>
    <row r="2098">
      <c r="A2098" s="68">
        <f>B2098&amp;TEXT(C2098,"0000")</f>
        <v/>
      </c>
      <c r="B2098" s="68" t="n">
        <v>201</v>
      </c>
      <c r="C2098" s="68" t="n">
        <v>195</v>
      </c>
      <c r="D2098" s="68" t="inlineStr">
        <is>
          <t>HpRatio</t>
        </is>
      </c>
      <c r="E2098" s="68" t="n">
        <v>0</v>
      </c>
      <c r="F2098" s="68" t="inlineStr">
        <is>
          <t>AtkRatio</t>
        </is>
      </c>
      <c r="G2098" s="68" t="n">
        <v>675750500</v>
      </c>
      <c r="H2098" s="68" t="inlineStr">
        <is>
          <t>DefRatio</t>
        </is>
      </c>
      <c r="I2098" s="68">
        <f>G2098</f>
        <v/>
      </c>
    </row>
    <row r="2099">
      <c r="A2099" s="68">
        <f>B2099&amp;TEXT(C2099,"0000")</f>
        <v/>
      </c>
      <c r="B2099" s="68" t="n">
        <v>201</v>
      </c>
      <c r="C2099" s="68" t="n">
        <v>196</v>
      </c>
      <c r="D2099" s="68" t="inlineStr">
        <is>
          <t>HpRatio</t>
        </is>
      </c>
      <c r="E2099" s="68" t="n">
        <v>0</v>
      </c>
      <c r="F2099" s="68" t="inlineStr">
        <is>
          <t>AtkRatio</t>
        </is>
      </c>
      <c r="G2099" s="68" t="n">
        <v>689267500</v>
      </c>
      <c r="H2099" s="68" t="inlineStr">
        <is>
          <t>DefRatio</t>
        </is>
      </c>
      <c r="I2099" s="68">
        <f>G2099</f>
        <v/>
      </c>
    </row>
    <row r="2100">
      <c r="A2100" s="68">
        <f>B2100&amp;TEXT(C2100,"0000")</f>
        <v/>
      </c>
      <c r="B2100" s="68" t="n">
        <v>201</v>
      </c>
      <c r="C2100" s="68" t="n">
        <v>197</v>
      </c>
      <c r="D2100" s="68" t="inlineStr">
        <is>
          <t>HpRatio</t>
        </is>
      </c>
      <c r="E2100" s="68" t="n">
        <v>0</v>
      </c>
      <c r="F2100" s="68" t="inlineStr">
        <is>
          <t>AtkRatio</t>
        </is>
      </c>
      <c r="G2100" s="68" t="n">
        <v>703055000</v>
      </c>
      <c r="H2100" s="68" t="inlineStr">
        <is>
          <t>DefRatio</t>
        </is>
      </c>
      <c r="I2100" s="68">
        <f>G2100</f>
        <v/>
      </c>
    </row>
    <row r="2101">
      <c r="A2101" s="68">
        <f>B2101&amp;TEXT(C2101,"0000")</f>
        <v/>
      </c>
      <c r="B2101" s="68" t="n">
        <v>201</v>
      </c>
      <c r="C2101" s="68" t="n">
        <v>198</v>
      </c>
      <c r="D2101" s="68" t="inlineStr">
        <is>
          <t>HpRatio</t>
        </is>
      </c>
      <c r="E2101" s="68" t="n">
        <v>0</v>
      </c>
      <c r="F2101" s="68" t="inlineStr">
        <is>
          <t>AtkRatio</t>
        </is>
      </c>
      <c r="G2101" s="68" t="n">
        <v>717118000</v>
      </c>
      <c r="H2101" s="68" t="inlineStr">
        <is>
          <t>DefRatio</t>
        </is>
      </c>
      <c r="I2101" s="68">
        <f>G2101</f>
        <v/>
      </c>
    </row>
    <row r="2102">
      <c r="A2102" s="68">
        <f>B2102&amp;TEXT(C2102,"0000")</f>
        <v/>
      </c>
      <c r="B2102" s="68" t="n">
        <v>201</v>
      </c>
      <c r="C2102" s="68" t="n">
        <v>199</v>
      </c>
      <c r="D2102" s="68" t="inlineStr">
        <is>
          <t>HpRatio</t>
        </is>
      </c>
      <c r="E2102" s="68" t="n">
        <v>0</v>
      </c>
      <c r="F2102" s="68" t="inlineStr">
        <is>
          <t>AtkRatio</t>
        </is>
      </c>
      <c r="G2102" s="68" t="n">
        <v>731462500</v>
      </c>
      <c r="H2102" s="68" t="inlineStr">
        <is>
          <t>DefRatio</t>
        </is>
      </c>
      <c r="I2102" s="68">
        <f>G2102</f>
        <v/>
      </c>
    </row>
    <row r="2103">
      <c r="A2103" s="68">
        <f>B2103&amp;TEXT(C2103,"0000")</f>
        <v/>
      </c>
      <c r="B2103" s="68" t="n">
        <v>201</v>
      </c>
      <c r="C2103" s="68" t="n">
        <v>200</v>
      </c>
      <c r="D2103" s="68" t="inlineStr">
        <is>
          <t>HpRatio</t>
        </is>
      </c>
      <c r="E2103" s="68" t="n">
        <v>0</v>
      </c>
      <c r="F2103" s="68" t="inlineStr">
        <is>
          <t>AtkRatio</t>
        </is>
      </c>
      <c r="G2103" s="68" t="n">
        <v>746093500</v>
      </c>
      <c r="H2103" s="68" t="inlineStr">
        <is>
          <t>DefRatio</t>
        </is>
      </c>
      <c r="I2103" s="68">
        <f>G2103</f>
        <v/>
      </c>
    </row>
    <row r="2104">
      <c r="A2104" s="68">
        <f>B2104&amp;TEXT(C2104,"0000")</f>
        <v/>
      </c>
      <c r="B2104" s="68" t="n">
        <v>201</v>
      </c>
      <c r="C2104" s="68" t="n">
        <v>201</v>
      </c>
      <c r="D2104" s="68" t="inlineStr">
        <is>
          <t>HpRatio</t>
        </is>
      </c>
      <c r="E2104" s="68" t="n">
        <v>0</v>
      </c>
      <c r="F2104" s="68" t="inlineStr">
        <is>
          <t>AtkRatio</t>
        </is>
      </c>
      <c r="G2104" s="68" t="n">
        <v>761017500</v>
      </c>
      <c r="H2104" s="68" t="inlineStr">
        <is>
          <t>DefRatio</t>
        </is>
      </c>
      <c r="I2104" s="68">
        <f>G2104</f>
        <v/>
      </c>
    </row>
    <row r="2105">
      <c r="A2105" s="68">
        <f>B2105&amp;TEXT(C2105,"0000")</f>
        <v/>
      </c>
      <c r="B2105" s="68" t="n">
        <v>201</v>
      </c>
      <c r="C2105" s="68" t="n">
        <v>202</v>
      </c>
      <c r="D2105" s="68" t="inlineStr">
        <is>
          <t>HpRatio</t>
        </is>
      </c>
      <c r="E2105" s="68" t="n">
        <v>0</v>
      </c>
      <c r="F2105" s="68" t="inlineStr">
        <is>
          <t>AtkRatio</t>
        </is>
      </c>
      <c r="G2105" s="68" t="n">
        <v>776240000</v>
      </c>
      <c r="H2105" s="68" t="inlineStr">
        <is>
          <t>DefRatio</t>
        </is>
      </c>
      <c r="I2105" s="68">
        <f>G2105</f>
        <v/>
      </c>
    </row>
    <row r="2106">
      <c r="A2106" s="68">
        <f>B2106&amp;TEXT(C2106,"0000")</f>
        <v/>
      </c>
      <c r="B2106" s="68" t="n">
        <v>201</v>
      </c>
      <c r="C2106" s="68" t="n">
        <v>203</v>
      </c>
      <c r="D2106" s="68" t="inlineStr">
        <is>
          <t>HpRatio</t>
        </is>
      </c>
      <c r="E2106" s="68" t="n">
        <v>0</v>
      </c>
      <c r="F2106" s="68" t="inlineStr">
        <is>
          <t>AtkRatio</t>
        </is>
      </c>
      <c r="G2106" s="68" t="n">
        <v>791766500</v>
      </c>
      <c r="H2106" s="68" t="inlineStr">
        <is>
          <t>DefRatio</t>
        </is>
      </c>
      <c r="I2106" s="68">
        <f>G2106</f>
        <v/>
      </c>
    </row>
    <row r="2107">
      <c r="A2107" s="68">
        <f>B2107&amp;TEXT(C2107,"0000")</f>
        <v/>
      </c>
      <c r="B2107" s="68" t="n">
        <v>201</v>
      </c>
      <c r="C2107" s="68" t="n">
        <v>204</v>
      </c>
      <c r="D2107" s="68" t="inlineStr">
        <is>
          <t>HpRatio</t>
        </is>
      </c>
      <c r="E2107" s="68" t="n">
        <v>0</v>
      </c>
      <c r="F2107" s="68" t="inlineStr">
        <is>
          <t>AtkRatio</t>
        </is>
      </c>
      <c r="G2107" s="68" t="n">
        <v>807604000</v>
      </c>
      <c r="H2107" s="68" t="inlineStr">
        <is>
          <t>DefRatio</t>
        </is>
      </c>
      <c r="I2107" s="68">
        <f>G2107</f>
        <v/>
      </c>
    </row>
    <row r="2108">
      <c r="A2108" s="68">
        <f>B2108&amp;TEXT(C2108,"0000")</f>
        <v/>
      </c>
      <c r="B2108" s="68" t="n">
        <v>201</v>
      </c>
      <c r="C2108" s="68" t="n">
        <v>205</v>
      </c>
      <c r="D2108" s="68" t="inlineStr">
        <is>
          <t>HpRatio</t>
        </is>
      </c>
      <c r="E2108" s="68" t="n">
        <v>0</v>
      </c>
      <c r="F2108" s="68" t="inlineStr">
        <is>
          <t>AtkRatio</t>
        </is>
      </c>
      <c r="G2108" s="68" t="n">
        <v>823758000</v>
      </c>
      <c r="H2108" s="68" t="inlineStr">
        <is>
          <t>DefRatio</t>
        </is>
      </c>
      <c r="I2108" s="68">
        <f>G2108</f>
        <v/>
      </c>
    </row>
    <row r="2109">
      <c r="A2109" s="68">
        <f>B2109&amp;TEXT(C2109,"0000")</f>
        <v/>
      </c>
      <c r="B2109" s="68" t="n">
        <v>201</v>
      </c>
      <c r="C2109" s="68" t="n">
        <v>206</v>
      </c>
      <c r="D2109" s="68" t="inlineStr">
        <is>
          <t>HpRatio</t>
        </is>
      </c>
      <c r="E2109" s="68" t="n">
        <v>0</v>
      </c>
      <c r="F2109" s="68" t="inlineStr">
        <is>
          <t>AtkRatio</t>
        </is>
      </c>
      <c r="G2109" s="68" t="n">
        <v>840235000</v>
      </c>
      <c r="H2109" s="68" t="inlineStr">
        <is>
          <t>DefRatio</t>
        </is>
      </c>
      <c r="I2109" s="68">
        <f>G2109</f>
        <v/>
      </c>
    </row>
    <row r="2110">
      <c r="A2110" s="68">
        <f>B2110&amp;TEXT(C2110,"0000")</f>
        <v/>
      </c>
      <c r="B2110" s="68" t="n">
        <v>201</v>
      </c>
      <c r="C2110" s="68" t="n">
        <v>207</v>
      </c>
      <c r="D2110" s="68" t="inlineStr">
        <is>
          <t>HpRatio</t>
        </is>
      </c>
      <c r="E2110" s="68" t="n">
        <v>0</v>
      </c>
      <c r="F2110" s="68" t="inlineStr">
        <is>
          <t>AtkRatio</t>
        </is>
      </c>
      <c r="G2110" s="68" t="n">
        <v>857042000</v>
      </c>
      <c r="H2110" s="68" t="inlineStr">
        <is>
          <t>DefRatio</t>
        </is>
      </c>
      <c r="I2110" s="68">
        <f>G2110</f>
        <v/>
      </c>
    </row>
    <row r="2111">
      <c r="A2111" s="68">
        <f>B2111&amp;TEXT(C2111,"0000")</f>
        <v/>
      </c>
      <c r="B2111" s="68" t="n">
        <v>201</v>
      </c>
      <c r="C2111" s="68" t="n">
        <v>208</v>
      </c>
      <c r="D2111" s="68" t="inlineStr">
        <is>
          <t>HpRatio</t>
        </is>
      </c>
      <c r="E2111" s="68" t="n">
        <v>0</v>
      </c>
      <c r="F2111" s="68" t="inlineStr">
        <is>
          <t>AtkRatio</t>
        </is>
      </c>
      <c r="G2111" s="68" t="n">
        <v>874184500</v>
      </c>
      <c r="H2111" s="68" t="inlineStr">
        <is>
          <t>DefRatio</t>
        </is>
      </c>
      <c r="I2111" s="68">
        <f>G2111</f>
        <v/>
      </c>
    </row>
    <row r="2112">
      <c r="A2112" s="68">
        <f>B2112&amp;TEXT(C2112,"0000")</f>
        <v/>
      </c>
      <c r="B2112" s="68" t="n">
        <v>201</v>
      </c>
      <c r="C2112" s="68" t="n">
        <v>209</v>
      </c>
      <c r="D2112" s="68" t="inlineStr">
        <is>
          <t>HpRatio</t>
        </is>
      </c>
      <c r="E2112" s="68" t="n">
        <v>0</v>
      </c>
      <c r="F2112" s="68" t="inlineStr">
        <is>
          <t>AtkRatio</t>
        </is>
      </c>
      <c r="G2112" s="68" t="n">
        <v>891670500</v>
      </c>
      <c r="H2112" s="68" t="inlineStr">
        <is>
          <t>DefRatio</t>
        </is>
      </c>
      <c r="I2112" s="68">
        <f>G2112</f>
        <v/>
      </c>
    </row>
    <row r="2113">
      <c r="A2113" s="68">
        <f>B2113&amp;TEXT(C2113,"0000")</f>
        <v/>
      </c>
      <c r="B2113" s="68" t="n">
        <v>201</v>
      </c>
      <c r="C2113" s="68" t="n">
        <v>210</v>
      </c>
      <c r="D2113" s="68" t="inlineStr">
        <is>
          <t>HpRatio</t>
        </is>
      </c>
      <c r="E2113" s="68" t="n">
        <v>0</v>
      </c>
      <c r="F2113" s="68" t="inlineStr">
        <is>
          <t>AtkRatio</t>
        </is>
      </c>
      <c r="G2113" s="68" t="n">
        <v>909506000</v>
      </c>
      <c r="H2113" s="68" t="inlineStr">
        <is>
          <t>DefRatio</t>
        </is>
      </c>
      <c r="I2113" s="68">
        <f>G2113</f>
        <v/>
      </c>
    </row>
    <row r="2114">
      <c r="A2114" s="68">
        <f>B2114&amp;TEXT(C2114,"0000")</f>
        <v/>
      </c>
      <c r="B2114" s="68" t="n">
        <v>201</v>
      </c>
      <c r="C2114" s="68" t="n">
        <v>211</v>
      </c>
      <c r="D2114" s="68" t="inlineStr">
        <is>
          <t>HpRatio</t>
        </is>
      </c>
      <c r="E2114" s="68" t="n">
        <v>0</v>
      </c>
      <c r="F2114" s="68" t="inlineStr">
        <is>
          <t>AtkRatio</t>
        </is>
      </c>
      <c r="G2114" s="68" t="n">
        <v>927698000</v>
      </c>
      <c r="H2114" s="68" t="inlineStr">
        <is>
          <t>DefRatio</t>
        </is>
      </c>
      <c r="I2114" s="68">
        <f>G2114</f>
        <v/>
      </c>
    </row>
    <row r="2115">
      <c r="A2115" s="68">
        <f>B2115&amp;TEXT(C2115,"0000")</f>
        <v/>
      </c>
      <c r="B2115" s="68" t="n">
        <v>201</v>
      </c>
      <c r="C2115" s="68" t="n">
        <v>212</v>
      </c>
      <c r="D2115" s="68" t="inlineStr">
        <is>
          <t>HpRatio</t>
        </is>
      </c>
      <c r="E2115" s="68" t="n">
        <v>0</v>
      </c>
      <c r="F2115" s="68" t="inlineStr">
        <is>
          <t>AtkRatio</t>
        </is>
      </c>
      <c r="G2115" s="68" t="n">
        <v>946254000</v>
      </c>
      <c r="H2115" s="68" t="inlineStr">
        <is>
          <t>DefRatio</t>
        </is>
      </c>
      <c r="I2115" s="68">
        <f>G2115</f>
        <v/>
      </c>
    </row>
    <row r="2116">
      <c r="A2116" s="68">
        <f>B2116&amp;TEXT(C2116,"0000")</f>
        <v/>
      </c>
      <c r="B2116" s="68" t="n">
        <v>201</v>
      </c>
      <c r="C2116" s="68" t="n">
        <v>213</v>
      </c>
      <c r="D2116" s="68" t="inlineStr">
        <is>
          <t>HpRatio</t>
        </is>
      </c>
      <c r="E2116" s="68" t="n">
        <v>0</v>
      </c>
      <c r="F2116" s="68" t="inlineStr">
        <is>
          <t>AtkRatio</t>
        </is>
      </c>
      <c r="G2116" s="68" t="n">
        <v>965181000</v>
      </c>
      <c r="H2116" s="68" t="inlineStr">
        <is>
          <t>DefRatio</t>
        </is>
      </c>
      <c r="I2116" s="68">
        <f>G2116</f>
        <v/>
      </c>
    </row>
    <row r="2117">
      <c r="A2117" s="68">
        <f>B2117&amp;TEXT(C2117,"0000")</f>
        <v/>
      </c>
      <c r="B2117" s="68" t="n">
        <v>201</v>
      </c>
      <c r="C2117" s="68" t="n">
        <v>214</v>
      </c>
      <c r="D2117" s="68" t="inlineStr">
        <is>
          <t>HpRatio</t>
        </is>
      </c>
      <c r="E2117" s="68" t="n">
        <v>0</v>
      </c>
      <c r="F2117" s="68" t="inlineStr">
        <is>
          <t>AtkRatio</t>
        </is>
      </c>
      <c r="G2117" s="68" t="n">
        <v>984486500</v>
      </c>
      <c r="H2117" s="68" t="inlineStr">
        <is>
          <t>DefRatio</t>
        </is>
      </c>
      <c r="I2117" s="68">
        <f>G2117</f>
        <v/>
      </c>
    </row>
    <row r="2118">
      <c r="A2118" s="68">
        <f>B2118&amp;TEXT(C2118,"0000")</f>
        <v/>
      </c>
      <c r="B2118" s="68" t="n">
        <v>201</v>
      </c>
      <c r="C2118" s="68" t="n">
        <v>215</v>
      </c>
      <c r="D2118" s="68" t="inlineStr">
        <is>
          <t>HpRatio</t>
        </is>
      </c>
      <c r="E2118" s="68" t="n">
        <v>0</v>
      </c>
      <c r="F2118" s="68" t="inlineStr">
        <is>
          <t>AtkRatio</t>
        </is>
      </c>
      <c r="G2118" s="68" t="n">
        <v>1004178500</v>
      </c>
      <c r="H2118" s="68" t="inlineStr">
        <is>
          <t>DefRatio</t>
        </is>
      </c>
      <c r="I2118" s="68">
        <f>G2118</f>
        <v/>
      </c>
    </row>
    <row r="2119">
      <c r="A2119" s="68">
        <f>B2119&amp;TEXT(C2119,"0000")</f>
        <v/>
      </c>
      <c r="B2119" s="68" t="n">
        <v>201</v>
      </c>
      <c r="C2119" s="68" t="n">
        <v>216</v>
      </c>
      <c r="D2119" s="68" t="inlineStr">
        <is>
          <t>HpRatio</t>
        </is>
      </c>
      <c r="E2119" s="68" t="n">
        <v>0</v>
      </c>
      <c r="F2119" s="68" t="inlineStr">
        <is>
          <t>AtkRatio</t>
        </is>
      </c>
      <c r="G2119" s="68" t="n">
        <v>1024264000</v>
      </c>
      <c r="H2119" s="68" t="inlineStr">
        <is>
          <t>DefRatio</t>
        </is>
      </c>
      <c r="I2119" s="68">
        <f>G2119</f>
        <v/>
      </c>
    </row>
    <row r="2120">
      <c r="A2120" s="68">
        <f>B2120&amp;TEXT(C2120,"0000")</f>
        <v/>
      </c>
      <c r="B2120" s="68" t="n">
        <v>201</v>
      </c>
      <c r="C2120" s="68" t="n">
        <v>217</v>
      </c>
      <c r="D2120" s="68" t="inlineStr">
        <is>
          <t>HpRatio</t>
        </is>
      </c>
      <c r="E2120" s="68" t="n">
        <v>0</v>
      </c>
      <c r="F2120" s="68" t="inlineStr">
        <is>
          <t>AtkRatio</t>
        </is>
      </c>
      <c r="G2120" s="68" t="n">
        <v>1044751000</v>
      </c>
      <c r="H2120" s="68" t="inlineStr">
        <is>
          <t>DefRatio</t>
        </is>
      </c>
      <c r="I2120" s="68">
        <f>G2120</f>
        <v/>
      </c>
    </row>
    <row r="2121">
      <c r="A2121" s="68">
        <f>B2121&amp;TEXT(C2121,"0000")</f>
        <v/>
      </c>
      <c r="B2121" s="68" t="n">
        <v>201</v>
      </c>
      <c r="C2121" s="68" t="n">
        <v>218</v>
      </c>
      <c r="D2121" s="68" t="inlineStr">
        <is>
          <t>HpRatio</t>
        </is>
      </c>
      <c r="E2121" s="68" t="n">
        <v>0</v>
      </c>
      <c r="F2121" s="68" t="inlineStr">
        <is>
          <t>AtkRatio</t>
        </is>
      </c>
      <c r="G2121" s="68" t="n">
        <v>1065648500</v>
      </c>
      <c r="H2121" s="68" t="inlineStr">
        <is>
          <t>DefRatio</t>
        </is>
      </c>
      <c r="I2121" s="68">
        <f>G2121</f>
        <v/>
      </c>
    </row>
    <row r="2122">
      <c r="A2122" s="68">
        <f>B2122&amp;TEXT(C2122,"0000")</f>
        <v/>
      </c>
      <c r="B2122" s="68" t="n">
        <v>201</v>
      </c>
      <c r="C2122" s="68" t="n">
        <v>219</v>
      </c>
      <c r="D2122" s="68" t="inlineStr">
        <is>
          <t>HpRatio</t>
        </is>
      </c>
      <c r="E2122" s="68" t="n">
        <v>0</v>
      </c>
      <c r="F2122" s="68" t="inlineStr">
        <is>
          <t>AtkRatio</t>
        </is>
      </c>
      <c r="G2122" s="68" t="n">
        <v>1086963000</v>
      </c>
      <c r="H2122" s="68" t="inlineStr">
        <is>
          <t>DefRatio</t>
        </is>
      </c>
      <c r="I2122" s="68">
        <f>G2122</f>
        <v/>
      </c>
    </row>
    <row r="2123">
      <c r="A2123" s="68">
        <f>B2123&amp;TEXT(C2123,"0000")</f>
        <v/>
      </c>
      <c r="B2123" s="68" t="n">
        <v>201</v>
      </c>
      <c r="C2123" s="68" t="n">
        <v>220</v>
      </c>
      <c r="D2123" s="68" t="inlineStr">
        <is>
          <t>HpRatio</t>
        </is>
      </c>
      <c r="E2123" s="68" t="n">
        <v>0</v>
      </c>
      <c r="F2123" s="68" t="inlineStr">
        <is>
          <t>AtkRatio</t>
        </is>
      </c>
      <c r="G2123" s="68" t="n">
        <v>1108704500</v>
      </c>
      <c r="H2123" s="68" t="inlineStr">
        <is>
          <t>DefRatio</t>
        </is>
      </c>
      <c r="I2123" s="68">
        <f>G2123</f>
        <v/>
      </c>
    </row>
    <row r="2124">
      <c r="A2124" s="68">
        <f>B2124&amp;TEXT(C2124,"0000")</f>
        <v/>
      </c>
      <c r="B2124" s="68" t="n">
        <v>201</v>
      </c>
      <c r="C2124" s="68" t="n">
        <v>221</v>
      </c>
      <c r="D2124" s="68" t="inlineStr">
        <is>
          <t>HpRatio</t>
        </is>
      </c>
      <c r="E2124" s="68" t="n">
        <v>0</v>
      </c>
      <c r="F2124" s="68" t="inlineStr">
        <is>
          <t>AtkRatio</t>
        </is>
      </c>
      <c r="G2124" s="68" t="n">
        <v>1130880500</v>
      </c>
      <c r="H2124" s="68" t="inlineStr">
        <is>
          <t>DefRatio</t>
        </is>
      </c>
      <c r="I2124" s="68">
        <f>G2124</f>
        <v/>
      </c>
    </row>
    <row r="2125">
      <c r="A2125" s="68">
        <f>B2125&amp;TEXT(C2125,"0000")</f>
        <v/>
      </c>
      <c r="B2125" s="68" t="n">
        <v>201</v>
      </c>
      <c r="C2125" s="68" t="n">
        <v>222</v>
      </c>
      <c r="D2125" s="68" t="inlineStr">
        <is>
          <t>HpRatio</t>
        </is>
      </c>
      <c r="E2125" s="68" t="n">
        <v>0</v>
      </c>
      <c r="F2125" s="68" t="inlineStr">
        <is>
          <t>AtkRatio</t>
        </is>
      </c>
      <c r="G2125" s="68" t="n">
        <v>1153500000</v>
      </c>
      <c r="H2125" s="68" t="inlineStr">
        <is>
          <t>DefRatio</t>
        </is>
      </c>
      <c r="I2125" s="68">
        <f>G2125</f>
        <v/>
      </c>
    </row>
    <row r="2126">
      <c r="A2126" s="68">
        <f>B2126&amp;TEXT(C2126,"0000")</f>
        <v/>
      </c>
      <c r="B2126" s="68" t="n">
        <v>201</v>
      </c>
      <c r="C2126" s="68" t="n">
        <v>223</v>
      </c>
      <c r="D2126" s="68" t="inlineStr">
        <is>
          <t>HpRatio</t>
        </is>
      </c>
      <c r="E2126" s="68" t="n">
        <v>0</v>
      </c>
      <c r="F2126" s="68" t="inlineStr">
        <is>
          <t>AtkRatio</t>
        </is>
      </c>
      <c r="G2126" s="68" t="n">
        <v>1176572000</v>
      </c>
      <c r="H2126" s="68" t="inlineStr">
        <is>
          <t>DefRatio</t>
        </is>
      </c>
      <c r="I2126" s="68">
        <f>G2126</f>
        <v/>
      </c>
    </row>
    <row r="2127">
      <c r="A2127" s="68">
        <f>B2127&amp;TEXT(C2127,"0000")</f>
        <v/>
      </c>
      <c r="B2127" s="68" t="n">
        <v>201</v>
      </c>
      <c r="C2127" s="68" t="n">
        <v>224</v>
      </c>
      <c r="D2127" s="68" t="inlineStr">
        <is>
          <t>HpRatio</t>
        </is>
      </c>
      <c r="E2127" s="68" t="n">
        <v>0</v>
      </c>
      <c r="F2127" s="68" t="inlineStr">
        <is>
          <t>AtkRatio</t>
        </is>
      </c>
      <c r="G2127" s="68" t="n">
        <v>1200105500</v>
      </c>
      <c r="H2127" s="68" t="inlineStr">
        <is>
          <t>DefRatio</t>
        </is>
      </c>
      <c r="I2127" s="68">
        <f>G2127</f>
        <v/>
      </c>
    </row>
    <row r="2128">
      <c r="A2128" s="68">
        <f>B2128&amp;TEXT(C2128,"0000")</f>
        <v/>
      </c>
      <c r="B2128" s="68" t="n">
        <v>201</v>
      </c>
      <c r="C2128" s="68" t="n">
        <v>225</v>
      </c>
      <c r="D2128" s="68" t="inlineStr">
        <is>
          <t>HpRatio</t>
        </is>
      </c>
      <c r="E2128" s="68" t="n">
        <v>0</v>
      </c>
      <c r="F2128" s="68" t="inlineStr">
        <is>
          <t>AtkRatio</t>
        </is>
      </c>
      <c r="G2128" s="68" t="n">
        <v>1224110000</v>
      </c>
      <c r="H2128" s="68" t="inlineStr">
        <is>
          <t>DefRatio</t>
        </is>
      </c>
      <c r="I2128" s="68">
        <f>G2128</f>
        <v/>
      </c>
    </row>
    <row r="2129">
      <c r="A2129" s="68">
        <f>B2129&amp;TEXT(C2129,"0000")</f>
        <v/>
      </c>
      <c r="B2129" s="68" t="n">
        <v>201</v>
      </c>
      <c r="C2129" s="68" t="n">
        <v>226</v>
      </c>
      <c r="D2129" s="68" t="inlineStr">
        <is>
          <t>HpRatio</t>
        </is>
      </c>
      <c r="E2129" s="68" t="n">
        <v>0</v>
      </c>
      <c r="F2129" s="68" t="inlineStr">
        <is>
          <t>AtkRatio</t>
        </is>
      </c>
      <c r="G2129" s="68" t="n">
        <v>1248594000</v>
      </c>
      <c r="H2129" s="68" t="inlineStr">
        <is>
          <t>DefRatio</t>
        </is>
      </c>
      <c r="I2129" s="68">
        <f>G2129</f>
        <v/>
      </c>
    </row>
    <row r="2130">
      <c r="A2130" s="68">
        <f>B2130&amp;TEXT(C2130,"0000")</f>
        <v/>
      </c>
      <c r="B2130" s="68" t="n">
        <v>201</v>
      </c>
      <c r="C2130" s="68" t="n">
        <v>227</v>
      </c>
      <c r="D2130" s="68" t="inlineStr">
        <is>
          <t>HpRatio</t>
        </is>
      </c>
      <c r="E2130" s="68" t="n">
        <v>0</v>
      </c>
      <c r="F2130" s="68" t="inlineStr">
        <is>
          <t>AtkRatio</t>
        </is>
      </c>
      <c r="G2130" s="68" t="n">
        <v>1273568000</v>
      </c>
      <c r="H2130" s="68" t="inlineStr">
        <is>
          <t>DefRatio</t>
        </is>
      </c>
      <c r="I2130" s="68">
        <f>G2130</f>
        <v/>
      </c>
    </row>
    <row r="2131">
      <c r="A2131" s="68">
        <f>B2131&amp;TEXT(C2131,"0000")</f>
        <v/>
      </c>
      <c r="B2131" s="68" t="n">
        <v>201</v>
      </c>
      <c r="C2131" s="68" t="n">
        <v>228</v>
      </c>
      <c r="D2131" s="68" t="inlineStr">
        <is>
          <t>HpRatio</t>
        </is>
      </c>
      <c r="E2131" s="68" t="n">
        <v>0</v>
      </c>
      <c r="F2131" s="68" t="inlineStr">
        <is>
          <t>AtkRatio</t>
        </is>
      </c>
      <c r="G2131" s="68" t="n">
        <v>1299041500</v>
      </c>
      <c r="H2131" s="68" t="inlineStr">
        <is>
          <t>DefRatio</t>
        </is>
      </c>
      <c r="I2131" s="68">
        <f>G2131</f>
        <v/>
      </c>
    </row>
    <row r="2132">
      <c r="A2132" s="68">
        <f>B2132&amp;TEXT(C2132,"0000")</f>
        <v/>
      </c>
      <c r="B2132" s="68" t="n">
        <v>201</v>
      </c>
      <c r="C2132" s="68" t="n">
        <v>229</v>
      </c>
      <c r="D2132" s="68" t="inlineStr">
        <is>
          <t>HpRatio</t>
        </is>
      </c>
      <c r="E2132" s="68" t="n">
        <v>0</v>
      </c>
      <c r="F2132" s="68" t="inlineStr">
        <is>
          <t>AtkRatio</t>
        </is>
      </c>
      <c r="G2132" s="68" t="n">
        <v>1325024000</v>
      </c>
      <c r="H2132" s="68" t="inlineStr">
        <is>
          <t>DefRatio</t>
        </is>
      </c>
      <c r="I2132" s="68">
        <f>G2132</f>
        <v/>
      </c>
    </row>
    <row r="2133">
      <c r="A2133" s="68">
        <f>B2133&amp;TEXT(C2133,"0000")</f>
        <v/>
      </c>
      <c r="B2133" s="68" t="n">
        <v>201</v>
      </c>
      <c r="C2133" s="68" t="n">
        <v>230</v>
      </c>
      <c r="D2133" s="68" t="inlineStr">
        <is>
          <t>HpRatio</t>
        </is>
      </c>
      <c r="E2133" s="68" t="n">
        <v>0</v>
      </c>
      <c r="F2133" s="68" t="inlineStr">
        <is>
          <t>AtkRatio</t>
        </is>
      </c>
      <c r="G2133" s="68" t="n">
        <v>1351526500</v>
      </c>
      <c r="H2133" s="68" t="inlineStr">
        <is>
          <t>DefRatio</t>
        </is>
      </c>
      <c r="I2133" s="68">
        <f>G2133</f>
        <v/>
      </c>
    </row>
    <row r="2134">
      <c r="A2134" s="68">
        <f>B2134&amp;TEXT(C2134,"0000")</f>
        <v/>
      </c>
      <c r="B2134" s="68" t="n">
        <v>201</v>
      </c>
      <c r="C2134" s="68" t="n">
        <v>231</v>
      </c>
      <c r="D2134" s="68" t="inlineStr">
        <is>
          <t>HpRatio</t>
        </is>
      </c>
      <c r="E2134" s="68" t="n">
        <v>0</v>
      </c>
      <c r="F2134" s="68" t="inlineStr">
        <is>
          <t>AtkRatio</t>
        </is>
      </c>
      <c r="G2134" s="68" t="n">
        <v>1378559000</v>
      </c>
      <c r="H2134" s="68" t="inlineStr">
        <is>
          <t>DefRatio</t>
        </is>
      </c>
      <c r="I2134" s="68">
        <f>G2134</f>
        <v/>
      </c>
    </row>
    <row r="2135">
      <c r="A2135" s="68">
        <f>B2135&amp;TEXT(C2135,"0000")</f>
        <v/>
      </c>
      <c r="B2135" s="68" t="n">
        <v>201</v>
      </c>
      <c r="C2135" s="68" t="n">
        <v>232</v>
      </c>
      <c r="D2135" s="68" t="inlineStr">
        <is>
          <t>HpRatio</t>
        </is>
      </c>
      <c r="E2135" s="68" t="n">
        <v>0</v>
      </c>
      <c r="F2135" s="68" t="inlineStr">
        <is>
          <t>AtkRatio</t>
        </is>
      </c>
      <c r="G2135" s="68" t="n">
        <v>1406132500</v>
      </c>
      <c r="H2135" s="68" t="inlineStr">
        <is>
          <t>DefRatio</t>
        </is>
      </c>
      <c r="I2135" s="68">
        <f>G2135</f>
        <v/>
      </c>
    </row>
    <row r="2136">
      <c r="A2136" s="68">
        <f>B2136&amp;TEXT(C2136,"0000")</f>
        <v/>
      </c>
      <c r="B2136" s="68" t="n">
        <v>201</v>
      </c>
      <c r="C2136" s="68" t="n">
        <v>233</v>
      </c>
      <c r="D2136" s="68" t="inlineStr">
        <is>
          <t>HpRatio</t>
        </is>
      </c>
      <c r="E2136" s="68" t="n">
        <v>0</v>
      </c>
      <c r="F2136" s="68" t="inlineStr">
        <is>
          <t>AtkRatio</t>
        </is>
      </c>
      <c r="G2136" s="68" t="n">
        <v>1434257000</v>
      </c>
      <c r="H2136" s="68" t="inlineStr">
        <is>
          <t>DefRatio</t>
        </is>
      </c>
      <c r="I2136" s="68">
        <f>G2136</f>
        <v/>
      </c>
    </row>
    <row r="2137">
      <c r="A2137" s="68">
        <f>B2137&amp;TEXT(C2137,"0000")</f>
        <v/>
      </c>
      <c r="B2137" s="68" t="n">
        <v>201</v>
      </c>
      <c r="C2137" s="68" t="n">
        <v>234</v>
      </c>
      <c r="D2137" s="68" t="inlineStr">
        <is>
          <t>HpRatio</t>
        </is>
      </c>
      <c r="E2137" s="68" t="n">
        <v>0</v>
      </c>
      <c r="F2137" s="68" t="inlineStr">
        <is>
          <t>AtkRatio</t>
        </is>
      </c>
      <c r="G2137" s="68" t="n">
        <v>1462944000</v>
      </c>
      <c r="H2137" s="68" t="inlineStr">
        <is>
          <t>DefRatio</t>
        </is>
      </c>
      <c r="I2137" s="68">
        <f>G2137</f>
        <v/>
      </c>
    </row>
    <row r="2138">
      <c r="A2138" s="68">
        <f>B2138&amp;TEXT(C2138,"0000")</f>
        <v/>
      </c>
      <c r="B2138" s="68" t="n">
        <v>201</v>
      </c>
      <c r="C2138" s="68" t="n">
        <v>235</v>
      </c>
      <c r="D2138" s="68" t="inlineStr">
        <is>
          <t>HpRatio</t>
        </is>
      </c>
      <c r="E2138" s="68" t="n">
        <v>0</v>
      </c>
      <c r="F2138" s="68" t="inlineStr">
        <is>
          <t>AtkRatio</t>
        </is>
      </c>
      <c r="G2138" s="68" t="n">
        <v>1492205000</v>
      </c>
      <c r="H2138" s="68" t="inlineStr">
        <is>
          <t>DefRatio</t>
        </is>
      </c>
      <c r="I2138" s="68">
        <f>G2138</f>
        <v/>
      </c>
    </row>
    <row r="2139">
      <c r="A2139" s="68">
        <f>B2139&amp;TEXT(C2139,"0000")</f>
        <v/>
      </c>
      <c r="B2139" s="68" t="n">
        <v>201</v>
      </c>
      <c r="C2139" s="68" t="n">
        <v>236</v>
      </c>
      <c r="D2139" s="68" t="inlineStr">
        <is>
          <t>HpRatio</t>
        </is>
      </c>
      <c r="E2139" s="68" t="n">
        <v>0</v>
      </c>
      <c r="F2139" s="68" t="inlineStr">
        <is>
          <t>AtkRatio</t>
        </is>
      </c>
      <c r="G2139" s="68" t="n">
        <v>1522051000</v>
      </c>
      <c r="H2139" s="68" t="inlineStr">
        <is>
          <t>DefRatio</t>
        </is>
      </c>
      <c r="I2139" s="68">
        <f>G2139</f>
        <v/>
      </c>
    </row>
    <row r="2140">
      <c r="A2140" s="68">
        <f>B2140&amp;TEXT(C2140,"0000")</f>
        <v/>
      </c>
      <c r="B2140" s="68" t="n">
        <v>201</v>
      </c>
      <c r="C2140" s="68" t="n">
        <v>237</v>
      </c>
      <c r="D2140" s="68" t="inlineStr">
        <is>
          <t>HpRatio</t>
        </is>
      </c>
      <c r="E2140" s="68" t="n">
        <v>0</v>
      </c>
      <c r="F2140" s="68" t="inlineStr">
        <is>
          <t>AtkRatio</t>
        </is>
      </c>
      <c r="G2140" s="68" t="n">
        <v>1552494000</v>
      </c>
      <c r="H2140" s="68" t="inlineStr">
        <is>
          <t>DefRatio</t>
        </is>
      </c>
      <c r="I2140" s="68">
        <f>G2140</f>
        <v/>
      </c>
    </row>
    <row r="2141">
      <c r="A2141" s="68">
        <f>B2141&amp;TEXT(C2141,"0000")</f>
        <v/>
      </c>
      <c r="B2141" s="68" t="n">
        <v>201</v>
      </c>
      <c r="C2141" s="68" t="n">
        <v>238</v>
      </c>
      <c r="D2141" s="68" t="inlineStr">
        <is>
          <t>HpRatio</t>
        </is>
      </c>
      <c r="E2141" s="68" t="n">
        <v>0</v>
      </c>
      <c r="F2141" s="68" t="inlineStr">
        <is>
          <t>AtkRatio</t>
        </is>
      </c>
      <c r="G2141" s="68" t="n">
        <v>1583546000</v>
      </c>
      <c r="H2141" s="68" t="inlineStr">
        <is>
          <t>DefRatio</t>
        </is>
      </c>
      <c r="I2141" s="68">
        <f>G2141</f>
        <v/>
      </c>
    </row>
    <row r="2142">
      <c r="A2142" s="68">
        <f>B2142&amp;TEXT(C2142,"0000")</f>
        <v/>
      </c>
      <c r="B2142" s="68" t="n">
        <v>201</v>
      </c>
      <c r="C2142" s="68" t="n">
        <v>239</v>
      </c>
      <c r="D2142" s="68" t="inlineStr">
        <is>
          <t>HpRatio</t>
        </is>
      </c>
      <c r="E2142" s="68" t="n">
        <v>0</v>
      </c>
      <c r="F2142" s="68" t="inlineStr">
        <is>
          <t>AtkRatio</t>
        </is>
      </c>
      <c r="G2142" s="68" t="n">
        <v>1615219000</v>
      </c>
      <c r="H2142" s="68" t="inlineStr">
        <is>
          <t>DefRatio</t>
        </is>
      </c>
      <c r="I2142" s="68">
        <f>G2142</f>
        <v/>
      </c>
    </row>
    <row r="2143">
      <c r="A2143" s="68">
        <f>B2143&amp;TEXT(C2143,"0000")</f>
        <v/>
      </c>
      <c r="B2143" s="68" t="n">
        <v>201</v>
      </c>
      <c r="C2143" s="68" t="n">
        <v>240</v>
      </c>
      <c r="D2143" s="68" t="inlineStr">
        <is>
          <t>HpRatio</t>
        </is>
      </c>
      <c r="E2143" s="68" t="n">
        <v>0</v>
      </c>
      <c r="F2143" s="68" t="inlineStr">
        <is>
          <t>AtkRatio</t>
        </is>
      </c>
      <c r="G2143" s="68" t="n">
        <v>1647525500</v>
      </c>
      <c r="H2143" s="68" t="inlineStr">
        <is>
          <t>DefRatio</t>
        </is>
      </c>
      <c r="I2143" s="68">
        <f>G2143</f>
        <v/>
      </c>
    </row>
    <row r="2144">
      <c r="A2144" s="68">
        <f>B2144&amp;TEXT(C2144,"0000")</f>
        <v/>
      </c>
      <c r="B2144" s="68" t="n">
        <v>201</v>
      </c>
      <c r="C2144" s="68" t="n">
        <v>241</v>
      </c>
      <c r="D2144" s="68" t="inlineStr">
        <is>
          <t>HpRatio</t>
        </is>
      </c>
      <c r="E2144" s="68" t="n">
        <v>0</v>
      </c>
      <c r="F2144" s="68" t="inlineStr">
        <is>
          <t>AtkRatio</t>
        </is>
      </c>
      <c r="G2144" s="68" t="n">
        <v>1680478000</v>
      </c>
      <c r="H2144" s="68" t="inlineStr">
        <is>
          <t>DefRatio</t>
        </is>
      </c>
      <c r="I2144" s="68">
        <f>G2144</f>
        <v/>
      </c>
    </row>
    <row r="2145">
      <c r="A2145" s="68">
        <f>B2145&amp;TEXT(C2145,"0000")</f>
        <v/>
      </c>
      <c r="B2145" s="68" t="n">
        <v>201</v>
      </c>
      <c r="C2145" s="68" t="n">
        <v>242</v>
      </c>
      <c r="D2145" s="68" t="inlineStr">
        <is>
          <t>HpRatio</t>
        </is>
      </c>
      <c r="E2145" s="68" t="n">
        <v>0</v>
      </c>
      <c r="F2145" s="68" t="inlineStr">
        <is>
          <t>AtkRatio</t>
        </is>
      </c>
      <c r="G2145" s="68" t="n">
        <v>1714089500</v>
      </c>
      <c r="H2145" s="68" t="inlineStr">
        <is>
          <t>DefRatio</t>
        </is>
      </c>
      <c r="I2145" s="68">
        <f>G2145</f>
        <v/>
      </c>
    </row>
    <row r="2146">
      <c r="A2146" s="68">
        <f>B2146&amp;TEXT(C2146,"0000")</f>
        <v/>
      </c>
      <c r="B2146" s="68" t="n">
        <v>201</v>
      </c>
      <c r="C2146" s="68" t="n">
        <v>243</v>
      </c>
      <c r="D2146" s="68" t="inlineStr">
        <is>
          <t>HpRatio</t>
        </is>
      </c>
      <c r="E2146" s="68" t="n">
        <v>0</v>
      </c>
      <c r="F2146" s="68" t="inlineStr">
        <is>
          <t>AtkRatio</t>
        </is>
      </c>
      <c r="G2146" s="68" t="n">
        <v>1748373000</v>
      </c>
      <c r="H2146" s="68" t="inlineStr">
        <is>
          <t>DefRatio</t>
        </is>
      </c>
      <c r="I2146" s="68">
        <f>G2146</f>
        <v/>
      </c>
    </row>
    <row r="2147">
      <c r="A2147" s="68">
        <f>B2147&amp;TEXT(C2147,"0000")</f>
        <v/>
      </c>
      <c r="B2147" s="68" t="n">
        <v>201</v>
      </c>
      <c r="C2147" s="68" t="n">
        <v>244</v>
      </c>
      <c r="D2147" s="68" t="inlineStr">
        <is>
          <t>HpRatio</t>
        </is>
      </c>
      <c r="E2147" s="68" t="n">
        <v>0</v>
      </c>
      <c r="F2147" s="68" t="inlineStr">
        <is>
          <t>AtkRatio</t>
        </is>
      </c>
      <c r="G2147" s="68" t="n">
        <v>1783342500</v>
      </c>
      <c r="H2147" s="68" t="inlineStr">
        <is>
          <t>DefRatio</t>
        </is>
      </c>
      <c r="I2147" s="68">
        <f>G2147</f>
        <v/>
      </c>
    </row>
    <row r="2148">
      <c r="A2148" s="68">
        <f>B2148&amp;TEXT(C2148,"0000")</f>
        <v/>
      </c>
      <c r="B2148" s="68" t="n">
        <v>201</v>
      </c>
      <c r="C2148" s="68" t="n">
        <v>245</v>
      </c>
      <c r="D2148" s="68" t="inlineStr">
        <is>
          <t>HpRatio</t>
        </is>
      </c>
      <c r="E2148" s="68" t="n">
        <v>0</v>
      </c>
      <c r="F2148" s="68" t="inlineStr">
        <is>
          <t>AtkRatio</t>
        </is>
      </c>
      <c r="G2148" s="68" t="n">
        <v>1819011500</v>
      </c>
      <c r="H2148" s="68" t="inlineStr">
        <is>
          <t>DefRatio</t>
        </is>
      </c>
      <c r="I2148" s="68">
        <f>G2148</f>
        <v/>
      </c>
    </row>
    <row r="2149">
      <c r="A2149" s="68">
        <f>B2149&amp;TEXT(C2149,"0000")</f>
        <v/>
      </c>
      <c r="B2149" s="68" t="n">
        <v>201</v>
      </c>
      <c r="C2149" s="68" t="n">
        <v>246</v>
      </c>
      <c r="D2149" s="68" t="inlineStr">
        <is>
          <t>HpRatio</t>
        </is>
      </c>
      <c r="E2149" s="68" t="n">
        <v>0</v>
      </c>
      <c r="F2149" s="68" t="inlineStr">
        <is>
          <t>AtkRatio</t>
        </is>
      </c>
      <c r="G2149" s="68" t="n">
        <v>1855393500</v>
      </c>
      <c r="H2149" s="68" t="inlineStr">
        <is>
          <t>DefRatio</t>
        </is>
      </c>
      <c r="I2149" s="68">
        <f>G2149</f>
        <v/>
      </c>
    </row>
    <row r="2150">
      <c r="A2150" s="68">
        <f>B2150&amp;TEXT(C2150,"0000")</f>
        <v/>
      </c>
      <c r="B2150" s="68" t="n">
        <v>201</v>
      </c>
      <c r="C2150" s="68" t="n">
        <v>247</v>
      </c>
      <c r="D2150" s="68" t="inlineStr">
        <is>
          <t>HpRatio</t>
        </is>
      </c>
      <c r="E2150" s="68" t="n">
        <v>0</v>
      </c>
      <c r="F2150" s="68" t="inlineStr">
        <is>
          <t>AtkRatio</t>
        </is>
      </c>
      <c r="G2150" s="68" t="n">
        <v>1892503500</v>
      </c>
      <c r="H2150" s="68" t="inlineStr">
        <is>
          <t>DefRatio</t>
        </is>
      </c>
      <c r="I2150" s="68">
        <f>G2150</f>
        <v/>
      </c>
    </row>
    <row r="2151">
      <c r="A2151" s="68">
        <f>B2151&amp;TEXT(C2151,"0000")</f>
        <v/>
      </c>
      <c r="B2151" s="68" t="n">
        <v>201</v>
      </c>
      <c r="C2151" s="68" t="n">
        <v>248</v>
      </c>
      <c r="D2151" s="68" t="inlineStr">
        <is>
          <t>HpRatio</t>
        </is>
      </c>
      <c r="E2151" s="68" t="n">
        <v>0</v>
      </c>
      <c r="F2151" s="68" t="inlineStr">
        <is>
          <t>AtkRatio</t>
        </is>
      </c>
      <c r="G2151" s="68" t="n">
        <v>1930355500</v>
      </c>
      <c r="H2151" s="68" t="inlineStr">
        <is>
          <t>DefRatio</t>
        </is>
      </c>
      <c r="I2151" s="68">
        <f>G2151</f>
        <v/>
      </c>
    </row>
    <row r="2152">
      <c r="A2152" s="68">
        <f>B2152&amp;TEXT(C2152,"0000")</f>
        <v/>
      </c>
      <c r="B2152" s="68" t="n">
        <v>201</v>
      </c>
      <c r="C2152" s="68" t="n">
        <v>249</v>
      </c>
      <c r="D2152" s="68" t="inlineStr">
        <is>
          <t>HpRatio</t>
        </is>
      </c>
      <c r="E2152" s="68" t="n">
        <v>0</v>
      </c>
      <c r="F2152" s="68" t="inlineStr">
        <is>
          <t>AtkRatio</t>
        </is>
      </c>
      <c r="G2152" s="68" t="n">
        <v>1968965000</v>
      </c>
      <c r="H2152" s="68" t="inlineStr">
        <is>
          <t>DefRatio</t>
        </is>
      </c>
      <c r="I2152" s="68">
        <f>G2152</f>
        <v/>
      </c>
    </row>
    <row r="2153">
      <c r="A2153" s="68">
        <f>B2153&amp;TEXT(C2153,"0000")</f>
        <v/>
      </c>
      <c r="B2153" s="68" t="n">
        <v>201</v>
      </c>
      <c r="C2153" s="68" t="n">
        <v>250</v>
      </c>
      <c r="D2153" s="68" t="inlineStr">
        <is>
          <t>HpRatio</t>
        </is>
      </c>
      <c r="E2153" s="68" t="n">
        <v>0</v>
      </c>
      <c r="F2153" s="68" t="inlineStr">
        <is>
          <t>AtkRatio</t>
        </is>
      </c>
      <c r="G2153" s="68" t="n">
        <v>2008346000</v>
      </c>
      <c r="H2153" s="68" t="inlineStr">
        <is>
          <t>DefRatio</t>
        </is>
      </c>
      <c r="I2153" s="68">
        <f>G2153</f>
        <v/>
      </c>
    </row>
    <row r="2154">
      <c r="A2154" s="68">
        <f>B2154&amp;TEXT(C2154,"0000")</f>
        <v/>
      </c>
      <c r="B2154" s="68" t="n">
        <v>201</v>
      </c>
      <c r="C2154" s="68" t="n">
        <v>251</v>
      </c>
      <c r="D2154" s="68" t="inlineStr">
        <is>
          <t>HpRatio</t>
        </is>
      </c>
      <c r="E2154" s="68" t="n">
        <v>0</v>
      </c>
      <c r="F2154" s="68" t="inlineStr">
        <is>
          <t>AtkRatio</t>
        </is>
      </c>
      <c r="G2154" s="68" t="n">
        <v>2048515000</v>
      </c>
      <c r="H2154" s="68" t="inlineStr">
        <is>
          <t>DefRatio</t>
        </is>
      </c>
      <c r="I2154" s="68">
        <f>G2154</f>
        <v/>
      </c>
    </row>
    <row r="2155">
      <c r="A2155" s="68">
        <f>B2155&amp;TEXT(C2155,"0000")</f>
        <v/>
      </c>
      <c r="B2155" s="68" t="n">
        <v>201</v>
      </c>
      <c r="C2155" s="68" t="n">
        <v>252</v>
      </c>
      <c r="D2155" s="68" t="inlineStr">
        <is>
          <t>HpRatio</t>
        </is>
      </c>
      <c r="E2155" s="68" t="n">
        <v>0</v>
      </c>
      <c r="F2155" s="68" t="inlineStr">
        <is>
          <t>AtkRatio</t>
        </is>
      </c>
      <c r="G2155" s="68" t="n">
        <v>2089487500</v>
      </c>
      <c r="H2155" s="68" t="inlineStr">
        <is>
          <t>DefRatio</t>
        </is>
      </c>
      <c r="I2155" s="68">
        <f>G2155</f>
        <v/>
      </c>
    </row>
    <row r="2156">
      <c r="A2156" s="68">
        <f>B2156&amp;TEXT(C2156,"0000")</f>
        <v/>
      </c>
      <c r="B2156" s="68" t="n">
        <v>201</v>
      </c>
      <c r="C2156" s="68" t="n">
        <v>253</v>
      </c>
      <c r="D2156" s="68" t="inlineStr">
        <is>
          <t>HpRatio</t>
        </is>
      </c>
      <c r="E2156" s="68" t="n">
        <v>0</v>
      </c>
      <c r="F2156" s="68" t="inlineStr">
        <is>
          <t>AtkRatio</t>
        </is>
      </c>
      <c r="G2156" s="68" t="n">
        <v>2131279000</v>
      </c>
      <c r="H2156" s="68" t="inlineStr">
        <is>
          <t>DefRatio</t>
        </is>
      </c>
      <c r="I2156" s="68">
        <f>G2156</f>
        <v/>
      </c>
    </row>
    <row r="2157">
      <c r="A2157" s="68">
        <f>B2157&amp;TEXT(C2157,"0000")</f>
        <v/>
      </c>
      <c r="B2157" s="68" t="n">
        <v>201</v>
      </c>
      <c r="C2157" s="68" t="n">
        <v>254</v>
      </c>
      <c r="D2157" s="68" t="inlineStr">
        <is>
          <t>HpRatio</t>
        </is>
      </c>
      <c r="E2157" s="68" t="n">
        <v>0</v>
      </c>
      <c r="F2157" s="68" t="inlineStr">
        <is>
          <t>AtkRatio</t>
        </is>
      </c>
      <c r="G2157" s="68" t="n">
        <v>2173906500</v>
      </c>
      <c r="H2157" s="68" t="inlineStr">
        <is>
          <t>DefRatio</t>
        </is>
      </c>
      <c r="I2157" s="68">
        <f>G2157</f>
        <v/>
      </c>
    </row>
    <row r="2158">
      <c r="A2158" s="68">
        <f>B2158&amp;TEXT(C2158,"0000")</f>
        <v/>
      </c>
      <c r="B2158" s="68" t="n">
        <v>201</v>
      </c>
      <c r="C2158" s="68" t="n">
        <v>255</v>
      </c>
      <c r="D2158" s="68" t="inlineStr">
        <is>
          <t>HpRatio</t>
        </is>
      </c>
      <c r="E2158" s="68" t="n">
        <v>0</v>
      </c>
      <c r="F2158" s="68" t="inlineStr">
        <is>
          <t>AtkRatio</t>
        </is>
      </c>
      <c r="G2158" s="68" t="n">
        <v>2217387000</v>
      </c>
      <c r="H2158" s="68" t="inlineStr">
        <is>
          <t>DefRatio</t>
        </is>
      </c>
      <c r="I2158" s="68">
        <f>G2158</f>
        <v/>
      </c>
    </row>
    <row r="2159">
      <c r="A2159" s="68">
        <f>B2159&amp;TEXT(C2159,"0000")</f>
        <v/>
      </c>
      <c r="B2159" s="68" t="n">
        <v>201</v>
      </c>
      <c r="C2159" s="68" t="n">
        <v>256</v>
      </c>
      <c r="D2159" s="68" t="inlineStr">
        <is>
          <t>HpRatio</t>
        </is>
      </c>
      <c r="E2159" s="68" t="n">
        <v>0</v>
      </c>
      <c r="F2159" s="68" t="inlineStr">
        <is>
          <t>AtkRatio</t>
        </is>
      </c>
      <c r="G2159" s="68" t="n">
        <v>2261736500</v>
      </c>
      <c r="H2159" s="68" t="inlineStr">
        <is>
          <t>DefRatio</t>
        </is>
      </c>
      <c r="I2159" s="68">
        <f>G2159</f>
        <v/>
      </c>
    </row>
    <row r="2160">
      <c r="A2160" s="68">
        <f>B2160&amp;TEXT(C2160,"0000")</f>
        <v/>
      </c>
      <c r="B2160" s="68" t="n">
        <v>201</v>
      </c>
      <c r="C2160" s="68" t="n">
        <v>257</v>
      </c>
      <c r="D2160" s="68" t="inlineStr">
        <is>
          <t>HpRatio</t>
        </is>
      </c>
      <c r="E2160" s="68" t="n">
        <v>0</v>
      </c>
      <c r="F2160" s="68" t="inlineStr">
        <is>
          <t>AtkRatio</t>
        </is>
      </c>
      <c r="G2160" s="68" t="n">
        <v>2306973500</v>
      </c>
      <c r="H2160" s="68" t="inlineStr">
        <is>
          <t>DefRatio</t>
        </is>
      </c>
      <c r="I2160" s="68">
        <f>G2160</f>
        <v/>
      </c>
    </row>
    <row r="2161">
      <c r="A2161" s="68">
        <f>B2161&amp;TEXT(C2161,"0000")</f>
        <v/>
      </c>
      <c r="B2161" s="68" t="n">
        <v>201</v>
      </c>
      <c r="C2161" s="68" t="n">
        <v>258</v>
      </c>
      <c r="D2161" s="68" t="inlineStr">
        <is>
          <t>HpRatio</t>
        </is>
      </c>
      <c r="E2161" s="68" t="n">
        <v>0</v>
      </c>
      <c r="F2161" s="68" t="inlineStr">
        <is>
          <t>AtkRatio</t>
        </is>
      </c>
      <c r="G2161" s="68" t="n">
        <v>2353115000</v>
      </c>
      <c r="H2161" s="68" t="inlineStr">
        <is>
          <t>DefRatio</t>
        </is>
      </c>
      <c r="I2161" s="68">
        <f>G2161</f>
        <v/>
      </c>
    </row>
    <row r="2162">
      <c r="A2162" s="68">
        <f>B2162&amp;TEXT(C2162,"0000")</f>
        <v/>
      </c>
      <c r="B2162" s="68" t="n">
        <v>201</v>
      </c>
      <c r="C2162" s="68" t="n">
        <v>259</v>
      </c>
      <c r="D2162" s="68" t="inlineStr">
        <is>
          <t>HpRatio</t>
        </is>
      </c>
      <c r="E2162" s="68" t="n">
        <v>0</v>
      </c>
      <c r="F2162" s="68" t="inlineStr">
        <is>
          <t>AtkRatio</t>
        </is>
      </c>
      <c r="G2162" s="68" t="n">
        <v>2400179000</v>
      </c>
      <c r="H2162" s="68" t="inlineStr">
        <is>
          <t>DefRatio</t>
        </is>
      </c>
      <c r="I2162" s="68">
        <f>G2162</f>
        <v/>
      </c>
    </row>
    <row r="2163">
      <c r="A2163" s="68">
        <f>B2163&amp;TEXT(C2163,"0000")</f>
        <v/>
      </c>
      <c r="B2163" s="68" t="n">
        <v>201</v>
      </c>
      <c r="C2163" s="68" t="n">
        <v>260</v>
      </c>
      <c r="D2163" s="68" t="inlineStr">
        <is>
          <t>HpRatio</t>
        </is>
      </c>
      <c r="E2163" s="68" t="n">
        <v>0</v>
      </c>
      <c r="F2163" s="68" t="inlineStr">
        <is>
          <t>AtkRatio</t>
        </is>
      </c>
      <c r="G2163" s="68" t="n">
        <v>2448184500</v>
      </c>
      <c r="H2163" s="68" t="inlineStr">
        <is>
          <t>DefRatio</t>
        </is>
      </c>
      <c r="I2163" s="68">
        <f>G2163</f>
        <v/>
      </c>
    </row>
    <row r="2164">
      <c r="A2164" s="68">
        <f>B2164&amp;TEXT(C2164,"0000")</f>
        <v/>
      </c>
      <c r="B2164" s="68" t="n">
        <v>201</v>
      </c>
      <c r="C2164" s="68" t="n">
        <v>261</v>
      </c>
      <c r="D2164" s="68" t="inlineStr">
        <is>
          <t>HpRatio</t>
        </is>
      </c>
      <c r="E2164" s="68" t="n">
        <v>0</v>
      </c>
      <c r="F2164" s="68" t="inlineStr">
        <is>
          <t>AtkRatio</t>
        </is>
      </c>
      <c r="G2164" s="68" t="n">
        <v>2497150500</v>
      </c>
      <c r="H2164" s="68" t="inlineStr">
        <is>
          <t>DefRatio</t>
        </is>
      </c>
      <c r="I2164" s="68">
        <f>G2164</f>
        <v/>
      </c>
    </row>
    <row r="2165">
      <c r="A2165" s="68">
        <f>B2165&amp;TEXT(C2165,"0000")</f>
        <v/>
      </c>
      <c r="B2165" s="68" t="n">
        <v>201</v>
      </c>
      <c r="C2165" s="68" t="n">
        <v>262</v>
      </c>
      <c r="D2165" s="68" t="inlineStr">
        <is>
          <t>HpRatio</t>
        </is>
      </c>
      <c r="E2165" s="68" t="n">
        <v>0</v>
      </c>
      <c r="F2165" s="68" t="inlineStr">
        <is>
          <t>AtkRatio</t>
        </is>
      </c>
      <c r="G2165" s="68" t="n">
        <v>2547095500</v>
      </c>
      <c r="H2165" s="68" t="inlineStr">
        <is>
          <t>DefRatio</t>
        </is>
      </c>
      <c r="I2165" s="68">
        <f>G2165</f>
        <v/>
      </c>
    </row>
    <row r="2166">
      <c r="A2166" s="68">
        <f>B2166&amp;TEXT(C2166,"0000")</f>
        <v/>
      </c>
      <c r="B2166" s="68" t="n">
        <v>201</v>
      </c>
      <c r="C2166" s="68" t="n">
        <v>263</v>
      </c>
      <c r="D2166" s="68" t="inlineStr">
        <is>
          <t>HpRatio</t>
        </is>
      </c>
      <c r="E2166" s="68" t="n">
        <v>0</v>
      </c>
      <c r="F2166" s="68" t="inlineStr">
        <is>
          <t>AtkRatio</t>
        </is>
      </c>
      <c r="G2166" s="68" t="n">
        <v>2598039500</v>
      </c>
      <c r="H2166" s="68" t="inlineStr">
        <is>
          <t>DefRatio</t>
        </is>
      </c>
      <c r="I2166" s="68">
        <f>G2166</f>
        <v/>
      </c>
    </row>
    <row r="2167">
      <c r="A2167" s="68">
        <f>B2167&amp;TEXT(C2167,"0000")</f>
        <v/>
      </c>
      <c r="B2167" s="68" t="n">
        <v>201</v>
      </c>
      <c r="C2167" s="68" t="n">
        <v>264</v>
      </c>
      <c r="D2167" s="68" t="inlineStr">
        <is>
          <t>HpRatio</t>
        </is>
      </c>
      <c r="E2167" s="68" t="n">
        <v>0</v>
      </c>
      <c r="F2167" s="68" t="inlineStr">
        <is>
          <t>AtkRatio</t>
        </is>
      </c>
      <c r="G2167" s="68" t="n">
        <v>2650002000</v>
      </c>
      <c r="H2167" s="68" t="inlineStr">
        <is>
          <t>DefRatio</t>
        </is>
      </c>
      <c r="I2167" s="68">
        <f>G2167</f>
        <v/>
      </c>
    </row>
    <row r="2168">
      <c r="A2168" s="68">
        <f>B2168&amp;TEXT(C2168,"0000")</f>
        <v/>
      </c>
      <c r="B2168" s="68" t="n">
        <v>201</v>
      </c>
      <c r="C2168" s="68" t="n">
        <v>265</v>
      </c>
      <c r="D2168" s="68" t="inlineStr">
        <is>
          <t>HpRatio</t>
        </is>
      </c>
      <c r="E2168" s="68" t="n">
        <v>0</v>
      </c>
      <c r="F2168" s="68" t="inlineStr">
        <is>
          <t>AtkRatio</t>
        </is>
      </c>
      <c r="G2168" s="68" t="n">
        <v>2703004000</v>
      </c>
      <c r="H2168" s="68" t="inlineStr">
        <is>
          <t>DefRatio</t>
        </is>
      </c>
      <c r="I2168" s="68">
        <f>G2168</f>
        <v/>
      </c>
    </row>
    <row r="2169">
      <c r="A2169" s="68">
        <f>B2169&amp;TEXT(C2169,"0000")</f>
        <v/>
      </c>
      <c r="B2169" s="68" t="n">
        <v>201</v>
      </c>
      <c r="C2169" s="68" t="n">
        <v>266</v>
      </c>
      <c r="D2169" s="68" t="inlineStr">
        <is>
          <t>HpRatio</t>
        </is>
      </c>
      <c r="E2169" s="68" t="n">
        <v>0</v>
      </c>
      <c r="F2169" s="68" t="inlineStr">
        <is>
          <t>AtkRatio</t>
        </is>
      </c>
      <c r="G2169" s="68" t="n">
        <v>2757066000</v>
      </c>
      <c r="H2169" s="68" t="inlineStr">
        <is>
          <t>DefRatio</t>
        </is>
      </c>
      <c r="I2169" s="68">
        <f>G2169</f>
        <v/>
      </c>
    </row>
    <row r="2170">
      <c r="A2170" s="68">
        <f>B2170&amp;TEXT(C2170,"0000")</f>
        <v/>
      </c>
      <c r="B2170" s="68" t="n">
        <v>201</v>
      </c>
      <c r="C2170" s="68" t="n">
        <v>267</v>
      </c>
      <c r="D2170" s="68" t="inlineStr">
        <is>
          <t>HpRatio</t>
        </is>
      </c>
      <c r="E2170" s="68" t="n">
        <v>0</v>
      </c>
      <c r="F2170" s="68" t="inlineStr">
        <is>
          <t>AtkRatio</t>
        </is>
      </c>
      <c r="G2170" s="68" t="n">
        <v>2812209500</v>
      </c>
      <c r="H2170" s="68" t="inlineStr">
        <is>
          <t>DefRatio</t>
        </is>
      </c>
      <c r="I2170" s="68">
        <f>G2170</f>
        <v/>
      </c>
    </row>
    <row r="2171">
      <c r="A2171" s="68">
        <f>B2171&amp;TEXT(C2171,"0000")</f>
        <v/>
      </c>
      <c r="B2171" s="68" t="n">
        <v>201</v>
      </c>
      <c r="C2171" s="68" t="n">
        <v>268</v>
      </c>
      <c r="D2171" s="68" t="inlineStr">
        <is>
          <t>HpRatio</t>
        </is>
      </c>
      <c r="E2171" s="68" t="n">
        <v>0</v>
      </c>
      <c r="F2171" s="68" t="inlineStr">
        <is>
          <t>AtkRatio</t>
        </is>
      </c>
      <c r="G2171" s="68" t="n">
        <v>2868455500</v>
      </c>
      <c r="H2171" s="68" t="inlineStr">
        <is>
          <t>DefRatio</t>
        </is>
      </c>
      <c r="I2171" s="68">
        <f>G2171</f>
        <v/>
      </c>
    </row>
    <row r="2172">
      <c r="A2172" s="68">
        <f>B2172&amp;TEXT(C2172,"0000")</f>
        <v/>
      </c>
      <c r="B2172" s="68" t="n">
        <v>201</v>
      </c>
      <c r="C2172" s="68" t="n">
        <v>269</v>
      </c>
      <c r="D2172" s="68" t="inlineStr">
        <is>
          <t>HpRatio</t>
        </is>
      </c>
      <c r="E2172" s="68" t="n">
        <v>0</v>
      </c>
      <c r="F2172" s="68" t="inlineStr">
        <is>
          <t>AtkRatio</t>
        </is>
      </c>
      <c r="G2172" s="68" t="n">
        <v>2925827000</v>
      </c>
      <c r="H2172" s="68" t="inlineStr">
        <is>
          <t>DefRatio</t>
        </is>
      </c>
      <c r="I2172" s="68">
        <f>G2172</f>
        <v/>
      </c>
    </row>
    <row r="2173">
      <c r="A2173" s="68">
        <f>B2173&amp;TEXT(C2173,"0000")</f>
        <v/>
      </c>
      <c r="B2173" s="68" t="n">
        <v>201</v>
      </c>
      <c r="C2173" s="68" t="n">
        <v>270</v>
      </c>
      <c r="D2173" s="68" t="inlineStr">
        <is>
          <t>HpRatio</t>
        </is>
      </c>
      <c r="E2173" s="68" t="n">
        <v>0</v>
      </c>
      <c r="F2173" s="68" t="inlineStr">
        <is>
          <t>AtkRatio</t>
        </is>
      </c>
      <c r="G2173" s="68" t="n">
        <v>2984345500</v>
      </c>
      <c r="H2173" s="68" t="inlineStr">
        <is>
          <t>DefRatio</t>
        </is>
      </c>
      <c r="I2173" s="68">
        <f>G2173</f>
        <v/>
      </c>
    </row>
    <row r="2174">
      <c r="A2174" s="68">
        <f>B2174&amp;TEXT(C2174,"0000")</f>
        <v/>
      </c>
      <c r="B2174" s="68" t="n">
        <v>201</v>
      </c>
      <c r="C2174" s="68" t="n">
        <v>271</v>
      </c>
      <c r="D2174" s="68" t="inlineStr">
        <is>
          <t>HpRatio</t>
        </is>
      </c>
      <c r="E2174" s="68" t="n">
        <v>0</v>
      </c>
      <c r="F2174" s="68" t="inlineStr">
        <is>
          <t>AtkRatio</t>
        </is>
      </c>
      <c r="G2174" s="68" t="n">
        <v>3044034500</v>
      </c>
      <c r="H2174" s="68" t="inlineStr">
        <is>
          <t>DefRatio</t>
        </is>
      </c>
      <c r="I2174" s="68">
        <f>G2174</f>
        <v/>
      </c>
    </row>
    <row r="2175">
      <c r="A2175" s="68">
        <f>B2175&amp;TEXT(C2175,"0000")</f>
        <v/>
      </c>
      <c r="B2175" s="68" t="n">
        <v>201</v>
      </c>
      <c r="C2175" s="68" t="n">
        <v>272</v>
      </c>
      <c r="D2175" s="68" t="inlineStr">
        <is>
          <t>HpRatio</t>
        </is>
      </c>
      <c r="E2175" s="68" t="n">
        <v>0</v>
      </c>
      <c r="F2175" s="68" t="inlineStr">
        <is>
          <t>AtkRatio</t>
        </is>
      </c>
      <c r="G2175" s="68" t="n">
        <v>3104917000</v>
      </c>
      <c r="H2175" s="68" t="inlineStr">
        <is>
          <t>DefRatio</t>
        </is>
      </c>
      <c r="I2175" s="68">
        <f>G2175</f>
        <v/>
      </c>
    </row>
    <row r="2176">
      <c r="A2176" s="68">
        <f>B2176&amp;TEXT(C2176,"0000")</f>
        <v/>
      </c>
      <c r="B2176" s="68" t="n">
        <v>201</v>
      </c>
      <c r="C2176" s="68" t="n">
        <v>273</v>
      </c>
      <c r="D2176" s="68" t="inlineStr">
        <is>
          <t>HpRatio</t>
        </is>
      </c>
      <c r="E2176" s="68" t="n">
        <v>0</v>
      </c>
      <c r="F2176" s="68" t="inlineStr">
        <is>
          <t>AtkRatio</t>
        </is>
      </c>
      <c r="G2176" s="68" t="n">
        <v>3167017500</v>
      </c>
      <c r="H2176" s="68" t="inlineStr">
        <is>
          <t>DefRatio</t>
        </is>
      </c>
      <c r="I2176" s="68">
        <f>G2176</f>
        <v/>
      </c>
    </row>
    <row r="2177">
      <c r="A2177" s="68">
        <f>B2177&amp;TEXT(C2177,"0000")</f>
        <v/>
      </c>
      <c r="B2177" s="68" t="n">
        <v>201</v>
      </c>
      <c r="C2177" s="68" t="n">
        <v>274</v>
      </c>
      <c r="D2177" s="68" t="inlineStr">
        <is>
          <t>HpRatio</t>
        </is>
      </c>
      <c r="E2177" s="68" t="n">
        <v>0</v>
      </c>
      <c r="F2177" s="68" t="inlineStr">
        <is>
          <t>AtkRatio</t>
        </is>
      </c>
      <c r="G2177" s="68" t="n">
        <v>3230359500</v>
      </c>
      <c r="H2177" s="68" t="inlineStr">
        <is>
          <t>DefRatio</t>
        </is>
      </c>
      <c r="I2177" s="68">
        <f>G2177</f>
        <v/>
      </c>
    </row>
    <row r="2178">
      <c r="A2178" s="68">
        <f>B2178&amp;TEXT(C2178,"0000")</f>
        <v/>
      </c>
      <c r="B2178" s="68" t="n">
        <v>201</v>
      </c>
      <c r="C2178" s="68" t="n">
        <v>275</v>
      </c>
      <c r="D2178" s="68" t="inlineStr">
        <is>
          <t>HpRatio</t>
        </is>
      </c>
      <c r="E2178" s="68" t="n">
        <v>0</v>
      </c>
      <c r="F2178" s="68" t="inlineStr">
        <is>
          <t>AtkRatio</t>
        </is>
      </c>
      <c r="G2178" s="68" t="n">
        <v>3294969000</v>
      </c>
      <c r="H2178" s="68" t="inlineStr">
        <is>
          <t>DefRatio</t>
        </is>
      </c>
      <c r="I2178" s="68">
        <f>G2178</f>
        <v/>
      </c>
    </row>
    <row r="2179">
      <c r="A2179" s="68">
        <f>B2179&amp;TEXT(C2179,"0000")</f>
        <v/>
      </c>
      <c r="B2179" s="68" t="n">
        <v>201</v>
      </c>
      <c r="C2179" s="68" t="n">
        <v>276</v>
      </c>
      <c r="D2179" s="68" t="inlineStr">
        <is>
          <t>HpRatio</t>
        </is>
      </c>
      <c r="E2179" s="68" t="n">
        <v>0</v>
      </c>
      <c r="F2179" s="68" t="inlineStr">
        <is>
          <t>AtkRatio</t>
        </is>
      </c>
      <c r="G2179" s="68" t="n">
        <v>3360870500</v>
      </c>
      <c r="H2179" s="68" t="inlineStr">
        <is>
          <t>DefRatio</t>
        </is>
      </c>
      <c r="I2179" s="68">
        <f>G2179</f>
        <v/>
      </c>
    </row>
    <row r="2180">
      <c r="A2180" s="68">
        <f>B2180&amp;TEXT(C2180,"0000")</f>
        <v/>
      </c>
      <c r="B2180" s="68" t="n">
        <v>201</v>
      </c>
      <c r="C2180" s="68" t="n">
        <v>277</v>
      </c>
      <c r="D2180" s="68" t="inlineStr">
        <is>
          <t>HpRatio</t>
        </is>
      </c>
      <c r="E2180" s="68" t="n">
        <v>0</v>
      </c>
      <c r="F2180" s="68" t="inlineStr">
        <is>
          <t>AtkRatio</t>
        </is>
      </c>
      <c r="G2180" s="68" t="n">
        <v>3428089500</v>
      </c>
      <c r="H2180" s="68" t="inlineStr">
        <is>
          <t>DefRatio</t>
        </is>
      </c>
      <c r="I2180" s="68">
        <f>G2180</f>
        <v/>
      </c>
    </row>
    <row r="2181">
      <c r="A2181" s="68">
        <f>B2181&amp;TEXT(C2181,"0000")</f>
        <v/>
      </c>
      <c r="B2181" s="68" t="n">
        <v>201</v>
      </c>
      <c r="C2181" s="68" t="n">
        <v>278</v>
      </c>
      <c r="D2181" s="68" t="inlineStr">
        <is>
          <t>HpRatio</t>
        </is>
      </c>
      <c r="E2181" s="68" t="n">
        <v>0</v>
      </c>
      <c r="F2181" s="68" t="inlineStr">
        <is>
          <t>AtkRatio</t>
        </is>
      </c>
      <c r="G2181" s="68" t="n">
        <v>3496653500</v>
      </c>
      <c r="H2181" s="68" t="inlineStr">
        <is>
          <t>DefRatio</t>
        </is>
      </c>
      <c r="I2181" s="68">
        <f>G2181</f>
        <v/>
      </c>
    </row>
    <row r="2182">
      <c r="A2182" s="68">
        <f>B2182&amp;TEXT(C2182,"0000")</f>
        <v/>
      </c>
      <c r="B2182" s="68" t="n">
        <v>201</v>
      </c>
      <c r="C2182" s="68" t="n">
        <v>279</v>
      </c>
      <c r="D2182" s="68" t="inlineStr">
        <is>
          <t>HpRatio</t>
        </is>
      </c>
      <c r="E2182" s="68" t="n">
        <v>0</v>
      </c>
      <c r="F2182" s="68" t="inlineStr">
        <is>
          <t>AtkRatio</t>
        </is>
      </c>
      <c r="G2182" s="68" t="n">
        <v>3566588500</v>
      </c>
      <c r="H2182" s="68" t="inlineStr">
        <is>
          <t>DefRatio</t>
        </is>
      </c>
      <c r="I2182" s="68">
        <f>G2182</f>
        <v/>
      </c>
    </row>
    <row r="2183">
      <c r="A2183" s="68">
        <f>B2183&amp;TEXT(C2183,"0000")</f>
        <v/>
      </c>
      <c r="B2183" s="68" t="n">
        <v>201</v>
      </c>
      <c r="C2183" s="68" t="n">
        <v>280</v>
      </c>
      <c r="D2183" s="68" t="inlineStr">
        <is>
          <t>HpRatio</t>
        </is>
      </c>
      <c r="E2183" s="68" t="n">
        <v>0</v>
      </c>
      <c r="F2183" s="68" t="inlineStr">
        <is>
          <t>AtkRatio</t>
        </is>
      </c>
      <c r="G2183" s="68" t="n">
        <v>3637922500</v>
      </c>
      <c r="H2183" s="68" t="inlineStr">
        <is>
          <t>DefRatio</t>
        </is>
      </c>
      <c r="I2183" s="68">
        <f>G2183</f>
        <v/>
      </c>
    </row>
    <row r="2184">
      <c r="A2184" s="68">
        <f>B2184&amp;TEXT(C2184,"0000")</f>
        <v/>
      </c>
      <c r="B2184" s="68" t="n">
        <v>201</v>
      </c>
      <c r="C2184" s="68" t="n">
        <v>281</v>
      </c>
      <c r="D2184" s="68" t="inlineStr">
        <is>
          <t>HpRatio</t>
        </is>
      </c>
      <c r="E2184" s="68" t="n">
        <v>0</v>
      </c>
      <c r="F2184" s="68" t="inlineStr">
        <is>
          <t>AtkRatio</t>
        </is>
      </c>
      <c r="G2184" s="68" t="n">
        <v>3710683000</v>
      </c>
      <c r="H2184" s="68" t="inlineStr">
        <is>
          <t>DefRatio</t>
        </is>
      </c>
      <c r="I2184" s="68">
        <f>G2184</f>
        <v/>
      </c>
    </row>
    <row r="2185">
      <c r="A2185" s="68">
        <f>B2185&amp;TEXT(C2185,"0000")</f>
        <v/>
      </c>
      <c r="B2185" s="68" t="n">
        <v>201</v>
      </c>
      <c r="C2185" s="68" t="n">
        <v>282</v>
      </c>
      <c r="D2185" s="68" t="inlineStr">
        <is>
          <t>HpRatio</t>
        </is>
      </c>
      <c r="E2185" s="68" t="n">
        <v>0</v>
      </c>
      <c r="F2185" s="68" t="inlineStr">
        <is>
          <t>AtkRatio</t>
        </is>
      </c>
      <c r="G2185" s="68" t="n">
        <v>3784898500</v>
      </c>
      <c r="H2185" s="68" t="inlineStr">
        <is>
          <t>DefRatio</t>
        </is>
      </c>
      <c r="I2185" s="68">
        <f>G2185</f>
        <v/>
      </c>
    </row>
    <row r="2186">
      <c r="A2186" s="68">
        <f>B2186&amp;TEXT(C2186,"0000")</f>
        <v/>
      </c>
      <c r="B2186" s="68" t="n">
        <v>201</v>
      </c>
      <c r="C2186" s="68" t="n">
        <v>283</v>
      </c>
      <c r="D2186" s="68" t="inlineStr">
        <is>
          <t>HpRatio</t>
        </is>
      </c>
      <c r="E2186" s="68" t="n">
        <v>0</v>
      </c>
      <c r="F2186" s="68" t="inlineStr">
        <is>
          <t>AtkRatio</t>
        </is>
      </c>
      <c r="G2186" s="68" t="n">
        <v>3860598500</v>
      </c>
      <c r="H2186" s="68" t="inlineStr">
        <is>
          <t>DefRatio</t>
        </is>
      </c>
      <c r="I2186" s="68">
        <f>G2186</f>
        <v/>
      </c>
    </row>
    <row r="2187">
      <c r="A2187" s="68">
        <f>B2187&amp;TEXT(C2187,"0000")</f>
        <v/>
      </c>
      <c r="B2187" s="68" t="n">
        <v>201</v>
      </c>
      <c r="C2187" s="68" t="n">
        <v>284</v>
      </c>
      <c r="D2187" s="68" t="inlineStr">
        <is>
          <t>HpRatio</t>
        </is>
      </c>
      <c r="E2187" s="68" t="n">
        <v>0</v>
      </c>
      <c r="F2187" s="68" t="inlineStr">
        <is>
          <t>AtkRatio</t>
        </is>
      </c>
      <c r="G2187" s="68" t="n">
        <v>3937812500</v>
      </c>
      <c r="H2187" s="68" t="inlineStr">
        <is>
          <t>DefRatio</t>
        </is>
      </c>
      <c r="I2187" s="68">
        <f>G2187</f>
        <v/>
      </c>
    </row>
    <row r="2188">
      <c r="A2188" s="68">
        <f>B2188&amp;TEXT(C2188,"0000")</f>
        <v/>
      </c>
      <c r="B2188" s="68" t="n">
        <v>201</v>
      </c>
      <c r="C2188" s="68" t="n">
        <v>285</v>
      </c>
      <c r="D2188" s="68" t="inlineStr">
        <is>
          <t>HpRatio</t>
        </is>
      </c>
      <c r="E2188" s="68" t="n">
        <v>0</v>
      </c>
      <c r="F2188" s="68" t="inlineStr">
        <is>
          <t>AtkRatio</t>
        </is>
      </c>
      <c r="G2188" s="68" t="n">
        <v>4016570500</v>
      </c>
      <c r="H2188" s="68" t="inlineStr">
        <is>
          <t>DefRatio</t>
        </is>
      </c>
      <c r="I2188" s="68">
        <f>G2188</f>
        <v/>
      </c>
    </row>
    <row r="2189">
      <c r="A2189" s="68">
        <f>B2189&amp;TEXT(C2189,"0000")</f>
        <v/>
      </c>
      <c r="B2189" s="68" t="n">
        <v>201</v>
      </c>
      <c r="C2189" s="68" t="n">
        <v>286</v>
      </c>
      <c r="D2189" s="68" t="inlineStr">
        <is>
          <t>HpRatio</t>
        </is>
      </c>
      <c r="E2189" s="68" t="n">
        <v>0</v>
      </c>
      <c r="F2189" s="68" t="inlineStr">
        <is>
          <t>AtkRatio</t>
        </is>
      </c>
      <c r="G2189" s="68" t="n">
        <v>4096904000</v>
      </c>
      <c r="H2189" s="68" t="inlineStr">
        <is>
          <t>DefRatio</t>
        </is>
      </c>
      <c r="I2189" s="68">
        <f>G2189</f>
        <v/>
      </c>
    </row>
    <row r="2190">
      <c r="A2190" s="68">
        <f>B2190&amp;TEXT(C2190,"0000")</f>
        <v/>
      </c>
      <c r="B2190" s="68" t="n">
        <v>201</v>
      </c>
      <c r="C2190" s="68" t="n">
        <v>287</v>
      </c>
      <c r="D2190" s="68" t="inlineStr">
        <is>
          <t>HpRatio</t>
        </is>
      </c>
      <c r="E2190" s="68" t="n">
        <v>0</v>
      </c>
      <c r="F2190" s="68" t="inlineStr">
        <is>
          <t>AtkRatio</t>
        </is>
      </c>
      <c r="G2190" s="68" t="n">
        <v>4178844000</v>
      </c>
      <c r="H2190" s="68" t="inlineStr">
        <is>
          <t>DefRatio</t>
        </is>
      </c>
      <c r="I2190" s="68">
        <f>G2190</f>
        <v/>
      </c>
    </row>
    <row r="2191">
      <c r="A2191" s="68">
        <f>B2191&amp;TEXT(C2191,"0000")</f>
        <v/>
      </c>
      <c r="B2191" s="68" t="n">
        <v>201</v>
      </c>
      <c r="C2191" s="68" t="n">
        <v>288</v>
      </c>
      <c r="D2191" s="68" t="inlineStr">
        <is>
          <t>HpRatio</t>
        </is>
      </c>
      <c r="E2191" s="68" t="n">
        <v>0</v>
      </c>
      <c r="F2191" s="68" t="inlineStr">
        <is>
          <t>AtkRatio</t>
        </is>
      </c>
      <c r="G2191" s="68" t="n">
        <v>4262423000</v>
      </c>
      <c r="H2191" s="68" t="inlineStr">
        <is>
          <t>DefRatio</t>
        </is>
      </c>
      <c r="I2191" s="68">
        <f>G2191</f>
        <v/>
      </c>
    </row>
    <row r="2192">
      <c r="A2192" s="68">
        <f>B2192&amp;TEXT(C2192,"0000")</f>
        <v/>
      </c>
      <c r="B2192" s="68" t="n">
        <v>201</v>
      </c>
      <c r="C2192" s="68" t="n">
        <v>289</v>
      </c>
      <c r="D2192" s="68" t="inlineStr">
        <is>
          <t>HpRatio</t>
        </is>
      </c>
      <c r="E2192" s="68" t="n">
        <v>0</v>
      </c>
      <c r="F2192" s="68" t="inlineStr">
        <is>
          <t>AtkRatio</t>
        </is>
      </c>
      <c r="G2192" s="68" t="n">
        <v>4347673500</v>
      </c>
      <c r="H2192" s="68" t="inlineStr">
        <is>
          <t>DefRatio</t>
        </is>
      </c>
      <c r="I2192" s="68">
        <f>G2192</f>
        <v/>
      </c>
    </row>
    <row r="2193">
      <c r="A2193" s="68">
        <f>B2193&amp;TEXT(C2193,"0000")</f>
        <v/>
      </c>
      <c r="B2193" s="68" t="n">
        <v>201</v>
      </c>
      <c r="C2193" s="68" t="n">
        <v>290</v>
      </c>
      <c r="D2193" s="68" t="inlineStr">
        <is>
          <t>HpRatio</t>
        </is>
      </c>
      <c r="E2193" s="68" t="n">
        <v>0</v>
      </c>
      <c r="F2193" s="68" t="inlineStr">
        <is>
          <t>AtkRatio</t>
        </is>
      </c>
      <c r="G2193" s="68" t="n">
        <v>4434629000</v>
      </c>
      <c r="H2193" s="68" t="inlineStr">
        <is>
          <t>DefRatio</t>
        </is>
      </c>
      <c r="I2193" s="68">
        <f>G2193</f>
        <v/>
      </c>
    </row>
    <row r="2194">
      <c r="A2194" s="68">
        <f>B2194&amp;TEXT(C2194,"0000")</f>
        <v/>
      </c>
      <c r="B2194" s="68" t="n">
        <v>201</v>
      </c>
      <c r="C2194" s="68" t="n">
        <v>291</v>
      </c>
      <c r="D2194" s="68" t="inlineStr">
        <is>
          <t>HpRatio</t>
        </is>
      </c>
      <c r="E2194" s="68" t="n">
        <v>0</v>
      </c>
      <c r="F2194" s="68" t="inlineStr">
        <is>
          <t>AtkRatio</t>
        </is>
      </c>
      <c r="G2194" s="68" t="n">
        <v>4523323500</v>
      </c>
      <c r="H2194" s="68" t="inlineStr">
        <is>
          <t>DefRatio</t>
        </is>
      </c>
      <c r="I2194" s="68">
        <f>G2194</f>
        <v/>
      </c>
    </row>
    <row r="2195">
      <c r="A2195" s="68">
        <f>B2195&amp;TEXT(C2195,"0000")</f>
        <v/>
      </c>
      <c r="B2195" s="68" t="n">
        <v>201</v>
      </c>
      <c r="C2195" s="68" t="n">
        <v>292</v>
      </c>
      <c r="D2195" s="68" t="inlineStr">
        <is>
          <t>HpRatio</t>
        </is>
      </c>
      <c r="E2195" s="68" t="n">
        <v>0</v>
      </c>
      <c r="F2195" s="68" t="inlineStr">
        <is>
          <t>AtkRatio</t>
        </is>
      </c>
      <c r="G2195" s="68" t="n">
        <v>4613792000</v>
      </c>
      <c r="H2195" s="68" t="inlineStr">
        <is>
          <t>DefRatio</t>
        </is>
      </c>
      <c r="I2195" s="68">
        <f>G2195</f>
        <v/>
      </c>
    </row>
    <row r="2196">
      <c r="A2196" s="68">
        <f>B2196&amp;TEXT(C2196,"0000")</f>
        <v/>
      </c>
      <c r="B2196" s="68" t="n">
        <v>201</v>
      </c>
      <c r="C2196" s="68" t="n">
        <v>293</v>
      </c>
      <c r="D2196" s="68" t="inlineStr">
        <is>
          <t>HpRatio</t>
        </is>
      </c>
      <c r="E2196" s="68" t="n">
        <v>0</v>
      </c>
      <c r="F2196" s="68" t="inlineStr">
        <is>
          <t>AtkRatio</t>
        </is>
      </c>
      <c r="G2196" s="68" t="n">
        <v>4706070000</v>
      </c>
      <c r="H2196" s="68" t="inlineStr">
        <is>
          <t>DefRatio</t>
        </is>
      </c>
      <c r="I2196" s="68">
        <f>G2196</f>
        <v/>
      </c>
    </row>
    <row r="2197">
      <c r="A2197" s="68">
        <f>B2197&amp;TEXT(C2197,"0000")</f>
        <v/>
      </c>
      <c r="B2197" s="68" t="n">
        <v>201</v>
      </c>
      <c r="C2197" s="68" t="n">
        <v>294</v>
      </c>
      <c r="D2197" s="68" t="inlineStr">
        <is>
          <t>HpRatio</t>
        </is>
      </c>
      <c r="E2197" s="68" t="n">
        <v>0</v>
      </c>
      <c r="F2197" s="68" t="inlineStr">
        <is>
          <t>AtkRatio</t>
        </is>
      </c>
      <c r="G2197" s="68" t="n">
        <v>4800193500</v>
      </c>
      <c r="H2197" s="68" t="inlineStr">
        <is>
          <t>DefRatio</t>
        </is>
      </c>
      <c r="I2197" s="68">
        <f>G2197</f>
        <v/>
      </c>
    </row>
    <row r="2198">
      <c r="A2198" s="68">
        <f>B2198&amp;TEXT(C2198,"0000")</f>
        <v/>
      </c>
      <c r="B2198" s="68" t="n">
        <v>201</v>
      </c>
      <c r="C2198" s="68" t="n">
        <v>295</v>
      </c>
      <c r="D2198" s="68" t="inlineStr">
        <is>
          <t>HpRatio</t>
        </is>
      </c>
      <c r="E2198" s="68" t="n">
        <v>0</v>
      </c>
      <c r="F2198" s="68" t="inlineStr">
        <is>
          <t>AtkRatio</t>
        </is>
      </c>
      <c r="G2198" s="68" t="n">
        <v>4896199000</v>
      </c>
      <c r="H2198" s="68" t="inlineStr">
        <is>
          <t>DefRatio</t>
        </is>
      </c>
      <c r="I2198" s="68">
        <f>G2198</f>
        <v/>
      </c>
    </row>
    <row r="2199">
      <c r="A2199" s="68">
        <f>B2199&amp;TEXT(C2199,"0000")</f>
        <v/>
      </c>
      <c r="B2199" s="68" t="n">
        <v>201</v>
      </c>
      <c r="C2199" s="68" t="n">
        <v>296</v>
      </c>
      <c r="D2199" s="68" t="inlineStr">
        <is>
          <t>HpRatio</t>
        </is>
      </c>
      <c r="E2199" s="68" t="n">
        <v>0</v>
      </c>
      <c r="F2199" s="68" t="inlineStr">
        <is>
          <t>AtkRatio</t>
        </is>
      </c>
      <c r="G2199" s="68" t="n">
        <v>4994125000</v>
      </c>
      <c r="H2199" s="68" t="inlineStr">
        <is>
          <t>DefRatio</t>
        </is>
      </c>
      <c r="I2199" s="68">
        <f>G2199</f>
        <v/>
      </c>
    </row>
    <row r="2200">
      <c r="A2200" s="68">
        <f>B2200&amp;TEXT(C2200,"0000")</f>
        <v/>
      </c>
      <c r="B2200" s="68" t="n">
        <v>201</v>
      </c>
      <c r="C2200" s="68" t="n">
        <v>297</v>
      </c>
      <c r="D2200" s="68" t="inlineStr">
        <is>
          <t>HpRatio</t>
        </is>
      </c>
      <c r="E2200" s="68" t="n">
        <v>0</v>
      </c>
      <c r="F2200" s="68" t="inlineStr">
        <is>
          <t>AtkRatio</t>
        </is>
      </c>
      <c r="G2200" s="68" t="n">
        <v>5094009500</v>
      </c>
      <c r="H2200" s="68" t="inlineStr">
        <is>
          <t>DefRatio</t>
        </is>
      </c>
      <c r="I2200" s="68">
        <f>G2200</f>
        <v/>
      </c>
    </row>
    <row r="2201">
      <c r="A2201" s="68">
        <f>B2201&amp;TEXT(C2201,"0000")</f>
        <v/>
      </c>
      <c r="B2201" s="68" t="n">
        <v>201</v>
      </c>
      <c r="C2201" s="68" t="n">
        <v>298</v>
      </c>
      <c r="D2201" s="68" t="inlineStr">
        <is>
          <t>HpRatio</t>
        </is>
      </c>
      <c r="E2201" s="68" t="n">
        <v>0</v>
      </c>
      <c r="F2201" s="68" t="inlineStr">
        <is>
          <t>AtkRatio</t>
        </is>
      </c>
      <c r="G2201" s="68" t="n">
        <v>5195892000</v>
      </c>
      <c r="H2201" s="68" t="inlineStr">
        <is>
          <t>DefRatio</t>
        </is>
      </c>
      <c r="I2201" s="68">
        <f>G2201</f>
        <v/>
      </c>
    </row>
    <row r="2202">
      <c r="A2202" s="68">
        <f>B2202&amp;TEXT(C2202,"0000")</f>
        <v/>
      </c>
      <c r="B2202" s="68" t="n">
        <v>201</v>
      </c>
      <c r="C2202" s="68" t="n">
        <v>299</v>
      </c>
      <c r="D2202" s="68" t="inlineStr">
        <is>
          <t>HpRatio</t>
        </is>
      </c>
      <c r="E2202" s="68" t="n">
        <v>0</v>
      </c>
      <c r="F2202" s="68" t="inlineStr">
        <is>
          <t>AtkRatio</t>
        </is>
      </c>
      <c r="G2202" s="68" t="n">
        <v>5299811500</v>
      </c>
      <c r="H2202" s="68" t="inlineStr">
        <is>
          <t>DefRatio</t>
        </is>
      </c>
      <c r="I2202" s="68">
        <f>G2202</f>
        <v/>
      </c>
    </row>
    <row r="2203">
      <c r="A2203" s="68">
        <f>B2203&amp;TEXT(C2203,"0000")</f>
        <v/>
      </c>
      <c r="B2203" s="68" t="n">
        <v>201</v>
      </c>
      <c r="C2203" s="68" t="n">
        <v>300</v>
      </c>
      <c r="D2203" s="68" t="inlineStr">
        <is>
          <t>HpRatio</t>
        </is>
      </c>
      <c r="E2203" s="68" t="n">
        <v>0</v>
      </c>
      <c r="F2203" s="68" t="inlineStr">
        <is>
          <t>AtkRatio</t>
        </is>
      </c>
      <c r="G2203" s="68" t="n">
        <v>5405810000</v>
      </c>
      <c r="H2203" s="68" t="inlineStr">
        <is>
          <t>DefRatio</t>
        </is>
      </c>
      <c r="I2203" s="68">
        <f>G2203</f>
        <v/>
      </c>
    </row>
    <row r="2204">
      <c r="A2204" s="68">
        <f>B2204&amp;TEXT(C2204,"0000")</f>
        <v/>
      </c>
      <c r="B2204" s="68" t="n">
        <v>201</v>
      </c>
      <c r="C2204" s="68" t="n">
        <v>301</v>
      </c>
      <c r="D2204" s="68" t="inlineStr">
        <is>
          <t>HpRatio</t>
        </is>
      </c>
      <c r="E2204" s="68" t="n">
        <v>0</v>
      </c>
      <c r="F2204" s="68" t="inlineStr">
        <is>
          <t>AtkRatio</t>
        </is>
      </c>
      <c r="G2204" s="68">
        <f>INT(G2203*1.01)</f>
        <v/>
      </c>
      <c r="H2204" s="68" t="inlineStr">
        <is>
          <t>DefRatio</t>
        </is>
      </c>
      <c r="I2204" s="68">
        <f>G2204</f>
        <v/>
      </c>
    </row>
    <row r="2205">
      <c r="A2205" s="68">
        <f>B2205&amp;TEXT(C2205,"0000")</f>
        <v/>
      </c>
      <c r="B2205" s="68" t="n">
        <v>201</v>
      </c>
      <c r="C2205" s="68" t="n">
        <v>302</v>
      </c>
      <c r="D2205" s="68" t="inlineStr">
        <is>
          <t>HpRatio</t>
        </is>
      </c>
      <c r="E2205" s="68" t="n">
        <v>0</v>
      </c>
      <c r="F2205" s="68" t="inlineStr">
        <is>
          <t>AtkRatio</t>
        </is>
      </c>
      <c r="G2205" s="68">
        <f>INT(G2204*1.01)</f>
        <v/>
      </c>
      <c r="H2205" s="68" t="inlineStr">
        <is>
          <t>DefRatio</t>
        </is>
      </c>
      <c r="I2205" s="68">
        <f>G2205</f>
        <v/>
      </c>
    </row>
    <row r="2206">
      <c r="A2206" s="68">
        <f>B2206&amp;TEXT(C2206,"0000")</f>
        <v/>
      </c>
      <c r="B2206" s="68" t="n">
        <v>201</v>
      </c>
      <c r="C2206" s="68" t="n">
        <v>303</v>
      </c>
      <c r="D2206" s="68" t="inlineStr">
        <is>
          <t>HpRatio</t>
        </is>
      </c>
      <c r="E2206" s="68" t="n">
        <v>0</v>
      </c>
      <c r="F2206" s="68" t="inlineStr">
        <is>
          <t>AtkRatio</t>
        </is>
      </c>
      <c r="G2206" s="68">
        <f>INT(G2205*1.01)</f>
        <v/>
      </c>
      <c r="H2206" s="68" t="inlineStr">
        <is>
          <t>DefRatio</t>
        </is>
      </c>
      <c r="I2206" s="68">
        <f>G2206</f>
        <v/>
      </c>
    </row>
    <row r="2207">
      <c r="A2207" s="68">
        <f>B2207&amp;TEXT(C2207,"0000")</f>
        <v/>
      </c>
      <c r="B2207" s="68" t="n">
        <v>201</v>
      </c>
      <c r="C2207" s="68" t="n">
        <v>304</v>
      </c>
      <c r="D2207" s="68" t="inlineStr">
        <is>
          <t>HpRatio</t>
        </is>
      </c>
      <c r="E2207" s="68" t="n">
        <v>0</v>
      </c>
      <c r="F2207" s="68" t="inlineStr">
        <is>
          <t>AtkRatio</t>
        </is>
      </c>
      <c r="G2207" s="68">
        <f>INT(G2206*1.01)</f>
        <v/>
      </c>
      <c r="H2207" s="68" t="inlineStr">
        <is>
          <t>DefRatio</t>
        </is>
      </c>
      <c r="I2207" s="68">
        <f>G2207</f>
        <v/>
      </c>
    </row>
    <row r="2208">
      <c r="A2208" s="68">
        <f>B2208&amp;TEXT(C2208,"0000")</f>
        <v/>
      </c>
      <c r="B2208" s="68" t="n">
        <v>201</v>
      </c>
      <c r="C2208" s="68" t="n">
        <v>305</v>
      </c>
      <c r="D2208" s="68" t="inlineStr">
        <is>
          <t>HpRatio</t>
        </is>
      </c>
      <c r="E2208" s="68" t="n">
        <v>0</v>
      </c>
      <c r="F2208" s="68" t="inlineStr">
        <is>
          <t>AtkRatio</t>
        </is>
      </c>
      <c r="G2208" s="68">
        <f>INT(G2207*1.01)</f>
        <v/>
      </c>
      <c r="H2208" s="68" t="inlineStr">
        <is>
          <t>DefRatio</t>
        </is>
      </c>
      <c r="I2208" s="68">
        <f>G2208</f>
        <v/>
      </c>
    </row>
    <row r="2209">
      <c r="A2209" s="68">
        <f>B2209&amp;TEXT(C2209,"0000")</f>
        <v/>
      </c>
      <c r="B2209" s="68" t="n">
        <v>201</v>
      </c>
      <c r="C2209" s="68" t="n">
        <v>306</v>
      </c>
      <c r="D2209" s="68" t="inlineStr">
        <is>
          <t>HpRatio</t>
        </is>
      </c>
      <c r="E2209" s="68" t="n">
        <v>0</v>
      </c>
      <c r="F2209" s="68" t="inlineStr">
        <is>
          <t>AtkRatio</t>
        </is>
      </c>
      <c r="G2209" s="68">
        <f>INT(G2208*1.01)</f>
        <v/>
      </c>
      <c r="H2209" s="68" t="inlineStr">
        <is>
          <t>DefRatio</t>
        </is>
      </c>
      <c r="I2209" s="68">
        <f>G2209</f>
        <v/>
      </c>
    </row>
    <row r="2210">
      <c r="A2210" s="68">
        <f>B2210&amp;TEXT(C2210,"0000")</f>
        <v/>
      </c>
      <c r="B2210" s="68" t="n">
        <v>201</v>
      </c>
      <c r="C2210" s="68" t="n">
        <v>307</v>
      </c>
      <c r="D2210" s="68" t="inlineStr">
        <is>
          <t>HpRatio</t>
        </is>
      </c>
      <c r="E2210" s="68" t="n">
        <v>0</v>
      </c>
      <c r="F2210" s="68" t="inlineStr">
        <is>
          <t>AtkRatio</t>
        </is>
      </c>
      <c r="G2210" s="68">
        <f>INT(G2209*1.01)</f>
        <v/>
      </c>
      <c r="H2210" s="68" t="inlineStr">
        <is>
          <t>DefRatio</t>
        </is>
      </c>
      <c r="I2210" s="68">
        <f>G2210</f>
        <v/>
      </c>
    </row>
    <row r="2211">
      <c r="A2211" s="68">
        <f>B2211&amp;TEXT(C2211,"0000")</f>
        <v/>
      </c>
      <c r="B2211" s="68" t="n">
        <v>201</v>
      </c>
      <c r="C2211" s="68" t="n">
        <v>308</v>
      </c>
      <c r="D2211" s="68" t="inlineStr">
        <is>
          <t>HpRatio</t>
        </is>
      </c>
      <c r="E2211" s="68" t="n">
        <v>0</v>
      </c>
      <c r="F2211" s="68" t="inlineStr">
        <is>
          <t>AtkRatio</t>
        </is>
      </c>
      <c r="G2211" s="68">
        <f>INT(G2210*1.01)</f>
        <v/>
      </c>
      <c r="H2211" s="68" t="inlineStr">
        <is>
          <t>DefRatio</t>
        </is>
      </c>
      <c r="I2211" s="68">
        <f>G2211</f>
        <v/>
      </c>
    </row>
    <row r="2212">
      <c r="A2212" s="68">
        <f>B2212&amp;TEXT(C2212,"0000")</f>
        <v/>
      </c>
      <c r="B2212" s="68" t="n">
        <v>201</v>
      </c>
      <c r="C2212" s="68" t="n">
        <v>309</v>
      </c>
      <c r="D2212" s="68" t="inlineStr">
        <is>
          <t>HpRatio</t>
        </is>
      </c>
      <c r="E2212" s="68" t="n">
        <v>0</v>
      </c>
      <c r="F2212" s="68" t="inlineStr">
        <is>
          <t>AtkRatio</t>
        </is>
      </c>
      <c r="G2212" s="68">
        <f>INT(G2211*1.01)</f>
        <v/>
      </c>
      <c r="H2212" s="68" t="inlineStr">
        <is>
          <t>DefRatio</t>
        </is>
      </c>
      <c r="I2212" s="68">
        <f>G2212</f>
        <v/>
      </c>
    </row>
    <row r="2213">
      <c r="A2213" s="68">
        <f>B2213&amp;TEXT(C2213,"0000")</f>
        <v/>
      </c>
      <c r="B2213" s="68" t="n">
        <v>201</v>
      </c>
      <c r="C2213" s="68" t="n">
        <v>310</v>
      </c>
      <c r="D2213" s="68" t="inlineStr">
        <is>
          <t>HpRatio</t>
        </is>
      </c>
      <c r="E2213" s="68" t="n">
        <v>0</v>
      </c>
      <c r="F2213" s="68" t="inlineStr">
        <is>
          <t>AtkRatio</t>
        </is>
      </c>
      <c r="G2213" s="68">
        <f>INT(G2212*1.01)</f>
        <v/>
      </c>
      <c r="H2213" s="68" t="inlineStr">
        <is>
          <t>DefRatio</t>
        </is>
      </c>
      <c r="I2213" s="68">
        <f>G2213</f>
        <v/>
      </c>
    </row>
    <row r="2214">
      <c r="A2214" s="68">
        <f>B2214&amp;TEXT(C2214,"0000")</f>
        <v/>
      </c>
      <c r="B2214" s="68" t="n">
        <v>201</v>
      </c>
      <c r="C2214" s="68" t="n">
        <v>311</v>
      </c>
      <c r="D2214" s="68" t="inlineStr">
        <is>
          <t>HpRatio</t>
        </is>
      </c>
      <c r="E2214" s="68" t="n">
        <v>0</v>
      </c>
      <c r="F2214" s="68" t="inlineStr">
        <is>
          <t>AtkRatio</t>
        </is>
      </c>
      <c r="G2214" s="68">
        <f>INT(G2213*1.01)</f>
        <v/>
      </c>
      <c r="H2214" s="68" t="inlineStr">
        <is>
          <t>DefRatio</t>
        </is>
      </c>
      <c r="I2214" s="68">
        <f>G2214</f>
        <v/>
      </c>
    </row>
    <row r="2215">
      <c r="A2215" s="68">
        <f>B2215&amp;TEXT(C2215,"0000")</f>
        <v/>
      </c>
      <c r="B2215" s="68" t="n">
        <v>201</v>
      </c>
      <c r="C2215" s="68" t="n">
        <v>312</v>
      </c>
      <c r="D2215" s="68" t="inlineStr">
        <is>
          <t>HpRatio</t>
        </is>
      </c>
      <c r="E2215" s="68" t="n">
        <v>0</v>
      </c>
      <c r="F2215" s="68" t="inlineStr">
        <is>
          <t>AtkRatio</t>
        </is>
      </c>
      <c r="G2215" s="68">
        <f>INT(G2214*1.01)</f>
        <v/>
      </c>
      <c r="H2215" s="68" t="inlineStr">
        <is>
          <t>DefRatio</t>
        </is>
      </c>
      <c r="I2215" s="68">
        <f>G2215</f>
        <v/>
      </c>
    </row>
    <row r="2216">
      <c r="A2216" s="68">
        <f>B2216&amp;TEXT(C2216,"0000")</f>
        <v/>
      </c>
      <c r="B2216" s="68" t="n">
        <v>201</v>
      </c>
      <c r="C2216" s="68" t="n">
        <v>313</v>
      </c>
      <c r="D2216" s="68" t="inlineStr">
        <is>
          <t>HpRatio</t>
        </is>
      </c>
      <c r="E2216" s="68" t="n">
        <v>0</v>
      </c>
      <c r="F2216" s="68" t="inlineStr">
        <is>
          <t>AtkRatio</t>
        </is>
      </c>
      <c r="G2216" s="68">
        <f>INT(G2215*1.01)</f>
        <v/>
      </c>
      <c r="H2216" s="68" t="inlineStr">
        <is>
          <t>DefRatio</t>
        </is>
      </c>
      <c r="I2216" s="68">
        <f>G2216</f>
        <v/>
      </c>
    </row>
    <row r="2217">
      <c r="A2217" s="68">
        <f>B2217&amp;TEXT(C2217,"0000")</f>
        <v/>
      </c>
      <c r="B2217" s="68" t="n">
        <v>201</v>
      </c>
      <c r="C2217" s="68" t="n">
        <v>314</v>
      </c>
      <c r="D2217" s="68" t="inlineStr">
        <is>
          <t>HpRatio</t>
        </is>
      </c>
      <c r="E2217" s="68" t="n">
        <v>0</v>
      </c>
      <c r="F2217" s="68" t="inlineStr">
        <is>
          <t>AtkRatio</t>
        </is>
      </c>
      <c r="G2217" s="68">
        <f>INT(G2216*1.01)</f>
        <v/>
      </c>
      <c r="H2217" s="68" t="inlineStr">
        <is>
          <t>DefRatio</t>
        </is>
      </c>
      <c r="I2217" s="68">
        <f>G2217</f>
        <v/>
      </c>
    </row>
    <row r="2218">
      <c r="A2218" s="68">
        <f>B2218&amp;TEXT(C2218,"0000")</f>
        <v/>
      </c>
      <c r="B2218" s="68" t="n">
        <v>201</v>
      </c>
      <c r="C2218" s="68" t="n">
        <v>315</v>
      </c>
      <c r="D2218" s="68" t="inlineStr">
        <is>
          <t>HpRatio</t>
        </is>
      </c>
      <c r="E2218" s="68" t="n">
        <v>0</v>
      </c>
      <c r="F2218" s="68" t="inlineStr">
        <is>
          <t>AtkRatio</t>
        </is>
      </c>
      <c r="G2218" s="68">
        <f>INT(G2217*1.01)</f>
        <v/>
      </c>
      <c r="H2218" s="68" t="inlineStr">
        <is>
          <t>DefRatio</t>
        </is>
      </c>
      <c r="I2218" s="68">
        <f>G2218</f>
        <v/>
      </c>
    </row>
    <row r="2219">
      <c r="A2219" s="68">
        <f>B2219&amp;TEXT(C2219,"0000")</f>
        <v/>
      </c>
      <c r="B2219" s="68" t="n">
        <v>201</v>
      </c>
      <c r="C2219" s="68" t="n">
        <v>316</v>
      </c>
      <c r="D2219" s="68" t="inlineStr">
        <is>
          <t>HpRatio</t>
        </is>
      </c>
      <c r="E2219" s="68" t="n">
        <v>0</v>
      </c>
      <c r="F2219" s="68" t="inlineStr">
        <is>
          <t>AtkRatio</t>
        </is>
      </c>
      <c r="G2219" s="68">
        <f>INT(G2218*1.01)</f>
        <v/>
      </c>
      <c r="H2219" s="68" t="inlineStr">
        <is>
          <t>DefRatio</t>
        </is>
      </c>
      <c r="I2219" s="68">
        <f>G2219</f>
        <v/>
      </c>
    </row>
    <row r="2220">
      <c r="A2220" s="68">
        <f>B2220&amp;TEXT(C2220,"0000")</f>
        <v/>
      </c>
      <c r="B2220" s="68" t="n">
        <v>201</v>
      </c>
      <c r="C2220" s="68" t="n">
        <v>317</v>
      </c>
      <c r="D2220" s="68" t="inlineStr">
        <is>
          <t>HpRatio</t>
        </is>
      </c>
      <c r="E2220" s="68" t="n">
        <v>0</v>
      </c>
      <c r="F2220" s="68" t="inlineStr">
        <is>
          <t>AtkRatio</t>
        </is>
      </c>
      <c r="G2220" s="68">
        <f>INT(G2219*1.01)</f>
        <v/>
      </c>
      <c r="H2220" s="68" t="inlineStr">
        <is>
          <t>DefRatio</t>
        </is>
      </c>
      <c r="I2220" s="68">
        <f>G2220</f>
        <v/>
      </c>
    </row>
    <row r="2221">
      <c r="A2221" s="68">
        <f>B2221&amp;TEXT(C2221,"0000")</f>
        <v/>
      </c>
      <c r="B2221" s="68" t="n">
        <v>201</v>
      </c>
      <c r="C2221" s="68" t="n">
        <v>318</v>
      </c>
      <c r="D2221" s="68" t="inlineStr">
        <is>
          <t>HpRatio</t>
        </is>
      </c>
      <c r="E2221" s="68" t="n">
        <v>0</v>
      </c>
      <c r="F2221" s="68" t="inlineStr">
        <is>
          <t>AtkRatio</t>
        </is>
      </c>
      <c r="G2221" s="68">
        <f>INT(G2220*1.01)</f>
        <v/>
      </c>
      <c r="H2221" s="68" t="inlineStr">
        <is>
          <t>DefRatio</t>
        </is>
      </c>
      <c r="I2221" s="68">
        <f>G2221</f>
        <v/>
      </c>
    </row>
    <row r="2222">
      <c r="A2222" s="68">
        <f>B2222&amp;TEXT(C2222,"0000")</f>
        <v/>
      </c>
      <c r="B2222" s="68" t="n">
        <v>201</v>
      </c>
      <c r="C2222" s="68" t="n">
        <v>319</v>
      </c>
      <c r="D2222" s="68" t="inlineStr">
        <is>
          <t>HpRatio</t>
        </is>
      </c>
      <c r="E2222" s="68" t="n">
        <v>0</v>
      </c>
      <c r="F2222" s="68" t="inlineStr">
        <is>
          <t>AtkRatio</t>
        </is>
      </c>
      <c r="G2222" s="68">
        <f>INT(G2221*1.01)</f>
        <v/>
      </c>
      <c r="H2222" s="68" t="inlineStr">
        <is>
          <t>DefRatio</t>
        </is>
      </c>
      <c r="I2222" s="68">
        <f>G2222</f>
        <v/>
      </c>
    </row>
    <row r="2223">
      <c r="A2223" s="68">
        <f>B2223&amp;TEXT(C2223,"0000")</f>
        <v/>
      </c>
      <c r="B2223" s="68" t="n">
        <v>201</v>
      </c>
      <c r="C2223" s="68" t="n">
        <v>320</v>
      </c>
      <c r="D2223" s="68" t="inlineStr">
        <is>
          <t>HpRatio</t>
        </is>
      </c>
      <c r="E2223" s="68" t="n">
        <v>0</v>
      </c>
      <c r="F2223" s="68" t="inlineStr">
        <is>
          <t>AtkRatio</t>
        </is>
      </c>
      <c r="G2223" s="68">
        <f>INT(G2222*1.01)</f>
        <v/>
      </c>
      <c r="H2223" s="68" t="inlineStr">
        <is>
          <t>DefRatio</t>
        </is>
      </c>
      <c r="I2223" s="68">
        <f>G2223</f>
        <v/>
      </c>
    </row>
    <row r="2224">
      <c r="A2224" s="68">
        <f>B2224&amp;TEXT(C2224,"0000")</f>
        <v/>
      </c>
      <c r="B2224" s="68" t="n">
        <v>201</v>
      </c>
      <c r="C2224" s="68" t="n">
        <v>321</v>
      </c>
      <c r="D2224" s="68" t="inlineStr">
        <is>
          <t>HpRatio</t>
        </is>
      </c>
      <c r="E2224" s="68" t="n">
        <v>0</v>
      </c>
      <c r="F2224" s="68" t="inlineStr">
        <is>
          <t>AtkRatio</t>
        </is>
      </c>
      <c r="G2224" s="68">
        <f>INT(G2223*1.01)</f>
        <v/>
      </c>
      <c r="H2224" s="68" t="inlineStr">
        <is>
          <t>DefRatio</t>
        </is>
      </c>
      <c r="I2224" s="68">
        <f>G2224</f>
        <v/>
      </c>
    </row>
    <row r="2225">
      <c r="A2225" s="68">
        <f>B2225&amp;TEXT(C2225,"0000")</f>
        <v/>
      </c>
      <c r="B2225" s="68" t="n">
        <v>201</v>
      </c>
      <c r="C2225" s="68" t="n">
        <v>322</v>
      </c>
      <c r="D2225" s="68" t="inlineStr">
        <is>
          <t>HpRatio</t>
        </is>
      </c>
      <c r="E2225" s="68" t="n">
        <v>0</v>
      </c>
      <c r="F2225" s="68" t="inlineStr">
        <is>
          <t>AtkRatio</t>
        </is>
      </c>
      <c r="G2225" s="68">
        <f>INT(G2224*1.01)</f>
        <v/>
      </c>
      <c r="H2225" s="68" t="inlineStr">
        <is>
          <t>DefRatio</t>
        </is>
      </c>
      <c r="I2225" s="68">
        <f>G2225</f>
        <v/>
      </c>
    </row>
    <row r="2226">
      <c r="A2226" s="68">
        <f>B2226&amp;TEXT(C2226,"0000")</f>
        <v/>
      </c>
      <c r="B2226" s="68" t="n">
        <v>201</v>
      </c>
      <c r="C2226" s="68" t="n">
        <v>323</v>
      </c>
      <c r="D2226" s="68" t="inlineStr">
        <is>
          <t>HpRatio</t>
        </is>
      </c>
      <c r="E2226" s="68" t="n">
        <v>0</v>
      </c>
      <c r="F2226" s="68" t="inlineStr">
        <is>
          <t>AtkRatio</t>
        </is>
      </c>
      <c r="G2226" s="68">
        <f>INT(G2225*1.01)</f>
        <v/>
      </c>
      <c r="H2226" s="68" t="inlineStr">
        <is>
          <t>DefRatio</t>
        </is>
      </c>
      <c r="I2226" s="68">
        <f>G2226</f>
        <v/>
      </c>
    </row>
    <row r="2227">
      <c r="A2227" s="68">
        <f>B2227&amp;TEXT(C2227,"0000")</f>
        <v/>
      </c>
      <c r="B2227" s="68" t="n">
        <v>201</v>
      </c>
      <c r="C2227" s="68" t="n">
        <v>324</v>
      </c>
      <c r="D2227" s="68" t="inlineStr">
        <is>
          <t>HpRatio</t>
        </is>
      </c>
      <c r="E2227" s="68" t="n">
        <v>0</v>
      </c>
      <c r="F2227" s="68" t="inlineStr">
        <is>
          <t>AtkRatio</t>
        </is>
      </c>
      <c r="G2227" s="68">
        <f>INT(G2226*1.01)</f>
        <v/>
      </c>
      <c r="H2227" s="68" t="inlineStr">
        <is>
          <t>DefRatio</t>
        </is>
      </c>
      <c r="I2227" s="68">
        <f>G2227</f>
        <v/>
      </c>
    </row>
    <row r="2228">
      <c r="A2228" s="68">
        <f>B2228&amp;TEXT(C2228,"0000")</f>
        <v/>
      </c>
      <c r="B2228" s="68" t="n">
        <v>201</v>
      </c>
      <c r="C2228" s="68" t="n">
        <v>325</v>
      </c>
      <c r="D2228" s="68" t="inlineStr">
        <is>
          <t>HpRatio</t>
        </is>
      </c>
      <c r="E2228" s="68" t="n">
        <v>0</v>
      </c>
      <c r="F2228" s="68" t="inlineStr">
        <is>
          <t>AtkRatio</t>
        </is>
      </c>
      <c r="G2228" s="68">
        <f>INT(G2227*1.01)</f>
        <v/>
      </c>
      <c r="H2228" s="68" t="inlineStr">
        <is>
          <t>DefRatio</t>
        </is>
      </c>
      <c r="I2228" s="68">
        <f>G2228</f>
        <v/>
      </c>
    </row>
    <row r="2229">
      <c r="A2229" s="68">
        <f>B2229&amp;TEXT(C2229,"0000")</f>
        <v/>
      </c>
      <c r="B2229" s="68" t="n">
        <v>201</v>
      </c>
      <c r="C2229" s="68" t="n">
        <v>326</v>
      </c>
      <c r="D2229" s="68" t="inlineStr">
        <is>
          <t>HpRatio</t>
        </is>
      </c>
      <c r="E2229" s="68" t="n">
        <v>0</v>
      </c>
      <c r="F2229" s="68" t="inlineStr">
        <is>
          <t>AtkRatio</t>
        </is>
      </c>
      <c r="G2229" s="68">
        <f>INT(G2228*1.01)</f>
        <v/>
      </c>
      <c r="H2229" s="68" t="inlineStr">
        <is>
          <t>DefRatio</t>
        </is>
      </c>
      <c r="I2229" s="68">
        <f>G2229</f>
        <v/>
      </c>
    </row>
    <row r="2230">
      <c r="A2230" s="68">
        <f>B2230&amp;TEXT(C2230,"0000")</f>
        <v/>
      </c>
      <c r="B2230" s="68" t="n">
        <v>201</v>
      </c>
      <c r="C2230" s="68" t="n">
        <v>327</v>
      </c>
      <c r="D2230" s="68" t="inlineStr">
        <is>
          <t>HpRatio</t>
        </is>
      </c>
      <c r="E2230" s="68" t="n">
        <v>0</v>
      </c>
      <c r="F2230" s="68" t="inlineStr">
        <is>
          <t>AtkRatio</t>
        </is>
      </c>
      <c r="G2230" s="68">
        <f>INT(G2229*1.01)</f>
        <v/>
      </c>
      <c r="H2230" s="68" t="inlineStr">
        <is>
          <t>DefRatio</t>
        </is>
      </c>
      <c r="I2230" s="68">
        <f>G2230</f>
        <v/>
      </c>
    </row>
    <row r="2231">
      <c r="A2231" s="68">
        <f>B2231&amp;TEXT(C2231,"0000")</f>
        <v/>
      </c>
      <c r="B2231" s="68" t="n">
        <v>201</v>
      </c>
      <c r="C2231" s="68" t="n">
        <v>328</v>
      </c>
      <c r="D2231" s="68" t="inlineStr">
        <is>
          <t>HpRatio</t>
        </is>
      </c>
      <c r="E2231" s="68" t="n">
        <v>0</v>
      </c>
      <c r="F2231" s="68" t="inlineStr">
        <is>
          <t>AtkRatio</t>
        </is>
      </c>
      <c r="G2231" s="68">
        <f>INT(G2230*1.01)</f>
        <v/>
      </c>
      <c r="H2231" s="68" t="inlineStr">
        <is>
          <t>DefRatio</t>
        </is>
      </c>
      <c r="I2231" s="68">
        <f>G2231</f>
        <v/>
      </c>
    </row>
    <row r="2232">
      <c r="A2232" s="68">
        <f>B2232&amp;TEXT(C2232,"0000")</f>
        <v/>
      </c>
      <c r="B2232" s="68" t="n">
        <v>201</v>
      </c>
      <c r="C2232" s="68" t="n">
        <v>329</v>
      </c>
      <c r="D2232" s="68" t="inlineStr">
        <is>
          <t>HpRatio</t>
        </is>
      </c>
      <c r="E2232" s="68" t="n">
        <v>0</v>
      </c>
      <c r="F2232" s="68" t="inlineStr">
        <is>
          <t>AtkRatio</t>
        </is>
      </c>
      <c r="G2232" s="68">
        <f>INT(G2231*1.01)</f>
        <v/>
      </c>
      <c r="H2232" s="68" t="inlineStr">
        <is>
          <t>DefRatio</t>
        </is>
      </c>
      <c r="I2232" s="68">
        <f>G2232</f>
        <v/>
      </c>
    </row>
    <row r="2233">
      <c r="A2233" s="68">
        <f>B2233&amp;TEXT(C2233,"0000")</f>
        <v/>
      </c>
      <c r="B2233" s="68" t="n">
        <v>201</v>
      </c>
      <c r="C2233" s="68" t="n">
        <v>330</v>
      </c>
      <c r="D2233" s="68" t="inlineStr">
        <is>
          <t>HpRatio</t>
        </is>
      </c>
      <c r="E2233" s="68" t="n">
        <v>0</v>
      </c>
      <c r="F2233" s="68" t="inlineStr">
        <is>
          <t>AtkRatio</t>
        </is>
      </c>
      <c r="G2233" s="68">
        <f>INT(G2232*1.01)</f>
        <v/>
      </c>
      <c r="H2233" s="68" t="inlineStr">
        <is>
          <t>DefRatio</t>
        </is>
      </c>
      <c r="I2233" s="68">
        <f>G2233</f>
        <v/>
      </c>
    </row>
    <row r="2234">
      <c r="A2234" s="68">
        <f>B2234&amp;TEXT(C2234,"0000")</f>
        <v/>
      </c>
      <c r="B2234" s="68" t="n">
        <v>201</v>
      </c>
      <c r="C2234" s="68" t="n">
        <v>331</v>
      </c>
      <c r="D2234" s="68" t="inlineStr">
        <is>
          <t>HpRatio</t>
        </is>
      </c>
      <c r="E2234" s="68" t="n">
        <v>0</v>
      </c>
      <c r="F2234" s="68" t="inlineStr">
        <is>
          <t>AtkRatio</t>
        </is>
      </c>
      <c r="G2234" s="68">
        <f>INT(G2233*1.01)</f>
        <v/>
      </c>
      <c r="H2234" s="68" t="inlineStr">
        <is>
          <t>DefRatio</t>
        </is>
      </c>
      <c r="I2234" s="68">
        <f>G2234</f>
        <v/>
      </c>
    </row>
    <row r="2235">
      <c r="A2235" s="68">
        <f>B2235&amp;TEXT(C2235,"0000")</f>
        <v/>
      </c>
      <c r="B2235" s="68" t="n">
        <v>201</v>
      </c>
      <c r="C2235" s="68" t="n">
        <v>332</v>
      </c>
      <c r="D2235" s="68" t="inlineStr">
        <is>
          <t>HpRatio</t>
        </is>
      </c>
      <c r="E2235" s="68" t="n">
        <v>0</v>
      </c>
      <c r="F2235" s="68" t="inlineStr">
        <is>
          <t>AtkRatio</t>
        </is>
      </c>
      <c r="G2235" s="68">
        <f>INT(G2234*1.01)</f>
        <v/>
      </c>
      <c r="H2235" s="68" t="inlineStr">
        <is>
          <t>DefRatio</t>
        </is>
      </c>
      <c r="I2235" s="68">
        <f>G2235</f>
        <v/>
      </c>
    </row>
    <row r="2236">
      <c r="A2236" s="68">
        <f>B2236&amp;TEXT(C2236,"0000")</f>
        <v/>
      </c>
      <c r="B2236" s="68" t="n">
        <v>201</v>
      </c>
      <c r="C2236" s="68" t="n">
        <v>333</v>
      </c>
      <c r="D2236" s="68" t="inlineStr">
        <is>
          <t>HpRatio</t>
        </is>
      </c>
      <c r="E2236" s="68" t="n">
        <v>0</v>
      </c>
      <c r="F2236" s="68" t="inlineStr">
        <is>
          <t>AtkRatio</t>
        </is>
      </c>
      <c r="G2236" s="68">
        <f>INT(G2235*1.01)</f>
        <v/>
      </c>
      <c r="H2236" s="68" t="inlineStr">
        <is>
          <t>DefRatio</t>
        </is>
      </c>
      <c r="I2236" s="68">
        <f>G2236</f>
        <v/>
      </c>
    </row>
    <row r="2237">
      <c r="A2237" s="68">
        <f>B2237&amp;TEXT(C2237,"0000")</f>
        <v/>
      </c>
      <c r="B2237" s="68" t="n">
        <v>201</v>
      </c>
      <c r="C2237" s="68" t="n">
        <v>334</v>
      </c>
      <c r="D2237" s="68" t="inlineStr">
        <is>
          <t>HpRatio</t>
        </is>
      </c>
      <c r="E2237" s="68" t="n">
        <v>0</v>
      </c>
      <c r="F2237" s="68" t="inlineStr">
        <is>
          <t>AtkRatio</t>
        </is>
      </c>
      <c r="G2237" s="68">
        <f>INT(G2236*1.01)</f>
        <v/>
      </c>
      <c r="H2237" s="68" t="inlineStr">
        <is>
          <t>DefRatio</t>
        </is>
      </c>
      <c r="I2237" s="68">
        <f>G2237</f>
        <v/>
      </c>
    </row>
    <row r="2238">
      <c r="A2238" s="68">
        <f>B2238&amp;TEXT(C2238,"0000")</f>
        <v/>
      </c>
      <c r="B2238" s="68" t="n">
        <v>201</v>
      </c>
      <c r="C2238" s="68" t="n">
        <v>335</v>
      </c>
      <c r="D2238" s="68" t="inlineStr">
        <is>
          <t>HpRatio</t>
        </is>
      </c>
      <c r="E2238" s="68" t="n">
        <v>0</v>
      </c>
      <c r="F2238" s="68" t="inlineStr">
        <is>
          <t>AtkRatio</t>
        </is>
      </c>
      <c r="G2238" s="68">
        <f>INT(G2237*1.01)</f>
        <v/>
      </c>
      <c r="H2238" s="68" t="inlineStr">
        <is>
          <t>DefRatio</t>
        </is>
      </c>
      <c r="I2238" s="68">
        <f>G2238</f>
        <v/>
      </c>
    </row>
    <row r="2239">
      <c r="A2239" s="68">
        <f>B2239&amp;TEXT(C2239,"0000")</f>
        <v/>
      </c>
      <c r="B2239" s="68" t="n">
        <v>201</v>
      </c>
      <c r="C2239" s="68" t="n">
        <v>336</v>
      </c>
      <c r="D2239" s="68" t="inlineStr">
        <is>
          <t>HpRatio</t>
        </is>
      </c>
      <c r="E2239" s="68" t="n">
        <v>0</v>
      </c>
      <c r="F2239" s="68" t="inlineStr">
        <is>
          <t>AtkRatio</t>
        </is>
      </c>
      <c r="G2239" s="68">
        <f>INT(G2238*1.01)</f>
        <v/>
      </c>
      <c r="H2239" s="68" t="inlineStr">
        <is>
          <t>DefRatio</t>
        </is>
      </c>
      <c r="I2239" s="68">
        <f>G2239</f>
        <v/>
      </c>
    </row>
    <row r="2240">
      <c r="A2240" s="68">
        <f>B2240&amp;TEXT(C2240,"0000")</f>
        <v/>
      </c>
      <c r="B2240" s="68" t="n">
        <v>201</v>
      </c>
      <c r="C2240" s="68" t="n">
        <v>337</v>
      </c>
      <c r="D2240" s="68" t="inlineStr">
        <is>
          <t>HpRatio</t>
        </is>
      </c>
      <c r="E2240" s="68" t="n">
        <v>0</v>
      </c>
      <c r="F2240" s="68" t="inlineStr">
        <is>
          <t>AtkRatio</t>
        </is>
      </c>
      <c r="G2240" s="68">
        <f>INT(G2239*1.01)</f>
        <v/>
      </c>
      <c r="H2240" s="68" t="inlineStr">
        <is>
          <t>DefRatio</t>
        </is>
      </c>
      <c r="I2240" s="68">
        <f>G2240</f>
        <v/>
      </c>
    </row>
    <row r="2241">
      <c r="A2241" s="68">
        <f>B2241&amp;TEXT(C2241,"0000")</f>
        <v/>
      </c>
      <c r="B2241" s="68" t="n">
        <v>201</v>
      </c>
      <c r="C2241" s="68" t="n">
        <v>338</v>
      </c>
      <c r="D2241" s="68" t="inlineStr">
        <is>
          <t>HpRatio</t>
        </is>
      </c>
      <c r="E2241" s="68" t="n">
        <v>0</v>
      </c>
      <c r="F2241" s="68" t="inlineStr">
        <is>
          <t>AtkRatio</t>
        </is>
      </c>
      <c r="G2241" s="68">
        <f>INT(G2240*1.01)</f>
        <v/>
      </c>
      <c r="H2241" s="68" t="inlineStr">
        <is>
          <t>DefRatio</t>
        </is>
      </c>
      <c r="I2241" s="68">
        <f>G2241</f>
        <v/>
      </c>
    </row>
    <row r="2242">
      <c r="A2242" s="68">
        <f>B2242&amp;TEXT(C2242,"0000")</f>
        <v/>
      </c>
      <c r="B2242" s="68" t="n">
        <v>201</v>
      </c>
      <c r="C2242" s="68" t="n">
        <v>339</v>
      </c>
      <c r="D2242" s="68" t="inlineStr">
        <is>
          <t>HpRatio</t>
        </is>
      </c>
      <c r="E2242" s="68" t="n">
        <v>0</v>
      </c>
      <c r="F2242" s="68" t="inlineStr">
        <is>
          <t>AtkRatio</t>
        </is>
      </c>
      <c r="G2242" s="68">
        <f>INT(G2241*1.01)</f>
        <v/>
      </c>
      <c r="H2242" s="68" t="inlineStr">
        <is>
          <t>DefRatio</t>
        </is>
      </c>
      <c r="I2242" s="68">
        <f>G2242</f>
        <v/>
      </c>
    </row>
    <row r="2243">
      <c r="A2243" s="68">
        <f>B2243&amp;TEXT(C2243,"0000")</f>
        <v/>
      </c>
      <c r="B2243" s="68" t="n">
        <v>201</v>
      </c>
      <c r="C2243" s="68" t="n">
        <v>340</v>
      </c>
      <c r="D2243" s="68" t="inlineStr">
        <is>
          <t>HpRatio</t>
        </is>
      </c>
      <c r="E2243" s="68" t="n">
        <v>0</v>
      </c>
      <c r="F2243" s="68" t="inlineStr">
        <is>
          <t>AtkRatio</t>
        </is>
      </c>
      <c r="G2243" s="68">
        <f>INT(G2242*1.01)</f>
        <v/>
      </c>
      <c r="H2243" s="68" t="inlineStr">
        <is>
          <t>DefRatio</t>
        </is>
      </c>
      <c r="I2243" s="68">
        <f>G2243</f>
        <v/>
      </c>
    </row>
    <row r="2244">
      <c r="A2244" s="68">
        <f>B2244&amp;TEXT(C2244,"0000")</f>
        <v/>
      </c>
      <c r="B2244" s="68" t="n">
        <v>201</v>
      </c>
      <c r="C2244" s="68" t="n">
        <v>341</v>
      </c>
      <c r="D2244" s="68" t="inlineStr">
        <is>
          <t>HpRatio</t>
        </is>
      </c>
      <c r="E2244" s="68" t="n">
        <v>0</v>
      </c>
      <c r="F2244" s="68" t="inlineStr">
        <is>
          <t>AtkRatio</t>
        </is>
      </c>
      <c r="G2244" s="68">
        <f>INT(G2243*1.01)</f>
        <v/>
      </c>
      <c r="H2244" s="68" t="inlineStr">
        <is>
          <t>DefRatio</t>
        </is>
      </c>
      <c r="I2244" s="68">
        <f>G2244</f>
        <v/>
      </c>
    </row>
    <row r="2245">
      <c r="A2245" s="68">
        <f>B2245&amp;TEXT(C2245,"0000")</f>
        <v/>
      </c>
      <c r="B2245" s="68" t="n">
        <v>201</v>
      </c>
      <c r="C2245" s="68" t="n">
        <v>342</v>
      </c>
      <c r="D2245" s="68" t="inlineStr">
        <is>
          <t>HpRatio</t>
        </is>
      </c>
      <c r="E2245" s="68" t="n">
        <v>0</v>
      </c>
      <c r="F2245" s="68" t="inlineStr">
        <is>
          <t>AtkRatio</t>
        </is>
      </c>
      <c r="G2245" s="68">
        <f>INT(G2244*1.01)</f>
        <v/>
      </c>
      <c r="H2245" s="68" t="inlineStr">
        <is>
          <t>DefRatio</t>
        </is>
      </c>
      <c r="I2245" s="68">
        <f>G2245</f>
        <v/>
      </c>
    </row>
    <row r="2246">
      <c r="A2246" s="68">
        <f>B2246&amp;TEXT(C2246,"0000")</f>
        <v/>
      </c>
      <c r="B2246" s="68" t="n">
        <v>201</v>
      </c>
      <c r="C2246" s="68" t="n">
        <v>343</v>
      </c>
      <c r="D2246" s="68" t="inlineStr">
        <is>
          <t>HpRatio</t>
        </is>
      </c>
      <c r="E2246" s="68" t="n">
        <v>0</v>
      </c>
      <c r="F2246" s="68" t="inlineStr">
        <is>
          <t>AtkRatio</t>
        </is>
      </c>
      <c r="G2246" s="68">
        <f>INT(G2245*1.01)</f>
        <v/>
      </c>
      <c r="H2246" s="68" t="inlineStr">
        <is>
          <t>DefRatio</t>
        </is>
      </c>
      <c r="I2246" s="68">
        <f>G2246</f>
        <v/>
      </c>
    </row>
    <row r="2247">
      <c r="A2247" s="68">
        <f>B2247&amp;TEXT(C2247,"0000")</f>
        <v/>
      </c>
      <c r="B2247" s="68" t="n">
        <v>201</v>
      </c>
      <c r="C2247" s="68" t="n">
        <v>344</v>
      </c>
      <c r="D2247" s="68" t="inlineStr">
        <is>
          <t>HpRatio</t>
        </is>
      </c>
      <c r="E2247" s="68" t="n">
        <v>0</v>
      </c>
      <c r="F2247" s="68" t="inlineStr">
        <is>
          <t>AtkRatio</t>
        </is>
      </c>
      <c r="G2247" s="68">
        <f>INT(G2246*1.01)</f>
        <v/>
      </c>
      <c r="H2247" s="68" t="inlineStr">
        <is>
          <t>DefRatio</t>
        </is>
      </c>
      <c r="I2247" s="68">
        <f>G2247</f>
        <v/>
      </c>
    </row>
    <row r="2248">
      <c r="A2248" s="68">
        <f>B2248&amp;TEXT(C2248,"0000")</f>
        <v/>
      </c>
      <c r="B2248" s="68" t="n">
        <v>201</v>
      </c>
      <c r="C2248" s="68" t="n">
        <v>345</v>
      </c>
      <c r="D2248" s="68" t="inlineStr">
        <is>
          <t>HpRatio</t>
        </is>
      </c>
      <c r="E2248" s="68" t="n">
        <v>0</v>
      </c>
      <c r="F2248" s="68" t="inlineStr">
        <is>
          <t>AtkRatio</t>
        </is>
      </c>
      <c r="G2248" s="68">
        <f>INT(G2247*1.01)</f>
        <v/>
      </c>
      <c r="H2248" s="68" t="inlineStr">
        <is>
          <t>DefRatio</t>
        </is>
      </c>
      <c r="I2248" s="68">
        <f>G2248</f>
        <v/>
      </c>
    </row>
    <row r="2249">
      <c r="A2249" s="68">
        <f>B2249&amp;TEXT(C2249,"0000")</f>
        <v/>
      </c>
      <c r="B2249" s="68" t="n">
        <v>201</v>
      </c>
      <c r="C2249" s="68" t="n">
        <v>346</v>
      </c>
      <c r="D2249" s="68" t="inlineStr">
        <is>
          <t>HpRatio</t>
        </is>
      </c>
      <c r="E2249" s="68" t="n">
        <v>0</v>
      </c>
      <c r="F2249" s="68" t="inlineStr">
        <is>
          <t>AtkRatio</t>
        </is>
      </c>
      <c r="G2249" s="68">
        <f>INT(G2248*1.01)</f>
        <v/>
      </c>
      <c r="H2249" s="68" t="inlineStr">
        <is>
          <t>DefRatio</t>
        </is>
      </c>
      <c r="I2249" s="68">
        <f>G2249</f>
        <v/>
      </c>
    </row>
    <row r="2250">
      <c r="A2250" s="68">
        <f>B2250&amp;TEXT(C2250,"0000")</f>
        <v/>
      </c>
      <c r="B2250" s="68" t="n">
        <v>201</v>
      </c>
      <c r="C2250" s="68" t="n">
        <v>347</v>
      </c>
      <c r="D2250" s="68" t="inlineStr">
        <is>
          <t>HpRatio</t>
        </is>
      </c>
      <c r="E2250" s="68" t="n">
        <v>0</v>
      </c>
      <c r="F2250" s="68" t="inlineStr">
        <is>
          <t>AtkRatio</t>
        </is>
      </c>
      <c r="G2250" s="68">
        <f>INT(G2249*1.01)</f>
        <v/>
      </c>
      <c r="H2250" s="68" t="inlineStr">
        <is>
          <t>DefRatio</t>
        </is>
      </c>
      <c r="I2250" s="68">
        <f>G2250</f>
        <v/>
      </c>
    </row>
    <row r="2251">
      <c r="A2251" s="68">
        <f>B2251&amp;TEXT(C2251,"0000")</f>
        <v/>
      </c>
      <c r="B2251" s="68" t="n">
        <v>201</v>
      </c>
      <c r="C2251" s="68" t="n">
        <v>348</v>
      </c>
      <c r="D2251" s="68" t="inlineStr">
        <is>
          <t>HpRatio</t>
        </is>
      </c>
      <c r="E2251" s="68" t="n">
        <v>0</v>
      </c>
      <c r="F2251" s="68" t="inlineStr">
        <is>
          <t>AtkRatio</t>
        </is>
      </c>
      <c r="G2251" s="68">
        <f>INT(G2250*1.01)</f>
        <v/>
      </c>
      <c r="H2251" s="68" t="inlineStr">
        <is>
          <t>DefRatio</t>
        </is>
      </c>
      <c r="I2251" s="68">
        <f>G2251</f>
        <v/>
      </c>
    </row>
    <row r="2252">
      <c r="A2252" s="68">
        <f>B2252&amp;TEXT(C2252,"0000")</f>
        <v/>
      </c>
      <c r="B2252" s="68" t="n">
        <v>201</v>
      </c>
      <c r="C2252" s="68" t="n">
        <v>349</v>
      </c>
      <c r="D2252" s="68" t="inlineStr">
        <is>
          <t>HpRatio</t>
        </is>
      </c>
      <c r="E2252" s="68" t="n">
        <v>0</v>
      </c>
      <c r="F2252" s="68" t="inlineStr">
        <is>
          <t>AtkRatio</t>
        </is>
      </c>
      <c r="G2252" s="68">
        <f>INT(G2251*1.01)</f>
        <v/>
      </c>
      <c r="H2252" s="68" t="inlineStr">
        <is>
          <t>DefRatio</t>
        </is>
      </c>
      <c r="I2252" s="68">
        <f>G2252</f>
        <v/>
      </c>
    </row>
    <row r="2253">
      <c r="A2253" s="68">
        <f>B2253&amp;TEXT(C2253,"0000")</f>
        <v/>
      </c>
      <c r="B2253" s="68" t="n">
        <v>201</v>
      </c>
      <c r="C2253" s="68" t="n">
        <v>350</v>
      </c>
      <c r="D2253" s="68" t="inlineStr">
        <is>
          <t>HpRatio</t>
        </is>
      </c>
      <c r="E2253" s="68" t="n">
        <v>0</v>
      </c>
      <c r="F2253" s="68" t="inlineStr">
        <is>
          <t>AtkRatio</t>
        </is>
      </c>
      <c r="G2253" s="68">
        <f>INT(G2252*1.01)</f>
        <v/>
      </c>
      <c r="H2253" s="68" t="inlineStr">
        <is>
          <t>DefRatio</t>
        </is>
      </c>
      <c r="I2253" s="68">
        <f>G2253</f>
        <v/>
      </c>
    </row>
    <row r="2254">
      <c r="A2254" s="68">
        <f>B2254&amp;TEXT(C2254,"0000")</f>
        <v/>
      </c>
      <c r="B2254" s="68" t="n">
        <v>201</v>
      </c>
      <c r="C2254" s="68" t="n">
        <v>351</v>
      </c>
      <c r="D2254" s="68" t="inlineStr">
        <is>
          <t>HpRatio</t>
        </is>
      </c>
      <c r="E2254" s="68" t="n">
        <v>0</v>
      </c>
      <c r="F2254" s="68" t="inlineStr">
        <is>
          <t>AtkRatio</t>
        </is>
      </c>
      <c r="G2254" s="68">
        <f>INT(G2253*1.01)</f>
        <v/>
      </c>
      <c r="H2254" s="68" t="inlineStr">
        <is>
          <t>DefRatio</t>
        </is>
      </c>
      <c r="I2254" s="68">
        <f>G2254</f>
        <v/>
      </c>
    </row>
    <row r="2255">
      <c r="A2255" s="68">
        <f>B2255&amp;TEXT(C2255,"0000")</f>
        <v/>
      </c>
      <c r="B2255" s="68" t="n">
        <v>201</v>
      </c>
      <c r="C2255" s="68" t="n">
        <v>352</v>
      </c>
      <c r="D2255" s="68" t="inlineStr">
        <is>
          <t>HpRatio</t>
        </is>
      </c>
      <c r="E2255" s="68" t="n">
        <v>0</v>
      </c>
      <c r="F2255" s="68" t="inlineStr">
        <is>
          <t>AtkRatio</t>
        </is>
      </c>
      <c r="G2255" s="68">
        <f>INT(G2254*1.01)</f>
        <v/>
      </c>
      <c r="H2255" s="68" t="inlineStr">
        <is>
          <t>DefRatio</t>
        </is>
      </c>
      <c r="I2255" s="68">
        <f>G2255</f>
        <v/>
      </c>
    </row>
    <row r="2256">
      <c r="A2256" s="68">
        <f>B2256&amp;TEXT(C2256,"0000")</f>
        <v/>
      </c>
      <c r="B2256" s="68" t="n">
        <v>201</v>
      </c>
      <c r="C2256" s="68" t="n">
        <v>353</v>
      </c>
      <c r="D2256" s="68" t="inlineStr">
        <is>
          <t>HpRatio</t>
        </is>
      </c>
      <c r="E2256" s="68" t="n">
        <v>0</v>
      </c>
      <c r="F2256" s="68" t="inlineStr">
        <is>
          <t>AtkRatio</t>
        </is>
      </c>
      <c r="G2256" s="68">
        <f>INT(G2255*1.01)</f>
        <v/>
      </c>
      <c r="H2256" s="68" t="inlineStr">
        <is>
          <t>DefRatio</t>
        </is>
      </c>
      <c r="I2256" s="68">
        <f>G2256</f>
        <v/>
      </c>
    </row>
    <row r="2257">
      <c r="A2257" s="68">
        <f>B2257&amp;TEXT(C2257,"0000")</f>
        <v/>
      </c>
      <c r="B2257" s="68" t="n">
        <v>201</v>
      </c>
      <c r="C2257" s="68" t="n">
        <v>354</v>
      </c>
      <c r="D2257" s="68" t="inlineStr">
        <is>
          <t>HpRatio</t>
        </is>
      </c>
      <c r="E2257" s="68" t="n">
        <v>0</v>
      </c>
      <c r="F2257" s="68" t="inlineStr">
        <is>
          <t>AtkRatio</t>
        </is>
      </c>
      <c r="G2257" s="68">
        <f>INT(G2256*1.01)</f>
        <v/>
      </c>
      <c r="H2257" s="68" t="inlineStr">
        <is>
          <t>DefRatio</t>
        </is>
      </c>
      <c r="I2257" s="68">
        <f>G2257</f>
        <v/>
      </c>
    </row>
    <row r="2258">
      <c r="A2258" s="68">
        <f>B2258&amp;TEXT(C2258,"0000")</f>
        <v/>
      </c>
      <c r="B2258" s="68" t="n">
        <v>201</v>
      </c>
      <c r="C2258" s="68" t="n">
        <v>355</v>
      </c>
      <c r="D2258" s="68" t="inlineStr">
        <is>
          <t>HpRatio</t>
        </is>
      </c>
      <c r="E2258" s="68" t="n">
        <v>0</v>
      </c>
      <c r="F2258" s="68" t="inlineStr">
        <is>
          <t>AtkRatio</t>
        </is>
      </c>
      <c r="G2258" s="68">
        <f>INT(G2257*1.01)</f>
        <v/>
      </c>
      <c r="H2258" s="68" t="inlineStr">
        <is>
          <t>DefRatio</t>
        </is>
      </c>
      <c r="I2258" s="68">
        <f>G2258</f>
        <v/>
      </c>
    </row>
    <row r="2259">
      <c r="A2259" s="68">
        <f>B2259&amp;TEXT(C2259,"0000")</f>
        <v/>
      </c>
      <c r="B2259" s="68" t="n">
        <v>201</v>
      </c>
      <c r="C2259" s="68" t="n">
        <v>356</v>
      </c>
      <c r="D2259" s="68" t="inlineStr">
        <is>
          <t>HpRatio</t>
        </is>
      </c>
      <c r="E2259" s="68" t="n">
        <v>0</v>
      </c>
      <c r="F2259" s="68" t="inlineStr">
        <is>
          <t>AtkRatio</t>
        </is>
      </c>
      <c r="G2259" s="68">
        <f>INT(G2258*1.01)</f>
        <v/>
      </c>
      <c r="H2259" s="68" t="inlineStr">
        <is>
          <t>DefRatio</t>
        </is>
      </c>
      <c r="I2259" s="68">
        <f>G2259</f>
        <v/>
      </c>
    </row>
    <row r="2260">
      <c r="A2260" s="68">
        <f>B2260&amp;TEXT(C2260,"0000")</f>
        <v/>
      </c>
      <c r="B2260" s="68" t="n">
        <v>201</v>
      </c>
      <c r="C2260" s="68" t="n">
        <v>357</v>
      </c>
      <c r="D2260" s="68" t="inlineStr">
        <is>
          <t>HpRatio</t>
        </is>
      </c>
      <c r="E2260" s="68" t="n">
        <v>0</v>
      </c>
      <c r="F2260" s="68" t="inlineStr">
        <is>
          <t>AtkRatio</t>
        </is>
      </c>
      <c r="G2260" s="68">
        <f>INT(G2259*1.01)</f>
        <v/>
      </c>
      <c r="H2260" s="68" t="inlineStr">
        <is>
          <t>DefRatio</t>
        </is>
      </c>
      <c r="I2260" s="68">
        <f>G2260</f>
        <v/>
      </c>
    </row>
    <row r="2261">
      <c r="A2261" s="68">
        <f>B2261&amp;TEXT(C2261,"0000")</f>
        <v/>
      </c>
      <c r="B2261" s="68" t="n">
        <v>201</v>
      </c>
      <c r="C2261" s="68" t="n">
        <v>358</v>
      </c>
      <c r="D2261" s="68" t="inlineStr">
        <is>
          <t>HpRatio</t>
        </is>
      </c>
      <c r="E2261" s="68" t="n">
        <v>0</v>
      </c>
      <c r="F2261" s="68" t="inlineStr">
        <is>
          <t>AtkRatio</t>
        </is>
      </c>
      <c r="G2261" s="68">
        <f>INT(G2260*1.01)</f>
        <v/>
      </c>
      <c r="H2261" s="68" t="inlineStr">
        <is>
          <t>DefRatio</t>
        </is>
      </c>
      <c r="I2261" s="68">
        <f>G2261</f>
        <v/>
      </c>
    </row>
    <row r="2262">
      <c r="A2262" s="68">
        <f>B2262&amp;TEXT(C2262,"0000")</f>
        <v/>
      </c>
      <c r="B2262" s="68" t="n">
        <v>201</v>
      </c>
      <c r="C2262" s="68" t="n">
        <v>359</v>
      </c>
      <c r="D2262" s="68" t="inlineStr">
        <is>
          <t>HpRatio</t>
        </is>
      </c>
      <c r="E2262" s="68" t="n">
        <v>0</v>
      </c>
      <c r="F2262" s="68" t="inlineStr">
        <is>
          <t>AtkRatio</t>
        </is>
      </c>
      <c r="G2262" s="68">
        <f>INT(G2261*1.01)</f>
        <v/>
      </c>
      <c r="H2262" s="68" t="inlineStr">
        <is>
          <t>DefRatio</t>
        </is>
      </c>
      <c r="I2262" s="68">
        <f>G2262</f>
        <v/>
      </c>
    </row>
    <row r="2263">
      <c r="A2263" s="68">
        <f>B2263&amp;TEXT(C2263,"0000")</f>
        <v/>
      </c>
      <c r="B2263" s="68" t="n">
        <v>201</v>
      </c>
      <c r="C2263" s="68" t="n">
        <v>360</v>
      </c>
      <c r="D2263" s="68" t="inlineStr">
        <is>
          <t>HpRatio</t>
        </is>
      </c>
      <c r="E2263" s="68" t="n">
        <v>0</v>
      </c>
      <c r="F2263" s="68" t="inlineStr">
        <is>
          <t>AtkRatio</t>
        </is>
      </c>
      <c r="G2263" s="68">
        <f>INT(G2262*1.01)</f>
        <v/>
      </c>
      <c r="H2263" s="68" t="inlineStr">
        <is>
          <t>DefRatio</t>
        </is>
      </c>
      <c r="I2263" s="68">
        <f>G2263</f>
        <v/>
      </c>
    </row>
    <row r="2264">
      <c r="A2264" s="68">
        <f>B2264&amp;TEXT(C2264,"0000")</f>
        <v/>
      </c>
      <c r="B2264" s="68" t="n">
        <v>201</v>
      </c>
      <c r="C2264" s="68" t="n">
        <v>361</v>
      </c>
      <c r="D2264" s="68" t="inlineStr">
        <is>
          <t>HpRatio</t>
        </is>
      </c>
      <c r="E2264" s="68" t="n">
        <v>0</v>
      </c>
      <c r="F2264" s="68" t="inlineStr">
        <is>
          <t>AtkRatio</t>
        </is>
      </c>
      <c r="G2264" s="68">
        <f>INT(G2263*1.01)</f>
        <v/>
      </c>
      <c r="H2264" s="68" t="inlineStr">
        <is>
          <t>DefRatio</t>
        </is>
      </c>
      <c r="I2264" s="68">
        <f>G2264</f>
        <v/>
      </c>
    </row>
    <row r="2265">
      <c r="A2265" s="68">
        <f>B2265&amp;TEXT(C2265,"0000")</f>
        <v/>
      </c>
      <c r="B2265" s="68" t="n">
        <v>201</v>
      </c>
      <c r="C2265" s="68" t="n">
        <v>362</v>
      </c>
      <c r="D2265" s="68" t="inlineStr">
        <is>
          <t>HpRatio</t>
        </is>
      </c>
      <c r="E2265" s="68" t="n">
        <v>0</v>
      </c>
      <c r="F2265" s="68" t="inlineStr">
        <is>
          <t>AtkRatio</t>
        </is>
      </c>
      <c r="G2265" s="68">
        <f>INT(G2264*1.01)</f>
        <v/>
      </c>
      <c r="H2265" s="68" t="inlineStr">
        <is>
          <t>DefRatio</t>
        </is>
      </c>
      <c r="I2265" s="68">
        <f>G2265</f>
        <v/>
      </c>
    </row>
    <row r="2266">
      <c r="A2266" s="68">
        <f>B2266&amp;TEXT(C2266,"0000")</f>
        <v/>
      </c>
      <c r="B2266" s="68" t="n">
        <v>201</v>
      </c>
      <c r="C2266" s="68" t="n">
        <v>363</v>
      </c>
      <c r="D2266" s="68" t="inlineStr">
        <is>
          <t>HpRatio</t>
        </is>
      </c>
      <c r="E2266" s="68" t="n">
        <v>0</v>
      </c>
      <c r="F2266" s="68" t="inlineStr">
        <is>
          <t>AtkRatio</t>
        </is>
      </c>
      <c r="G2266" s="68">
        <f>INT(G2265*1.01)</f>
        <v/>
      </c>
      <c r="H2266" s="68" t="inlineStr">
        <is>
          <t>DefRatio</t>
        </is>
      </c>
      <c r="I2266" s="68">
        <f>G2266</f>
        <v/>
      </c>
    </row>
    <row r="2267">
      <c r="A2267" s="68">
        <f>B2267&amp;TEXT(C2267,"0000")</f>
        <v/>
      </c>
      <c r="B2267" s="68" t="n">
        <v>201</v>
      </c>
      <c r="C2267" s="68" t="n">
        <v>364</v>
      </c>
      <c r="D2267" s="68" t="inlineStr">
        <is>
          <t>HpRatio</t>
        </is>
      </c>
      <c r="E2267" s="68" t="n">
        <v>0</v>
      </c>
      <c r="F2267" s="68" t="inlineStr">
        <is>
          <t>AtkRatio</t>
        </is>
      </c>
      <c r="G2267" s="68">
        <f>INT(G2266*1.01)</f>
        <v/>
      </c>
      <c r="H2267" s="68" t="inlineStr">
        <is>
          <t>DefRatio</t>
        </is>
      </c>
      <c r="I2267" s="68">
        <f>G2267</f>
        <v/>
      </c>
    </row>
    <row r="2268">
      <c r="A2268" s="68">
        <f>B2268&amp;TEXT(C2268,"0000")</f>
        <v/>
      </c>
      <c r="B2268" s="68" t="n">
        <v>201</v>
      </c>
      <c r="C2268" s="68" t="n">
        <v>365</v>
      </c>
      <c r="D2268" s="68" t="inlineStr">
        <is>
          <t>HpRatio</t>
        </is>
      </c>
      <c r="E2268" s="68" t="n">
        <v>0</v>
      </c>
      <c r="F2268" s="68" t="inlineStr">
        <is>
          <t>AtkRatio</t>
        </is>
      </c>
      <c r="G2268" s="68">
        <f>INT(G2267*1.01)</f>
        <v/>
      </c>
      <c r="H2268" s="68" t="inlineStr">
        <is>
          <t>DefRatio</t>
        </is>
      </c>
      <c r="I2268" s="68">
        <f>G2268</f>
        <v/>
      </c>
    </row>
    <row r="2269">
      <c r="A2269" s="68">
        <f>B2269&amp;TEXT(C2269,"0000")</f>
        <v/>
      </c>
      <c r="B2269" s="68" t="n">
        <v>201</v>
      </c>
      <c r="C2269" s="68" t="n">
        <v>366</v>
      </c>
      <c r="D2269" s="68" t="inlineStr">
        <is>
          <t>HpRatio</t>
        </is>
      </c>
      <c r="E2269" s="68" t="n">
        <v>0</v>
      </c>
      <c r="F2269" s="68" t="inlineStr">
        <is>
          <t>AtkRatio</t>
        </is>
      </c>
      <c r="G2269" s="68">
        <f>INT(G2268*1.01)</f>
        <v/>
      </c>
      <c r="H2269" s="68" t="inlineStr">
        <is>
          <t>DefRatio</t>
        </is>
      </c>
      <c r="I2269" s="68">
        <f>G2269</f>
        <v/>
      </c>
    </row>
    <row r="2270">
      <c r="A2270" s="68">
        <f>B2270&amp;TEXT(C2270,"0000")</f>
        <v/>
      </c>
      <c r="B2270" s="68" t="n">
        <v>201</v>
      </c>
      <c r="C2270" s="68" t="n">
        <v>367</v>
      </c>
      <c r="D2270" s="68" t="inlineStr">
        <is>
          <t>HpRatio</t>
        </is>
      </c>
      <c r="E2270" s="68" t="n">
        <v>0</v>
      </c>
      <c r="F2270" s="68" t="inlineStr">
        <is>
          <t>AtkRatio</t>
        </is>
      </c>
      <c r="G2270" s="68">
        <f>INT(G2269*1.01)</f>
        <v/>
      </c>
      <c r="H2270" s="68" t="inlineStr">
        <is>
          <t>DefRatio</t>
        </is>
      </c>
      <c r="I2270" s="68">
        <f>G2270</f>
        <v/>
      </c>
    </row>
    <row r="2271">
      <c r="A2271" s="68">
        <f>B2271&amp;TEXT(C2271,"0000")</f>
        <v/>
      </c>
      <c r="B2271" s="68" t="n">
        <v>201</v>
      </c>
      <c r="C2271" s="68" t="n">
        <v>368</v>
      </c>
      <c r="D2271" s="68" t="inlineStr">
        <is>
          <t>HpRatio</t>
        </is>
      </c>
      <c r="E2271" s="68" t="n">
        <v>0</v>
      </c>
      <c r="F2271" s="68" t="inlineStr">
        <is>
          <t>AtkRatio</t>
        </is>
      </c>
      <c r="G2271" s="68">
        <f>INT(G2270*1.01)</f>
        <v/>
      </c>
      <c r="H2271" s="68" t="inlineStr">
        <is>
          <t>DefRatio</t>
        </is>
      </c>
      <c r="I2271" s="68">
        <f>G2271</f>
        <v/>
      </c>
    </row>
    <row r="2272">
      <c r="A2272" s="68">
        <f>B2272&amp;TEXT(C2272,"0000")</f>
        <v/>
      </c>
      <c r="B2272" s="68" t="n">
        <v>201</v>
      </c>
      <c r="C2272" s="68" t="n">
        <v>369</v>
      </c>
      <c r="D2272" s="68" t="inlineStr">
        <is>
          <t>HpRatio</t>
        </is>
      </c>
      <c r="E2272" s="68" t="n">
        <v>0</v>
      </c>
      <c r="F2272" s="68" t="inlineStr">
        <is>
          <t>AtkRatio</t>
        </is>
      </c>
      <c r="G2272" s="68">
        <f>INT(G2271*1.01)</f>
        <v/>
      </c>
      <c r="H2272" s="68" t="inlineStr">
        <is>
          <t>DefRatio</t>
        </is>
      </c>
      <c r="I2272" s="68">
        <f>G2272</f>
        <v/>
      </c>
    </row>
    <row r="2273">
      <c r="A2273" s="68">
        <f>B2273&amp;TEXT(C2273,"0000")</f>
        <v/>
      </c>
      <c r="B2273" s="68" t="n">
        <v>201</v>
      </c>
      <c r="C2273" s="68" t="n">
        <v>370</v>
      </c>
      <c r="D2273" s="68" t="inlineStr">
        <is>
          <t>HpRatio</t>
        </is>
      </c>
      <c r="E2273" s="68" t="n">
        <v>0</v>
      </c>
      <c r="F2273" s="68" t="inlineStr">
        <is>
          <t>AtkRatio</t>
        </is>
      </c>
      <c r="G2273" s="68">
        <f>INT(G2272*1.01)</f>
        <v/>
      </c>
      <c r="H2273" s="68" t="inlineStr">
        <is>
          <t>DefRatio</t>
        </is>
      </c>
      <c r="I2273" s="68">
        <f>G2273</f>
        <v/>
      </c>
    </row>
    <row r="2274">
      <c r="A2274" s="68">
        <f>B2274&amp;TEXT(C2274,"0000")</f>
        <v/>
      </c>
      <c r="B2274" s="68" t="n">
        <v>201</v>
      </c>
      <c r="C2274" s="68" t="n">
        <v>371</v>
      </c>
      <c r="D2274" s="68" t="inlineStr">
        <is>
          <t>HpRatio</t>
        </is>
      </c>
      <c r="E2274" s="68" t="n">
        <v>0</v>
      </c>
      <c r="F2274" s="68" t="inlineStr">
        <is>
          <t>AtkRatio</t>
        </is>
      </c>
      <c r="G2274" s="68">
        <f>INT(G2273*1.01)</f>
        <v/>
      </c>
      <c r="H2274" s="68" t="inlineStr">
        <is>
          <t>DefRatio</t>
        </is>
      </c>
      <c r="I2274" s="68">
        <f>G2274</f>
        <v/>
      </c>
    </row>
    <row r="2275">
      <c r="A2275" s="68">
        <f>B2275&amp;TEXT(C2275,"0000")</f>
        <v/>
      </c>
      <c r="B2275" s="68" t="n">
        <v>201</v>
      </c>
      <c r="C2275" s="68" t="n">
        <v>372</v>
      </c>
      <c r="D2275" s="68" t="inlineStr">
        <is>
          <t>HpRatio</t>
        </is>
      </c>
      <c r="E2275" s="68" t="n">
        <v>0</v>
      </c>
      <c r="F2275" s="68" t="inlineStr">
        <is>
          <t>AtkRatio</t>
        </is>
      </c>
      <c r="G2275" s="68">
        <f>INT(G2274*1.01)</f>
        <v/>
      </c>
      <c r="H2275" s="68" t="inlineStr">
        <is>
          <t>DefRatio</t>
        </is>
      </c>
      <c r="I2275" s="68">
        <f>G2275</f>
        <v/>
      </c>
    </row>
    <row r="2276">
      <c r="A2276" s="68">
        <f>B2276&amp;TEXT(C2276,"0000")</f>
        <v/>
      </c>
      <c r="B2276" s="68" t="n">
        <v>201</v>
      </c>
      <c r="C2276" s="68" t="n">
        <v>373</v>
      </c>
      <c r="D2276" s="68" t="inlineStr">
        <is>
          <t>HpRatio</t>
        </is>
      </c>
      <c r="E2276" s="68" t="n">
        <v>0</v>
      </c>
      <c r="F2276" s="68" t="inlineStr">
        <is>
          <t>AtkRatio</t>
        </is>
      </c>
      <c r="G2276" s="68">
        <f>INT(G2275*1.01)</f>
        <v/>
      </c>
      <c r="H2276" s="68" t="inlineStr">
        <is>
          <t>DefRatio</t>
        </is>
      </c>
      <c r="I2276" s="68">
        <f>G2276</f>
        <v/>
      </c>
    </row>
    <row r="2277">
      <c r="A2277" s="68">
        <f>B2277&amp;TEXT(C2277,"0000")</f>
        <v/>
      </c>
      <c r="B2277" s="68" t="n">
        <v>201</v>
      </c>
      <c r="C2277" s="68" t="n">
        <v>374</v>
      </c>
      <c r="D2277" s="68" t="inlineStr">
        <is>
          <t>HpRatio</t>
        </is>
      </c>
      <c r="E2277" s="68" t="n">
        <v>0</v>
      </c>
      <c r="F2277" s="68" t="inlineStr">
        <is>
          <t>AtkRatio</t>
        </is>
      </c>
      <c r="G2277" s="68">
        <f>INT(G2276*1.01)</f>
        <v/>
      </c>
      <c r="H2277" s="68" t="inlineStr">
        <is>
          <t>DefRatio</t>
        </is>
      </c>
      <c r="I2277" s="68">
        <f>G2277</f>
        <v/>
      </c>
    </row>
    <row r="2278">
      <c r="A2278" s="68">
        <f>B2278&amp;TEXT(C2278,"0000")</f>
        <v/>
      </c>
      <c r="B2278" s="68" t="n">
        <v>201</v>
      </c>
      <c r="C2278" s="68" t="n">
        <v>375</v>
      </c>
      <c r="D2278" s="68" t="inlineStr">
        <is>
          <t>HpRatio</t>
        </is>
      </c>
      <c r="E2278" s="68" t="n">
        <v>0</v>
      </c>
      <c r="F2278" s="68" t="inlineStr">
        <is>
          <t>AtkRatio</t>
        </is>
      </c>
      <c r="G2278" s="68">
        <f>INT(G2277*1.01)</f>
        <v/>
      </c>
      <c r="H2278" s="68" t="inlineStr">
        <is>
          <t>DefRatio</t>
        </is>
      </c>
      <c r="I2278" s="68">
        <f>G2278</f>
        <v/>
      </c>
    </row>
    <row r="2279">
      <c r="A2279" s="68">
        <f>B2279&amp;TEXT(C2279,"0000")</f>
        <v/>
      </c>
      <c r="B2279" s="68" t="n">
        <v>201</v>
      </c>
      <c r="C2279" s="68" t="n">
        <v>376</v>
      </c>
      <c r="D2279" s="68" t="inlineStr">
        <is>
          <t>HpRatio</t>
        </is>
      </c>
      <c r="E2279" s="68" t="n">
        <v>0</v>
      </c>
      <c r="F2279" s="68" t="inlineStr">
        <is>
          <t>AtkRatio</t>
        </is>
      </c>
      <c r="G2279" s="68">
        <f>INT(G2278*1.01)</f>
        <v/>
      </c>
      <c r="H2279" s="68" t="inlineStr">
        <is>
          <t>DefRatio</t>
        </is>
      </c>
      <c r="I2279" s="68">
        <f>G2279</f>
        <v/>
      </c>
    </row>
    <row r="2280">
      <c r="A2280" s="68">
        <f>B2280&amp;TEXT(C2280,"0000")</f>
        <v/>
      </c>
      <c r="B2280" s="68" t="n">
        <v>201</v>
      </c>
      <c r="C2280" s="68" t="n">
        <v>377</v>
      </c>
      <c r="D2280" s="68" t="inlineStr">
        <is>
          <t>HpRatio</t>
        </is>
      </c>
      <c r="E2280" s="68" t="n">
        <v>0</v>
      </c>
      <c r="F2280" s="68" t="inlineStr">
        <is>
          <t>AtkRatio</t>
        </is>
      </c>
      <c r="G2280" s="68">
        <f>INT(G2279*1.01)</f>
        <v/>
      </c>
      <c r="H2280" s="68" t="inlineStr">
        <is>
          <t>DefRatio</t>
        </is>
      </c>
      <c r="I2280" s="68">
        <f>G2280</f>
        <v/>
      </c>
    </row>
    <row r="2281">
      <c r="A2281" s="68">
        <f>B2281&amp;TEXT(C2281,"0000")</f>
        <v/>
      </c>
      <c r="B2281" s="68" t="n">
        <v>201</v>
      </c>
      <c r="C2281" s="68" t="n">
        <v>378</v>
      </c>
      <c r="D2281" s="68" t="inlineStr">
        <is>
          <t>HpRatio</t>
        </is>
      </c>
      <c r="E2281" s="68" t="n">
        <v>0</v>
      </c>
      <c r="F2281" s="68" t="inlineStr">
        <is>
          <t>AtkRatio</t>
        </is>
      </c>
      <c r="G2281" s="68">
        <f>INT(G2280*1.01)</f>
        <v/>
      </c>
      <c r="H2281" s="68" t="inlineStr">
        <is>
          <t>DefRatio</t>
        </is>
      </c>
      <c r="I2281" s="68">
        <f>G2281</f>
        <v/>
      </c>
    </row>
    <row r="2282">
      <c r="A2282" s="68">
        <f>B2282&amp;TEXT(C2282,"0000")</f>
        <v/>
      </c>
      <c r="B2282" s="68" t="n">
        <v>201</v>
      </c>
      <c r="C2282" s="68" t="n">
        <v>379</v>
      </c>
      <c r="D2282" s="68" t="inlineStr">
        <is>
          <t>HpRatio</t>
        </is>
      </c>
      <c r="E2282" s="68" t="n">
        <v>0</v>
      </c>
      <c r="F2282" s="68" t="inlineStr">
        <is>
          <t>AtkRatio</t>
        </is>
      </c>
      <c r="G2282" s="68">
        <f>INT(G2281*1.01)</f>
        <v/>
      </c>
      <c r="H2282" s="68" t="inlineStr">
        <is>
          <t>DefRatio</t>
        </is>
      </c>
      <c r="I2282" s="68">
        <f>G2282</f>
        <v/>
      </c>
    </row>
    <row r="2283">
      <c r="A2283" s="68">
        <f>B2283&amp;TEXT(C2283,"0000")</f>
        <v/>
      </c>
      <c r="B2283" s="68" t="n">
        <v>201</v>
      </c>
      <c r="C2283" s="68" t="n">
        <v>380</v>
      </c>
      <c r="D2283" s="68" t="inlineStr">
        <is>
          <t>HpRatio</t>
        </is>
      </c>
      <c r="E2283" s="68" t="n">
        <v>0</v>
      </c>
      <c r="F2283" s="68" t="inlineStr">
        <is>
          <t>AtkRatio</t>
        </is>
      </c>
      <c r="G2283" s="68">
        <f>INT(G2282*1.01)</f>
        <v/>
      </c>
      <c r="H2283" s="68" t="inlineStr">
        <is>
          <t>DefRatio</t>
        </is>
      </c>
      <c r="I2283" s="68">
        <f>G2283</f>
        <v/>
      </c>
    </row>
    <row r="2284">
      <c r="A2284" s="68">
        <f>B2284&amp;TEXT(C2284,"0000")</f>
        <v/>
      </c>
      <c r="B2284" s="68" t="n">
        <v>201</v>
      </c>
      <c r="C2284" s="68" t="n">
        <v>381</v>
      </c>
      <c r="D2284" s="68" t="inlineStr">
        <is>
          <t>HpRatio</t>
        </is>
      </c>
      <c r="E2284" s="68" t="n">
        <v>0</v>
      </c>
      <c r="F2284" s="68" t="inlineStr">
        <is>
          <t>AtkRatio</t>
        </is>
      </c>
      <c r="G2284" s="68">
        <f>INT(G2283*1.01)</f>
        <v/>
      </c>
      <c r="H2284" s="68" t="inlineStr">
        <is>
          <t>DefRatio</t>
        </is>
      </c>
      <c r="I2284" s="68">
        <f>G2284</f>
        <v/>
      </c>
    </row>
    <row r="2285">
      <c r="A2285" s="68">
        <f>B2285&amp;TEXT(C2285,"0000")</f>
        <v/>
      </c>
      <c r="B2285" s="68" t="n">
        <v>201</v>
      </c>
      <c r="C2285" s="68" t="n">
        <v>382</v>
      </c>
      <c r="D2285" s="68" t="inlineStr">
        <is>
          <t>HpRatio</t>
        </is>
      </c>
      <c r="E2285" s="68" t="n">
        <v>0</v>
      </c>
      <c r="F2285" s="68" t="inlineStr">
        <is>
          <t>AtkRatio</t>
        </is>
      </c>
      <c r="G2285" s="68">
        <f>INT(G2284*1.01)</f>
        <v/>
      </c>
      <c r="H2285" s="68" t="inlineStr">
        <is>
          <t>DefRatio</t>
        </is>
      </c>
      <c r="I2285" s="68">
        <f>G2285</f>
        <v/>
      </c>
    </row>
    <row r="2286">
      <c r="A2286" s="68">
        <f>B2286&amp;TEXT(C2286,"0000")</f>
        <v/>
      </c>
      <c r="B2286" s="68" t="n">
        <v>201</v>
      </c>
      <c r="C2286" s="68" t="n">
        <v>383</v>
      </c>
      <c r="D2286" s="68" t="inlineStr">
        <is>
          <t>HpRatio</t>
        </is>
      </c>
      <c r="E2286" s="68" t="n">
        <v>0</v>
      </c>
      <c r="F2286" s="68" t="inlineStr">
        <is>
          <t>AtkRatio</t>
        </is>
      </c>
      <c r="G2286" s="68">
        <f>INT(G2285*1.01)</f>
        <v/>
      </c>
      <c r="H2286" s="68" t="inlineStr">
        <is>
          <t>DefRatio</t>
        </is>
      </c>
      <c r="I2286" s="68">
        <f>G2286</f>
        <v/>
      </c>
    </row>
    <row r="2287">
      <c r="A2287" s="68">
        <f>B2287&amp;TEXT(C2287,"0000")</f>
        <v/>
      </c>
      <c r="B2287" s="68" t="n">
        <v>201</v>
      </c>
      <c r="C2287" s="68" t="n">
        <v>384</v>
      </c>
      <c r="D2287" s="68" t="inlineStr">
        <is>
          <t>HpRatio</t>
        </is>
      </c>
      <c r="E2287" s="68" t="n">
        <v>0</v>
      </c>
      <c r="F2287" s="68" t="inlineStr">
        <is>
          <t>AtkRatio</t>
        </is>
      </c>
      <c r="G2287" s="68">
        <f>INT(G2286*1.01)</f>
        <v/>
      </c>
      <c r="H2287" s="68" t="inlineStr">
        <is>
          <t>DefRatio</t>
        </is>
      </c>
      <c r="I2287" s="68">
        <f>G2287</f>
        <v/>
      </c>
    </row>
    <row r="2288">
      <c r="A2288" s="68">
        <f>B2288&amp;TEXT(C2288,"0000")</f>
        <v/>
      </c>
      <c r="B2288" s="68" t="n">
        <v>201</v>
      </c>
      <c r="C2288" s="68" t="n">
        <v>385</v>
      </c>
      <c r="D2288" s="68" t="inlineStr">
        <is>
          <t>HpRatio</t>
        </is>
      </c>
      <c r="E2288" s="68" t="n">
        <v>0</v>
      </c>
      <c r="F2288" s="68" t="inlineStr">
        <is>
          <t>AtkRatio</t>
        </is>
      </c>
      <c r="G2288" s="68">
        <f>INT(G2287*1.01)</f>
        <v/>
      </c>
      <c r="H2288" s="68" t="inlineStr">
        <is>
          <t>DefRatio</t>
        </is>
      </c>
      <c r="I2288" s="68">
        <f>G2288</f>
        <v/>
      </c>
    </row>
    <row r="2289">
      <c r="A2289" s="68">
        <f>B2289&amp;TEXT(C2289,"0000")</f>
        <v/>
      </c>
      <c r="B2289" s="68" t="n">
        <v>201</v>
      </c>
      <c r="C2289" s="68" t="n">
        <v>386</v>
      </c>
      <c r="D2289" s="68" t="inlineStr">
        <is>
          <t>HpRatio</t>
        </is>
      </c>
      <c r="E2289" s="68" t="n">
        <v>0</v>
      </c>
      <c r="F2289" s="68" t="inlineStr">
        <is>
          <t>AtkRatio</t>
        </is>
      </c>
      <c r="G2289" s="68">
        <f>INT(G2288*1.01)</f>
        <v/>
      </c>
      <c r="H2289" s="68" t="inlineStr">
        <is>
          <t>DefRatio</t>
        </is>
      </c>
      <c r="I2289" s="68">
        <f>G2289</f>
        <v/>
      </c>
    </row>
    <row r="2290">
      <c r="A2290" s="68">
        <f>B2290&amp;TEXT(C2290,"0000")</f>
        <v/>
      </c>
      <c r="B2290" s="68" t="n">
        <v>201</v>
      </c>
      <c r="C2290" s="68" t="n">
        <v>387</v>
      </c>
      <c r="D2290" s="68" t="inlineStr">
        <is>
          <t>HpRatio</t>
        </is>
      </c>
      <c r="E2290" s="68" t="n">
        <v>0</v>
      </c>
      <c r="F2290" s="68" t="inlineStr">
        <is>
          <t>AtkRatio</t>
        </is>
      </c>
      <c r="G2290" s="68">
        <f>INT(G2289*1.01)</f>
        <v/>
      </c>
      <c r="H2290" s="68" t="inlineStr">
        <is>
          <t>DefRatio</t>
        </is>
      </c>
      <c r="I2290" s="68">
        <f>G2290</f>
        <v/>
      </c>
    </row>
    <row r="2291">
      <c r="A2291" s="68">
        <f>B2291&amp;TEXT(C2291,"0000")</f>
        <v/>
      </c>
      <c r="B2291" s="68" t="n">
        <v>201</v>
      </c>
      <c r="C2291" s="68" t="n">
        <v>388</v>
      </c>
      <c r="D2291" s="68" t="inlineStr">
        <is>
          <t>HpRatio</t>
        </is>
      </c>
      <c r="E2291" s="68" t="n">
        <v>0</v>
      </c>
      <c r="F2291" s="68" t="inlineStr">
        <is>
          <t>AtkRatio</t>
        </is>
      </c>
      <c r="G2291" s="68">
        <f>INT(G2290*1.01)</f>
        <v/>
      </c>
      <c r="H2291" s="68" t="inlineStr">
        <is>
          <t>DefRatio</t>
        </is>
      </c>
      <c r="I2291" s="68">
        <f>G2291</f>
        <v/>
      </c>
    </row>
    <row r="2292">
      <c r="A2292" s="68">
        <f>B2292&amp;TEXT(C2292,"0000")</f>
        <v/>
      </c>
      <c r="B2292" s="68" t="n">
        <v>201</v>
      </c>
      <c r="C2292" s="68" t="n">
        <v>389</v>
      </c>
      <c r="D2292" s="68" t="inlineStr">
        <is>
          <t>HpRatio</t>
        </is>
      </c>
      <c r="E2292" s="68" t="n">
        <v>0</v>
      </c>
      <c r="F2292" s="68" t="inlineStr">
        <is>
          <t>AtkRatio</t>
        </is>
      </c>
      <c r="G2292" s="68">
        <f>INT(G2291*1.01)</f>
        <v/>
      </c>
      <c r="H2292" s="68" t="inlineStr">
        <is>
          <t>DefRatio</t>
        </is>
      </c>
      <c r="I2292" s="68">
        <f>G2292</f>
        <v/>
      </c>
    </row>
    <row r="2293">
      <c r="A2293" s="68">
        <f>B2293&amp;TEXT(C2293,"0000")</f>
        <v/>
      </c>
      <c r="B2293" s="68" t="n">
        <v>201</v>
      </c>
      <c r="C2293" s="68" t="n">
        <v>390</v>
      </c>
      <c r="D2293" s="68" t="inlineStr">
        <is>
          <t>HpRatio</t>
        </is>
      </c>
      <c r="E2293" s="68" t="n">
        <v>0</v>
      </c>
      <c r="F2293" s="68" t="inlineStr">
        <is>
          <t>AtkRatio</t>
        </is>
      </c>
      <c r="G2293" s="68">
        <f>INT(G2292*1.01)</f>
        <v/>
      </c>
      <c r="H2293" s="68" t="inlineStr">
        <is>
          <t>DefRatio</t>
        </is>
      </c>
      <c r="I2293" s="68">
        <f>G2293</f>
        <v/>
      </c>
    </row>
    <row r="2294">
      <c r="A2294" s="68">
        <f>B2294&amp;TEXT(C2294,"0000")</f>
        <v/>
      </c>
      <c r="B2294" s="68" t="n">
        <v>201</v>
      </c>
      <c r="C2294" s="68" t="n">
        <v>391</v>
      </c>
      <c r="D2294" s="68" t="inlineStr">
        <is>
          <t>HpRatio</t>
        </is>
      </c>
      <c r="E2294" s="68" t="n">
        <v>0</v>
      </c>
      <c r="F2294" s="68" t="inlineStr">
        <is>
          <t>AtkRatio</t>
        </is>
      </c>
      <c r="G2294" s="68">
        <f>INT(G2293*1.01)</f>
        <v/>
      </c>
      <c r="H2294" s="68" t="inlineStr">
        <is>
          <t>DefRatio</t>
        </is>
      </c>
      <c r="I2294" s="68">
        <f>G2294</f>
        <v/>
      </c>
    </row>
    <row r="2295">
      <c r="A2295" s="68">
        <f>B2295&amp;TEXT(C2295,"0000")</f>
        <v/>
      </c>
      <c r="B2295" s="68" t="n">
        <v>201</v>
      </c>
      <c r="C2295" s="68" t="n">
        <v>392</v>
      </c>
      <c r="D2295" s="68" t="inlineStr">
        <is>
          <t>HpRatio</t>
        </is>
      </c>
      <c r="E2295" s="68" t="n">
        <v>0</v>
      </c>
      <c r="F2295" s="68" t="inlineStr">
        <is>
          <t>AtkRatio</t>
        </is>
      </c>
      <c r="G2295" s="68">
        <f>INT(G2294*1.01)</f>
        <v/>
      </c>
      <c r="H2295" s="68" t="inlineStr">
        <is>
          <t>DefRatio</t>
        </is>
      </c>
      <c r="I2295" s="68">
        <f>G2295</f>
        <v/>
      </c>
    </row>
    <row r="2296">
      <c r="A2296" s="68">
        <f>B2296&amp;TEXT(C2296,"0000")</f>
        <v/>
      </c>
      <c r="B2296" s="68" t="n">
        <v>201</v>
      </c>
      <c r="C2296" s="68" t="n">
        <v>393</v>
      </c>
      <c r="D2296" s="68" t="inlineStr">
        <is>
          <t>HpRatio</t>
        </is>
      </c>
      <c r="E2296" s="68" t="n">
        <v>0</v>
      </c>
      <c r="F2296" s="68" t="inlineStr">
        <is>
          <t>AtkRatio</t>
        </is>
      </c>
      <c r="G2296" s="68">
        <f>INT(G2295*1.01)</f>
        <v/>
      </c>
      <c r="H2296" s="68" t="inlineStr">
        <is>
          <t>DefRatio</t>
        </is>
      </c>
      <c r="I2296" s="68">
        <f>G2296</f>
        <v/>
      </c>
    </row>
    <row r="2297">
      <c r="A2297" s="68">
        <f>B2297&amp;TEXT(C2297,"0000")</f>
        <v/>
      </c>
      <c r="B2297" s="68" t="n">
        <v>201</v>
      </c>
      <c r="C2297" s="68" t="n">
        <v>394</v>
      </c>
      <c r="D2297" s="68" t="inlineStr">
        <is>
          <t>HpRatio</t>
        </is>
      </c>
      <c r="E2297" s="68" t="n">
        <v>0</v>
      </c>
      <c r="F2297" s="68" t="inlineStr">
        <is>
          <t>AtkRatio</t>
        </is>
      </c>
      <c r="G2297" s="68">
        <f>INT(G2296*1.01)</f>
        <v/>
      </c>
      <c r="H2297" s="68" t="inlineStr">
        <is>
          <t>DefRatio</t>
        </is>
      </c>
      <c r="I2297" s="68">
        <f>G2297</f>
        <v/>
      </c>
    </row>
    <row r="2298">
      <c r="A2298" s="68">
        <f>B2298&amp;TEXT(C2298,"0000")</f>
        <v/>
      </c>
      <c r="B2298" s="68" t="n">
        <v>201</v>
      </c>
      <c r="C2298" s="68" t="n">
        <v>395</v>
      </c>
      <c r="D2298" s="68" t="inlineStr">
        <is>
          <t>HpRatio</t>
        </is>
      </c>
      <c r="E2298" s="68" t="n">
        <v>0</v>
      </c>
      <c r="F2298" s="68" t="inlineStr">
        <is>
          <t>AtkRatio</t>
        </is>
      </c>
      <c r="G2298" s="68">
        <f>INT(G2297*1.01)</f>
        <v/>
      </c>
      <c r="H2298" s="68" t="inlineStr">
        <is>
          <t>DefRatio</t>
        </is>
      </c>
      <c r="I2298" s="68">
        <f>G2298</f>
        <v/>
      </c>
    </row>
    <row r="2299">
      <c r="A2299" s="68">
        <f>B2299&amp;TEXT(C2299,"0000")</f>
        <v/>
      </c>
      <c r="B2299" s="68" t="n">
        <v>201</v>
      </c>
      <c r="C2299" s="68" t="n">
        <v>396</v>
      </c>
      <c r="D2299" s="68" t="inlineStr">
        <is>
          <t>HpRatio</t>
        </is>
      </c>
      <c r="E2299" s="68" t="n">
        <v>0</v>
      </c>
      <c r="F2299" s="68" t="inlineStr">
        <is>
          <t>AtkRatio</t>
        </is>
      </c>
      <c r="G2299" s="68">
        <f>INT(G2298*1.01)</f>
        <v/>
      </c>
      <c r="H2299" s="68" t="inlineStr">
        <is>
          <t>DefRatio</t>
        </is>
      </c>
      <c r="I2299" s="68">
        <f>G2299</f>
        <v/>
      </c>
    </row>
    <row r="2300">
      <c r="A2300" s="68">
        <f>B2300&amp;TEXT(C2300,"0000")</f>
        <v/>
      </c>
      <c r="B2300" s="68" t="n">
        <v>201</v>
      </c>
      <c r="C2300" s="68" t="n">
        <v>397</v>
      </c>
      <c r="D2300" s="68" t="inlineStr">
        <is>
          <t>HpRatio</t>
        </is>
      </c>
      <c r="E2300" s="68" t="n">
        <v>0</v>
      </c>
      <c r="F2300" s="68" t="inlineStr">
        <is>
          <t>AtkRatio</t>
        </is>
      </c>
      <c r="G2300" s="68">
        <f>INT(G2299*1.01)</f>
        <v/>
      </c>
      <c r="H2300" s="68" t="inlineStr">
        <is>
          <t>DefRatio</t>
        </is>
      </c>
      <c r="I2300" s="68">
        <f>G2300</f>
        <v/>
      </c>
    </row>
    <row r="2301">
      <c r="A2301" s="68">
        <f>B2301&amp;TEXT(C2301,"0000")</f>
        <v/>
      </c>
      <c r="B2301" s="68" t="n">
        <v>201</v>
      </c>
      <c r="C2301" s="68" t="n">
        <v>398</v>
      </c>
      <c r="D2301" s="68" t="inlineStr">
        <is>
          <t>HpRatio</t>
        </is>
      </c>
      <c r="E2301" s="68" t="n">
        <v>0</v>
      </c>
      <c r="F2301" s="68" t="inlineStr">
        <is>
          <t>AtkRatio</t>
        </is>
      </c>
      <c r="G2301" s="68">
        <f>INT(G2300*1.01)</f>
        <v/>
      </c>
      <c r="H2301" s="68" t="inlineStr">
        <is>
          <t>DefRatio</t>
        </is>
      </c>
      <c r="I2301" s="68">
        <f>G2301</f>
        <v/>
      </c>
    </row>
    <row r="2302">
      <c r="A2302" s="68">
        <f>B2302&amp;TEXT(C2302,"0000")</f>
        <v/>
      </c>
      <c r="B2302" s="68" t="n">
        <v>201</v>
      </c>
      <c r="C2302" s="68" t="n">
        <v>399</v>
      </c>
      <c r="D2302" s="68" t="inlineStr">
        <is>
          <t>HpRatio</t>
        </is>
      </c>
      <c r="E2302" s="68" t="n">
        <v>0</v>
      </c>
      <c r="F2302" s="68" t="inlineStr">
        <is>
          <t>AtkRatio</t>
        </is>
      </c>
      <c r="G2302" s="68">
        <f>INT(G2301*1.01)</f>
        <v/>
      </c>
      <c r="H2302" s="68" t="inlineStr">
        <is>
          <t>DefRatio</t>
        </is>
      </c>
      <c r="I2302" s="68">
        <f>G2302</f>
        <v/>
      </c>
    </row>
    <row r="2303">
      <c r="A2303" s="68">
        <f>B2303&amp;TEXT(C2303,"0000")</f>
        <v/>
      </c>
      <c r="B2303" s="68" t="n">
        <v>201</v>
      </c>
      <c r="C2303" s="68" t="n">
        <v>400</v>
      </c>
      <c r="D2303" s="68" t="inlineStr">
        <is>
          <t>HpRatio</t>
        </is>
      </c>
      <c r="E2303" s="68" t="n">
        <v>0</v>
      </c>
      <c r="F2303" s="68" t="inlineStr">
        <is>
          <t>AtkRatio</t>
        </is>
      </c>
      <c r="G2303" s="68">
        <f>INT(G2302*1.01)</f>
        <v/>
      </c>
      <c r="H2303" s="68" t="inlineStr">
        <is>
          <t>DefRatio</t>
        </is>
      </c>
      <c r="I2303" s="68">
        <f>G2303</f>
        <v/>
      </c>
    </row>
    <row r="2304">
      <c r="A2304" s="68">
        <f>B2304&amp;TEXT(C2304,"0000")</f>
        <v/>
      </c>
      <c r="B2304" s="68" t="n">
        <v>201</v>
      </c>
      <c r="C2304" s="68" t="n">
        <v>401</v>
      </c>
      <c r="D2304" s="68" t="inlineStr">
        <is>
          <t>HpRatio</t>
        </is>
      </c>
      <c r="E2304" s="68" t="n">
        <v>0</v>
      </c>
      <c r="F2304" s="68" t="inlineStr">
        <is>
          <t>AtkRatio</t>
        </is>
      </c>
      <c r="G2304" s="68">
        <f>INT(G2303*1.01)</f>
        <v/>
      </c>
      <c r="H2304" s="68" t="inlineStr">
        <is>
          <t>DefRatio</t>
        </is>
      </c>
      <c r="I2304" s="68">
        <f>G2304</f>
        <v/>
      </c>
    </row>
    <row r="2305">
      <c r="A2305" s="68">
        <f>B2305&amp;TEXT(C2305,"0000")</f>
        <v/>
      </c>
      <c r="B2305" s="68" t="n">
        <v>201</v>
      </c>
      <c r="C2305" s="68" t="n">
        <v>402</v>
      </c>
      <c r="D2305" s="68" t="inlineStr">
        <is>
          <t>HpRatio</t>
        </is>
      </c>
      <c r="E2305" s="68" t="n">
        <v>0</v>
      </c>
      <c r="F2305" s="68" t="inlineStr">
        <is>
          <t>AtkRatio</t>
        </is>
      </c>
      <c r="G2305" s="68">
        <f>INT(G2304*1.01)</f>
        <v/>
      </c>
      <c r="H2305" s="68" t="inlineStr">
        <is>
          <t>DefRatio</t>
        </is>
      </c>
      <c r="I2305" s="68">
        <f>G2305</f>
        <v/>
      </c>
    </row>
    <row r="2306">
      <c r="A2306" s="68">
        <f>B2306&amp;TEXT(C2306,"0000")</f>
        <v/>
      </c>
      <c r="B2306" s="68" t="n">
        <v>201</v>
      </c>
      <c r="C2306" s="68" t="n">
        <v>403</v>
      </c>
      <c r="D2306" s="68" t="inlineStr">
        <is>
          <t>HpRatio</t>
        </is>
      </c>
      <c r="E2306" s="68" t="n">
        <v>0</v>
      </c>
      <c r="F2306" s="68" t="inlineStr">
        <is>
          <t>AtkRatio</t>
        </is>
      </c>
      <c r="G2306" s="68">
        <f>INT(G2305*1.01)</f>
        <v/>
      </c>
      <c r="H2306" s="68" t="inlineStr">
        <is>
          <t>DefRatio</t>
        </is>
      </c>
      <c r="I2306" s="68">
        <f>G2306</f>
        <v/>
      </c>
    </row>
    <row r="2307">
      <c r="A2307" s="68">
        <f>B2307&amp;TEXT(C2307,"0000")</f>
        <v/>
      </c>
      <c r="B2307" s="68" t="n">
        <v>201</v>
      </c>
      <c r="C2307" s="68" t="n">
        <v>404</v>
      </c>
      <c r="D2307" s="68" t="inlineStr">
        <is>
          <t>HpRatio</t>
        </is>
      </c>
      <c r="E2307" s="68" t="n">
        <v>0</v>
      </c>
      <c r="F2307" s="68" t="inlineStr">
        <is>
          <t>AtkRatio</t>
        </is>
      </c>
      <c r="G2307" s="68">
        <f>INT(G2306*1.01)</f>
        <v/>
      </c>
      <c r="H2307" s="68" t="inlineStr">
        <is>
          <t>DefRatio</t>
        </is>
      </c>
      <c r="I2307" s="68">
        <f>G2307</f>
        <v/>
      </c>
    </row>
    <row r="2308">
      <c r="A2308" s="68">
        <f>B2308&amp;TEXT(C2308,"0000")</f>
        <v/>
      </c>
      <c r="B2308" s="68" t="n">
        <v>201</v>
      </c>
      <c r="C2308" s="68" t="n">
        <v>405</v>
      </c>
      <c r="D2308" s="68" t="inlineStr">
        <is>
          <t>HpRatio</t>
        </is>
      </c>
      <c r="E2308" s="68" t="n">
        <v>0</v>
      </c>
      <c r="F2308" s="68" t="inlineStr">
        <is>
          <t>AtkRatio</t>
        </is>
      </c>
      <c r="G2308" s="68">
        <f>INT(G2307*1.01)</f>
        <v/>
      </c>
      <c r="H2308" s="68" t="inlineStr">
        <is>
          <t>DefRatio</t>
        </is>
      </c>
      <c r="I2308" s="68">
        <f>G2308</f>
        <v/>
      </c>
    </row>
    <row r="2309">
      <c r="A2309" s="68">
        <f>B2309&amp;TEXT(C2309,"0000")</f>
        <v/>
      </c>
      <c r="B2309" s="68" t="n">
        <v>201</v>
      </c>
      <c r="C2309" s="68" t="n">
        <v>406</v>
      </c>
      <c r="D2309" s="68" t="inlineStr">
        <is>
          <t>HpRatio</t>
        </is>
      </c>
      <c r="E2309" s="68" t="n">
        <v>0</v>
      </c>
      <c r="F2309" s="68" t="inlineStr">
        <is>
          <t>AtkRatio</t>
        </is>
      </c>
      <c r="G2309" s="68">
        <f>INT(G2308*1.01)</f>
        <v/>
      </c>
      <c r="H2309" s="68" t="inlineStr">
        <is>
          <t>DefRatio</t>
        </is>
      </c>
      <c r="I2309" s="68">
        <f>G2309</f>
        <v/>
      </c>
    </row>
    <row r="2310">
      <c r="A2310" s="68">
        <f>B2310&amp;TEXT(C2310,"0000")</f>
        <v/>
      </c>
      <c r="B2310" s="68" t="n">
        <v>201</v>
      </c>
      <c r="C2310" s="68" t="n">
        <v>407</v>
      </c>
      <c r="D2310" s="68" t="inlineStr">
        <is>
          <t>HpRatio</t>
        </is>
      </c>
      <c r="E2310" s="68" t="n">
        <v>0</v>
      </c>
      <c r="F2310" s="68" t="inlineStr">
        <is>
          <t>AtkRatio</t>
        </is>
      </c>
      <c r="G2310" s="68">
        <f>INT(G2309*1.01)</f>
        <v/>
      </c>
      <c r="H2310" s="68" t="inlineStr">
        <is>
          <t>DefRatio</t>
        </is>
      </c>
      <c r="I2310" s="68">
        <f>G2310</f>
        <v/>
      </c>
    </row>
    <row r="2311">
      <c r="A2311" s="68">
        <f>B2311&amp;TEXT(C2311,"0000")</f>
        <v/>
      </c>
      <c r="B2311" s="68" t="n">
        <v>201</v>
      </c>
      <c r="C2311" s="68" t="n">
        <v>408</v>
      </c>
      <c r="D2311" s="68" t="inlineStr">
        <is>
          <t>HpRatio</t>
        </is>
      </c>
      <c r="E2311" s="68" t="n">
        <v>0</v>
      </c>
      <c r="F2311" s="68" t="inlineStr">
        <is>
          <t>AtkRatio</t>
        </is>
      </c>
      <c r="G2311" s="68">
        <f>INT(G2310*1.01)</f>
        <v/>
      </c>
      <c r="H2311" s="68" t="inlineStr">
        <is>
          <t>DefRatio</t>
        </is>
      </c>
      <c r="I2311" s="68">
        <f>G2311</f>
        <v/>
      </c>
    </row>
    <row r="2312">
      <c r="A2312" s="68">
        <f>B2312&amp;TEXT(C2312,"0000")</f>
        <v/>
      </c>
      <c r="B2312" s="68" t="n">
        <v>201</v>
      </c>
      <c r="C2312" s="68" t="n">
        <v>409</v>
      </c>
      <c r="D2312" s="68" t="inlineStr">
        <is>
          <t>HpRatio</t>
        </is>
      </c>
      <c r="E2312" s="68" t="n">
        <v>0</v>
      </c>
      <c r="F2312" s="68" t="inlineStr">
        <is>
          <t>AtkRatio</t>
        </is>
      </c>
      <c r="G2312" s="68">
        <f>INT(G2311*1.01)</f>
        <v/>
      </c>
      <c r="H2312" s="68" t="inlineStr">
        <is>
          <t>DefRatio</t>
        </is>
      </c>
      <c r="I2312" s="68">
        <f>G2312</f>
        <v/>
      </c>
    </row>
    <row r="2313">
      <c r="A2313" s="68">
        <f>B2313&amp;TEXT(C2313,"0000")</f>
        <v/>
      </c>
      <c r="B2313" s="68" t="n">
        <v>201</v>
      </c>
      <c r="C2313" s="68" t="n">
        <v>410</v>
      </c>
      <c r="D2313" s="68" t="inlineStr">
        <is>
          <t>HpRatio</t>
        </is>
      </c>
      <c r="E2313" s="68" t="n">
        <v>0</v>
      </c>
      <c r="F2313" s="68" t="inlineStr">
        <is>
          <t>AtkRatio</t>
        </is>
      </c>
      <c r="G2313" s="68">
        <f>INT(G2312*1.01)</f>
        <v/>
      </c>
      <c r="H2313" s="68" t="inlineStr">
        <is>
          <t>DefRatio</t>
        </is>
      </c>
      <c r="I2313" s="68">
        <f>G2313</f>
        <v/>
      </c>
    </row>
    <row r="2314">
      <c r="A2314" s="68">
        <f>B2314&amp;TEXT(C2314,"0000")</f>
        <v/>
      </c>
      <c r="B2314" s="68" t="n">
        <v>201</v>
      </c>
      <c r="C2314" s="68" t="n">
        <v>411</v>
      </c>
      <c r="D2314" s="68" t="inlineStr">
        <is>
          <t>HpRatio</t>
        </is>
      </c>
      <c r="E2314" s="68" t="n">
        <v>0</v>
      </c>
      <c r="F2314" s="68" t="inlineStr">
        <is>
          <t>AtkRatio</t>
        </is>
      </c>
      <c r="G2314" s="68">
        <f>INT(G2313*1.01)</f>
        <v/>
      </c>
      <c r="H2314" s="68" t="inlineStr">
        <is>
          <t>DefRatio</t>
        </is>
      </c>
      <c r="I2314" s="68">
        <f>G2314</f>
        <v/>
      </c>
    </row>
    <row r="2315">
      <c r="A2315" s="68">
        <f>B2315&amp;TEXT(C2315,"0000")</f>
        <v/>
      </c>
      <c r="B2315" s="68" t="n">
        <v>201</v>
      </c>
      <c r="C2315" s="68" t="n">
        <v>412</v>
      </c>
      <c r="D2315" s="68" t="inlineStr">
        <is>
          <t>HpRatio</t>
        </is>
      </c>
      <c r="E2315" s="68" t="n">
        <v>0</v>
      </c>
      <c r="F2315" s="68" t="inlineStr">
        <is>
          <t>AtkRatio</t>
        </is>
      </c>
      <c r="G2315" s="68">
        <f>INT(G2314*1.01)</f>
        <v/>
      </c>
      <c r="H2315" s="68" t="inlineStr">
        <is>
          <t>DefRatio</t>
        </is>
      </c>
      <c r="I2315" s="68">
        <f>G2315</f>
        <v/>
      </c>
    </row>
    <row r="2316">
      <c r="A2316" s="68">
        <f>B2316&amp;TEXT(C2316,"0000")</f>
        <v/>
      </c>
      <c r="B2316" s="68" t="n">
        <v>201</v>
      </c>
      <c r="C2316" s="68" t="n">
        <v>413</v>
      </c>
      <c r="D2316" s="68" t="inlineStr">
        <is>
          <t>HpRatio</t>
        </is>
      </c>
      <c r="E2316" s="68" t="n">
        <v>0</v>
      </c>
      <c r="F2316" s="68" t="inlineStr">
        <is>
          <t>AtkRatio</t>
        </is>
      </c>
      <c r="G2316" s="68">
        <f>INT(G2315*1.01)</f>
        <v/>
      </c>
      <c r="H2316" s="68" t="inlineStr">
        <is>
          <t>DefRatio</t>
        </is>
      </c>
      <c r="I2316" s="68">
        <f>G2316</f>
        <v/>
      </c>
    </row>
    <row r="2317">
      <c r="A2317" s="68">
        <f>B2317&amp;TEXT(C2317,"0000")</f>
        <v/>
      </c>
      <c r="B2317" s="68" t="n">
        <v>201</v>
      </c>
      <c r="C2317" s="68" t="n">
        <v>414</v>
      </c>
      <c r="D2317" s="68" t="inlineStr">
        <is>
          <t>HpRatio</t>
        </is>
      </c>
      <c r="E2317" s="68" t="n">
        <v>0</v>
      </c>
      <c r="F2317" s="68" t="inlineStr">
        <is>
          <t>AtkRatio</t>
        </is>
      </c>
      <c r="G2317" s="68">
        <f>INT(G2316*1.01)</f>
        <v/>
      </c>
      <c r="H2317" s="68" t="inlineStr">
        <is>
          <t>DefRatio</t>
        </is>
      </c>
      <c r="I2317" s="68">
        <f>G2317</f>
        <v/>
      </c>
    </row>
    <row r="2318">
      <c r="A2318" s="68">
        <f>B2318&amp;TEXT(C2318,"0000")</f>
        <v/>
      </c>
      <c r="B2318" s="68" t="n">
        <v>201</v>
      </c>
      <c r="C2318" s="68" t="n">
        <v>415</v>
      </c>
      <c r="D2318" s="68" t="inlineStr">
        <is>
          <t>HpRatio</t>
        </is>
      </c>
      <c r="E2318" s="68" t="n">
        <v>0</v>
      </c>
      <c r="F2318" s="68" t="inlineStr">
        <is>
          <t>AtkRatio</t>
        </is>
      </c>
      <c r="G2318" s="68">
        <f>INT(G2317*1.01)</f>
        <v/>
      </c>
      <c r="H2318" s="68" t="inlineStr">
        <is>
          <t>DefRatio</t>
        </is>
      </c>
      <c r="I2318" s="68">
        <f>G2318</f>
        <v/>
      </c>
    </row>
    <row r="2319">
      <c r="A2319" s="68">
        <f>B2319&amp;TEXT(C2319,"0000")</f>
        <v/>
      </c>
      <c r="B2319" s="68" t="n">
        <v>201</v>
      </c>
      <c r="C2319" s="68" t="n">
        <v>416</v>
      </c>
      <c r="D2319" s="68" t="inlineStr">
        <is>
          <t>HpRatio</t>
        </is>
      </c>
      <c r="E2319" s="68" t="n">
        <v>0</v>
      </c>
      <c r="F2319" s="68" t="inlineStr">
        <is>
          <t>AtkRatio</t>
        </is>
      </c>
      <c r="G2319" s="68">
        <f>INT(G2318*1.01)</f>
        <v/>
      </c>
      <c r="H2319" s="68" t="inlineStr">
        <is>
          <t>DefRatio</t>
        </is>
      </c>
      <c r="I2319" s="68">
        <f>G2319</f>
        <v/>
      </c>
    </row>
    <row r="2320">
      <c r="A2320" s="68">
        <f>B2320&amp;TEXT(C2320,"0000")</f>
        <v/>
      </c>
      <c r="B2320" s="68" t="n">
        <v>201</v>
      </c>
      <c r="C2320" s="68" t="n">
        <v>417</v>
      </c>
      <c r="D2320" s="68" t="inlineStr">
        <is>
          <t>HpRatio</t>
        </is>
      </c>
      <c r="E2320" s="68" t="n">
        <v>0</v>
      </c>
      <c r="F2320" s="68" t="inlineStr">
        <is>
          <t>AtkRatio</t>
        </is>
      </c>
      <c r="G2320" s="68">
        <f>INT(G2319*1.01)</f>
        <v/>
      </c>
      <c r="H2320" s="68" t="inlineStr">
        <is>
          <t>DefRatio</t>
        </is>
      </c>
      <c r="I2320" s="68">
        <f>G2320</f>
        <v/>
      </c>
    </row>
    <row r="2321">
      <c r="A2321" s="68">
        <f>B2321&amp;TEXT(C2321,"0000")</f>
        <v/>
      </c>
      <c r="B2321" s="68" t="n">
        <v>201</v>
      </c>
      <c r="C2321" s="68" t="n">
        <v>418</v>
      </c>
      <c r="D2321" s="68" t="inlineStr">
        <is>
          <t>HpRatio</t>
        </is>
      </c>
      <c r="E2321" s="68" t="n">
        <v>0</v>
      </c>
      <c r="F2321" s="68" t="inlineStr">
        <is>
          <t>AtkRatio</t>
        </is>
      </c>
      <c r="G2321" s="68">
        <f>INT(G2320*1.01)</f>
        <v/>
      </c>
      <c r="H2321" s="68" t="inlineStr">
        <is>
          <t>DefRatio</t>
        </is>
      </c>
      <c r="I2321" s="68">
        <f>G2321</f>
        <v/>
      </c>
    </row>
    <row r="2322">
      <c r="A2322" s="68">
        <f>B2322&amp;TEXT(C2322,"0000")</f>
        <v/>
      </c>
      <c r="B2322" s="68" t="n">
        <v>201</v>
      </c>
      <c r="C2322" s="68" t="n">
        <v>419</v>
      </c>
      <c r="D2322" s="68" t="inlineStr">
        <is>
          <t>HpRatio</t>
        </is>
      </c>
      <c r="E2322" s="68" t="n">
        <v>0</v>
      </c>
      <c r="F2322" s="68" t="inlineStr">
        <is>
          <t>AtkRatio</t>
        </is>
      </c>
      <c r="G2322" s="68">
        <f>INT(G2321*1.01)</f>
        <v/>
      </c>
      <c r="H2322" s="68" t="inlineStr">
        <is>
          <t>DefRatio</t>
        </is>
      </c>
      <c r="I2322" s="68">
        <f>G2322</f>
        <v/>
      </c>
    </row>
    <row r="2323">
      <c r="A2323" s="68">
        <f>B2323&amp;TEXT(C2323,"0000")</f>
        <v/>
      </c>
      <c r="B2323" s="68" t="n">
        <v>201</v>
      </c>
      <c r="C2323" s="68" t="n">
        <v>420</v>
      </c>
      <c r="D2323" s="68" t="inlineStr">
        <is>
          <t>HpRatio</t>
        </is>
      </c>
      <c r="E2323" s="68" t="n">
        <v>0</v>
      </c>
      <c r="F2323" s="68" t="inlineStr">
        <is>
          <t>AtkRatio</t>
        </is>
      </c>
      <c r="G2323" s="68">
        <f>INT(G2322*1.01)</f>
        <v/>
      </c>
      <c r="H2323" s="68" t="inlineStr">
        <is>
          <t>DefRatio</t>
        </is>
      </c>
      <c r="I2323" s="68">
        <f>G2323</f>
        <v/>
      </c>
    </row>
    <row r="2324">
      <c r="A2324" s="68">
        <f>B2324&amp;TEXT(C2324,"0000")</f>
        <v/>
      </c>
      <c r="B2324" s="68" t="n">
        <v>201</v>
      </c>
      <c r="C2324" s="68" t="n">
        <v>421</v>
      </c>
      <c r="D2324" s="68" t="inlineStr">
        <is>
          <t>HpRatio</t>
        </is>
      </c>
      <c r="E2324" s="68" t="n">
        <v>0</v>
      </c>
      <c r="F2324" s="68" t="inlineStr">
        <is>
          <t>AtkRatio</t>
        </is>
      </c>
      <c r="G2324" s="68">
        <f>INT(G2323*1.01)</f>
        <v/>
      </c>
      <c r="H2324" s="68" t="inlineStr">
        <is>
          <t>DefRatio</t>
        </is>
      </c>
      <c r="I2324" s="68">
        <f>G2324</f>
        <v/>
      </c>
    </row>
    <row r="2325">
      <c r="A2325" s="68">
        <f>B2325&amp;TEXT(C2325,"0000")</f>
        <v/>
      </c>
      <c r="B2325" s="68" t="n">
        <v>201</v>
      </c>
      <c r="C2325" s="68" t="n">
        <v>422</v>
      </c>
      <c r="D2325" s="68" t="inlineStr">
        <is>
          <t>HpRatio</t>
        </is>
      </c>
      <c r="E2325" s="68" t="n">
        <v>0</v>
      </c>
      <c r="F2325" s="68" t="inlineStr">
        <is>
          <t>AtkRatio</t>
        </is>
      </c>
      <c r="G2325" s="68">
        <f>INT(G2324*1.01)</f>
        <v/>
      </c>
      <c r="H2325" s="68" t="inlineStr">
        <is>
          <t>DefRatio</t>
        </is>
      </c>
      <c r="I2325" s="68">
        <f>G2325</f>
        <v/>
      </c>
    </row>
    <row r="2326">
      <c r="A2326" s="68">
        <f>B2326&amp;TEXT(C2326,"0000")</f>
        <v/>
      </c>
      <c r="B2326" s="68" t="n">
        <v>201</v>
      </c>
      <c r="C2326" s="68" t="n">
        <v>423</v>
      </c>
      <c r="D2326" s="68" t="inlineStr">
        <is>
          <t>HpRatio</t>
        </is>
      </c>
      <c r="E2326" s="68" t="n">
        <v>0</v>
      </c>
      <c r="F2326" s="68" t="inlineStr">
        <is>
          <t>AtkRatio</t>
        </is>
      </c>
      <c r="G2326" s="68">
        <f>INT(G2325*1.01)</f>
        <v/>
      </c>
      <c r="H2326" s="68" t="inlineStr">
        <is>
          <t>DefRatio</t>
        </is>
      </c>
      <c r="I2326" s="68">
        <f>G2326</f>
        <v/>
      </c>
    </row>
    <row r="2327">
      <c r="A2327" s="68">
        <f>B2327&amp;TEXT(C2327,"0000")</f>
        <v/>
      </c>
      <c r="B2327" s="68" t="n">
        <v>201</v>
      </c>
      <c r="C2327" s="68" t="n">
        <v>424</v>
      </c>
      <c r="D2327" s="68" t="inlineStr">
        <is>
          <t>HpRatio</t>
        </is>
      </c>
      <c r="E2327" s="68" t="n">
        <v>0</v>
      </c>
      <c r="F2327" s="68" t="inlineStr">
        <is>
          <t>AtkRatio</t>
        </is>
      </c>
      <c r="G2327" s="68">
        <f>INT(G2326*1.01)</f>
        <v/>
      </c>
      <c r="H2327" s="68" t="inlineStr">
        <is>
          <t>DefRatio</t>
        </is>
      </c>
      <c r="I2327" s="68">
        <f>G2327</f>
        <v/>
      </c>
    </row>
    <row r="2328">
      <c r="A2328" s="68">
        <f>B2328&amp;TEXT(C2328,"0000")</f>
        <v/>
      </c>
      <c r="B2328" s="68" t="n">
        <v>201</v>
      </c>
      <c r="C2328" s="68" t="n">
        <v>425</v>
      </c>
      <c r="D2328" s="68" t="inlineStr">
        <is>
          <t>HpRatio</t>
        </is>
      </c>
      <c r="E2328" s="68" t="n">
        <v>0</v>
      </c>
      <c r="F2328" s="68" t="inlineStr">
        <is>
          <t>AtkRatio</t>
        </is>
      </c>
      <c r="G2328" s="68">
        <f>INT(G2327*1.01)</f>
        <v/>
      </c>
      <c r="H2328" s="68" t="inlineStr">
        <is>
          <t>DefRatio</t>
        </is>
      </c>
      <c r="I2328" s="68">
        <f>G2328</f>
        <v/>
      </c>
    </row>
    <row r="2329">
      <c r="A2329" s="68">
        <f>B2329&amp;TEXT(C2329,"0000")</f>
        <v/>
      </c>
      <c r="B2329" s="68" t="n">
        <v>201</v>
      </c>
      <c r="C2329" s="68" t="n">
        <v>426</v>
      </c>
      <c r="D2329" s="68" t="inlineStr">
        <is>
          <t>HpRatio</t>
        </is>
      </c>
      <c r="E2329" s="68" t="n">
        <v>0</v>
      </c>
      <c r="F2329" s="68" t="inlineStr">
        <is>
          <t>AtkRatio</t>
        </is>
      </c>
      <c r="G2329" s="68">
        <f>INT(G2328*1.01)</f>
        <v/>
      </c>
      <c r="H2329" s="68" t="inlineStr">
        <is>
          <t>DefRatio</t>
        </is>
      </c>
      <c r="I2329" s="68">
        <f>G2329</f>
        <v/>
      </c>
    </row>
    <row r="2330">
      <c r="A2330" s="68">
        <f>B2330&amp;TEXT(C2330,"0000")</f>
        <v/>
      </c>
      <c r="B2330" s="68" t="n">
        <v>201</v>
      </c>
      <c r="C2330" s="68" t="n">
        <v>427</v>
      </c>
      <c r="D2330" s="68" t="inlineStr">
        <is>
          <t>HpRatio</t>
        </is>
      </c>
      <c r="E2330" s="68" t="n">
        <v>0</v>
      </c>
      <c r="F2330" s="68" t="inlineStr">
        <is>
          <t>AtkRatio</t>
        </is>
      </c>
      <c r="G2330" s="68">
        <f>INT(G2329*1.01)</f>
        <v/>
      </c>
      <c r="H2330" s="68" t="inlineStr">
        <is>
          <t>DefRatio</t>
        </is>
      </c>
      <c r="I2330" s="68">
        <f>G2330</f>
        <v/>
      </c>
    </row>
    <row r="2331">
      <c r="A2331" s="68">
        <f>B2331&amp;TEXT(C2331,"0000")</f>
        <v/>
      </c>
      <c r="B2331" s="68" t="n">
        <v>201</v>
      </c>
      <c r="C2331" s="68" t="n">
        <v>428</v>
      </c>
      <c r="D2331" s="68" t="inlineStr">
        <is>
          <t>HpRatio</t>
        </is>
      </c>
      <c r="E2331" s="68" t="n">
        <v>0</v>
      </c>
      <c r="F2331" s="68" t="inlineStr">
        <is>
          <t>AtkRatio</t>
        </is>
      </c>
      <c r="G2331" s="68">
        <f>INT(G2330*1.01)</f>
        <v/>
      </c>
      <c r="H2331" s="68" t="inlineStr">
        <is>
          <t>DefRatio</t>
        </is>
      </c>
      <c r="I2331" s="68">
        <f>G2331</f>
        <v/>
      </c>
    </row>
    <row r="2332">
      <c r="A2332" s="68">
        <f>B2332&amp;TEXT(C2332,"0000")</f>
        <v/>
      </c>
      <c r="B2332" s="68" t="n">
        <v>201</v>
      </c>
      <c r="C2332" s="68" t="n">
        <v>429</v>
      </c>
      <c r="D2332" s="68" t="inlineStr">
        <is>
          <t>HpRatio</t>
        </is>
      </c>
      <c r="E2332" s="68" t="n">
        <v>0</v>
      </c>
      <c r="F2332" s="68" t="inlineStr">
        <is>
          <t>AtkRatio</t>
        </is>
      </c>
      <c r="G2332" s="68">
        <f>INT(G2331*1.01)</f>
        <v/>
      </c>
      <c r="H2332" s="68" t="inlineStr">
        <is>
          <t>DefRatio</t>
        </is>
      </c>
      <c r="I2332" s="68">
        <f>G2332</f>
        <v/>
      </c>
    </row>
    <row r="2333">
      <c r="A2333" s="68">
        <f>B2333&amp;TEXT(C2333,"0000")</f>
        <v/>
      </c>
      <c r="B2333" s="68" t="n">
        <v>201</v>
      </c>
      <c r="C2333" s="68" t="n">
        <v>430</v>
      </c>
      <c r="D2333" s="68" t="inlineStr">
        <is>
          <t>HpRatio</t>
        </is>
      </c>
      <c r="E2333" s="68" t="n">
        <v>0</v>
      </c>
      <c r="F2333" s="68" t="inlineStr">
        <is>
          <t>AtkRatio</t>
        </is>
      </c>
      <c r="G2333" s="68">
        <f>INT(G2332*1.01)</f>
        <v/>
      </c>
      <c r="H2333" s="68" t="inlineStr">
        <is>
          <t>DefRatio</t>
        </is>
      </c>
      <c r="I2333" s="68">
        <f>G2333</f>
        <v/>
      </c>
    </row>
    <row r="2334">
      <c r="A2334" s="68">
        <f>B2334&amp;TEXT(C2334,"0000")</f>
        <v/>
      </c>
      <c r="B2334" s="68" t="n">
        <v>201</v>
      </c>
      <c r="C2334" s="68" t="n">
        <v>431</v>
      </c>
      <c r="D2334" s="68" t="inlineStr">
        <is>
          <t>HpRatio</t>
        </is>
      </c>
      <c r="E2334" s="68" t="n">
        <v>0</v>
      </c>
      <c r="F2334" s="68" t="inlineStr">
        <is>
          <t>AtkRatio</t>
        </is>
      </c>
      <c r="G2334" s="68">
        <f>INT(G2333*1.01)</f>
        <v/>
      </c>
      <c r="H2334" s="68" t="inlineStr">
        <is>
          <t>DefRatio</t>
        </is>
      </c>
      <c r="I2334" s="68">
        <f>G2334</f>
        <v/>
      </c>
    </row>
    <row r="2335">
      <c r="A2335" s="68">
        <f>B2335&amp;TEXT(C2335,"0000")</f>
        <v/>
      </c>
      <c r="B2335" s="68" t="n">
        <v>201</v>
      </c>
      <c r="C2335" s="68" t="n">
        <v>432</v>
      </c>
      <c r="D2335" s="68" t="inlineStr">
        <is>
          <t>HpRatio</t>
        </is>
      </c>
      <c r="E2335" s="68" t="n">
        <v>0</v>
      </c>
      <c r="F2335" s="68" t="inlineStr">
        <is>
          <t>AtkRatio</t>
        </is>
      </c>
      <c r="G2335" s="68">
        <f>INT(G2334*1.01)</f>
        <v/>
      </c>
      <c r="H2335" s="68" t="inlineStr">
        <is>
          <t>DefRatio</t>
        </is>
      </c>
      <c r="I2335" s="68">
        <f>G2335</f>
        <v/>
      </c>
    </row>
    <row r="2336">
      <c r="A2336" s="68">
        <f>B2336&amp;TEXT(C2336,"0000")</f>
        <v/>
      </c>
      <c r="B2336" s="68" t="n">
        <v>201</v>
      </c>
      <c r="C2336" s="68" t="n">
        <v>433</v>
      </c>
      <c r="D2336" s="68" t="inlineStr">
        <is>
          <t>HpRatio</t>
        </is>
      </c>
      <c r="E2336" s="68" t="n">
        <v>0</v>
      </c>
      <c r="F2336" s="68" t="inlineStr">
        <is>
          <t>AtkRatio</t>
        </is>
      </c>
      <c r="G2336" s="68">
        <f>INT(G2335*1.01)</f>
        <v/>
      </c>
      <c r="H2336" s="68" t="inlineStr">
        <is>
          <t>DefRatio</t>
        </is>
      </c>
      <c r="I2336" s="68">
        <f>G2336</f>
        <v/>
      </c>
    </row>
    <row r="2337">
      <c r="A2337" s="68">
        <f>B2337&amp;TEXT(C2337,"0000")</f>
        <v/>
      </c>
      <c r="B2337" s="68" t="n">
        <v>201</v>
      </c>
      <c r="C2337" s="68" t="n">
        <v>434</v>
      </c>
      <c r="D2337" s="68" t="inlineStr">
        <is>
          <t>HpRatio</t>
        </is>
      </c>
      <c r="E2337" s="68" t="n">
        <v>0</v>
      </c>
      <c r="F2337" s="68" t="inlineStr">
        <is>
          <t>AtkRatio</t>
        </is>
      </c>
      <c r="G2337" s="68">
        <f>INT(G2336*1.01)</f>
        <v/>
      </c>
      <c r="H2337" s="68" t="inlineStr">
        <is>
          <t>DefRatio</t>
        </is>
      </c>
      <c r="I2337" s="68">
        <f>G2337</f>
        <v/>
      </c>
    </row>
    <row r="2338">
      <c r="A2338" s="68">
        <f>B2338&amp;TEXT(C2338,"0000")</f>
        <v/>
      </c>
      <c r="B2338" s="68" t="n">
        <v>201</v>
      </c>
      <c r="C2338" s="68" t="n">
        <v>435</v>
      </c>
      <c r="D2338" s="68" t="inlineStr">
        <is>
          <t>HpRatio</t>
        </is>
      </c>
      <c r="E2338" s="68" t="n">
        <v>0</v>
      </c>
      <c r="F2338" s="68" t="inlineStr">
        <is>
          <t>AtkRatio</t>
        </is>
      </c>
      <c r="G2338" s="68">
        <f>INT(G2337*1.01)</f>
        <v/>
      </c>
      <c r="H2338" s="68" t="inlineStr">
        <is>
          <t>DefRatio</t>
        </is>
      </c>
      <c r="I2338" s="68">
        <f>G2338</f>
        <v/>
      </c>
    </row>
    <row r="2339">
      <c r="A2339" s="68">
        <f>B2339&amp;TEXT(C2339,"0000")</f>
        <v/>
      </c>
      <c r="B2339" s="68" t="n">
        <v>201</v>
      </c>
      <c r="C2339" s="68" t="n">
        <v>436</v>
      </c>
      <c r="D2339" s="68" t="inlineStr">
        <is>
          <t>HpRatio</t>
        </is>
      </c>
      <c r="E2339" s="68" t="n">
        <v>0</v>
      </c>
      <c r="F2339" s="68" t="inlineStr">
        <is>
          <t>AtkRatio</t>
        </is>
      </c>
      <c r="G2339" s="68">
        <f>INT(G2338*1.01)</f>
        <v/>
      </c>
      <c r="H2339" s="68" t="inlineStr">
        <is>
          <t>DefRatio</t>
        </is>
      </c>
      <c r="I2339" s="68">
        <f>G2339</f>
        <v/>
      </c>
    </row>
    <row r="2340">
      <c r="A2340" s="68">
        <f>B2340&amp;TEXT(C2340,"0000")</f>
        <v/>
      </c>
      <c r="B2340" s="68" t="n">
        <v>201</v>
      </c>
      <c r="C2340" s="68" t="n">
        <v>437</v>
      </c>
      <c r="D2340" s="68" t="inlineStr">
        <is>
          <t>HpRatio</t>
        </is>
      </c>
      <c r="E2340" s="68" t="n">
        <v>0</v>
      </c>
      <c r="F2340" s="68" t="inlineStr">
        <is>
          <t>AtkRatio</t>
        </is>
      </c>
      <c r="G2340" s="68">
        <f>INT(G2339*1.01)</f>
        <v/>
      </c>
      <c r="H2340" s="68" t="inlineStr">
        <is>
          <t>DefRatio</t>
        </is>
      </c>
      <c r="I2340" s="68">
        <f>G2340</f>
        <v/>
      </c>
    </row>
    <row r="2341">
      <c r="A2341" s="68">
        <f>B2341&amp;TEXT(C2341,"0000")</f>
        <v/>
      </c>
      <c r="B2341" s="68" t="n">
        <v>201</v>
      </c>
      <c r="C2341" s="68" t="n">
        <v>438</v>
      </c>
      <c r="D2341" s="68" t="inlineStr">
        <is>
          <t>HpRatio</t>
        </is>
      </c>
      <c r="E2341" s="68" t="n">
        <v>0</v>
      </c>
      <c r="F2341" s="68" t="inlineStr">
        <is>
          <t>AtkRatio</t>
        </is>
      </c>
      <c r="G2341" s="68">
        <f>INT(G2340*1.01)</f>
        <v/>
      </c>
      <c r="H2341" s="68" t="inlineStr">
        <is>
          <t>DefRatio</t>
        </is>
      </c>
      <c r="I2341" s="68">
        <f>G2341</f>
        <v/>
      </c>
    </row>
    <row r="2342">
      <c r="A2342" s="68">
        <f>B2342&amp;TEXT(C2342,"0000")</f>
        <v/>
      </c>
      <c r="B2342" s="68" t="n">
        <v>201</v>
      </c>
      <c r="C2342" s="68" t="n">
        <v>439</v>
      </c>
      <c r="D2342" s="68" t="inlineStr">
        <is>
          <t>HpRatio</t>
        </is>
      </c>
      <c r="E2342" s="68" t="n">
        <v>0</v>
      </c>
      <c r="F2342" s="68" t="inlineStr">
        <is>
          <t>AtkRatio</t>
        </is>
      </c>
      <c r="G2342" s="68">
        <f>INT(G2341*1.01)</f>
        <v/>
      </c>
      <c r="H2342" s="68" t="inlineStr">
        <is>
          <t>DefRatio</t>
        </is>
      </c>
      <c r="I2342" s="68">
        <f>G2342</f>
        <v/>
      </c>
    </row>
    <row r="2343">
      <c r="A2343" s="68">
        <f>B2343&amp;TEXT(C2343,"0000")</f>
        <v/>
      </c>
      <c r="B2343" s="68" t="n">
        <v>201</v>
      </c>
      <c r="C2343" s="68" t="n">
        <v>440</v>
      </c>
      <c r="D2343" s="68" t="inlineStr">
        <is>
          <t>HpRatio</t>
        </is>
      </c>
      <c r="E2343" s="68" t="n">
        <v>0</v>
      </c>
      <c r="F2343" s="68" t="inlineStr">
        <is>
          <t>AtkRatio</t>
        </is>
      </c>
      <c r="G2343" s="68">
        <f>INT(G2342*1.01)</f>
        <v/>
      </c>
      <c r="H2343" s="68" t="inlineStr">
        <is>
          <t>DefRatio</t>
        </is>
      </c>
      <c r="I2343" s="68">
        <f>G2343</f>
        <v/>
      </c>
    </row>
    <row r="2344">
      <c r="A2344" s="68">
        <f>B2344&amp;TEXT(C2344,"0000")</f>
        <v/>
      </c>
      <c r="B2344" s="68" t="n">
        <v>201</v>
      </c>
      <c r="C2344" s="68" t="n">
        <v>441</v>
      </c>
      <c r="D2344" s="68" t="inlineStr">
        <is>
          <t>HpRatio</t>
        </is>
      </c>
      <c r="E2344" s="68" t="n">
        <v>0</v>
      </c>
      <c r="F2344" s="68" t="inlineStr">
        <is>
          <t>AtkRatio</t>
        </is>
      </c>
      <c r="G2344" s="68">
        <f>INT(G2343*1.01)</f>
        <v/>
      </c>
      <c r="H2344" s="68" t="inlineStr">
        <is>
          <t>DefRatio</t>
        </is>
      </c>
      <c r="I2344" s="68">
        <f>G2344</f>
        <v/>
      </c>
    </row>
    <row r="2345">
      <c r="A2345" s="68">
        <f>B2345&amp;TEXT(C2345,"0000")</f>
        <v/>
      </c>
      <c r="B2345" s="68" t="n">
        <v>201</v>
      </c>
      <c r="C2345" s="68" t="n">
        <v>442</v>
      </c>
      <c r="D2345" s="68" t="inlineStr">
        <is>
          <t>HpRatio</t>
        </is>
      </c>
      <c r="E2345" s="68" t="n">
        <v>0</v>
      </c>
      <c r="F2345" s="68" t="inlineStr">
        <is>
          <t>AtkRatio</t>
        </is>
      </c>
      <c r="G2345" s="68">
        <f>INT(G2344*1.01)</f>
        <v/>
      </c>
      <c r="H2345" s="68" t="inlineStr">
        <is>
          <t>DefRatio</t>
        </is>
      </c>
      <c r="I2345" s="68">
        <f>G2345</f>
        <v/>
      </c>
    </row>
    <row r="2346">
      <c r="A2346" s="68">
        <f>B2346&amp;TEXT(C2346,"0000")</f>
        <v/>
      </c>
      <c r="B2346" s="68" t="n">
        <v>201</v>
      </c>
      <c r="C2346" s="68" t="n">
        <v>443</v>
      </c>
      <c r="D2346" s="68" t="inlineStr">
        <is>
          <t>HpRatio</t>
        </is>
      </c>
      <c r="E2346" s="68" t="n">
        <v>0</v>
      </c>
      <c r="F2346" s="68" t="inlineStr">
        <is>
          <t>AtkRatio</t>
        </is>
      </c>
      <c r="G2346" s="68">
        <f>INT(G2345*1.01)</f>
        <v/>
      </c>
      <c r="H2346" s="68" t="inlineStr">
        <is>
          <t>DefRatio</t>
        </is>
      </c>
      <c r="I2346" s="68">
        <f>G2346</f>
        <v/>
      </c>
    </row>
    <row r="2347">
      <c r="A2347" s="68">
        <f>B2347&amp;TEXT(C2347,"0000")</f>
        <v/>
      </c>
      <c r="B2347" s="68" t="n">
        <v>201</v>
      </c>
      <c r="C2347" s="68" t="n">
        <v>444</v>
      </c>
      <c r="D2347" s="68" t="inlineStr">
        <is>
          <t>HpRatio</t>
        </is>
      </c>
      <c r="E2347" s="68" t="n">
        <v>0</v>
      </c>
      <c r="F2347" s="68" t="inlineStr">
        <is>
          <t>AtkRatio</t>
        </is>
      </c>
      <c r="G2347" s="68">
        <f>INT(G2346*1.01)</f>
        <v/>
      </c>
      <c r="H2347" s="68" t="inlineStr">
        <is>
          <t>DefRatio</t>
        </is>
      </c>
      <c r="I2347" s="68">
        <f>G2347</f>
        <v/>
      </c>
    </row>
    <row r="2348">
      <c r="A2348" s="68">
        <f>B2348&amp;TEXT(C2348,"0000")</f>
        <v/>
      </c>
      <c r="B2348" s="68" t="n">
        <v>201</v>
      </c>
      <c r="C2348" s="68" t="n">
        <v>445</v>
      </c>
      <c r="D2348" s="68" t="inlineStr">
        <is>
          <t>HpRatio</t>
        </is>
      </c>
      <c r="E2348" s="68" t="n">
        <v>0</v>
      </c>
      <c r="F2348" s="68" t="inlineStr">
        <is>
          <t>AtkRatio</t>
        </is>
      </c>
      <c r="G2348" s="68">
        <f>INT(G2347*1.01)</f>
        <v/>
      </c>
      <c r="H2348" s="68" t="inlineStr">
        <is>
          <t>DefRatio</t>
        </is>
      </c>
      <c r="I2348" s="68">
        <f>G2348</f>
        <v/>
      </c>
    </row>
    <row r="2349">
      <c r="A2349" s="68">
        <f>B2349&amp;TEXT(C2349,"0000")</f>
        <v/>
      </c>
      <c r="B2349" s="68" t="n">
        <v>201</v>
      </c>
      <c r="C2349" s="68" t="n">
        <v>446</v>
      </c>
      <c r="D2349" s="68" t="inlineStr">
        <is>
          <t>HpRatio</t>
        </is>
      </c>
      <c r="E2349" s="68" t="n">
        <v>0</v>
      </c>
      <c r="F2349" s="68" t="inlineStr">
        <is>
          <t>AtkRatio</t>
        </is>
      </c>
      <c r="G2349" s="68">
        <f>INT(G2348*1.01)</f>
        <v/>
      </c>
      <c r="H2349" s="68" t="inlineStr">
        <is>
          <t>DefRatio</t>
        </is>
      </c>
      <c r="I2349" s="68">
        <f>G2349</f>
        <v/>
      </c>
    </row>
    <row r="2350">
      <c r="A2350" s="68">
        <f>B2350&amp;TEXT(C2350,"0000")</f>
        <v/>
      </c>
      <c r="B2350" s="68" t="n">
        <v>201</v>
      </c>
      <c r="C2350" s="68" t="n">
        <v>447</v>
      </c>
      <c r="D2350" s="68" t="inlineStr">
        <is>
          <t>HpRatio</t>
        </is>
      </c>
      <c r="E2350" s="68" t="n">
        <v>0</v>
      </c>
      <c r="F2350" s="68" t="inlineStr">
        <is>
          <t>AtkRatio</t>
        </is>
      </c>
      <c r="G2350" s="68">
        <f>INT(G2349*1.01)</f>
        <v/>
      </c>
      <c r="H2350" s="68" t="inlineStr">
        <is>
          <t>DefRatio</t>
        </is>
      </c>
      <c r="I2350" s="68">
        <f>G2350</f>
        <v/>
      </c>
    </row>
    <row r="2351">
      <c r="A2351" s="68">
        <f>B2351&amp;TEXT(C2351,"0000")</f>
        <v/>
      </c>
      <c r="B2351" s="68" t="n">
        <v>201</v>
      </c>
      <c r="C2351" s="68" t="n">
        <v>448</v>
      </c>
      <c r="D2351" s="68" t="inlineStr">
        <is>
          <t>HpRatio</t>
        </is>
      </c>
      <c r="E2351" s="68" t="n">
        <v>0</v>
      </c>
      <c r="F2351" s="68" t="inlineStr">
        <is>
          <t>AtkRatio</t>
        </is>
      </c>
      <c r="G2351" s="68">
        <f>INT(G2350*1.01)</f>
        <v/>
      </c>
      <c r="H2351" s="68" t="inlineStr">
        <is>
          <t>DefRatio</t>
        </is>
      </c>
      <c r="I2351" s="68">
        <f>G2351</f>
        <v/>
      </c>
    </row>
    <row r="2352">
      <c r="A2352" s="68">
        <f>B2352&amp;TEXT(C2352,"0000")</f>
        <v/>
      </c>
      <c r="B2352" s="68" t="n">
        <v>201</v>
      </c>
      <c r="C2352" s="68" t="n">
        <v>449</v>
      </c>
      <c r="D2352" s="68" t="inlineStr">
        <is>
          <t>HpRatio</t>
        </is>
      </c>
      <c r="E2352" s="68" t="n">
        <v>0</v>
      </c>
      <c r="F2352" s="68" t="inlineStr">
        <is>
          <t>AtkRatio</t>
        </is>
      </c>
      <c r="G2352" s="68">
        <f>INT(G2351*1.01)</f>
        <v/>
      </c>
      <c r="H2352" s="68" t="inlineStr">
        <is>
          <t>DefRatio</t>
        </is>
      </c>
      <c r="I2352" s="68">
        <f>G2352</f>
        <v/>
      </c>
    </row>
    <row r="2353">
      <c r="A2353" s="68">
        <f>B2353&amp;TEXT(C2353,"0000")</f>
        <v/>
      </c>
      <c r="B2353" s="68" t="n">
        <v>201</v>
      </c>
      <c r="C2353" s="68" t="n">
        <v>450</v>
      </c>
      <c r="D2353" s="68" t="inlineStr">
        <is>
          <t>HpRatio</t>
        </is>
      </c>
      <c r="E2353" s="68" t="n">
        <v>0</v>
      </c>
      <c r="F2353" s="68" t="inlineStr">
        <is>
          <t>AtkRatio</t>
        </is>
      </c>
      <c r="G2353" s="68">
        <f>INT(G2352*1.01)</f>
        <v/>
      </c>
      <c r="H2353" s="68" t="inlineStr">
        <is>
          <t>DefRatio</t>
        </is>
      </c>
      <c r="I2353" s="68">
        <f>G2353</f>
        <v/>
      </c>
    </row>
    <row r="2354">
      <c r="A2354" s="68">
        <f>B2354&amp;TEXT(C2354,"0000")</f>
        <v/>
      </c>
      <c r="B2354" s="68" t="n">
        <v>201</v>
      </c>
      <c r="C2354" s="68" t="n">
        <v>451</v>
      </c>
      <c r="D2354" s="68" t="inlineStr">
        <is>
          <t>HpRatio</t>
        </is>
      </c>
      <c r="E2354" s="68" t="n">
        <v>0</v>
      </c>
      <c r="F2354" s="68" t="inlineStr">
        <is>
          <t>AtkRatio</t>
        </is>
      </c>
      <c r="G2354" s="68">
        <f>INT(G2353*1.01)</f>
        <v/>
      </c>
      <c r="H2354" s="68" t="inlineStr">
        <is>
          <t>DefRatio</t>
        </is>
      </c>
      <c r="I2354" s="68">
        <f>G2354</f>
        <v/>
      </c>
    </row>
    <row r="2355">
      <c r="A2355" s="68">
        <f>B2355&amp;TEXT(C2355,"0000")</f>
        <v/>
      </c>
      <c r="B2355" s="68" t="n">
        <v>201</v>
      </c>
      <c r="C2355" s="68" t="n">
        <v>452</v>
      </c>
      <c r="D2355" s="68" t="inlineStr">
        <is>
          <t>HpRatio</t>
        </is>
      </c>
      <c r="E2355" s="68" t="n">
        <v>0</v>
      </c>
      <c r="F2355" s="68" t="inlineStr">
        <is>
          <t>AtkRatio</t>
        </is>
      </c>
      <c r="G2355" s="68">
        <f>INT(G2354*1.01)</f>
        <v/>
      </c>
      <c r="H2355" s="68" t="inlineStr">
        <is>
          <t>DefRatio</t>
        </is>
      </c>
      <c r="I2355" s="68">
        <f>G2355</f>
        <v/>
      </c>
    </row>
    <row r="2356">
      <c r="A2356" s="68">
        <f>B2356&amp;TEXT(C2356,"0000")</f>
        <v/>
      </c>
      <c r="B2356" s="68" t="n">
        <v>201</v>
      </c>
      <c r="C2356" s="68" t="n">
        <v>453</v>
      </c>
      <c r="D2356" s="68" t="inlineStr">
        <is>
          <t>HpRatio</t>
        </is>
      </c>
      <c r="E2356" s="68" t="n">
        <v>0</v>
      </c>
      <c r="F2356" s="68" t="inlineStr">
        <is>
          <t>AtkRatio</t>
        </is>
      </c>
      <c r="G2356" s="68">
        <f>INT(G2355*1.01)</f>
        <v/>
      </c>
      <c r="H2356" s="68" t="inlineStr">
        <is>
          <t>DefRatio</t>
        </is>
      </c>
      <c r="I2356" s="68">
        <f>G2356</f>
        <v/>
      </c>
    </row>
    <row r="2357">
      <c r="A2357" s="68">
        <f>B2357&amp;TEXT(C2357,"0000")</f>
        <v/>
      </c>
      <c r="B2357" s="68" t="n">
        <v>201</v>
      </c>
      <c r="C2357" s="68" t="n">
        <v>454</v>
      </c>
      <c r="D2357" s="68" t="inlineStr">
        <is>
          <t>HpRatio</t>
        </is>
      </c>
      <c r="E2357" s="68" t="n">
        <v>0</v>
      </c>
      <c r="F2357" s="68" t="inlineStr">
        <is>
          <t>AtkRatio</t>
        </is>
      </c>
      <c r="G2357" s="68">
        <f>INT(G2356*1.01)</f>
        <v/>
      </c>
      <c r="H2357" s="68" t="inlineStr">
        <is>
          <t>DefRatio</t>
        </is>
      </c>
      <c r="I2357" s="68">
        <f>G2357</f>
        <v/>
      </c>
    </row>
    <row r="2358">
      <c r="A2358" s="68">
        <f>B2358&amp;TEXT(C2358,"0000")</f>
        <v/>
      </c>
      <c r="B2358" s="68" t="n">
        <v>201</v>
      </c>
      <c r="C2358" s="68" t="n">
        <v>455</v>
      </c>
      <c r="D2358" s="68" t="inlineStr">
        <is>
          <t>HpRatio</t>
        </is>
      </c>
      <c r="E2358" s="68" t="n">
        <v>0</v>
      </c>
      <c r="F2358" s="68" t="inlineStr">
        <is>
          <t>AtkRatio</t>
        </is>
      </c>
      <c r="G2358" s="68">
        <f>INT(G2357*1.01)</f>
        <v/>
      </c>
      <c r="H2358" s="68" t="inlineStr">
        <is>
          <t>DefRatio</t>
        </is>
      </c>
      <c r="I2358" s="68">
        <f>G2358</f>
        <v/>
      </c>
    </row>
    <row r="2359">
      <c r="A2359" s="68">
        <f>B2359&amp;TEXT(C2359,"0000")</f>
        <v/>
      </c>
      <c r="B2359" s="68" t="n">
        <v>201</v>
      </c>
      <c r="C2359" s="68" t="n">
        <v>456</v>
      </c>
      <c r="D2359" s="68" t="inlineStr">
        <is>
          <t>HpRatio</t>
        </is>
      </c>
      <c r="E2359" s="68" t="n">
        <v>0</v>
      </c>
      <c r="F2359" s="68" t="inlineStr">
        <is>
          <t>AtkRatio</t>
        </is>
      </c>
      <c r="G2359" s="68">
        <f>INT(G2358*1.01)</f>
        <v/>
      </c>
      <c r="H2359" s="68" t="inlineStr">
        <is>
          <t>DefRatio</t>
        </is>
      </c>
      <c r="I2359" s="68">
        <f>G2359</f>
        <v/>
      </c>
    </row>
    <row r="2360">
      <c r="A2360" s="68">
        <f>B2360&amp;TEXT(C2360,"0000")</f>
        <v/>
      </c>
      <c r="B2360" s="68" t="n">
        <v>201</v>
      </c>
      <c r="C2360" s="68" t="n">
        <v>457</v>
      </c>
      <c r="D2360" s="68" t="inlineStr">
        <is>
          <t>HpRatio</t>
        </is>
      </c>
      <c r="E2360" s="68" t="n">
        <v>0</v>
      </c>
      <c r="F2360" s="68" t="inlineStr">
        <is>
          <t>AtkRatio</t>
        </is>
      </c>
      <c r="G2360" s="68">
        <f>INT(G2359*1.01)</f>
        <v/>
      </c>
      <c r="H2360" s="68" t="inlineStr">
        <is>
          <t>DefRatio</t>
        </is>
      </c>
      <c r="I2360" s="68">
        <f>G2360</f>
        <v/>
      </c>
    </row>
    <row r="2361">
      <c r="A2361" s="68">
        <f>B2361&amp;TEXT(C2361,"0000")</f>
        <v/>
      </c>
      <c r="B2361" s="68" t="n">
        <v>201</v>
      </c>
      <c r="C2361" s="68" t="n">
        <v>458</v>
      </c>
      <c r="D2361" s="68" t="inlineStr">
        <is>
          <t>HpRatio</t>
        </is>
      </c>
      <c r="E2361" s="68" t="n">
        <v>0</v>
      </c>
      <c r="F2361" s="68" t="inlineStr">
        <is>
          <t>AtkRatio</t>
        </is>
      </c>
      <c r="G2361" s="68">
        <f>INT(G2360*1.01)</f>
        <v/>
      </c>
      <c r="H2361" s="68" t="inlineStr">
        <is>
          <t>DefRatio</t>
        </is>
      </c>
      <c r="I2361" s="68">
        <f>G2361</f>
        <v/>
      </c>
    </row>
    <row r="2362">
      <c r="A2362" s="68">
        <f>B2362&amp;TEXT(C2362,"0000")</f>
        <v/>
      </c>
      <c r="B2362" s="68" t="n">
        <v>201</v>
      </c>
      <c r="C2362" s="68" t="n">
        <v>459</v>
      </c>
      <c r="D2362" s="68" t="inlineStr">
        <is>
          <t>HpRatio</t>
        </is>
      </c>
      <c r="E2362" s="68" t="n">
        <v>0</v>
      </c>
      <c r="F2362" s="68" t="inlineStr">
        <is>
          <t>AtkRatio</t>
        </is>
      </c>
      <c r="G2362" s="68">
        <f>INT(G2361*1.01)</f>
        <v/>
      </c>
      <c r="H2362" s="68" t="inlineStr">
        <is>
          <t>DefRatio</t>
        </is>
      </c>
      <c r="I2362" s="68">
        <f>G2362</f>
        <v/>
      </c>
    </row>
    <row r="2363">
      <c r="A2363" s="68">
        <f>B2363&amp;TEXT(C2363,"0000")</f>
        <v/>
      </c>
      <c r="B2363" s="68" t="n">
        <v>201</v>
      </c>
      <c r="C2363" s="68" t="n">
        <v>460</v>
      </c>
      <c r="D2363" s="68" t="inlineStr">
        <is>
          <t>HpRatio</t>
        </is>
      </c>
      <c r="E2363" s="68" t="n">
        <v>0</v>
      </c>
      <c r="F2363" s="68" t="inlineStr">
        <is>
          <t>AtkRatio</t>
        </is>
      </c>
      <c r="G2363" s="68">
        <f>INT(G2362*1.01)</f>
        <v/>
      </c>
      <c r="H2363" s="68" t="inlineStr">
        <is>
          <t>DefRatio</t>
        </is>
      </c>
      <c r="I2363" s="68">
        <f>G2363</f>
        <v/>
      </c>
    </row>
    <row r="2364">
      <c r="A2364" s="68">
        <f>B2364&amp;TEXT(C2364,"0000")</f>
        <v/>
      </c>
      <c r="B2364" s="68" t="n">
        <v>201</v>
      </c>
      <c r="C2364" s="68" t="n">
        <v>461</v>
      </c>
      <c r="D2364" s="68" t="inlineStr">
        <is>
          <t>HpRatio</t>
        </is>
      </c>
      <c r="E2364" s="68" t="n">
        <v>0</v>
      </c>
      <c r="F2364" s="68" t="inlineStr">
        <is>
          <t>AtkRatio</t>
        </is>
      </c>
      <c r="G2364" s="68">
        <f>INT(G2363*1.01)</f>
        <v/>
      </c>
      <c r="H2364" s="68" t="inlineStr">
        <is>
          <t>DefRatio</t>
        </is>
      </c>
      <c r="I2364" s="68">
        <f>G2364</f>
        <v/>
      </c>
    </row>
    <row r="2365">
      <c r="A2365" s="68">
        <f>B2365&amp;TEXT(C2365,"0000")</f>
        <v/>
      </c>
      <c r="B2365" s="68" t="n">
        <v>201</v>
      </c>
      <c r="C2365" s="68" t="n">
        <v>462</v>
      </c>
      <c r="D2365" s="68" t="inlineStr">
        <is>
          <t>HpRatio</t>
        </is>
      </c>
      <c r="E2365" s="68" t="n">
        <v>0</v>
      </c>
      <c r="F2365" s="68" t="inlineStr">
        <is>
          <t>AtkRatio</t>
        </is>
      </c>
      <c r="G2365" s="68">
        <f>INT(G2364*1.01)</f>
        <v/>
      </c>
      <c r="H2365" s="68" t="inlineStr">
        <is>
          <t>DefRatio</t>
        </is>
      </c>
      <c r="I2365" s="68">
        <f>G2365</f>
        <v/>
      </c>
    </row>
    <row r="2366">
      <c r="A2366" s="68">
        <f>B2366&amp;TEXT(C2366,"0000")</f>
        <v/>
      </c>
      <c r="B2366" s="68" t="n">
        <v>201</v>
      </c>
      <c r="C2366" s="68" t="n">
        <v>463</v>
      </c>
      <c r="D2366" s="68" t="inlineStr">
        <is>
          <t>HpRatio</t>
        </is>
      </c>
      <c r="E2366" s="68" t="n">
        <v>0</v>
      </c>
      <c r="F2366" s="68" t="inlineStr">
        <is>
          <t>AtkRatio</t>
        </is>
      </c>
      <c r="G2366" s="68">
        <f>INT(G2365*1.01)</f>
        <v/>
      </c>
      <c r="H2366" s="68" t="inlineStr">
        <is>
          <t>DefRatio</t>
        </is>
      </c>
      <c r="I2366" s="68">
        <f>G2366</f>
        <v/>
      </c>
    </row>
    <row r="2367">
      <c r="A2367" s="68">
        <f>B2367&amp;TEXT(C2367,"0000")</f>
        <v/>
      </c>
      <c r="B2367" s="68" t="n">
        <v>201</v>
      </c>
      <c r="C2367" s="68" t="n">
        <v>464</v>
      </c>
      <c r="D2367" s="68" t="inlineStr">
        <is>
          <t>HpRatio</t>
        </is>
      </c>
      <c r="E2367" s="68" t="n">
        <v>0</v>
      </c>
      <c r="F2367" s="68" t="inlineStr">
        <is>
          <t>AtkRatio</t>
        </is>
      </c>
      <c r="G2367" s="68">
        <f>INT(G2366*1.01)</f>
        <v/>
      </c>
      <c r="H2367" s="68" t="inlineStr">
        <is>
          <t>DefRatio</t>
        </is>
      </c>
      <c r="I2367" s="68">
        <f>G2367</f>
        <v/>
      </c>
    </row>
    <row r="2368">
      <c r="A2368" s="68">
        <f>B2368&amp;TEXT(C2368,"0000")</f>
        <v/>
      </c>
      <c r="B2368" s="68" t="n">
        <v>201</v>
      </c>
      <c r="C2368" s="68" t="n">
        <v>465</v>
      </c>
      <c r="D2368" s="68" t="inlineStr">
        <is>
          <t>HpRatio</t>
        </is>
      </c>
      <c r="E2368" s="68" t="n">
        <v>0</v>
      </c>
      <c r="F2368" s="68" t="inlineStr">
        <is>
          <t>AtkRatio</t>
        </is>
      </c>
      <c r="G2368" s="68">
        <f>INT(G2367*1.01)</f>
        <v/>
      </c>
      <c r="H2368" s="68" t="inlineStr">
        <is>
          <t>DefRatio</t>
        </is>
      </c>
      <c r="I2368" s="68">
        <f>G2368</f>
        <v/>
      </c>
    </row>
    <row r="2369">
      <c r="A2369" s="68">
        <f>B2369&amp;TEXT(C2369,"0000")</f>
        <v/>
      </c>
      <c r="B2369" s="68" t="n">
        <v>201</v>
      </c>
      <c r="C2369" s="68" t="n">
        <v>466</v>
      </c>
      <c r="D2369" s="68" t="inlineStr">
        <is>
          <t>HpRatio</t>
        </is>
      </c>
      <c r="E2369" s="68" t="n">
        <v>0</v>
      </c>
      <c r="F2369" s="68" t="inlineStr">
        <is>
          <t>AtkRatio</t>
        </is>
      </c>
      <c r="G2369" s="68">
        <f>INT(G2368*1.01)</f>
        <v/>
      </c>
      <c r="H2369" s="68" t="inlineStr">
        <is>
          <t>DefRatio</t>
        </is>
      </c>
      <c r="I2369" s="68">
        <f>G2369</f>
        <v/>
      </c>
    </row>
    <row r="2370">
      <c r="A2370" s="68">
        <f>B2370&amp;TEXT(C2370,"0000")</f>
        <v/>
      </c>
      <c r="B2370" s="68" t="n">
        <v>201</v>
      </c>
      <c r="C2370" s="68" t="n">
        <v>467</v>
      </c>
      <c r="D2370" s="68" t="inlineStr">
        <is>
          <t>HpRatio</t>
        </is>
      </c>
      <c r="E2370" s="68" t="n">
        <v>0</v>
      </c>
      <c r="F2370" s="68" t="inlineStr">
        <is>
          <t>AtkRatio</t>
        </is>
      </c>
      <c r="G2370" s="68">
        <f>INT(G2369*1.01)</f>
        <v/>
      </c>
      <c r="H2370" s="68" t="inlineStr">
        <is>
          <t>DefRatio</t>
        </is>
      </c>
      <c r="I2370" s="68">
        <f>G2370</f>
        <v/>
      </c>
    </row>
    <row r="2371">
      <c r="A2371" s="68">
        <f>B2371&amp;TEXT(C2371,"0000")</f>
        <v/>
      </c>
      <c r="B2371" s="68" t="n">
        <v>201</v>
      </c>
      <c r="C2371" s="68" t="n">
        <v>468</v>
      </c>
      <c r="D2371" s="68" t="inlineStr">
        <is>
          <t>HpRatio</t>
        </is>
      </c>
      <c r="E2371" s="68" t="n">
        <v>0</v>
      </c>
      <c r="F2371" s="68" t="inlineStr">
        <is>
          <t>AtkRatio</t>
        </is>
      </c>
      <c r="G2371" s="68">
        <f>INT(G2370*1.01)</f>
        <v/>
      </c>
      <c r="H2371" s="68" t="inlineStr">
        <is>
          <t>DefRatio</t>
        </is>
      </c>
      <c r="I2371" s="68">
        <f>G2371</f>
        <v/>
      </c>
    </row>
    <row r="2372">
      <c r="A2372" s="68">
        <f>B2372&amp;TEXT(C2372,"0000")</f>
        <v/>
      </c>
      <c r="B2372" s="68" t="n">
        <v>201</v>
      </c>
      <c r="C2372" s="68" t="n">
        <v>469</v>
      </c>
      <c r="D2372" s="68" t="inlineStr">
        <is>
          <t>HpRatio</t>
        </is>
      </c>
      <c r="E2372" s="68" t="n">
        <v>0</v>
      </c>
      <c r="F2372" s="68" t="inlineStr">
        <is>
          <t>AtkRatio</t>
        </is>
      </c>
      <c r="G2372" s="68">
        <f>INT(G2371*1.01)</f>
        <v/>
      </c>
      <c r="H2372" s="68" t="inlineStr">
        <is>
          <t>DefRatio</t>
        </is>
      </c>
      <c r="I2372" s="68">
        <f>G2372</f>
        <v/>
      </c>
    </row>
    <row r="2373">
      <c r="A2373" s="68">
        <f>B2373&amp;TEXT(C2373,"0000")</f>
        <v/>
      </c>
      <c r="B2373" s="68" t="n">
        <v>201</v>
      </c>
      <c r="C2373" s="68" t="n">
        <v>470</v>
      </c>
      <c r="D2373" s="68" t="inlineStr">
        <is>
          <t>HpRatio</t>
        </is>
      </c>
      <c r="E2373" s="68" t="n">
        <v>0</v>
      </c>
      <c r="F2373" s="68" t="inlineStr">
        <is>
          <t>AtkRatio</t>
        </is>
      </c>
      <c r="G2373" s="68">
        <f>INT(G2372*1.01)</f>
        <v/>
      </c>
      <c r="H2373" s="68" t="inlineStr">
        <is>
          <t>DefRatio</t>
        </is>
      </c>
      <c r="I2373" s="68">
        <f>G2373</f>
        <v/>
      </c>
    </row>
    <row r="2374">
      <c r="A2374" s="68">
        <f>B2374&amp;TEXT(C2374,"0000")</f>
        <v/>
      </c>
      <c r="B2374" s="68" t="n">
        <v>201</v>
      </c>
      <c r="C2374" s="68" t="n">
        <v>471</v>
      </c>
      <c r="D2374" s="68" t="inlineStr">
        <is>
          <t>HpRatio</t>
        </is>
      </c>
      <c r="E2374" s="68" t="n">
        <v>0</v>
      </c>
      <c r="F2374" s="68" t="inlineStr">
        <is>
          <t>AtkRatio</t>
        </is>
      </c>
      <c r="G2374" s="68">
        <f>INT(G2373*1.01)</f>
        <v/>
      </c>
      <c r="H2374" s="68" t="inlineStr">
        <is>
          <t>DefRatio</t>
        </is>
      </c>
      <c r="I2374" s="68">
        <f>G2374</f>
        <v/>
      </c>
    </row>
    <row r="2375">
      <c r="A2375" s="68">
        <f>B2375&amp;TEXT(C2375,"0000")</f>
        <v/>
      </c>
      <c r="B2375" s="68" t="n">
        <v>201</v>
      </c>
      <c r="C2375" s="68" t="n">
        <v>472</v>
      </c>
      <c r="D2375" s="68" t="inlineStr">
        <is>
          <t>HpRatio</t>
        </is>
      </c>
      <c r="E2375" s="68" t="n">
        <v>0</v>
      </c>
      <c r="F2375" s="68" t="inlineStr">
        <is>
          <t>AtkRatio</t>
        </is>
      </c>
      <c r="G2375" s="68">
        <f>INT(G2374*1.01)</f>
        <v/>
      </c>
      <c r="H2375" s="68" t="inlineStr">
        <is>
          <t>DefRatio</t>
        </is>
      </c>
      <c r="I2375" s="68">
        <f>G2375</f>
        <v/>
      </c>
    </row>
    <row r="2376">
      <c r="A2376" s="68">
        <f>B2376&amp;TEXT(C2376,"0000")</f>
        <v/>
      </c>
      <c r="B2376" s="68" t="n">
        <v>201</v>
      </c>
      <c r="C2376" s="68" t="n">
        <v>473</v>
      </c>
      <c r="D2376" s="68" t="inlineStr">
        <is>
          <t>HpRatio</t>
        </is>
      </c>
      <c r="E2376" s="68" t="n">
        <v>0</v>
      </c>
      <c r="F2376" s="68" t="inlineStr">
        <is>
          <t>AtkRatio</t>
        </is>
      </c>
      <c r="G2376" s="68">
        <f>INT(G2375*1.01)</f>
        <v/>
      </c>
      <c r="H2376" s="68" t="inlineStr">
        <is>
          <t>DefRatio</t>
        </is>
      </c>
      <c r="I2376" s="68">
        <f>G2376</f>
        <v/>
      </c>
    </row>
    <row r="2377">
      <c r="A2377" s="68">
        <f>B2377&amp;TEXT(C2377,"0000")</f>
        <v/>
      </c>
      <c r="B2377" s="68" t="n">
        <v>201</v>
      </c>
      <c r="C2377" s="68" t="n">
        <v>474</v>
      </c>
      <c r="D2377" s="68" t="inlineStr">
        <is>
          <t>HpRatio</t>
        </is>
      </c>
      <c r="E2377" s="68" t="n">
        <v>0</v>
      </c>
      <c r="F2377" s="68" t="inlineStr">
        <is>
          <t>AtkRatio</t>
        </is>
      </c>
      <c r="G2377" s="68">
        <f>INT(G2376*1.01)</f>
        <v/>
      </c>
      <c r="H2377" s="68" t="inlineStr">
        <is>
          <t>DefRatio</t>
        </is>
      </c>
      <c r="I2377" s="68">
        <f>G2377</f>
        <v/>
      </c>
    </row>
    <row r="2378">
      <c r="A2378" s="68">
        <f>B2378&amp;TEXT(C2378,"0000")</f>
        <v/>
      </c>
      <c r="B2378" s="68" t="n">
        <v>201</v>
      </c>
      <c r="C2378" s="68" t="n">
        <v>475</v>
      </c>
      <c r="D2378" s="68" t="inlineStr">
        <is>
          <t>HpRatio</t>
        </is>
      </c>
      <c r="E2378" s="68" t="n">
        <v>0</v>
      </c>
      <c r="F2378" s="68" t="inlineStr">
        <is>
          <t>AtkRatio</t>
        </is>
      </c>
      <c r="G2378" s="68">
        <f>INT(G2377*1.01)</f>
        <v/>
      </c>
      <c r="H2378" s="68" t="inlineStr">
        <is>
          <t>DefRatio</t>
        </is>
      </c>
      <c r="I2378" s="68">
        <f>G2378</f>
        <v/>
      </c>
    </row>
    <row r="2379">
      <c r="A2379" s="68">
        <f>B2379&amp;TEXT(C2379,"0000")</f>
        <v/>
      </c>
      <c r="B2379" s="68" t="n">
        <v>201</v>
      </c>
      <c r="C2379" s="68" t="n">
        <v>476</v>
      </c>
      <c r="D2379" s="68" t="inlineStr">
        <is>
          <t>HpRatio</t>
        </is>
      </c>
      <c r="E2379" s="68" t="n">
        <v>0</v>
      </c>
      <c r="F2379" s="68" t="inlineStr">
        <is>
          <t>AtkRatio</t>
        </is>
      </c>
      <c r="G2379" s="68">
        <f>INT(G2378*1.01)</f>
        <v/>
      </c>
      <c r="H2379" s="68" t="inlineStr">
        <is>
          <t>DefRatio</t>
        </is>
      </c>
      <c r="I2379" s="68">
        <f>G2379</f>
        <v/>
      </c>
    </row>
    <row r="2380">
      <c r="A2380" s="68">
        <f>B2380&amp;TEXT(C2380,"0000")</f>
        <v/>
      </c>
      <c r="B2380" s="68" t="n">
        <v>201</v>
      </c>
      <c r="C2380" s="68" t="n">
        <v>477</v>
      </c>
      <c r="D2380" s="68" t="inlineStr">
        <is>
          <t>HpRatio</t>
        </is>
      </c>
      <c r="E2380" s="68" t="n">
        <v>0</v>
      </c>
      <c r="F2380" s="68" t="inlineStr">
        <is>
          <t>AtkRatio</t>
        </is>
      </c>
      <c r="G2380" s="68">
        <f>INT(G2379*1.01)</f>
        <v/>
      </c>
      <c r="H2380" s="68" t="inlineStr">
        <is>
          <t>DefRatio</t>
        </is>
      </c>
      <c r="I2380" s="68">
        <f>G2380</f>
        <v/>
      </c>
    </row>
    <row r="2381">
      <c r="A2381" s="68">
        <f>B2381&amp;TEXT(C2381,"0000")</f>
        <v/>
      </c>
      <c r="B2381" s="68" t="n">
        <v>201</v>
      </c>
      <c r="C2381" s="68" t="n">
        <v>478</v>
      </c>
      <c r="D2381" s="68" t="inlineStr">
        <is>
          <t>HpRatio</t>
        </is>
      </c>
      <c r="E2381" s="68" t="n">
        <v>0</v>
      </c>
      <c r="F2381" s="68" t="inlineStr">
        <is>
          <t>AtkRatio</t>
        </is>
      </c>
      <c r="G2381" s="68">
        <f>INT(G2380*1.01)</f>
        <v/>
      </c>
      <c r="H2381" s="68" t="inlineStr">
        <is>
          <t>DefRatio</t>
        </is>
      </c>
      <c r="I2381" s="68">
        <f>G2381</f>
        <v/>
      </c>
    </row>
    <row r="2382">
      <c r="A2382" s="68">
        <f>B2382&amp;TEXT(C2382,"0000")</f>
        <v/>
      </c>
      <c r="B2382" s="68" t="n">
        <v>201</v>
      </c>
      <c r="C2382" s="68" t="n">
        <v>479</v>
      </c>
      <c r="D2382" s="68" t="inlineStr">
        <is>
          <t>HpRatio</t>
        </is>
      </c>
      <c r="E2382" s="68" t="n">
        <v>0</v>
      </c>
      <c r="F2382" s="68" t="inlineStr">
        <is>
          <t>AtkRatio</t>
        </is>
      </c>
      <c r="G2382" s="68">
        <f>INT(G2381*1.01)</f>
        <v/>
      </c>
      <c r="H2382" s="68" t="inlineStr">
        <is>
          <t>DefRatio</t>
        </is>
      </c>
      <c r="I2382" s="68">
        <f>G2382</f>
        <v/>
      </c>
    </row>
    <row r="2383">
      <c r="A2383" s="68">
        <f>B2383&amp;TEXT(C2383,"0000")</f>
        <v/>
      </c>
      <c r="B2383" s="68" t="n">
        <v>201</v>
      </c>
      <c r="C2383" s="68" t="n">
        <v>480</v>
      </c>
      <c r="D2383" s="68" t="inlineStr">
        <is>
          <t>HpRatio</t>
        </is>
      </c>
      <c r="E2383" s="68" t="n">
        <v>0</v>
      </c>
      <c r="F2383" s="68" t="inlineStr">
        <is>
          <t>AtkRatio</t>
        </is>
      </c>
      <c r="G2383" s="68">
        <f>INT(G2382*1.01)</f>
        <v/>
      </c>
      <c r="H2383" s="68" t="inlineStr">
        <is>
          <t>DefRatio</t>
        </is>
      </c>
      <c r="I2383" s="68">
        <f>G2383</f>
        <v/>
      </c>
    </row>
    <row r="2384">
      <c r="A2384" s="68">
        <f>B2384&amp;TEXT(C2384,"0000")</f>
        <v/>
      </c>
      <c r="B2384" s="68" t="n">
        <v>201</v>
      </c>
      <c r="C2384" s="68" t="n">
        <v>481</v>
      </c>
      <c r="D2384" s="68" t="inlineStr">
        <is>
          <t>HpRatio</t>
        </is>
      </c>
      <c r="E2384" s="68" t="n">
        <v>0</v>
      </c>
      <c r="F2384" s="68" t="inlineStr">
        <is>
          <t>AtkRatio</t>
        </is>
      </c>
      <c r="G2384" s="68">
        <f>INT(G2383*1.01)</f>
        <v/>
      </c>
      <c r="H2384" s="68" t="inlineStr">
        <is>
          <t>DefRatio</t>
        </is>
      </c>
      <c r="I2384" s="68">
        <f>G2384</f>
        <v/>
      </c>
    </row>
    <row r="2385">
      <c r="A2385" s="68">
        <f>B2385&amp;TEXT(C2385,"0000")</f>
        <v/>
      </c>
      <c r="B2385" s="68" t="n">
        <v>201</v>
      </c>
      <c r="C2385" s="68" t="n">
        <v>482</v>
      </c>
      <c r="D2385" s="68" t="inlineStr">
        <is>
          <t>HpRatio</t>
        </is>
      </c>
      <c r="E2385" s="68" t="n">
        <v>0</v>
      </c>
      <c r="F2385" s="68" t="inlineStr">
        <is>
          <t>AtkRatio</t>
        </is>
      </c>
      <c r="G2385" s="68">
        <f>INT(G2384*1.01)</f>
        <v/>
      </c>
      <c r="H2385" s="68" t="inlineStr">
        <is>
          <t>DefRatio</t>
        </is>
      </c>
      <c r="I2385" s="68">
        <f>G2385</f>
        <v/>
      </c>
    </row>
    <row r="2386">
      <c r="A2386" s="68">
        <f>B2386&amp;TEXT(C2386,"0000")</f>
        <v/>
      </c>
      <c r="B2386" s="68" t="n">
        <v>201</v>
      </c>
      <c r="C2386" s="68" t="n">
        <v>483</v>
      </c>
      <c r="D2386" s="68" t="inlineStr">
        <is>
          <t>HpRatio</t>
        </is>
      </c>
      <c r="E2386" s="68" t="n">
        <v>0</v>
      </c>
      <c r="F2386" s="68" t="inlineStr">
        <is>
          <t>AtkRatio</t>
        </is>
      </c>
      <c r="G2386" s="68">
        <f>INT(G2385*1.01)</f>
        <v/>
      </c>
      <c r="H2386" s="68" t="inlineStr">
        <is>
          <t>DefRatio</t>
        </is>
      </c>
      <c r="I2386" s="68">
        <f>G2386</f>
        <v/>
      </c>
    </row>
    <row r="2387">
      <c r="A2387" s="68">
        <f>B2387&amp;TEXT(C2387,"0000")</f>
        <v/>
      </c>
      <c r="B2387" s="68" t="n">
        <v>201</v>
      </c>
      <c r="C2387" s="68" t="n">
        <v>484</v>
      </c>
      <c r="D2387" s="68" t="inlineStr">
        <is>
          <t>HpRatio</t>
        </is>
      </c>
      <c r="E2387" s="68" t="n">
        <v>0</v>
      </c>
      <c r="F2387" s="68" t="inlineStr">
        <is>
          <t>AtkRatio</t>
        </is>
      </c>
      <c r="G2387" s="68">
        <f>INT(G2386*1.01)</f>
        <v/>
      </c>
      <c r="H2387" s="68" t="inlineStr">
        <is>
          <t>DefRatio</t>
        </is>
      </c>
      <c r="I2387" s="68">
        <f>G2387</f>
        <v/>
      </c>
    </row>
    <row r="2388">
      <c r="A2388" s="68">
        <f>B2388&amp;TEXT(C2388,"0000")</f>
        <v/>
      </c>
      <c r="B2388" s="68" t="n">
        <v>201</v>
      </c>
      <c r="C2388" s="68" t="n">
        <v>485</v>
      </c>
      <c r="D2388" s="68" t="inlineStr">
        <is>
          <t>HpRatio</t>
        </is>
      </c>
      <c r="E2388" s="68" t="n">
        <v>0</v>
      </c>
      <c r="F2388" s="68" t="inlineStr">
        <is>
          <t>AtkRatio</t>
        </is>
      </c>
      <c r="G2388" s="68">
        <f>INT(G2387*1.01)</f>
        <v/>
      </c>
      <c r="H2388" s="68" t="inlineStr">
        <is>
          <t>DefRatio</t>
        </is>
      </c>
      <c r="I2388" s="68">
        <f>G2388</f>
        <v/>
      </c>
    </row>
    <row r="2389">
      <c r="A2389" s="68">
        <f>B2389&amp;TEXT(C2389,"0000")</f>
        <v/>
      </c>
      <c r="B2389" s="68" t="n">
        <v>201</v>
      </c>
      <c r="C2389" s="68" t="n">
        <v>486</v>
      </c>
      <c r="D2389" s="68" t="inlineStr">
        <is>
          <t>HpRatio</t>
        </is>
      </c>
      <c r="E2389" s="68" t="n">
        <v>0</v>
      </c>
      <c r="F2389" s="68" t="inlineStr">
        <is>
          <t>AtkRatio</t>
        </is>
      </c>
      <c r="G2389" s="68">
        <f>INT(G2388*1.01)</f>
        <v/>
      </c>
      <c r="H2389" s="68" t="inlineStr">
        <is>
          <t>DefRatio</t>
        </is>
      </c>
      <c r="I2389" s="68">
        <f>G2389</f>
        <v/>
      </c>
    </row>
    <row r="2390">
      <c r="A2390" s="68">
        <f>B2390&amp;TEXT(C2390,"0000")</f>
        <v/>
      </c>
      <c r="B2390" s="68" t="n">
        <v>201</v>
      </c>
      <c r="C2390" s="68" t="n">
        <v>487</v>
      </c>
      <c r="D2390" s="68" t="inlineStr">
        <is>
          <t>HpRatio</t>
        </is>
      </c>
      <c r="E2390" s="68" t="n">
        <v>0</v>
      </c>
      <c r="F2390" s="68" t="inlineStr">
        <is>
          <t>AtkRatio</t>
        </is>
      </c>
      <c r="G2390" s="68">
        <f>INT(G2389*1.01)</f>
        <v/>
      </c>
      <c r="H2390" s="68" t="inlineStr">
        <is>
          <t>DefRatio</t>
        </is>
      </c>
      <c r="I2390" s="68">
        <f>G2390</f>
        <v/>
      </c>
    </row>
    <row r="2391">
      <c r="A2391" s="68">
        <f>B2391&amp;TEXT(C2391,"0000")</f>
        <v/>
      </c>
      <c r="B2391" s="68" t="n">
        <v>201</v>
      </c>
      <c r="C2391" s="68" t="n">
        <v>488</v>
      </c>
      <c r="D2391" s="68" t="inlineStr">
        <is>
          <t>HpRatio</t>
        </is>
      </c>
      <c r="E2391" s="68" t="n">
        <v>0</v>
      </c>
      <c r="F2391" s="68" t="inlineStr">
        <is>
          <t>AtkRatio</t>
        </is>
      </c>
      <c r="G2391" s="68">
        <f>INT(G2390*1.01)</f>
        <v/>
      </c>
      <c r="H2391" s="68" t="inlineStr">
        <is>
          <t>DefRatio</t>
        </is>
      </c>
      <c r="I2391" s="68">
        <f>G2391</f>
        <v/>
      </c>
    </row>
    <row r="2392">
      <c r="A2392" s="68">
        <f>B2392&amp;TEXT(C2392,"0000")</f>
        <v/>
      </c>
      <c r="B2392" s="68" t="n">
        <v>201</v>
      </c>
      <c r="C2392" s="68" t="n">
        <v>489</v>
      </c>
      <c r="D2392" s="68" t="inlineStr">
        <is>
          <t>HpRatio</t>
        </is>
      </c>
      <c r="E2392" s="68" t="n">
        <v>0</v>
      </c>
      <c r="F2392" s="68" t="inlineStr">
        <is>
          <t>AtkRatio</t>
        </is>
      </c>
      <c r="G2392" s="68">
        <f>INT(G2391*1.01)</f>
        <v/>
      </c>
      <c r="H2392" s="68" t="inlineStr">
        <is>
          <t>DefRatio</t>
        </is>
      </c>
      <c r="I2392" s="68">
        <f>G2392</f>
        <v/>
      </c>
    </row>
    <row r="2393">
      <c r="A2393" s="68">
        <f>B2393&amp;TEXT(C2393,"0000")</f>
        <v/>
      </c>
      <c r="B2393" s="68" t="n">
        <v>201</v>
      </c>
      <c r="C2393" s="68" t="n">
        <v>490</v>
      </c>
      <c r="D2393" s="68" t="inlineStr">
        <is>
          <t>HpRatio</t>
        </is>
      </c>
      <c r="E2393" s="68" t="n">
        <v>0</v>
      </c>
      <c r="F2393" s="68" t="inlineStr">
        <is>
          <t>AtkRatio</t>
        </is>
      </c>
      <c r="G2393" s="68">
        <f>INT(G2392*1.01)</f>
        <v/>
      </c>
      <c r="H2393" s="68" t="inlineStr">
        <is>
          <t>DefRatio</t>
        </is>
      </c>
      <c r="I2393" s="68">
        <f>G2393</f>
        <v/>
      </c>
    </row>
    <row r="2394">
      <c r="A2394" s="68">
        <f>B2394&amp;TEXT(C2394,"0000")</f>
        <v/>
      </c>
      <c r="B2394" s="68" t="n">
        <v>201</v>
      </c>
      <c r="C2394" s="68" t="n">
        <v>491</v>
      </c>
      <c r="D2394" s="68" t="inlineStr">
        <is>
          <t>HpRatio</t>
        </is>
      </c>
      <c r="E2394" s="68" t="n">
        <v>0</v>
      </c>
      <c r="F2394" s="68" t="inlineStr">
        <is>
          <t>AtkRatio</t>
        </is>
      </c>
      <c r="G2394" s="68">
        <f>INT(G2393*1.01)</f>
        <v/>
      </c>
      <c r="H2394" s="68" t="inlineStr">
        <is>
          <t>DefRatio</t>
        </is>
      </c>
      <c r="I2394" s="68">
        <f>G2394</f>
        <v/>
      </c>
    </row>
    <row r="2395">
      <c r="A2395" s="68">
        <f>B2395&amp;TEXT(C2395,"0000")</f>
        <v/>
      </c>
      <c r="B2395" s="68" t="n">
        <v>201</v>
      </c>
      <c r="C2395" s="68" t="n">
        <v>492</v>
      </c>
      <c r="D2395" s="68" t="inlineStr">
        <is>
          <t>HpRatio</t>
        </is>
      </c>
      <c r="E2395" s="68" t="n">
        <v>0</v>
      </c>
      <c r="F2395" s="68" t="inlineStr">
        <is>
          <t>AtkRatio</t>
        </is>
      </c>
      <c r="G2395" s="68">
        <f>INT(G2394*1.01)</f>
        <v/>
      </c>
      <c r="H2395" s="68" t="inlineStr">
        <is>
          <t>DefRatio</t>
        </is>
      </c>
      <c r="I2395" s="68">
        <f>G2395</f>
        <v/>
      </c>
    </row>
    <row r="2396">
      <c r="A2396" s="68">
        <f>B2396&amp;TEXT(C2396,"0000")</f>
        <v/>
      </c>
      <c r="B2396" s="68" t="n">
        <v>201</v>
      </c>
      <c r="C2396" s="68" t="n">
        <v>493</v>
      </c>
      <c r="D2396" s="68" t="inlineStr">
        <is>
          <t>HpRatio</t>
        </is>
      </c>
      <c r="E2396" s="68" t="n">
        <v>0</v>
      </c>
      <c r="F2396" s="68" t="inlineStr">
        <is>
          <t>AtkRatio</t>
        </is>
      </c>
      <c r="G2396" s="68">
        <f>INT(G2395*1.01)</f>
        <v/>
      </c>
      <c r="H2396" s="68" t="inlineStr">
        <is>
          <t>DefRatio</t>
        </is>
      </c>
      <c r="I2396" s="68">
        <f>G2396</f>
        <v/>
      </c>
    </row>
    <row r="2397">
      <c r="A2397" s="68">
        <f>B2397&amp;TEXT(C2397,"0000")</f>
        <v/>
      </c>
      <c r="B2397" s="68" t="n">
        <v>201</v>
      </c>
      <c r="C2397" s="68" t="n">
        <v>494</v>
      </c>
      <c r="D2397" s="68" t="inlineStr">
        <is>
          <t>HpRatio</t>
        </is>
      </c>
      <c r="E2397" s="68" t="n">
        <v>0</v>
      </c>
      <c r="F2397" s="68" t="inlineStr">
        <is>
          <t>AtkRatio</t>
        </is>
      </c>
      <c r="G2397" s="68">
        <f>INT(G2396*1.01)</f>
        <v/>
      </c>
      <c r="H2397" s="68" t="inlineStr">
        <is>
          <t>DefRatio</t>
        </is>
      </c>
      <c r="I2397" s="68">
        <f>G2397</f>
        <v/>
      </c>
    </row>
    <row r="2398">
      <c r="A2398" s="68">
        <f>B2398&amp;TEXT(C2398,"0000")</f>
        <v/>
      </c>
      <c r="B2398" s="68" t="n">
        <v>201</v>
      </c>
      <c r="C2398" s="68" t="n">
        <v>495</v>
      </c>
      <c r="D2398" s="68" t="inlineStr">
        <is>
          <t>HpRatio</t>
        </is>
      </c>
      <c r="E2398" s="68" t="n">
        <v>0</v>
      </c>
      <c r="F2398" s="68" t="inlineStr">
        <is>
          <t>AtkRatio</t>
        </is>
      </c>
      <c r="G2398" s="68">
        <f>INT(G2397*1.01)</f>
        <v/>
      </c>
      <c r="H2398" s="68" t="inlineStr">
        <is>
          <t>DefRatio</t>
        </is>
      </c>
      <c r="I2398" s="68">
        <f>G2398</f>
        <v/>
      </c>
    </row>
    <row r="2399">
      <c r="A2399" s="68">
        <f>B2399&amp;TEXT(C2399,"0000")</f>
        <v/>
      </c>
      <c r="B2399" s="68" t="n">
        <v>201</v>
      </c>
      <c r="C2399" s="68" t="n">
        <v>496</v>
      </c>
      <c r="D2399" s="68" t="inlineStr">
        <is>
          <t>HpRatio</t>
        </is>
      </c>
      <c r="E2399" s="68" t="n">
        <v>0</v>
      </c>
      <c r="F2399" s="68" t="inlineStr">
        <is>
          <t>AtkRatio</t>
        </is>
      </c>
      <c r="G2399" s="68">
        <f>INT(G2398*1.01)</f>
        <v/>
      </c>
      <c r="H2399" s="68" t="inlineStr">
        <is>
          <t>DefRatio</t>
        </is>
      </c>
      <c r="I2399" s="68">
        <f>G2399</f>
        <v/>
      </c>
    </row>
    <row r="2400">
      <c r="A2400" s="68">
        <f>B2400&amp;TEXT(C2400,"0000")</f>
        <v/>
      </c>
      <c r="B2400" s="68" t="n">
        <v>201</v>
      </c>
      <c r="C2400" s="68" t="n">
        <v>497</v>
      </c>
      <c r="D2400" s="68" t="inlineStr">
        <is>
          <t>HpRatio</t>
        </is>
      </c>
      <c r="E2400" s="68" t="n">
        <v>0</v>
      </c>
      <c r="F2400" s="68" t="inlineStr">
        <is>
          <t>AtkRatio</t>
        </is>
      </c>
      <c r="G2400" s="68">
        <f>INT(G2399*1.01)</f>
        <v/>
      </c>
      <c r="H2400" s="68" t="inlineStr">
        <is>
          <t>DefRatio</t>
        </is>
      </c>
      <c r="I2400" s="68">
        <f>G2400</f>
        <v/>
      </c>
    </row>
    <row r="2401">
      <c r="A2401" s="68">
        <f>B2401&amp;TEXT(C2401,"0000")</f>
        <v/>
      </c>
      <c r="B2401" s="68" t="n">
        <v>201</v>
      </c>
      <c r="C2401" s="68" t="n">
        <v>498</v>
      </c>
      <c r="D2401" s="68" t="inlineStr">
        <is>
          <t>HpRatio</t>
        </is>
      </c>
      <c r="E2401" s="68" t="n">
        <v>0</v>
      </c>
      <c r="F2401" s="68" t="inlineStr">
        <is>
          <t>AtkRatio</t>
        </is>
      </c>
      <c r="G2401" s="68">
        <f>INT(G2400*1.01)</f>
        <v/>
      </c>
      <c r="H2401" s="68" t="inlineStr">
        <is>
          <t>DefRatio</t>
        </is>
      </c>
      <c r="I2401" s="68">
        <f>G2401</f>
        <v/>
      </c>
    </row>
    <row r="2402">
      <c r="A2402" s="68">
        <f>B2402&amp;TEXT(C2402,"0000")</f>
        <v/>
      </c>
      <c r="B2402" s="68" t="n">
        <v>201</v>
      </c>
      <c r="C2402" s="68" t="n">
        <v>499</v>
      </c>
      <c r="D2402" s="68" t="inlineStr">
        <is>
          <t>HpRatio</t>
        </is>
      </c>
      <c r="E2402" s="68" t="n">
        <v>0</v>
      </c>
      <c r="F2402" s="68" t="inlineStr">
        <is>
          <t>AtkRatio</t>
        </is>
      </c>
      <c r="G2402" s="68">
        <f>INT(G2401*1.01)</f>
        <v/>
      </c>
      <c r="H2402" s="68" t="inlineStr">
        <is>
          <t>DefRatio</t>
        </is>
      </c>
      <c r="I2402" s="68">
        <f>G2402</f>
        <v/>
      </c>
    </row>
    <row r="2403">
      <c r="A2403" s="68">
        <f>B2403&amp;TEXT(C2403,"0000")</f>
        <v/>
      </c>
      <c r="B2403" s="68" t="n">
        <v>201</v>
      </c>
      <c r="C2403" s="68" t="n">
        <v>500</v>
      </c>
      <c r="D2403" s="68" t="inlineStr">
        <is>
          <t>HpRatio</t>
        </is>
      </c>
      <c r="E2403" s="68" t="n">
        <v>0</v>
      </c>
      <c r="F2403" s="68" t="inlineStr">
        <is>
          <t>AtkRatio</t>
        </is>
      </c>
      <c r="G2403" s="68">
        <f>INT(G2402*1.01)</f>
        <v/>
      </c>
      <c r="H2403" s="68" t="inlineStr">
        <is>
          <t>DefRatio</t>
        </is>
      </c>
      <c r="I2403" s="68">
        <f>G2403</f>
        <v/>
      </c>
    </row>
    <row r="2404">
      <c r="A2404" s="68">
        <f>B2404&amp;TEXT(C2404,"0000")</f>
        <v/>
      </c>
      <c r="B2404" s="68" t="n">
        <v>201</v>
      </c>
      <c r="C2404" s="68" t="n">
        <v>501</v>
      </c>
      <c r="D2404" s="68" t="inlineStr">
        <is>
          <t>HpRatio</t>
        </is>
      </c>
      <c r="E2404" s="68" t="n">
        <v>0</v>
      </c>
      <c r="F2404" s="68" t="inlineStr">
        <is>
          <t>AtkRatio</t>
        </is>
      </c>
      <c r="G2404" s="68">
        <f>INT(G2403*1.01)</f>
        <v/>
      </c>
      <c r="H2404" s="68" t="inlineStr">
        <is>
          <t>DefRatio</t>
        </is>
      </c>
      <c r="I2404" s="68">
        <f>G2404</f>
        <v/>
      </c>
    </row>
    <row r="2405">
      <c r="A2405" s="68">
        <f>B2405&amp;TEXT(C2405,"0000")</f>
        <v/>
      </c>
      <c r="B2405" s="68" t="n">
        <v>201</v>
      </c>
      <c r="C2405" s="68" t="n">
        <v>502</v>
      </c>
      <c r="D2405" s="68" t="inlineStr">
        <is>
          <t>HpRatio</t>
        </is>
      </c>
      <c r="E2405" s="68" t="n">
        <v>0</v>
      </c>
      <c r="F2405" s="68" t="inlineStr">
        <is>
          <t>AtkRatio</t>
        </is>
      </c>
      <c r="G2405" s="68">
        <f>INT(G2404*1.01)</f>
        <v/>
      </c>
      <c r="H2405" s="68" t="inlineStr">
        <is>
          <t>DefRatio</t>
        </is>
      </c>
      <c r="I2405" s="68">
        <f>G2405</f>
        <v/>
      </c>
    </row>
    <row r="2406">
      <c r="A2406" s="68">
        <f>B2406&amp;TEXT(C2406,"0000")</f>
        <v/>
      </c>
      <c r="B2406" s="68" t="n">
        <v>201</v>
      </c>
      <c r="C2406" s="68" t="n">
        <v>503</v>
      </c>
      <c r="D2406" s="68" t="inlineStr">
        <is>
          <t>HpRatio</t>
        </is>
      </c>
      <c r="E2406" s="68" t="n">
        <v>0</v>
      </c>
      <c r="F2406" s="68" t="inlineStr">
        <is>
          <t>AtkRatio</t>
        </is>
      </c>
      <c r="G2406" s="68">
        <f>INT(G2405*1.01)</f>
        <v/>
      </c>
      <c r="H2406" s="68" t="inlineStr">
        <is>
          <t>DefRatio</t>
        </is>
      </c>
      <c r="I2406" s="68">
        <f>G2406</f>
        <v/>
      </c>
    </row>
    <row r="2407">
      <c r="A2407" s="68">
        <f>B2407&amp;TEXT(C2407,"0000")</f>
        <v/>
      </c>
      <c r="B2407" s="68" t="n">
        <v>201</v>
      </c>
      <c r="C2407" s="68" t="n">
        <v>504</v>
      </c>
      <c r="D2407" s="68" t="inlineStr">
        <is>
          <t>HpRatio</t>
        </is>
      </c>
      <c r="E2407" s="68" t="n">
        <v>0</v>
      </c>
      <c r="F2407" s="68" t="inlineStr">
        <is>
          <t>AtkRatio</t>
        </is>
      </c>
      <c r="G2407" s="68">
        <f>INT(G2406*1.01)</f>
        <v/>
      </c>
      <c r="H2407" s="68" t="inlineStr">
        <is>
          <t>DefRatio</t>
        </is>
      </c>
      <c r="I2407" s="68">
        <f>G2407</f>
        <v/>
      </c>
    </row>
    <row r="2408">
      <c r="A2408" s="68">
        <f>B2408&amp;TEXT(C2408,"0000")</f>
        <v/>
      </c>
      <c r="B2408" s="68" t="n">
        <v>201</v>
      </c>
      <c r="C2408" s="68" t="n">
        <v>505</v>
      </c>
      <c r="D2408" s="68" t="inlineStr">
        <is>
          <t>HpRatio</t>
        </is>
      </c>
      <c r="E2408" s="68" t="n">
        <v>0</v>
      </c>
      <c r="F2408" s="68" t="inlineStr">
        <is>
          <t>AtkRatio</t>
        </is>
      </c>
      <c r="G2408" s="68">
        <f>INT(G2407*1.01)</f>
        <v/>
      </c>
      <c r="H2408" s="68" t="inlineStr">
        <is>
          <t>DefRatio</t>
        </is>
      </c>
      <c r="I2408" s="68">
        <f>G2408</f>
        <v/>
      </c>
    </row>
    <row r="2409">
      <c r="A2409" s="68">
        <f>B2409&amp;TEXT(C2409,"0000")</f>
        <v/>
      </c>
      <c r="B2409" s="68" t="n">
        <v>201</v>
      </c>
      <c r="C2409" s="68" t="n">
        <v>506</v>
      </c>
      <c r="D2409" s="68" t="inlineStr">
        <is>
          <t>HpRatio</t>
        </is>
      </c>
      <c r="E2409" s="68" t="n">
        <v>0</v>
      </c>
      <c r="F2409" s="68" t="inlineStr">
        <is>
          <t>AtkRatio</t>
        </is>
      </c>
      <c r="G2409" s="68">
        <f>INT(G2408*1.01)</f>
        <v/>
      </c>
      <c r="H2409" s="68" t="inlineStr">
        <is>
          <t>DefRatio</t>
        </is>
      </c>
      <c r="I2409" s="68">
        <f>G2409</f>
        <v/>
      </c>
    </row>
    <row r="2410">
      <c r="A2410" s="68">
        <f>B2410&amp;TEXT(C2410,"0000")</f>
        <v/>
      </c>
      <c r="B2410" s="68" t="n">
        <v>201</v>
      </c>
      <c r="C2410" s="68" t="n">
        <v>507</v>
      </c>
      <c r="D2410" s="68" t="inlineStr">
        <is>
          <t>HpRatio</t>
        </is>
      </c>
      <c r="E2410" s="68" t="n">
        <v>0</v>
      </c>
      <c r="F2410" s="68" t="inlineStr">
        <is>
          <t>AtkRatio</t>
        </is>
      </c>
      <c r="G2410" s="68">
        <f>INT(G2409*1.01)</f>
        <v/>
      </c>
      <c r="H2410" s="68" t="inlineStr">
        <is>
          <t>DefRatio</t>
        </is>
      </c>
      <c r="I2410" s="68">
        <f>G2410</f>
        <v/>
      </c>
    </row>
    <row r="2411">
      <c r="A2411" s="68">
        <f>B2411&amp;TEXT(C2411,"0000")</f>
        <v/>
      </c>
      <c r="B2411" s="68" t="n">
        <v>201</v>
      </c>
      <c r="C2411" s="68" t="n">
        <v>508</v>
      </c>
      <c r="D2411" s="68" t="inlineStr">
        <is>
          <t>HpRatio</t>
        </is>
      </c>
      <c r="E2411" s="68" t="n">
        <v>0</v>
      </c>
      <c r="F2411" s="68" t="inlineStr">
        <is>
          <t>AtkRatio</t>
        </is>
      </c>
      <c r="G2411" s="68">
        <f>INT(G2410*1.01)</f>
        <v/>
      </c>
      <c r="H2411" s="68" t="inlineStr">
        <is>
          <t>DefRatio</t>
        </is>
      </c>
      <c r="I2411" s="68">
        <f>G2411</f>
        <v/>
      </c>
    </row>
    <row r="2412">
      <c r="A2412" s="68">
        <f>B2412&amp;TEXT(C2412,"0000")</f>
        <v/>
      </c>
      <c r="B2412" s="68" t="n">
        <v>201</v>
      </c>
      <c r="C2412" s="68" t="n">
        <v>509</v>
      </c>
      <c r="D2412" s="68" t="inlineStr">
        <is>
          <t>HpRatio</t>
        </is>
      </c>
      <c r="E2412" s="68" t="n">
        <v>0</v>
      </c>
      <c r="F2412" s="68" t="inlineStr">
        <is>
          <t>AtkRatio</t>
        </is>
      </c>
      <c r="G2412" s="68">
        <f>INT(G2411*1.01)</f>
        <v/>
      </c>
      <c r="H2412" s="68" t="inlineStr">
        <is>
          <t>DefRatio</t>
        </is>
      </c>
      <c r="I2412" s="68">
        <f>G2412</f>
        <v/>
      </c>
    </row>
    <row r="2413">
      <c r="A2413" s="68">
        <f>B2413&amp;TEXT(C2413,"0000")</f>
        <v/>
      </c>
      <c r="B2413" s="68" t="n">
        <v>201</v>
      </c>
      <c r="C2413" s="68" t="n">
        <v>510</v>
      </c>
      <c r="D2413" s="68" t="inlineStr">
        <is>
          <t>HpRatio</t>
        </is>
      </c>
      <c r="E2413" s="68" t="n">
        <v>0</v>
      </c>
      <c r="F2413" s="68" t="inlineStr">
        <is>
          <t>AtkRatio</t>
        </is>
      </c>
      <c r="G2413" s="68">
        <f>INT(G2412*1.01)</f>
        <v/>
      </c>
      <c r="H2413" s="68" t="inlineStr">
        <is>
          <t>DefRatio</t>
        </is>
      </c>
      <c r="I2413" s="68">
        <f>G2413</f>
        <v/>
      </c>
    </row>
    <row r="2414">
      <c r="A2414" s="68">
        <f>B2414&amp;TEXT(C2414,"0000")</f>
        <v/>
      </c>
      <c r="B2414" s="68" t="n">
        <v>201</v>
      </c>
      <c r="C2414" s="68" t="n">
        <v>511</v>
      </c>
      <c r="D2414" s="68" t="inlineStr">
        <is>
          <t>HpRatio</t>
        </is>
      </c>
      <c r="E2414" s="68" t="n">
        <v>0</v>
      </c>
      <c r="F2414" s="68" t="inlineStr">
        <is>
          <t>AtkRatio</t>
        </is>
      </c>
      <c r="G2414" s="68">
        <f>INT(G2413*1.01)</f>
        <v/>
      </c>
      <c r="H2414" s="68" t="inlineStr">
        <is>
          <t>DefRatio</t>
        </is>
      </c>
      <c r="I2414" s="68">
        <f>G2414</f>
        <v/>
      </c>
    </row>
    <row r="2415">
      <c r="A2415" s="68">
        <f>B2415&amp;TEXT(C2415,"0000")</f>
        <v/>
      </c>
      <c r="B2415" s="68" t="n">
        <v>201</v>
      </c>
      <c r="C2415" s="68" t="n">
        <v>512</v>
      </c>
      <c r="D2415" s="68" t="inlineStr">
        <is>
          <t>HpRatio</t>
        </is>
      </c>
      <c r="E2415" s="68" t="n">
        <v>0</v>
      </c>
      <c r="F2415" s="68" t="inlineStr">
        <is>
          <t>AtkRatio</t>
        </is>
      </c>
      <c r="G2415" s="68">
        <f>INT(G2414*1.01)</f>
        <v/>
      </c>
      <c r="H2415" s="68" t="inlineStr">
        <is>
          <t>DefRatio</t>
        </is>
      </c>
      <c r="I2415" s="68">
        <f>G2415</f>
        <v/>
      </c>
    </row>
    <row r="2416">
      <c r="A2416" s="68">
        <f>B2416&amp;TEXT(C2416,"0000")</f>
        <v/>
      </c>
      <c r="B2416" s="68" t="n">
        <v>201</v>
      </c>
      <c r="C2416" s="68" t="n">
        <v>513</v>
      </c>
      <c r="D2416" s="68" t="inlineStr">
        <is>
          <t>HpRatio</t>
        </is>
      </c>
      <c r="E2416" s="68" t="n">
        <v>0</v>
      </c>
      <c r="F2416" s="68" t="inlineStr">
        <is>
          <t>AtkRatio</t>
        </is>
      </c>
      <c r="G2416" s="68">
        <f>INT(G2415*1.01)</f>
        <v/>
      </c>
      <c r="H2416" s="68" t="inlineStr">
        <is>
          <t>DefRatio</t>
        </is>
      </c>
      <c r="I2416" s="68">
        <f>G2416</f>
        <v/>
      </c>
    </row>
    <row r="2417">
      <c r="A2417" s="68">
        <f>B2417&amp;TEXT(C2417,"0000")</f>
        <v/>
      </c>
      <c r="B2417" s="68" t="n">
        <v>201</v>
      </c>
      <c r="C2417" s="68" t="n">
        <v>514</v>
      </c>
      <c r="D2417" s="68" t="inlineStr">
        <is>
          <t>HpRatio</t>
        </is>
      </c>
      <c r="E2417" s="68" t="n">
        <v>0</v>
      </c>
      <c r="F2417" s="68" t="inlineStr">
        <is>
          <t>AtkRatio</t>
        </is>
      </c>
      <c r="G2417" s="68">
        <f>INT(G2416*1.01)</f>
        <v/>
      </c>
      <c r="H2417" s="68" t="inlineStr">
        <is>
          <t>DefRatio</t>
        </is>
      </c>
      <c r="I2417" s="68">
        <f>G2417</f>
        <v/>
      </c>
    </row>
    <row r="2418">
      <c r="A2418" s="68">
        <f>B2418&amp;TEXT(C2418,"0000")</f>
        <v/>
      </c>
      <c r="B2418" s="68" t="n">
        <v>201</v>
      </c>
      <c r="C2418" s="68" t="n">
        <v>515</v>
      </c>
      <c r="D2418" s="68" t="inlineStr">
        <is>
          <t>HpRatio</t>
        </is>
      </c>
      <c r="E2418" s="68" t="n">
        <v>0</v>
      </c>
      <c r="F2418" s="68" t="inlineStr">
        <is>
          <t>AtkRatio</t>
        </is>
      </c>
      <c r="G2418" s="68">
        <f>INT(G2417*1.01)</f>
        <v/>
      </c>
      <c r="H2418" s="68" t="inlineStr">
        <is>
          <t>DefRatio</t>
        </is>
      </c>
      <c r="I2418" s="68">
        <f>G2418</f>
        <v/>
      </c>
    </row>
    <row r="2419">
      <c r="A2419" s="68">
        <f>B2419&amp;TEXT(C2419,"0000")</f>
        <v/>
      </c>
      <c r="B2419" s="68" t="n">
        <v>201</v>
      </c>
      <c r="C2419" s="68" t="n">
        <v>516</v>
      </c>
      <c r="D2419" s="68" t="inlineStr">
        <is>
          <t>HpRatio</t>
        </is>
      </c>
      <c r="E2419" s="68" t="n">
        <v>0</v>
      </c>
      <c r="F2419" s="68" t="inlineStr">
        <is>
          <t>AtkRatio</t>
        </is>
      </c>
      <c r="G2419" s="68">
        <f>INT(G2418*1.01)</f>
        <v/>
      </c>
      <c r="H2419" s="68" t="inlineStr">
        <is>
          <t>DefRatio</t>
        </is>
      </c>
      <c r="I2419" s="68">
        <f>G2419</f>
        <v/>
      </c>
    </row>
    <row r="2420">
      <c r="A2420" s="68">
        <f>B2420&amp;TEXT(C2420,"0000")</f>
        <v/>
      </c>
      <c r="B2420" s="68" t="n">
        <v>201</v>
      </c>
      <c r="C2420" s="68" t="n">
        <v>517</v>
      </c>
      <c r="D2420" s="68" t="inlineStr">
        <is>
          <t>HpRatio</t>
        </is>
      </c>
      <c r="E2420" s="68" t="n">
        <v>0</v>
      </c>
      <c r="F2420" s="68" t="inlineStr">
        <is>
          <t>AtkRatio</t>
        </is>
      </c>
      <c r="G2420" s="68">
        <f>INT(G2419*1.01)</f>
        <v/>
      </c>
      <c r="H2420" s="68" t="inlineStr">
        <is>
          <t>DefRatio</t>
        </is>
      </c>
      <c r="I2420" s="68">
        <f>G2420</f>
        <v/>
      </c>
    </row>
    <row r="2421">
      <c r="A2421" s="68">
        <f>B2421&amp;TEXT(C2421,"0000")</f>
        <v/>
      </c>
      <c r="B2421" s="68" t="n">
        <v>201</v>
      </c>
      <c r="C2421" s="68" t="n">
        <v>518</v>
      </c>
      <c r="D2421" s="68" t="inlineStr">
        <is>
          <t>HpRatio</t>
        </is>
      </c>
      <c r="E2421" s="68" t="n">
        <v>0</v>
      </c>
      <c r="F2421" s="68" t="inlineStr">
        <is>
          <t>AtkRatio</t>
        </is>
      </c>
      <c r="G2421" s="68">
        <f>INT(G2420*1.01)</f>
        <v/>
      </c>
      <c r="H2421" s="68" t="inlineStr">
        <is>
          <t>DefRatio</t>
        </is>
      </c>
      <c r="I2421" s="68">
        <f>G2421</f>
        <v/>
      </c>
    </row>
    <row r="2422">
      <c r="A2422" s="68">
        <f>B2422&amp;TEXT(C2422,"0000")</f>
        <v/>
      </c>
      <c r="B2422" s="68" t="n">
        <v>201</v>
      </c>
      <c r="C2422" s="68" t="n">
        <v>519</v>
      </c>
      <c r="D2422" s="68" t="inlineStr">
        <is>
          <t>HpRatio</t>
        </is>
      </c>
      <c r="E2422" s="68" t="n">
        <v>0</v>
      </c>
      <c r="F2422" s="68" t="inlineStr">
        <is>
          <t>AtkRatio</t>
        </is>
      </c>
      <c r="G2422" s="68">
        <f>INT(G2421*1.01)</f>
        <v/>
      </c>
      <c r="H2422" s="68" t="inlineStr">
        <is>
          <t>DefRatio</t>
        </is>
      </c>
      <c r="I2422" s="68">
        <f>G2422</f>
        <v/>
      </c>
    </row>
    <row r="2423">
      <c r="A2423" s="68">
        <f>B2423&amp;TEXT(C2423,"0000")</f>
        <v/>
      </c>
      <c r="B2423" s="68" t="n">
        <v>201</v>
      </c>
      <c r="C2423" s="68" t="n">
        <v>520</v>
      </c>
      <c r="D2423" s="68" t="inlineStr">
        <is>
          <t>HpRatio</t>
        </is>
      </c>
      <c r="E2423" s="68" t="n">
        <v>0</v>
      </c>
      <c r="F2423" s="68" t="inlineStr">
        <is>
          <t>AtkRatio</t>
        </is>
      </c>
      <c r="G2423" s="68">
        <f>INT(G2422*1.01)</f>
        <v/>
      </c>
      <c r="H2423" s="68" t="inlineStr">
        <is>
          <t>DefRatio</t>
        </is>
      </c>
      <c r="I2423" s="68">
        <f>G2423</f>
        <v/>
      </c>
    </row>
    <row r="2424">
      <c r="A2424" s="68">
        <f>B2424&amp;TEXT(C2424,"0000")</f>
        <v/>
      </c>
      <c r="B2424" s="68" t="n">
        <v>201</v>
      </c>
      <c r="C2424" s="68" t="n">
        <v>521</v>
      </c>
      <c r="D2424" s="68" t="inlineStr">
        <is>
          <t>HpRatio</t>
        </is>
      </c>
      <c r="E2424" s="68" t="n">
        <v>0</v>
      </c>
      <c r="F2424" s="68" t="inlineStr">
        <is>
          <t>AtkRatio</t>
        </is>
      </c>
      <c r="G2424" s="68">
        <f>INT(G2423*1.01)</f>
        <v/>
      </c>
      <c r="H2424" s="68" t="inlineStr">
        <is>
          <t>DefRatio</t>
        </is>
      </c>
      <c r="I2424" s="68">
        <f>G2424</f>
        <v/>
      </c>
    </row>
    <row r="2425">
      <c r="A2425" s="68">
        <f>B2425&amp;TEXT(C2425,"0000")</f>
        <v/>
      </c>
      <c r="B2425" s="68" t="n">
        <v>201</v>
      </c>
      <c r="C2425" s="68" t="n">
        <v>522</v>
      </c>
      <c r="D2425" s="68" t="inlineStr">
        <is>
          <t>HpRatio</t>
        </is>
      </c>
      <c r="E2425" s="68" t="n">
        <v>0</v>
      </c>
      <c r="F2425" s="68" t="inlineStr">
        <is>
          <t>AtkRatio</t>
        </is>
      </c>
      <c r="G2425" s="68">
        <f>INT(G2424*1.01)</f>
        <v/>
      </c>
      <c r="H2425" s="68" t="inlineStr">
        <is>
          <t>DefRatio</t>
        </is>
      </c>
      <c r="I2425" s="68">
        <f>G2425</f>
        <v/>
      </c>
    </row>
    <row r="2426">
      <c r="A2426" s="68">
        <f>B2426&amp;TEXT(C2426,"0000")</f>
        <v/>
      </c>
      <c r="B2426" s="68" t="n">
        <v>201</v>
      </c>
      <c r="C2426" s="68" t="n">
        <v>523</v>
      </c>
      <c r="D2426" s="68" t="inlineStr">
        <is>
          <t>HpRatio</t>
        </is>
      </c>
      <c r="E2426" s="68" t="n">
        <v>0</v>
      </c>
      <c r="F2426" s="68" t="inlineStr">
        <is>
          <t>AtkRatio</t>
        </is>
      </c>
      <c r="G2426" s="68">
        <f>INT(G2425*1.01)</f>
        <v/>
      </c>
      <c r="H2426" s="68" t="inlineStr">
        <is>
          <t>DefRatio</t>
        </is>
      </c>
      <c r="I2426" s="68">
        <f>G2426</f>
        <v/>
      </c>
    </row>
    <row r="2427">
      <c r="A2427" s="68">
        <f>B2427&amp;TEXT(C2427,"0000")</f>
        <v/>
      </c>
      <c r="B2427" s="68" t="n">
        <v>201</v>
      </c>
      <c r="C2427" s="68" t="n">
        <v>524</v>
      </c>
      <c r="D2427" s="68" t="inlineStr">
        <is>
          <t>HpRatio</t>
        </is>
      </c>
      <c r="E2427" s="68" t="n">
        <v>0</v>
      </c>
      <c r="F2427" s="68" t="inlineStr">
        <is>
          <t>AtkRatio</t>
        </is>
      </c>
      <c r="G2427" s="68">
        <f>INT(G2426*1.01)</f>
        <v/>
      </c>
      <c r="H2427" s="68" t="inlineStr">
        <is>
          <t>DefRatio</t>
        </is>
      </c>
      <c r="I2427" s="68">
        <f>G2427</f>
        <v/>
      </c>
    </row>
    <row r="2428">
      <c r="A2428" s="68">
        <f>B2428&amp;TEXT(C2428,"0000")</f>
        <v/>
      </c>
      <c r="B2428" s="68" t="n">
        <v>201</v>
      </c>
      <c r="C2428" s="68" t="n">
        <v>525</v>
      </c>
      <c r="D2428" s="68" t="inlineStr">
        <is>
          <t>HpRatio</t>
        </is>
      </c>
      <c r="E2428" s="68" t="n">
        <v>0</v>
      </c>
      <c r="F2428" s="68" t="inlineStr">
        <is>
          <t>AtkRatio</t>
        </is>
      </c>
      <c r="G2428" s="68">
        <f>INT(G2427*1.01)</f>
        <v/>
      </c>
      <c r="H2428" s="68" t="inlineStr">
        <is>
          <t>DefRatio</t>
        </is>
      </c>
      <c r="I2428" s="68">
        <f>G2428</f>
        <v/>
      </c>
    </row>
    <row r="2429">
      <c r="A2429" s="68">
        <f>B2429&amp;TEXT(C2429,"0000")</f>
        <v/>
      </c>
      <c r="B2429" s="68" t="n">
        <v>201</v>
      </c>
      <c r="C2429" s="68" t="n">
        <v>526</v>
      </c>
      <c r="D2429" s="68" t="inlineStr">
        <is>
          <t>HpRatio</t>
        </is>
      </c>
      <c r="E2429" s="68" t="n">
        <v>0</v>
      </c>
      <c r="F2429" s="68" t="inlineStr">
        <is>
          <t>AtkRatio</t>
        </is>
      </c>
      <c r="G2429" s="68">
        <f>INT(G2428*1.01)</f>
        <v/>
      </c>
      <c r="H2429" s="68" t="inlineStr">
        <is>
          <t>DefRatio</t>
        </is>
      </c>
      <c r="I2429" s="68">
        <f>G2429</f>
        <v/>
      </c>
    </row>
    <row r="2430">
      <c r="A2430" s="68">
        <f>B2430&amp;TEXT(C2430,"0000")</f>
        <v/>
      </c>
      <c r="B2430" s="68" t="n">
        <v>201</v>
      </c>
      <c r="C2430" s="68" t="n">
        <v>527</v>
      </c>
      <c r="D2430" s="68" t="inlineStr">
        <is>
          <t>HpRatio</t>
        </is>
      </c>
      <c r="E2430" s="68" t="n">
        <v>0</v>
      </c>
      <c r="F2430" s="68" t="inlineStr">
        <is>
          <t>AtkRatio</t>
        </is>
      </c>
      <c r="G2430" s="68">
        <f>INT(G2429*1.01)</f>
        <v/>
      </c>
      <c r="H2430" s="68" t="inlineStr">
        <is>
          <t>DefRatio</t>
        </is>
      </c>
      <c r="I2430" s="68">
        <f>G2430</f>
        <v/>
      </c>
    </row>
    <row r="2431">
      <c r="A2431" s="68">
        <f>B2431&amp;TEXT(C2431,"0000")</f>
        <v/>
      </c>
      <c r="B2431" s="68" t="n">
        <v>201</v>
      </c>
      <c r="C2431" s="68" t="n">
        <v>528</v>
      </c>
      <c r="D2431" s="68" t="inlineStr">
        <is>
          <t>HpRatio</t>
        </is>
      </c>
      <c r="E2431" s="68" t="n">
        <v>0</v>
      </c>
      <c r="F2431" s="68" t="inlineStr">
        <is>
          <t>AtkRatio</t>
        </is>
      </c>
      <c r="G2431" s="68">
        <f>INT(G2430*1.01)</f>
        <v/>
      </c>
      <c r="H2431" s="68" t="inlineStr">
        <is>
          <t>DefRatio</t>
        </is>
      </c>
      <c r="I2431" s="68">
        <f>G2431</f>
        <v/>
      </c>
    </row>
    <row r="2432">
      <c r="A2432" s="68">
        <f>B2432&amp;TEXT(C2432,"0000")</f>
        <v/>
      </c>
      <c r="B2432" s="68" t="n">
        <v>201</v>
      </c>
      <c r="C2432" s="68" t="n">
        <v>529</v>
      </c>
      <c r="D2432" s="68" t="inlineStr">
        <is>
          <t>HpRatio</t>
        </is>
      </c>
      <c r="E2432" s="68" t="n">
        <v>0</v>
      </c>
      <c r="F2432" s="68" t="inlineStr">
        <is>
          <t>AtkRatio</t>
        </is>
      </c>
      <c r="G2432" s="68">
        <f>INT(G2431*1.01)</f>
        <v/>
      </c>
      <c r="H2432" s="68" t="inlineStr">
        <is>
          <t>DefRatio</t>
        </is>
      </c>
      <c r="I2432" s="68">
        <f>G2432</f>
        <v/>
      </c>
    </row>
    <row r="2433">
      <c r="A2433" s="68">
        <f>B2433&amp;TEXT(C2433,"0000")</f>
        <v/>
      </c>
      <c r="B2433" s="68" t="n">
        <v>201</v>
      </c>
      <c r="C2433" s="68" t="n">
        <v>530</v>
      </c>
      <c r="D2433" s="68" t="inlineStr">
        <is>
          <t>HpRatio</t>
        </is>
      </c>
      <c r="E2433" s="68" t="n">
        <v>0</v>
      </c>
      <c r="F2433" s="68" t="inlineStr">
        <is>
          <t>AtkRatio</t>
        </is>
      </c>
      <c r="G2433" s="68">
        <f>INT(G2432*1.01)</f>
        <v/>
      </c>
      <c r="H2433" s="68" t="inlineStr">
        <is>
          <t>DefRatio</t>
        </is>
      </c>
      <c r="I2433" s="68">
        <f>G2433</f>
        <v/>
      </c>
    </row>
    <row r="2434">
      <c r="A2434" s="68">
        <f>B2434&amp;TEXT(C2434,"0000")</f>
        <v/>
      </c>
      <c r="B2434" s="68" t="n">
        <v>201</v>
      </c>
      <c r="C2434" s="68" t="n">
        <v>531</v>
      </c>
      <c r="D2434" s="68" t="inlineStr">
        <is>
          <t>HpRatio</t>
        </is>
      </c>
      <c r="E2434" s="68" t="n">
        <v>0</v>
      </c>
      <c r="F2434" s="68" t="inlineStr">
        <is>
          <t>AtkRatio</t>
        </is>
      </c>
      <c r="G2434" s="68">
        <f>INT(G2433*1.01)</f>
        <v/>
      </c>
      <c r="H2434" s="68" t="inlineStr">
        <is>
          <t>DefRatio</t>
        </is>
      </c>
      <c r="I2434" s="68">
        <f>G2434</f>
        <v/>
      </c>
    </row>
    <row r="2435">
      <c r="A2435" s="68">
        <f>B2435&amp;TEXT(C2435,"0000")</f>
        <v/>
      </c>
      <c r="B2435" s="68" t="n">
        <v>201</v>
      </c>
      <c r="C2435" s="68" t="n">
        <v>532</v>
      </c>
      <c r="D2435" s="68" t="inlineStr">
        <is>
          <t>HpRatio</t>
        </is>
      </c>
      <c r="E2435" s="68" t="n">
        <v>0</v>
      </c>
      <c r="F2435" s="68" t="inlineStr">
        <is>
          <t>AtkRatio</t>
        </is>
      </c>
      <c r="G2435" s="68">
        <f>INT(G2434*1.01)</f>
        <v/>
      </c>
      <c r="H2435" s="68" t="inlineStr">
        <is>
          <t>DefRatio</t>
        </is>
      </c>
      <c r="I2435" s="68">
        <f>G2435</f>
        <v/>
      </c>
    </row>
    <row r="2436">
      <c r="A2436" s="68">
        <f>B2436&amp;TEXT(C2436,"0000")</f>
        <v/>
      </c>
      <c r="B2436" s="68" t="n">
        <v>201</v>
      </c>
      <c r="C2436" s="68" t="n">
        <v>533</v>
      </c>
      <c r="D2436" s="68" t="inlineStr">
        <is>
          <t>HpRatio</t>
        </is>
      </c>
      <c r="E2436" s="68" t="n">
        <v>0</v>
      </c>
      <c r="F2436" s="68" t="inlineStr">
        <is>
          <t>AtkRatio</t>
        </is>
      </c>
      <c r="G2436" s="68">
        <f>INT(G2435*1.01)</f>
        <v/>
      </c>
      <c r="H2436" s="68" t="inlineStr">
        <is>
          <t>DefRatio</t>
        </is>
      </c>
      <c r="I2436" s="68">
        <f>G2436</f>
        <v/>
      </c>
    </row>
    <row r="2437">
      <c r="A2437" s="68">
        <f>B2437&amp;TEXT(C2437,"0000")</f>
        <v/>
      </c>
      <c r="B2437" s="68" t="n">
        <v>201</v>
      </c>
      <c r="C2437" s="68" t="n">
        <v>534</v>
      </c>
      <c r="D2437" s="68" t="inlineStr">
        <is>
          <t>HpRatio</t>
        </is>
      </c>
      <c r="E2437" s="68" t="n">
        <v>0</v>
      </c>
      <c r="F2437" s="68" t="inlineStr">
        <is>
          <t>AtkRatio</t>
        </is>
      </c>
      <c r="G2437" s="68">
        <f>INT(G2436*1.01)</f>
        <v/>
      </c>
      <c r="H2437" s="68" t="inlineStr">
        <is>
          <t>DefRatio</t>
        </is>
      </c>
      <c r="I2437" s="68">
        <f>G2437</f>
        <v/>
      </c>
    </row>
    <row r="2438">
      <c r="A2438" s="68">
        <f>B2438&amp;TEXT(C2438,"0000")</f>
        <v/>
      </c>
      <c r="B2438" s="68" t="n">
        <v>201</v>
      </c>
      <c r="C2438" s="68" t="n">
        <v>535</v>
      </c>
      <c r="D2438" s="68" t="inlineStr">
        <is>
          <t>HpRatio</t>
        </is>
      </c>
      <c r="E2438" s="68" t="n">
        <v>0</v>
      </c>
      <c r="F2438" s="68" t="inlineStr">
        <is>
          <t>AtkRatio</t>
        </is>
      </c>
      <c r="G2438" s="68">
        <f>INT(G2437*1.01)</f>
        <v/>
      </c>
      <c r="H2438" s="68" t="inlineStr">
        <is>
          <t>DefRatio</t>
        </is>
      </c>
      <c r="I2438" s="68">
        <f>G2438</f>
        <v/>
      </c>
    </row>
    <row r="2439">
      <c r="A2439" s="68">
        <f>B2439&amp;TEXT(C2439,"0000")</f>
        <v/>
      </c>
      <c r="B2439" s="68" t="n">
        <v>201</v>
      </c>
      <c r="C2439" s="68" t="n">
        <v>536</v>
      </c>
      <c r="D2439" s="68" t="inlineStr">
        <is>
          <t>HpRatio</t>
        </is>
      </c>
      <c r="E2439" s="68" t="n">
        <v>0</v>
      </c>
      <c r="F2439" s="68" t="inlineStr">
        <is>
          <t>AtkRatio</t>
        </is>
      </c>
      <c r="G2439" s="68">
        <f>INT(G2438*1.01)</f>
        <v/>
      </c>
      <c r="H2439" s="68" t="inlineStr">
        <is>
          <t>DefRatio</t>
        </is>
      </c>
      <c r="I2439" s="68">
        <f>G2439</f>
        <v/>
      </c>
    </row>
    <row r="2440">
      <c r="A2440" s="68">
        <f>B2440&amp;TEXT(C2440,"0000")</f>
        <v/>
      </c>
      <c r="B2440" s="68" t="n">
        <v>201</v>
      </c>
      <c r="C2440" s="68" t="n">
        <v>537</v>
      </c>
      <c r="D2440" s="68" t="inlineStr">
        <is>
          <t>HpRatio</t>
        </is>
      </c>
      <c r="E2440" s="68" t="n">
        <v>0</v>
      </c>
      <c r="F2440" s="68" t="inlineStr">
        <is>
          <t>AtkRatio</t>
        </is>
      </c>
      <c r="G2440" s="68">
        <f>INT(G2439*1.01)</f>
        <v/>
      </c>
      <c r="H2440" s="68" t="inlineStr">
        <is>
          <t>DefRatio</t>
        </is>
      </c>
      <c r="I2440" s="68">
        <f>G2440</f>
        <v/>
      </c>
    </row>
    <row r="2441">
      <c r="A2441" s="68">
        <f>B2441&amp;TEXT(C2441,"0000")</f>
        <v/>
      </c>
      <c r="B2441" s="68" t="n">
        <v>201</v>
      </c>
      <c r="C2441" s="68" t="n">
        <v>538</v>
      </c>
      <c r="D2441" s="68" t="inlineStr">
        <is>
          <t>HpRatio</t>
        </is>
      </c>
      <c r="E2441" s="68" t="n">
        <v>0</v>
      </c>
      <c r="F2441" s="68" t="inlineStr">
        <is>
          <t>AtkRatio</t>
        </is>
      </c>
      <c r="G2441" s="68">
        <f>INT(G2440*1.01)</f>
        <v/>
      </c>
      <c r="H2441" s="68" t="inlineStr">
        <is>
          <t>DefRatio</t>
        </is>
      </c>
      <c r="I2441" s="68">
        <f>G2441</f>
        <v/>
      </c>
    </row>
    <row r="2442">
      <c r="A2442" s="68">
        <f>B2442&amp;TEXT(C2442,"0000")</f>
        <v/>
      </c>
      <c r="B2442" s="68" t="n">
        <v>201</v>
      </c>
      <c r="C2442" s="68" t="n">
        <v>539</v>
      </c>
      <c r="D2442" s="68" t="inlineStr">
        <is>
          <t>HpRatio</t>
        </is>
      </c>
      <c r="E2442" s="68" t="n">
        <v>0</v>
      </c>
      <c r="F2442" s="68" t="inlineStr">
        <is>
          <t>AtkRatio</t>
        </is>
      </c>
      <c r="G2442" s="68">
        <f>INT(G2441*1.01)</f>
        <v/>
      </c>
      <c r="H2442" s="68" t="inlineStr">
        <is>
          <t>DefRatio</t>
        </is>
      </c>
      <c r="I2442" s="68">
        <f>G2442</f>
        <v/>
      </c>
    </row>
    <row r="2443">
      <c r="A2443" s="68">
        <f>B2443&amp;TEXT(C2443,"0000")</f>
        <v/>
      </c>
      <c r="B2443" s="68" t="n">
        <v>201</v>
      </c>
      <c r="C2443" s="68" t="n">
        <v>540</v>
      </c>
      <c r="D2443" s="68" t="inlineStr">
        <is>
          <t>HpRatio</t>
        </is>
      </c>
      <c r="E2443" s="68" t="n">
        <v>0</v>
      </c>
      <c r="F2443" s="68" t="inlineStr">
        <is>
          <t>AtkRatio</t>
        </is>
      </c>
      <c r="G2443" s="68">
        <f>INT(G2442*1.01)</f>
        <v/>
      </c>
      <c r="H2443" s="68" t="inlineStr">
        <is>
          <t>DefRatio</t>
        </is>
      </c>
      <c r="I2443" s="68">
        <f>G2443</f>
        <v/>
      </c>
    </row>
    <row r="2444">
      <c r="A2444" s="68">
        <f>B2444&amp;TEXT(C2444,"0000")</f>
        <v/>
      </c>
      <c r="B2444" s="68" t="n">
        <v>201</v>
      </c>
      <c r="C2444" s="68" t="n">
        <v>541</v>
      </c>
      <c r="D2444" s="68" t="inlineStr">
        <is>
          <t>HpRatio</t>
        </is>
      </c>
      <c r="E2444" s="68" t="n">
        <v>0</v>
      </c>
      <c r="F2444" s="68" t="inlineStr">
        <is>
          <t>AtkRatio</t>
        </is>
      </c>
      <c r="G2444" s="68">
        <f>INT(G2443*1.01)</f>
        <v/>
      </c>
      <c r="H2444" s="68" t="inlineStr">
        <is>
          <t>DefRatio</t>
        </is>
      </c>
      <c r="I2444" s="68">
        <f>G2444</f>
        <v/>
      </c>
    </row>
    <row r="2445">
      <c r="A2445" s="68">
        <f>B2445&amp;TEXT(C2445,"0000")</f>
        <v/>
      </c>
      <c r="B2445" s="68" t="n">
        <v>201</v>
      </c>
      <c r="C2445" s="68" t="n">
        <v>542</v>
      </c>
      <c r="D2445" s="68" t="inlineStr">
        <is>
          <t>HpRatio</t>
        </is>
      </c>
      <c r="E2445" s="68" t="n">
        <v>0</v>
      </c>
      <c r="F2445" s="68" t="inlineStr">
        <is>
          <t>AtkRatio</t>
        </is>
      </c>
      <c r="G2445" s="68">
        <f>INT(G2444*1.01)</f>
        <v/>
      </c>
      <c r="H2445" s="68" t="inlineStr">
        <is>
          <t>DefRatio</t>
        </is>
      </c>
      <c r="I2445" s="68">
        <f>G2445</f>
        <v/>
      </c>
    </row>
    <row r="2446">
      <c r="A2446" s="68">
        <f>B2446&amp;TEXT(C2446,"0000")</f>
        <v/>
      </c>
      <c r="B2446" s="68" t="n">
        <v>201</v>
      </c>
      <c r="C2446" s="68" t="n">
        <v>543</v>
      </c>
      <c r="D2446" s="68" t="inlineStr">
        <is>
          <t>HpRatio</t>
        </is>
      </c>
      <c r="E2446" s="68" t="n">
        <v>0</v>
      </c>
      <c r="F2446" s="68" t="inlineStr">
        <is>
          <t>AtkRatio</t>
        </is>
      </c>
      <c r="G2446" s="68">
        <f>INT(G2445*1.01)</f>
        <v/>
      </c>
      <c r="H2446" s="68" t="inlineStr">
        <is>
          <t>DefRatio</t>
        </is>
      </c>
      <c r="I2446" s="68">
        <f>G2446</f>
        <v/>
      </c>
    </row>
    <row r="2447">
      <c r="A2447" s="68">
        <f>B2447&amp;TEXT(C2447,"0000")</f>
        <v/>
      </c>
      <c r="B2447" s="68" t="n">
        <v>201</v>
      </c>
      <c r="C2447" s="68" t="n">
        <v>544</v>
      </c>
      <c r="D2447" s="68" t="inlineStr">
        <is>
          <t>HpRatio</t>
        </is>
      </c>
      <c r="E2447" s="68" t="n">
        <v>0</v>
      </c>
      <c r="F2447" s="68" t="inlineStr">
        <is>
          <t>AtkRatio</t>
        </is>
      </c>
      <c r="G2447" s="68">
        <f>INT(G2446*1.01)</f>
        <v/>
      </c>
      <c r="H2447" s="68" t="inlineStr">
        <is>
          <t>DefRatio</t>
        </is>
      </c>
      <c r="I2447" s="68">
        <f>G2447</f>
        <v/>
      </c>
    </row>
    <row r="2448">
      <c r="A2448" s="68">
        <f>B2448&amp;TEXT(C2448,"0000")</f>
        <v/>
      </c>
      <c r="B2448" s="68" t="n">
        <v>201</v>
      </c>
      <c r="C2448" s="68" t="n">
        <v>545</v>
      </c>
      <c r="D2448" s="68" t="inlineStr">
        <is>
          <t>HpRatio</t>
        </is>
      </c>
      <c r="E2448" s="68" t="n">
        <v>0</v>
      </c>
      <c r="F2448" s="68" t="inlineStr">
        <is>
          <t>AtkRatio</t>
        </is>
      </c>
      <c r="G2448" s="68">
        <f>INT(G2447*1.01)</f>
        <v/>
      </c>
      <c r="H2448" s="68" t="inlineStr">
        <is>
          <t>DefRatio</t>
        </is>
      </c>
      <c r="I2448" s="68">
        <f>G2448</f>
        <v/>
      </c>
    </row>
    <row r="2449">
      <c r="A2449" s="68">
        <f>B2449&amp;TEXT(C2449,"0000")</f>
        <v/>
      </c>
      <c r="B2449" s="68" t="n">
        <v>201</v>
      </c>
      <c r="C2449" s="68" t="n">
        <v>546</v>
      </c>
      <c r="D2449" s="68" t="inlineStr">
        <is>
          <t>HpRatio</t>
        </is>
      </c>
      <c r="E2449" s="68" t="n">
        <v>0</v>
      </c>
      <c r="F2449" s="68" t="inlineStr">
        <is>
          <t>AtkRatio</t>
        </is>
      </c>
      <c r="G2449" s="68">
        <f>INT(G2448*1.01)</f>
        <v/>
      </c>
      <c r="H2449" s="68" t="inlineStr">
        <is>
          <t>DefRatio</t>
        </is>
      </c>
      <c r="I2449" s="68">
        <f>G2449</f>
        <v/>
      </c>
    </row>
    <row r="2450">
      <c r="A2450" s="68">
        <f>B2450&amp;TEXT(C2450,"0000")</f>
        <v/>
      </c>
      <c r="B2450" s="68" t="n">
        <v>201</v>
      </c>
      <c r="C2450" s="68" t="n">
        <v>547</v>
      </c>
      <c r="D2450" s="68" t="inlineStr">
        <is>
          <t>HpRatio</t>
        </is>
      </c>
      <c r="E2450" s="68" t="n">
        <v>0</v>
      </c>
      <c r="F2450" s="68" t="inlineStr">
        <is>
          <t>AtkRatio</t>
        </is>
      </c>
      <c r="G2450" s="68">
        <f>INT(G2449*1.01)</f>
        <v/>
      </c>
      <c r="H2450" s="68" t="inlineStr">
        <is>
          <t>DefRatio</t>
        </is>
      </c>
      <c r="I2450" s="68">
        <f>G2450</f>
        <v/>
      </c>
    </row>
    <row r="2451">
      <c r="A2451" s="68">
        <f>B2451&amp;TEXT(C2451,"0000")</f>
        <v/>
      </c>
      <c r="B2451" s="68" t="n">
        <v>201</v>
      </c>
      <c r="C2451" s="68" t="n">
        <v>548</v>
      </c>
      <c r="D2451" s="68" t="inlineStr">
        <is>
          <t>HpRatio</t>
        </is>
      </c>
      <c r="E2451" s="68" t="n">
        <v>0</v>
      </c>
      <c r="F2451" s="68" t="inlineStr">
        <is>
          <t>AtkRatio</t>
        </is>
      </c>
      <c r="G2451" s="68">
        <f>INT(G2450*1.01)</f>
        <v/>
      </c>
      <c r="H2451" s="68" t="inlineStr">
        <is>
          <t>DefRatio</t>
        </is>
      </c>
      <c r="I2451" s="68">
        <f>G2451</f>
        <v/>
      </c>
    </row>
    <row r="2452">
      <c r="A2452" s="68">
        <f>B2452&amp;TEXT(C2452,"0000")</f>
        <v/>
      </c>
      <c r="B2452" s="68" t="n">
        <v>201</v>
      </c>
      <c r="C2452" s="68" t="n">
        <v>549</v>
      </c>
      <c r="D2452" s="68" t="inlineStr">
        <is>
          <t>HpRatio</t>
        </is>
      </c>
      <c r="E2452" s="68" t="n">
        <v>0</v>
      </c>
      <c r="F2452" s="68" t="inlineStr">
        <is>
          <t>AtkRatio</t>
        </is>
      </c>
      <c r="G2452" s="68">
        <f>INT(G2451*1.01)</f>
        <v/>
      </c>
      <c r="H2452" s="68" t="inlineStr">
        <is>
          <t>DefRatio</t>
        </is>
      </c>
      <c r="I2452" s="68">
        <f>G2452</f>
        <v/>
      </c>
    </row>
    <row r="2453">
      <c r="A2453" s="68">
        <f>B2453&amp;TEXT(C2453,"0000")</f>
        <v/>
      </c>
      <c r="B2453" s="68" t="n">
        <v>201</v>
      </c>
      <c r="C2453" s="68" t="n">
        <v>550</v>
      </c>
      <c r="D2453" s="68" t="inlineStr">
        <is>
          <t>HpRatio</t>
        </is>
      </c>
      <c r="E2453" s="68" t="n">
        <v>0</v>
      </c>
      <c r="F2453" s="68" t="inlineStr">
        <is>
          <t>AtkRatio</t>
        </is>
      </c>
      <c r="G2453" s="68">
        <f>INT(G2452*1.01)</f>
        <v/>
      </c>
      <c r="H2453" s="68" t="inlineStr">
        <is>
          <t>DefRatio</t>
        </is>
      </c>
      <c r="I2453" s="68">
        <f>G2453</f>
        <v/>
      </c>
    </row>
    <row r="2454">
      <c r="A2454" s="68">
        <f>B2454&amp;TEXT(C2454,"0000")</f>
        <v/>
      </c>
      <c r="B2454" s="68" t="n">
        <v>201</v>
      </c>
      <c r="C2454" s="68" t="n">
        <v>551</v>
      </c>
      <c r="D2454" s="68" t="inlineStr">
        <is>
          <t>HpRatio</t>
        </is>
      </c>
      <c r="E2454" s="68" t="n">
        <v>0</v>
      </c>
      <c r="F2454" s="68" t="inlineStr">
        <is>
          <t>AtkRatio</t>
        </is>
      </c>
      <c r="G2454" s="68">
        <f>INT(G2453*1.01)</f>
        <v/>
      </c>
      <c r="H2454" s="68" t="inlineStr">
        <is>
          <t>DefRatio</t>
        </is>
      </c>
      <c r="I2454" s="68">
        <f>G2454</f>
        <v/>
      </c>
    </row>
    <row r="2455">
      <c r="A2455" s="68">
        <f>B2455&amp;TEXT(C2455,"0000")</f>
        <v/>
      </c>
      <c r="B2455" s="68" t="n">
        <v>201</v>
      </c>
      <c r="C2455" s="68" t="n">
        <v>552</v>
      </c>
      <c r="D2455" s="68" t="inlineStr">
        <is>
          <t>HpRatio</t>
        </is>
      </c>
      <c r="E2455" s="68" t="n">
        <v>0</v>
      </c>
      <c r="F2455" s="68" t="inlineStr">
        <is>
          <t>AtkRatio</t>
        </is>
      </c>
      <c r="G2455" s="68">
        <f>INT(G2454*1.01)</f>
        <v/>
      </c>
      <c r="H2455" s="68" t="inlineStr">
        <is>
          <t>DefRatio</t>
        </is>
      </c>
      <c r="I2455" s="68">
        <f>G2455</f>
        <v/>
      </c>
    </row>
    <row r="2456">
      <c r="A2456" s="68">
        <f>B2456&amp;TEXT(C2456,"0000")</f>
        <v/>
      </c>
      <c r="B2456" s="68" t="n">
        <v>201</v>
      </c>
      <c r="C2456" s="68" t="n">
        <v>553</v>
      </c>
      <c r="D2456" s="68" t="inlineStr">
        <is>
          <t>HpRatio</t>
        </is>
      </c>
      <c r="E2456" s="68" t="n">
        <v>0</v>
      </c>
      <c r="F2456" s="68" t="inlineStr">
        <is>
          <t>AtkRatio</t>
        </is>
      </c>
      <c r="G2456" s="68">
        <f>INT(G2455*1.01)</f>
        <v/>
      </c>
      <c r="H2456" s="68" t="inlineStr">
        <is>
          <t>DefRatio</t>
        </is>
      </c>
      <c r="I2456" s="68">
        <f>G2456</f>
        <v/>
      </c>
    </row>
    <row r="2457">
      <c r="A2457" s="68">
        <f>B2457&amp;TEXT(C2457,"0000")</f>
        <v/>
      </c>
      <c r="B2457" s="68" t="n">
        <v>201</v>
      </c>
      <c r="C2457" s="68" t="n">
        <v>554</v>
      </c>
      <c r="D2457" s="68" t="inlineStr">
        <is>
          <t>HpRatio</t>
        </is>
      </c>
      <c r="E2457" s="68" t="n">
        <v>0</v>
      </c>
      <c r="F2457" s="68" t="inlineStr">
        <is>
          <t>AtkRatio</t>
        </is>
      </c>
      <c r="G2457" s="68">
        <f>INT(G2456*1.01)</f>
        <v/>
      </c>
      <c r="H2457" s="68" t="inlineStr">
        <is>
          <t>DefRatio</t>
        </is>
      </c>
      <c r="I2457" s="68">
        <f>G2457</f>
        <v/>
      </c>
    </row>
    <row r="2458">
      <c r="A2458" s="68">
        <f>B2458&amp;TEXT(C2458,"0000")</f>
        <v/>
      </c>
      <c r="B2458" s="68" t="n">
        <v>201</v>
      </c>
      <c r="C2458" s="68" t="n">
        <v>555</v>
      </c>
      <c r="D2458" s="68" t="inlineStr">
        <is>
          <t>HpRatio</t>
        </is>
      </c>
      <c r="E2458" s="68" t="n">
        <v>0</v>
      </c>
      <c r="F2458" s="68" t="inlineStr">
        <is>
          <t>AtkRatio</t>
        </is>
      </c>
      <c r="G2458" s="68">
        <f>INT(G2457*1.01)</f>
        <v/>
      </c>
      <c r="H2458" s="68" t="inlineStr">
        <is>
          <t>DefRatio</t>
        </is>
      </c>
      <c r="I2458" s="68">
        <f>G2458</f>
        <v/>
      </c>
    </row>
    <row r="2459">
      <c r="A2459" s="68">
        <f>B2459&amp;TEXT(C2459,"0000")</f>
        <v/>
      </c>
      <c r="B2459" s="68" t="n">
        <v>201</v>
      </c>
      <c r="C2459" s="68" t="n">
        <v>556</v>
      </c>
      <c r="D2459" s="68" t="inlineStr">
        <is>
          <t>HpRatio</t>
        </is>
      </c>
      <c r="E2459" s="68" t="n">
        <v>0</v>
      </c>
      <c r="F2459" s="68" t="inlineStr">
        <is>
          <t>AtkRatio</t>
        </is>
      </c>
      <c r="G2459" s="68">
        <f>INT(G2458*1.01)</f>
        <v/>
      </c>
      <c r="H2459" s="68" t="inlineStr">
        <is>
          <t>DefRatio</t>
        </is>
      </c>
      <c r="I2459" s="68">
        <f>G2459</f>
        <v/>
      </c>
    </row>
    <row r="2460">
      <c r="A2460" s="68">
        <f>B2460&amp;TEXT(C2460,"0000")</f>
        <v/>
      </c>
      <c r="B2460" s="68" t="n">
        <v>201</v>
      </c>
      <c r="C2460" s="68" t="n">
        <v>557</v>
      </c>
      <c r="D2460" s="68" t="inlineStr">
        <is>
          <t>HpRatio</t>
        </is>
      </c>
      <c r="E2460" s="68" t="n">
        <v>0</v>
      </c>
      <c r="F2460" s="68" t="inlineStr">
        <is>
          <t>AtkRatio</t>
        </is>
      </c>
      <c r="G2460" s="68">
        <f>INT(G2459*1.01)</f>
        <v/>
      </c>
      <c r="H2460" s="68" t="inlineStr">
        <is>
          <t>DefRatio</t>
        </is>
      </c>
      <c r="I2460" s="68">
        <f>G2460</f>
        <v/>
      </c>
    </row>
    <row r="2461">
      <c r="A2461" s="68">
        <f>B2461&amp;TEXT(C2461,"0000")</f>
        <v/>
      </c>
      <c r="B2461" s="68" t="n">
        <v>201</v>
      </c>
      <c r="C2461" s="68" t="n">
        <v>558</v>
      </c>
      <c r="D2461" s="68" t="inlineStr">
        <is>
          <t>HpRatio</t>
        </is>
      </c>
      <c r="E2461" s="68" t="n">
        <v>0</v>
      </c>
      <c r="F2461" s="68" t="inlineStr">
        <is>
          <t>AtkRatio</t>
        </is>
      </c>
      <c r="G2461" s="68">
        <f>INT(G2460*1.01)</f>
        <v/>
      </c>
      <c r="H2461" s="68" t="inlineStr">
        <is>
          <t>DefRatio</t>
        </is>
      </c>
      <c r="I2461" s="68">
        <f>G2461</f>
        <v/>
      </c>
    </row>
    <row r="2462">
      <c r="A2462" s="68">
        <f>B2462&amp;TEXT(C2462,"0000")</f>
        <v/>
      </c>
      <c r="B2462" s="68" t="n">
        <v>201</v>
      </c>
      <c r="C2462" s="68" t="n">
        <v>559</v>
      </c>
      <c r="D2462" s="68" t="inlineStr">
        <is>
          <t>HpRatio</t>
        </is>
      </c>
      <c r="E2462" s="68" t="n">
        <v>0</v>
      </c>
      <c r="F2462" s="68" t="inlineStr">
        <is>
          <t>AtkRatio</t>
        </is>
      </c>
      <c r="G2462" s="68">
        <f>INT(G2461*1.01)</f>
        <v/>
      </c>
      <c r="H2462" s="68" t="inlineStr">
        <is>
          <t>DefRatio</t>
        </is>
      </c>
      <c r="I2462" s="68">
        <f>G2462</f>
        <v/>
      </c>
    </row>
    <row r="2463">
      <c r="A2463" s="68">
        <f>B2463&amp;TEXT(C2463,"0000")</f>
        <v/>
      </c>
      <c r="B2463" s="68" t="n">
        <v>201</v>
      </c>
      <c r="C2463" s="68" t="n">
        <v>560</v>
      </c>
      <c r="D2463" s="68" t="inlineStr">
        <is>
          <t>HpRatio</t>
        </is>
      </c>
      <c r="E2463" s="68" t="n">
        <v>0</v>
      </c>
      <c r="F2463" s="68" t="inlineStr">
        <is>
          <t>AtkRatio</t>
        </is>
      </c>
      <c r="G2463" s="68">
        <f>INT(G2462*1.01)</f>
        <v/>
      </c>
      <c r="H2463" s="68" t="inlineStr">
        <is>
          <t>DefRatio</t>
        </is>
      </c>
      <c r="I2463" s="68">
        <f>G2463</f>
        <v/>
      </c>
    </row>
    <row r="2464">
      <c r="A2464" s="68">
        <f>B2464&amp;TEXT(C2464,"0000")</f>
        <v/>
      </c>
      <c r="B2464" s="68" t="n">
        <v>201</v>
      </c>
      <c r="C2464" s="68" t="n">
        <v>561</v>
      </c>
      <c r="D2464" s="68" t="inlineStr">
        <is>
          <t>HpRatio</t>
        </is>
      </c>
      <c r="E2464" s="68" t="n">
        <v>0</v>
      </c>
      <c r="F2464" s="68" t="inlineStr">
        <is>
          <t>AtkRatio</t>
        </is>
      </c>
      <c r="G2464" s="68">
        <f>INT(G2463*1.01)</f>
        <v/>
      </c>
      <c r="H2464" s="68" t="inlineStr">
        <is>
          <t>DefRatio</t>
        </is>
      </c>
      <c r="I2464" s="68">
        <f>G2464</f>
        <v/>
      </c>
    </row>
    <row r="2465">
      <c r="A2465" s="68">
        <f>B2465&amp;TEXT(C2465,"0000")</f>
        <v/>
      </c>
      <c r="B2465" s="68" t="n">
        <v>201</v>
      </c>
      <c r="C2465" s="68" t="n">
        <v>562</v>
      </c>
      <c r="D2465" s="68" t="inlineStr">
        <is>
          <t>HpRatio</t>
        </is>
      </c>
      <c r="E2465" s="68" t="n">
        <v>0</v>
      </c>
      <c r="F2465" s="68" t="inlineStr">
        <is>
          <t>AtkRatio</t>
        </is>
      </c>
      <c r="G2465" s="68">
        <f>INT(G2464*1.01)</f>
        <v/>
      </c>
      <c r="H2465" s="68" t="inlineStr">
        <is>
          <t>DefRatio</t>
        </is>
      </c>
      <c r="I2465" s="68">
        <f>G2465</f>
        <v/>
      </c>
    </row>
    <row r="2466">
      <c r="A2466" s="68">
        <f>B2466&amp;TEXT(C2466,"0000")</f>
        <v/>
      </c>
      <c r="B2466" s="68" t="n">
        <v>201</v>
      </c>
      <c r="C2466" s="68" t="n">
        <v>563</v>
      </c>
      <c r="D2466" s="68" t="inlineStr">
        <is>
          <t>HpRatio</t>
        </is>
      </c>
      <c r="E2466" s="68" t="n">
        <v>0</v>
      </c>
      <c r="F2466" s="68" t="inlineStr">
        <is>
          <t>AtkRatio</t>
        </is>
      </c>
      <c r="G2466" s="68">
        <f>INT(G2465*1.01)</f>
        <v/>
      </c>
      <c r="H2466" s="68" t="inlineStr">
        <is>
          <t>DefRatio</t>
        </is>
      </c>
      <c r="I2466" s="68">
        <f>G2466</f>
        <v/>
      </c>
    </row>
    <row r="2467">
      <c r="A2467" s="68">
        <f>B2467&amp;TEXT(C2467,"0000")</f>
        <v/>
      </c>
      <c r="B2467" s="68" t="n">
        <v>201</v>
      </c>
      <c r="C2467" s="68" t="n">
        <v>564</v>
      </c>
      <c r="D2467" s="68" t="inlineStr">
        <is>
          <t>HpRatio</t>
        </is>
      </c>
      <c r="E2467" s="68" t="n">
        <v>0</v>
      </c>
      <c r="F2467" s="68" t="inlineStr">
        <is>
          <t>AtkRatio</t>
        </is>
      </c>
      <c r="G2467" s="68">
        <f>INT(G2466*1.01)</f>
        <v/>
      </c>
      <c r="H2467" s="68" t="inlineStr">
        <is>
          <t>DefRatio</t>
        </is>
      </c>
      <c r="I2467" s="68">
        <f>G2467</f>
        <v/>
      </c>
    </row>
    <row r="2468">
      <c r="A2468" s="68">
        <f>B2468&amp;TEXT(C2468,"0000")</f>
        <v/>
      </c>
      <c r="B2468" s="68" t="n">
        <v>201</v>
      </c>
      <c r="C2468" s="68" t="n">
        <v>565</v>
      </c>
      <c r="D2468" s="68" t="inlineStr">
        <is>
          <t>HpRatio</t>
        </is>
      </c>
      <c r="E2468" s="68" t="n">
        <v>0</v>
      </c>
      <c r="F2468" s="68" t="inlineStr">
        <is>
          <t>AtkRatio</t>
        </is>
      </c>
      <c r="G2468" s="68">
        <f>INT(G2467*1.01)</f>
        <v/>
      </c>
      <c r="H2468" s="68" t="inlineStr">
        <is>
          <t>DefRatio</t>
        </is>
      </c>
      <c r="I2468" s="68">
        <f>G2468</f>
        <v/>
      </c>
    </row>
    <row r="2469">
      <c r="A2469" s="68">
        <f>B2469&amp;TEXT(C2469,"0000")</f>
        <v/>
      </c>
      <c r="B2469" s="68" t="n">
        <v>201</v>
      </c>
      <c r="C2469" s="68" t="n">
        <v>566</v>
      </c>
      <c r="D2469" s="68" t="inlineStr">
        <is>
          <t>HpRatio</t>
        </is>
      </c>
      <c r="E2469" s="68" t="n">
        <v>0</v>
      </c>
      <c r="F2469" s="68" t="inlineStr">
        <is>
          <t>AtkRatio</t>
        </is>
      </c>
      <c r="G2469" s="68">
        <f>INT(G2468*1.01)</f>
        <v/>
      </c>
      <c r="H2469" s="68" t="inlineStr">
        <is>
          <t>DefRatio</t>
        </is>
      </c>
      <c r="I2469" s="68">
        <f>G2469</f>
        <v/>
      </c>
    </row>
    <row r="2470">
      <c r="A2470" s="68">
        <f>B2470&amp;TEXT(C2470,"0000")</f>
        <v/>
      </c>
      <c r="B2470" s="68" t="n">
        <v>201</v>
      </c>
      <c r="C2470" s="68" t="n">
        <v>567</v>
      </c>
      <c r="D2470" s="68" t="inlineStr">
        <is>
          <t>HpRatio</t>
        </is>
      </c>
      <c r="E2470" s="68" t="n">
        <v>0</v>
      </c>
      <c r="F2470" s="68" t="inlineStr">
        <is>
          <t>AtkRatio</t>
        </is>
      </c>
      <c r="G2470" s="68">
        <f>INT(G2469*1.01)</f>
        <v/>
      </c>
      <c r="H2470" s="68" t="inlineStr">
        <is>
          <t>DefRatio</t>
        </is>
      </c>
      <c r="I2470" s="68">
        <f>G2470</f>
        <v/>
      </c>
    </row>
    <row r="2471">
      <c r="A2471" s="68">
        <f>B2471&amp;TEXT(C2471,"0000")</f>
        <v/>
      </c>
      <c r="B2471" s="68" t="n">
        <v>201</v>
      </c>
      <c r="C2471" s="68" t="n">
        <v>568</v>
      </c>
      <c r="D2471" s="68" t="inlineStr">
        <is>
          <t>HpRatio</t>
        </is>
      </c>
      <c r="E2471" s="68" t="n">
        <v>0</v>
      </c>
      <c r="F2471" s="68" t="inlineStr">
        <is>
          <t>AtkRatio</t>
        </is>
      </c>
      <c r="G2471" s="68">
        <f>INT(G2470*1.01)</f>
        <v/>
      </c>
      <c r="H2471" s="68" t="inlineStr">
        <is>
          <t>DefRatio</t>
        </is>
      </c>
      <c r="I2471" s="68">
        <f>G2471</f>
        <v/>
      </c>
    </row>
    <row r="2472">
      <c r="A2472" s="68">
        <f>B2472&amp;TEXT(C2472,"0000")</f>
        <v/>
      </c>
      <c r="B2472" s="68" t="n">
        <v>201</v>
      </c>
      <c r="C2472" s="68" t="n">
        <v>569</v>
      </c>
      <c r="D2472" s="68" t="inlineStr">
        <is>
          <t>HpRatio</t>
        </is>
      </c>
      <c r="E2472" s="68" t="n">
        <v>0</v>
      </c>
      <c r="F2472" s="68" t="inlineStr">
        <is>
          <t>AtkRatio</t>
        </is>
      </c>
      <c r="G2472" s="68">
        <f>INT(G2471*1.01)</f>
        <v/>
      </c>
      <c r="H2472" s="68" t="inlineStr">
        <is>
          <t>DefRatio</t>
        </is>
      </c>
      <c r="I2472" s="68">
        <f>G2472</f>
        <v/>
      </c>
    </row>
    <row r="2473">
      <c r="A2473" s="68">
        <f>B2473&amp;TEXT(C2473,"0000")</f>
        <v/>
      </c>
      <c r="B2473" s="68" t="n">
        <v>201</v>
      </c>
      <c r="C2473" s="68" t="n">
        <v>570</v>
      </c>
      <c r="D2473" s="68" t="inlineStr">
        <is>
          <t>HpRatio</t>
        </is>
      </c>
      <c r="E2473" s="68" t="n">
        <v>0</v>
      </c>
      <c r="F2473" s="68" t="inlineStr">
        <is>
          <t>AtkRatio</t>
        </is>
      </c>
      <c r="G2473" s="68">
        <f>INT(G2472*1.01)</f>
        <v/>
      </c>
      <c r="H2473" s="68" t="inlineStr">
        <is>
          <t>DefRatio</t>
        </is>
      </c>
      <c r="I2473" s="68">
        <f>G2473</f>
        <v/>
      </c>
    </row>
    <row r="2474">
      <c r="A2474" s="68">
        <f>B2474&amp;TEXT(C2474,"0000")</f>
        <v/>
      </c>
      <c r="B2474" s="68" t="n">
        <v>201</v>
      </c>
      <c r="C2474" s="68" t="n">
        <v>571</v>
      </c>
      <c r="D2474" s="68" t="inlineStr">
        <is>
          <t>HpRatio</t>
        </is>
      </c>
      <c r="E2474" s="68" t="n">
        <v>0</v>
      </c>
      <c r="F2474" s="68" t="inlineStr">
        <is>
          <t>AtkRatio</t>
        </is>
      </c>
      <c r="G2474" s="68">
        <f>INT(G2473*1.01)</f>
        <v/>
      </c>
      <c r="H2474" s="68" t="inlineStr">
        <is>
          <t>DefRatio</t>
        </is>
      </c>
      <c r="I2474" s="68">
        <f>G2474</f>
        <v/>
      </c>
    </row>
    <row r="2475">
      <c r="A2475" s="68">
        <f>B2475&amp;TEXT(C2475,"0000")</f>
        <v/>
      </c>
      <c r="B2475" s="68" t="n">
        <v>201</v>
      </c>
      <c r="C2475" s="68" t="n">
        <v>572</v>
      </c>
      <c r="D2475" s="68" t="inlineStr">
        <is>
          <t>HpRatio</t>
        </is>
      </c>
      <c r="E2475" s="68" t="n">
        <v>0</v>
      </c>
      <c r="F2475" s="68" t="inlineStr">
        <is>
          <t>AtkRatio</t>
        </is>
      </c>
      <c r="G2475" s="68">
        <f>INT(G2474*1.01)</f>
        <v/>
      </c>
      <c r="H2475" s="68" t="inlineStr">
        <is>
          <t>DefRatio</t>
        </is>
      </c>
      <c r="I2475" s="68">
        <f>G2475</f>
        <v/>
      </c>
    </row>
    <row r="2476">
      <c r="A2476" s="68">
        <f>B2476&amp;TEXT(C2476,"0000")</f>
        <v/>
      </c>
      <c r="B2476" s="68" t="n">
        <v>201</v>
      </c>
      <c r="C2476" s="68" t="n">
        <v>573</v>
      </c>
      <c r="D2476" s="68" t="inlineStr">
        <is>
          <t>HpRatio</t>
        </is>
      </c>
      <c r="E2476" s="68" t="n">
        <v>0</v>
      </c>
      <c r="F2476" s="68" t="inlineStr">
        <is>
          <t>AtkRatio</t>
        </is>
      </c>
      <c r="G2476" s="68">
        <f>INT(G2475*1.01)</f>
        <v/>
      </c>
      <c r="H2476" s="68" t="inlineStr">
        <is>
          <t>DefRatio</t>
        </is>
      </c>
      <c r="I2476" s="68">
        <f>G2476</f>
        <v/>
      </c>
    </row>
    <row r="2477">
      <c r="A2477" s="68">
        <f>B2477&amp;TEXT(C2477,"0000")</f>
        <v/>
      </c>
      <c r="B2477" s="68" t="n">
        <v>201</v>
      </c>
      <c r="C2477" s="68" t="n">
        <v>574</v>
      </c>
      <c r="D2477" s="68" t="inlineStr">
        <is>
          <t>HpRatio</t>
        </is>
      </c>
      <c r="E2477" s="68" t="n">
        <v>0</v>
      </c>
      <c r="F2477" s="68" t="inlineStr">
        <is>
          <t>AtkRatio</t>
        </is>
      </c>
      <c r="G2477" s="68">
        <f>INT(G2476*1.01)</f>
        <v/>
      </c>
      <c r="H2477" s="68" t="inlineStr">
        <is>
          <t>DefRatio</t>
        </is>
      </c>
      <c r="I2477" s="68">
        <f>G2477</f>
        <v/>
      </c>
    </row>
    <row r="2478">
      <c r="A2478" s="68">
        <f>B2478&amp;TEXT(C2478,"0000")</f>
        <v/>
      </c>
      <c r="B2478" s="68" t="n">
        <v>201</v>
      </c>
      <c r="C2478" s="68" t="n">
        <v>575</v>
      </c>
      <c r="D2478" s="68" t="inlineStr">
        <is>
          <t>HpRatio</t>
        </is>
      </c>
      <c r="E2478" s="68" t="n">
        <v>0</v>
      </c>
      <c r="F2478" s="68" t="inlineStr">
        <is>
          <t>AtkRatio</t>
        </is>
      </c>
      <c r="G2478" s="68">
        <f>INT(G2477*1.01)</f>
        <v/>
      </c>
      <c r="H2478" s="68" t="inlineStr">
        <is>
          <t>DefRatio</t>
        </is>
      </c>
      <c r="I2478" s="68">
        <f>G2478</f>
        <v/>
      </c>
    </row>
    <row r="2479">
      <c r="A2479" s="68">
        <f>B2479&amp;TEXT(C2479,"0000")</f>
        <v/>
      </c>
      <c r="B2479" s="68" t="n">
        <v>201</v>
      </c>
      <c r="C2479" s="68" t="n">
        <v>576</v>
      </c>
      <c r="D2479" s="68" t="inlineStr">
        <is>
          <t>HpRatio</t>
        </is>
      </c>
      <c r="E2479" s="68" t="n">
        <v>0</v>
      </c>
      <c r="F2479" s="68" t="inlineStr">
        <is>
          <t>AtkRatio</t>
        </is>
      </c>
      <c r="G2479" s="68">
        <f>INT(G2478*1.01)</f>
        <v/>
      </c>
      <c r="H2479" s="68" t="inlineStr">
        <is>
          <t>DefRatio</t>
        </is>
      </c>
      <c r="I2479" s="68">
        <f>G2479</f>
        <v/>
      </c>
    </row>
    <row r="2480">
      <c r="A2480" s="68">
        <f>B2480&amp;TEXT(C2480,"0000")</f>
        <v/>
      </c>
      <c r="B2480" s="68" t="n">
        <v>201</v>
      </c>
      <c r="C2480" s="68" t="n">
        <v>577</v>
      </c>
      <c r="D2480" s="68" t="inlineStr">
        <is>
          <t>HpRatio</t>
        </is>
      </c>
      <c r="E2480" s="68" t="n">
        <v>0</v>
      </c>
      <c r="F2480" s="68" t="inlineStr">
        <is>
          <t>AtkRatio</t>
        </is>
      </c>
      <c r="G2480" s="68">
        <f>INT(G2479*1.01)</f>
        <v/>
      </c>
      <c r="H2480" s="68" t="inlineStr">
        <is>
          <t>DefRatio</t>
        </is>
      </c>
      <c r="I2480" s="68">
        <f>G2480</f>
        <v/>
      </c>
    </row>
    <row r="2481">
      <c r="A2481" s="68">
        <f>B2481&amp;TEXT(C2481,"0000")</f>
        <v/>
      </c>
      <c r="B2481" s="68" t="n">
        <v>201</v>
      </c>
      <c r="C2481" s="68" t="n">
        <v>578</v>
      </c>
      <c r="D2481" s="68" t="inlineStr">
        <is>
          <t>HpRatio</t>
        </is>
      </c>
      <c r="E2481" s="68" t="n">
        <v>0</v>
      </c>
      <c r="F2481" s="68" t="inlineStr">
        <is>
          <t>AtkRatio</t>
        </is>
      </c>
      <c r="G2481" s="68">
        <f>INT(G2480*1.01)</f>
        <v/>
      </c>
      <c r="H2481" s="68" t="inlineStr">
        <is>
          <t>DefRatio</t>
        </is>
      </c>
      <c r="I2481" s="68">
        <f>G2481</f>
        <v/>
      </c>
    </row>
    <row r="2482">
      <c r="A2482" s="68">
        <f>B2482&amp;TEXT(C2482,"0000")</f>
        <v/>
      </c>
      <c r="B2482" s="68" t="n">
        <v>201</v>
      </c>
      <c r="C2482" s="68" t="n">
        <v>579</v>
      </c>
      <c r="D2482" s="68" t="inlineStr">
        <is>
          <t>HpRatio</t>
        </is>
      </c>
      <c r="E2482" s="68" t="n">
        <v>0</v>
      </c>
      <c r="F2482" s="68" t="inlineStr">
        <is>
          <t>AtkRatio</t>
        </is>
      </c>
      <c r="G2482" s="68">
        <f>INT(G2481*1.01)</f>
        <v/>
      </c>
      <c r="H2482" s="68" t="inlineStr">
        <is>
          <t>DefRatio</t>
        </is>
      </c>
      <c r="I2482" s="68">
        <f>G2482</f>
        <v/>
      </c>
    </row>
    <row r="2483">
      <c r="A2483" s="68">
        <f>B2483&amp;TEXT(C2483,"0000")</f>
        <v/>
      </c>
      <c r="B2483" s="68" t="n">
        <v>201</v>
      </c>
      <c r="C2483" s="68" t="n">
        <v>580</v>
      </c>
      <c r="D2483" s="68" t="inlineStr">
        <is>
          <t>HpRatio</t>
        </is>
      </c>
      <c r="E2483" s="68" t="n">
        <v>0</v>
      </c>
      <c r="F2483" s="68" t="inlineStr">
        <is>
          <t>AtkRatio</t>
        </is>
      </c>
      <c r="G2483" s="68">
        <f>INT(G2482*1.01)</f>
        <v/>
      </c>
      <c r="H2483" s="68" t="inlineStr">
        <is>
          <t>DefRatio</t>
        </is>
      </c>
      <c r="I2483" s="68">
        <f>G2483</f>
        <v/>
      </c>
    </row>
    <row r="2484">
      <c r="A2484" s="68">
        <f>B2484&amp;TEXT(C2484,"0000")</f>
        <v/>
      </c>
      <c r="B2484" s="68" t="n">
        <v>201</v>
      </c>
      <c r="C2484" s="68" t="n">
        <v>581</v>
      </c>
      <c r="D2484" s="68" t="inlineStr">
        <is>
          <t>HpRatio</t>
        </is>
      </c>
      <c r="E2484" s="68" t="n">
        <v>0</v>
      </c>
      <c r="F2484" s="68" t="inlineStr">
        <is>
          <t>AtkRatio</t>
        </is>
      </c>
      <c r="G2484" s="68">
        <f>INT(G2483*1.01)</f>
        <v/>
      </c>
      <c r="H2484" s="68" t="inlineStr">
        <is>
          <t>DefRatio</t>
        </is>
      </c>
      <c r="I2484" s="68">
        <f>G2484</f>
        <v/>
      </c>
    </row>
    <row r="2485">
      <c r="A2485" s="68">
        <f>B2485&amp;TEXT(C2485,"0000")</f>
        <v/>
      </c>
      <c r="B2485" s="68" t="n">
        <v>201</v>
      </c>
      <c r="C2485" s="68" t="n">
        <v>582</v>
      </c>
      <c r="D2485" s="68" t="inlineStr">
        <is>
          <t>HpRatio</t>
        </is>
      </c>
      <c r="E2485" s="68" t="n">
        <v>0</v>
      </c>
      <c r="F2485" s="68" t="inlineStr">
        <is>
          <t>AtkRatio</t>
        </is>
      </c>
      <c r="G2485" s="68">
        <f>INT(G2484*1.01)</f>
        <v/>
      </c>
      <c r="H2485" s="68" t="inlineStr">
        <is>
          <t>DefRatio</t>
        </is>
      </c>
      <c r="I2485" s="68">
        <f>G2485</f>
        <v/>
      </c>
    </row>
    <row r="2486">
      <c r="A2486" s="68">
        <f>B2486&amp;TEXT(C2486,"0000")</f>
        <v/>
      </c>
      <c r="B2486" s="68" t="n">
        <v>201</v>
      </c>
      <c r="C2486" s="68" t="n">
        <v>583</v>
      </c>
      <c r="D2486" s="68" t="inlineStr">
        <is>
          <t>HpRatio</t>
        </is>
      </c>
      <c r="E2486" s="68" t="n">
        <v>0</v>
      </c>
      <c r="F2486" s="68" t="inlineStr">
        <is>
          <t>AtkRatio</t>
        </is>
      </c>
      <c r="G2486" s="68">
        <f>INT(G2485*1.01)</f>
        <v/>
      </c>
      <c r="H2486" s="68" t="inlineStr">
        <is>
          <t>DefRatio</t>
        </is>
      </c>
      <c r="I2486" s="68">
        <f>G2486</f>
        <v/>
      </c>
    </row>
    <row r="2487">
      <c r="A2487" s="68">
        <f>B2487&amp;TEXT(C2487,"0000")</f>
        <v/>
      </c>
      <c r="B2487" s="68" t="n">
        <v>201</v>
      </c>
      <c r="C2487" s="68" t="n">
        <v>584</v>
      </c>
      <c r="D2487" s="68" t="inlineStr">
        <is>
          <t>HpRatio</t>
        </is>
      </c>
      <c r="E2487" s="68" t="n">
        <v>0</v>
      </c>
      <c r="F2487" s="68" t="inlineStr">
        <is>
          <t>AtkRatio</t>
        </is>
      </c>
      <c r="G2487" s="68">
        <f>INT(G2486*1.01)</f>
        <v/>
      </c>
      <c r="H2487" s="68" t="inlineStr">
        <is>
          <t>DefRatio</t>
        </is>
      </c>
      <c r="I2487" s="68">
        <f>G2487</f>
        <v/>
      </c>
    </row>
    <row r="2488">
      <c r="A2488" s="68">
        <f>B2488&amp;TEXT(C2488,"0000")</f>
        <v/>
      </c>
      <c r="B2488" s="68" t="n">
        <v>201</v>
      </c>
      <c r="C2488" s="68" t="n">
        <v>585</v>
      </c>
      <c r="D2488" s="68" t="inlineStr">
        <is>
          <t>HpRatio</t>
        </is>
      </c>
      <c r="E2488" s="68" t="n">
        <v>0</v>
      </c>
      <c r="F2488" s="68" t="inlineStr">
        <is>
          <t>AtkRatio</t>
        </is>
      </c>
      <c r="G2488" s="68">
        <f>INT(G2487*1.01)</f>
        <v/>
      </c>
      <c r="H2488" s="68" t="inlineStr">
        <is>
          <t>DefRatio</t>
        </is>
      </c>
      <c r="I2488" s="68">
        <f>G2488</f>
        <v/>
      </c>
    </row>
    <row r="2489">
      <c r="A2489" s="68">
        <f>B2489&amp;TEXT(C2489,"0000")</f>
        <v/>
      </c>
      <c r="B2489" s="68" t="n">
        <v>201</v>
      </c>
      <c r="C2489" s="68" t="n">
        <v>586</v>
      </c>
      <c r="D2489" s="68" t="inlineStr">
        <is>
          <t>HpRatio</t>
        </is>
      </c>
      <c r="E2489" s="68" t="n">
        <v>0</v>
      </c>
      <c r="F2489" s="68" t="inlineStr">
        <is>
          <t>AtkRatio</t>
        </is>
      </c>
      <c r="G2489" s="68">
        <f>INT(G2488*1.01)</f>
        <v/>
      </c>
      <c r="H2489" s="68" t="inlineStr">
        <is>
          <t>DefRatio</t>
        </is>
      </c>
      <c r="I2489" s="68">
        <f>G2489</f>
        <v/>
      </c>
    </row>
    <row r="2490">
      <c r="A2490" s="68">
        <f>B2490&amp;TEXT(C2490,"0000")</f>
        <v/>
      </c>
      <c r="B2490" s="68" t="n">
        <v>201</v>
      </c>
      <c r="C2490" s="68" t="n">
        <v>587</v>
      </c>
      <c r="D2490" s="68" t="inlineStr">
        <is>
          <t>HpRatio</t>
        </is>
      </c>
      <c r="E2490" s="68" t="n">
        <v>0</v>
      </c>
      <c r="F2490" s="68" t="inlineStr">
        <is>
          <t>AtkRatio</t>
        </is>
      </c>
      <c r="G2490" s="68">
        <f>INT(G2489*1.01)</f>
        <v/>
      </c>
      <c r="H2490" s="68" t="inlineStr">
        <is>
          <t>DefRatio</t>
        </is>
      </c>
      <c r="I2490" s="68">
        <f>G2490</f>
        <v/>
      </c>
    </row>
    <row r="2491">
      <c r="A2491" s="68">
        <f>B2491&amp;TEXT(C2491,"0000")</f>
        <v/>
      </c>
      <c r="B2491" s="68" t="n">
        <v>201</v>
      </c>
      <c r="C2491" s="68" t="n">
        <v>588</v>
      </c>
      <c r="D2491" s="68" t="inlineStr">
        <is>
          <t>HpRatio</t>
        </is>
      </c>
      <c r="E2491" s="68" t="n">
        <v>0</v>
      </c>
      <c r="F2491" s="68" t="inlineStr">
        <is>
          <t>AtkRatio</t>
        </is>
      </c>
      <c r="G2491" s="68">
        <f>INT(G2490*1.01)</f>
        <v/>
      </c>
      <c r="H2491" s="68" t="inlineStr">
        <is>
          <t>DefRatio</t>
        </is>
      </c>
      <c r="I2491" s="68">
        <f>G2491</f>
        <v/>
      </c>
    </row>
    <row r="2492">
      <c r="A2492" s="68">
        <f>B2492&amp;TEXT(C2492,"0000")</f>
        <v/>
      </c>
      <c r="B2492" s="68" t="n">
        <v>201</v>
      </c>
      <c r="C2492" s="68" t="n">
        <v>589</v>
      </c>
      <c r="D2492" s="68" t="inlineStr">
        <is>
          <t>HpRatio</t>
        </is>
      </c>
      <c r="E2492" s="68" t="n">
        <v>0</v>
      </c>
      <c r="F2492" s="68" t="inlineStr">
        <is>
          <t>AtkRatio</t>
        </is>
      </c>
      <c r="G2492" s="68">
        <f>INT(G2491*1.01)</f>
        <v/>
      </c>
      <c r="H2492" s="68" t="inlineStr">
        <is>
          <t>DefRatio</t>
        </is>
      </c>
      <c r="I2492" s="68">
        <f>G2492</f>
        <v/>
      </c>
    </row>
    <row r="2493">
      <c r="A2493" s="68">
        <f>B2493&amp;TEXT(C2493,"0000")</f>
        <v/>
      </c>
      <c r="B2493" s="68" t="n">
        <v>201</v>
      </c>
      <c r="C2493" s="68" t="n">
        <v>590</v>
      </c>
      <c r="D2493" s="68" t="inlineStr">
        <is>
          <t>HpRatio</t>
        </is>
      </c>
      <c r="E2493" s="68" t="n">
        <v>0</v>
      </c>
      <c r="F2493" s="68" t="inlineStr">
        <is>
          <t>AtkRatio</t>
        </is>
      </c>
      <c r="G2493" s="68">
        <f>INT(G2492*1.01)</f>
        <v/>
      </c>
      <c r="H2493" s="68" t="inlineStr">
        <is>
          <t>DefRatio</t>
        </is>
      </c>
      <c r="I2493" s="68">
        <f>G2493</f>
        <v/>
      </c>
    </row>
    <row r="2494">
      <c r="A2494" s="68">
        <f>B2494&amp;TEXT(C2494,"0000")</f>
        <v/>
      </c>
      <c r="B2494" s="68" t="n">
        <v>201</v>
      </c>
      <c r="C2494" s="68" t="n">
        <v>591</v>
      </c>
      <c r="D2494" s="68" t="inlineStr">
        <is>
          <t>HpRatio</t>
        </is>
      </c>
      <c r="E2494" s="68" t="n">
        <v>0</v>
      </c>
      <c r="F2494" s="68" t="inlineStr">
        <is>
          <t>AtkRatio</t>
        </is>
      </c>
      <c r="G2494" s="68">
        <f>INT(G2493*1.01)</f>
        <v/>
      </c>
      <c r="H2494" s="68" t="inlineStr">
        <is>
          <t>DefRatio</t>
        </is>
      </c>
      <c r="I2494" s="68">
        <f>G2494</f>
        <v/>
      </c>
    </row>
    <row r="2495">
      <c r="A2495" s="68">
        <f>B2495&amp;TEXT(C2495,"0000")</f>
        <v/>
      </c>
      <c r="B2495" s="68" t="n">
        <v>201</v>
      </c>
      <c r="C2495" s="68" t="n">
        <v>592</v>
      </c>
      <c r="D2495" s="68" t="inlineStr">
        <is>
          <t>HpRatio</t>
        </is>
      </c>
      <c r="E2495" s="68" t="n">
        <v>0</v>
      </c>
      <c r="F2495" s="68" t="inlineStr">
        <is>
          <t>AtkRatio</t>
        </is>
      </c>
      <c r="G2495" s="68">
        <f>INT(G2494*1.01)</f>
        <v/>
      </c>
      <c r="H2495" s="68" t="inlineStr">
        <is>
          <t>DefRatio</t>
        </is>
      </c>
      <c r="I2495" s="68">
        <f>G2495</f>
        <v/>
      </c>
    </row>
    <row r="2496">
      <c r="A2496" s="68">
        <f>B2496&amp;TEXT(C2496,"0000")</f>
        <v/>
      </c>
      <c r="B2496" s="68" t="n">
        <v>201</v>
      </c>
      <c r="C2496" s="68" t="n">
        <v>593</v>
      </c>
      <c r="D2496" s="68" t="inlineStr">
        <is>
          <t>HpRatio</t>
        </is>
      </c>
      <c r="E2496" s="68" t="n">
        <v>0</v>
      </c>
      <c r="F2496" s="68" t="inlineStr">
        <is>
          <t>AtkRatio</t>
        </is>
      </c>
      <c r="G2496" s="68">
        <f>INT(G2495*1.01)</f>
        <v/>
      </c>
      <c r="H2496" s="68" t="inlineStr">
        <is>
          <t>DefRatio</t>
        </is>
      </c>
      <c r="I2496" s="68">
        <f>G2496</f>
        <v/>
      </c>
    </row>
    <row r="2497">
      <c r="A2497" s="68">
        <f>B2497&amp;TEXT(C2497,"0000")</f>
        <v/>
      </c>
      <c r="B2497" s="68" t="n">
        <v>201</v>
      </c>
      <c r="C2497" s="68" t="n">
        <v>594</v>
      </c>
      <c r="D2497" s="68" t="inlineStr">
        <is>
          <t>HpRatio</t>
        </is>
      </c>
      <c r="E2497" s="68" t="n">
        <v>0</v>
      </c>
      <c r="F2497" s="68" t="inlineStr">
        <is>
          <t>AtkRatio</t>
        </is>
      </c>
      <c r="G2497" s="68">
        <f>INT(G2496*1.01)</f>
        <v/>
      </c>
      <c r="H2497" s="68" t="inlineStr">
        <is>
          <t>DefRatio</t>
        </is>
      </c>
      <c r="I2497" s="68">
        <f>G2497</f>
        <v/>
      </c>
    </row>
    <row r="2498">
      <c r="A2498" s="68">
        <f>B2498&amp;TEXT(C2498,"0000")</f>
        <v/>
      </c>
      <c r="B2498" s="68" t="n">
        <v>201</v>
      </c>
      <c r="C2498" s="68" t="n">
        <v>595</v>
      </c>
      <c r="D2498" s="68" t="inlineStr">
        <is>
          <t>HpRatio</t>
        </is>
      </c>
      <c r="E2498" s="68" t="n">
        <v>0</v>
      </c>
      <c r="F2498" s="68" t="inlineStr">
        <is>
          <t>AtkRatio</t>
        </is>
      </c>
      <c r="G2498" s="68">
        <f>INT(G2497*1.01)</f>
        <v/>
      </c>
      <c r="H2498" s="68" t="inlineStr">
        <is>
          <t>DefRatio</t>
        </is>
      </c>
      <c r="I2498" s="68">
        <f>G2498</f>
        <v/>
      </c>
    </row>
    <row r="2499">
      <c r="A2499" s="68">
        <f>B2499&amp;TEXT(C2499,"0000")</f>
        <v/>
      </c>
      <c r="B2499" s="68" t="n">
        <v>201</v>
      </c>
      <c r="C2499" s="68" t="n">
        <v>596</v>
      </c>
      <c r="D2499" s="68" t="inlineStr">
        <is>
          <t>HpRatio</t>
        </is>
      </c>
      <c r="E2499" s="68" t="n">
        <v>0</v>
      </c>
      <c r="F2499" s="68" t="inlineStr">
        <is>
          <t>AtkRatio</t>
        </is>
      </c>
      <c r="G2499" s="68">
        <f>INT(G2498*1.01)</f>
        <v/>
      </c>
      <c r="H2499" s="68" t="inlineStr">
        <is>
          <t>DefRatio</t>
        </is>
      </c>
      <c r="I2499" s="68">
        <f>G2499</f>
        <v/>
      </c>
    </row>
    <row r="2500">
      <c r="A2500" s="68">
        <f>B2500&amp;TEXT(C2500,"0000")</f>
        <v/>
      </c>
      <c r="B2500" s="68" t="n">
        <v>201</v>
      </c>
      <c r="C2500" s="68" t="n">
        <v>597</v>
      </c>
      <c r="D2500" s="68" t="inlineStr">
        <is>
          <t>HpRatio</t>
        </is>
      </c>
      <c r="E2500" s="68" t="n">
        <v>0</v>
      </c>
      <c r="F2500" s="68" t="inlineStr">
        <is>
          <t>AtkRatio</t>
        </is>
      </c>
      <c r="G2500" s="68">
        <f>INT(G2499*1.01)</f>
        <v/>
      </c>
      <c r="H2500" s="68" t="inlineStr">
        <is>
          <t>DefRatio</t>
        </is>
      </c>
      <c r="I2500" s="68">
        <f>G2500</f>
        <v/>
      </c>
    </row>
    <row r="2501">
      <c r="A2501" s="68">
        <f>B2501&amp;TEXT(C2501,"0000")</f>
        <v/>
      </c>
      <c r="B2501" s="68" t="n">
        <v>201</v>
      </c>
      <c r="C2501" s="68" t="n">
        <v>598</v>
      </c>
      <c r="D2501" s="68" t="inlineStr">
        <is>
          <t>HpRatio</t>
        </is>
      </c>
      <c r="E2501" s="68" t="n">
        <v>0</v>
      </c>
      <c r="F2501" s="68" t="inlineStr">
        <is>
          <t>AtkRatio</t>
        </is>
      </c>
      <c r="G2501" s="68">
        <f>INT(G2500*1.01)</f>
        <v/>
      </c>
      <c r="H2501" s="68" t="inlineStr">
        <is>
          <t>DefRatio</t>
        </is>
      </c>
      <c r="I2501" s="68">
        <f>G2501</f>
        <v/>
      </c>
    </row>
    <row r="2502">
      <c r="A2502" s="68">
        <f>B2502&amp;TEXT(C2502,"0000")</f>
        <v/>
      </c>
      <c r="B2502" s="68" t="n">
        <v>201</v>
      </c>
      <c r="C2502" s="68" t="n">
        <v>599</v>
      </c>
      <c r="D2502" s="68" t="inlineStr">
        <is>
          <t>HpRatio</t>
        </is>
      </c>
      <c r="E2502" s="68" t="n">
        <v>0</v>
      </c>
      <c r="F2502" s="68" t="inlineStr">
        <is>
          <t>AtkRatio</t>
        </is>
      </c>
      <c r="G2502" s="68">
        <f>INT(G2501*1.01)</f>
        <v/>
      </c>
      <c r="H2502" s="68" t="inlineStr">
        <is>
          <t>DefRatio</t>
        </is>
      </c>
      <c r="I2502" s="68">
        <f>G2502</f>
        <v/>
      </c>
    </row>
    <row r="2503">
      <c r="A2503" s="68">
        <f>B2503&amp;TEXT(C2503,"0000")</f>
        <v/>
      </c>
      <c r="B2503" s="68" t="n">
        <v>201</v>
      </c>
      <c r="C2503" s="68" t="n">
        <v>600</v>
      </c>
      <c r="D2503" s="68" t="inlineStr">
        <is>
          <t>HpRatio</t>
        </is>
      </c>
      <c r="E2503" s="68" t="n">
        <v>0</v>
      </c>
      <c r="F2503" s="68" t="inlineStr">
        <is>
          <t>AtkRatio</t>
        </is>
      </c>
      <c r="G2503" s="68">
        <f>INT(G2502*1.01)</f>
        <v/>
      </c>
      <c r="H2503" s="68" t="inlineStr">
        <is>
          <t>DefRatio</t>
        </is>
      </c>
      <c r="I2503" s="68">
        <f>G2503</f>
        <v/>
      </c>
    </row>
    <row r="2504">
      <c r="A2504" s="68">
        <f>B2504&amp;TEXT(C2504,"0000")</f>
        <v/>
      </c>
      <c r="B2504" s="68" t="n">
        <v>201</v>
      </c>
      <c r="C2504" s="68" t="n">
        <v>601</v>
      </c>
      <c r="D2504" s="68" t="inlineStr">
        <is>
          <t>HpRatio</t>
        </is>
      </c>
      <c r="E2504" s="68" t="n">
        <v>0</v>
      </c>
      <c r="F2504" s="68" t="inlineStr">
        <is>
          <t>AtkRatio</t>
        </is>
      </c>
      <c r="G2504" s="68">
        <f>INT(G2503*1.01)</f>
        <v/>
      </c>
      <c r="H2504" s="68" t="inlineStr">
        <is>
          <t>DefRatio</t>
        </is>
      </c>
      <c r="I2504" s="68">
        <f>G2504</f>
        <v/>
      </c>
    </row>
    <row r="2505">
      <c r="A2505" s="68">
        <f>B2505&amp;TEXT(C2505,"0000")</f>
        <v/>
      </c>
      <c r="B2505" s="68" t="n">
        <v>201</v>
      </c>
      <c r="C2505" s="68" t="n">
        <v>602</v>
      </c>
      <c r="D2505" s="68" t="inlineStr">
        <is>
          <t>HpRatio</t>
        </is>
      </c>
      <c r="E2505" s="68" t="n">
        <v>0</v>
      </c>
      <c r="F2505" s="68" t="inlineStr">
        <is>
          <t>AtkRatio</t>
        </is>
      </c>
      <c r="G2505" s="68">
        <f>INT(G2504*1.01)</f>
        <v/>
      </c>
      <c r="H2505" s="68" t="inlineStr">
        <is>
          <t>DefRatio</t>
        </is>
      </c>
      <c r="I2505" s="68">
        <f>G2505</f>
        <v/>
      </c>
    </row>
    <row r="2506">
      <c r="A2506" s="68">
        <f>B2506&amp;TEXT(C2506,"0000")</f>
        <v/>
      </c>
      <c r="B2506" s="68" t="n">
        <v>201</v>
      </c>
      <c r="C2506" s="68" t="n">
        <v>603</v>
      </c>
      <c r="D2506" s="68" t="inlineStr">
        <is>
          <t>HpRatio</t>
        </is>
      </c>
      <c r="E2506" s="68" t="n">
        <v>0</v>
      </c>
      <c r="F2506" s="68" t="inlineStr">
        <is>
          <t>AtkRatio</t>
        </is>
      </c>
      <c r="G2506" s="68">
        <f>INT(G2505*1.01)</f>
        <v/>
      </c>
      <c r="H2506" s="68" t="inlineStr">
        <is>
          <t>DefRatio</t>
        </is>
      </c>
      <c r="I2506" s="68">
        <f>G2506</f>
        <v/>
      </c>
    </row>
    <row r="2507">
      <c r="A2507" s="68">
        <f>B2507&amp;TEXT(C2507,"0000")</f>
        <v/>
      </c>
      <c r="B2507" s="68" t="n">
        <v>201</v>
      </c>
      <c r="C2507" s="68" t="n">
        <v>604</v>
      </c>
      <c r="D2507" s="68" t="inlineStr">
        <is>
          <t>HpRatio</t>
        </is>
      </c>
      <c r="E2507" s="68" t="n">
        <v>0</v>
      </c>
      <c r="F2507" s="68" t="inlineStr">
        <is>
          <t>AtkRatio</t>
        </is>
      </c>
      <c r="G2507" s="68">
        <f>INT(G2506*1.01)</f>
        <v/>
      </c>
      <c r="H2507" s="68" t="inlineStr">
        <is>
          <t>DefRatio</t>
        </is>
      </c>
      <c r="I2507" s="68">
        <f>G2507</f>
        <v/>
      </c>
    </row>
    <row r="2508">
      <c r="A2508" s="68">
        <f>B2508&amp;TEXT(C2508,"0000")</f>
        <v/>
      </c>
      <c r="B2508" s="68" t="n">
        <v>201</v>
      </c>
      <c r="C2508" s="68" t="n">
        <v>605</v>
      </c>
      <c r="D2508" s="68" t="inlineStr">
        <is>
          <t>HpRatio</t>
        </is>
      </c>
      <c r="E2508" s="68" t="n">
        <v>0</v>
      </c>
      <c r="F2508" s="68" t="inlineStr">
        <is>
          <t>AtkRatio</t>
        </is>
      </c>
      <c r="G2508" s="68">
        <f>INT(G2507*1.01)</f>
        <v/>
      </c>
      <c r="H2508" s="68" t="inlineStr">
        <is>
          <t>DefRatio</t>
        </is>
      </c>
      <c r="I2508" s="68">
        <f>G2508</f>
        <v/>
      </c>
    </row>
    <row r="2509">
      <c r="A2509" s="68">
        <f>B2509&amp;TEXT(C2509,"0000")</f>
        <v/>
      </c>
      <c r="B2509" s="68" t="n">
        <v>201</v>
      </c>
      <c r="C2509" s="68" t="n">
        <v>606</v>
      </c>
      <c r="D2509" s="68" t="inlineStr">
        <is>
          <t>HpRatio</t>
        </is>
      </c>
      <c r="E2509" s="68" t="n">
        <v>0</v>
      </c>
      <c r="F2509" s="68" t="inlineStr">
        <is>
          <t>AtkRatio</t>
        </is>
      </c>
      <c r="G2509" s="68">
        <f>INT(G2508*1.01)</f>
        <v/>
      </c>
      <c r="H2509" s="68" t="inlineStr">
        <is>
          <t>DefRatio</t>
        </is>
      </c>
      <c r="I2509" s="68">
        <f>G2509</f>
        <v/>
      </c>
    </row>
    <row r="2510">
      <c r="A2510" s="68">
        <f>B2510&amp;TEXT(C2510,"0000")</f>
        <v/>
      </c>
      <c r="B2510" s="68" t="n">
        <v>201</v>
      </c>
      <c r="C2510" s="68" t="n">
        <v>607</v>
      </c>
      <c r="D2510" s="68" t="inlineStr">
        <is>
          <t>HpRatio</t>
        </is>
      </c>
      <c r="E2510" s="68" t="n">
        <v>0</v>
      </c>
      <c r="F2510" s="68" t="inlineStr">
        <is>
          <t>AtkRatio</t>
        </is>
      </c>
      <c r="G2510" s="68">
        <f>INT(G2509*1.01)</f>
        <v/>
      </c>
      <c r="H2510" s="68" t="inlineStr">
        <is>
          <t>DefRatio</t>
        </is>
      </c>
      <c r="I2510" s="68">
        <f>G2510</f>
        <v/>
      </c>
    </row>
    <row r="2511">
      <c r="A2511" s="68">
        <f>B2511&amp;TEXT(C2511,"0000")</f>
        <v/>
      </c>
      <c r="B2511" s="68" t="n">
        <v>201</v>
      </c>
      <c r="C2511" s="68" t="n">
        <v>608</v>
      </c>
      <c r="D2511" s="68" t="inlineStr">
        <is>
          <t>HpRatio</t>
        </is>
      </c>
      <c r="E2511" s="68" t="n">
        <v>0</v>
      </c>
      <c r="F2511" s="68" t="inlineStr">
        <is>
          <t>AtkRatio</t>
        </is>
      </c>
      <c r="G2511" s="68">
        <f>INT(G2510*1.01)</f>
        <v/>
      </c>
      <c r="H2511" s="68" t="inlineStr">
        <is>
          <t>DefRatio</t>
        </is>
      </c>
      <c r="I2511" s="68">
        <f>G2511</f>
        <v/>
      </c>
    </row>
    <row r="2512">
      <c r="A2512" s="68">
        <f>B2512&amp;TEXT(C2512,"0000")</f>
        <v/>
      </c>
      <c r="B2512" s="68" t="n">
        <v>201</v>
      </c>
      <c r="C2512" s="68" t="n">
        <v>609</v>
      </c>
      <c r="D2512" s="68" t="inlineStr">
        <is>
          <t>HpRatio</t>
        </is>
      </c>
      <c r="E2512" s="68" t="n">
        <v>0</v>
      </c>
      <c r="F2512" s="68" t="inlineStr">
        <is>
          <t>AtkRatio</t>
        </is>
      </c>
      <c r="G2512" s="68">
        <f>INT(G2511*1.01)</f>
        <v/>
      </c>
      <c r="H2512" s="68" t="inlineStr">
        <is>
          <t>DefRatio</t>
        </is>
      </c>
      <c r="I2512" s="68">
        <f>G2512</f>
        <v/>
      </c>
    </row>
    <row r="2513">
      <c r="A2513" s="68">
        <f>B2513&amp;TEXT(C2513,"0000")</f>
        <v/>
      </c>
      <c r="B2513" s="68" t="n">
        <v>201</v>
      </c>
      <c r="C2513" s="68" t="n">
        <v>610</v>
      </c>
      <c r="D2513" s="68" t="inlineStr">
        <is>
          <t>HpRatio</t>
        </is>
      </c>
      <c r="E2513" s="68" t="n">
        <v>0</v>
      </c>
      <c r="F2513" s="68" t="inlineStr">
        <is>
          <t>AtkRatio</t>
        </is>
      </c>
      <c r="G2513" s="68">
        <f>INT(G2512*1.01)</f>
        <v/>
      </c>
      <c r="H2513" s="68" t="inlineStr">
        <is>
          <t>DefRatio</t>
        </is>
      </c>
      <c r="I2513" s="68">
        <f>G2513</f>
        <v/>
      </c>
    </row>
    <row r="2514">
      <c r="A2514" s="68">
        <f>B2514&amp;TEXT(C2514,"0000")</f>
        <v/>
      </c>
      <c r="B2514" s="68" t="n">
        <v>201</v>
      </c>
      <c r="C2514" s="68" t="n">
        <v>611</v>
      </c>
      <c r="D2514" s="68" t="inlineStr">
        <is>
          <t>HpRatio</t>
        </is>
      </c>
      <c r="E2514" s="68" t="n">
        <v>0</v>
      </c>
      <c r="F2514" s="68" t="inlineStr">
        <is>
          <t>AtkRatio</t>
        </is>
      </c>
      <c r="G2514" s="68">
        <f>INT(G2513*1.01)</f>
        <v/>
      </c>
      <c r="H2514" s="68" t="inlineStr">
        <is>
          <t>DefRatio</t>
        </is>
      </c>
      <c r="I2514" s="68">
        <f>G2514</f>
        <v/>
      </c>
    </row>
    <row r="2515">
      <c r="A2515" s="68">
        <f>B2515&amp;TEXT(C2515,"0000")</f>
        <v/>
      </c>
      <c r="B2515" s="68" t="n">
        <v>201</v>
      </c>
      <c r="C2515" s="68" t="n">
        <v>612</v>
      </c>
      <c r="D2515" s="68" t="inlineStr">
        <is>
          <t>HpRatio</t>
        </is>
      </c>
      <c r="E2515" s="68" t="n">
        <v>0</v>
      </c>
      <c r="F2515" s="68" t="inlineStr">
        <is>
          <t>AtkRatio</t>
        </is>
      </c>
      <c r="G2515" s="68">
        <f>INT(G2514*1.01)</f>
        <v/>
      </c>
      <c r="H2515" s="68" t="inlineStr">
        <is>
          <t>DefRatio</t>
        </is>
      </c>
      <c r="I2515" s="68">
        <f>G2515</f>
        <v/>
      </c>
    </row>
    <row r="2516">
      <c r="A2516" s="68">
        <f>B2516&amp;TEXT(C2516,"0000")</f>
        <v/>
      </c>
      <c r="B2516" s="68" t="n">
        <v>201</v>
      </c>
      <c r="C2516" s="68" t="n">
        <v>613</v>
      </c>
      <c r="D2516" s="68" t="inlineStr">
        <is>
          <t>HpRatio</t>
        </is>
      </c>
      <c r="E2516" s="68" t="n">
        <v>0</v>
      </c>
      <c r="F2516" s="68" t="inlineStr">
        <is>
          <t>AtkRatio</t>
        </is>
      </c>
      <c r="G2516" s="68">
        <f>INT(G2515*1.01)</f>
        <v/>
      </c>
      <c r="H2516" s="68" t="inlineStr">
        <is>
          <t>DefRatio</t>
        </is>
      </c>
      <c r="I2516" s="68">
        <f>G2516</f>
        <v/>
      </c>
    </row>
    <row r="2517">
      <c r="A2517" s="68">
        <f>B2517&amp;TEXT(C2517,"0000")</f>
        <v/>
      </c>
      <c r="B2517" s="68" t="n">
        <v>201</v>
      </c>
      <c r="C2517" s="68" t="n">
        <v>614</v>
      </c>
      <c r="D2517" s="68" t="inlineStr">
        <is>
          <t>HpRatio</t>
        </is>
      </c>
      <c r="E2517" s="68" t="n">
        <v>0</v>
      </c>
      <c r="F2517" s="68" t="inlineStr">
        <is>
          <t>AtkRatio</t>
        </is>
      </c>
      <c r="G2517" s="68">
        <f>INT(G2516*1.01)</f>
        <v/>
      </c>
      <c r="H2517" s="68" t="inlineStr">
        <is>
          <t>DefRatio</t>
        </is>
      </c>
      <c r="I2517" s="68">
        <f>G2517</f>
        <v/>
      </c>
    </row>
    <row r="2518">
      <c r="A2518" s="68">
        <f>B2518&amp;TEXT(C2518,"0000")</f>
        <v/>
      </c>
      <c r="B2518" s="68" t="n">
        <v>201</v>
      </c>
      <c r="C2518" s="68" t="n">
        <v>615</v>
      </c>
      <c r="D2518" s="68" t="inlineStr">
        <is>
          <t>HpRatio</t>
        </is>
      </c>
      <c r="E2518" s="68" t="n">
        <v>0</v>
      </c>
      <c r="F2518" s="68" t="inlineStr">
        <is>
          <t>AtkRatio</t>
        </is>
      </c>
      <c r="G2518" s="68">
        <f>INT(G2517*1.01)</f>
        <v/>
      </c>
      <c r="H2518" s="68" t="inlineStr">
        <is>
          <t>DefRatio</t>
        </is>
      </c>
      <c r="I2518" s="68">
        <f>G2518</f>
        <v/>
      </c>
    </row>
    <row r="2519">
      <c r="A2519" s="68">
        <f>B2519&amp;TEXT(C2519,"0000")</f>
        <v/>
      </c>
      <c r="B2519" s="68" t="n">
        <v>201</v>
      </c>
      <c r="C2519" s="68" t="n">
        <v>616</v>
      </c>
      <c r="D2519" s="68" t="inlineStr">
        <is>
          <t>HpRatio</t>
        </is>
      </c>
      <c r="E2519" s="68" t="n">
        <v>0</v>
      </c>
      <c r="F2519" s="68" t="inlineStr">
        <is>
          <t>AtkRatio</t>
        </is>
      </c>
      <c r="G2519" s="68">
        <f>INT(G2518*1.01)</f>
        <v/>
      </c>
      <c r="H2519" s="68" t="inlineStr">
        <is>
          <t>DefRatio</t>
        </is>
      </c>
      <c r="I2519" s="68">
        <f>G2519</f>
        <v/>
      </c>
    </row>
    <row r="2520">
      <c r="A2520" s="68">
        <f>B2520&amp;TEXT(C2520,"0000")</f>
        <v/>
      </c>
      <c r="B2520" s="68" t="n">
        <v>201</v>
      </c>
      <c r="C2520" s="68" t="n">
        <v>617</v>
      </c>
      <c r="D2520" s="68" t="inlineStr">
        <is>
          <t>HpRatio</t>
        </is>
      </c>
      <c r="E2520" s="68" t="n">
        <v>0</v>
      </c>
      <c r="F2520" s="68" t="inlineStr">
        <is>
          <t>AtkRatio</t>
        </is>
      </c>
      <c r="G2520" s="68">
        <f>INT(G2519*1.01)</f>
        <v/>
      </c>
      <c r="H2520" s="68" t="inlineStr">
        <is>
          <t>DefRatio</t>
        </is>
      </c>
      <c r="I2520" s="68">
        <f>G2520</f>
        <v/>
      </c>
    </row>
    <row r="2521">
      <c r="A2521" s="68">
        <f>B2521&amp;TEXT(C2521,"0000")</f>
        <v/>
      </c>
      <c r="B2521" s="68" t="n">
        <v>201</v>
      </c>
      <c r="C2521" s="68" t="n">
        <v>618</v>
      </c>
      <c r="D2521" s="68" t="inlineStr">
        <is>
          <t>HpRatio</t>
        </is>
      </c>
      <c r="E2521" s="68" t="n">
        <v>0</v>
      </c>
      <c r="F2521" s="68" t="inlineStr">
        <is>
          <t>AtkRatio</t>
        </is>
      </c>
      <c r="G2521" s="68">
        <f>INT(G2520*1.01)</f>
        <v/>
      </c>
      <c r="H2521" s="68" t="inlineStr">
        <is>
          <t>DefRatio</t>
        </is>
      </c>
      <c r="I2521" s="68">
        <f>G2521</f>
        <v/>
      </c>
    </row>
    <row r="2522">
      <c r="A2522" s="68">
        <f>B2522&amp;TEXT(C2522,"0000")</f>
        <v/>
      </c>
      <c r="B2522" s="68" t="n">
        <v>201</v>
      </c>
      <c r="C2522" s="68" t="n">
        <v>619</v>
      </c>
      <c r="D2522" s="68" t="inlineStr">
        <is>
          <t>HpRatio</t>
        </is>
      </c>
      <c r="E2522" s="68" t="n">
        <v>0</v>
      </c>
      <c r="F2522" s="68" t="inlineStr">
        <is>
          <t>AtkRatio</t>
        </is>
      </c>
      <c r="G2522" s="68">
        <f>INT(G2521*1.01)</f>
        <v/>
      </c>
      <c r="H2522" s="68" t="inlineStr">
        <is>
          <t>DefRatio</t>
        </is>
      </c>
      <c r="I2522" s="68">
        <f>G2522</f>
        <v/>
      </c>
    </row>
    <row r="2523">
      <c r="A2523" s="68">
        <f>B2523&amp;TEXT(C2523,"0000")</f>
        <v/>
      </c>
      <c r="B2523" s="68" t="n">
        <v>201</v>
      </c>
      <c r="C2523" s="68" t="n">
        <v>620</v>
      </c>
      <c r="D2523" s="68" t="inlineStr">
        <is>
          <t>HpRatio</t>
        </is>
      </c>
      <c r="E2523" s="68" t="n">
        <v>0</v>
      </c>
      <c r="F2523" s="68" t="inlineStr">
        <is>
          <t>AtkRatio</t>
        </is>
      </c>
      <c r="G2523" s="68">
        <f>INT(G2522*1.01)</f>
        <v/>
      </c>
      <c r="H2523" s="68" t="inlineStr">
        <is>
          <t>DefRatio</t>
        </is>
      </c>
      <c r="I2523" s="68">
        <f>G2523</f>
        <v/>
      </c>
    </row>
    <row r="2524">
      <c r="A2524" s="68">
        <f>B2524&amp;TEXT(C2524,"0000")</f>
        <v/>
      </c>
      <c r="B2524" s="68" t="n">
        <v>201</v>
      </c>
      <c r="C2524" s="68" t="n">
        <v>621</v>
      </c>
      <c r="D2524" s="68" t="inlineStr">
        <is>
          <t>HpRatio</t>
        </is>
      </c>
      <c r="E2524" s="68" t="n">
        <v>0</v>
      </c>
      <c r="F2524" s="68" t="inlineStr">
        <is>
          <t>AtkRatio</t>
        </is>
      </c>
      <c r="G2524" s="68">
        <f>INT(G2523*1.01)</f>
        <v/>
      </c>
      <c r="H2524" s="68" t="inlineStr">
        <is>
          <t>DefRatio</t>
        </is>
      </c>
      <c r="I2524" s="68">
        <f>G2524</f>
        <v/>
      </c>
    </row>
    <row r="2525">
      <c r="A2525" s="68">
        <f>B2525&amp;TEXT(C2525,"0000")</f>
        <v/>
      </c>
      <c r="B2525" s="68" t="n">
        <v>201</v>
      </c>
      <c r="C2525" s="68" t="n">
        <v>622</v>
      </c>
      <c r="D2525" s="68" t="inlineStr">
        <is>
          <t>HpRatio</t>
        </is>
      </c>
      <c r="E2525" s="68" t="n">
        <v>0</v>
      </c>
      <c r="F2525" s="68" t="inlineStr">
        <is>
          <t>AtkRatio</t>
        </is>
      </c>
      <c r="G2525" s="68">
        <f>INT(G2524*1.01)</f>
        <v/>
      </c>
      <c r="H2525" s="68" t="inlineStr">
        <is>
          <t>DefRatio</t>
        </is>
      </c>
      <c r="I2525" s="68">
        <f>G2525</f>
        <v/>
      </c>
    </row>
    <row r="2526">
      <c r="A2526" s="68">
        <f>B2526&amp;TEXT(C2526,"0000")</f>
        <v/>
      </c>
      <c r="B2526" s="68" t="n">
        <v>201</v>
      </c>
      <c r="C2526" s="68" t="n">
        <v>623</v>
      </c>
      <c r="D2526" s="68" t="inlineStr">
        <is>
          <t>HpRatio</t>
        </is>
      </c>
      <c r="E2526" s="68" t="n">
        <v>0</v>
      </c>
      <c r="F2526" s="68" t="inlineStr">
        <is>
          <t>AtkRatio</t>
        </is>
      </c>
      <c r="G2526" s="68">
        <f>INT(G2525*1.01)</f>
        <v/>
      </c>
      <c r="H2526" s="68" t="inlineStr">
        <is>
          <t>DefRatio</t>
        </is>
      </c>
      <c r="I2526" s="68">
        <f>G2526</f>
        <v/>
      </c>
    </row>
    <row r="2527">
      <c r="A2527" s="68">
        <f>B2527&amp;TEXT(C2527,"0000")</f>
        <v/>
      </c>
      <c r="B2527" s="68" t="n">
        <v>201</v>
      </c>
      <c r="C2527" s="68" t="n">
        <v>624</v>
      </c>
      <c r="D2527" s="68" t="inlineStr">
        <is>
          <t>HpRatio</t>
        </is>
      </c>
      <c r="E2527" s="68" t="n">
        <v>0</v>
      </c>
      <c r="F2527" s="68" t="inlineStr">
        <is>
          <t>AtkRatio</t>
        </is>
      </c>
      <c r="G2527" s="68">
        <f>INT(G2526*1.01)</f>
        <v/>
      </c>
      <c r="H2527" s="68" t="inlineStr">
        <is>
          <t>DefRatio</t>
        </is>
      </c>
      <c r="I2527" s="68">
        <f>G2527</f>
        <v/>
      </c>
    </row>
    <row r="2528">
      <c r="A2528" s="68">
        <f>B2528&amp;TEXT(C2528,"0000")</f>
        <v/>
      </c>
      <c r="B2528" s="68" t="n">
        <v>201</v>
      </c>
      <c r="C2528" s="68" t="n">
        <v>625</v>
      </c>
      <c r="D2528" s="68" t="inlineStr">
        <is>
          <t>HpRatio</t>
        </is>
      </c>
      <c r="E2528" s="68" t="n">
        <v>0</v>
      </c>
      <c r="F2528" s="68" t="inlineStr">
        <is>
          <t>AtkRatio</t>
        </is>
      </c>
      <c r="G2528" s="68">
        <f>INT(G2527*1.01)</f>
        <v/>
      </c>
      <c r="H2528" s="68" t="inlineStr">
        <is>
          <t>DefRatio</t>
        </is>
      </c>
      <c r="I2528" s="68">
        <f>G2528</f>
        <v/>
      </c>
    </row>
    <row r="2529">
      <c r="A2529" s="68">
        <f>B2529&amp;TEXT(C2529,"0000")</f>
        <v/>
      </c>
      <c r="B2529" s="68" t="n">
        <v>201</v>
      </c>
      <c r="C2529" s="68" t="n">
        <v>626</v>
      </c>
      <c r="D2529" s="68" t="inlineStr">
        <is>
          <t>HpRatio</t>
        </is>
      </c>
      <c r="E2529" s="68" t="n">
        <v>0</v>
      </c>
      <c r="F2529" s="68" t="inlineStr">
        <is>
          <t>AtkRatio</t>
        </is>
      </c>
      <c r="G2529" s="68">
        <f>INT(G2528*1.01)</f>
        <v/>
      </c>
      <c r="H2529" s="68" t="inlineStr">
        <is>
          <t>DefRatio</t>
        </is>
      </c>
      <c r="I2529" s="68">
        <f>G2529</f>
        <v/>
      </c>
    </row>
    <row r="2530">
      <c r="A2530" s="68">
        <f>B2530&amp;TEXT(C2530,"0000")</f>
        <v/>
      </c>
      <c r="B2530" s="68" t="n">
        <v>201</v>
      </c>
      <c r="C2530" s="68" t="n">
        <v>627</v>
      </c>
      <c r="D2530" s="68" t="inlineStr">
        <is>
          <t>HpRatio</t>
        </is>
      </c>
      <c r="E2530" s="68" t="n">
        <v>0</v>
      </c>
      <c r="F2530" s="68" t="inlineStr">
        <is>
          <t>AtkRatio</t>
        </is>
      </c>
      <c r="G2530" s="68">
        <f>INT(G2529*1.01)</f>
        <v/>
      </c>
      <c r="H2530" s="68" t="inlineStr">
        <is>
          <t>DefRatio</t>
        </is>
      </c>
      <c r="I2530" s="68">
        <f>G2530</f>
        <v/>
      </c>
    </row>
    <row r="2531">
      <c r="A2531" s="68">
        <f>B2531&amp;TEXT(C2531,"0000")</f>
        <v/>
      </c>
      <c r="B2531" s="68" t="n">
        <v>201</v>
      </c>
      <c r="C2531" s="68" t="n">
        <v>628</v>
      </c>
      <c r="D2531" s="68" t="inlineStr">
        <is>
          <t>HpRatio</t>
        </is>
      </c>
      <c r="E2531" s="68" t="n">
        <v>0</v>
      </c>
      <c r="F2531" s="68" t="inlineStr">
        <is>
          <t>AtkRatio</t>
        </is>
      </c>
      <c r="G2531" s="68">
        <f>INT(G2530*1.01)</f>
        <v/>
      </c>
      <c r="H2531" s="68" t="inlineStr">
        <is>
          <t>DefRatio</t>
        </is>
      </c>
      <c r="I2531" s="68">
        <f>G2531</f>
        <v/>
      </c>
    </row>
    <row r="2532">
      <c r="A2532" s="68">
        <f>B2532&amp;TEXT(C2532,"0000")</f>
        <v/>
      </c>
      <c r="B2532" s="68" t="n">
        <v>201</v>
      </c>
      <c r="C2532" s="68" t="n">
        <v>629</v>
      </c>
      <c r="D2532" s="68" t="inlineStr">
        <is>
          <t>HpRatio</t>
        </is>
      </c>
      <c r="E2532" s="68" t="n">
        <v>0</v>
      </c>
      <c r="F2532" s="68" t="inlineStr">
        <is>
          <t>AtkRatio</t>
        </is>
      </c>
      <c r="G2532" s="68">
        <f>INT(G2531*1.01)</f>
        <v/>
      </c>
      <c r="H2532" s="68" t="inlineStr">
        <is>
          <t>DefRatio</t>
        </is>
      </c>
      <c r="I2532" s="68">
        <f>G2532</f>
        <v/>
      </c>
    </row>
    <row r="2533">
      <c r="A2533" s="68">
        <f>B2533&amp;TEXT(C2533,"0000")</f>
        <v/>
      </c>
      <c r="B2533" s="68" t="n">
        <v>201</v>
      </c>
      <c r="C2533" s="68" t="n">
        <v>630</v>
      </c>
      <c r="D2533" s="68" t="inlineStr">
        <is>
          <t>HpRatio</t>
        </is>
      </c>
      <c r="E2533" s="68" t="n">
        <v>0</v>
      </c>
      <c r="F2533" s="68" t="inlineStr">
        <is>
          <t>AtkRatio</t>
        </is>
      </c>
      <c r="G2533" s="68">
        <f>INT(G2532*1.01)</f>
        <v/>
      </c>
      <c r="H2533" s="68" t="inlineStr">
        <is>
          <t>DefRatio</t>
        </is>
      </c>
      <c r="I2533" s="68">
        <f>G2533</f>
        <v/>
      </c>
    </row>
    <row r="2534">
      <c r="A2534" s="68">
        <f>B2534&amp;TEXT(C2534,"0000")</f>
        <v/>
      </c>
      <c r="B2534" s="68" t="n">
        <v>201</v>
      </c>
      <c r="C2534" s="68" t="n">
        <v>631</v>
      </c>
      <c r="D2534" s="68" t="inlineStr">
        <is>
          <t>HpRatio</t>
        </is>
      </c>
      <c r="E2534" s="68" t="n">
        <v>0</v>
      </c>
      <c r="F2534" s="68" t="inlineStr">
        <is>
          <t>AtkRatio</t>
        </is>
      </c>
      <c r="G2534" s="68">
        <f>INT(G2533*1.01)</f>
        <v/>
      </c>
      <c r="H2534" s="68" t="inlineStr">
        <is>
          <t>DefRatio</t>
        </is>
      </c>
      <c r="I2534" s="68">
        <f>G2534</f>
        <v/>
      </c>
    </row>
    <row r="2535">
      <c r="A2535" s="68">
        <f>B2535&amp;TEXT(C2535,"0000")</f>
        <v/>
      </c>
      <c r="B2535" s="68" t="n">
        <v>201</v>
      </c>
      <c r="C2535" s="68" t="n">
        <v>632</v>
      </c>
      <c r="D2535" s="68" t="inlineStr">
        <is>
          <t>HpRatio</t>
        </is>
      </c>
      <c r="E2535" s="68" t="n">
        <v>0</v>
      </c>
      <c r="F2535" s="68" t="inlineStr">
        <is>
          <t>AtkRatio</t>
        </is>
      </c>
      <c r="G2535" s="68">
        <f>INT(G2534*1.01)</f>
        <v/>
      </c>
      <c r="H2535" s="68" t="inlineStr">
        <is>
          <t>DefRatio</t>
        </is>
      </c>
      <c r="I2535" s="68">
        <f>G2535</f>
        <v/>
      </c>
    </row>
    <row r="2536">
      <c r="A2536" s="68">
        <f>B2536&amp;TEXT(C2536,"0000")</f>
        <v/>
      </c>
      <c r="B2536" s="68" t="n">
        <v>201</v>
      </c>
      <c r="C2536" s="68" t="n">
        <v>633</v>
      </c>
      <c r="D2536" s="68" t="inlineStr">
        <is>
          <t>HpRatio</t>
        </is>
      </c>
      <c r="E2536" s="68" t="n">
        <v>0</v>
      </c>
      <c r="F2536" s="68" t="inlineStr">
        <is>
          <t>AtkRatio</t>
        </is>
      </c>
      <c r="G2536" s="68">
        <f>INT(G2535*1.01)</f>
        <v/>
      </c>
      <c r="H2536" s="68" t="inlineStr">
        <is>
          <t>DefRatio</t>
        </is>
      </c>
      <c r="I2536" s="68">
        <f>G2536</f>
        <v/>
      </c>
    </row>
    <row r="2537">
      <c r="A2537" s="68">
        <f>B2537&amp;TEXT(C2537,"0000")</f>
        <v/>
      </c>
      <c r="B2537" s="68" t="n">
        <v>201</v>
      </c>
      <c r="C2537" s="68" t="n">
        <v>634</v>
      </c>
      <c r="D2537" s="68" t="inlineStr">
        <is>
          <t>HpRatio</t>
        </is>
      </c>
      <c r="E2537" s="68" t="n">
        <v>0</v>
      </c>
      <c r="F2537" s="68" t="inlineStr">
        <is>
          <t>AtkRatio</t>
        </is>
      </c>
      <c r="G2537" s="68">
        <f>INT(G2536*1.01)</f>
        <v/>
      </c>
      <c r="H2537" s="68" t="inlineStr">
        <is>
          <t>DefRatio</t>
        </is>
      </c>
      <c r="I2537" s="68">
        <f>G2537</f>
        <v/>
      </c>
    </row>
    <row r="2538">
      <c r="A2538" s="68">
        <f>B2538&amp;TEXT(C2538,"0000")</f>
        <v/>
      </c>
      <c r="B2538" s="68" t="n">
        <v>201</v>
      </c>
      <c r="C2538" s="68" t="n">
        <v>635</v>
      </c>
      <c r="D2538" s="68" t="inlineStr">
        <is>
          <t>HpRatio</t>
        </is>
      </c>
      <c r="E2538" s="68" t="n">
        <v>0</v>
      </c>
      <c r="F2538" s="68" t="inlineStr">
        <is>
          <t>AtkRatio</t>
        </is>
      </c>
      <c r="G2538" s="68">
        <f>INT(G2537*1.01)</f>
        <v/>
      </c>
      <c r="H2538" s="68" t="inlineStr">
        <is>
          <t>DefRatio</t>
        </is>
      </c>
      <c r="I2538" s="68">
        <f>G2538</f>
        <v/>
      </c>
    </row>
    <row r="2539">
      <c r="A2539" s="68">
        <f>B2539&amp;TEXT(C2539,"0000")</f>
        <v/>
      </c>
      <c r="B2539" s="68" t="n">
        <v>201</v>
      </c>
      <c r="C2539" s="68" t="n">
        <v>636</v>
      </c>
      <c r="D2539" s="68" t="inlineStr">
        <is>
          <t>HpRatio</t>
        </is>
      </c>
      <c r="E2539" s="68" t="n">
        <v>0</v>
      </c>
      <c r="F2539" s="68" t="inlineStr">
        <is>
          <t>AtkRatio</t>
        </is>
      </c>
      <c r="G2539" s="68">
        <f>INT(G2538*1.01)</f>
        <v/>
      </c>
      <c r="H2539" s="68" t="inlineStr">
        <is>
          <t>DefRatio</t>
        </is>
      </c>
      <c r="I2539" s="68">
        <f>G2539</f>
        <v/>
      </c>
    </row>
    <row r="2540">
      <c r="A2540" s="68">
        <f>B2540&amp;TEXT(C2540,"0000")</f>
        <v/>
      </c>
      <c r="B2540" s="68" t="n">
        <v>201</v>
      </c>
      <c r="C2540" s="68" t="n">
        <v>637</v>
      </c>
      <c r="D2540" s="68" t="inlineStr">
        <is>
          <t>HpRatio</t>
        </is>
      </c>
      <c r="E2540" s="68" t="n">
        <v>0</v>
      </c>
      <c r="F2540" s="68" t="inlineStr">
        <is>
          <t>AtkRatio</t>
        </is>
      </c>
      <c r="G2540" s="68">
        <f>INT(G2539*1.01)</f>
        <v/>
      </c>
      <c r="H2540" s="68" t="inlineStr">
        <is>
          <t>DefRatio</t>
        </is>
      </c>
      <c r="I2540" s="68">
        <f>G2540</f>
        <v/>
      </c>
    </row>
    <row r="2541">
      <c r="A2541" s="68">
        <f>B2541&amp;TEXT(C2541,"0000")</f>
        <v/>
      </c>
      <c r="B2541" s="68" t="n">
        <v>201</v>
      </c>
      <c r="C2541" s="68" t="n">
        <v>638</v>
      </c>
      <c r="D2541" s="68" t="inlineStr">
        <is>
          <t>HpRatio</t>
        </is>
      </c>
      <c r="E2541" s="68" t="n">
        <v>0</v>
      </c>
      <c r="F2541" s="68" t="inlineStr">
        <is>
          <t>AtkRatio</t>
        </is>
      </c>
      <c r="G2541" s="68">
        <f>INT(G2540*1.01)</f>
        <v/>
      </c>
      <c r="H2541" s="68" t="inlineStr">
        <is>
          <t>DefRatio</t>
        </is>
      </c>
      <c r="I2541" s="68">
        <f>G2541</f>
        <v/>
      </c>
    </row>
    <row r="2542">
      <c r="A2542" s="68">
        <f>B2542&amp;TEXT(C2542,"0000")</f>
        <v/>
      </c>
      <c r="B2542" s="68" t="n">
        <v>201</v>
      </c>
      <c r="C2542" s="68" t="n">
        <v>639</v>
      </c>
      <c r="D2542" s="68" t="inlineStr">
        <is>
          <t>HpRatio</t>
        </is>
      </c>
      <c r="E2542" s="68" t="n">
        <v>0</v>
      </c>
      <c r="F2542" s="68" t="inlineStr">
        <is>
          <t>AtkRatio</t>
        </is>
      </c>
      <c r="G2542" s="68">
        <f>INT(G2541*1.01)</f>
        <v/>
      </c>
      <c r="H2542" s="68" t="inlineStr">
        <is>
          <t>DefRatio</t>
        </is>
      </c>
      <c r="I2542" s="68">
        <f>G2542</f>
        <v/>
      </c>
    </row>
    <row r="2543">
      <c r="A2543" s="68">
        <f>B2543&amp;TEXT(C2543,"0000")</f>
        <v/>
      </c>
      <c r="B2543" s="68" t="n">
        <v>201</v>
      </c>
      <c r="C2543" s="68" t="n">
        <v>640</v>
      </c>
      <c r="D2543" s="68" t="inlineStr">
        <is>
          <t>HpRatio</t>
        </is>
      </c>
      <c r="E2543" s="68" t="n">
        <v>0</v>
      </c>
      <c r="F2543" s="68" t="inlineStr">
        <is>
          <t>AtkRatio</t>
        </is>
      </c>
      <c r="G2543" s="68">
        <f>INT(G2542*1.01)</f>
        <v/>
      </c>
      <c r="H2543" s="68" t="inlineStr">
        <is>
          <t>DefRatio</t>
        </is>
      </c>
      <c r="I2543" s="68">
        <f>G2543</f>
        <v/>
      </c>
    </row>
    <row r="2544">
      <c r="A2544" s="68">
        <f>B2544&amp;TEXT(C2544,"0000")</f>
        <v/>
      </c>
      <c r="B2544" s="68" t="n">
        <v>201</v>
      </c>
      <c r="C2544" s="68" t="n">
        <v>641</v>
      </c>
      <c r="D2544" s="68" t="inlineStr">
        <is>
          <t>HpRatio</t>
        </is>
      </c>
      <c r="E2544" s="68" t="n">
        <v>0</v>
      </c>
      <c r="F2544" s="68" t="inlineStr">
        <is>
          <t>AtkRatio</t>
        </is>
      </c>
      <c r="G2544" s="68">
        <f>INT(G2543*1.01)</f>
        <v/>
      </c>
      <c r="H2544" s="68" t="inlineStr">
        <is>
          <t>DefRatio</t>
        </is>
      </c>
      <c r="I2544" s="68">
        <f>G2544</f>
        <v/>
      </c>
    </row>
    <row r="2545">
      <c r="A2545" s="68">
        <f>B2545&amp;TEXT(C2545,"0000")</f>
        <v/>
      </c>
      <c r="B2545" s="68" t="n">
        <v>201</v>
      </c>
      <c r="C2545" s="68" t="n">
        <v>642</v>
      </c>
      <c r="D2545" s="68" t="inlineStr">
        <is>
          <t>HpRatio</t>
        </is>
      </c>
      <c r="E2545" s="68" t="n">
        <v>0</v>
      </c>
      <c r="F2545" s="68" t="inlineStr">
        <is>
          <t>AtkRatio</t>
        </is>
      </c>
      <c r="G2545" s="68">
        <f>INT(G2544*1.01)</f>
        <v/>
      </c>
      <c r="H2545" s="68" t="inlineStr">
        <is>
          <t>DefRatio</t>
        </is>
      </c>
      <c r="I2545" s="68">
        <f>G2545</f>
        <v/>
      </c>
    </row>
    <row r="2546">
      <c r="A2546" s="68">
        <f>B2546&amp;TEXT(C2546,"0000")</f>
        <v/>
      </c>
      <c r="B2546" s="68" t="n">
        <v>201</v>
      </c>
      <c r="C2546" s="68" t="n">
        <v>643</v>
      </c>
      <c r="D2546" s="68" t="inlineStr">
        <is>
          <t>HpRatio</t>
        </is>
      </c>
      <c r="E2546" s="68" t="n">
        <v>0</v>
      </c>
      <c r="F2546" s="68" t="inlineStr">
        <is>
          <t>AtkRatio</t>
        </is>
      </c>
      <c r="G2546" s="68">
        <f>INT(G2545*1.01)</f>
        <v/>
      </c>
      <c r="H2546" s="68" t="inlineStr">
        <is>
          <t>DefRatio</t>
        </is>
      </c>
      <c r="I2546" s="68">
        <f>G2546</f>
        <v/>
      </c>
    </row>
    <row r="2547">
      <c r="A2547" s="68">
        <f>B2547&amp;TEXT(C2547,"0000")</f>
        <v/>
      </c>
      <c r="B2547" s="68" t="n">
        <v>201</v>
      </c>
      <c r="C2547" s="68" t="n">
        <v>644</v>
      </c>
      <c r="D2547" s="68" t="inlineStr">
        <is>
          <t>HpRatio</t>
        </is>
      </c>
      <c r="E2547" s="68" t="n">
        <v>0</v>
      </c>
      <c r="F2547" s="68" t="inlineStr">
        <is>
          <t>AtkRatio</t>
        </is>
      </c>
      <c r="G2547" s="68">
        <f>INT(G2546*1.01)</f>
        <v/>
      </c>
      <c r="H2547" s="68" t="inlineStr">
        <is>
          <t>DefRatio</t>
        </is>
      </c>
      <c r="I2547" s="68">
        <f>G2547</f>
        <v/>
      </c>
    </row>
    <row r="2548">
      <c r="A2548" s="68">
        <f>B2548&amp;TEXT(C2548,"0000")</f>
        <v/>
      </c>
      <c r="B2548" s="68" t="n">
        <v>201</v>
      </c>
      <c r="C2548" s="68" t="n">
        <v>645</v>
      </c>
      <c r="D2548" s="68" t="inlineStr">
        <is>
          <t>HpRatio</t>
        </is>
      </c>
      <c r="E2548" s="68" t="n">
        <v>0</v>
      </c>
      <c r="F2548" s="68" t="inlineStr">
        <is>
          <t>AtkRatio</t>
        </is>
      </c>
      <c r="G2548" s="68">
        <f>INT(G2547*1.01)</f>
        <v/>
      </c>
      <c r="H2548" s="68" t="inlineStr">
        <is>
          <t>DefRatio</t>
        </is>
      </c>
      <c r="I2548" s="68">
        <f>G2548</f>
        <v/>
      </c>
    </row>
    <row r="2549">
      <c r="A2549" s="68">
        <f>B2549&amp;TEXT(C2549,"0000")</f>
        <v/>
      </c>
      <c r="B2549" s="68" t="n">
        <v>201</v>
      </c>
      <c r="C2549" s="68" t="n">
        <v>646</v>
      </c>
      <c r="D2549" s="68" t="inlineStr">
        <is>
          <t>HpRatio</t>
        </is>
      </c>
      <c r="E2549" s="68" t="n">
        <v>0</v>
      </c>
      <c r="F2549" s="68" t="inlineStr">
        <is>
          <t>AtkRatio</t>
        </is>
      </c>
      <c r="G2549" s="68">
        <f>INT(G2548*1.01)</f>
        <v/>
      </c>
      <c r="H2549" s="68" t="inlineStr">
        <is>
          <t>DefRatio</t>
        </is>
      </c>
      <c r="I2549" s="68">
        <f>G2549</f>
        <v/>
      </c>
    </row>
    <row r="2550">
      <c r="A2550" s="68">
        <f>B2550&amp;TEXT(C2550,"0000")</f>
        <v/>
      </c>
      <c r="B2550" s="68" t="n">
        <v>201</v>
      </c>
      <c r="C2550" s="68" t="n">
        <v>647</v>
      </c>
      <c r="D2550" s="68" t="inlineStr">
        <is>
          <t>HpRatio</t>
        </is>
      </c>
      <c r="E2550" s="68" t="n">
        <v>0</v>
      </c>
      <c r="F2550" s="68" t="inlineStr">
        <is>
          <t>AtkRatio</t>
        </is>
      </c>
      <c r="G2550" s="68">
        <f>INT(G2549*1.01)</f>
        <v/>
      </c>
      <c r="H2550" s="68" t="inlineStr">
        <is>
          <t>DefRatio</t>
        </is>
      </c>
      <c r="I2550" s="68">
        <f>G2550</f>
        <v/>
      </c>
    </row>
    <row r="2551">
      <c r="A2551" s="68">
        <f>B2551&amp;TEXT(C2551,"0000")</f>
        <v/>
      </c>
      <c r="B2551" s="68" t="n">
        <v>201</v>
      </c>
      <c r="C2551" s="68" t="n">
        <v>648</v>
      </c>
      <c r="D2551" s="68" t="inlineStr">
        <is>
          <t>HpRatio</t>
        </is>
      </c>
      <c r="E2551" s="68" t="n">
        <v>0</v>
      </c>
      <c r="F2551" s="68" t="inlineStr">
        <is>
          <t>AtkRatio</t>
        </is>
      </c>
      <c r="G2551" s="68">
        <f>INT(G2550*1.01)</f>
        <v/>
      </c>
      <c r="H2551" s="68" t="inlineStr">
        <is>
          <t>DefRatio</t>
        </is>
      </c>
      <c r="I2551" s="68">
        <f>G2551</f>
        <v/>
      </c>
    </row>
    <row r="2552">
      <c r="A2552" s="68">
        <f>B2552&amp;TEXT(C2552,"0000")</f>
        <v/>
      </c>
      <c r="B2552" s="68" t="n">
        <v>201</v>
      </c>
      <c r="C2552" s="68" t="n">
        <v>649</v>
      </c>
      <c r="D2552" s="68" t="inlineStr">
        <is>
          <t>HpRatio</t>
        </is>
      </c>
      <c r="E2552" s="68" t="n">
        <v>0</v>
      </c>
      <c r="F2552" s="68" t="inlineStr">
        <is>
          <t>AtkRatio</t>
        </is>
      </c>
      <c r="G2552" s="68">
        <f>INT(G2551*1.01)</f>
        <v/>
      </c>
      <c r="H2552" s="68" t="inlineStr">
        <is>
          <t>DefRatio</t>
        </is>
      </c>
      <c r="I2552" s="68">
        <f>G2552</f>
        <v/>
      </c>
    </row>
    <row r="2553">
      <c r="A2553" s="68">
        <f>B2553&amp;TEXT(C2553,"0000")</f>
        <v/>
      </c>
      <c r="B2553" s="68" t="n">
        <v>201</v>
      </c>
      <c r="C2553" s="68" t="n">
        <v>650</v>
      </c>
      <c r="D2553" s="68" t="inlineStr">
        <is>
          <t>HpRatio</t>
        </is>
      </c>
      <c r="E2553" s="68" t="n">
        <v>0</v>
      </c>
      <c r="F2553" s="68" t="inlineStr">
        <is>
          <t>AtkRatio</t>
        </is>
      </c>
      <c r="G2553" s="68">
        <f>INT(G2552*1.01)</f>
        <v/>
      </c>
      <c r="H2553" s="68" t="inlineStr">
        <is>
          <t>DefRatio</t>
        </is>
      </c>
      <c r="I2553" s="68">
        <f>G2553</f>
        <v/>
      </c>
    </row>
    <row r="2554">
      <c r="A2554" s="68">
        <f>B2554&amp;TEXT(C2554,"0000")</f>
        <v/>
      </c>
      <c r="B2554" s="68" t="n">
        <v>201</v>
      </c>
      <c r="C2554" s="68" t="n">
        <v>651</v>
      </c>
      <c r="D2554" s="68" t="inlineStr">
        <is>
          <t>HpRatio</t>
        </is>
      </c>
      <c r="E2554" s="68" t="n">
        <v>0</v>
      </c>
      <c r="F2554" s="68" t="inlineStr">
        <is>
          <t>AtkRatio</t>
        </is>
      </c>
      <c r="G2554" s="68">
        <f>INT(G2553*1.01)</f>
        <v/>
      </c>
      <c r="H2554" s="68" t="inlineStr">
        <is>
          <t>DefRatio</t>
        </is>
      </c>
      <c r="I2554" s="68">
        <f>G2554</f>
        <v/>
      </c>
    </row>
    <row r="2555">
      <c r="A2555" s="68">
        <f>B2555&amp;TEXT(C2555,"0000")</f>
        <v/>
      </c>
      <c r="B2555" s="68" t="n">
        <v>201</v>
      </c>
      <c r="C2555" s="68" t="n">
        <v>652</v>
      </c>
      <c r="D2555" s="68" t="inlineStr">
        <is>
          <t>HpRatio</t>
        </is>
      </c>
      <c r="E2555" s="68" t="n">
        <v>0</v>
      </c>
      <c r="F2555" s="68" t="inlineStr">
        <is>
          <t>AtkRatio</t>
        </is>
      </c>
      <c r="G2555" s="68">
        <f>INT(G2554*1.01)</f>
        <v/>
      </c>
      <c r="H2555" s="68" t="inlineStr">
        <is>
          <t>DefRatio</t>
        </is>
      </c>
      <c r="I2555" s="68">
        <f>G2555</f>
        <v/>
      </c>
    </row>
    <row r="2556">
      <c r="A2556" s="68">
        <f>B2556&amp;TEXT(C2556,"0000")</f>
        <v/>
      </c>
      <c r="B2556" s="68" t="n">
        <v>201</v>
      </c>
      <c r="C2556" s="68" t="n">
        <v>653</v>
      </c>
      <c r="D2556" s="68" t="inlineStr">
        <is>
          <t>HpRatio</t>
        </is>
      </c>
      <c r="E2556" s="68" t="n">
        <v>0</v>
      </c>
      <c r="F2556" s="68" t="inlineStr">
        <is>
          <t>AtkRatio</t>
        </is>
      </c>
      <c r="G2556" s="68">
        <f>INT(G2555*1.01)</f>
        <v/>
      </c>
      <c r="H2556" s="68" t="inlineStr">
        <is>
          <t>DefRatio</t>
        </is>
      </c>
      <c r="I2556" s="68">
        <f>G2556</f>
        <v/>
      </c>
    </row>
    <row r="2557">
      <c r="A2557" s="68">
        <f>B2557&amp;TEXT(C2557,"0000")</f>
        <v/>
      </c>
      <c r="B2557" s="68" t="n">
        <v>201</v>
      </c>
      <c r="C2557" s="68" t="n">
        <v>654</v>
      </c>
      <c r="D2557" s="68" t="inlineStr">
        <is>
          <t>HpRatio</t>
        </is>
      </c>
      <c r="E2557" s="68" t="n">
        <v>0</v>
      </c>
      <c r="F2557" s="68" t="inlineStr">
        <is>
          <t>AtkRatio</t>
        </is>
      </c>
      <c r="G2557" s="68">
        <f>INT(G2556*1.01)</f>
        <v/>
      </c>
      <c r="H2557" s="68" t="inlineStr">
        <is>
          <t>DefRatio</t>
        </is>
      </c>
      <c r="I2557" s="68">
        <f>G2557</f>
        <v/>
      </c>
    </row>
    <row r="2558">
      <c r="A2558" s="68">
        <f>B2558&amp;TEXT(C2558,"0000")</f>
        <v/>
      </c>
      <c r="B2558" s="68" t="n">
        <v>201</v>
      </c>
      <c r="C2558" s="68" t="n">
        <v>655</v>
      </c>
      <c r="D2558" s="68" t="inlineStr">
        <is>
          <t>HpRatio</t>
        </is>
      </c>
      <c r="E2558" s="68" t="n">
        <v>0</v>
      </c>
      <c r="F2558" s="68" t="inlineStr">
        <is>
          <t>AtkRatio</t>
        </is>
      </c>
      <c r="G2558" s="68">
        <f>INT(G2557*1.01)</f>
        <v/>
      </c>
      <c r="H2558" s="68" t="inlineStr">
        <is>
          <t>DefRatio</t>
        </is>
      </c>
      <c r="I2558" s="68">
        <f>G2558</f>
        <v/>
      </c>
    </row>
    <row r="2559">
      <c r="A2559" s="68">
        <f>B2559&amp;TEXT(C2559,"0000")</f>
        <v/>
      </c>
      <c r="B2559" s="68" t="n">
        <v>201</v>
      </c>
      <c r="C2559" s="68" t="n">
        <v>656</v>
      </c>
      <c r="D2559" s="68" t="inlineStr">
        <is>
          <t>HpRatio</t>
        </is>
      </c>
      <c r="E2559" s="68" t="n">
        <v>0</v>
      </c>
      <c r="F2559" s="68" t="inlineStr">
        <is>
          <t>AtkRatio</t>
        </is>
      </c>
      <c r="G2559" s="68">
        <f>INT(G2558*1.01)</f>
        <v/>
      </c>
      <c r="H2559" s="68" t="inlineStr">
        <is>
          <t>DefRatio</t>
        </is>
      </c>
      <c r="I2559" s="68">
        <f>G2559</f>
        <v/>
      </c>
    </row>
    <row r="2560">
      <c r="A2560" s="68">
        <f>B2560&amp;TEXT(C2560,"0000")</f>
        <v/>
      </c>
      <c r="B2560" s="68" t="n">
        <v>201</v>
      </c>
      <c r="C2560" s="68" t="n">
        <v>657</v>
      </c>
      <c r="D2560" s="68" t="inlineStr">
        <is>
          <t>HpRatio</t>
        </is>
      </c>
      <c r="E2560" s="68" t="n">
        <v>0</v>
      </c>
      <c r="F2560" s="68" t="inlineStr">
        <is>
          <t>AtkRatio</t>
        </is>
      </c>
      <c r="G2560" s="68">
        <f>INT(G2559*1.01)</f>
        <v/>
      </c>
      <c r="H2560" s="68" t="inlineStr">
        <is>
          <t>DefRatio</t>
        </is>
      </c>
      <c r="I2560" s="68">
        <f>G2560</f>
        <v/>
      </c>
    </row>
    <row r="2561">
      <c r="A2561" s="68">
        <f>B2561&amp;TEXT(C2561,"0000")</f>
        <v/>
      </c>
      <c r="B2561" s="68" t="n">
        <v>201</v>
      </c>
      <c r="C2561" s="68" t="n">
        <v>658</v>
      </c>
      <c r="D2561" s="68" t="inlineStr">
        <is>
          <t>HpRatio</t>
        </is>
      </c>
      <c r="E2561" s="68" t="n">
        <v>0</v>
      </c>
      <c r="F2561" s="68" t="inlineStr">
        <is>
          <t>AtkRatio</t>
        </is>
      </c>
      <c r="G2561" s="68">
        <f>INT(G2560*1.01)</f>
        <v/>
      </c>
      <c r="H2561" s="68" t="inlineStr">
        <is>
          <t>DefRatio</t>
        </is>
      </c>
      <c r="I2561" s="68">
        <f>G2561</f>
        <v/>
      </c>
    </row>
    <row r="2562">
      <c r="A2562" s="68">
        <f>B2562&amp;TEXT(C2562,"0000")</f>
        <v/>
      </c>
      <c r="B2562" s="68" t="n">
        <v>201</v>
      </c>
      <c r="C2562" s="68" t="n">
        <v>659</v>
      </c>
      <c r="D2562" s="68" t="inlineStr">
        <is>
          <t>HpRatio</t>
        </is>
      </c>
      <c r="E2562" s="68" t="n">
        <v>0</v>
      </c>
      <c r="F2562" s="68" t="inlineStr">
        <is>
          <t>AtkRatio</t>
        </is>
      </c>
      <c r="G2562" s="68">
        <f>INT(G2561*1.01)</f>
        <v/>
      </c>
      <c r="H2562" s="68" t="inlineStr">
        <is>
          <t>DefRatio</t>
        </is>
      </c>
      <c r="I2562" s="68">
        <f>G2562</f>
        <v/>
      </c>
    </row>
    <row r="2563">
      <c r="A2563" s="68">
        <f>B2563&amp;TEXT(C2563,"0000")</f>
        <v/>
      </c>
      <c r="B2563" s="68" t="n">
        <v>201</v>
      </c>
      <c r="C2563" s="68" t="n">
        <v>660</v>
      </c>
      <c r="D2563" s="68" t="inlineStr">
        <is>
          <t>HpRatio</t>
        </is>
      </c>
      <c r="E2563" s="68" t="n">
        <v>0</v>
      </c>
      <c r="F2563" s="68" t="inlineStr">
        <is>
          <t>AtkRatio</t>
        </is>
      </c>
      <c r="G2563" s="68">
        <f>INT(G2562*1.01)</f>
        <v/>
      </c>
      <c r="H2563" s="68" t="inlineStr">
        <is>
          <t>DefRatio</t>
        </is>
      </c>
      <c r="I2563" s="68">
        <f>G2563</f>
        <v/>
      </c>
    </row>
    <row r="2564">
      <c r="A2564" s="68">
        <f>B2564&amp;TEXT(C2564,"0000")</f>
        <v/>
      </c>
      <c r="B2564" s="68" t="n">
        <v>201</v>
      </c>
      <c r="C2564" s="68" t="n">
        <v>661</v>
      </c>
      <c r="D2564" s="68" t="inlineStr">
        <is>
          <t>HpRatio</t>
        </is>
      </c>
      <c r="E2564" s="68" t="n">
        <v>0</v>
      </c>
      <c r="F2564" s="68" t="inlineStr">
        <is>
          <t>AtkRatio</t>
        </is>
      </c>
      <c r="G2564" s="68">
        <f>INT(G2563*1.01)</f>
        <v/>
      </c>
      <c r="H2564" s="68" t="inlineStr">
        <is>
          <t>DefRatio</t>
        </is>
      </c>
      <c r="I2564" s="68">
        <f>G2564</f>
        <v/>
      </c>
    </row>
    <row r="2565">
      <c r="A2565" s="68">
        <f>B2565&amp;TEXT(C2565,"0000")</f>
        <v/>
      </c>
      <c r="B2565" s="68" t="n">
        <v>201</v>
      </c>
      <c r="C2565" s="68" t="n">
        <v>662</v>
      </c>
      <c r="D2565" s="68" t="inlineStr">
        <is>
          <t>HpRatio</t>
        </is>
      </c>
      <c r="E2565" s="68" t="n">
        <v>0</v>
      </c>
      <c r="F2565" s="68" t="inlineStr">
        <is>
          <t>AtkRatio</t>
        </is>
      </c>
      <c r="G2565" s="68">
        <f>INT(G2564*1.01)</f>
        <v/>
      </c>
      <c r="H2565" s="68" t="inlineStr">
        <is>
          <t>DefRatio</t>
        </is>
      </c>
      <c r="I2565" s="68">
        <f>G2565</f>
        <v/>
      </c>
    </row>
    <row r="2566">
      <c r="A2566" s="68">
        <f>B2566&amp;TEXT(C2566,"0000")</f>
        <v/>
      </c>
      <c r="B2566" s="68" t="n">
        <v>201</v>
      </c>
      <c r="C2566" s="68" t="n">
        <v>663</v>
      </c>
      <c r="D2566" s="68" t="inlineStr">
        <is>
          <t>HpRatio</t>
        </is>
      </c>
      <c r="E2566" s="68" t="n">
        <v>0</v>
      </c>
      <c r="F2566" s="68" t="inlineStr">
        <is>
          <t>AtkRatio</t>
        </is>
      </c>
      <c r="G2566" s="68">
        <f>INT(G2565*1.01)</f>
        <v/>
      </c>
      <c r="H2566" s="68" t="inlineStr">
        <is>
          <t>DefRatio</t>
        </is>
      </c>
      <c r="I2566" s="68">
        <f>G2566</f>
        <v/>
      </c>
    </row>
    <row r="2567">
      <c r="A2567" s="68">
        <f>B2567&amp;TEXT(C2567,"0000")</f>
        <v/>
      </c>
      <c r="B2567" s="68" t="n">
        <v>201</v>
      </c>
      <c r="C2567" s="68" t="n">
        <v>664</v>
      </c>
      <c r="D2567" s="68" t="inlineStr">
        <is>
          <t>HpRatio</t>
        </is>
      </c>
      <c r="E2567" s="68" t="n">
        <v>0</v>
      </c>
      <c r="F2567" s="68" t="inlineStr">
        <is>
          <t>AtkRatio</t>
        </is>
      </c>
      <c r="G2567" s="68">
        <f>INT(G2566*1.01)</f>
        <v/>
      </c>
      <c r="H2567" s="68" t="inlineStr">
        <is>
          <t>DefRatio</t>
        </is>
      </c>
      <c r="I2567" s="68">
        <f>G2567</f>
        <v/>
      </c>
    </row>
    <row r="2568">
      <c r="A2568" s="68">
        <f>B2568&amp;TEXT(C2568,"0000")</f>
        <v/>
      </c>
      <c r="B2568" s="68" t="n">
        <v>201</v>
      </c>
      <c r="C2568" s="68" t="n">
        <v>665</v>
      </c>
      <c r="D2568" s="68" t="inlineStr">
        <is>
          <t>HpRatio</t>
        </is>
      </c>
      <c r="E2568" s="68" t="n">
        <v>0</v>
      </c>
      <c r="F2568" s="68" t="inlineStr">
        <is>
          <t>AtkRatio</t>
        </is>
      </c>
      <c r="G2568" s="68">
        <f>INT(G2567*1.01)</f>
        <v/>
      </c>
      <c r="H2568" s="68" t="inlineStr">
        <is>
          <t>DefRatio</t>
        </is>
      </c>
      <c r="I2568" s="68">
        <f>G2568</f>
        <v/>
      </c>
    </row>
    <row r="2569">
      <c r="A2569" s="68">
        <f>B2569&amp;TEXT(C2569,"0000")</f>
        <v/>
      </c>
      <c r="B2569" s="68" t="n">
        <v>201</v>
      </c>
      <c r="C2569" s="68" t="n">
        <v>666</v>
      </c>
      <c r="D2569" s="68" t="inlineStr">
        <is>
          <t>HpRatio</t>
        </is>
      </c>
      <c r="E2569" s="68" t="n">
        <v>0</v>
      </c>
      <c r="F2569" s="68" t="inlineStr">
        <is>
          <t>AtkRatio</t>
        </is>
      </c>
      <c r="G2569" s="68">
        <f>INT(G2568*1.01)</f>
        <v/>
      </c>
      <c r="H2569" s="68" t="inlineStr">
        <is>
          <t>DefRatio</t>
        </is>
      </c>
      <c r="I2569" s="68">
        <f>G2569</f>
        <v/>
      </c>
    </row>
    <row r="2570">
      <c r="A2570" s="68">
        <f>B2570&amp;TEXT(C2570,"0000")</f>
        <v/>
      </c>
      <c r="B2570" s="68" t="n">
        <v>201</v>
      </c>
      <c r="C2570" s="68" t="n">
        <v>667</v>
      </c>
      <c r="D2570" s="68" t="inlineStr">
        <is>
          <t>HpRatio</t>
        </is>
      </c>
      <c r="E2570" s="68" t="n">
        <v>0</v>
      </c>
      <c r="F2570" s="68" t="inlineStr">
        <is>
          <t>AtkRatio</t>
        </is>
      </c>
      <c r="G2570" s="68">
        <f>INT(G2569*1.01)</f>
        <v/>
      </c>
      <c r="H2570" s="68" t="inlineStr">
        <is>
          <t>DefRatio</t>
        </is>
      </c>
      <c r="I2570" s="68">
        <f>G2570</f>
        <v/>
      </c>
    </row>
    <row r="2571">
      <c r="A2571" s="68">
        <f>B2571&amp;TEXT(C2571,"0000")</f>
        <v/>
      </c>
      <c r="B2571" s="68" t="n">
        <v>201</v>
      </c>
      <c r="C2571" s="68" t="n">
        <v>668</v>
      </c>
      <c r="D2571" s="68" t="inlineStr">
        <is>
          <t>HpRatio</t>
        </is>
      </c>
      <c r="E2571" s="68" t="n">
        <v>0</v>
      </c>
      <c r="F2571" s="68" t="inlineStr">
        <is>
          <t>AtkRatio</t>
        </is>
      </c>
      <c r="G2571" s="68">
        <f>INT(G2570*1.01)</f>
        <v/>
      </c>
      <c r="H2571" s="68" t="inlineStr">
        <is>
          <t>DefRatio</t>
        </is>
      </c>
      <c r="I2571" s="68">
        <f>G2571</f>
        <v/>
      </c>
    </row>
    <row r="2572">
      <c r="A2572" s="68">
        <f>B2572&amp;TEXT(C2572,"0000")</f>
        <v/>
      </c>
      <c r="B2572" s="68" t="n">
        <v>201</v>
      </c>
      <c r="C2572" s="68" t="n">
        <v>669</v>
      </c>
      <c r="D2572" s="68" t="inlineStr">
        <is>
          <t>HpRatio</t>
        </is>
      </c>
      <c r="E2572" s="68" t="n">
        <v>0</v>
      </c>
      <c r="F2572" s="68" t="inlineStr">
        <is>
          <t>AtkRatio</t>
        </is>
      </c>
      <c r="G2572" s="68">
        <f>INT(G2571*1.01)</f>
        <v/>
      </c>
      <c r="H2572" s="68" t="inlineStr">
        <is>
          <t>DefRatio</t>
        </is>
      </c>
      <c r="I2572" s="68">
        <f>G2572</f>
        <v/>
      </c>
    </row>
    <row r="2573">
      <c r="A2573" s="68">
        <f>B2573&amp;TEXT(C2573,"0000")</f>
        <v/>
      </c>
      <c r="B2573" s="68" t="n">
        <v>201</v>
      </c>
      <c r="C2573" s="68" t="n">
        <v>670</v>
      </c>
      <c r="D2573" s="68" t="inlineStr">
        <is>
          <t>HpRatio</t>
        </is>
      </c>
      <c r="E2573" s="68" t="n">
        <v>0</v>
      </c>
      <c r="F2573" s="68" t="inlineStr">
        <is>
          <t>AtkRatio</t>
        </is>
      </c>
      <c r="G2573" s="68">
        <f>INT(G2572*1.01)</f>
        <v/>
      </c>
      <c r="H2573" s="68" t="inlineStr">
        <is>
          <t>DefRatio</t>
        </is>
      </c>
      <c r="I2573" s="68">
        <f>G2573</f>
        <v/>
      </c>
    </row>
    <row r="2574">
      <c r="A2574" s="68">
        <f>B2574&amp;TEXT(C2574,"0000")</f>
        <v/>
      </c>
      <c r="B2574" s="68" t="n">
        <v>201</v>
      </c>
      <c r="C2574" s="68" t="n">
        <v>671</v>
      </c>
      <c r="D2574" s="68" t="inlineStr">
        <is>
          <t>HpRatio</t>
        </is>
      </c>
      <c r="E2574" s="68" t="n">
        <v>0</v>
      </c>
      <c r="F2574" s="68" t="inlineStr">
        <is>
          <t>AtkRatio</t>
        </is>
      </c>
      <c r="G2574" s="68">
        <f>INT(G2573*1.01)</f>
        <v/>
      </c>
      <c r="H2574" s="68" t="inlineStr">
        <is>
          <t>DefRatio</t>
        </is>
      </c>
      <c r="I2574" s="68">
        <f>G2574</f>
        <v/>
      </c>
    </row>
    <row r="2575">
      <c r="A2575" s="68">
        <f>B2575&amp;TEXT(C2575,"0000")</f>
        <v/>
      </c>
      <c r="B2575" s="68" t="n">
        <v>201</v>
      </c>
      <c r="C2575" s="68" t="n">
        <v>672</v>
      </c>
      <c r="D2575" s="68" t="inlineStr">
        <is>
          <t>HpRatio</t>
        </is>
      </c>
      <c r="E2575" s="68" t="n">
        <v>0</v>
      </c>
      <c r="F2575" s="68" t="inlineStr">
        <is>
          <t>AtkRatio</t>
        </is>
      </c>
      <c r="G2575" s="68">
        <f>INT(G2574*1.01)</f>
        <v/>
      </c>
      <c r="H2575" s="68" t="inlineStr">
        <is>
          <t>DefRatio</t>
        </is>
      </c>
      <c r="I2575" s="68">
        <f>G2575</f>
        <v/>
      </c>
    </row>
    <row r="2576">
      <c r="A2576" s="68">
        <f>B2576&amp;TEXT(C2576,"0000")</f>
        <v/>
      </c>
      <c r="B2576" s="68" t="n">
        <v>201</v>
      </c>
      <c r="C2576" s="68" t="n">
        <v>673</v>
      </c>
      <c r="D2576" s="68" t="inlineStr">
        <is>
          <t>HpRatio</t>
        </is>
      </c>
      <c r="E2576" s="68" t="n">
        <v>0</v>
      </c>
      <c r="F2576" s="68" t="inlineStr">
        <is>
          <t>AtkRatio</t>
        </is>
      </c>
      <c r="G2576" s="68">
        <f>INT(G2575*1.01)</f>
        <v/>
      </c>
      <c r="H2576" s="68" t="inlineStr">
        <is>
          <t>DefRatio</t>
        </is>
      </c>
      <c r="I2576" s="68">
        <f>G2576</f>
        <v/>
      </c>
    </row>
    <row r="2577">
      <c r="A2577" s="68">
        <f>B2577&amp;TEXT(C2577,"0000")</f>
        <v/>
      </c>
      <c r="B2577" s="68" t="n">
        <v>201</v>
      </c>
      <c r="C2577" s="68" t="n">
        <v>674</v>
      </c>
      <c r="D2577" s="68" t="inlineStr">
        <is>
          <t>HpRatio</t>
        </is>
      </c>
      <c r="E2577" s="68" t="n">
        <v>0</v>
      </c>
      <c r="F2577" s="68" t="inlineStr">
        <is>
          <t>AtkRatio</t>
        </is>
      </c>
      <c r="G2577" s="68">
        <f>INT(G2576*1.01)</f>
        <v/>
      </c>
      <c r="H2577" s="68" t="inlineStr">
        <is>
          <t>DefRatio</t>
        </is>
      </c>
      <c r="I2577" s="68">
        <f>G2577</f>
        <v/>
      </c>
    </row>
    <row r="2578">
      <c r="A2578" s="68">
        <f>B2578&amp;TEXT(C2578,"0000")</f>
        <v/>
      </c>
      <c r="B2578" s="68" t="n">
        <v>201</v>
      </c>
      <c r="C2578" s="68" t="n">
        <v>675</v>
      </c>
      <c r="D2578" s="68" t="inlineStr">
        <is>
          <t>HpRatio</t>
        </is>
      </c>
      <c r="E2578" s="68" t="n">
        <v>0</v>
      </c>
      <c r="F2578" s="68" t="inlineStr">
        <is>
          <t>AtkRatio</t>
        </is>
      </c>
      <c r="G2578" s="68">
        <f>INT(G2577*1.01)</f>
        <v/>
      </c>
      <c r="H2578" s="68" t="inlineStr">
        <is>
          <t>DefRatio</t>
        </is>
      </c>
      <c r="I2578" s="68">
        <f>G2578</f>
        <v/>
      </c>
    </row>
    <row r="2579">
      <c r="A2579" s="68">
        <f>B2579&amp;TEXT(C2579,"0000")</f>
        <v/>
      </c>
      <c r="B2579" s="68" t="n">
        <v>201</v>
      </c>
      <c r="C2579" s="68" t="n">
        <v>676</v>
      </c>
      <c r="D2579" s="68" t="inlineStr">
        <is>
          <t>HpRatio</t>
        </is>
      </c>
      <c r="E2579" s="68" t="n">
        <v>0</v>
      </c>
      <c r="F2579" s="68" t="inlineStr">
        <is>
          <t>AtkRatio</t>
        </is>
      </c>
      <c r="G2579" s="68">
        <f>INT(G2578*1.01)</f>
        <v/>
      </c>
      <c r="H2579" s="68" t="inlineStr">
        <is>
          <t>DefRatio</t>
        </is>
      </c>
      <c r="I2579" s="68">
        <f>G2579</f>
        <v/>
      </c>
    </row>
    <row r="2580">
      <c r="A2580" s="68">
        <f>B2580&amp;TEXT(C2580,"0000")</f>
        <v/>
      </c>
      <c r="B2580" s="68" t="n">
        <v>201</v>
      </c>
      <c r="C2580" s="68" t="n">
        <v>677</v>
      </c>
      <c r="D2580" s="68" t="inlineStr">
        <is>
          <t>HpRatio</t>
        </is>
      </c>
      <c r="E2580" s="68" t="n">
        <v>0</v>
      </c>
      <c r="F2580" s="68" t="inlineStr">
        <is>
          <t>AtkRatio</t>
        </is>
      </c>
      <c r="G2580" s="68">
        <f>INT(G2579*1.01)</f>
        <v/>
      </c>
      <c r="H2580" s="68" t="inlineStr">
        <is>
          <t>DefRatio</t>
        </is>
      </c>
      <c r="I2580" s="68">
        <f>G2580</f>
        <v/>
      </c>
    </row>
    <row r="2581">
      <c r="A2581" s="68">
        <f>B2581&amp;TEXT(C2581,"0000")</f>
        <v/>
      </c>
      <c r="B2581" s="68" t="n">
        <v>201</v>
      </c>
      <c r="C2581" s="68" t="n">
        <v>678</v>
      </c>
      <c r="D2581" s="68" t="inlineStr">
        <is>
          <t>HpRatio</t>
        </is>
      </c>
      <c r="E2581" s="68" t="n">
        <v>0</v>
      </c>
      <c r="F2581" s="68" t="inlineStr">
        <is>
          <t>AtkRatio</t>
        </is>
      </c>
      <c r="G2581" s="68">
        <f>INT(G2580*1.01)</f>
        <v/>
      </c>
      <c r="H2581" s="68" t="inlineStr">
        <is>
          <t>DefRatio</t>
        </is>
      </c>
      <c r="I2581" s="68">
        <f>G2581</f>
        <v/>
      </c>
    </row>
    <row r="2582">
      <c r="A2582" s="68">
        <f>B2582&amp;TEXT(C2582,"0000")</f>
        <v/>
      </c>
      <c r="B2582" s="68" t="n">
        <v>201</v>
      </c>
      <c r="C2582" s="68" t="n">
        <v>679</v>
      </c>
      <c r="D2582" s="68" t="inlineStr">
        <is>
          <t>HpRatio</t>
        </is>
      </c>
      <c r="E2582" s="68" t="n">
        <v>0</v>
      </c>
      <c r="F2582" s="68" t="inlineStr">
        <is>
          <t>AtkRatio</t>
        </is>
      </c>
      <c r="G2582" s="68">
        <f>INT(G2581*1.01)</f>
        <v/>
      </c>
      <c r="H2582" s="68" t="inlineStr">
        <is>
          <t>DefRatio</t>
        </is>
      </c>
      <c r="I2582" s="68">
        <f>G2582</f>
        <v/>
      </c>
    </row>
    <row r="2583">
      <c r="A2583" s="68">
        <f>B2583&amp;TEXT(C2583,"0000")</f>
        <v/>
      </c>
      <c r="B2583" s="68" t="n">
        <v>201</v>
      </c>
      <c r="C2583" s="68" t="n">
        <v>680</v>
      </c>
      <c r="D2583" s="68" t="inlineStr">
        <is>
          <t>HpRatio</t>
        </is>
      </c>
      <c r="E2583" s="68" t="n">
        <v>0</v>
      </c>
      <c r="F2583" s="68" t="inlineStr">
        <is>
          <t>AtkRatio</t>
        </is>
      </c>
      <c r="G2583" s="68">
        <f>INT(G2582*1.01)</f>
        <v/>
      </c>
      <c r="H2583" s="68" t="inlineStr">
        <is>
          <t>DefRatio</t>
        </is>
      </c>
      <c r="I2583" s="68">
        <f>G2583</f>
        <v/>
      </c>
    </row>
    <row r="2584">
      <c r="A2584" s="68">
        <f>B2584&amp;TEXT(C2584,"0000")</f>
        <v/>
      </c>
      <c r="B2584" s="68" t="n">
        <v>201</v>
      </c>
      <c r="C2584" s="68" t="n">
        <v>681</v>
      </c>
      <c r="D2584" s="68" t="inlineStr">
        <is>
          <t>HpRatio</t>
        </is>
      </c>
      <c r="E2584" s="68" t="n">
        <v>0</v>
      </c>
      <c r="F2584" s="68" t="inlineStr">
        <is>
          <t>AtkRatio</t>
        </is>
      </c>
      <c r="G2584" s="68">
        <f>INT(G2583*1.01)</f>
        <v/>
      </c>
      <c r="H2584" s="68" t="inlineStr">
        <is>
          <t>DefRatio</t>
        </is>
      </c>
      <c r="I2584" s="68">
        <f>G2584</f>
        <v/>
      </c>
    </row>
    <row r="2585">
      <c r="A2585" s="68">
        <f>B2585&amp;TEXT(C2585,"0000")</f>
        <v/>
      </c>
      <c r="B2585" s="68" t="n">
        <v>201</v>
      </c>
      <c r="C2585" s="68" t="n">
        <v>682</v>
      </c>
      <c r="D2585" s="68" t="inlineStr">
        <is>
          <t>HpRatio</t>
        </is>
      </c>
      <c r="E2585" s="68" t="n">
        <v>0</v>
      </c>
      <c r="F2585" s="68" t="inlineStr">
        <is>
          <t>AtkRatio</t>
        </is>
      </c>
      <c r="G2585" s="68">
        <f>INT(G2584*1.01)</f>
        <v/>
      </c>
      <c r="H2585" s="68" t="inlineStr">
        <is>
          <t>DefRatio</t>
        </is>
      </c>
      <c r="I2585" s="68">
        <f>G2585</f>
        <v/>
      </c>
    </row>
    <row r="2586">
      <c r="A2586" s="68">
        <f>B2586&amp;TEXT(C2586,"0000")</f>
        <v/>
      </c>
      <c r="B2586" s="68" t="n">
        <v>201</v>
      </c>
      <c r="C2586" s="68" t="n">
        <v>683</v>
      </c>
      <c r="D2586" s="68" t="inlineStr">
        <is>
          <t>HpRatio</t>
        </is>
      </c>
      <c r="E2586" s="68" t="n">
        <v>0</v>
      </c>
      <c r="F2586" s="68" t="inlineStr">
        <is>
          <t>AtkRatio</t>
        </is>
      </c>
      <c r="G2586" s="68">
        <f>INT(G2585*1.01)</f>
        <v/>
      </c>
      <c r="H2586" s="68" t="inlineStr">
        <is>
          <t>DefRatio</t>
        </is>
      </c>
      <c r="I2586" s="68">
        <f>G2586</f>
        <v/>
      </c>
    </row>
    <row r="2587">
      <c r="A2587" s="68">
        <f>B2587&amp;TEXT(C2587,"0000")</f>
        <v/>
      </c>
      <c r="B2587" s="68" t="n">
        <v>201</v>
      </c>
      <c r="C2587" s="68" t="n">
        <v>684</v>
      </c>
      <c r="D2587" s="68" t="inlineStr">
        <is>
          <t>HpRatio</t>
        </is>
      </c>
      <c r="E2587" s="68" t="n">
        <v>0</v>
      </c>
      <c r="F2587" s="68" t="inlineStr">
        <is>
          <t>AtkRatio</t>
        </is>
      </c>
      <c r="G2587" s="68">
        <f>INT(G2586*1.01)</f>
        <v/>
      </c>
      <c r="H2587" s="68" t="inlineStr">
        <is>
          <t>DefRatio</t>
        </is>
      </c>
      <c r="I2587" s="68">
        <f>G2587</f>
        <v/>
      </c>
    </row>
    <row r="2588">
      <c r="A2588" s="68">
        <f>B2588&amp;TEXT(C2588,"0000")</f>
        <v/>
      </c>
      <c r="B2588" s="68" t="n">
        <v>201</v>
      </c>
      <c r="C2588" s="68" t="n">
        <v>685</v>
      </c>
      <c r="D2588" s="68" t="inlineStr">
        <is>
          <t>HpRatio</t>
        </is>
      </c>
      <c r="E2588" s="68" t="n">
        <v>0</v>
      </c>
      <c r="F2588" s="68" t="inlineStr">
        <is>
          <t>AtkRatio</t>
        </is>
      </c>
      <c r="G2588" s="68">
        <f>INT(G2587*1.01)</f>
        <v/>
      </c>
      <c r="H2588" s="68" t="inlineStr">
        <is>
          <t>DefRatio</t>
        </is>
      </c>
      <c r="I2588" s="68">
        <f>G2588</f>
        <v/>
      </c>
    </row>
    <row r="2589">
      <c r="A2589" s="68">
        <f>B2589&amp;TEXT(C2589,"0000")</f>
        <v/>
      </c>
      <c r="B2589" s="68" t="n">
        <v>201</v>
      </c>
      <c r="C2589" s="68" t="n">
        <v>686</v>
      </c>
      <c r="D2589" s="68" t="inlineStr">
        <is>
          <t>HpRatio</t>
        </is>
      </c>
      <c r="E2589" s="68" t="n">
        <v>0</v>
      </c>
      <c r="F2589" s="68" t="inlineStr">
        <is>
          <t>AtkRatio</t>
        </is>
      </c>
      <c r="G2589" s="68">
        <f>INT(G2588*1.01)</f>
        <v/>
      </c>
      <c r="H2589" s="68" t="inlineStr">
        <is>
          <t>DefRatio</t>
        </is>
      </c>
      <c r="I2589" s="68">
        <f>G2589</f>
        <v/>
      </c>
    </row>
    <row r="2590">
      <c r="A2590" s="68">
        <f>B2590&amp;TEXT(C2590,"0000")</f>
        <v/>
      </c>
      <c r="B2590" s="68" t="n">
        <v>201</v>
      </c>
      <c r="C2590" s="68" t="n">
        <v>687</v>
      </c>
      <c r="D2590" s="68" t="inlineStr">
        <is>
          <t>HpRatio</t>
        </is>
      </c>
      <c r="E2590" s="68" t="n">
        <v>0</v>
      </c>
      <c r="F2590" s="68" t="inlineStr">
        <is>
          <t>AtkRatio</t>
        </is>
      </c>
      <c r="G2590" s="68">
        <f>INT(G2589*1.01)</f>
        <v/>
      </c>
      <c r="H2590" s="68" t="inlineStr">
        <is>
          <t>DefRatio</t>
        </is>
      </c>
      <c r="I2590" s="68">
        <f>G2590</f>
        <v/>
      </c>
    </row>
    <row r="2591">
      <c r="A2591" s="68">
        <f>B2591&amp;TEXT(C2591,"0000")</f>
        <v/>
      </c>
      <c r="B2591" s="68" t="n">
        <v>201</v>
      </c>
      <c r="C2591" s="68" t="n">
        <v>688</v>
      </c>
      <c r="D2591" s="68" t="inlineStr">
        <is>
          <t>HpRatio</t>
        </is>
      </c>
      <c r="E2591" s="68" t="n">
        <v>0</v>
      </c>
      <c r="F2591" s="68" t="inlineStr">
        <is>
          <t>AtkRatio</t>
        </is>
      </c>
      <c r="G2591" s="68">
        <f>INT(G2590*1.01)</f>
        <v/>
      </c>
      <c r="H2591" s="68" t="inlineStr">
        <is>
          <t>DefRatio</t>
        </is>
      </c>
      <c r="I2591" s="68">
        <f>G2591</f>
        <v/>
      </c>
    </row>
    <row r="2592">
      <c r="A2592" s="68">
        <f>B2592&amp;TEXT(C2592,"0000")</f>
        <v/>
      </c>
      <c r="B2592" s="68" t="n">
        <v>201</v>
      </c>
      <c r="C2592" s="68" t="n">
        <v>689</v>
      </c>
      <c r="D2592" s="68" t="inlineStr">
        <is>
          <t>HpRatio</t>
        </is>
      </c>
      <c r="E2592" s="68" t="n">
        <v>0</v>
      </c>
      <c r="F2592" s="68" t="inlineStr">
        <is>
          <t>AtkRatio</t>
        </is>
      </c>
      <c r="G2592" s="68">
        <f>INT(G2591*1.01)</f>
        <v/>
      </c>
      <c r="H2592" s="68" t="inlineStr">
        <is>
          <t>DefRatio</t>
        </is>
      </c>
      <c r="I2592" s="68">
        <f>G2592</f>
        <v/>
      </c>
    </row>
    <row r="2593">
      <c r="A2593" s="68">
        <f>B2593&amp;TEXT(C2593,"0000")</f>
        <v/>
      </c>
      <c r="B2593" s="68" t="n">
        <v>201</v>
      </c>
      <c r="C2593" s="68" t="n">
        <v>690</v>
      </c>
      <c r="D2593" s="68" t="inlineStr">
        <is>
          <t>HpRatio</t>
        </is>
      </c>
      <c r="E2593" s="68" t="n">
        <v>0</v>
      </c>
      <c r="F2593" s="68" t="inlineStr">
        <is>
          <t>AtkRatio</t>
        </is>
      </c>
      <c r="G2593" s="68">
        <f>INT(G2592*1.01)</f>
        <v/>
      </c>
      <c r="H2593" s="68" t="inlineStr">
        <is>
          <t>DefRatio</t>
        </is>
      </c>
      <c r="I2593" s="68">
        <f>G2593</f>
        <v/>
      </c>
    </row>
    <row r="2594">
      <c r="A2594" s="68">
        <f>B2594&amp;TEXT(C2594,"0000")</f>
        <v/>
      </c>
      <c r="B2594" s="68" t="n">
        <v>201</v>
      </c>
      <c r="C2594" s="68" t="n">
        <v>691</v>
      </c>
      <c r="D2594" s="68" t="inlineStr">
        <is>
          <t>HpRatio</t>
        </is>
      </c>
      <c r="E2594" s="68" t="n">
        <v>0</v>
      </c>
      <c r="F2594" s="68" t="inlineStr">
        <is>
          <t>AtkRatio</t>
        </is>
      </c>
      <c r="G2594" s="68">
        <f>INT(G2593*1.01)</f>
        <v/>
      </c>
      <c r="H2594" s="68" t="inlineStr">
        <is>
          <t>DefRatio</t>
        </is>
      </c>
      <c r="I2594" s="68">
        <f>G2594</f>
        <v/>
      </c>
    </row>
    <row r="2595">
      <c r="A2595" s="68">
        <f>B2595&amp;TEXT(C2595,"0000")</f>
        <v/>
      </c>
      <c r="B2595" s="68" t="n">
        <v>201</v>
      </c>
      <c r="C2595" s="68" t="n">
        <v>692</v>
      </c>
      <c r="D2595" s="68" t="inlineStr">
        <is>
          <t>HpRatio</t>
        </is>
      </c>
      <c r="E2595" s="68" t="n">
        <v>0</v>
      </c>
      <c r="F2595" s="68" t="inlineStr">
        <is>
          <t>AtkRatio</t>
        </is>
      </c>
      <c r="G2595" s="68">
        <f>INT(G2594*1.01)</f>
        <v/>
      </c>
      <c r="H2595" s="68" t="inlineStr">
        <is>
          <t>DefRatio</t>
        </is>
      </c>
      <c r="I2595" s="68">
        <f>G2595</f>
        <v/>
      </c>
    </row>
    <row r="2596">
      <c r="A2596" s="68">
        <f>B2596&amp;TEXT(C2596,"0000")</f>
        <v/>
      </c>
      <c r="B2596" s="68" t="n">
        <v>201</v>
      </c>
      <c r="C2596" s="68" t="n">
        <v>693</v>
      </c>
      <c r="D2596" s="68" t="inlineStr">
        <is>
          <t>HpRatio</t>
        </is>
      </c>
      <c r="E2596" s="68" t="n">
        <v>0</v>
      </c>
      <c r="F2596" s="68" t="inlineStr">
        <is>
          <t>AtkRatio</t>
        </is>
      </c>
      <c r="G2596" s="68">
        <f>INT(G2595*1.01)</f>
        <v/>
      </c>
      <c r="H2596" s="68" t="inlineStr">
        <is>
          <t>DefRatio</t>
        </is>
      </c>
      <c r="I2596" s="68">
        <f>G2596</f>
        <v/>
      </c>
    </row>
    <row r="2597">
      <c r="A2597" s="68">
        <f>B2597&amp;TEXT(C2597,"0000")</f>
        <v/>
      </c>
      <c r="B2597" s="68" t="n">
        <v>201</v>
      </c>
      <c r="C2597" s="68" t="n">
        <v>694</v>
      </c>
      <c r="D2597" s="68" t="inlineStr">
        <is>
          <t>HpRatio</t>
        </is>
      </c>
      <c r="E2597" s="68" t="n">
        <v>0</v>
      </c>
      <c r="F2597" s="68" t="inlineStr">
        <is>
          <t>AtkRatio</t>
        </is>
      </c>
      <c r="G2597" s="68">
        <f>INT(G2596*1.01)</f>
        <v/>
      </c>
      <c r="H2597" s="68" t="inlineStr">
        <is>
          <t>DefRatio</t>
        </is>
      </c>
      <c r="I2597" s="68">
        <f>G2597</f>
        <v/>
      </c>
    </row>
    <row r="2598">
      <c r="A2598" s="68">
        <f>B2598&amp;TEXT(C2598,"0000")</f>
        <v/>
      </c>
      <c r="B2598" s="68" t="n">
        <v>201</v>
      </c>
      <c r="C2598" s="68" t="n">
        <v>695</v>
      </c>
      <c r="D2598" s="68" t="inlineStr">
        <is>
          <t>HpRatio</t>
        </is>
      </c>
      <c r="E2598" s="68" t="n">
        <v>0</v>
      </c>
      <c r="F2598" s="68" t="inlineStr">
        <is>
          <t>AtkRatio</t>
        </is>
      </c>
      <c r="G2598" s="68">
        <f>INT(G2597*1.01)</f>
        <v/>
      </c>
      <c r="H2598" s="68" t="inlineStr">
        <is>
          <t>DefRatio</t>
        </is>
      </c>
      <c r="I2598" s="68">
        <f>G2598</f>
        <v/>
      </c>
    </row>
    <row r="2599">
      <c r="A2599" s="68">
        <f>B2599&amp;TEXT(C2599,"0000")</f>
        <v/>
      </c>
      <c r="B2599" s="68" t="n">
        <v>201</v>
      </c>
      <c r="C2599" s="68" t="n">
        <v>696</v>
      </c>
      <c r="D2599" s="68" t="inlineStr">
        <is>
          <t>HpRatio</t>
        </is>
      </c>
      <c r="E2599" s="68" t="n">
        <v>0</v>
      </c>
      <c r="F2599" s="68" t="inlineStr">
        <is>
          <t>AtkRatio</t>
        </is>
      </c>
      <c r="G2599" s="68">
        <f>INT(G2598*1.01)</f>
        <v/>
      </c>
      <c r="H2599" s="68" t="inlineStr">
        <is>
          <t>DefRatio</t>
        </is>
      </c>
      <c r="I2599" s="68">
        <f>G2599</f>
        <v/>
      </c>
    </row>
    <row r="2600">
      <c r="A2600" s="68">
        <f>B2600&amp;TEXT(C2600,"0000")</f>
        <v/>
      </c>
      <c r="B2600" s="68" t="n">
        <v>201</v>
      </c>
      <c r="C2600" s="68" t="n">
        <v>697</v>
      </c>
      <c r="D2600" s="68" t="inlineStr">
        <is>
          <t>HpRatio</t>
        </is>
      </c>
      <c r="E2600" s="68" t="n">
        <v>0</v>
      </c>
      <c r="F2600" s="68" t="inlineStr">
        <is>
          <t>AtkRatio</t>
        </is>
      </c>
      <c r="G2600" s="68">
        <f>INT(G2599*1.01)</f>
        <v/>
      </c>
      <c r="H2600" s="68" t="inlineStr">
        <is>
          <t>DefRatio</t>
        </is>
      </c>
      <c r="I2600" s="68">
        <f>G2600</f>
        <v/>
      </c>
    </row>
    <row r="2601">
      <c r="A2601" s="68">
        <f>B2601&amp;TEXT(C2601,"0000")</f>
        <v/>
      </c>
      <c r="B2601" s="68" t="n">
        <v>201</v>
      </c>
      <c r="C2601" s="68" t="n">
        <v>698</v>
      </c>
      <c r="D2601" s="68" t="inlineStr">
        <is>
          <t>HpRatio</t>
        </is>
      </c>
      <c r="E2601" s="68" t="n">
        <v>0</v>
      </c>
      <c r="F2601" s="68" t="inlineStr">
        <is>
          <t>AtkRatio</t>
        </is>
      </c>
      <c r="G2601" s="68">
        <f>INT(G2600*1.01)</f>
        <v/>
      </c>
      <c r="H2601" s="68" t="inlineStr">
        <is>
          <t>DefRatio</t>
        </is>
      </c>
      <c r="I2601" s="68">
        <f>G2601</f>
        <v/>
      </c>
    </row>
    <row r="2602">
      <c r="A2602" s="68">
        <f>B2602&amp;TEXT(C2602,"0000")</f>
        <v/>
      </c>
      <c r="B2602" s="68" t="n">
        <v>201</v>
      </c>
      <c r="C2602" s="68" t="n">
        <v>699</v>
      </c>
      <c r="D2602" s="68" t="inlineStr">
        <is>
          <t>HpRatio</t>
        </is>
      </c>
      <c r="E2602" s="68" t="n">
        <v>0</v>
      </c>
      <c r="F2602" s="68" t="inlineStr">
        <is>
          <t>AtkRatio</t>
        </is>
      </c>
      <c r="G2602" s="68">
        <f>INT(G2601*1.01)</f>
        <v/>
      </c>
      <c r="H2602" s="68" t="inlineStr">
        <is>
          <t>DefRatio</t>
        </is>
      </c>
      <c r="I2602" s="68">
        <f>G2602</f>
        <v/>
      </c>
    </row>
    <row r="2603">
      <c r="A2603" s="68">
        <f>B2603&amp;TEXT(C2603,"0000")</f>
        <v/>
      </c>
      <c r="B2603" s="68" t="n">
        <v>201</v>
      </c>
      <c r="C2603" s="68" t="n">
        <v>700</v>
      </c>
      <c r="D2603" s="68" t="inlineStr">
        <is>
          <t>HpRatio</t>
        </is>
      </c>
      <c r="E2603" s="68" t="n">
        <v>0</v>
      </c>
      <c r="F2603" s="68" t="inlineStr">
        <is>
          <t>AtkRatio</t>
        </is>
      </c>
      <c r="G2603" s="68">
        <f>INT(G2602*1.01)</f>
        <v/>
      </c>
      <c r="H2603" s="68" t="inlineStr">
        <is>
          <t>DefRatio</t>
        </is>
      </c>
      <c r="I2603" s="68">
        <f>G2603</f>
        <v/>
      </c>
    </row>
    <row r="2604">
      <c r="A2604" s="68">
        <f>B2604&amp;TEXT(C2604,"0000")</f>
        <v/>
      </c>
      <c r="B2604" s="68" t="n">
        <v>201</v>
      </c>
      <c r="C2604" s="68" t="n">
        <v>701</v>
      </c>
      <c r="D2604" s="68" t="inlineStr">
        <is>
          <t>HpRatio</t>
        </is>
      </c>
      <c r="E2604" s="68" t="n">
        <v>0</v>
      </c>
      <c r="F2604" s="68" t="inlineStr">
        <is>
          <t>AtkRatio</t>
        </is>
      </c>
      <c r="G2604" s="68">
        <f>INT(G2603*1.01)</f>
        <v/>
      </c>
      <c r="H2604" s="68" t="inlineStr">
        <is>
          <t>DefRatio</t>
        </is>
      </c>
      <c r="I2604" s="68">
        <f>G2604</f>
        <v/>
      </c>
    </row>
    <row r="2605">
      <c r="A2605" s="68">
        <f>B2605&amp;TEXT(C2605,"0000")</f>
        <v/>
      </c>
      <c r="B2605" s="68" t="n">
        <v>201</v>
      </c>
      <c r="C2605" s="68" t="n">
        <v>702</v>
      </c>
      <c r="D2605" s="68" t="inlineStr">
        <is>
          <t>HpRatio</t>
        </is>
      </c>
      <c r="E2605" s="68" t="n">
        <v>0</v>
      </c>
      <c r="F2605" s="68" t="inlineStr">
        <is>
          <t>AtkRatio</t>
        </is>
      </c>
      <c r="G2605" s="68">
        <f>INT(G2604*1.01)</f>
        <v/>
      </c>
      <c r="H2605" s="68" t="inlineStr">
        <is>
          <t>DefRatio</t>
        </is>
      </c>
      <c r="I2605" s="68">
        <f>G2605</f>
        <v/>
      </c>
    </row>
    <row r="2606">
      <c r="A2606" s="68">
        <f>B2606&amp;TEXT(C2606,"0000")</f>
        <v/>
      </c>
      <c r="B2606" s="68" t="n">
        <v>201</v>
      </c>
      <c r="C2606" s="68" t="n">
        <v>703</v>
      </c>
      <c r="D2606" s="68" t="inlineStr">
        <is>
          <t>HpRatio</t>
        </is>
      </c>
      <c r="E2606" s="68" t="n">
        <v>0</v>
      </c>
      <c r="F2606" s="68" t="inlineStr">
        <is>
          <t>AtkRatio</t>
        </is>
      </c>
      <c r="G2606" s="68">
        <f>INT(G2605*1.01)</f>
        <v/>
      </c>
      <c r="H2606" s="68" t="inlineStr">
        <is>
          <t>DefRatio</t>
        </is>
      </c>
      <c r="I2606" s="68">
        <f>G2606</f>
        <v/>
      </c>
    </row>
    <row r="2607">
      <c r="A2607" s="68">
        <f>B2607&amp;TEXT(C2607,"0000")</f>
        <v/>
      </c>
      <c r="B2607" s="68" t="n">
        <v>201</v>
      </c>
      <c r="C2607" s="68" t="n">
        <v>704</v>
      </c>
      <c r="D2607" s="68" t="inlineStr">
        <is>
          <t>HpRatio</t>
        </is>
      </c>
      <c r="E2607" s="68" t="n">
        <v>0</v>
      </c>
      <c r="F2607" s="68" t="inlineStr">
        <is>
          <t>AtkRatio</t>
        </is>
      </c>
      <c r="G2607" s="68">
        <f>INT(G2606*1.01)</f>
        <v/>
      </c>
      <c r="H2607" s="68" t="inlineStr">
        <is>
          <t>DefRatio</t>
        </is>
      </c>
      <c r="I2607" s="68">
        <f>G2607</f>
        <v/>
      </c>
    </row>
    <row r="2608">
      <c r="A2608" s="68">
        <f>B2608&amp;TEXT(C2608,"0000")</f>
        <v/>
      </c>
      <c r="B2608" s="68" t="n">
        <v>201</v>
      </c>
      <c r="C2608" s="68" t="n">
        <v>705</v>
      </c>
      <c r="D2608" s="68" t="inlineStr">
        <is>
          <t>HpRatio</t>
        </is>
      </c>
      <c r="E2608" s="68" t="n">
        <v>0</v>
      </c>
      <c r="F2608" s="68" t="inlineStr">
        <is>
          <t>AtkRatio</t>
        </is>
      </c>
      <c r="G2608" s="68">
        <f>INT(G2607*1.01)</f>
        <v/>
      </c>
      <c r="H2608" s="68" t="inlineStr">
        <is>
          <t>DefRatio</t>
        </is>
      </c>
      <c r="I2608" s="68">
        <f>G2608</f>
        <v/>
      </c>
    </row>
    <row r="2609">
      <c r="A2609" s="68">
        <f>B2609&amp;TEXT(C2609,"0000")</f>
        <v/>
      </c>
      <c r="B2609" s="68" t="n">
        <v>201</v>
      </c>
      <c r="C2609" s="68" t="n">
        <v>706</v>
      </c>
      <c r="D2609" s="68" t="inlineStr">
        <is>
          <t>HpRatio</t>
        </is>
      </c>
      <c r="E2609" s="68" t="n">
        <v>0</v>
      </c>
      <c r="F2609" s="68" t="inlineStr">
        <is>
          <t>AtkRatio</t>
        </is>
      </c>
      <c r="G2609" s="68">
        <f>INT(G2608*1.01)</f>
        <v/>
      </c>
      <c r="H2609" s="68" t="inlineStr">
        <is>
          <t>DefRatio</t>
        </is>
      </c>
      <c r="I2609" s="68">
        <f>G2609</f>
        <v/>
      </c>
    </row>
    <row r="2610">
      <c r="A2610" s="68">
        <f>B2610&amp;TEXT(C2610,"0000")</f>
        <v/>
      </c>
      <c r="B2610" s="68" t="n">
        <v>201</v>
      </c>
      <c r="C2610" s="68" t="n">
        <v>707</v>
      </c>
      <c r="D2610" s="68" t="inlineStr">
        <is>
          <t>HpRatio</t>
        </is>
      </c>
      <c r="E2610" s="68" t="n">
        <v>0</v>
      </c>
      <c r="F2610" s="68" t="inlineStr">
        <is>
          <t>AtkRatio</t>
        </is>
      </c>
      <c r="G2610" s="68">
        <f>INT(G2609*1.01)</f>
        <v/>
      </c>
      <c r="H2610" s="68" t="inlineStr">
        <is>
          <t>DefRatio</t>
        </is>
      </c>
      <c r="I2610" s="68">
        <f>G2610</f>
        <v/>
      </c>
    </row>
    <row r="2611">
      <c r="A2611" s="68">
        <f>B2611&amp;TEXT(C2611,"0000")</f>
        <v/>
      </c>
      <c r="B2611" s="68" t="n">
        <v>201</v>
      </c>
      <c r="C2611" s="68" t="n">
        <v>708</v>
      </c>
      <c r="D2611" s="68" t="inlineStr">
        <is>
          <t>HpRatio</t>
        </is>
      </c>
      <c r="E2611" s="68" t="n">
        <v>0</v>
      </c>
      <c r="F2611" s="68" t="inlineStr">
        <is>
          <t>AtkRatio</t>
        </is>
      </c>
      <c r="G2611" s="68">
        <f>INT(G2610*1.01)</f>
        <v/>
      </c>
      <c r="H2611" s="68" t="inlineStr">
        <is>
          <t>DefRatio</t>
        </is>
      </c>
      <c r="I2611" s="68">
        <f>G2611</f>
        <v/>
      </c>
    </row>
    <row r="2612">
      <c r="A2612" s="68">
        <f>B2612&amp;TEXT(C2612,"0000")</f>
        <v/>
      </c>
      <c r="B2612" s="68" t="n">
        <v>201</v>
      </c>
      <c r="C2612" s="68" t="n">
        <v>709</v>
      </c>
      <c r="D2612" s="68" t="inlineStr">
        <is>
          <t>HpRatio</t>
        </is>
      </c>
      <c r="E2612" s="68" t="n">
        <v>0</v>
      </c>
      <c r="F2612" s="68" t="inlineStr">
        <is>
          <t>AtkRatio</t>
        </is>
      </c>
      <c r="G2612" s="68">
        <f>INT(G2611*1.01)</f>
        <v/>
      </c>
      <c r="H2612" s="68" t="inlineStr">
        <is>
          <t>DefRatio</t>
        </is>
      </c>
      <c r="I2612" s="68">
        <f>G2612</f>
        <v/>
      </c>
    </row>
    <row r="2613">
      <c r="A2613" s="68">
        <f>B2613&amp;TEXT(C2613,"0000")</f>
        <v/>
      </c>
      <c r="B2613" s="68" t="n">
        <v>201</v>
      </c>
      <c r="C2613" s="68" t="n">
        <v>710</v>
      </c>
      <c r="D2613" s="68" t="inlineStr">
        <is>
          <t>HpRatio</t>
        </is>
      </c>
      <c r="E2613" s="68" t="n">
        <v>0</v>
      </c>
      <c r="F2613" s="68" t="inlineStr">
        <is>
          <t>AtkRatio</t>
        </is>
      </c>
      <c r="G2613" s="68">
        <f>INT(G2612*1.01)</f>
        <v/>
      </c>
      <c r="H2613" s="68" t="inlineStr">
        <is>
          <t>DefRatio</t>
        </is>
      </c>
      <c r="I2613" s="68">
        <f>G2613</f>
        <v/>
      </c>
    </row>
    <row r="2614">
      <c r="A2614" s="68">
        <f>B2614&amp;TEXT(C2614,"0000")</f>
        <v/>
      </c>
      <c r="B2614" s="68" t="n">
        <v>201</v>
      </c>
      <c r="C2614" s="68" t="n">
        <v>711</v>
      </c>
      <c r="D2614" s="68" t="inlineStr">
        <is>
          <t>HpRatio</t>
        </is>
      </c>
      <c r="E2614" s="68" t="n">
        <v>0</v>
      </c>
      <c r="F2614" s="68" t="inlineStr">
        <is>
          <t>AtkRatio</t>
        </is>
      </c>
      <c r="G2614" s="68">
        <f>INT(G2613*1.01)</f>
        <v/>
      </c>
      <c r="H2614" s="68" t="inlineStr">
        <is>
          <t>DefRatio</t>
        </is>
      </c>
      <c r="I2614" s="68">
        <f>G2614</f>
        <v/>
      </c>
    </row>
    <row r="2615">
      <c r="A2615" s="68">
        <f>B2615&amp;TEXT(C2615,"0000")</f>
        <v/>
      </c>
      <c r="B2615" s="68" t="n">
        <v>201</v>
      </c>
      <c r="C2615" s="68" t="n">
        <v>712</v>
      </c>
      <c r="D2615" s="68" t="inlineStr">
        <is>
          <t>HpRatio</t>
        </is>
      </c>
      <c r="E2615" s="68" t="n">
        <v>0</v>
      </c>
      <c r="F2615" s="68" t="inlineStr">
        <is>
          <t>AtkRatio</t>
        </is>
      </c>
      <c r="G2615" s="68">
        <f>INT(G2614*1.01)</f>
        <v/>
      </c>
      <c r="H2615" s="68" t="inlineStr">
        <is>
          <t>DefRatio</t>
        </is>
      </c>
      <c r="I2615" s="68">
        <f>G2615</f>
        <v/>
      </c>
    </row>
    <row r="2616">
      <c r="A2616" s="68">
        <f>B2616&amp;TEXT(C2616,"0000")</f>
        <v/>
      </c>
      <c r="B2616" s="68" t="n">
        <v>201</v>
      </c>
      <c r="C2616" s="68" t="n">
        <v>713</v>
      </c>
      <c r="D2616" s="68" t="inlineStr">
        <is>
          <t>HpRatio</t>
        </is>
      </c>
      <c r="E2616" s="68" t="n">
        <v>0</v>
      </c>
      <c r="F2616" s="68" t="inlineStr">
        <is>
          <t>AtkRatio</t>
        </is>
      </c>
      <c r="G2616" s="68">
        <f>INT(G2615*1.01)</f>
        <v/>
      </c>
      <c r="H2616" s="68" t="inlineStr">
        <is>
          <t>DefRatio</t>
        </is>
      </c>
      <c r="I2616" s="68">
        <f>G2616</f>
        <v/>
      </c>
    </row>
    <row r="2617">
      <c r="A2617" s="68">
        <f>B2617&amp;TEXT(C2617,"0000")</f>
        <v/>
      </c>
      <c r="B2617" s="68" t="n">
        <v>201</v>
      </c>
      <c r="C2617" s="68" t="n">
        <v>714</v>
      </c>
      <c r="D2617" s="68" t="inlineStr">
        <is>
          <t>HpRatio</t>
        </is>
      </c>
      <c r="E2617" s="68" t="n">
        <v>0</v>
      </c>
      <c r="F2617" s="68" t="inlineStr">
        <is>
          <t>AtkRatio</t>
        </is>
      </c>
      <c r="G2617" s="68">
        <f>INT(G2616*1.01)</f>
        <v/>
      </c>
      <c r="H2617" s="68" t="inlineStr">
        <is>
          <t>DefRatio</t>
        </is>
      </c>
      <c r="I2617" s="68">
        <f>G2617</f>
        <v/>
      </c>
    </row>
    <row r="2618">
      <c r="A2618" s="68">
        <f>B2618&amp;TEXT(C2618,"0000")</f>
        <v/>
      </c>
      <c r="B2618" s="68" t="n">
        <v>201</v>
      </c>
      <c r="C2618" s="68" t="n">
        <v>715</v>
      </c>
      <c r="D2618" s="68" t="inlineStr">
        <is>
          <t>HpRatio</t>
        </is>
      </c>
      <c r="E2618" s="68" t="n">
        <v>0</v>
      </c>
      <c r="F2618" s="68" t="inlineStr">
        <is>
          <t>AtkRatio</t>
        </is>
      </c>
      <c r="G2618" s="68">
        <f>INT(G2617*1.01)</f>
        <v/>
      </c>
      <c r="H2618" s="68" t="inlineStr">
        <is>
          <t>DefRatio</t>
        </is>
      </c>
      <c r="I2618" s="68">
        <f>G2618</f>
        <v/>
      </c>
    </row>
    <row r="2619">
      <c r="A2619" s="68">
        <f>B2619&amp;TEXT(C2619,"0000")</f>
        <v/>
      </c>
      <c r="B2619" s="68" t="n">
        <v>201</v>
      </c>
      <c r="C2619" s="68" t="n">
        <v>716</v>
      </c>
      <c r="D2619" s="68" t="inlineStr">
        <is>
          <t>HpRatio</t>
        </is>
      </c>
      <c r="E2619" s="68" t="n">
        <v>0</v>
      </c>
      <c r="F2619" s="68" t="inlineStr">
        <is>
          <t>AtkRatio</t>
        </is>
      </c>
      <c r="G2619" s="68">
        <f>INT(G2618*1.01)</f>
        <v/>
      </c>
      <c r="H2619" s="68" t="inlineStr">
        <is>
          <t>DefRatio</t>
        </is>
      </c>
      <c r="I2619" s="68">
        <f>G2619</f>
        <v/>
      </c>
    </row>
    <row r="2620">
      <c r="A2620" s="68">
        <f>B2620&amp;TEXT(C2620,"0000")</f>
        <v/>
      </c>
      <c r="B2620" s="68" t="n">
        <v>201</v>
      </c>
      <c r="C2620" s="68" t="n">
        <v>717</v>
      </c>
      <c r="D2620" s="68" t="inlineStr">
        <is>
          <t>HpRatio</t>
        </is>
      </c>
      <c r="E2620" s="68" t="n">
        <v>0</v>
      </c>
      <c r="F2620" s="68" t="inlineStr">
        <is>
          <t>AtkRatio</t>
        </is>
      </c>
      <c r="G2620" s="68">
        <f>INT(G2619*1.01)</f>
        <v/>
      </c>
      <c r="H2620" s="68" t="inlineStr">
        <is>
          <t>DefRatio</t>
        </is>
      </c>
      <c r="I2620" s="68">
        <f>G2620</f>
        <v/>
      </c>
    </row>
    <row r="2621">
      <c r="A2621" s="68">
        <f>B2621&amp;TEXT(C2621,"0000")</f>
        <v/>
      </c>
      <c r="B2621" s="68" t="n">
        <v>201</v>
      </c>
      <c r="C2621" s="68" t="n">
        <v>718</v>
      </c>
      <c r="D2621" s="68" t="inlineStr">
        <is>
          <t>HpRatio</t>
        </is>
      </c>
      <c r="E2621" s="68" t="n">
        <v>0</v>
      </c>
      <c r="F2621" s="68" t="inlineStr">
        <is>
          <t>AtkRatio</t>
        </is>
      </c>
      <c r="G2621" s="68">
        <f>INT(G2620*1.01)</f>
        <v/>
      </c>
      <c r="H2621" s="68" t="inlineStr">
        <is>
          <t>DefRatio</t>
        </is>
      </c>
      <c r="I2621" s="68">
        <f>G2621</f>
        <v/>
      </c>
    </row>
    <row r="2622">
      <c r="A2622" s="68">
        <f>B2622&amp;TEXT(C2622,"0000")</f>
        <v/>
      </c>
      <c r="B2622" s="68" t="n">
        <v>201</v>
      </c>
      <c r="C2622" s="68" t="n">
        <v>719</v>
      </c>
      <c r="D2622" s="68" t="inlineStr">
        <is>
          <t>HpRatio</t>
        </is>
      </c>
      <c r="E2622" s="68" t="n">
        <v>0</v>
      </c>
      <c r="F2622" s="68" t="inlineStr">
        <is>
          <t>AtkRatio</t>
        </is>
      </c>
      <c r="G2622" s="68">
        <f>INT(G2621*1.01)</f>
        <v/>
      </c>
      <c r="H2622" s="68" t="inlineStr">
        <is>
          <t>DefRatio</t>
        </is>
      </c>
      <c r="I2622" s="68">
        <f>G2622</f>
        <v/>
      </c>
    </row>
    <row r="2623">
      <c r="A2623" s="68">
        <f>B2623&amp;TEXT(C2623,"0000")</f>
        <v/>
      </c>
      <c r="B2623" s="68" t="n">
        <v>201</v>
      </c>
      <c r="C2623" s="68" t="n">
        <v>720</v>
      </c>
      <c r="D2623" s="68" t="inlineStr">
        <is>
          <t>HpRatio</t>
        </is>
      </c>
      <c r="E2623" s="68" t="n">
        <v>0</v>
      </c>
      <c r="F2623" s="68" t="inlineStr">
        <is>
          <t>AtkRatio</t>
        </is>
      </c>
      <c r="G2623" s="68">
        <f>INT(G2622*1.01)</f>
        <v/>
      </c>
      <c r="H2623" s="68" t="inlineStr">
        <is>
          <t>DefRatio</t>
        </is>
      </c>
      <c r="I2623" s="68">
        <f>G2623</f>
        <v/>
      </c>
    </row>
    <row r="2624">
      <c r="A2624" s="68">
        <f>B2624&amp;TEXT(C2624,"0000")</f>
        <v/>
      </c>
      <c r="B2624" s="68" t="n">
        <v>201</v>
      </c>
      <c r="C2624" s="68" t="n">
        <v>721</v>
      </c>
      <c r="D2624" s="68" t="inlineStr">
        <is>
          <t>HpRatio</t>
        </is>
      </c>
      <c r="E2624" s="68" t="n">
        <v>0</v>
      </c>
      <c r="F2624" s="68" t="inlineStr">
        <is>
          <t>AtkRatio</t>
        </is>
      </c>
      <c r="G2624" s="68">
        <f>INT(G2623*1.01)</f>
        <v/>
      </c>
      <c r="H2624" s="68" t="inlineStr">
        <is>
          <t>DefRatio</t>
        </is>
      </c>
      <c r="I2624" s="68">
        <f>G2624</f>
        <v/>
      </c>
    </row>
    <row r="2625">
      <c r="A2625" s="68">
        <f>B2625&amp;TEXT(C2625,"0000")</f>
        <v/>
      </c>
      <c r="B2625" s="68" t="n">
        <v>201</v>
      </c>
      <c r="C2625" s="68" t="n">
        <v>722</v>
      </c>
      <c r="D2625" s="68" t="inlineStr">
        <is>
          <t>HpRatio</t>
        </is>
      </c>
      <c r="E2625" s="68" t="n">
        <v>0</v>
      </c>
      <c r="F2625" s="68" t="inlineStr">
        <is>
          <t>AtkRatio</t>
        </is>
      </c>
      <c r="G2625" s="68">
        <f>INT(G2624*1.01)</f>
        <v/>
      </c>
      <c r="H2625" s="68" t="inlineStr">
        <is>
          <t>DefRatio</t>
        </is>
      </c>
      <c r="I2625" s="68">
        <f>G2625</f>
        <v/>
      </c>
    </row>
    <row r="2626">
      <c r="A2626" s="68">
        <f>B2626&amp;TEXT(C2626,"0000")</f>
        <v/>
      </c>
      <c r="B2626" s="68" t="n">
        <v>201</v>
      </c>
      <c r="C2626" s="68" t="n">
        <v>723</v>
      </c>
      <c r="D2626" s="68" t="inlineStr">
        <is>
          <t>HpRatio</t>
        </is>
      </c>
      <c r="E2626" s="68" t="n">
        <v>0</v>
      </c>
      <c r="F2626" s="68" t="inlineStr">
        <is>
          <t>AtkRatio</t>
        </is>
      </c>
      <c r="G2626" s="68">
        <f>INT(G2625*1.01)</f>
        <v/>
      </c>
      <c r="H2626" s="68" t="inlineStr">
        <is>
          <t>DefRatio</t>
        </is>
      </c>
      <c r="I2626" s="68">
        <f>G2626</f>
        <v/>
      </c>
    </row>
    <row r="2627">
      <c r="A2627" s="68">
        <f>B2627&amp;TEXT(C2627,"0000")</f>
        <v/>
      </c>
      <c r="B2627" s="68" t="n">
        <v>201</v>
      </c>
      <c r="C2627" s="68" t="n">
        <v>724</v>
      </c>
      <c r="D2627" s="68" t="inlineStr">
        <is>
          <t>HpRatio</t>
        </is>
      </c>
      <c r="E2627" s="68" t="n">
        <v>0</v>
      </c>
      <c r="F2627" s="68" t="inlineStr">
        <is>
          <t>AtkRatio</t>
        </is>
      </c>
      <c r="G2627" s="68">
        <f>INT(G2626*1.01)</f>
        <v/>
      </c>
      <c r="H2627" s="68" t="inlineStr">
        <is>
          <t>DefRatio</t>
        </is>
      </c>
      <c r="I2627" s="68">
        <f>G2627</f>
        <v/>
      </c>
    </row>
    <row r="2628">
      <c r="A2628" s="68">
        <f>B2628&amp;TEXT(C2628,"0000")</f>
        <v/>
      </c>
      <c r="B2628" s="68" t="n">
        <v>201</v>
      </c>
      <c r="C2628" s="68" t="n">
        <v>725</v>
      </c>
      <c r="D2628" s="68" t="inlineStr">
        <is>
          <t>HpRatio</t>
        </is>
      </c>
      <c r="E2628" s="68" t="n">
        <v>0</v>
      </c>
      <c r="F2628" s="68" t="inlineStr">
        <is>
          <t>AtkRatio</t>
        </is>
      </c>
      <c r="G2628" s="68">
        <f>INT(G2627*1.01)</f>
        <v/>
      </c>
      <c r="H2628" s="68" t="inlineStr">
        <is>
          <t>DefRatio</t>
        </is>
      </c>
      <c r="I2628" s="68">
        <f>G2628</f>
        <v/>
      </c>
    </row>
    <row r="2629">
      <c r="A2629" s="68">
        <f>B2629&amp;TEXT(C2629,"0000")</f>
        <v/>
      </c>
      <c r="B2629" s="68" t="n">
        <v>201</v>
      </c>
      <c r="C2629" s="68" t="n">
        <v>726</v>
      </c>
      <c r="D2629" s="68" t="inlineStr">
        <is>
          <t>HpRatio</t>
        </is>
      </c>
      <c r="E2629" s="68" t="n">
        <v>0</v>
      </c>
      <c r="F2629" s="68" t="inlineStr">
        <is>
          <t>AtkRatio</t>
        </is>
      </c>
      <c r="G2629" s="68">
        <f>INT(G2628*1.01)</f>
        <v/>
      </c>
      <c r="H2629" s="68" t="inlineStr">
        <is>
          <t>DefRatio</t>
        </is>
      </c>
      <c r="I2629" s="68">
        <f>G2629</f>
        <v/>
      </c>
    </row>
    <row r="2630">
      <c r="A2630" s="68">
        <f>B2630&amp;TEXT(C2630,"0000")</f>
        <v/>
      </c>
      <c r="B2630" s="68" t="n">
        <v>201</v>
      </c>
      <c r="C2630" s="68" t="n">
        <v>727</v>
      </c>
      <c r="D2630" s="68" t="inlineStr">
        <is>
          <t>HpRatio</t>
        </is>
      </c>
      <c r="E2630" s="68" t="n">
        <v>0</v>
      </c>
      <c r="F2630" s="68" t="inlineStr">
        <is>
          <t>AtkRatio</t>
        </is>
      </c>
      <c r="G2630" s="68">
        <f>INT(G2629*1.01)</f>
        <v/>
      </c>
      <c r="H2630" s="68" t="inlineStr">
        <is>
          <t>DefRatio</t>
        </is>
      </c>
      <c r="I2630" s="68">
        <f>G2630</f>
        <v/>
      </c>
    </row>
    <row r="2631">
      <c r="A2631" s="68">
        <f>B2631&amp;TEXT(C2631,"0000")</f>
        <v/>
      </c>
      <c r="B2631" s="68" t="n">
        <v>201</v>
      </c>
      <c r="C2631" s="68" t="n">
        <v>728</v>
      </c>
      <c r="D2631" s="68" t="inlineStr">
        <is>
          <t>HpRatio</t>
        </is>
      </c>
      <c r="E2631" s="68" t="n">
        <v>0</v>
      </c>
      <c r="F2631" s="68" t="inlineStr">
        <is>
          <t>AtkRatio</t>
        </is>
      </c>
      <c r="G2631" s="68">
        <f>INT(G2630*1.01)</f>
        <v/>
      </c>
      <c r="H2631" s="68" t="inlineStr">
        <is>
          <t>DefRatio</t>
        </is>
      </c>
      <c r="I2631" s="68">
        <f>G2631</f>
        <v/>
      </c>
    </row>
    <row r="2632">
      <c r="A2632" s="68">
        <f>B2632&amp;TEXT(C2632,"0000")</f>
        <v/>
      </c>
      <c r="B2632" s="68" t="n">
        <v>201</v>
      </c>
      <c r="C2632" s="68" t="n">
        <v>729</v>
      </c>
      <c r="D2632" s="68" t="inlineStr">
        <is>
          <t>HpRatio</t>
        </is>
      </c>
      <c r="E2632" s="68" t="n">
        <v>0</v>
      </c>
      <c r="F2632" s="68" t="inlineStr">
        <is>
          <t>AtkRatio</t>
        </is>
      </c>
      <c r="G2632" s="68">
        <f>INT(G2631*1.01)</f>
        <v/>
      </c>
      <c r="H2632" s="68" t="inlineStr">
        <is>
          <t>DefRatio</t>
        </is>
      </c>
      <c r="I2632" s="68">
        <f>G2632</f>
        <v/>
      </c>
    </row>
    <row r="2633">
      <c r="A2633" s="68">
        <f>B2633&amp;TEXT(C2633,"0000")</f>
        <v/>
      </c>
      <c r="B2633" s="68" t="n">
        <v>201</v>
      </c>
      <c r="C2633" s="68" t="n">
        <v>730</v>
      </c>
      <c r="D2633" s="68" t="inlineStr">
        <is>
          <t>HpRatio</t>
        </is>
      </c>
      <c r="E2633" s="68" t="n">
        <v>0</v>
      </c>
      <c r="F2633" s="68" t="inlineStr">
        <is>
          <t>AtkRatio</t>
        </is>
      </c>
      <c r="G2633" s="68">
        <f>INT(G2632*1.01)</f>
        <v/>
      </c>
      <c r="H2633" s="68" t="inlineStr">
        <is>
          <t>DefRatio</t>
        </is>
      </c>
      <c r="I2633" s="68">
        <f>G2633</f>
        <v/>
      </c>
    </row>
    <row r="2634">
      <c r="A2634" s="68">
        <f>B2634&amp;TEXT(C2634,"0000")</f>
        <v/>
      </c>
      <c r="B2634" s="68" t="n">
        <v>201</v>
      </c>
      <c r="C2634" s="68" t="n">
        <v>731</v>
      </c>
      <c r="D2634" s="68" t="inlineStr">
        <is>
          <t>HpRatio</t>
        </is>
      </c>
      <c r="E2634" s="68" t="n">
        <v>0</v>
      </c>
      <c r="F2634" s="68" t="inlineStr">
        <is>
          <t>AtkRatio</t>
        </is>
      </c>
      <c r="G2634" s="68">
        <f>INT(G2633*1.01)</f>
        <v/>
      </c>
      <c r="H2634" s="68" t="inlineStr">
        <is>
          <t>DefRatio</t>
        </is>
      </c>
      <c r="I2634" s="68">
        <f>G2634</f>
        <v/>
      </c>
    </row>
    <row r="2635">
      <c r="A2635" s="68">
        <f>B2635&amp;TEXT(C2635,"0000")</f>
        <v/>
      </c>
      <c r="B2635" s="68" t="n">
        <v>201</v>
      </c>
      <c r="C2635" s="68" t="n">
        <v>732</v>
      </c>
      <c r="D2635" s="68" t="inlineStr">
        <is>
          <t>HpRatio</t>
        </is>
      </c>
      <c r="E2635" s="68" t="n">
        <v>0</v>
      </c>
      <c r="F2635" s="68" t="inlineStr">
        <is>
          <t>AtkRatio</t>
        </is>
      </c>
      <c r="G2635" s="68">
        <f>INT(G2634*1.01)</f>
        <v/>
      </c>
      <c r="H2635" s="68" t="inlineStr">
        <is>
          <t>DefRatio</t>
        </is>
      </c>
      <c r="I2635" s="68">
        <f>G2635</f>
        <v/>
      </c>
    </row>
    <row r="2636">
      <c r="A2636" s="68">
        <f>B2636&amp;TEXT(C2636,"0000")</f>
        <v/>
      </c>
      <c r="B2636" s="68" t="n">
        <v>201</v>
      </c>
      <c r="C2636" s="68" t="n">
        <v>733</v>
      </c>
      <c r="D2636" s="68" t="inlineStr">
        <is>
          <t>HpRatio</t>
        </is>
      </c>
      <c r="E2636" s="68" t="n">
        <v>0</v>
      </c>
      <c r="F2636" s="68" t="inlineStr">
        <is>
          <t>AtkRatio</t>
        </is>
      </c>
      <c r="G2636" s="68">
        <f>INT(G2635*1.01)</f>
        <v/>
      </c>
      <c r="H2636" s="68" t="inlineStr">
        <is>
          <t>DefRatio</t>
        </is>
      </c>
      <c r="I2636" s="68">
        <f>G2636</f>
        <v/>
      </c>
    </row>
    <row r="2637">
      <c r="A2637" s="68">
        <f>B2637&amp;TEXT(C2637,"0000")</f>
        <v/>
      </c>
      <c r="B2637" s="68" t="n">
        <v>201</v>
      </c>
      <c r="C2637" s="68" t="n">
        <v>734</v>
      </c>
      <c r="D2637" s="68" t="inlineStr">
        <is>
          <t>HpRatio</t>
        </is>
      </c>
      <c r="E2637" s="68" t="n">
        <v>0</v>
      </c>
      <c r="F2637" s="68" t="inlineStr">
        <is>
          <t>AtkRatio</t>
        </is>
      </c>
      <c r="G2637" s="68">
        <f>INT(G2636*1.01)</f>
        <v/>
      </c>
      <c r="H2637" s="68" t="inlineStr">
        <is>
          <t>DefRatio</t>
        </is>
      </c>
      <c r="I2637" s="68">
        <f>G2637</f>
        <v/>
      </c>
    </row>
    <row r="2638">
      <c r="A2638" s="68">
        <f>B2638&amp;TEXT(C2638,"0000")</f>
        <v/>
      </c>
      <c r="B2638" s="68" t="n">
        <v>201</v>
      </c>
      <c r="C2638" s="68" t="n">
        <v>735</v>
      </c>
      <c r="D2638" s="68" t="inlineStr">
        <is>
          <t>HpRatio</t>
        </is>
      </c>
      <c r="E2638" s="68" t="n">
        <v>0</v>
      </c>
      <c r="F2638" s="68" t="inlineStr">
        <is>
          <t>AtkRatio</t>
        </is>
      </c>
      <c r="G2638" s="68">
        <f>INT(G2637*1.01)</f>
        <v/>
      </c>
      <c r="H2638" s="68" t="inlineStr">
        <is>
          <t>DefRatio</t>
        </is>
      </c>
      <c r="I2638" s="68">
        <f>G2638</f>
        <v/>
      </c>
    </row>
    <row r="2639">
      <c r="A2639" s="68">
        <f>B2639&amp;TEXT(C2639,"0000")</f>
        <v/>
      </c>
      <c r="B2639" s="68" t="n">
        <v>201</v>
      </c>
      <c r="C2639" s="68" t="n">
        <v>736</v>
      </c>
      <c r="D2639" s="68" t="inlineStr">
        <is>
          <t>HpRatio</t>
        </is>
      </c>
      <c r="E2639" s="68" t="n">
        <v>0</v>
      </c>
      <c r="F2639" s="68" t="inlineStr">
        <is>
          <t>AtkRatio</t>
        </is>
      </c>
      <c r="G2639" s="68">
        <f>INT(G2638*1.01)</f>
        <v/>
      </c>
      <c r="H2639" s="68" t="inlineStr">
        <is>
          <t>DefRatio</t>
        </is>
      </c>
      <c r="I2639" s="68">
        <f>G2639</f>
        <v/>
      </c>
    </row>
    <row r="2640">
      <c r="A2640" s="68">
        <f>B2640&amp;TEXT(C2640,"0000")</f>
        <v/>
      </c>
      <c r="B2640" s="68" t="n">
        <v>201</v>
      </c>
      <c r="C2640" s="68" t="n">
        <v>737</v>
      </c>
      <c r="D2640" s="68" t="inlineStr">
        <is>
          <t>HpRatio</t>
        </is>
      </c>
      <c r="E2640" s="68" t="n">
        <v>0</v>
      </c>
      <c r="F2640" s="68" t="inlineStr">
        <is>
          <t>AtkRatio</t>
        </is>
      </c>
      <c r="G2640" s="68">
        <f>INT(G2639*1.01)</f>
        <v/>
      </c>
      <c r="H2640" s="68" t="inlineStr">
        <is>
          <t>DefRatio</t>
        </is>
      </c>
      <c r="I2640" s="68">
        <f>G2640</f>
        <v/>
      </c>
    </row>
    <row r="2641">
      <c r="A2641" s="68">
        <f>B2641&amp;TEXT(C2641,"0000")</f>
        <v/>
      </c>
      <c r="B2641" s="68" t="n">
        <v>201</v>
      </c>
      <c r="C2641" s="68" t="n">
        <v>738</v>
      </c>
      <c r="D2641" s="68" t="inlineStr">
        <is>
          <t>HpRatio</t>
        </is>
      </c>
      <c r="E2641" s="68" t="n">
        <v>0</v>
      </c>
      <c r="F2641" s="68" t="inlineStr">
        <is>
          <t>AtkRatio</t>
        </is>
      </c>
      <c r="G2641" s="68">
        <f>INT(G2640*1.01)</f>
        <v/>
      </c>
      <c r="H2641" s="68" t="inlineStr">
        <is>
          <t>DefRatio</t>
        </is>
      </c>
      <c r="I2641" s="68">
        <f>G2641</f>
        <v/>
      </c>
    </row>
    <row r="2642">
      <c r="A2642" s="68">
        <f>B2642&amp;TEXT(C2642,"0000")</f>
        <v/>
      </c>
      <c r="B2642" s="68" t="n">
        <v>201</v>
      </c>
      <c r="C2642" s="68" t="n">
        <v>739</v>
      </c>
      <c r="D2642" s="68" t="inlineStr">
        <is>
          <t>HpRatio</t>
        </is>
      </c>
      <c r="E2642" s="68" t="n">
        <v>0</v>
      </c>
      <c r="F2642" s="68" t="inlineStr">
        <is>
          <t>AtkRatio</t>
        </is>
      </c>
      <c r="G2642" s="68">
        <f>INT(G2641*1.01)</f>
        <v/>
      </c>
      <c r="H2642" s="68" t="inlineStr">
        <is>
          <t>DefRatio</t>
        </is>
      </c>
      <c r="I2642" s="68">
        <f>G2642</f>
        <v/>
      </c>
    </row>
    <row r="2643">
      <c r="A2643" s="68">
        <f>B2643&amp;TEXT(C2643,"0000")</f>
        <v/>
      </c>
      <c r="B2643" s="68" t="n">
        <v>201</v>
      </c>
      <c r="C2643" s="68" t="n">
        <v>740</v>
      </c>
      <c r="D2643" s="68" t="inlineStr">
        <is>
          <t>HpRatio</t>
        </is>
      </c>
      <c r="E2643" s="68" t="n">
        <v>0</v>
      </c>
      <c r="F2643" s="68" t="inlineStr">
        <is>
          <t>AtkRatio</t>
        </is>
      </c>
      <c r="G2643" s="68">
        <f>INT(G2642*1.01)</f>
        <v/>
      </c>
      <c r="H2643" s="68" t="inlineStr">
        <is>
          <t>DefRatio</t>
        </is>
      </c>
      <c r="I2643" s="68">
        <f>G2643</f>
        <v/>
      </c>
    </row>
    <row r="2644">
      <c r="A2644" s="68">
        <f>B2644&amp;TEXT(C2644,"0000")</f>
        <v/>
      </c>
      <c r="B2644" s="68" t="n">
        <v>201</v>
      </c>
      <c r="C2644" s="68" t="n">
        <v>741</v>
      </c>
      <c r="D2644" s="68" t="inlineStr">
        <is>
          <t>HpRatio</t>
        </is>
      </c>
      <c r="E2644" s="68" t="n">
        <v>0</v>
      </c>
      <c r="F2644" s="68" t="inlineStr">
        <is>
          <t>AtkRatio</t>
        </is>
      </c>
      <c r="G2644" s="68">
        <f>INT(G2643*1.01)</f>
        <v/>
      </c>
      <c r="H2644" s="68" t="inlineStr">
        <is>
          <t>DefRatio</t>
        </is>
      </c>
      <c r="I2644" s="68">
        <f>G2644</f>
        <v/>
      </c>
    </row>
    <row r="2645">
      <c r="A2645" s="68">
        <f>B2645&amp;TEXT(C2645,"0000")</f>
        <v/>
      </c>
      <c r="B2645" s="68" t="n">
        <v>201</v>
      </c>
      <c r="C2645" s="68" t="n">
        <v>742</v>
      </c>
      <c r="D2645" s="68" t="inlineStr">
        <is>
          <t>HpRatio</t>
        </is>
      </c>
      <c r="E2645" s="68" t="n">
        <v>0</v>
      </c>
      <c r="F2645" s="68" t="inlineStr">
        <is>
          <t>AtkRatio</t>
        </is>
      </c>
      <c r="G2645" s="68">
        <f>INT(G2644*1.01)</f>
        <v/>
      </c>
      <c r="H2645" s="68" t="inlineStr">
        <is>
          <t>DefRatio</t>
        </is>
      </c>
      <c r="I2645" s="68">
        <f>G2645</f>
        <v/>
      </c>
    </row>
    <row r="2646">
      <c r="A2646" s="68">
        <f>B2646&amp;TEXT(C2646,"0000")</f>
        <v/>
      </c>
      <c r="B2646" s="68" t="n">
        <v>201</v>
      </c>
      <c r="C2646" s="68" t="n">
        <v>743</v>
      </c>
      <c r="D2646" s="68" t="inlineStr">
        <is>
          <t>HpRatio</t>
        </is>
      </c>
      <c r="E2646" s="68" t="n">
        <v>0</v>
      </c>
      <c r="F2646" s="68" t="inlineStr">
        <is>
          <t>AtkRatio</t>
        </is>
      </c>
      <c r="G2646" s="68">
        <f>INT(G2645*1.01)</f>
        <v/>
      </c>
      <c r="H2646" s="68" t="inlineStr">
        <is>
          <t>DefRatio</t>
        </is>
      </c>
      <c r="I2646" s="68">
        <f>G2646</f>
        <v/>
      </c>
    </row>
    <row r="2647">
      <c r="A2647" s="68">
        <f>B2647&amp;TEXT(C2647,"0000")</f>
        <v/>
      </c>
      <c r="B2647" s="68" t="n">
        <v>201</v>
      </c>
      <c r="C2647" s="68" t="n">
        <v>744</v>
      </c>
      <c r="D2647" s="68" t="inlineStr">
        <is>
          <t>HpRatio</t>
        </is>
      </c>
      <c r="E2647" s="68" t="n">
        <v>0</v>
      </c>
      <c r="F2647" s="68" t="inlineStr">
        <is>
          <t>AtkRatio</t>
        </is>
      </c>
      <c r="G2647" s="68">
        <f>INT(G2646*1.01)</f>
        <v/>
      </c>
      <c r="H2647" s="68" t="inlineStr">
        <is>
          <t>DefRatio</t>
        </is>
      </c>
      <c r="I2647" s="68">
        <f>G2647</f>
        <v/>
      </c>
    </row>
    <row r="2648">
      <c r="A2648" s="68">
        <f>B2648&amp;TEXT(C2648,"0000")</f>
        <v/>
      </c>
      <c r="B2648" s="68" t="n">
        <v>201</v>
      </c>
      <c r="C2648" s="68" t="n">
        <v>745</v>
      </c>
      <c r="D2648" s="68" t="inlineStr">
        <is>
          <t>HpRatio</t>
        </is>
      </c>
      <c r="E2648" s="68" t="n">
        <v>0</v>
      </c>
      <c r="F2648" s="68" t="inlineStr">
        <is>
          <t>AtkRatio</t>
        </is>
      </c>
      <c r="G2648" s="68">
        <f>INT(G2647*1.01)</f>
        <v/>
      </c>
      <c r="H2648" s="68" t="inlineStr">
        <is>
          <t>DefRatio</t>
        </is>
      </c>
      <c r="I2648" s="68">
        <f>G2648</f>
        <v/>
      </c>
    </row>
    <row r="2649">
      <c r="A2649" s="68">
        <f>B2649&amp;TEXT(C2649,"0000")</f>
        <v/>
      </c>
      <c r="B2649" s="68" t="n">
        <v>201</v>
      </c>
      <c r="C2649" s="68" t="n">
        <v>746</v>
      </c>
      <c r="D2649" s="68" t="inlineStr">
        <is>
          <t>HpRatio</t>
        </is>
      </c>
      <c r="E2649" s="68" t="n">
        <v>0</v>
      </c>
      <c r="F2649" s="68" t="inlineStr">
        <is>
          <t>AtkRatio</t>
        </is>
      </c>
      <c r="G2649" s="68">
        <f>INT(G2648*1.01)</f>
        <v/>
      </c>
      <c r="H2649" s="68" t="inlineStr">
        <is>
          <t>DefRatio</t>
        </is>
      </c>
      <c r="I2649" s="68">
        <f>G2649</f>
        <v/>
      </c>
    </row>
    <row r="2650">
      <c r="A2650" s="68">
        <f>B2650&amp;TEXT(C2650,"0000")</f>
        <v/>
      </c>
      <c r="B2650" s="68" t="n">
        <v>201</v>
      </c>
      <c r="C2650" s="68" t="n">
        <v>747</v>
      </c>
      <c r="D2650" s="68" t="inlineStr">
        <is>
          <t>HpRatio</t>
        </is>
      </c>
      <c r="E2650" s="68" t="n">
        <v>0</v>
      </c>
      <c r="F2650" s="68" t="inlineStr">
        <is>
          <t>AtkRatio</t>
        </is>
      </c>
      <c r="G2650" s="68">
        <f>INT(G2649*1.01)</f>
        <v/>
      </c>
      <c r="H2650" s="68" t="inlineStr">
        <is>
          <t>DefRatio</t>
        </is>
      </c>
      <c r="I2650" s="68">
        <f>G2650</f>
        <v/>
      </c>
    </row>
    <row r="2651">
      <c r="A2651" s="68">
        <f>B2651&amp;TEXT(C2651,"0000")</f>
        <v/>
      </c>
      <c r="B2651" s="68" t="n">
        <v>201</v>
      </c>
      <c r="C2651" s="68" t="n">
        <v>748</v>
      </c>
      <c r="D2651" s="68" t="inlineStr">
        <is>
          <t>HpRatio</t>
        </is>
      </c>
      <c r="E2651" s="68" t="n">
        <v>0</v>
      </c>
      <c r="F2651" s="68" t="inlineStr">
        <is>
          <t>AtkRatio</t>
        </is>
      </c>
      <c r="G2651" s="68">
        <f>INT(G2650*1.01)</f>
        <v/>
      </c>
      <c r="H2651" s="68" t="inlineStr">
        <is>
          <t>DefRatio</t>
        </is>
      </c>
      <c r="I2651" s="68">
        <f>G2651</f>
        <v/>
      </c>
    </row>
    <row r="2652">
      <c r="A2652" s="68">
        <f>B2652&amp;TEXT(C2652,"0000")</f>
        <v/>
      </c>
      <c r="B2652" s="68" t="n">
        <v>201</v>
      </c>
      <c r="C2652" s="68" t="n">
        <v>749</v>
      </c>
      <c r="D2652" s="68" t="inlineStr">
        <is>
          <t>HpRatio</t>
        </is>
      </c>
      <c r="E2652" s="68" t="n">
        <v>0</v>
      </c>
      <c r="F2652" s="68" t="inlineStr">
        <is>
          <t>AtkRatio</t>
        </is>
      </c>
      <c r="G2652" s="68">
        <f>INT(G2651*1.01)</f>
        <v/>
      </c>
      <c r="H2652" s="68" t="inlineStr">
        <is>
          <t>DefRatio</t>
        </is>
      </c>
      <c r="I2652" s="68">
        <f>G2652</f>
        <v/>
      </c>
    </row>
    <row r="2653">
      <c r="A2653" s="68">
        <f>B2653&amp;TEXT(C2653,"0000")</f>
        <v/>
      </c>
      <c r="B2653" s="68" t="n">
        <v>201</v>
      </c>
      <c r="C2653" s="68" t="n">
        <v>750</v>
      </c>
      <c r="D2653" s="68" t="inlineStr">
        <is>
          <t>HpRatio</t>
        </is>
      </c>
      <c r="E2653" s="68" t="n">
        <v>0</v>
      </c>
      <c r="F2653" s="68" t="inlineStr">
        <is>
          <t>AtkRatio</t>
        </is>
      </c>
      <c r="G2653" s="68">
        <f>INT(G2652*1.01)</f>
        <v/>
      </c>
      <c r="H2653" s="68" t="inlineStr">
        <is>
          <t>DefRatio</t>
        </is>
      </c>
      <c r="I2653" s="68">
        <f>G2653</f>
        <v/>
      </c>
    </row>
    <row r="2654">
      <c r="A2654" s="68">
        <f>B2654&amp;TEXT(C2654,"0000")</f>
        <v/>
      </c>
      <c r="B2654" s="68" t="n">
        <v>201</v>
      </c>
      <c r="C2654" s="68" t="n">
        <v>751</v>
      </c>
      <c r="D2654" s="68" t="inlineStr">
        <is>
          <t>HpRatio</t>
        </is>
      </c>
      <c r="E2654" s="68" t="n">
        <v>0</v>
      </c>
      <c r="F2654" s="68" t="inlineStr">
        <is>
          <t>AtkRatio</t>
        </is>
      </c>
      <c r="G2654" s="68">
        <f>INT(G2653*1.01)</f>
        <v/>
      </c>
      <c r="H2654" s="68" t="inlineStr">
        <is>
          <t>DefRatio</t>
        </is>
      </c>
      <c r="I2654" s="68">
        <f>G2654</f>
        <v/>
      </c>
    </row>
    <row r="2655">
      <c r="A2655" s="68">
        <f>B2655&amp;TEXT(C2655,"0000")</f>
        <v/>
      </c>
      <c r="B2655" s="68" t="n">
        <v>201</v>
      </c>
      <c r="C2655" s="68" t="n">
        <v>752</v>
      </c>
      <c r="D2655" s="68" t="inlineStr">
        <is>
          <t>HpRatio</t>
        </is>
      </c>
      <c r="E2655" s="68" t="n">
        <v>0</v>
      </c>
      <c r="F2655" s="68" t="inlineStr">
        <is>
          <t>AtkRatio</t>
        </is>
      </c>
      <c r="G2655" s="68">
        <f>INT(G2654*1.01)</f>
        <v/>
      </c>
      <c r="H2655" s="68" t="inlineStr">
        <is>
          <t>DefRatio</t>
        </is>
      </c>
      <c r="I2655" s="68">
        <f>G2655</f>
        <v/>
      </c>
    </row>
    <row r="2656">
      <c r="A2656" s="68">
        <f>B2656&amp;TEXT(C2656,"0000")</f>
        <v/>
      </c>
      <c r="B2656" s="68" t="n">
        <v>201</v>
      </c>
      <c r="C2656" s="68" t="n">
        <v>753</v>
      </c>
      <c r="D2656" s="68" t="inlineStr">
        <is>
          <t>HpRatio</t>
        </is>
      </c>
      <c r="E2656" s="68" t="n">
        <v>0</v>
      </c>
      <c r="F2656" s="68" t="inlineStr">
        <is>
          <t>AtkRatio</t>
        </is>
      </c>
      <c r="G2656" s="68">
        <f>INT(G2655*1.01)</f>
        <v/>
      </c>
      <c r="H2656" s="68" t="inlineStr">
        <is>
          <t>DefRatio</t>
        </is>
      </c>
      <c r="I2656" s="68">
        <f>G2656</f>
        <v/>
      </c>
    </row>
    <row r="2657">
      <c r="A2657" s="68">
        <f>B2657&amp;TEXT(C2657,"0000")</f>
        <v/>
      </c>
      <c r="B2657" s="68" t="n">
        <v>201</v>
      </c>
      <c r="C2657" s="68" t="n">
        <v>754</v>
      </c>
      <c r="D2657" s="68" t="inlineStr">
        <is>
          <t>HpRatio</t>
        </is>
      </c>
      <c r="E2657" s="68" t="n">
        <v>0</v>
      </c>
      <c r="F2657" s="68" t="inlineStr">
        <is>
          <t>AtkRatio</t>
        </is>
      </c>
      <c r="G2657" s="68">
        <f>INT(G2656*1.01)</f>
        <v/>
      </c>
      <c r="H2657" s="68" t="inlineStr">
        <is>
          <t>DefRatio</t>
        </is>
      </c>
      <c r="I2657" s="68">
        <f>G2657</f>
        <v/>
      </c>
    </row>
    <row r="2658">
      <c r="A2658" s="68">
        <f>B2658&amp;TEXT(C2658,"0000")</f>
        <v/>
      </c>
      <c r="B2658" s="68" t="n">
        <v>201</v>
      </c>
      <c r="C2658" s="68" t="n">
        <v>755</v>
      </c>
      <c r="D2658" s="68" t="inlineStr">
        <is>
          <t>HpRatio</t>
        </is>
      </c>
      <c r="E2658" s="68" t="n">
        <v>0</v>
      </c>
      <c r="F2658" s="68" t="inlineStr">
        <is>
          <t>AtkRatio</t>
        </is>
      </c>
      <c r="G2658" s="68">
        <f>INT(G2657*1.01)</f>
        <v/>
      </c>
      <c r="H2658" s="68" t="inlineStr">
        <is>
          <t>DefRatio</t>
        </is>
      </c>
      <c r="I2658" s="68">
        <f>G2658</f>
        <v/>
      </c>
    </row>
    <row r="2659">
      <c r="A2659" s="68">
        <f>B2659&amp;TEXT(C2659,"0000")</f>
        <v/>
      </c>
      <c r="B2659" s="68" t="n">
        <v>201</v>
      </c>
      <c r="C2659" s="68" t="n">
        <v>756</v>
      </c>
      <c r="D2659" s="68" t="inlineStr">
        <is>
          <t>HpRatio</t>
        </is>
      </c>
      <c r="E2659" s="68" t="n">
        <v>0</v>
      </c>
      <c r="F2659" s="68" t="inlineStr">
        <is>
          <t>AtkRatio</t>
        </is>
      </c>
      <c r="G2659" s="68">
        <f>INT(G2658*1.01)</f>
        <v/>
      </c>
      <c r="H2659" s="68" t="inlineStr">
        <is>
          <t>DefRatio</t>
        </is>
      </c>
      <c r="I2659" s="68">
        <f>G2659</f>
        <v/>
      </c>
    </row>
    <row r="2660">
      <c r="A2660" s="68">
        <f>B2660&amp;TEXT(C2660,"0000")</f>
        <v/>
      </c>
      <c r="B2660" s="68" t="n">
        <v>201</v>
      </c>
      <c r="C2660" s="68" t="n">
        <v>757</v>
      </c>
      <c r="D2660" s="68" t="inlineStr">
        <is>
          <t>HpRatio</t>
        </is>
      </c>
      <c r="E2660" s="68" t="n">
        <v>0</v>
      </c>
      <c r="F2660" s="68" t="inlineStr">
        <is>
          <t>AtkRatio</t>
        </is>
      </c>
      <c r="G2660" s="68">
        <f>INT(G2659*1.01)</f>
        <v/>
      </c>
      <c r="H2660" s="68" t="inlineStr">
        <is>
          <t>DefRatio</t>
        </is>
      </c>
      <c r="I2660" s="68">
        <f>G2660</f>
        <v/>
      </c>
    </row>
    <row r="2661">
      <c r="A2661" s="68">
        <f>B2661&amp;TEXT(C2661,"0000")</f>
        <v/>
      </c>
      <c r="B2661" s="68" t="n">
        <v>201</v>
      </c>
      <c r="C2661" s="68" t="n">
        <v>758</v>
      </c>
      <c r="D2661" s="68" t="inlineStr">
        <is>
          <t>HpRatio</t>
        </is>
      </c>
      <c r="E2661" s="68" t="n">
        <v>0</v>
      </c>
      <c r="F2661" s="68" t="inlineStr">
        <is>
          <t>AtkRatio</t>
        </is>
      </c>
      <c r="G2661" s="68">
        <f>INT(G2660*1.01)</f>
        <v/>
      </c>
      <c r="H2661" s="68" t="inlineStr">
        <is>
          <t>DefRatio</t>
        </is>
      </c>
      <c r="I2661" s="68">
        <f>G2661</f>
        <v/>
      </c>
    </row>
    <row r="2662">
      <c r="A2662" s="68">
        <f>B2662&amp;TEXT(C2662,"0000")</f>
        <v/>
      </c>
      <c r="B2662" s="68" t="n">
        <v>201</v>
      </c>
      <c r="C2662" s="68" t="n">
        <v>759</v>
      </c>
      <c r="D2662" s="68" t="inlineStr">
        <is>
          <t>HpRatio</t>
        </is>
      </c>
      <c r="E2662" s="68" t="n">
        <v>0</v>
      </c>
      <c r="F2662" s="68" t="inlineStr">
        <is>
          <t>AtkRatio</t>
        </is>
      </c>
      <c r="G2662" s="68">
        <f>INT(G2661*1.01)</f>
        <v/>
      </c>
      <c r="H2662" s="68" t="inlineStr">
        <is>
          <t>DefRatio</t>
        </is>
      </c>
      <c r="I2662" s="68">
        <f>G2662</f>
        <v/>
      </c>
    </row>
    <row r="2663">
      <c r="A2663" s="68">
        <f>B2663&amp;TEXT(C2663,"0000")</f>
        <v/>
      </c>
      <c r="B2663" s="68" t="n">
        <v>201</v>
      </c>
      <c r="C2663" s="68" t="n">
        <v>760</v>
      </c>
      <c r="D2663" s="68" t="inlineStr">
        <is>
          <t>HpRatio</t>
        </is>
      </c>
      <c r="E2663" s="68" t="n">
        <v>0</v>
      </c>
      <c r="F2663" s="68" t="inlineStr">
        <is>
          <t>AtkRatio</t>
        </is>
      </c>
      <c r="G2663" s="68">
        <f>INT(G2662*1.01)</f>
        <v/>
      </c>
      <c r="H2663" s="68" t="inlineStr">
        <is>
          <t>DefRatio</t>
        </is>
      </c>
      <c r="I2663" s="68">
        <f>G2663</f>
        <v/>
      </c>
    </row>
    <row r="2664">
      <c r="A2664" s="68">
        <f>B2664&amp;TEXT(C2664,"0000")</f>
        <v/>
      </c>
      <c r="B2664" s="68" t="n">
        <v>201</v>
      </c>
      <c r="C2664" s="68" t="n">
        <v>761</v>
      </c>
      <c r="D2664" s="68" t="inlineStr">
        <is>
          <t>HpRatio</t>
        </is>
      </c>
      <c r="E2664" s="68" t="n">
        <v>0</v>
      </c>
      <c r="F2664" s="68" t="inlineStr">
        <is>
          <t>AtkRatio</t>
        </is>
      </c>
      <c r="G2664" s="68">
        <f>INT(G2663*1.01)</f>
        <v/>
      </c>
      <c r="H2664" s="68" t="inlineStr">
        <is>
          <t>DefRatio</t>
        </is>
      </c>
      <c r="I2664" s="68">
        <f>G2664</f>
        <v/>
      </c>
    </row>
    <row r="2665">
      <c r="A2665" s="68">
        <f>B2665&amp;TEXT(C2665,"0000")</f>
        <v/>
      </c>
      <c r="B2665" s="68" t="n">
        <v>201</v>
      </c>
      <c r="C2665" s="68" t="n">
        <v>762</v>
      </c>
      <c r="D2665" s="68" t="inlineStr">
        <is>
          <t>HpRatio</t>
        </is>
      </c>
      <c r="E2665" s="68" t="n">
        <v>0</v>
      </c>
      <c r="F2665" s="68" t="inlineStr">
        <is>
          <t>AtkRatio</t>
        </is>
      </c>
      <c r="G2665" s="68">
        <f>INT(G2664*1.01)</f>
        <v/>
      </c>
      <c r="H2665" s="68" t="inlineStr">
        <is>
          <t>DefRatio</t>
        </is>
      </c>
      <c r="I2665" s="68">
        <f>G2665</f>
        <v/>
      </c>
    </row>
    <row r="2666">
      <c r="A2666" s="68">
        <f>B2666&amp;TEXT(C2666,"0000")</f>
        <v/>
      </c>
      <c r="B2666" s="68" t="n">
        <v>201</v>
      </c>
      <c r="C2666" s="68" t="n">
        <v>763</v>
      </c>
      <c r="D2666" s="68" t="inlineStr">
        <is>
          <t>HpRatio</t>
        </is>
      </c>
      <c r="E2666" s="68" t="n">
        <v>0</v>
      </c>
      <c r="F2666" s="68" t="inlineStr">
        <is>
          <t>AtkRatio</t>
        </is>
      </c>
      <c r="G2666" s="68">
        <f>INT(G2665*1.01)</f>
        <v/>
      </c>
      <c r="H2666" s="68" t="inlineStr">
        <is>
          <t>DefRatio</t>
        </is>
      </c>
      <c r="I2666" s="68">
        <f>G2666</f>
        <v/>
      </c>
    </row>
    <row r="2667">
      <c r="A2667" s="68">
        <f>B2667&amp;TEXT(C2667,"0000")</f>
        <v/>
      </c>
      <c r="B2667" s="68" t="n">
        <v>201</v>
      </c>
      <c r="C2667" s="68" t="n">
        <v>764</v>
      </c>
      <c r="D2667" s="68" t="inlineStr">
        <is>
          <t>HpRatio</t>
        </is>
      </c>
      <c r="E2667" s="68" t="n">
        <v>0</v>
      </c>
      <c r="F2667" s="68" t="inlineStr">
        <is>
          <t>AtkRatio</t>
        </is>
      </c>
      <c r="G2667" s="68">
        <f>INT(G2666*1.01)</f>
        <v/>
      </c>
      <c r="H2667" s="68" t="inlineStr">
        <is>
          <t>DefRatio</t>
        </is>
      </c>
      <c r="I2667" s="68">
        <f>G2667</f>
        <v/>
      </c>
    </row>
    <row r="2668">
      <c r="A2668" s="68">
        <f>B2668&amp;TEXT(C2668,"0000")</f>
        <v/>
      </c>
      <c r="B2668" s="68" t="n">
        <v>201</v>
      </c>
      <c r="C2668" s="68" t="n">
        <v>765</v>
      </c>
      <c r="D2668" s="68" t="inlineStr">
        <is>
          <t>HpRatio</t>
        </is>
      </c>
      <c r="E2668" s="68" t="n">
        <v>0</v>
      </c>
      <c r="F2668" s="68" t="inlineStr">
        <is>
          <t>AtkRatio</t>
        </is>
      </c>
      <c r="G2668" s="68">
        <f>INT(G2667*1.01)</f>
        <v/>
      </c>
      <c r="H2668" s="68" t="inlineStr">
        <is>
          <t>DefRatio</t>
        </is>
      </c>
      <c r="I2668" s="68">
        <f>G2668</f>
        <v/>
      </c>
    </row>
    <row r="2669">
      <c r="A2669" s="68">
        <f>B2669&amp;TEXT(C2669,"0000")</f>
        <v/>
      </c>
      <c r="B2669" s="68" t="n">
        <v>201</v>
      </c>
      <c r="C2669" s="68" t="n">
        <v>766</v>
      </c>
      <c r="D2669" s="68" t="inlineStr">
        <is>
          <t>HpRatio</t>
        </is>
      </c>
      <c r="E2669" s="68" t="n">
        <v>0</v>
      </c>
      <c r="F2669" s="68" t="inlineStr">
        <is>
          <t>AtkRatio</t>
        </is>
      </c>
      <c r="G2669" s="68">
        <f>INT(G2668*1.01)</f>
        <v/>
      </c>
      <c r="H2669" s="68" t="inlineStr">
        <is>
          <t>DefRatio</t>
        </is>
      </c>
      <c r="I2669" s="68">
        <f>G2669</f>
        <v/>
      </c>
    </row>
    <row r="2670">
      <c r="A2670" s="68">
        <f>B2670&amp;TEXT(C2670,"0000")</f>
        <v/>
      </c>
      <c r="B2670" s="68" t="n">
        <v>201</v>
      </c>
      <c r="C2670" s="68" t="n">
        <v>767</v>
      </c>
      <c r="D2670" s="68" t="inlineStr">
        <is>
          <t>HpRatio</t>
        </is>
      </c>
      <c r="E2670" s="68" t="n">
        <v>0</v>
      </c>
      <c r="F2670" s="68" t="inlineStr">
        <is>
          <t>AtkRatio</t>
        </is>
      </c>
      <c r="G2670" s="68">
        <f>INT(G2669*1.01)</f>
        <v/>
      </c>
      <c r="H2670" s="68" t="inlineStr">
        <is>
          <t>DefRatio</t>
        </is>
      </c>
      <c r="I2670" s="68">
        <f>G2670</f>
        <v/>
      </c>
    </row>
    <row r="2671">
      <c r="A2671" s="68">
        <f>B2671&amp;TEXT(C2671,"0000")</f>
        <v/>
      </c>
      <c r="B2671" s="68" t="n">
        <v>201</v>
      </c>
      <c r="C2671" s="68" t="n">
        <v>768</v>
      </c>
      <c r="D2671" s="68" t="inlineStr">
        <is>
          <t>HpRatio</t>
        </is>
      </c>
      <c r="E2671" s="68" t="n">
        <v>0</v>
      </c>
      <c r="F2671" s="68" t="inlineStr">
        <is>
          <t>AtkRatio</t>
        </is>
      </c>
      <c r="G2671" s="68">
        <f>INT(G2670*1.01)</f>
        <v/>
      </c>
      <c r="H2671" s="68" t="inlineStr">
        <is>
          <t>DefRatio</t>
        </is>
      </c>
      <c r="I2671" s="68">
        <f>G2671</f>
        <v/>
      </c>
    </row>
    <row r="2672">
      <c r="A2672" s="68">
        <f>B2672&amp;TEXT(C2672,"0000")</f>
        <v/>
      </c>
      <c r="B2672" s="68" t="n">
        <v>201</v>
      </c>
      <c r="C2672" s="68" t="n">
        <v>769</v>
      </c>
      <c r="D2672" s="68" t="inlineStr">
        <is>
          <t>HpRatio</t>
        </is>
      </c>
      <c r="E2672" s="68" t="n">
        <v>0</v>
      </c>
      <c r="F2672" s="68" t="inlineStr">
        <is>
          <t>AtkRatio</t>
        </is>
      </c>
      <c r="G2672" s="68">
        <f>INT(G2671*1.01)</f>
        <v/>
      </c>
      <c r="H2672" s="68" t="inlineStr">
        <is>
          <t>DefRatio</t>
        </is>
      </c>
      <c r="I2672" s="68">
        <f>G2672</f>
        <v/>
      </c>
    </row>
    <row r="2673">
      <c r="A2673" s="68">
        <f>B2673&amp;TEXT(C2673,"0000")</f>
        <v/>
      </c>
      <c r="B2673" s="68" t="n">
        <v>201</v>
      </c>
      <c r="C2673" s="68" t="n">
        <v>770</v>
      </c>
      <c r="D2673" s="68" t="inlineStr">
        <is>
          <t>HpRatio</t>
        </is>
      </c>
      <c r="E2673" s="68" t="n">
        <v>0</v>
      </c>
      <c r="F2673" s="68" t="inlineStr">
        <is>
          <t>AtkRatio</t>
        </is>
      </c>
      <c r="G2673" s="68">
        <f>INT(G2672*1.01)</f>
        <v/>
      </c>
      <c r="H2673" s="68" t="inlineStr">
        <is>
          <t>DefRatio</t>
        </is>
      </c>
      <c r="I2673" s="68">
        <f>G2673</f>
        <v/>
      </c>
    </row>
    <row r="2674">
      <c r="A2674" s="68">
        <f>B2674&amp;TEXT(C2674,"0000")</f>
        <v/>
      </c>
      <c r="B2674" s="68" t="n">
        <v>201</v>
      </c>
      <c r="C2674" s="68" t="n">
        <v>771</v>
      </c>
      <c r="D2674" s="68" t="inlineStr">
        <is>
          <t>HpRatio</t>
        </is>
      </c>
      <c r="E2674" s="68" t="n">
        <v>0</v>
      </c>
      <c r="F2674" s="68" t="inlineStr">
        <is>
          <t>AtkRatio</t>
        </is>
      </c>
      <c r="G2674" s="68">
        <f>INT(G2673*1.01)</f>
        <v/>
      </c>
      <c r="H2674" s="68" t="inlineStr">
        <is>
          <t>DefRatio</t>
        </is>
      </c>
      <c r="I2674" s="68">
        <f>G2674</f>
        <v/>
      </c>
    </row>
    <row r="2675">
      <c r="A2675" s="68">
        <f>B2675&amp;TEXT(C2675,"0000")</f>
        <v/>
      </c>
      <c r="B2675" s="68" t="n">
        <v>201</v>
      </c>
      <c r="C2675" s="68" t="n">
        <v>772</v>
      </c>
      <c r="D2675" s="68" t="inlineStr">
        <is>
          <t>HpRatio</t>
        </is>
      </c>
      <c r="E2675" s="68" t="n">
        <v>0</v>
      </c>
      <c r="F2675" s="68" t="inlineStr">
        <is>
          <t>AtkRatio</t>
        </is>
      </c>
      <c r="G2675" s="68">
        <f>INT(G2674*1.01)</f>
        <v/>
      </c>
      <c r="H2675" s="68" t="inlineStr">
        <is>
          <t>DefRatio</t>
        </is>
      </c>
      <c r="I2675" s="68">
        <f>G2675</f>
        <v/>
      </c>
    </row>
    <row r="2676">
      <c r="A2676" s="68">
        <f>B2676&amp;TEXT(C2676,"0000")</f>
        <v/>
      </c>
      <c r="B2676" s="68" t="n">
        <v>201</v>
      </c>
      <c r="C2676" s="68" t="n">
        <v>773</v>
      </c>
      <c r="D2676" s="68" t="inlineStr">
        <is>
          <t>HpRatio</t>
        </is>
      </c>
      <c r="E2676" s="68" t="n">
        <v>0</v>
      </c>
      <c r="F2676" s="68" t="inlineStr">
        <is>
          <t>AtkRatio</t>
        </is>
      </c>
      <c r="G2676" s="68">
        <f>INT(G2675*1.01)</f>
        <v/>
      </c>
      <c r="H2676" s="68" t="inlineStr">
        <is>
          <t>DefRatio</t>
        </is>
      </c>
      <c r="I2676" s="68">
        <f>G2676</f>
        <v/>
      </c>
    </row>
    <row r="2677">
      <c r="A2677" s="68">
        <f>B2677&amp;TEXT(C2677,"0000")</f>
        <v/>
      </c>
      <c r="B2677" s="68" t="n">
        <v>201</v>
      </c>
      <c r="C2677" s="68" t="n">
        <v>774</v>
      </c>
      <c r="D2677" s="68" t="inlineStr">
        <is>
          <t>HpRatio</t>
        </is>
      </c>
      <c r="E2677" s="68" t="n">
        <v>0</v>
      </c>
      <c r="F2677" s="68" t="inlineStr">
        <is>
          <t>AtkRatio</t>
        </is>
      </c>
      <c r="G2677" s="68">
        <f>INT(G2676*1.01)</f>
        <v/>
      </c>
      <c r="H2677" s="68" t="inlineStr">
        <is>
          <t>DefRatio</t>
        </is>
      </c>
      <c r="I2677" s="68">
        <f>G2677</f>
        <v/>
      </c>
    </row>
    <row r="2678">
      <c r="A2678" s="68">
        <f>B2678&amp;TEXT(C2678,"0000")</f>
        <v/>
      </c>
      <c r="B2678" s="68" t="n">
        <v>201</v>
      </c>
      <c r="C2678" s="68" t="n">
        <v>775</v>
      </c>
      <c r="D2678" s="68" t="inlineStr">
        <is>
          <t>HpRatio</t>
        </is>
      </c>
      <c r="E2678" s="68" t="n">
        <v>0</v>
      </c>
      <c r="F2678" s="68" t="inlineStr">
        <is>
          <t>AtkRatio</t>
        </is>
      </c>
      <c r="G2678" s="68">
        <f>INT(G2677*1.01)</f>
        <v/>
      </c>
      <c r="H2678" s="68" t="inlineStr">
        <is>
          <t>DefRatio</t>
        </is>
      </c>
      <c r="I2678" s="68">
        <f>G2678</f>
        <v/>
      </c>
    </row>
    <row r="2679">
      <c r="A2679" s="68">
        <f>B2679&amp;TEXT(C2679,"0000")</f>
        <v/>
      </c>
      <c r="B2679" s="68" t="n">
        <v>201</v>
      </c>
      <c r="C2679" s="68" t="n">
        <v>776</v>
      </c>
      <c r="D2679" s="68" t="inlineStr">
        <is>
          <t>HpRatio</t>
        </is>
      </c>
      <c r="E2679" s="68" t="n">
        <v>0</v>
      </c>
      <c r="F2679" s="68" t="inlineStr">
        <is>
          <t>AtkRatio</t>
        </is>
      </c>
      <c r="G2679" s="68">
        <f>INT(G2678*1.01)</f>
        <v/>
      </c>
      <c r="H2679" s="68" t="inlineStr">
        <is>
          <t>DefRatio</t>
        </is>
      </c>
      <c r="I2679" s="68">
        <f>G2679</f>
        <v/>
      </c>
    </row>
    <row r="2680">
      <c r="A2680" s="68">
        <f>B2680&amp;TEXT(C2680,"0000")</f>
        <v/>
      </c>
      <c r="B2680" s="68" t="n">
        <v>201</v>
      </c>
      <c r="C2680" s="68" t="n">
        <v>777</v>
      </c>
      <c r="D2680" s="68" t="inlineStr">
        <is>
          <t>HpRatio</t>
        </is>
      </c>
      <c r="E2680" s="68" t="n">
        <v>0</v>
      </c>
      <c r="F2680" s="68" t="inlineStr">
        <is>
          <t>AtkRatio</t>
        </is>
      </c>
      <c r="G2680" s="68">
        <f>INT(G2679*1.01)</f>
        <v/>
      </c>
      <c r="H2680" s="68" t="inlineStr">
        <is>
          <t>DefRatio</t>
        </is>
      </c>
      <c r="I2680" s="68">
        <f>G2680</f>
        <v/>
      </c>
    </row>
    <row r="2681">
      <c r="A2681" s="68">
        <f>B2681&amp;TEXT(C2681,"0000")</f>
        <v/>
      </c>
      <c r="B2681" s="68" t="n">
        <v>201</v>
      </c>
      <c r="C2681" s="68" t="n">
        <v>778</v>
      </c>
      <c r="D2681" s="68" t="inlineStr">
        <is>
          <t>HpRatio</t>
        </is>
      </c>
      <c r="E2681" s="68" t="n">
        <v>0</v>
      </c>
      <c r="F2681" s="68" t="inlineStr">
        <is>
          <t>AtkRatio</t>
        </is>
      </c>
      <c r="G2681" s="68">
        <f>INT(G2680*1.01)</f>
        <v/>
      </c>
      <c r="H2681" s="68" t="inlineStr">
        <is>
          <t>DefRatio</t>
        </is>
      </c>
      <c r="I2681" s="68">
        <f>G2681</f>
        <v/>
      </c>
    </row>
    <row r="2682">
      <c r="A2682" s="68">
        <f>B2682&amp;TEXT(C2682,"0000")</f>
        <v/>
      </c>
      <c r="B2682" s="68" t="n">
        <v>201</v>
      </c>
      <c r="C2682" s="68" t="n">
        <v>779</v>
      </c>
      <c r="D2682" s="68" t="inlineStr">
        <is>
          <t>HpRatio</t>
        </is>
      </c>
      <c r="E2682" s="68" t="n">
        <v>0</v>
      </c>
      <c r="F2682" s="68" t="inlineStr">
        <is>
          <t>AtkRatio</t>
        </is>
      </c>
      <c r="G2682" s="68">
        <f>INT(G2681*1.01)</f>
        <v/>
      </c>
      <c r="H2682" s="68" t="inlineStr">
        <is>
          <t>DefRatio</t>
        </is>
      </c>
      <c r="I2682" s="68">
        <f>G2682</f>
        <v/>
      </c>
    </row>
    <row r="2683">
      <c r="A2683" s="68">
        <f>B2683&amp;TEXT(C2683,"0000")</f>
        <v/>
      </c>
      <c r="B2683" s="68" t="n">
        <v>201</v>
      </c>
      <c r="C2683" s="68" t="n">
        <v>780</v>
      </c>
      <c r="D2683" s="68" t="inlineStr">
        <is>
          <t>HpRatio</t>
        </is>
      </c>
      <c r="E2683" s="68" t="n">
        <v>0</v>
      </c>
      <c r="F2683" s="68" t="inlineStr">
        <is>
          <t>AtkRatio</t>
        </is>
      </c>
      <c r="G2683" s="68">
        <f>INT(G2682*1.01)</f>
        <v/>
      </c>
      <c r="H2683" s="68" t="inlineStr">
        <is>
          <t>DefRatio</t>
        </is>
      </c>
      <c r="I2683" s="68">
        <f>G2683</f>
        <v/>
      </c>
    </row>
    <row r="2684">
      <c r="A2684" s="68">
        <f>B2684&amp;TEXT(C2684,"0000")</f>
        <v/>
      </c>
      <c r="B2684" s="68" t="n">
        <v>201</v>
      </c>
      <c r="C2684" s="68" t="n">
        <v>781</v>
      </c>
      <c r="D2684" s="68" t="inlineStr">
        <is>
          <t>HpRatio</t>
        </is>
      </c>
      <c r="E2684" s="68" t="n">
        <v>0</v>
      </c>
      <c r="F2684" s="68" t="inlineStr">
        <is>
          <t>AtkRatio</t>
        </is>
      </c>
      <c r="G2684" s="68">
        <f>INT(G2683*1.01)</f>
        <v/>
      </c>
      <c r="H2684" s="68" t="inlineStr">
        <is>
          <t>DefRatio</t>
        </is>
      </c>
      <c r="I2684" s="68">
        <f>G2684</f>
        <v/>
      </c>
    </row>
    <row r="2685">
      <c r="A2685" s="68">
        <f>B2685&amp;TEXT(C2685,"0000")</f>
        <v/>
      </c>
      <c r="B2685" s="68" t="n">
        <v>201</v>
      </c>
      <c r="C2685" s="68" t="n">
        <v>782</v>
      </c>
      <c r="D2685" s="68" t="inlineStr">
        <is>
          <t>HpRatio</t>
        </is>
      </c>
      <c r="E2685" s="68" t="n">
        <v>0</v>
      </c>
      <c r="F2685" s="68" t="inlineStr">
        <is>
          <t>AtkRatio</t>
        </is>
      </c>
      <c r="G2685" s="68">
        <f>INT(G2684*1.01)</f>
        <v/>
      </c>
      <c r="H2685" s="68" t="inlineStr">
        <is>
          <t>DefRatio</t>
        </is>
      </c>
      <c r="I2685" s="68">
        <f>G2685</f>
        <v/>
      </c>
    </row>
    <row r="2686">
      <c r="A2686" s="68">
        <f>B2686&amp;TEXT(C2686,"0000")</f>
        <v/>
      </c>
      <c r="B2686" s="68" t="n">
        <v>201</v>
      </c>
      <c r="C2686" s="68" t="n">
        <v>783</v>
      </c>
      <c r="D2686" s="68" t="inlineStr">
        <is>
          <t>HpRatio</t>
        </is>
      </c>
      <c r="E2686" s="68" t="n">
        <v>0</v>
      </c>
      <c r="F2686" s="68" t="inlineStr">
        <is>
          <t>AtkRatio</t>
        </is>
      </c>
      <c r="G2686" s="68">
        <f>INT(G2685*1.01)</f>
        <v/>
      </c>
      <c r="H2686" s="68" t="inlineStr">
        <is>
          <t>DefRatio</t>
        </is>
      </c>
      <c r="I2686" s="68">
        <f>G2686</f>
        <v/>
      </c>
    </row>
    <row r="2687">
      <c r="A2687" s="68">
        <f>B2687&amp;TEXT(C2687,"0000")</f>
        <v/>
      </c>
      <c r="B2687" s="68" t="n">
        <v>201</v>
      </c>
      <c r="C2687" s="68" t="n">
        <v>784</v>
      </c>
      <c r="D2687" s="68" t="inlineStr">
        <is>
          <t>HpRatio</t>
        </is>
      </c>
      <c r="E2687" s="68" t="n">
        <v>0</v>
      </c>
      <c r="F2687" s="68" t="inlineStr">
        <is>
          <t>AtkRatio</t>
        </is>
      </c>
      <c r="G2687" s="68">
        <f>INT(G2686*1.01)</f>
        <v/>
      </c>
      <c r="H2687" s="68" t="inlineStr">
        <is>
          <t>DefRatio</t>
        </is>
      </c>
      <c r="I2687" s="68">
        <f>G2687</f>
        <v/>
      </c>
    </row>
    <row r="2688">
      <c r="A2688" s="68">
        <f>B2688&amp;TEXT(C2688,"0000")</f>
        <v/>
      </c>
      <c r="B2688" s="68" t="n">
        <v>201</v>
      </c>
      <c r="C2688" s="68" t="n">
        <v>785</v>
      </c>
      <c r="D2688" s="68" t="inlineStr">
        <is>
          <t>HpRatio</t>
        </is>
      </c>
      <c r="E2688" s="68" t="n">
        <v>0</v>
      </c>
      <c r="F2688" s="68" t="inlineStr">
        <is>
          <t>AtkRatio</t>
        </is>
      </c>
      <c r="G2688" s="68">
        <f>INT(G2687*1.01)</f>
        <v/>
      </c>
      <c r="H2688" s="68" t="inlineStr">
        <is>
          <t>DefRatio</t>
        </is>
      </c>
      <c r="I2688" s="68">
        <f>G2688</f>
        <v/>
      </c>
    </row>
    <row r="2689">
      <c r="A2689" s="68">
        <f>B2689&amp;TEXT(C2689,"0000")</f>
        <v/>
      </c>
      <c r="B2689" s="68" t="n">
        <v>201</v>
      </c>
      <c r="C2689" s="68" t="n">
        <v>786</v>
      </c>
      <c r="D2689" s="68" t="inlineStr">
        <is>
          <t>HpRatio</t>
        </is>
      </c>
      <c r="E2689" s="68" t="n">
        <v>0</v>
      </c>
      <c r="F2689" s="68" t="inlineStr">
        <is>
          <t>AtkRatio</t>
        </is>
      </c>
      <c r="G2689" s="68">
        <f>INT(G2688*1.01)</f>
        <v/>
      </c>
      <c r="H2689" s="68" t="inlineStr">
        <is>
          <t>DefRatio</t>
        </is>
      </c>
      <c r="I2689" s="68">
        <f>G2689</f>
        <v/>
      </c>
    </row>
    <row r="2690">
      <c r="A2690" s="68">
        <f>B2690&amp;TEXT(C2690,"0000")</f>
        <v/>
      </c>
      <c r="B2690" s="68" t="n">
        <v>201</v>
      </c>
      <c r="C2690" s="68" t="n">
        <v>787</v>
      </c>
      <c r="D2690" s="68" t="inlineStr">
        <is>
          <t>HpRatio</t>
        </is>
      </c>
      <c r="E2690" s="68" t="n">
        <v>0</v>
      </c>
      <c r="F2690" s="68" t="inlineStr">
        <is>
          <t>AtkRatio</t>
        </is>
      </c>
      <c r="G2690" s="68">
        <f>INT(G2689*1.01)</f>
        <v/>
      </c>
      <c r="H2690" s="68" t="inlineStr">
        <is>
          <t>DefRatio</t>
        </is>
      </c>
      <c r="I2690" s="68">
        <f>G2690</f>
        <v/>
      </c>
    </row>
    <row r="2691">
      <c r="A2691" s="68">
        <f>B2691&amp;TEXT(C2691,"0000")</f>
        <v/>
      </c>
      <c r="B2691" s="68" t="n">
        <v>201</v>
      </c>
      <c r="C2691" s="68" t="n">
        <v>788</v>
      </c>
      <c r="D2691" s="68" t="inlineStr">
        <is>
          <t>HpRatio</t>
        </is>
      </c>
      <c r="E2691" s="68" t="n">
        <v>0</v>
      </c>
      <c r="F2691" s="68" t="inlineStr">
        <is>
          <t>AtkRatio</t>
        </is>
      </c>
      <c r="G2691" s="68">
        <f>INT(G2690*1.01)</f>
        <v/>
      </c>
      <c r="H2691" s="68" t="inlineStr">
        <is>
          <t>DefRatio</t>
        </is>
      </c>
      <c r="I2691" s="68">
        <f>G2691</f>
        <v/>
      </c>
    </row>
    <row r="2692">
      <c r="A2692" s="68">
        <f>B2692&amp;TEXT(C2692,"0000")</f>
        <v/>
      </c>
      <c r="B2692" s="68" t="n">
        <v>201</v>
      </c>
      <c r="C2692" s="68" t="n">
        <v>789</v>
      </c>
      <c r="D2692" s="68" t="inlineStr">
        <is>
          <t>HpRatio</t>
        </is>
      </c>
      <c r="E2692" s="68" t="n">
        <v>0</v>
      </c>
      <c r="F2692" s="68" t="inlineStr">
        <is>
          <t>AtkRatio</t>
        </is>
      </c>
      <c r="G2692" s="68">
        <f>INT(G2691*1.01)</f>
        <v/>
      </c>
      <c r="H2692" s="68" t="inlineStr">
        <is>
          <t>DefRatio</t>
        </is>
      </c>
      <c r="I2692" s="68">
        <f>G2692</f>
        <v/>
      </c>
    </row>
    <row r="2693">
      <c r="A2693" s="68">
        <f>B2693&amp;TEXT(C2693,"0000")</f>
        <v/>
      </c>
      <c r="B2693" s="68" t="n">
        <v>201</v>
      </c>
      <c r="C2693" s="68" t="n">
        <v>790</v>
      </c>
      <c r="D2693" s="68" t="inlineStr">
        <is>
          <t>HpRatio</t>
        </is>
      </c>
      <c r="E2693" s="68" t="n">
        <v>0</v>
      </c>
      <c r="F2693" s="68" t="inlineStr">
        <is>
          <t>AtkRatio</t>
        </is>
      </c>
      <c r="G2693" s="68">
        <f>INT(G2692*1.01)</f>
        <v/>
      </c>
      <c r="H2693" s="68" t="inlineStr">
        <is>
          <t>DefRatio</t>
        </is>
      </c>
      <c r="I2693" s="68">
        <f>G2693</f>
        <v/>
      </c>
    </row>
    <row r="2694">
      <c r="A2694" s="68">
        <f>B2694&amp;TEXT(C2694,"0000")</f>
        <v/>
      </c>
      <c r="B2694" s="68" t="n">
        <v>201</v>
      </c>
      <c r="C2694" s="68" t="n">
        <v>791</v>
      </c>
      <c r="D2694" s="68" t="inlineStr">
        <is>
          <t>HpRatio</t>
        </is>
      </c>
      <c r="E2694" s="68" t="n">
        <v>0</v>
      </c>
      <c r="F2694" s="68" t="inlineStr">
        <is>
          <t>AtkRatio</t>
        </is>
      </c>
      <c r="G2694" s="68">
        <f>INT(G2693*1.01)</f>
        <v/>
      </c>
      <c r="H2694" s="68" t="inlineStr">
        <is>
          <t>DefRatio</t>
        </is>
      </c>
      <c r="I2694" s="68">
        <f>G2694</f>
        <v/>
      </c>
    </row>
    <row r="2695">
      <c r="A2695" s="68">
        <f>B2695&amp;TEXT(C2695,"0000")</f>
        <v/>
      </c>
      <c r="B2695" s="68" t="n">
        <v>201</v>
      </c>
      <c r="C2695" s="68" t="n">
        <v>792</v>
      </c>
      <c r="D2695" s="68" t="inlineStr">
        <is>
          <t>HpRatio</t>
        </is>
      </c>
      <c r="E2695" s="68" t="n">
        <v>0</v>
      </c>
      <c r="F2695" s="68" t="inlineStr">
        <is>
          <t>AtkRatio</t>
        </is>
      </c>
      <c r="G2695" s="68">
        <f>INT(G2694*1.01)</f>
        <v/>
      </c>
      <c r="H2695" s="68" t="inlineStr">
        <is>
          <t>DefRatio</t>
        </is>
      </c>
      <c r="I2695" s="68">
        <f>G2695</f>
        <v/>
      </c>
    </row>
    <row r="2696">
      <c r="A2696" s="68">
        <f>B2696&amp;TEXT(C2696,"0000")</f>
        <v/>
      </c>
      <c r="B2696" s="68" t="n">
        <v>201</v>
      </c>
      <c r="C2696" s="68" t="n">
        <v>793</v>
      </c>
      <c r="D2696" s="68" t="inlineStr">
        <is>
          <t>HpRatio</t>
        </is>
      </c>
      <c r="E2696" s="68" t="n">
        <v>0</v>
      </c>
      <c r="F2696" s="68" t="inlineStr">
        <is>
          <t>AtkRatio</t>
        </is>
      </c>
      <c r="G2696" s="68">
        <f>INT(G2695*1.01)</f>
        <v/>
      </c>
      <c r="H2696" s="68" t="inlineStr">
        <is>
          <t>DefRatio</t>
        </is>
      </c>
      <c r="I2696" s="68">
        <f>G2696</f>
        <v/>
      </c>
    </row>
    <row r="2697">
      <c r="A2697" s="68">
        <f>B2697&amp;TEXT(C2697,"0000")</f>
        <v/>
      </c>
      <c r="B2697" s="68" t="n">
        <v>201</v>
      </c>
      <c r="C2697" s="68" t="n">
        <v>794</v>
      </c>
      <c r="D2697" s="68" t="inlineStr">
        <is>
          <t>HpRatio</t>
        </is>
      </c>
      <c r="E2697" s="68" t="n">
        <v>0</v>
      </c>
      <c r="F2697" s="68" t="inlineStr">
        <is>
          <t>AtkRatio</t>
        </is>
      </c>
      <c r="G2697" s="68">
        <f>INT(G2696*1.01)</f>
        <v/>
      </c>
      <c r="H2697" s="68" t="inlineStr">
        <is>
          <t>DefRatio</t>
        </is>
      </c>
      <c r="I2697" s="68">
        <f>G2697</f>
        <v/>
      </c>
    </row>
    <row r="2698">
      <c r="A2698" s="68">
        <f>B2698&amp;TEXT(C2698,"0000")</f>
        <v/>
      </c>
      <c r="B2698" s="68" t="n">
        <v>201</v>
      </c>
      <c r="C2698" s="68" t="n">
        <v>795</v>
      </c>
      <c r="D2698" s="68" t="inlineStr">
        <is>
          <t>HpRatio</t>
        </is>
      </c>
      <c r="E2698" s="68" t="n">
        <v>0</v>
      </c>
      <c r="F2698" s="68" t="inlineStr">
        <is>
          <t>AtkRatio</t>
        </is>
      </c>
      <c r="G2698" s="68">
        <f>INT(G2697*1.01)</f>
        <v/>
      </c>
      <c r="H2698" s="68" t="inlineStr">
        <is>
          <t>DefRatio</t>
        </is>
      </c>
      <c r="I2698" s="68">
        <f>G2698</f>
        <v/>
      </c>
    </row>
    <row r="2699">
      <c r="A2699" s="68">
        <f>B2699&amp;TEXT(C2699,"0000")</f>
        <v/>
      </c>
      <c r="B2699" s="68" t="n">
        <v>201</v>
      </c>
      <c r="C2699" s="68" t="n">
        <v>796</v>
      </c>
      <c r="D2699" s="68" t="inlineStr">
        <is>
          <t>HpRatio</t>
        </is>
      </c>
      <c r="E2699" s="68" t="n">
        <v>0</v>
      </c>
      <c r="F2699" s="68" t="inlineStr">
        <is>
          <t>AtkRatio</t>
        </is>
      </c>
      <c r="G2699" s="68">
        <f>INT(G2698*1.01)</f>
        <v/>
      </c>
      <c r="H2699" s="68" t="inlineStr">
        <is>
          <t>DefRatio</t>
        </is>
      </c>
      <c r="I2699" s="68">
        <f>G2699</f>
        <v/>
      </c>
    </row>
    <row r="2700">
      <c r="A2700" s="68">
        <f>B2700&amp;TEXT(C2700,"0000")</f>
        <v/>
      </c>
      <c r="B2700" s="68" t="n">
        <v>201</v>
      </c>
      <c r="C2700" s="68" t="n">
        <v>797</v>
      </c>
      <c r="D2700" s="68" t="inlineStr">
        <is>
          <t>HpRatio</t>
        </is>
      </c>
      <c r="E2700" s="68" t="n">
        <v>0</v>
      </c>
      <c r="F2700" s="68" t="inlineStr">
        <is>
          <t>AtkRatio</t>
        </is>
      </c>
      <c r="G2700" s="68">
        <f>INT(G2699*1.01)</f>
        <v/>
      </c>
      <c r="H2700" s="68" t="inlineStr">
        <is>
          <t>DefRatio</t>
        </is>
      </c>
      <c r="I2700" s="68">
        <f>G2700</f>
        <v/>
      </c>
    </row>
    <row r="2701">
      <c r="A2701" s="68">
        <f>B2701&amp;TEXT(C2701,"0000")</f>
        <v/>
      </c>
      <c r="B2701" s="68" t="n">
        <v>201</v>
      </c>
      <c r="C2701" s="68" t="n">
        <v>798</v>
      </c>
      <c r="D2701" s="68" t="inlineStr">
        <is>
          <t>HpRatio</t>
        </is>
      </c>
      <c r="E2701" s="68" t="n">
        <v>0</v>
      </c>
      <c r="F2701" s="68" t="inlineStr">
        <is>
          <t>AtkRatio</t>
        </is>
      </c>
      <c r="G2701" s="68">
        <f>INT(G2700*1.01)</f>
        <v/>
      </c>
      <c r="H2701" s="68" t="inlineStr">
        <is>
          <t>DefRatio</t>
        </is>
      </c>
      <c r="I2701" s="68">
        <f>G2701</f>
        <v/>
      </c>
    </row>
    <row r="2702">
      <c r="A2702" s="68">
        <f>B2702&amp;TEXT(C2702,"0000")</f>
        <v/>
      </c>
      <c r="B2702" s="68" t="n">
        <v>201</v>
      </c>
      <c r="C2702" s="68" t="n">
        <v>799</v>
      </c>
      <c r="D2702" s="68" t="inlineStr">
        <is>
          <t>HpRatio</t>
        </is>
      </c>
      <c r="E2702" s="68" t="n">
        <v>0</v>
      </c>
      <c r="F2702" s="68" t="inlineStr">
        <is>
          <t>AtkRatio</t>
        </is>
      </c>
      <c r="G2702" s="68">
        <f>INT(G2701*1.01)</f>
        <v/>
      </c>
      <c r="H2702" s="68" t="inlineStr">
        <is>
          <t>DefRatio</t>
        </is>
      </c>
      <c r="I2702" s="68">
        <f>G2702</f>
        <v/>
      </c>
    </row>
    <row r="2703">
      <c r="A2703" s="68">
        <f>B2703&amp;TEXT(C2703,"0000")</f>
        <v/>
      </c>
      <c r="B2703" s="68" t="n">
        <v>201</v>
      </c>
      <c r="C2703" s="68" t="n">
        <v>800</v>
      </c>
      <c r="D2703" s="68" t="inlineStr">
        <is>
          <t>HpRatio</t>
        </is>
      </c>
      <c r="E2703" s="68" t="n">
        <v>0</v>
      </c>
      <c r="F2703" s="68" t="inlineStr">
        <is>
          <t>AtkRatio</t>
        </is>
      </c>
      <c r="G2703" s="68">
        <f>INT(G2702*1.01)</f>
        <v/>
      </c>
      <c r="H2703" s="68" t="inlineStr">
        <is>
          <t>DefRatio</t>
        </is>
      </c>
      <c r="I2703" s="68">
        <f>G2703</f>
        <v/>
      </c>
    </row>
    <row r="2704">
      <c r="A2704" s="68">
        <f>B2704&amp;TEXT(C2704,"0000")</f>
        <v/>
      </c>
      <c r="B2704" s="68" t="n">
        <v>201</v>
      </c>
      <c r="C2704" s="68" t="n">
        <v>801</v>
      </c>
      <c r="D2704" s="68" t="inlineStr">
        <is>
          <t>HpRatio</t>
        </is>
      </c>
      <c r="E2704" s="68" t="n">
        <v>0</v>
      </c>
      <c r="F2704" s="68" t="inlineStr">
        <is>
          <t>AtkRatio</t>
        </is>
      </c>
      <c r="G2704" s="68">
        <f>INT(G2703*1.01)</f>
        <v/>
      </c>
      <c r="H2704" s="68" t="inlineStr">
        <is>
          <t>DefRatio</t>
        </is>
      </c>
      <c r="I2704" s="68">
        <f>G2704</f>
        <v/>
      </c>
    </row>
    <row r="2705">
      <c r="A2705" s="68">
        <f>B2705&amp;TEXT(C2705,"0000")</f>
        <v/>
      </c>
      <c r="B2705" s="68" t="n">
        <v>201</v>
      </c>
      <c r="C2705" s="68" t="n">
        <v>802</v>
      </c>
      <c r="D2705" s="68" t="inlineStr">
        <is>
          <t>HpRatio</t>
        </is>
      </c>
      <c r="E2705" s="68" t="n">
        <v>0</v>
      </c>
      <c r="F2705" s="68" t="inlineStr">
        <is>
          <t>AtkRatio</t>
        </is>
      </c>
      <c r="G2705" s="68">
        <f>INT(G2704*1.01)</f>
        <v/>
      </c>
      <c r="H2705" s="68" t="inlineStr">
        <is>
          <t>DefRatio</t>
        </is>
      </c>
      <c r="I2705" s="68">
        <f>G2705</f>
        <v/>
      </c>
    </row>
    <row r="2706">
      <c r="A2706" s="68">
        <f>B2706&amp;TEXT(C2706,"0000")</f>
        <v/>
      </c>
      <c r="B2706" s="68" t="n">
        <v>201</v>
      </c>
      <c r="C2706" s="68" t="n">
        <v>803</v>
      </c>
      <c r="D2706" s="68" t="inlineStr">
        <is>
          <t>HpRatio</t>
        </is>
      </c>
      <c r="E2706" s="68" t="n">
        <v>0</v>
      </c>
      <c r="F2706" s="68" t="inlineStr">
        <is>
          <t>AtkRatio</t>
        </is>
      </c>
      <c r="G2706" s="68">
        <f>INT(G2705*1.01)</f>
        <v/>
      </c>
      <c r="H2706" s="68" t="inlineStr">
        <is>
          <t>DefRatio</t>
        </is>
      </c>
      <c r="I2706" s="68">
        <f>G2706</f>
        <v/>
      </c>
    </row>
    <row r="2707">
      <c r="A2707" s="68">
        <f>B2707&amp;TEXT(C2707,"0000")</f>
        <v/>
      </c>
      <c r="B2707" s="68" t="n">
        <v>201</v>
      </c>
      <c r="C2707" s="68" t="n">
        <v>804</v>
      </c>
      <c r="D2707" s="68" t="inlineStr">
        <is>
          <t>HpRatio</t>
        </is>
      </c>
      <c r="E2707" s="68" t="n">
        <v>0</v>
      </c>
      <c r="F2707" s="68" t="inlineStr">
        <is>
          <t>AtkRatio</t>
        </is>
      </c>
      <c r="G2707" s="68">
        <f>INT(G2706*1.01)</f>
        <v/>
      </c>
      <c r="H2707" s="68" t="inlineStr">
        <is>
          <t>DefRatio</t>
        </is>
      </c>
      <c r="I2707" s="68">
        <f>G2707</f>
        <v/>
      </c>
    </row>
    <row r="2708">
      <c r="A2708" s="68">
        <f>B2708&amp;TEXT(C2708,"0000")</f>
        <v/>
      </c>
      <c r="B2708" s="68" t="n">
        <v>201</v>
      </c>
      <c r="C2708" s="68" t="n">
        <v>805</v>
      </c>
      <c r="D2708" s="68" t="inlineStr">
        <is>
          <t>HpRatio</t>
        </is>
      </c>
      <c r="E2708" s="68" t="n">
        <v>0</v>
      </c>
      <c r="F2708" s="68" t="inlineStr">
        <is>
          <t>AtkRatio</t>
        </is>
      </c>
      <c r="G2708" s="68">
        <f>INT(G2707*1.01)</f>
        <v/>
      </c>
      <c r="H2708" s="68" t="inlineStr">
        <is>
          <t>DefRatio</t>
        </is>
      </c>
      <c r="I2708" s="68">
        <f>G2708</f>
        <v/>
      </c>
    </row>
    <row r="2709">
      <c r="A2709" s="68">
        <f>B2709&amp;TEXT(C2709,"0000")</f>
        <v/>
      </c>
      <c r="B2709" s="68" t="n">
        <v>201</v>
      </c>
      <c r="C2709" s="68" t="n">
        <v>806</v>
      </c>
      <c r="D2709" s="68" t="inlineStr">
        <is>
          <t>HpRatio</t>
        </is>
      </c>
      <c r="E2709" s="68" t="n">
        <v>0</v>
      </c>
      <c r="F2709" s="68" t="inlineStr">
        <is>
          <t>AtkRatio</t>
        </is>
      </c>
      <c r="G2709" s="68">
        <f>INT(G2708*1.01)</f>
        <v/>
      </c>
      <c r="H2709" s="68" t="inlineStr">
        <is>
          <t>DefRatio</t>
        </is>
      </c>
      <c r="I2709" s="68">
        <f>G2709</f>
        <v/>
      </c>
    </row>
    <row r="2710">
      <c r="A2710" s="68">
        <f>B2710&amp;TEXT(C2710,"0000")</f>
        <v/>
      </c>
      <c r="B2710" s="68" t="n">
        <v>201</v>
      </c>
      <c r="C2710" s="68" t="n">
        <v>807</v>
      </c>
      <c r="D2710" s="68" t="inlineStr">
        <is>
          <t>HpRatio</t>
        </is>
      </c>
      <c r="E2710" s="68" t="n">
        <v>0</v>
      </c>
      <c r="F2710" s="68" t="inlineStr">
        <is>
          <t>AtkRatio</t>
        </is>
      </c>
      <c r="G2710" s="68">
        <f>INT(G2709*1.01)</f>
        <v/>
      </c>
      <c r="H2710" s="68" t="inlineStr">
        <is>
          <t>DefRatio</t>
        </is>
      </c>
      <c r="I2710" s="68">
        <f>G2710</f>
        <v/>
      </c>
    </row>
    <row r="2711">
      <c r="A2711" s="68">
        <f>B2711&amp;TEXT(C2711,"0000")</f>
        <v/>
      </c>
      <c r="B2711" s="68" t="n">
        <v>201</v>
      </c>
      <c r="C2711" s="68" t="n">
        <v>808</v>
      </c>
      <c r="D2711" s="68" t="inlineStr">
        <is>
          <t>HpRatio</t>
        </is>
      </c>
      <c r="E2711" s="68" t="n">
        <v>0</v>
      </c>
      <c r="F2711" s="68" t="inlineStr">
        <is>
          <t>AtkRatio</t>
        </is>
      </c>
      <c r="G2711" s="68">
        <f>INT(G2710*1.01)</f>
        <v/>
      </c>
      <c r="H2711" s="68" t="inlineStr">
        <is>
          <t>DefRatio</t>
        </is>
      </c>
      <c r="I2711" s="68">
        <f>G2711</f>
        <v/>
      </c>
    </row>
    <row r="2712">
      <c r="A2712" s="68">
        <f>B2712&amp;TEXT(C2712,"0000")</f>
        <v/>
      </c>
      <c r="B2712" s="68" t="n">
        <v>201</v>
      </c>
      <c r="C2712" s="68" t="n">
        <v>809</v>
      </c>
      <c r="D2712" s="68" t="inlineStr">
        <is>
          <t>HpRatio</t>
        </is>
      </c>
      <c r="E2712" s="68" t="n">
        <v>0</v>
      </c>
      <c r="F2712" s="68" t="inlineStr">
        <is>
          <t>AtkRatio</t>
        </is>
      </c>
      <c r="G2712" s="68">
        <f>INT(G2711*1.01)</f>
        <v/>
      </c>
      <c r="H2712" s="68" t="inlineStr">
        <is>
          <t>DefRatio</t>
        </is>
      </c>
      <c r="I2712" s="68">
        <f>G2712</f>
        <v/>
      </c>
    </row>
    <row r="2713">
      <c r="A2713" s="68">
        <f>B2713&amp;TEXT(C2713,"0000")</f>
        <v/>
      </c>
      <c r="B2713" s="68" t="n">
        <v>201</v>
      </c>
      <c r="C2713" s="68" t="n">
        <v>810</v>
      </c>
      <c r="D2713" s="68" t="inlineStr">
        <is>
          <t>HpRatio</t>
        </is>
      </c>
      <c r="E2713" s="68" t="n">
        <v>0</v>
      </c>
      <c r="F2713" s="68" t="inlineStr">
        <is>
          <t>AtkRatio</t>
        </is>
      </c>
      <c r="G2713" s="68">
        <f>INT(G2712*1.01)</f>
        <v/>
      </c>
      <c r="H2713" s="68" t="inlineStr">
        <is>
          <t>DefRatio</t>
        </is>
      </c>
      <c r="I2713" s="68">
        <f>G2713</f>
        <v/>
      </c>
    </row>
    <row r="2714">
      <c r="A2714" s="68">
        <f>B2714&amp;TEXT(C2714,"0000")</f>
        <v/>
      </c>
      <c r="B2714" s="68" t="n">
        <v>201</v>
      </c>
      <c r="C2714" s="68" t="n">
        <v>811</v>
      </c>
      <c r="D2714" s="68" t="inlineStr">
        <is>
          <t>HpRatio</t>
        </is>
      </c>
      <c r="E2714" s="68" t="n">
        <v>0</v>
      </c>
      <c r="F2714" s="68" t="inlineStr">
        <is>
          <t>AtkRatio</t>
        </is>
      </c>
      <c r="G2714" s="68">
        <f>INT(G2713*1.01)</f>
        <v/>
      </c>
      <c r="H2714" s="68" t="inlineStr">
        <is>
          <t>DefRatio</t>
        </is>
      </c>
      <c r="I2714" s="68">
        <f>G2714</f>
        <v/>
      </c>
    </row>
    <row r="2715">
      <c r="A2715" s="68">
        <f>B2715&amp;TEXT(C2715,"0000")</f>
        <v/>
      </c>
      <c r="B2715" s="68" t="n">
        <v>201</v>
      </c>
      <c r="C2715" s="68" t="n">
        <v>812</v>
      </c>
      <c r="D2715" s="68" t="inlineStr">
        <is>
          <t>HpRatio</t>
        </is>
      </c>
      <c r="E2715" s="68" t="n">
        <v>0</v>
      </c>
      <c r="F2715" s="68" t="inlineStr">
        <is>
          <t>AtkRatio</t>
        </is>
      </c>
      <c r="G2715" s="68">
        <f>INT(G2714*1.01)</f>
        <v/>
      </c>
      <c r="H2715" s="68" t="inlineStr">
        <is>
          <t>DefRatio</t>
        </is>
      </c>
      <c r="I2715" s="68">
        <f>G2715</f>
        <v/>
      </c>
    </row>
    <row r="2716">
      <c r="A2716" s="68">
        <f>B2716&amp;TEXT(C2716,"0000")</f>
        <v/>
      </c>
      <c r="B2716" s="68" t="n">
        <v>201</v>
      </c>
      <c r="C2716" s="68" t="n">
        <v>813</v>
      </c>
      <c r="D2716" s="68" t="inlineStr">
        <is>
          <t>HpRatio</t>
        </is>
      </c>
      <c r="E2716" s="68" t="n">
        <v>0</v>
      </c>
      <c r="F2716" s="68" t="inlineStr">
        <is>
          <t>AtkRatio</t>
        </is>
      </c>
      <c r="G2716" s="68">
        <f>INT(G2715*1.01)</f>
        <v/>
      </c>
      <c r="H2716" s="68" t="inlineStr">
        <is>
          <t>DefRatio</t>
        </is>
      </c>
      <c r="I2716" s="68">
        <f>G2716</f>
        <v/>
      </c>
    </row>
    <row r="2717">
      <c r="A2717" s="68">
        <f>B2717&amp;TEXT(C2717,"0000")</f>
        <v/>
      </c>
      <c r="B2717" s="68" t="n">
        <v>201</v>
      </c>
      <c r="C2717" s="68" t="n">
        <v>814</v>
      </c>
      <c r="D2717" s="68" t="inlineStr">
        <is>
          <t>HpRatio</t>
        </is>
      </c>
      <c r="E2717" s="68" t="n">
        <v>0</v>
      </c>
      <c r="F2717" s="68" t="inlineStr">
        <is>
          <t>AtkRatio</t>
        </is>
      </c>
      <c r="G2717" s="68">
        <f>INT(G2716*1.01)</f>
        <v/>
      </c>
      <c r="H2717" s="68" t="inlineStr">
        <is>
          <t>DefRatio</t>
        </is>
      </c>
      <c r="I2717" s="68">
        <f>G2717</f>
        <v/>
      </c>
    </row>
    <row r="2718">
      <c r="A2718" s="68">
        <f>B2718&amp;TEXT(C2718,"0000")</f>
        <v/>
      </c>
      <c r="B2718" s="68" t="n">
        <v>201</v>
      </c>
      <c r="C2718" s="68" t="n">
        <v>815</v>
      </c>
      <c r="D2718" s="68" t="inlineStr">
        <is>
          <t>HpRatio</t>
        </is>
      </c>
      <c r="E2718" s="68" t="n">
        <v>0</v>
      </c>
      <c r="F2718" s="68" t="inlineStr">
        <is>
          <t>AtkRatio</t>
        </is>
      </c>
      <c r="G2718" s="68">
        <f>INT(G2717*1.01)</f>
        <v/>
      </c>
      <c r="H2718" s="68" t="inlineStr">
        <is>
          <t>DefRatio</t>
        </is>
      </c>
      <c r="I2718" s="68">
        <f>G2718</f>
        <v/>
      </c>
    </row>
    <row r="2719">
      <c r="A2719" s="68">
        <f>B2719&amp;TEXT(C2719,"0000")</f>
        <v/>
      </c>
      <c r="B2719" s="68" t="n">
        <v>201</v>
      </c>
      <c r="C2719" s="68" t="n">
        <v>816</v>
      </c>
      <c r="D2719" s="68" t="inlineStr">
        <is>
          <t>HpRatio</t>
        </is>
      </c>
      <c r="E2719" s="68" t="n">
        <v>0</v>
      </c>
      <c r="F2719" s="68" t="inlineStr">
        <is>
          <t>AtkRatio</t>
        </is>
      </c>
      <c r="G2719" s="68">
        <f>INT(G2718*1.01)</f>
        <v/>
      </c>
      <c r="H2719" s="68" t="inlineStr">
        <is>
          <t>DefRatio</t>
        </is>
      </c>
      <c r="I2719" s="68">
        <f>G2719</f>
        <v/>
      </c>
    </row>
    <row r="2720">
      <c r="A2720" s="68">
        <f>B2720&amp;TEXT(C2720,"0000")</f>
        <v/>
      </c>
      <c r="B2720" s="68" t="n">
        <v>201</v>
      </c>
      <c r="C2720" s="68" t="n">
        <v>817</v>
      </c>
      <c r="D2720" s="68" t="inlineStr">
        <is>
          <t>HpRatio</t>
        </is>
      </c>
      <c r="E2720" s="68" t="n">
        <v>0</v>
      </c>
      <c r="F2720" s="68" t="inlineStr">
        <is>
          <t>AtkRatio</t>
        </is>
      </c>
      <c r="G2720" s="68">
        <f>INT(G2719*1.01)</f>
        <v/>
      </c>
      <c r="H2720" s="68" t="inlineStr">
        <is>
          <t>DefRatio</t>
        </is>
      </c>
      <c r="I2720" s="68">
        <f>G2720</f>
        <v/>
      </c>
    </row>
    <row r="2721">
      <c r="A2721" s="68">
        <f>B2721&amp;TEXT(C2721,"0000")</f>
        <v/>
      </c>
      <c r="B2721" s="68" t="n">
        <v>201</v>
      </c>
      <c r="C2721" s="68" t="n">
        <v>818</v>
      </c>
      <c r="D2721" s="68" t="inlineStr">
        <is>
          <t>HpRatio</t>
        </is>
      </c>
      <c r="E2721" s="68" t="n">
        <v>0</v>
      </c>
      <c r="F2721" s="68" t="inlineStr">
        <is>
          <t>AtkRatio</t>
        </is>
      </c>
      <c r="G2721" s="68">
        <f>INT(G2720*1.01)</f>
        <v/>
      </c>
      <c r="H2721" s="68" t="inlineStr">
        <is>
          <t>DefRatio</t>
        </is>
      </c>
      <c r="I2721" s="68">
        <f>G2721</f>
        <v/>
      </c>
    </row>
    <row r="2722">
      <c r="A2722" s="68">
        <f>B2722&amp;TEXT(C2722,"0000")</f>
        <v/>
      </c>
      <c r="B2722" s="68" t="n">
        <v>201</v>
      </c>
      <c r="C2722" s="68" t="n">
        <v>819</v>
      </c>
      <c r="D2722" s="68" t="inlineStr">
        <is>
          <t>HpRatio</t>
        </is>
      </c>
      <c r="E2722" s="68" t="n">
        <v>0</v>
      </c>
      <c r="F2722" s="68" t="inlineStr">
        <is>
          <t>AtkRatio</t>
        </is>
      </c>
      <c r="G2722" s="68">
        <f>INT(G2721*1.01)</f>
        <v/>
      </c>
      <c r="H2722" s="68" t="inlineStr">
        <is>
          <t>DefRatio</t>
        </is>
      </c>
      <c r="I2722" s="68">
        <f>G2722</f>
        <v/>
      </c>
    </row>
    <row r="2723">
      <c r="A2723" s="68">
        <f>B2723&amp;TEXT(C2723,"0000")</f>
        <v/>
      </c>
      <c r="B2723" s="68" t="n">
        <v>201</v>
      </c>
      <c r="C2723" s="68" t="n">
        <v>820</v>
      </c>
      <c r="D2723" s="68" t="inlineStr">
        <is>
          <t>HpRatio</t>
        </is>
      </c>
      <c r="E2723" s="68" t="n">
        <v>0</v>
      </c>
      <c r="F2723" s="68" t="inlineStr">
        <is>
          <t>AtkRatio</t>
        </is>
      </c>
      <c r="G2723" s="68">
        <f>INT(G2722*1.01)</f>
        <v/>
      </c>
      <c r="H2723" s="68" t="inlineStr">
        <is>
          <t>DefRatio</t>
        </is>
      </c>
      <c r="I2723" s="68">
        <f>G2723</f>
        <v/>
      </c>
    </row>
    <row r="2724">
      <c r="A2724" s="68">
        <f>B2724&amp;TEXT(C2724,"0000")</f>
        <v/>
      </c>
      <c r="B2724" s="68" t="n">
        <v>201</v>
      </c>
      <c r="C2724" s="68" t="n">
        <v>821</v>
      </c>
      <c r="D2724" s="68" t="inlineStr">
        <is>
          <t>HpRatio</t>
        </is>
      </c>
      <c r="E2724" s="68" t="n">
        <v>0</v>
      </c>
      <c r="F2724" s="68" t="inlineStr">
        <is>
          <t>AtkRatio</t>
        </is>
      </c>
      <c r="G2724" s="68">
        <f>INT(G2723*1.01)</f>
        <v/>
      </c>
      <c r="H2724" s="68" t="inlineStr">
        <is>
          <t>DefRatio</t>
        </is>
      </c>
      <c r="I2724" s="68">
        <f>G2724</f>
        <v/>
      </c>
    </row>
    <row r="2725">
      <c r="A2725" s="68">
        <f>B2725&amp;TEXT(C2725,"0000")</f>
        <v/>
      </c>
      <c r="B2725" s="68" t="n">
        <v>201</v>
      </c>
      <c r="C2725" s="68" t="n">
        <v>822</v>
      </c>
      <c r="D2725" s="68" t="inlineStr">
        <is>
          <t>HpRatio</t>
        </is>
      </c>
      <c r="E2725" s="68" t="n">
        <v>0</v>
      </c>
      <c r="F2725" s="68" t="inlineStr">
        <is>
          <t>AtkRatio</t>
        </is>
      </c>
      <c r="G2725" s="68">
        <f>INT(G2724*1.01)</f>
        <v/>
      </c>
      <c r="H2725" s="68" t="inlineStr">
        <is>
          <t>DefRatio</t>
        </is>
      </c>
      <c r="I2725" s="68">
        <f>G2725</f>
        <v/>
      </c>
    </row>
    <row r="2726">
      <c r="A2726" s="68">
        <f>B2726&amp;TEXT(C2726,"0000")</f>
        <v/>
      </c>
      <c r="B2726" s="68" t="n">
        <v>201</v>
      </c>
      <c r="C2726" s="68" t="n">
        <v>823</v>
      </c>
      <c r="D2726" s="68" t="inlineStr">
        <is>
          <t>HpRatio</t>
        </is>
      </c>
      <c r="E2726" s="68" t="n">
        <v>0</v>
      </c>
      <c r="F2726" s="68" t="inlineStr">
        <is>
          <t>AtkRatio</t>
        </is>
      </c>
      <c r="G2726" s="68">
        <f>INT(G2725*1.01)</f>
        <v/>
      </c>
      <c r="H2726" s="68" t="inlineStr">
        <is>
          <t>DefRatio</t>
        </is>
      </c>
      <c r="I2726" s="68">
        <f>G2726</f>
        <v/>
      </c>
    </row>
    <row r="2727">
      <c r="A2727" s="68">
        <f>B2727&amp;TEXT(C2727,"0000")</f>
        <v/>
      </c>
      <c r="B2727" s="68" t="n">
        <v>201</v>
      </c>
      <c r="C2727" s="68" t="n">
        <v>824</v>
      </c>
      <c r="D2727" s="68" t="inlineStr">
        <is>
          <t>HpRatio</t>
        </is>
      </c>
      <c r="E2727" s="68" t="n">
        <v>0</v>
      </c>
      <c r="F2727" s="68" t="inlineStr">
        <is>
          <t>AtkRatio</t>
        </is>
      </c>
      <c r="G2727" s="68">
        <f>INT(G2726*1.01)</f>
        <v/>
      </c>
      <c r="H2727" s="68" t="inlineStr">
        <is>
          <t>DefRatio</t>
        </is>
      </c>
      <c r="I2727" s="68">
        <f>G2727</f>
        <v/>
      </c>
    </row>
    <row r="2728">
      <c r="A2728" s="68">
        <f>B2728&amp;TEXT(C2728,"0000")</f>
        <v/>
      </c>
      <c r="B2728" s="68" t="n">
        <v>201</v>
      </c>
      <c r="C2728" s="68" t="n">
        <v>825</v>
      </c>
      <c r="D2728" s="68" t="inlineStr">
        <is>
          <t>HpRatio</t>
        </is>
      </c>
      <c r="E2728" s="68" t="n">
        <v>0</v>
      </c>
      <c r="F2728" s="68" t="inlineStr">
        <is>
          <t>AtkRatio</t>
        </is>
      </c>
      <c r="G2728" s="68">
        <f>INT(G2727*1.01)</f>
        <v/>
      </c>
      <c r="H2728" s="68" t="inlineStr">
        <is>
          <t>DefRatio</t>
        </is>
      </c>
      <c r="I2728" s="68">
        <f>G2728</f>
        <v/>
      </c>
    </row>
    <row r="2729">
      <c r="A2729" s="68">
        <f>B2729&amp;TEXT(C2729,"0000")</f>
        <v/>
      </c>
      <c r="B2729" s="68" t="n">
        <v>201</v>
      </c>
      <c r="C2729" s="68" t="n">
        <v>826</v>
      </c>
      <c r="D2729" s="68" t="inlineStr">
        <is>
          <t>HpRatio</t>
        </is>
      </c>
      <c r="E2729" s="68" t="n">
        <v>0</v>
      </c>
      <c r="F2729" s="68" t="inlineStr">
        <is>
          <t>AtkRatio</t>
        </is>
      </c>
      <c r="G2729" s="68">
        <f>INT(G2728*1.01)</f>
        <v/>
      </c>
      <c r="H2729" s="68" t="inlineStr">
        <is>
          <t>DefRatio</t>
        </is>
      </c>
      <c r="I2729" s="68">
        <f>G2729</f>
        <v/>
      </c>
    </row>
    <row r="2730">
      <c r="A2730" s="68">
        <f>B2730&amp;TEXT(C2730,"0000")</f>
        <v/>
      </c>
      <c r="B2730" s="68" t="n">
        <v>201</v>
      </c>
      <c r="C2730" s="68" t="n">
        <v>827</v>
      </c>
      <c r="D2730" s="68" t="inlineStr">
        <is>
          <t>HpRatio</t>
        </is>
      </c>
      <c r="E2730" s="68" t="n">
        <v>0</v>
      </c>
      <c r="F2730" s="68" t="inlineStr">
        <is>
          <t>AtkRatio</t>
        </is>
      </c>
      <c r="G2730" s="68">
        <f>INT(G2729*1.01)</f>
        <v/>
      </c>
      <c r="H2730" s="68" t="inlineStr">
        <is>
          <t>DefRatio</t>
        </is>
      </c>
      <c r="I2730" s="68">
        <f>G2730</f>
        <v/>
      </c>
    </row>
    <row r="2731">
      <c r="A2731" s="68">
        <f>B2731&amp;TEXT(C2731,"0000")</f>
        <v/>
      </c>
      <c r="B2731" s="68" t="n">
        <v>201</v>
      </c>
      <c r="C2731" s="68" t="n">
        <v>828</v>
      </c>
      <c r="D2731" s="68" t="inlineStr">
        <is>
          <t>HpRatio</t>
        </is>
      </c>
      <c r="E2731" s="68" t="n">
        <v>0</v>
      </c>
      <c r="F2731" s="68" t="inlineStr">
        <is>
          <t>AtkRatio</t>
        </is>
      </c>
      <c r="G2731" s="68">
        <f>INT(G2730*1.01)</f>
        <v/>
      </c>
      <c r="H2731" s="68" t="inlineStr">
        <is>
          <t>DefRatio</t>
        </is>
      </c>
      <c r="I2731" s="68">
        <f>G2731</f>
        <v/>
      </c>
    </row>
    <row r="2732">
      <c r="A2732" s="68">
        <f>B2732&amp;TEXT(C2732,"0000")</f>
        <v/>
      </c>
      <c r="B2732" s="68" t="n">
        <v>201</v>
      </c>
      <c r="C2732" s="68" t="n">
        <v>829</v>
      </c>
      <c r="D2732" s="68" t="inlineStr">
        <is>
          <t>HpRatio</t>
        </is>
      </c>
      <c r="E2732" s="68" t="n">
        <v>0</v>
      </c>
      <c r="F2732" s="68" t="inlineStr">
        <is>
          <t>AtkRatio</t>
        </is>
      </c>
      <c r="G2732" s="68">
        <f>INT(G2731*1.01)</f>
        <v/>
      </c>
      <c r="H2732" s="68" t="inlineStr">
        <is>
          <t>DefRatio</t>
        </is>
      </c>
      <c r="I2732" s="68">
        <f>G2732</f>
        <v/>
      </c>
    </row>
    <row r="2733">
      <c r="A2733" s="68">
        <f>B2733&amp;TEXT(C2733,"0000")</f>
        <v/>
      </c>
      <c r="B2733" s="68" t="n">
        <v>201</v>
      </c>
      <c r="C2733" s="68" t="n">
        <v>830</v>
      </c>
      <c r="D2733" s="68" t="inlineStr">
        <is>
          <t>HpRatio</t>
        </is>
      </c>
      <c r="E2733" s="68" t="n">
        <v>0</v>
      </c>
      <c r="F2733" s="68" t="inlineStr">
        <is>
          <t>AtkRatio</t>
        </is>
      </c>
      <c r="G2733" s="68">
        <f>INT(G2732*1.01)</f>
        <v/>
      </c>
      <c r="H2733" s="68" t="inlineStr">
        <is>
          <t>DefRatio</t>
        </is>
      </c>
      <c r="I2733" s="68">
        <f>G2733</f>
        <v/>
      </c>
    </row>
    <row r="2734">
      <c r="A2734" s="68">
        <f>B2734&amp;TEXT(C2734,"0000")</f>
        <v/>
      </c>
      <c r="B2734" s="68" t="n">
        <v>201</v>
      </c>
      <c r="C2734" s="68" t="n">
        <v>831</v>
      </c>
      <c r="D2734" s="68" t="inlineStr">
        <is>
          <t>HpRatio</t>
        </is>
      </c>
      <c r="E2734" s="68" t="n">
        <v>0</v>
      </c>
      <c r="F2734" s="68" t="inlineStr">
        <is>
          <t>AtkRatio</t>
        </is>
      </c>
      <c r="G2734" s="68">
        <f>INT(G2733*1.01)</f>
        <v/>
      </c>
      <c r="H2734" s="68" t="inlineStr">
        <is>
          <t>DefRatio</t>
        </is>
      </c>
      <c r="I2734" s="68">
        <f>G2734</f>
        <v/>
      </c>
    </row>
    <row r="2735">
      <c r="A2735" s="68">
        <f>B2735&amp;TEXT(C2735,"0000")</f>
        <v/>
      </c>
      <c r="B2735" s="68" t="n">
        <v>201</v>
      </c>
      <c r="C2735" s="68" t="n">
        <v>832</v>
      </c>
      <c r="D2735" s="68" t="inlineStr">
        <is>
          <t>HpRatio</t>
        </is>
      </c>
      <c r="E2735" s="68" t="n">
        <v>0</v>
      </c>
      <c r="F2735" s="68" t="inlineStr">
        <is>
          <t>AtkRatio</t>
        </is>
      </c>
      <c r="G2735" s="68">
        <f>INT(G2734*1.01)</f>
        <v/>
      </c>
      <c r="H2735" s="68" t="inlineStr">
        <is>
          <t>DefRatio</t>
        </is>
      </c>
      <c r="I2735" s="68">
        <f>G2735</f>
        <v/>
      </c>
    </row>
    <row r="2736">
      <c r="A2736" s="68">
        <f>B2736&amp;TEXT(C2736,"0000")</f>
        <v/>
      </c>
      <c r="B2736" s="68" t="n">
        <v>201</v>
      </c>
      <c r="C2736" s="68" t="n">
        <v>833</v>
      </c>
      <c r="D2736" s="68" t="inlineStr">
        <is>
          <t>HpRatio</t>
        </is>
      </c>
      <c r="E2736" s="68" t="n">
        <v>0</v>
      </c>
      <c r="F2736" s="68" t="inlineStr">
        <is>
          <t>AtkRatio</t>
        </is>
      </c>
      <c r="G2736" s="68">
        <f>INT(G2735*1.01)</f>
        <v/>
      </c>
      <c r="H2736" s="68" t="inlineStr">
        <is>
          <t>DefRatio</t>
        </is>
      </c>
      <c r="I2736" s="68">
        <f>G2736</f>
        <v/>
      </c>
    </row>
    <row r="2737">
      <c r="A2737" s="68">
        <f>B2737&amp;TEXT(C2737,"0000")</f>
        <v/>
      </c>
      <c r="B2737" s="68" t="n">
        <v>201</v>
      </c>
      <c r="C2737" s="68" t="n">
        <v>834</v>
      </c>
      <c r="D2737" s="68" t="inlineStr">
        <is>
          <t>HpRatio</t>
        </is>
      </c>
      <c r="E2737" s="68" t="n">
        <v>0</v>
      </c>
      <c r="F2737" s="68" t="inlineStr">
        <is>
          <t>AtkRatio</t>
        </is>
      </c>
      <c r="G2737" s="68">
        <f>INT(G2736*1.01)</f>
        <v/>
      </c>
      <c r="H2737" s="68" t="inlineStr">
        <is>
          <t>DefRatio</t>
        </is>
      </c>
      <c r="I2737" s="68">
        <f>G2737</f>
        <v/>
      </c>
    </row>
    <row r="2738">
      <c r="A2738" s="68">
        <f>B2738&amp;TEXT(C2738,"0000")</f>
        <v/>
      </c>
      <c r="B2738" s="68" t="n">
        <v>201</v>
      </c>
      <c r="C2738" s="68" t="n">
        <v>835</v>
      </c>
      <c r="D2738" s="68" t="inlineStr">
        <is>
          <t>HpRatio</t>
        </is>
      </c>
      <c r="E2738" s="68" t="n">
        <v>0</v>
      </c>
      <c r="F2738" s="68" t="inlineStr">
        <is>
          <t>AtkRatio</t>
        </is>
      </c>
      <c r="G2738" s="68">
        <f>INT(G2737*1.01)</f>
        <v/>
      </c>
      <c r="H2738" s="68" t="inlineStr">
        <is>
          <t>DefRatio</t>
        </is>
      </c>
      <c r="I2738" s="68">
        <f>G2738</f>
        <v/>
      </c>
    </row>
    <row r="2739">
      <c r="A2739" s="68">
        <f>B2739&amp;TEXT(C2739,"0000")</f>
        <v/>
      </c>
      <c r="B2739" s="68" t="n">
        <v>201</v>
      </c>
      <c r="C2739" s="68" t="n">
        <v>836</v>
      </c>
      <c r="D2739" s="68" t="inlineStr">
        <is>
          <t>HpRatio</t>
        </is>
      </c>
      <c r="E2739" s="68" t="n">
        <v>0</v>
      </c>
      <c r="F2739" s="68" t="inlineStr">
        <is>
          <t>AtkRatio</t>
        </is>
      </c>
      <c r="G2739" s="68">
        <f>INT(G2738*1.01)</f>
        <v/>
      </c>
      <c r="H2739" s="68" t="inlineStr">
        <is>
          <t>DefRatio</t>
        </is>
      </c>
      <c r="I2739" s="68">
        <f>G2739</f>
        <v/>
      </c>
    </row>
    <row r="2740">
      <c r="A2740" s="68">
        <f>B2740&amp;TEXT(C2740,"0000")</f>
        <v/>
      </c>
      <c r="B2740" s="68" t="n">
        <v>201</v>
      </c>
      <c r="C2740" s="68" t="n">
        <v>837</v>
      </c>
      <c r="D2740" s="68" t="inlineStr">
        <is>
          <t>HpRatio</t>
        </is>
      </c>
      <c r="E2740" s="68" t="n">
        <v>0</v>
      </c>
      <c r="F2740" s="68" t="inlineStr">
        <is>
          <t>AtkRatio</t>
        </is>
      </c>
      <c r="G2740" s="68">
        <f>INT(G2739*1.01)</f>
        <v/>
      </c>
      <c r="H2740" s="68" t="inlineStr">
        <is>
          <t>DefRatio</t>
        </is>
      </c>
      <c r="I2740" s="68">
        <f>G2740</f>
        <v/>
      </c>
    </row>
    <row r="2741">
      <c r="A2741" s="68">
        <f>B2741&amp;TEXT(C2741,"0000")</f>
        <v/>
      </c>
      <c r="B2741" s="68" t="n">
        <v>201</v>
      </c>
      <c r="C2741" s="68" t="n">
        <v>838</v>
      </c>
      <c r="D2741" s="68" t="inlineStr">
        <is>
          <t>HpRatio</t>
        </is>
      </c>
      <c r="E2741" s="68" t="n">
        <v>0</v>
      </c>
      <c r="F2741" s="68" t="inlineStr">
        <is>
          <t>AtkRatio</t>
        </is>
      </c>
      <c r="G2741" s="68">
        <f>INT(G2740*1.01)</f>
        <v/>
      </c>
      <c r="H2741" s="68" t="inlineStr">
        <is>
          <t>DefRatio</t>
        </is>
      </c>
      <c r="I2741" s="68">
        <f>G2741</f>
        <v/>
      </c>
    </row>
    <row r="2742">
      <c r="A2742" s="68">
        <f>B2742&amp;TEXT(C2742,"0000")</f>
        <v/>
      </c>
      <c r="B2742" s="68" t="n">
        <v>201</v>
      </c>
      <c r="C2742" s="68" t="n">
        <v>839</v>
      </c>
      <c r="D2742" s="68" t="inlineStr">
        <is>
          <t>HpRatio</t>
        </is>
      </c>
      <c r="E2742" s="68" t="n">
        <v>0</v>
      </c>
      <c r="F2742" s="68" t="inlineStr">
        <is>
          <t>AtkRatio</t>
        </is>
      </c>
      <c r="G2742" s="68">
        <f>INT(G2741*1.01)</f>
        <v/>
      </c>
      <c r="H2742" s="68" t="inlineStr">
        <is>
          <t>DefRatio</t>
        </is>
      </c>
      <c r="I2742" s="68">
        <f>G2742</f>
        <v/>
      </c>
    </row>
    <row r="2743">
      <c r="A2743" s="68">
        <f>B2743&amp;TEXT(C2743,"0000")</f>
        <v/>
      </c>
      <c r="B2743" s="68" t="n">
        <v>201</v>
      </c>
      <c r="C2743" s="68" t="n">
        <v>840</v>
      </c>
      <c r="D2743" s="68" t="inlineStr">
        <is>
          <t>HpRatio</t>
        </is>
      </c>
      <c r="E2743" s="68" t="n">
        <v>0</v>
      </c>
      <c r="F2743" s="68" t="inlineStr">
        <is>
          <t>AtkRatio</t>
        </is>
      </c>
      <c r="G2743" s="68">
        <f>INT(G2742*1.01)</f>
        <v/>
      </c>
      <c r="H2743" s="68" t="inlineStr">
        <is>
          <t>DefRatio</t>
        </is>
      </c>
      <c r="I2743" s="68">
        <f>G2743</f>
        <v/>
      </c>
    </row>
    <row r="2744">
      <c r="A2744" s="68">
        <f>B2744&amp;TEXT(C2744,"0000")</f>
        <v/>
      </c>
      <c r="B2744" s="68" t="n">
        <v>201</v>
      </c>
      <c r="C2744" s="68" t="n">
        <v>841</v>
      </c>
      <c r="D2744" s="68" t="inlineStr">
        <is>
          <t>HpRatio</t>
        </is>
      </c>
      <c r="E2744" s="68" t="n">
        <v>0</v>
      </c>
      <c r="F2744" s="68" t="inlineStr">
        <is>
          <t>AtkRatio</t>
        </is>
      </c>
      <c r="G2744" s="68">
        <f>INT(G2743*1.01)</f>
        <v/>
      </c>
      <c r="H2744" s="68" t="inlineStr">
        <is>
          <t>DefRatio</t>
        </is>
      </c>
      <c r="I2744" s="68">
        <f>G2744</f>
        <v/>
      </c>
    </row>
    <row r="2745">
      <c r="A2745" s="68">
        <f>B2745&amp;TEXT(C2745,"0000")</f>
        <v/>
      </c>
      <c r="B2745" s="68" t="n">
        <v>201</v>
      </c>
      <c r="C2745" s="68" t="n">
        <v>842</v>
      </c>
      <c r="D2745" s="68" t="inlineStr">
        <is>
          <t>HpRatio</t>
        </is>
      </c>
      <c r="E2745" s="68" t="n">
        <v>0</v>
      </c>
      <c r="F2745" s="68" t="inlineStr">
        <is>
          <t>AtkRatio</t>
        </is>
      </c>
      <c r="G2745" s="68">
        <f>INT(G2744*1.01)</f>
        <v/>
      </c>
      <c r="H2745" s="68" t="inlineStr">
        <is>
          <t>DefRatio</t>
        </is>
      </c>
      <c r="I2745" s="68">
        <f>G2745</f>
        <v/>
      </c>
    </row>
    <row r="2746">
      <c r="A2746" s="68">
        <f>B2746&amp;TEXT(C2746,"0000")</f>
        <v/>
      </c>
      <c r="B2746" s="68" t="n">
        <v>201</v>
      </c>
      <c r="C2746" s="68" t="n">
        <v>843</v>
      </c>
      <c r="D2746" s="68" t="inlineStr">
        <is>
          <t>HpRatio</t>
        </is>
      </c>
      <c r="E2746" s="68" t="n">
        <v>0</v>
      </c>
      <c r="F2746" s="68" t="inlineStr">
        <is>
          <t>AtkRatio</t>
        </is>
      </c>
      <c r="G2746" s="68">
        <f>INT(G2745*1.01)</f>
        <v/>
      </c>
      <c r="H2746" s="68" t="inlineStr">
        <is>
          <t>DefRatio</t>
        </is>
      </c>
      <c r="I2746" s="68">
        <f>G2746</f>
        <v/>
      </c>
    </row>
    <row r="2747">
      <c r="A2747" s="68">
        <f>B2747&amp;TEXT(C2747,"0000")</f>
        <v/>
      </c>
      <c r="B2747" s="68" t="n">
        <v>201</v>
      </c>
      <c r="C2747" s="68" t="n">
        <v>844</v>
      </c>
      <c r="D2747" s="68" t="inlineStr">
        <is>
          <t>HpRatio</t>
        </is>
      </c>
      <c r="E2747" s="68" t="n">
        <v>0</v>
      </c>
      <c r="F2747" s="68" t="inlineStr">
        <is>
          <t>AtkRatio</t>
        </is>
      </c>
      <c r="G2747" s="68">
        <f>INT(G2746*1.01)</f>
        <v/>
      </c>
      <c r="H2747" s="68" t="inlineStr">
        <is>
          <t>DefRatio</t>
        </is>
      </c>
      <c r="I2747" s="68">
        <f>G2747</f>
        <v/>
      </c>
    </row>
    <row r="2748">
      <c r="A2748" s="68">
        <f>B2748&amp;TEXT(C2748,"0000")</f>
        <v/>
      </c>
      <c r="B2748" s="68" t="n">
        <v>201</v>
      </c>
      <c r="C2748" s="68" t="n">
        <v>845</v>
      </c>
      <c r="D2748" s="68" t="inlineStr">
        <is>
          <t>HpRatio</t>
        </is>
      </c>
      <c r="E2748" s="68" t="n">
        <v>0</v>
      </c>
      <c r="F2748" s="68" t="inlineStr">
        <is>
          <t>AtkRatio</t>
        </is>
      </c>
      <c r="G2748" s="68">
        <f>INT(G2747*1.01)</f>
        <v/>
      </c>
      <c r="H2748" s="68" t="inlineStr">
        <is>
          <t>DefRatio</t>
        </is>
      </c>
      <c r="I2748" s="68">
        <f>G2748</f>
        <v/>
      </c>
    </row>
    <row r="2749">
      <c r="A2749" s="68">
        <f>B2749&amp;TEXT(C2749,"0000")</f>
        <v/>
      </c>
      <c r="B2749" s="68" t="n">
        <v>201</v>
      </c>
      <c r="C2749" s="68" t="n">
        <v>846</v>
      </c>
      <c r="D2749" s="68" t="inlineStr">
        <is>
          <t>HpRatio</t>
        </is>
      </c>
      <c r="E2749" s="68" t="n">
        <v>0</v>
      </c>
      <c r="F2749" s="68" t="inlineStr">
        <is>
          <t>AtkRatio</t>
        </is>
      </c>
      <c r="G2749" s="68">
        <f>INT(G2748*1.01)</f>
        <v/>
      </c>
      <c r="H2749" s="68" t="inlineStr">
        <is>
          <t>DefRatio</t>
        </is>
      </c>
      <c r="I2749" s="68">
        <f>G2749</f>
        <v/>
      </c>
    </row>
    <row r="2750">
      <c r="A2750" s="68">
        <f>B2750&amp;TEXT(C2750,"0000")</f>
        <v/>
      </c>
      <c r="B2750" s="68" t="n">
        <v>201</v>
      </c>
      <c r="C2750" s="68" t="n">
        <v>847</v>
      </c>
      <c r="D2750" s="68" t="inlineStr">
        <is>
          <t>HpRatio</t>
        </is>
      </c>
      <c r="E2750" s="68" t="n">
        <v>0</v>
      </c>
      <c r="F2750" s="68" t="inlineStr">
        <is>
          <t>AtkRatio</t>
        </is>
      </c>
      <c r="G2750" s="68">
        <f>INT(G2749*1.01)</f>
        <v/>
      </c>
      <c r="H2750" s="68" t="inlineStr">
        <is>
          <t>DefRatio</t>
        </is>
      </c>
      <c r="I2750" s="68">
        <f>G2750</f>
        <v/>
      </c>
    </row>
    <row r="2751">
      <c r="A2751" s="68">
        <f>B2751&amp;TEXT(C2751,"0000")</f>
        <v/>
      </c>
      <c r="B2751" s="68" t="n">
        <v>201</v>
      </c>
      <c r="C2751" s="68" t="n">
        <v>848</v>
      </c>
      <c r="D2751" s="68" t="inlineStr">
        <is>
          <t>HpRatio</t>
        </is>
      </c>
      <c r="E2751" s="68" t="n">
        <v>0</v>
      </c>
      <c r="F2751" s="68" t="inlineStr">
        <is>
          <t>AtkRatio</t>
        </is>
      </c>
      <c r="G2751" s="68">
        <f>INT(G2750*1.01)</f>
        <v/>
      </c>
      <c r="H2751" s="68" t="inlineStr">
        <is>
          <t>DefRatio</t>
        </is>
      </c>
      <c r="I2751" s="68">
        <f>G2751</f>
        <v/>
      </c>
    </row>
    <row r="2752">
      <c r="A2752" s="68">
        <f>B2752&amp;TEXT(C2752,"0000")</f>
        <v/>
      </c>
      <c r="B2752" s="68" t="n">
        <v>201</v>
      </c>
      <c r="C2752" s="68" t="n">
        <v>849</v>
      </c>
      <c r="D2752" s="68" t="inlineStr">
        <is>
          <t>HpRatio</t>
        </is>
      </c>
      <c r="E2752" s="68" t="n">
        <v>0</v>
      </c>
      <c r="F2752" s="68" t="inlineStr">
        <is>
          <t>AtkRatio</t>
        </is>
      </c>
      <c r="G2752" s="68">
        <f>INT(G2751*1.01)</f>
        <v/>
      </c>
      <c r="H2752" s="68" t="inlineStr">
        <is>
          <t>DefRatio</t>
        </is>
      </c>
      <c r="I2752" s="68">
        <f>G2752</f>
        <v/>
      </c>
    </row>
    <row r="2753">
      <c r="A2753" s="68">
        <f>B2753&amp;TEXT(C2753,"0000")</f>
        <v/>
      </c>
      <c r="B2753" s="68" t="n">
        <v>201</v>
      </c>
      <c r="C2753" s="68" t="n">
        <v>850</v>
      </c>
      <c r="D2753" s="68" t="inlineStr">
        <is>
          <t>HpRatio</t>
        </is>
      </c>
      <c r="E2753" s="68" t="n">
        <v>0</v>
      </c>
      <c r="F2753" s="68" t="inlineStr">
        <is>
          <t>AtkRatio</t>
        </is>
      </c>
      <c r="G2753" s="68">
        <f>INT(G2752*1.01)</f>
        <v/>
      </c>
      <c r="H2753" s="68" t="inlineStr">
        <is>
          <t>DefRatio</t>
        </is>
      </c>
      <c r="I2753" s="68">
        <f>G2753</f>
        <v/>
      </c>
    </row>
    <row r="2754">
      <c r="A2754" s="68">
        <f>B2754&amp;TEXT(C2754,"0000")</f>
        <v/>
      </c>
      <c r="B2754" s="68" t="n">
        <v>201</v>
      </c>
      <c r="C2754" s="68" t="n">
        <v>851</v>
      </c>
      <c r="D2754" s="68" t="inlineStr">
        <is>
          <t>HpRatio</t>
        </is>
      </c>
      <c r="E2754" s="68" t="n">
        <v>0</v>
      </c>
      <c r="F2754" s="68" t="inlineStr">
        <is>
          <t>AtkRatio</t>
        </is>
      </c>
      <c r="G2754" s="68">
        <f>INT(G2753*1.01)</f>
        <v/>
      </c>
      <c r="H2754" s="68" t="inlineStr">
        <is>
          <t>DefRatio</t>
        </is>
      </c>
      <c r="I2754" s="68">
        <f>G2754</f>
        <v/>
      </c>
    </row>
    <row r="2755">
      <c r="A2755" s="68">
        <f>B2755&amp;TEXT(C2755,"0000")</f>
        <v/>
      </c>
      <c r="B2755" s="68" t="n">
        <v>201</v>
      </c>
      <c r="C2755" s="68" t="n">
        <v>852</v>
      </c>
      <c r="D2755" s="68" t="inlineStr">
        <is>
          <t>HpRatio</t>
        </is>
      </c>
      <c r="E2755" s="68" t="n">
        <v>0</v>
      </c>
      <c r="F2755" s="68" t="inlineStr">
        <is>
          <t>AtkRatio</t>
        </is>
      </c>
      <c r="G2755" s="68">
        <f>INT(G2754*1.01)</f>
        <v/>
      </c>
      <c r="H2755" s="68" t="inlineStr">
        <is>
          <t>DefRatio</t>
        </is>
      </c>
      <c r="I2755" s="68">
        <f>G2755</f>
        <v/>
      </c>
    </row>
    <row r="2756">
      <c r="A2756" s="68">
        <f>B2756&amp;TEXT(C2756,"0000")</f>
        <v/>
      </c>
      <c r="B2756" s="68" t="n">
        <v>201</v>
      </c>
      <c r="C2756" s="68" t="n">
        <v>853</v>
      </c>
      <c r="D2756" s="68" t="inlineStr">
        <is>
          <t>HpRatio</t>
        </is>
      </c>
      <c r="E2756" s="68" t="n">
        <v>0</v>
      </c>
      <c r="F2756" s="68" t="inlineStr">
        <is>
          <t>AtkRatio</t>
        </is>
      </c>
      <c r="G2756" s="68">
        <f>INT(G2755*1.01)</f>
        <v/>
      </c>
      <c r="H2756" s="68" t="inlineStr">
        <is>
          <t>DefRatio</t>
        </is>
      </c>
      <c r="I2756" s="68">
        <f>G2756</f>
        <v/>
      </c>
    </row>
    <row r="2757">
      <c r="A2757" s="68">
        <f>B2757&amp;TEXT(C2757,"0000")</f>
        <v/>
      </c>
      <c r="B2757" s="68" t="n">
        <v>201</v>
      </c>
      <c r="C2757" s="68" t="n">
        <v>854</v>
      </c>
      <c r="D2757" s="68" t="inlineStr">
        <is>
          <t>HpRatio</t>
        </is>
      </c>
      <c r="E2757" s="68" t="n">
        <v>0</v>
      </c>
      <c r="F2757" s="68" t="inlineStr">
        <is>
          <t>AtkRatio</t>
        </is>
      </c>
      <c r="G2757" s="68">
        <f>INT(G2756*1.01)</f>
        <v/>
      </c>
      <c r="H2757" s="68" t="inlineStr">
        <is>
          <t>DefRatio</t>
        </is>
      </c>
      <c r="I2757" s="68">
        <f>G2757</f>
        <v/>
      </c>
    </row>
    <row r="2758">
      <c r="A2758" s="68">
        <f>B2758&amp;TEXT(C2758,"0000")</f>
        <v/>
      </c>
      <c r="B2758" s="68" t="n">
        <v>201</v>
      </c>
      <c r="C2758" s="68" t="n">
        <v>855</v>
      </c>
      <c r="D2758" s="68" t="inlineStr">
        <is>
          <t>HpRatio</t>
        </is>
      </c>
      <c r="E2758" s="68" t="n">
        <v>0</v>
      </c>
      <c r="F2758" s="68" t="inlineStr">
        <is>
          <t>AtkRatio</t>
        </is>
      </c>
      <c r="G2758" s="68">
        <f>INT(G2757*1.01)</f>
        <v/>
      </c>
      <c r="H2758" s="68" t="inlineStr">
        <is>
          <t>DefRatio</t>
        </is>
      </c>
      <c r="I2758" s="68">
        <f>G2758</f>
        <v/>
      </c>
    </row>
    <row r="2759">
      <c r="A2759" s="68">
        <f>B2759&amp;TEXT(C2759,"0000")</f>
        <v/>
      </c>
      <c r="B2759" s="68" t="n">
        <v>201</v>
      </c>
      <c r="C2759" s="68" t="n">
        <v>856</v>
      </c>
      <c r="D2759" s="68" t="inlineStr">
        <is>
          <t>HpRatio</t>
        </is>
      </c>
      <c r="E2759" s="68" t="n">
        <v>0</v>
      </c>
      <c r="F2759" s="68" t="inlineStr">
        <is>
          <t>AtkRatio</t>
        </is>
      </c>
      <c r="G2759" s="68">
        <f>INT(G2758*1.01)</f>
        <v/>
      </c>
      <c r="H2759" s="68" t="inlineStr">
        <is>
          <t>DefRatio</t>
        </is>
      </c>
      <c r="I2759" s="68">
        <f>G2759</f>
        <v/>
      </c>
    </row>
    <row r="2760">
      <c r="A2760" s="68">
        <f>B2760&amp;TEXT(C2760,"0000")</f>
        <v/>
      </c>
      <c r="B2760" s="68" t="n">
        <v>201</v>
      </c>
      <c r="C2760" s="68" t="n">
        <v>857</v>
      </c>
      <c r="D2760" s="68" t="inlineStr">
        <is>
          <t>HpRatio</t>
        </is>
      </c>
      <c r="E2760" s="68" t="n">
        <v>0</v>
      </c>
      <c r="F2760" s="68" t="inlineStr">
        <is>
          <t>AtkRatio</t>
        </is>
      </c>
      <c r="G2760" s="68">
        <f>INT(G2759*1.01)</f>
        <v/>
      </c>
      <c r="H2760" s="68" t="inlineStr">
        <is>
          <t>DefRatio</t>
        </is>
      </c>
      <c r="I2760" s="68">
        <f>G2760</f>
        <v/>
      </c>
    </row>
    <row r="2761">
      <c r="A2761" s="68">
        <f>B2761&amp;TEXT(C2761,"0000")</f>
        <v/>
      </c>
      <c r="B2761" s="68" t="n">
        <v>201</v>
      </c>
      <c r="C2761" s="68" t="n">
        <v>858</v>
      </c>
      <c r="D2761" s="68" t="inlineStr">
        <is>
          <t>HpRatio</t>
        </is>
      </c>
      <c r="E2761" s="68" t="n">
        <v>0</v>
      </c>
      <c r="F2761" s="68" t="inlineStr">
        <is>
          <t>AtkRatio</t>
        </is>
      </c>
      <c r="G2761" s="68">
        <f>INT(G2760*1.01)</f>
        <v/>
      </c>
      <c r="H2761" s="68" t="inlineStr">
        <is>
          <t>DefRatio</t>
        </is>
      </c>
      <c r="I2761" s="68">
        <f>G2761</f>
        <v/>
      </c>
    </row>
    <row r="2762">
      <c r="A2762" s="68">
        <f>B2762&amp;TEXT(C2762,"0000")</f>
        <v/>
      </c>
      <c r="B2762" s="68" t="n">
        <v>201</v>
      </c>
      <c r="C2762" s="68" t="n">
        <v>859</v>
      </c>
      <c r="D2762" s="68" t="inlineStr">
        <is>
          <t>HpRatio</t>
        </is>
      </c>
      <c r="E2762" s="68" t="n">
        <v>0</v>
      </c>
      <c r="F2762" s="68" t="inlineStr">
        <is>
          <t>AtkRatio</t>
        </is>
      </c>
      <c r="G2762" s="68">
        <f>INT(G2761*1.01)</f>
        <v/>
      </c>
      <c r="H2762" s="68" t="inlineStr">
        <is>
          <t>DefRatio</t>
        </is>
      </c>
      <c r="I2762" s="68">
        <f>G2762</f>
        <v/>
      </c>
    </row>
    <row r="2763">
      <c r="A2763" s="68">
        <f>B2763&amp;TEXT(C2763,"0000")</f>
        <v/>
      </c>
      <c r="B2763" s="68" t="n">
        <v>201</v>
      </c>
      <c r="C2763" s="68" t="n">
        <v>860</v>
      </c>
      <c r="D2763" s="68" t="inlineStr">
        <is>
          <t>HpRatio</t>
        </is>
      </c>
      <c r="E2763" s="68" t="n">
        <v>0</v>
      </c>
      <c r="F2763" s="68" t="inlineStr">
        <is>
          <t>AtkRatio</t>
        </is>
      </c>
      <c r="G2763" s="68">
        <f>INT(G2762*1.01)</f>
        <v/>
      </c>
      <c r="H2763" s="68" t="inlineStr">
        <is>
          <t>DefRatio</t>
        </is>
      </c>
      <c r="I2763" s="68">
        <f>G2763</f>
        <v/>
      </c>
    </row>
    <row r="2764">
      <c r="A2764" s="68">
        <f>B2764&amp;TEXT(C2764,"0000")</f>
        <v/>
      </c>
      <c r="B2764" s="68" t="n">
        <v>201</v>
      </c>
      <c r="C2764" s="68" t="n">
        <v>861</v>
      </c>
      <c r="D2764" s="68" t="inlineStr">
        <is>
          <t>HpRatio</t>
        </is>
      </c>
      <c r="E2764" s="68" t="n">
        <v>0</v>
      </c>
      <c r="F2764" s="68" t="inlineStr">
        <is>
          <t>AtkRatio</t>
        </is>
      </c>
      <c r="G2764" s="68">
        <f>INT(G2763*1.01)</f>
        <v/>
      </c>
      <c r="H2764" s="68" t="inlineStr">
        <is>
          <t>DefRatio</t>
        </is>
      </c>
      <c r="I2764" s="68">
        <f>G2764</f>
        <v/>
      </c>
    </row>
    <row r="2765">
      <c r="A2765" s="68">
        <f>B2765&amp;TEXT(C2765,"0000")</f>
        <v/>
      </c>
      <c r="B2765" s="68" t="n">
        <v>201</v>
      </c>
      <c r="C2765" s="68" t="n">
        <v>862</v>
      </c>
      <c r="D2765" s="68" t="inlineStr">
        <is>
          <t>HpRatio</t>
        </is>
      </c>
      <c r="E2765" s="68" t="n">
        <v>0</v>
      </c>
      <c r="F2765" s="68" t="inlineStr">
        <is>
          <t>AtkRatio</t>
        </is>
      </c>
      <c r="G2765" s="68">
        <f>INT(G2764*1.01)</f>
        <v/>
      </c>
      <c r="H2765" s="68" t="inlineStr">
        <is>
          <t>DefRatio</t>
        </is>
      </c>
      <c r="I2765" s="68">
        <f>G2765</f>
        <v/>
      </c>
    </row>
    <row r="2766">
      <c r="A2766" s="68">
        <f>B2766&amp;TEXT(C2766,"0000")</f>
        <v/>
      </c>
      <c r="B2766" s="68" t="n">
        <v>201</v>
      </c>
      <c r="C2766" s="68" t="n">
        <v>863</v>
      </c>
      <c r="D2766" s="68" t="inlineStr">
        <is>
          <t>HpRatio</t>
        </is>
      </c>
      <c r="E2766" s="68" t="n">
        <v>0</v>
      </c>
      <c r="F2766" s="68" t="inlineStr">
        <is>
          <t>AtkRatio</t>
        </is>
      </c>
      <c r="G2766" s="68">
        <f>INT(G2765*1.01)</f>
        <v/>
      </c>
      <c r="H2766" s="68" t="inlineStr">
        <is>
          <t>DefRatio</t>
        </is>
      </c>
      <c r="I2766" s="68">
        <f>G2766</f>
        <v/>
      </c>
    </row>
    <row r="2767">
      <c r="A2767" s="68">
        <f>B2767&amp;TEXT(C2767,"0000")</f>
        <v/>
      </c>
      <c r="B2767" s="68" t="n">
        <v>201</v>
      </c>
      <c r="C2767" s="68" t="n">
        <v>864</v>
      </c>
      <c r="D2767" s="68" t="inlineStr">
        <is>
          <t>HpRatio</t>
        </is>
      </c>
      <c r="E2767" s="68" t="n">
        <v>0</v>
      </c>
      <c r="F2767" s="68" t="inlineStr">
        <is>
          <t>AtkRatio</t>
        </is>
      </c>
      <c r="G2767" s="68">
        <f>INT(G2766*1.01)</f>
        <v/>
      </c>
      <c r="H2767" s="68" t="inlineStr">
        <is>
          <t>DefRatio</t>
        </is>
      </c>
      <c r="I2767" s="68">
        <f>G2767</f>
        <v/>
      </c>
    </row>
    <row r="2768">
      <c r="A2768" s="68">
        <f>B2768&amp;TEXT(C2768,"0000")</f>
        <v/>
      </c>
      <c r="B2768" s="68" t="n">
        <v>201</v>
      </c>
      <c r="C2768" s="68" t="n">
        <v>865</v>
      </c>
      <c r="D2768" s="68" t="inlineStr">
        <is>
          <t>HpRatio</t>
        </is>
      </c>
      <c r="E2768" s="68" t="n">
        <v>0</v>
      </c>
      <c r="F2768" s="68" t="inlineStr">
        <is>
          <t>AtkRatio</t>
        </is>
      </c>
      <c r="G2768" s="68">
        <f>INT(G2767*1.01)</f>
        <v/>
      </c>
      <c r="H2768" s="68" t="inlineStr">
        <is>
          <t>DefRatio</t>
        </is>
      </c>
      <c r="I2768" s="68">
        <f>G2768</f>
        <v/>
      </c>
    </row>
    <row r="2769">
      <c r="A2769" s="68">
        <f>B2769&amp;TEXT(C2769,"0000")</f>
        <v/>
      </c>
      <c r="B2769" s="68" t="n">
        <v>201</v>
      </c>
      <c r="C2769" s="68" t="n">
        <v>866</v>
      </c>
      <c r="D2769" s="68" t="inlineStr">
        <is>
          <t>HpRatio</t>
        </is>
      </c>
      <c r="E2769" s="68" t="n">
        <v>0</v>
      </c>
      <c r="F2769" s="68" t="inlineStr">
        <is>
          <t>AtkRatio</t>
        </is>
      </c>
      <c r="G2769" s="68">
        <f>INT(G2768*1.01)</f>
        <v/>
      </c>
      <c r="H2769" s="68" t="inlineStr">
        <is>
          <t>DefRatio</t>
        </is>
      </c>
      <c r="I2769" s="68">
        <f>G2769</f>
        <v/>
      </c>
    </row>
    <row r="2770">
      <c r="A2770" s="68">
        <f>B2770&amp;TEXT(C2770,"0000")</f>
        <v/>
      </c>
      <c r="B2770" s="68" t="n">
        <v>201</v>
      </c>
      <c r="C2770" s="68" t="n">
        <v>867</v>
      </c>
      <c r="D2770" s="68" t="inlineStr">
        <is>
          <t>HpRatio</t>
        </is>
      </c>
      <c r="E2770" s="68" t="n">
        <v>0</v>
      </c>
      <c r="F2770" s="68" t="inlineStr">
        <is>
          <t>AtkRatio</t>
        </is>
      </c>
      <c r="G2770" s="68">
        <f>INT(G2769*1.01)</f>
        <v/>
      </c>
      <c r="H2770" s="68" t="inlineStr">
        <is>
          <t>DefRatio</t>
        </is>
      </c>
      <c r="I2770" s="68">
        <f>G2770</f>
        <v/>
      </c>
    </row>
    <row r="2771">
      <c r="A2771" s="68">
        <f>B2771&amp;TEXT(C2771,"0000")</f>
        <v/>
      </c>
      <c r="B2771" s="68" t="n">
        <v>201</v>
      </c>
      <c r="C2771" s="68" t="n">
        <v>868</v>
      </c>
      <c r="D2771" s="68" t="inlineStr">
        <is>
          <t>HpRatio</t>
        </is>
      </c>
      <c r="E2771" s="68" t="n">
        <v>0</v>
      </c>
      <c r="F2771" s="68" t="inlineStr">
        <is>
          <t>AtkRatio</t>
        </is>
      </c>
      <c r="G2771" s="68">
        <f>INT(G2770*1.01)</f>
        <v/>
      </c>
      <c r="H2771" s="68" t="inlineStr">
        <is>
          <t>DefRatio</t>
        </is>
      </c>
      <c r="I2771" s="68">
        <f>G2771</f>
        <v/>
      </c>
    </row>
    <row r="2772">
      <c r="A2772" s="68">
        <f>B2772&amp;TEXT(C2772,"0000")</f>
        <v/>
      </c>
      <c r="B2772" s="68" t="n">
        <v>201</v>
      </c>
      <c r="C2772" s="68" t="n">
        <v>869</v>
      </c>
      <c r="D2772" s="68" t="inlineStr">
        <is>
          <t>HpRatio</t>
        </is>
      </c>
      <c r="E2772" s="68" t="n">
        <v>0</v>
      </c>
      <c r="F2772" s="68" t="inlineStr">
        <is>
          <t>AtkRatio</t>
        </is>
      </c>
      <c r="G2772" s="68">
        <f>INT(G2771*1.01)</f>
        <v/>
      </c>
      <c r="H2772" s="68" t="inlineStr">
        <is>
          <t>DefRatio</t>
        </is>
      </c>
      <c r="I2772" s="68">
        <f>G2772</f>
        <v/>
      </c>
    </row>
    <row r="2773">
      <c r="A2773" s="68">
        <f>B2773&amp;TEXT(C2773,"0000")</f>
        <v/>
      </c>
      <c r="B2773" s="68" t="n">
        <v>201</v>
      </c>
      <c r="C2773" s="68" t="n">
        <v>870</v>
      </c>
      <c r="D2773" s="68" t="inlineStr">
        <is>
          <t>HpRatio</t>
        </is>
      </c>
      <c r="E2773" s="68" t="n">
        <v>0</v>
      </c>
      <c r="F2773" s="68" t="inlineStr">
        <is>
          <t>AtkRatio</t>
        </is>
      </c>
      <c r="G2773" s="68">
        <f>INT(G2772*1.01)</f>
        <v/>
      </c>
      <c r="H2773" s="68" t="inlineStr">
        <is>
          <t>DefRatio</t>
        </is>
      </c>
      <c r="I2773" s="68">
        <f>G2773</f>
        <v/>
      </c>
    </row>
    <row r="2774">
      <c r="A2774" s="68">
        <f>B2774&amp;TEXT(C2774,"0000")</f>
        <v/>
      </c>
      <c r="B2774" s="68" t="n">
        <v>201</v>
      </c>
      <c r="C2774" s="68" t="n">
        <v>871</v>
      </c>
      <c r="D2774" s="68" t="inlineStr">
        <is>
          <t>HpRatio</t>
        </is>
      </c>
      <c r="E2774" s="68" t="n">
        <v>0</v>
      </c>
      <c r="F2774" s="68" t="inlineStr">
        <is>
          <t>AtkRatio</t>
        </is>
      </c>
      <c r="G2774" s="68">
        <f>INT(G2773*1.01)</f>
        <v/>
      </c>
      <c r="H2774" s="68" t="inlineStr">
        <is>
          <t>DefRatio</t>
        </is>
      </c>
      <c r="I2774" s="68">
        <f>G2774</f>
        <v/>
      </c>
    </row>
    <row r="2775">
      <c r="A2775" s="68">
        <f>B2775&amp;TEXT(C2775,"0000")</f>
        <v/>
      </c>
      <c r="B2775" s="68" t="n">
        <v>201</v>
      </c>
      <c r="C2775" s="68" t="n">
        <v>872</v>
      </c>
      <c r="D2775" s="68" t="inlineStr">
        <is>
          <t>HpRatio</t>
        </is>
      </c>
      <c r="E2775" s="68" t="n">
        <v>0</v>
      </c>
      <c r="F2775" s="68" t="inlineStr">
        <is>
          <t>AtkRatio</t>
        </is>
      </c>
      <c r="G2775" s="68">
        <f>INT(G2774*1.01)</f>
        <v/>
      </c>
      <c r="H2775" s="68" t="inlineStr">
        <is>
          <t>DefRatio</t>
        </is>
      </c>
      <c r="I2775" s="68">
        <f>G2775</f>
        <v/>
      </c>
    </row>
    <row r="2776">
      <c r="A2776" s="68">
        <f>B2776&amp;TEXT(C2776,"0000")</f>
        <v/>
      </c>
      <c r="B2776" s="68" t="n">
        <v>201</v>
      </c>
      <c r="C2776" s="68" t="n">
        <v>873</v>
      </c>
      <c r="D2776" s="68" t="inlineStr">
        <is>
          <t>HpRatio</t>
        </is>
      </c>
      <c r="E2776" s="68" t="n">
        <v>0</v>
      </c>
      <c r="F2776" s="68" t="inlineStr">
        <is>
          <t>AtkRatio</t>
        </is>
      </c>
      <c r="G2776" s="68">
        <f>INT(G2775*1.01)</f>
        <v/>
      </c>
      <c r="H2776" s="68" t="inlineStr">
        <is>
          <t>DefRatio</t>
        </is>
      </c>
      <c r="I2776" s="68">
        <f>G2776</f>
        <v/>
      </c>
    </row>
    <row r="2777">
      <c r="A2777" s="68">
        <f>B2777&amp;TEXT(C2777,"0000")</f>
        <v/>
      </c>
      <c r="B2777" s="68" t="n">
        <v>201</v>
      </c>
      <c r="C2777" s="68" t="n">
        <v>874</v>
      </c>
      <c r="D2777" s="68" t="inlineStr">
        <is>
          <t>HpRatio</t>
        </is>
      </c>
      <c r="E2777" s="68" t="n">
        <v>0</v>
      </c>
      <c r="F2777" s="68" t="inlineStr">
        <is>
          <t>AtkRatio</t>
        </is>
      </c>
      <c r="G2777" s="68">
        <f>INT(G2776*1.01)</f>
        <v/>
      </c>
      <c r="H2777" s="68" t="inlineStr">
        <is>
          <t>DefRatio</t>
        </is>
      </c>
      <c r="I2777" s="68">
        <f>G2777</f>
        <v/>
      </c>
    </row>
    <row r="2778">
      <c r="A2778" s="68">
        <f>B2778&amp;TEXT(C2778,"0000")</f>
        <v/>
      </c>
      <c r="B2778" s="68" t="n">
        <v>201</v>
      </c>
      <c r="C2778" s="68" t="n">
        <v>875</v>
      </c>
      <c r="D2778" s="68" t="inlineStr">
        <is>
          <t>HpRatio</t>
        </is>
      </c>
      <c r="E2778" s="68" t="n">
        <v>0</v>
      </c>
      <c r="F2778" s="68" t="inlineStr">
        <is>
          <t>AtkRatio</t>
        </is>
      </c>
      <c r="G2778" s="68">
        <f>INT(G2777*1.01)</f>
        <v/>
      </c>
      <c r="H2778" s="68" t="inlineStr">
        <is>
          <t>DefRatio</t>
        </is>
      </c>
      <c r="I2778" s="68">
        <f>G2778</f>
        <v/>
      </c>
    </row>
    <row r="2779">
      <c r="A2779" s="68">
        <f>B2779&amp;TEXT(C2779,"0000")</f>
        <v/>
      </c>
      <c r="B2779" s="68" t="n">
        <v>201</v>
      </c>
      <c r="C2779" s="68" t="n">
        <v>876</v>
      </c>
      <c r="D2779" s="68" t="inlineStr">
        <is>
          <t>HpRatio</t>
        </is>
      </c>
      <c r="E2779" s="68" t="n">
        <v>0</v>
      </c>
      <c r="F2779" s="68" t="inlineStr">
        <is>
          <t>AtkRatio</t>
        </is>
      </c>
      <c r="G2779" s="68">
        <f>INT(G2778*1.01)</f>
        <v/>
      </c>
      <c r="H2779" s="68" t="inlineStr">
        <is>
          <t>DefRatio</t>
        </is>
      </c>
      <c r="I2779" s="68">
        <f>G2779</f>
        <v/>
      </c>
    </row>
    <row r="2780">
      <c r="A2780" s="68">
        <f>B2780&amp;TEXT(C2780,"0000")</f>
        <v/>
      </c>
      <c r="B2780" s="68" t="n">
        <v>201</v>
      </c>
      <c r="C2780" s="68" t="n">
        <v>877</v>
      </c>
      <c r="D2780" s="68" t="inlineStr">
        <is>
          <t>HpRatio</t>
        </is>
      </c>
      <c r="E2780" s="68" t="n">
        <v>0</v>
      </c>
      <c r="F2780" s="68" t="inlineStr">
        <is>
          <t>AtkRatio</t>
        </is>
      </c>
      <c r="G2780" s="68">
        <f>INT(G2779*1.01)</f>
        <v/>
      </c>
      <c r="H2780" s="68" t="inlineStr">
        <is>
          <t>DefRatio</t>
        </is>
      </c>
      <c r="I2780" s="68">
        <f>G2780</f>
        <v/>
      </c>
    </row>
    <row r="2781">
      <c r="A2781" s="68">
        <f>B2781&amp;TEXT(C2781,"0000")</f>
        <v/>
      </c>
      <c r="B2781" s="68" t="n">
        <v>201</v>
      </c>
      <c r="C2781" s="68" t="n">
        <v>878</v>
      </c>
      <c r="D2781" s="68" t="inlineStr">
        <is>
          <t>HpRatio</t>
        </is>
      </c>
      <c r="E2781" s="68" t="n">
        <v>0</v>
      </c>
      <c r="F2781" s="68" t="inlineStr">
        <is>
          <t>AtkRatio</t>
        </is>
      </c>
      <c r="G2781" s="68">
        <f>INT(G2780*1.01)</f>
        <v/>
      </c>
      <c r="H2781" s="68" t="inlineStr">
        <is>
          <t>DefRatio</t>
        </is>
      </c>
      <c r="I2781" s="68">
        <f>G2781</f>
        <v/>
      </c>
    </row>
    <row r="2782">
      <c r="A2782" s="68">
        <f>B2782&amp;TEXT(C2782,"0000")</f>
        <v/>
      </c>
      <c r="B2782" s="68" t="n">
        <v>201</v>
      </c>
      <c r="C2782" s="68" t="n">
        <v>879</v>
      </c>
      <c r="D2782" s="68" t="inlineStr">
        <is>
          <t>HpRatio</t>
        </is>
      </c>
      <c r="E2782" s="68" t="n">
        <v>0</v>
      </c>
      <c r="F2782" s="68" t="inlineStr">
        <is>
          <t>AtkRatio</t>
        </is>
      </c>
      <c r="G2782" s="68">
        <f>INT(G2781*1.01)</f>
        <v/>
      </c>
      <c r="H2782" s="68" t="inlineStr">
        <is>
          <t>DefRatio</t>
        </is>
      </c>
      <c r="I2782" s="68">
        <f>G2782</f>
        <v/>
      </c>
    </row>
    <row r="2783">
      <c r="A2783" s="68">
        <f>B2783&amp;TEXT(C2783,"0000")</f>
        <v/>
      </c>
      <c r="B2783" s="68" t="n">
        <v>201</v>
      </c>
      <c r="C2783" s="68" t="n">
        <v>880</v>
      </c>
      <c r="D2783" s="68" t="inlineStr">
        <is>
          <t>HpRatio</t>
        </is>
      </c>
      <c r="E2783" s="68" t="n">
        <v>0</v>
      </c>
      <c r="F2783" s="68" t="inlineStr">
        <is>
          <t>AtkRatio</t>
        </is>
      </c>
      <c r="G2783" s="68">
        <f>INT(G2782*1.01)</f>
        <v/>
      </c>
      <c r="H2783" s="68" t="inlineStr">
        <is>
          <t>DefRatio</t>
        </is>
      </c>
      <c r="I2783" s="68">
        <f>G2783</f>
        <v/>
      </c>
    </row>
    <row r="2784">
      <c r="A2784" s="68">
        <f>B2784&amp;TEXT(C2784,"0000")</f>
        <v/>
      </c>
      <c r="B2784" s="68" t="n">
        <v>201</v>
      </c>
      <c r="C2784" s="68" t="n">
        <v>881</v>
      </c>
      <c r="D2784" s="68" t="inlineStr">
        <is>
          <t>HpRatio</t>
        </is>
      </c>
      <c r="E2784" s="68" t="n">
        <v>0</v>
      </c>
      <c r="F2784" s="68" t="inlineStr">
        <is>
          <t>AtkRatio</t>
        </is>
      </c>
      <c r="G2784" s="68">
        <f>INT(G2783*1.01)</f>
        <v/>
      </c>
      <c r="H2784" s="68" t="inlineStr">
        <is>
          <t>DefRatio</t>
        </is>
      </c>
      <c r="I2784" s="68">
        <f>G2784</f>
        <v/>
      </c>
    </row>
    <row r="2785">
      <c r="A2785" s="68">
        <f>B2785&amp;TEXT(C2785,"0000")</f>
        <v/>
      </c>
      <c r="B2785" s="68" t="n">
        <v>201</v>
      </c>
      <c r="C2785" s="68" t="n">
        <v>882</v>
      </c>
      <c r="D2785" s="68" t="inlineStr">
        <is>
          <t>HpRatio</t>
        </is>
      </c>
      <c r="E2785" s="68" t="n">
        <v>0</v>
      </c>
      <c r="F2785" s="68" t="inlineStr">
        <is>
          <t>AtkRatio</t>
        </is>
      </c>
      <c r="G2785" s="68">
        <f>INT(G2784*1.01)</f>
        <v/>
      </c>
      <c r="H2785" s="68" t="inlineStr">
        <is>
          <t>DefRatio</t>
        </is>
      </c>
      <c r="I2785" s="68">
        <f>G2785</f>
        <v/>
      </c>
    </row>
    <row r="2786">
      <c r="A2786" s="68">
        <f>B2786&amp;TEXT(C2786,"0000")</f>
        <v/>
      </c>
      <c r="B2786" s="68" t="n">
        <v>201</v>
      </c>
      <c r="C2786" s="68" t="n">
        <v>883</v>
      </c>
      <c r="D2786" s="68" t="inlineStr">
        <is>
          <t>HpRatio</t>
        </is>
      </c>
      <c r="E2786" s="68" t="n">
        <v>0</v>
      </c>
      <c r="F2786" s="68" t="inlineStr">
        <is>
          <t>AtkRatio</t>
        </is>
      </c>
      <c r="G2786" s="68">
        <f>INT(G2785*1.01)</f>
        <v/>
      </c>
      <c r="H2786" s="68" t="inlineStr">
        <is>
          <t>DefRatio</t>
        </is>
      </c>
      <c r="I2786" s="68">
        <f>G2786</f>
        <v/>
      </c>
    </row>
    <row r="2787">
      <c r="A2787" s="68">
        <f>B2787&amp;TEXT(C2787,"0000")</f>
        <v/>
      </c>
      <c r="B2787" s="68" t="n">
        <v>201</v>
      </c>
      <c r="C2787" s="68" t="n">
        <v>884</v>
      </c>
      <c r="D2787" s="68" t="inlineStr">
        <is>
          <t>HpRatio</t>
        </is>
      </c>
      <c r="E2787" s="68" t="n">
        <v>0</v>
      </c>
      <c r="F2787" s="68" t="inlineStr">
        <is>
          <t>AtkRatio</t>
        </is>
      </c>
      <c r="G2787" s="68">
        <f>INT(G2786*1.01)</f>
        <v/>
      </c>
      <c r="H2787" s="68" t="inlineStr">
        <is>
          <t>DefRatio</t>
        </is>
      </c>
      <c r="I2787" s="68">
        <f>G2787</f>
        <v/>
      </c>
    </row>
    <row r="2788">
      <c r="A2788" s="68">
        <f>B2788&amp;TEXT(C2788,"0000")</f>
        <v/>
      </c>
      <c r="B2788" s="68" t="n">
        <v>201</v>
      </c>
      <c r="C2788" s="68" t="n">
        <v>885</v>
      </c>
      <c r="D2788" s="68" t="inlineStr">
        <is>
          <t>HpRatio</t>
        </is>
      </c>
      <c r="E2788" s="68" t="n">
        <v>0</v>
      </c>
      <c r="F2788" s="68" t="inlineStr">
        <is>
          <t>AtkRatio</t>
        </is>
      </c>
      <c r="G2788" s="68">
        <f>INT(G2787*1.01)</f>
        <v/>
      </c>
      <c r="H2788" s="68" t="inlineStr">
        <is>
          <t>DefRatio</t>
        </is>
      </c>
      <c r="I2788" s="68">
        <f>G2788</f>
        <v/>
      </c>
    </row>
    <row r="2789">
      <c r="A2789" s="68">
        <f>B2789&amp;TEXT(C2789,"0000")</f>
        <v/>
      </c>
      <c r="B2789" s="68" t="n">
        <v>201</v>
      </c>
      <c r="C2789" s="68" t="n">
        <v>886</v>
      </c>
      <c r="D2789" s="68" t="inlineStr">
        <is>
          <t>HpRatio</t>
        </is>
      </c>
      <c r="E2789" s="68" t="n">
        <v>0</v>
      </c>
      <c r="F2789" s="68" t="inlineStr">
        <is>
          <t>AtkRatio</t>
        </is>
      </c>
      <c r="G2789" s="68">
        <f>INT(G2788*1.01)</f>
        <v/>
      </c>
      <c r="H2789" s="68" t="inlineStr">
        <is>
          <t>DefRatio</t>
        </is>
      </c>
      <c r="I2789" s="68">
        <f>G2789</f>
        <v/>
      </c>
    </row>
    <row r="2790">
      <c r="A2790" s="68">
        <f>B2790&amp;TEXT(C2790,"0000")</f>
        <v/>
      </c>
      <c r="B2790" s="68" t="n">
        <v>201</v>
      </c>
      <c r="C2790" s="68" t="n">
        <v>887</v>
      </c>
      <c r="D2790" s="68" t="inlineStr">
        <is>
          <t>HpRatio</t>
        </is>
      </c>
      <c r="E2790" s="68" t="n">
        <v>0</v>
      </c>
      <c r="F2790" s="68" t="inlineStr">
        <is>
          <t>AtkRatio</t>
        </is>
      </c>
      <c r="G2790" s="68">
        <f>INT(G2789*1.01)</f>
        <v/>
      </c>
      <c r="H2790" s="68" t="inlineStr">
        <is>
          <t>DefRatio</t>
        </is>
      </c>
      <c r="I2790" s="68">
        <f>G2790</f>
        <v/>
      </c>
    </row>
    <row r="2791">
      <c r="A2791" s="68">
        <f>B2791&amp;TEXT(C2791,"0000")</f>
        <v/>
      </c>
      <c r="B2791" s="68" t="n">
        <v>201</v>
      </c>
      <c r="C2791" s="68" t="n">
        <v>888</v>
      </c>
      <c r="D2791" s="68" t="inlineStr">
        <is>
          <t>HpRatio</t>
        </is>
      </c>
      <c r="E2791" s="68" t="n">
        <v>0</v>
      </c>
      <c r="F2791" s="68" t="inlineStr">
        <is>
          <t>AtkRatio</t>
        </is>
      </c>
      <c r="G2791" s="68">
        <f>INT(G2790*1.01)</f>
        <v/>
      </c>
      <c r="H2791" s="68" t="inlineStr">
        <is>
          <t>DefRatio</t>
        </is>
      </c>
      <c r="I2791" s="68">
        <f>G2791</f>
        <v/>
      </c>
    </row>
    <row r="2792">
      <c r="A2792" s="68">
        <f>B2792&amp;TEXT(C2792,"0000")</f>
        <v/>
      </c>
      <c r="B2792" s="68" t="n">
        <v>201</v>
      </c>
      <c r="C2792" s="68" t="n">
        <v>889</v>
      </c>
      <c r="D2792" s="68" t="inlineStr">
        <is>
          <t>HpRatio</t>
        </is>
      </c>
      <c r="E2792" s="68" t="n">
        <v>0</v>
      </c>
      <c r="F2792" s="68" t="inlineStr">
        <is>
          <t>AtkRatio</t>
        </is>
      </c>
      <c r="G2792" s="68">
        <f>INT(G2791*1.01)</f>
        <v/>
      </c>
      <c r="H2792" s="68" t="inlineStr">
        <is>
          <t>DefRatio</t>
        </is>
      </c>
      <c r="I2792" s="68">
        <f>G2792</f>
        <v/>
      </c>
    </row>
    <row r="2793">
      <c r="A2793" s="68">
        <f>B2793&amp;TEXT(C2793,"0000")</f>
        <v/>
      </c>
      <c r="B2793" s="68" t="n">
        <v>201</v>
      </c>
      <c r="C2793" s="68" t="n">
        <v>890</v>
      </c>
      <c r="D2793" s="68" t="inlineStr">
        <is>
          <t>HpRatio</t>
        </is>
      </c>
      <c r="E2793" s="68" t="n">
        <v>0</v>
      </c>
      <c r="F2793" s="68" t="inlineStr">
        <is>
          <t>AtkRatio</t>
        </is>
      </c>
      <c r="G2793" s="68">
        <f>INT(G2792*1.01)</f>
        <v/>
      </c>
      <c r="H2793" s="68" t="inlineStr">
        <is>
          <t>DefRatio</t>
        </is>
      </c>
      <c r="I2793" s="68">
        <f>G2793</f>
        <v/>
      </c>
    </row>
    <row r="2794">
      <c r="A2794" s="68">
        <f>B2794&amp;TEXT(C2794,"0000")</f>
        <v/>
      </c>
      <c r="B2794" s="68" t="n">
        <v>201</v>
      </c>
      <c r="C2794" s="68" t="n">
        <v>891</v>
      </c>
      <c r="D2794" s="68" t="inlineStr">
        <is>
          <t>HpRatio</t>
        </is>
      </c>
      <c r="E2794" s="68" t="n">
        <v>0</v>
      </c>
      <c r="F2794" s="68" t="inlineStr">
        <is>
          <t>AtkRatio</t>
        </is>
      </c>
      <c r="G2794" s="68">
        <f>INT(G2793*1.01)</f>
        <v/>
      </c>
      <c r="H2794" s="68" t="inlineStr">
        <is>
          <t>DefRatio</t>
        </is>
      </c>
      <c r="I2794" s="68">
        <f>G2794</f>
        <v/>
      </c>
    </row>
    <row r="2795">
      <c r="A2795" s="68">
        <f>B2795&amp;TEXT(C2795,"0000")</f>
        <v/>
      </c>
      <c r="B2795" s="68" t="n">
        <v>201</v>
      </c>
      <c r="C2795" s="68" t="n">
        <v>892</v>
      </c>
      <c r="D2795" s="68" t="inlineStr">
        <is>
          <t>HpRatio</t>
        </is>
      </c>
      <c r="E2795" s="68" t="n">
        <v>0</v>
      </c>
      <c r="F2795" s="68" t="inlineStr">
        <is>
          <t>AtkRatio</t>
        </is>
      </c>
      <c r="G2795" s="68">
        <f>INT(G2794*1.01)</f>
        <v/>
      </c>
      <c r="H2795" s="68" t="inlineStr">
        <is>
          <t>DefRatio</t>
        </is>
      </c>
      <c r="I2795" s="68">
        <f>G2795</f>
        <v/>
      </c>
    </row>
    <row r="2796">
      <c r="A2796" s="68">
        <f>B2796&amp;TEXT(C2796,"0000")</f>
        <v/>
      </c>
      <c r="B2796" s="68" t="n">
        <v>201</v>
      </c>
      <c r="C2796" s="68" t="n">
        <v>893</v>
      </c>
      <c r="D2796" s="68" t="inlineStr">
        <is>
          <t>HpRatio</t>
        </is>
      </c>
      <c r="E2796" s="68" t="n">
        <v>0</v>
      </c>
      <c r="F2796" s="68" t="inlineStr">
        <is>
          <t>AtkRatio</t>
        </is>
      </c>
      <c r="G2796" s="68">
        <f>INT(G2795*1.01)</f>
        <v/>
      </c>
      <c r="H2796" s="68" t="inlineStr">
        <is>
          <t>DefRatio</t>
        </is>
      </c>
      <c r="I2796" s="68">
        <f>G2796</f>
        <v/>
      </c>
    </row>
    <row r="2797">
      <c r="A2797" s="68">
        <f>B2797&amp;TEXT(C2797,"0000")</f>
        <v/>
      </c>
      <c r="B2797" s="68" t="n">
        <v>201</v>
      </c>
      <c r="C2797" s="68" t="n">
        <v>894</v>
      </c>
      <c r="D2797" s="68" t="inlineStr">
        <is>
          <t>HpRatio</t>
        </is>
      </c>
      <c r="E2797" s="68" t="n">
        <v>0</v>
      </c>
      <c r="F2797" s="68" t="inlineStr">
        <is>
          <t>AtkRatio</t>
        </is>
      </c>
      <c r="G2797" s="68">
        <f>INT(G2796*1.01)</f>
        <v/>
      </c>
      <c r="H2797" s="68" t="inlineStr">
        <is>
          <t>DefRatio</t>
        </is>
      </c>
      <c r="I2797" s="68">
        <f>G2797</f>
        <v/>
      </c>
    </row>
    <row r="2798">
      <c r="A2798" s="68">
        <f>B2798&amp;TEXT(C2798,"0000")</f>
        <v/>
      </c>
      <c r="B2798" s="68" t="n">
        <v>201</v>
      </c>
      <c r="C2798" s="68" t="n">
        <v>895</v>
      </c>
      <c r="D2798" s="68" t="inlineStr">
        <is>
          <t>HpRatio</t>
        </is>
      </c>
      <c r="E2798" s="68" t="n">
        <v>0</v>
      </c>
      <c r="F2798" s="68" t="inlineStr">
        <is>
          <t>AtkRatio</t>
        </is>
      </c>
      <c r="G2798" s="68">
        <f>INT(G2797*1.01)</f>
        <v/>
      </c>
      <c r="H2798" s="68" t="inlineStr">
        <is>
          <t>DefRatio</t>
        </is>
      </c>
      <c r="I2798" s="68">
        <f>G2798</f>
        <v/>
      </c>
    </row>
    <row r="2799">
      <c r="A2799" s="68">
        <f>B2799&amp;TEXT(C2799,"0000")</f>
        <v/>
      </c>
      <c r="B2799" s="68" t="n">
        <v>201</v>
      </c>
      <c r="C2799" s="68" t="n">
        <v>896</v>
      </c>
      <c r="D2799" s="68" t="inlineStr">
        <is>
          <t>HpRatio</t>
        </is>
      </c>
      <c r="E2799" s="68" t="n">
        <v>0</v>
      </c>
      <c r="F2799" s="68" t="inlineStr">
        <is>
          <t>AtkRatio</t>
        </is>
      </c>
      <c r="G2799" s="68">
        <f>INT(G2798*1.01)</f>
        <v/>
      </c>
      <c r="H2799" s="68" t="inlineStr">
        <is>
          <t>DefRatio</t>
        </is>
      </c>
      <c r="I2799" s="68">
        <f>G2799</f>
        <v/>
      </c>
    </row>
    <row r="2800">
      <c r="A2800" s="68">
        <f>B2800&amp;TEXT(C2800,"0000")</f>
        <v/>
      </c>
      <c r="B2800" s="68" t="n">
        <v>201</v>
      </c>
      <c r="C2800" s="68" t="n">
        <v>897</v>
      </c>
      <c r="D2800" s="68" t="inlineStr">
        <is>
          <t>HpRatio</t>
        </is>
      </c>
      <c r="E2800" s="68" t="n">
        <v>0</v>
      </c>
      <c r="F2800" s="68" t="inlineStr">
        <is>
          <t>AtkRatio</t>
        </is>
      </c>
      <c r="G2800" s="68">
        <f>INT(G2799*1.01)</f>
        <v/>
      </c>
      <c r="H2800" s="68" t="inlineStr">
        <is>
          <t>DefRatio</t>
        </is>
      </c>
      <c r="I2800" s="68">
        <f>G2800</f>
        <v/>
      </c>
    </row>
    <row r="2801">
      <c r="A2801" s="68">
        <f>B2801&amp;TEXT(C2801,"0000")</f>
        <v/>
      </c>
      <c r="B2801" s="68" t="n">
        <v>201</v>
      </c>
      <c r="C2801" s="68" t="n">
        <v>898</v>
      </c>
      <c r="D2801" s="68" t="inlineStr">
        <is>
          <t>HpRatio</t>
        </is>
      </c>
      <c r="E2801" s="68" t="n">
        <v>0</v>
      </c>
      <c r="F2801" s="68" t="inlineStr">
        <is>
          <t>AtkRatio</t>
        </is>
      </c>
      <c r="G2801" s="68">
        <f>INT(G2800*1.01)</f>
        <v/>
      </c>
      <c r="H2801" s="68" t="inlineStr">
        <is>
          <t>DefRatio</t>
        </is>
      </c>
      <c r="I2801" s="68">
        <f>G2801</f>
        <v/>
      </c>
    </row>
    <row r="2802">
      <c r="A2802" s="68">
        <f>B2802&amp;TEXT(C2802,"0000")</f>
        <v/>
      </c>
      <c r="B2802" s="68" t="n">
        <v>201</v>
      </c>
      <c r="C2802" s="68" t="n">
        <v>899</v>
      </c>
      <c r="D2802" s="68" t="inlineStr">
        <is>
          <t>HpRatio</t>
        </is>
      </c>
      <c r="E2802" s="68" t="n">
        <v>0</v>
      </c>
      <c r="F2802" s="68" t="inlineStr">
        <is>
          <t>AtkRatio</t>
        </is>
      </c>
      <c r="G2802" s="68">
        <f>INT(G2801*1.01)</f>
        <v/>
      </c>
      <c r="H2802" s="68" t="inlineStr">
        <is>
          <t>DefRatio</t>
        </is>
      </c>
      <c r="I2802" s="68">
        <f>G2802</f>
        <v/>
      </c>
    </row>
    <row r="2803">
      <c r="A2803" s="68">
        <f>B2803&amp;TEXT(C2803,"0000")</f>
        <v/>
      </c>
      <c r="B2803" s="68" t="n">
        <v>201</v>
      </c>
      <c r="C2803" s="68" t="n">
        <v>900</v>
      </c>
      <c r="D2803" s="68" t="inlineStr">
        <is>
          <t>HpRatio</t>
        </is>
      </c>
      <c r="E2803" s="68" t="n">
        <v>0</v>
      </c>
      <c r="F2803" s="68" t="inlineStr">
        <is>
          <t>AtkRatio</t>
        </is>
      </c>
      <c r="G2803" s="68">
        <f>INT(G2802*1.01)</f>
        <v/>
      </c>
      <c r="H2803" s="68" t="inlineStr">
        <is>
          <t>DefRatio</t>
        </is>
      </c>
      <c r="I2803" s="68">
        <f>G2803</f>
        <v/>
      </c>
    </row>
    <row r="2804">
      <c r="A2804" s="68">
        <f>B2804&amp;TEXT(C2804,"0000")</f>
        <v/>
      </c>
      <c r="B2804" s="68" t="n">
        <v>201</v>
      </c>
      <c r="C2804" s="68" t="n">
        <v>901</v>
      </c>
      <c r="D2804" s="68" t="inlineStr">
        <is>
          <t>HpRatio</t>
        </is>
      </c>
      <c r="E2804" s="68" t="n">
        <v>0</v>
      </c>
      <c r="F2804" s="68" t="inlineStr">
        <is>
          <t>AtkRatio</t>
        </is>
      </c>
      <c r="G2804" s="68">
        <f>INT(G2803*1.01)</f>
        <v/>
      </c>
      <c r="H2804" s="68" t="inlineStr">
        <is>
          <t>DefRatio</t>
        </is>
      </c>
      <c r="I2804" s="68">
        <f>G2804</f>
        <v/>
      </c>
    </row>
    <row r="2805">
      <c r="A2805" s="68">
        <f>B2805&amp;TEXT(C2805,"0000")</f>
        <v/>
      </c>
      <c r="B2805" s="68" t="n">
        <v>201</v>
      </c>
      <c r="C2805" s="68" t="n">
        <v>902</v>
      </c>
      <c r="D2805" s="68" t="inlineStr">
        <is>
          <t>HpRatio</t>
        </is>
      </c>
      <c r="E2805" s="68" t="n">
        <v>0</v>
      </c>
      <c r="F2805" s="68" t="inlineStr">
        <is>
          <t>AtkRatio</t>
        </is>
      </c>
      <c r="G2805" s="68">
        <f>INT(G2804*1.01)</f>
        <v/>
      </c>
      <c r="H2805" s="68" t="inlineStr">
        <is>
          <t>DefRatio</t>
        </is>
      </c>
      <c r="I2805" s="68">
        <f>G2805</f>
        <v/>
      </c>
    </row>
    <row r="2806">
      <c r="A2806" s="68">
        <f>B2806&amp;TEXT(C2806,"0000")</f>
        <v/>
      </c>
      <c r="B2806" s="68" t="n">
        <v>201</v>
      </c>
      <c r="C2806" s="68" t="n">
        <v>903</v>
      </c>
      <c r="D2806" s="68" t="inlineStr">
        <is>
          <t>HpRatio</t>
        </is>
      </c>
      <c r="E2806" s="68" t="n">
        <v>0</v>
      </c>
      <c r="F2806" s="68" t="inlineStr">
        <is>
          <t>AtkRatio</t>
        </is>
      </c>
      <c r="G2806" s="68">
        <f>INT(G2805*1.01)</f>
        <v/>
      </c>
      <c r="H2806" s="68" t="inlineStr">
        <is>
          <t>DefRatio</t>
        </is>
      </c>
      <c r="I2806" s="68">
        <f>G2806</f>
        <v/>
      </c>
    </row>
    <row r="2807">
      <c r="A2807" s="68">
        <f>B2807&amp;TEXT(C2807,"0000")</f>
        <v/>
      </c>
      <c r="B2807" s="68" t="n">
        <v>201</v>
      </c>
      <c r="C2807" s="68" t="n">
        <v>904</v>
      </c>
      <c r="D2807" s="68" t="inlineStr">
        <is>
          <t>HpRatio</t>
        </is>
      </c>
      <c r="E2807" s="68" t="n">
        <v>0</v>
      </c>
      <c r="F2807" s="68" t="inlineStr">
        <is>
          <t>AtkRatio</t>
        </is>
      </c>
      <c r="G2807" s="68">
        <f>INT(G2806*1.01)</f>
        <v/>
      </c>
      <c r="H2807" s="68" t="inlineStr">
        <is>
          <t>DefRatio</t>
        </is>
      </c>
      <c r="I2807" s="68">
        <f>G2807</f>
        <v/>
      </c>
    </row>
    <row r="2808">
      <c r="A2808" s="68">
        <f>B2808&amp;TEXT(C2808,"0000")</f>
        <v/>
      </c>
      <c r="B2808" s="68" t="n">
        <v>201</v>
      </c>
      <c r="C2808" s="68" t="n">
        <v>905</v>
      </c>
      <c r="D2808" s="68" t="inlineStr">
        <is>
          <t>HpRatio</t>
        </is>
      </c>
      <c r="E2808" s="68" t="n">
        <v>0</v>
      </c>
      <c r="F2808" s="68" t="inlineStr">
        <is>
          <t>AtkRatio</t>
        </is>
      </c>
      <c r="G2808" s="68">
        <f>INT(G2807*1.01)</f>
        <v/>
      </c>
      <c r="H2808" s="68" t="inlineStr">
        <is>
          <t>DefRatio</t>
        </is>
      </c>
      <c r="I2808" s="68">
        <f>G2808</f>
        <v/>
      </c>
    </row>
    <row r="2809">
      <c r="A2809" s="68">
        <f>B2809&amp;TEXT(C2809,"0000")</f>
        <v/>
      </c>
      <c r="B2809" s="68" t="n">
        <v>201</v>
      </c>
      <c r="C2809" s="68" t="n">
        <v>906</v>
      </c>
      <c r="D2809" s="68" t="inlineStr">
        <is>
          <t>HpRatio</t>
        </is>
      </c>
      <c r="E2809" s="68" t="n">
        <v>0</v>
      </c>
      <c r="F2809" s="68" t="inlineStr">
        <is>
          <t>AtkRatio</t>
        </is>
      </c>
      <c r="G2809" s="68">
        <f>INT(G2808*1.01)</f>
        <v/>
      </c>
      <c r="H2809" s="68" t="inlineStr">
        <is>
          <t>DefRatio</t>
        </is>
      </c>
      <c r="I2809" s="68">
        <f>G2809</f>
        <v/>
      </c>
    </row>
    <row r="2810">
      <c r="A2810" s="68">
        <f>B2810&amp;TEXT(C2810,"0000")</f>
        <v/>
      </c>
      <c r="B2810" s="68" t="n">
        <v>201</v>
      </c>
      <c r="C2810" s="68" t="n">
        <v>907</v>
      </c>
      <c r="D2810" s="68" t="inlineStr">
        <is>
          <t>HpRatio</t>
        </is>
      </c>
      <c r="E2810" s="68" t="n">
        <v>0</v>
      </c>
      <c r="F2810" s="68" t="inlineStr">
        <is>
          <t>AtkRatio</t>
        </is>
      </c>
      <c r="G2810" s="68">
        <f>INT(G2809*1.01)</f>
        <v/>
      </c>
      <c r="H2810" s="68" t="inlineStr">
        <is>
          <t>DefRatio</t>
        </is>
      </c>
      <c r="I2810" s="68">
        <f>G2810</f>
        <v/>
      </c>
    </row>
    <row r="2811">
      <c r="A2811" s="68">
        <f>B2811&amp;TEXT(C2811,"0000")</f>
        <v/>
      </c>
      <c r="B2811" s="68" t="n">
        <v>201</v>
      </c>
      <c r="C2811" s="68" t="n">
        <v>908</v>
      </c>
      <c r="D2811" s="68" t="inlineStr">
        <is>
          <t>HpRatio</t>
        </is>
      </c>
      <c r="E2811" s="68" t="n">
        <v>0</v>
      </c>
      <c r="F2811" s="68" t="inlineStr">
        <is>
          <t>AtkRatio</t>
        </is>
      </c>
      <c r="G2811" s="68">
        <f>INT(G2810*1.01)</f>
        <v/>
      </c>
      <c r="H2811" s="68" t="inlineStr">
        <is>
          <t>DefRatio</t>
        </is>
      </c>
      <c r="I2811" s="68">
        <f>G2811</f>
        <v/>
      </c>
    </row>
    <row r="2812">
      <c r="A2812" s="68">
        <f>B2812&amp;TEXT(C2812,"0000")</f>
        <v/>
      </c>
      <c r="B2812" s="68" t="n">
        <v>201</v>
      </c>
      <c r="C2812" s="68" t="n">
        <v>909</v>
      </c>
      <c r="D2812" s="68" t="inlineStr">
        <is>
          <t>HpRatio</t>
        </is>
      </c>
      <c r="E2812" s="68" t="n">
        <v>0</v>
      </c>
      <c r="F2812" s="68" t="inlineStr">
        <is>
          <t>AtkRatio</t>
        </is>
      </c>
      <c r="G2812" s="68">
        <f>INT(G2811*1.01)</f>
        <v/>
      </c>
      <c r="H2812" s="68" t="inlineStr">
        <is>
          <t>DefRatio</t>
        </is>
      </c>
      <c r="I2812" s="68">
        <f>G2812</f>
        <v/>
      </c>
    </row>
    <row r="2813">
      <c r="A2813" s="68">
        <f>B2813&amp;TEXT(C2813,"0000")</f>
        <v/>
      </c>
      <c r="B2813" s="68" t="n">
        <v>201</v>
      </c>
      <c r="C2813" s="68" t="n">
        <v>910</v>
      </c>
      <c r="D2813" s="68" t="inlineStr">
        <is>
          <t>HpRatio</t>
        </is>
      </c>
      <c r="E2813" s="68" t="n">
        <v>0</v>
      </c>
      <c r="F2813" s="68" t="inlineStr">
        <is>
          <t>AtkRatio</t>
        </is>
      </c>
      <c r="G2813" s="68">
        <f>INT(G2812*1.01)</f>
        <v/>
      </c>
      <c r="H2813" s="68" t="inlineStr">
        <is>
          <t>DefRatio</t>
        </is>
      </c>
      <c r="I2813" s="68">
        <f>G2813</f>
        <v/>
      </c>
    </row>
    <row r="2814">
      <c r="A2814" s="68">
        <f>B2814&amp;TEXT(C2814,"0000")</f>
        <v/>
      </c>
      <c r="B2814" s="68" t="n">
        <v>201</v>
      </c>
      <c r="C2814" s="68" t="n">
        <v>911</v>
      </c>
      <c r="D2814" s="68" t="inlineStr">
        <is>
          <t>HpRatio</t>
        </is>
      </c>
      <c r="E2814" s="68" t="n">
        <v>0</v>
      </c>
      <c r="F2814" s="68" t="inlineStr">
        <is>
          <t>AtkRatio</t>
        </is>
      </c>
      <c r="G2814" s="68">
        <f>INT(G2813*1.01)</f>
        <v/>
      </c>
      <c r="H2814" s="68" t="inlineStr">
        <is>
          <t>DefRatio</t>
        </is>
      </c>
      <c r="I2814" s="68">
        <f>G2814</f>
        <v/>
      </c>
    </row>
    <row r="2815">
      <c r="A2815" s="68">
        <f>B2815&amp;TEXT(C2815,"0000")</f>
        <v/>
      </c>
      <c r="B2815" s="68" t="n">
        <v>201</v>
      </c>
      <c r="C2815" s="68" t="n">
        <v>912</v>
      </c>
      <c r="D2815" s="68" t="inlineStr">
        <is>
          <t>HpRatio</t>
        </is>
      </c>
      <c r="E2815" s="68" t="n">
        <v>0</v>
      </c>
      <c r="F2815" s="68" t="inlineStr">
        <is>
          <t>AtkRatio</t>
        </is>
      </c>
      <c r="G2815" s="68">
        <f>INT(G2814*1.01)</f>
        <v/>
      </c>
      <c r="H2815" s="68" t="inlineStr">
        <is>
          <t>DefRatio</t>
        </is>
      </c>
      <c r="I2815" s="68">
        <f>G2815</f>
        <v/>
      </c>
    </row>
    <row r="2816">
      <c r="A2816" s="68">
        <f>B2816&amp;TEXT(C2816,"0000")</f>
        <v/>
      </c>
      <c r="B2816" s="68" t="n">
        <v>201</v>
      </c>
      <c r="C2816" s="68" t="n">
        <v>913</v>
      </c>
      <c r="D2816" s="68" t="inlineStr">
        <is>
          <t>HpRatio</t>
        </is>
      </c>
      <c r="E2816" s="68" t="n">
        <v>0</v>
      </c>
      <c r="F2816" s="68" t="inlineStr">
        <is>
          <t>AtkRatio</t>
        </is>
      </c>
      <c r="G2816" s="68">
        <f>INT(G2815*1.01)</f>
        <v/>
      </c>
      <c r="H2816" s="68" t="inlineStr">
        <is>
          <t>DefRatio</t>
        </is>
      </c>
      <c r="I2816" s="68">
        <f>G2816</f>
        <v/>
      </c>
    </row>
    <row r="2817">
      <c r="A2817" s="68">
        <f>B2817&amp;TEXT(C2817,"0000")</f>
        <v/>
      </c>
      <c r="B2817" s="68" t="n">
        <v>201</v>
      </c>
      <c r="C2817" s="68" t="n">
        <v>914</v>
      </c>
      <c r="D2817" s="68" t="inlineStr">
        <is>
          <t>HpRatio</t>
        </is>
      </c>
      <c r="E2817" s="68" t="n">
        <v>0</v>
      </c>
      <c r="F2817" s="68" t="inlineStr">
        <is>
          <t>AtkRatio</t>
        </is>
      </c>
      <c r="G2817" s="68">
        <f>INT(G2816*1.01)</f>
        <v/>
      </c>
      <c r="H2817" s="68" t="inlineStr">
        <is>
          <t>DefRatio</t>
        </is>
      </c>
      <c r="I2817" s="68">
        <f>G2817</f>
        <v/>
      </c>
    </row>
    <row r="2818">
      <c r="A2818" s="68">
        <f>B2818&amp;TEXT(C2818,"0000")</f>
        <v/>
      </c>
      <c r="B2818" s="68" t="n">
        <v>201</v>
      </c>
      <c r="C2818" s="68" t="n">
        <v>915</v>
      </c>
      <c r="D2818" s="68" t="inlineStr">
        <is>
          <t>HpRatio</t>
        </is>
      </c>
      <c r="E2818" s="68" t="n">
        <v>0</v>
      </c>
      <c r="F2818" s="68" t="inlineStr">
        <is>
          <t>AtkRatio</t>
        </is>
      </c>
      <c r="G2818" s="68">
        <f>INT(G2817*1.01)</f>
        <v/>
      </c>
      <c r="H2818" s="68" t="inlineStr">
        <is>
          <t>DefRatio</t>
        </is>
      </c>
      <c r="I2818" s="68">
        <f>G2818</f>
        <v/>
      </c>
    </row>
    <row r="2819">
      <c r="A2819" s="68">
        <f>B2819&amp;TEXT(C2819,"0000")</f>
        <v/>
      </c>
      <c r="B2819" s="68" t="n">
        <v>201</v>
      </c>
      <c r="C2819" s="68" t="n">
        <v>916</v>
      </c>
      <c r="D2819" s="68" t="inlineStr">
        <is>
          <t>HpRatio</t>
        </is>
      </c>
      <c r="E2819" s="68" t="n">
        <v>0</v>
      </c>
      <c r="F2819" s="68" t="inlineStr">
        <is>
          <t>AtkRatio</t>
        </is>
      </c>
      <c r="G2819" s="68">
        <f>INT(G2818*1.01)</f>
        <v/>
      </c>
      <c r="H2819" s="68" t="inlineStr">
        <is>
          <t>DefRatio</t>
        </is>
      </c>
      <c r="I2819" s="68">
        <f>G2819</f>
        <v/>
      </c>
    </row>
    <row r="2820">
      <c r="A2820" s="68">
        <f>B2820&amp;TEXT(C2820,"0000")</f>
        <v/>
      </c>
      <c r="B2820" s="68" t="n">
        <v>201</v>
      </c>
      <c r="C2820" s="68" t="n">
        <v>917</v>
      </c>
      <c r="D2820" s="68" t="inlineStr">
        <is>
          <t>HpRatio</t>
        </is>
      </c>
      <c r="E2820" s="68" t="n">
        <v>0</v>
      </c>
      <c r="F2820" s="68" t="inlineStr">
        <is>
          <t>AtkRatio</t>
        </is>
      </c>
      <c r="G2820" s="68">
        <f>INT(G2819*1.01)</f>
        <v/>
      </c>
      <c r="H2820" s="68" t="inlineStr">
        <is>
          <t>DefRatio</t>
        </is>
      </c>
      <c r="I2820" s="68">
        <f>G2820</f>
        <v/>
      </c>
    </row>
    <row r="2821">
      <c r="A2821" s="68">
        <f>B2821&amp;TEXT(C2821,"0000")</f>
        <v/>
      </c>
      <c r="B2821" s="68" t="n">
        <v>201</v>
      </c>
      <c r="C2821" s="68" t="n">
        <v>918</v>
      </c>
      <c r="D2821" s="68" t="inlineStr">
        <is>
          <t>HpRatio</t>
        </is>
      </c>
      <c r="E2821" s="68" t="n">
        <v>0</v>
      </c>
      <c r="F2821" s="68" t="inlineStr">
        <is>
          <t>AtkRatio</t>
        </is>
      </c>
      <c r="G2821" s="68">
        <f>INT(G2820*1.01)</f>
        <v/>
      </c>
      <c r="H2821" s="68" t="inlineStr">
        <is>
          <t>DefRatio</t>
        </is>
      </c>
      <c r="I2821" s="68">
        <f>G2821</f>
        <v/>
      </c>
    </row>
    <row r="2822">
      <c r="A2822" s="68">
        <f>B2822&amp;TEXT(C2822,"0000")</f>
        <v/>
      </c>
      <c r="B2822" s="68" t="n">
        <v>201</v>
      </c>
      <c r="C2822" s="68" t="n">
        <v>919</v>
      </c>
      <c r="D2822" s="68" t="inlineStr">
        <is>
          <t>HpRatio</t>
        </is>
      </c>
      <c r="E2822" s="68" t="n">
        <v>0</v>
      </c>
      <c r="F2822" s="68" t="inlineStr">
        <is>
          <t>AtkRatio</t>
        </is>
      </c>
      <c r="G2822" s="68">
        <f>INT(G2821*1.01)</f>
        <v/>
      </c>
      <c r="H2822" s="68" t="inlineStr">
        <is>
          <t>DefRatio</t>
        </is>
      </c>
      <c r="I2822" s="68">
        <f>G2822</f>
        <v/>
      </c>
    </row>
    <row r="2823">
      <c r="A2823" s="68">
        <f>B2823&amp;TEXT(C2823,"0000")</f>
        <v/>
      </c>
      <c r="B2823" s="68" t="n">
        <v>201</v>
      </c>
      <c r="C2823" s="68" t="n">
        <v>920</v>
      </c>
      <c r="D2823" s="68" t="inlineStr">
        <is>
          <t>HpRatio</t>
        </is>
      </c>
      <c r="E2823" s="68" t="n">
        <v>0</v>
      </c>
      <c r="F2823" s="68" t="inlineStr">
        <is>
          <t>AtkRatio</t>
        </is>
      </c>
      <c r="G2823" s="68">
        <f>INT(G2822*1.01)</f>
        <v/>
      </c>
      <c r="H2823" s="68" t="inlineStr">
        <is>
          <t>DefRatio</t>
        </is>
      </c>
      <c r="I2823" s="68">
        <f>G2823</f>
        <v/>
      </c>
    </row>
    <row r="2824">
      <c r="A2824" s="68">
        <f>B2824&amp;TEXT(C2824,"0000")</f>
        <v/>
      </c>
      <c r="B2824" s="68" t="n">
        <v>201</v>
      </c>
      <c r="C2824" s="68" t="n">
        <v>921</v>
      </c>
      <c r="D2824" s="68" t="inlineStr">
        <is>
          <t>HpRatio</t>
        </is>
      </c>
      <c r="E2824" s="68" t="n">
        <v>0</v>
      </c>
      <c r="F2824" s="68" t="inlineStr">
        <is>
          <t>AtkRatio</t>
        </is>
      </c>
      <c r="G2824" s="68">
        <f>INT(G2823*1.01)</f>
        <v/>
      </c>
      <c r="H2824" s="68" t="inlineStr">
        <is>
          <t>DefRatio</t>
        </is>
      </c>
      <c r="I2824" s="68">
        <f>G2824</f>
        <v/>
      </c>
    </row>
    <row r="2825">
      <c r="A2825" s="68">
        <f>B2825&amp;TEXT(C2825,"0000")</f>
        <v/>
      </c>
      <c r="B2825" s="68" t="n">
        <v>201</v>
      </c>
      <c r="C2825" s="68" t="n">
        <v>922</v>
      </c>
      <c r="D2825" s="68" t="inlineStr">
        <is>
          <t>HpRatio</t>
        </is>
      </c>
      <c r="E2825" s="68" t="n">
        <v>0</v>
      </c>
      <c r="F2825" s="68" t="inlineStr">
        <is>
          <t>AtkRatio</t>
        </is>
      </c>
      <c r="G2825" s="68">
        <f>INT(G2824*1.01)</f>
        <v/>
      </c>
      <c r="H2825" s="68" t="inlineStr">
        <is>
          <t>DefRatio</t>
        </is>
      </c>
      <c r="I2825" s="68">
        <f>G2825</f>
        <v/>
      </c>
    </row>
    <row r="2826">
      <c r="A2826" s="68">
        <f>B2826&amp;TEXT(C2826,"0000")</f>
        <v/>
      </c>
      <c r="B2826" s="68" t="n">
        <v>201</v>
      </c>
      <c r="C2826" s="68" t="n">
        <v>923</v>
      </c>
      <c r="D2826" s="68" t="inlineStr">
        <is>
          <t>HpRatio</t>
        </is>
      </c>
      <c r="E2826" s="68" t="n">
        <v>0</v>
      </c>
      <c r="F2826" s="68" t="inlineStr">
        <is>
          <t>AtkRatio</t>
        </is>
      </c>
      <c r="G2826" s="68">
        <f>INT(G2825*1.01)</f>
        <v/>
      </c>
      <c r="H2826" s="68" t="inlineStr">
        <is>
          <t>DefRatio</t>
        </is>
      </c>
      <c r="I2826" s="68">
        <f>G2826</f>
        <v/>
      </c>
    </row>
    <row r="2827">
      <c r="A2827" s="68">
        <f>B2827&amp;TEXT(C2827,"0000")</f>
        <v/>
      </c>
      <c r="B2827" s="68" t="n">
        <v>201</v>
      </c>
      <c r="C2827" s="68" t="n">
        <v>924</v>
      </c>
      <c r="D2827" s="68" t="inlineStr">
        <is>
          <t>HpRatio</t>
        </is>
      </c>
      <c r="E2827" s="68" t="n">
        <v>0</v>
      </c>
      <c r="F2827" s="68" t="inlineStr">
        <is>
          <t>AtkRatio</t>
        </is>
      </c>
      <c r="G2827" s="68">
        <f>INT(G2826*1.01)</f>
        <v/>
      </c>
      <c r="H2827" s="68" t="inlineStr">
        <is>
          <t>DefRatio</t>
        </is>
      </c>
      <c r="I2827" s="68">
        <f>G2827</f>
        <v/>
      </c>
    </row>
    <row r="2828">
      <c r="A2828" s="68">
        <f>B2828&amp;TEXT(C2828,"0000")</f>
        <v/>
      </c>
      <c r="B2828" s="68" t="n">
        <v>201</v>
      </c>
      <c r="C2828" s="68" t="n">
        <v>925</v>
      </c>
      <c r="D2828" s="68" t="inlineStr">
        <is>
          <t>HpRatio</t>
        </is>
      </c>
      <c r="E2828" s="68" t="n">
        <v>0</v>
      </c>
      <c r="F2828" s="68" t="inlineStr">
        <is>
          <t>AtkRatio</t>
        </is>
      </c>
      <c r="G2828" s="68">
        <f>INT(G2827*1.01)</f>
        <v/>
      </c>
      <c r="H2828" s="68" t="inlineStr">
        <is>
          <t>DefRatio</t>
        </is>
      </c>
      <c r="I2828" s="68">
        <f>G2828</f>
        <v/>
      </c>
    </row>
    <row r="2829">
      <c r="A2829" s="68">
        <f>B2829&amp;TEXT(C2829,"0000")</f>
        <v/>
      </c>
      <c r="B2829" s="68" t="n">
        <v>201</v>
      </c>
      <c r="C2829" s="68" t="n">
        <v>926</v>
      </c>
      <c r="D2829" s="68" t="inlineStr">
        <is>
          <t>HpRatio</t>
        </is>
      </c>
      <c r="E2829" s="68" t="n">
        <v>0</v>
      </c>
      <c r="F2829" s="68" t="inlineStr">
        <is>
          <t>AtkRatio</t>
        </is>
      </c>
      <c r="G2829" s="68">
        <f>INT(G2828*1.01)</f>
        <v/>
      </c>
      <c r="H2829" s="68" t="inlineStr">
        <is>
          <t>DefRatio</t>
        </is>
      </c>
      <c r="I2829" s="68">
        <f>G2829</f>
        <v/>
      </c>
    </row>
    <row r="2830">
      <c r="A2830" s="68">
        <f>B2830&amp;TEXT(C2830,"0000")</f>
        <v/>
      </c>
      <c r="B2830" s="68" t="n">
        <v>201</v>
      </c>
      <c r="C2830" s="68" t="n">
        <v>927</v>
      </c>
      <c r="D2830" s="68" t="inlineStr">
        <is>
          <t>HpRatio</t>
        </is>
      </c>
      <c r="E2830" s="68" t="n">
        <v>0</v>
      </c>
      <c r="F2830" s="68" t="inlineStr">
        <is>
          <t>AtkRatio</t>
        </is>
      </c>
      <c r="G2830" s="68">
        <f>INT(G2829*1.01)</f>
        <v/>
      </c>
      <c r="H2830" s="68" t="inlineStr">
        <is>
          <t>DefRatio</t>
        </is>
      </c>
      <c r="I2830" s="68">
        <f>G2830</f>
        <v/>
      </c>
    </row>
    <row r="2831">
      <c r="A2831" s="68">
        <f>B2831&amp;TEXT(C2831,"0000")</f>
        <v/>
      </c>
      <c r="B2831" s="68" t="n">
        <v>201</v>
      </c>
      <c r="C2831" s="68" t="n">
        <v>928</v>
      </c>
      <c r="D2831" s="68" t="inlineStr">
        <is>
          <t>HpRatio</t>
        </is>
      </c>
      <c r="E2831" s="68" t="n">
        <v>0</v>
      </c>
      <c r="F2831" s="68" t="inlineStr">
        <is>
          <t>AtkRatio</t>
        </is>
      </c>
      <c r="G2831" s="68">
        <f>INT(G2830*1.01)</f>
        <v/>
      </c>
      <c r="H2831" s="68" t="inlineStr">
        <is>
          <t>DefRatio</t>
        </is>
      </c>
      <c r="I2831" s="68">
        <f>G2831</f>
        <v/>
      </c>
    </row>
    <row r="2832">
      <c r="A2832" s="68">
        <f>B2832&amp;TEXT(C2832,"0000")</f>
        <v/>
      </c>
      <c r="B2832" s="68" t="n">
        <v>201</v>
      </c>
      <c r="C2832" s="68" t="n">
        <v>929</v>
      </c>
      <c r="D2832" s="68" t="inlineStr">
        <is>
          <t>HpRatio</t>
        </is>
      </c>
      <c r="E2832" s="68" t="n">
        <v>0</v>
      </c>
      <c r="F2832" s="68" t="inlineStr">
        <is>
          <t>AtkRatio</t>
        </is>
      </c>
      <c r="G2832" s="68">
        <f>INT(G2831*1.01)</f>
        <v/>
      </c>
      <c r="H2832" s="68" t="inlineStr">
        <is>
          <t>DefRatio</t>
        </is>
      </c>
      <c r="I2832" s="68">
        <f>G2832</f>
        <v/>
      </c>
    </row>
    <row r="2833">
      <c r="A2833" s="68">
        <f>B2833&amp;TEXT(C2833,"0000")</f>
        <v/>
      </c>
      <c r="B2833" s="68" t="n">
        <v>201</v>
      </c>
      <c r="C2833" s="68" t="n">
        <v>930</v>
      </c>
      <c r="D2833" s="68" t="inlineStr">
        <is>
          <t>HpRatio</t>
        </is>
      </c>
      <c r="E2833" s="68" t="n">
        <v>0</v>
      </c>
      <c r="F2833" s="68" t="inlineStr">
        <is>
          <t>AtkRatio</t>
        </is>
      </c>
      <c r="G2833" s="68">
        <f>INT(G2832*1.01)</f>
        <v/>
      </c>
      <c r="H2833" s="68" t="inlineStr">
        <is>
          <t>DefRatio</t>
        </is>
      </c>
      <c r="I2833" s="68">
        <f>G2833</f>
        <v/>
      </c>
    </row>
    <row r="2834">
      <c r="A2834" s="68">
        <f>B2834&amp;TEXT(C2834,"0000")</f>
        <v/>
      </c>
      <c r="B2834" s="68" t="n">
        <v>201</v>
      </c>
      <c r="C2834" s="68" t="n">
        <v>931</v>
      </c>
      <c r="D2834" s="68" t="inlineStr">
        <is>
          <t>HpRatio</t>
        </is>
      </c>
      <c r="E2834" s="68" t="n">
        <v>0</v>
      </c>
      <c r="F2834" s="68" t="inlineStr">
        <is>
          <t>AtkRatio</t>
        </is>
      </c>
      <c r="G2834" s="68">
        <f>INT(G2833*1.01)</f>
        <v/>
      </c>
      <c r="H2834" s="68" t="inlineStr">
        <is>
          <t>DefRatio</t>
        </is>
      </c>
      <c r="I2834" s="68">
        <f>G2834</f>
        <v/>
      </c>
    </row>
    <row r="2835">
      <c r="A2835" s="68">
        <f>B2835&amp;TEXT(C2835,"0000")</f>
        <v/>
      </c>
      <c r="B2835" s="68" t="n">
        <v>201</v>
      </c>
      <c r="C2835" s="68" t="n">
        <v>932</v>
      </c>
      <c r="D2835" s="68" t="inlineStr">
        <is>
          <t>HpRatio</t>
        </is>
      </c>
      <c r="E2835" s="68" t="n">
        <v>0</v>
      </c>
      <c r="F2835" s="68" t="inlineStr">
        <is>
          <t>AtkRatio</t>
        </is>
      </c>
      <c r="G2835" s="68">
        <f>INT(G2834*1.01)</f>
        <v/>
      </c>
      <c r="H2835" s="68" t="inlineStr">
        <is>
          <t>DefRatio</t>
        </is>
      </c>
      <c r="I2835" s="68">
        <f>G2835</f>
        <v/>
      </c>
    </row>
    <row r="2836">
      <c r="A2836" s="68">
        <f>B2836&amp;TEXT(C2836,"0000")</f>
        <v/>
      </c>
      <c r="B2836" s="68" t="n">
        <v>201</v>
      </c>
      <c r="C2836" s="68" t="n">
        <v>933</v>
      </c>
      <c r="D2836" s="68" t="inlineStr">
        <is>
          <t>HpRatio</t>
        </is>
      </c>
      <c r="E2836" s="68" t="n">
        <v>0</v>
      </c>
      <c r="F2836" s="68" t="inlineStr">
        <is>
          <t>AtkRatio</t>
        </is>
      </c>
      <c r="G2836" s="68">
        <f>INT(G2835*1.01)</f>
        <v/>
      </c>
      <c r="H2836" s="68" t="inlineStr">
        <is>
          <t>DefRatio</t>
        </is>
      </c>
      <c r="I2836" s="68">
        <f>G2836</f>
        <v/>
      </c>
    </row>
    <row r="2837">
      <c r="A2837" s="68">
        <f>B2837&amp;TEXT(C2837,"0000")</f>
        <v/>
      </c>
      <c r="B2837" s="68" t="n">
        <v>201</v>
      </c>
      <c r="C2837" s="68" t="n">
        <v>934</v>
      </c>
      <c r="D2837" s="68" t="inlineStr">
        <is>
          <t>HpRatio</t>
        </is>
      </c>
      <c r="E2837" s="68" t="n">
        <v>0</v>
      </c>
      <c r="F2837" s="68" t="inlineStr">
        <is>
          <t>AtkRatio</t>
        </is>
      </c>
      <c r="G2837" s="68">
        <f>INT(G2836*1.01)</f>
        <v/>
      </c>
      <c r="H2837" s="68" t="inlineStr">
        <is>
          <t>DefRatio</t>
        </is>
      </c>
      <c r="I2837" s="68">
        <f>G2837</f>
        <v/>
      </c>
    </row>
    <row r="2838">
      <c r="A2838" s="68">
        <f>B2838&amp;TEXT(C2838,"0000")</f>
        <v/>
      </c>
      <c r="B2838" s="68" t="n">
        <v>201</v>
      </c>
      <c r="C2838" s="68" t="n">
        <v>935</v>
      </c>
      <c r="D2838" s="68" t="inlineStr">
        <is>
          <t>HpRatio</t>
        </is>
      </c>
      <c r="E2838" s="68" t="n">
        <v>0</v>
      </c>
      <c r="F2838" s="68" t="inlineStr">
        <is>
          <t>AtkRatio</t>
        </is>
      </c>
      <c r="G2838" s="68">
        <f>INT(G2837*1.01)</f>
        <v/>
      </c>
      <c r="H2838" s="68" t="inlineStr">
        <is>
          <t>DefRatio</t>
        </is>
      </c>
      <c r="I2838" s="68">
        <f>G2838</f>
        <v/>
      </c>
    </row>
    <row r="2839">
      <c r="A2839" s="68">
        <f>B2839&amp;TEXT(C2839,"0000")</f>
        <v/>
      </c>
      <c r="B2839" s="68" t="n">
        <v>201</v>
      </c>
      <c r="C2839" s="68" t="n">
        <v>936</v>
      </c>
      <c r="D2839" s="68" t="inlineStr">
        <is>
          <t>HpRatio</t>
        </is>
      </c>
      <c r="E2839" s="68" t="n">
        <v>0</v>
      </c>
      <c r="F2839" s="68" t="inlineStr">
        <is>
          <t>AtkRatio</t>
        </is>
      </c>
      <c r="G2839" s="68">
        <f>INT(G2838*1.01)</f>
        <v/>
      </c>
      <c r="H2839" s="68" t="inlineStr">
        <is>
          <t>DefRatio</t>
        </is>
      </c>
      <c r="I2839" s="68">
        <f>G2839</f>
        <v/>
      </c>
    </row>
    <row r="2840">
      <c r="A2840" s="68">
        <f>B2840&amp;TEXT(C2840,"0000")</f>
        <v/>
      </c>
      <c r="B2840" s="68" t="n">
        <v>201</v>
      </c>
      <c r="C2840" s="68" t="n">
        <v>937</v>
      </c>
      <c r="D2840" s="68" t="inlineStr">
        <is>
          <t>HpRatio</t>
        </is>
      </c>
      <c r="E2840" s="68" t="n">
        <v>0</v>
      </c>
      <c r="F2840" s="68" t="inlineStr">
        <is>
          <t>AtkRatio</t>
        </is>
      </c>
      <c r="G2840" s="68">
        <f>INT(G2839*1.01)</f>
        <v/>
      </c>
      <c r="H2840" s="68" t="inlineStr">
        <is>
          <t>DefRatio</t>
        </is>
      </c>
      <c r="I2840" s="68">
        <f>G2840</f>
        <v/>
      </c>
    </row>
    <row r="2841">
      <c r="A2841" s="68">
        <f>B2841&amp;TEXT(C2841,"0000")</f>
        <v/>
      </c>
      <c r="B2841" s="68" t="n">
        <v>201</v>
      </c>
      <c r="C2841" s="68" t="n">
        <v>938</v>
      </c>
      <c r="D2841" s="68" t="inlineStr">
        <is>
          <t>HpRatio</t>
        </is>
      </c>
      <c r="E2841" s="68" t="n">
        <v>0</v>
      </c>
      <c r="F2841" s="68" t="inlineStr">
        <is>
          <t>AtkRatio</t>
        </is>
      </c>
      <c r="G2841" s="68">
        <f>INT(G2840*1.01)</f>
        <v/>
      </c>
      <c r="H2841" s="68" t="inlineStr">
        <is>
          <t>DefRatio</t>
        </is>
      </c>
      <c r="I2841" s="68">
        <f>G2841</f>
        <v/>
      </c>
    </row>
    <row r="2842">
      <c r="A2842" s="68">
        <f>B2842&amp;TEXT(C2842,"0000")</f>
        <v/>
      </c>
      <c r="B2842" s="68" t="n">
        <v>201</v>
      </c>
      <c r="C2842" s="68" t="n">
        <v>939</v>
      </c>
      <c r="D2842" s="68" t="inlineStr">
        <is>
          <t>HpRatio</t>
        </is>
      </c>
      <c r="E2842" s="68" t="n">
        <v>0</v>
      </c>
      <c r="F2842" s="68" t="inlineStr">
        <is>
          <t>AtkRatio</t>
        </is>
      </c>
      <c r="G2842" s="68">
        <f>INT(G2841*1.01)</f>
        <v/>
      </c>
      <c r="H2842" s="68" t="inlineStr">
        <is>
          <t>DefRatio</t>
        </is>
      </c>
      <c r="I2842" s="68">
        <f>G2842</f>
        <v/>
      </c>
    </row>
    <row r="2843">
      <c r="A2843" s="68">
        <f>B2843&amp;TEXT(C2843,"0000")</f>
        <v/>
      </c>
      <c r="B2843" s="68" t="n">
        <v>201</v>
      </c>
      <c r="C2843" s="68" t="n">
        <v>940</v>
      </c>
      <c r="D2843" s="68" t="inlineStr">
        <is>
          <t>HpRatio</t>
        </is>
      </c>
      <c r="E2843" s="68" t="n">
        <v>0</v>
      </c>
      <c r="F2843" s="68" t="inlineStr">
        <is>
          <t>AtkRatio</t>
        </is>
      </c>
      <c r="G2843" s="68">
        <f>INT(G2842*1.01)</f>
        <v/>
      </c>
      <c r="H2843" s="68" t="inlineStr">
        <is>
          <t>DefRatio</t>
        </is>
      </c>
      <c r="I2843" s="68">
        <f>G2843</f>
        <v/>
      </c>
    </row>
    <row r="2844">
      <c r="A2844" s="68">
        <f>B2844&amp;TEXT(C2844,"0000")</f>
        <v/>
      </c>
      <c r="B2844" s="68" t="n">
        <v>201</v>
      </c>
      <c r="C2844" s="68" t="n">
        <v>941</v>
      </c>
      <c r="D2844" s="68" t="inlineStr">
        <is>
          <t>HpRatio</t>
        </is>
      </c>
      <c r="E2844" s="68" t="n">
        <v>0</v>
      </c>
      <c r="F2844" s="68" t="inlineStr">
        <is>
          <t>AtkRatio</t>
        </is>
      </c>
      <c r="G2844" s="68">
        <f>INT(G2843*1.01)</f>
        <v/>
      </c>
      <c r="H2844" s="68" t="inlineStr">
        <is>
          <t>DefRatio</t>
        </is>
      </c>
      <c r="I2844" s="68">
        <f>G2844</f>
        <v/>
      </c>
    </row>
    <row r="2845">
      <c r="A2845" s="68">
        <f>B2845&amp;TEXT(C2845,"0000")</f>
        <v/>
      </c>
      <c r="B2845" s="68" t="n">
        <v>201</v>
      </c>
      <c r="C2845" s="68" t="n">
        <v>942</v>
      </c>
      <c r="D2845" s="68" t="inlineStr">
        <is>
          <t>HpRatio</t>
        </is>
      </c>
      <c r="E2845" s="68" t="n">
        <v>0</v>
      </c>
      <c r="F2845" s="68" t="inlineStr">
        <is>
          <t>AtkRatio</t>
        </is>
      </c>
      <c r="G2845" s="68">
        <f>INT(G2844*1.01)</f>
        <v/>
      </c>
      <c r="H2845" s="68" t="inlineStr">
        <is>
          <t>DefRatio</t>
        </is>
      </c>
      <c r="I2845" s="68">
        <f>G2845</f>
        <v/>
      </c>
    </row>
    <row r="2846">
      <c r="A2846" s="68">
        <f>B2846&amp;TEXT(C2846,"0000")</f>
        <v/>
      </c>
      <c r="B2846" s="68" t="n">
        <v>201</v>
      </c>
      <c r="C2846" s="68" t="n">
        <v>943</v>
      </c>
      <c r="D2846" s="68" t="inlineStr">
        <is>
          <t>HpRatio</t>
        </is>
      </c>
      <c r="E2846" s="68" t="n">
        <v>0</v>
      </c>
      <c r="F2846" s="68" t="inlineStr">
        <is>
          <t>AtkRatio</t>
        </is>
      </c>
      <c r="G2846" s="68">
        <f>INT(G2845*1.01)</f>
        <v/>
      </c>
      <c r="H2846" s="68" t="inlineStr">
        <is>
          <t>DefRatio</t>
        </is>
      </c>
      <c r="I2846" s="68">
        <f>G2846</f>
        <v/>
      </c>
    </row>
    <row r="2847">
      <c r="A2847" s="68">
        <f>B2847&amp;TEXT(C2847,"0000")</f>
        <v/>
      </c>
      <c r="B2847" s="68" t="n">
        <v>201</v>
      </c>
      <c r="C2847" s="68" t="n">
        <v>944</v>
      </c>
      <c r="D2847" s="68" t="inlineStr">
        <is>
          <t>HpRatio</t>
        </is>
      </c>
      <c r="E2847" s="68" t="n">
        <v>0</v>
      </c>
      <c r="F2847" s="68" t="inlineStr">
        <is>
          <t>AtkRatio</t>
        </is>
      </c>
      <c r="G2847" s="68">
        <f>INT(G2846*1.01)</f>
        <v/>
      </c>
      <c r="H2847" s="68" t="inlineStr">
        <is>
          <t>DefRatio</t>
        </is>
      </c>
      <c r="I2847" s="68">
        <f>G2847</f>
        <v/>
      </c>
    </row>
    <row r="2848">
      <c r="A2848" s="68">
        <f>B2848&amp;TEXT(C2848,"0000")</f>
        <v/>
      </c>
      <c r="B2848" s="68" t="n">
        <v>201</v>
      </c>
      <c r="C2848" s="68" t="n">
        <v>945</v>
      </c>
      <c r="D2848" s="68" t="inlineStr">
        <is>
          <t>HpRatio</t>
        </is>
      </c>
      <c r="E2848" s="68" t="n">
        <v>0</v>
      </c>
      <c r="F2848" s="68" t="inlineStr">
        <is>
          <t>AtkRatio</t>
        </is>
      </c>
      <c r="G2848" s="68">
        <f>INT(G2847*1.01)</f>
        <v/>
      </c>
      <c r="H2848" s="68" t="inlineStr">
        <is>
          <t>DefRatio</t>
        </is>
      </c>
      <c r="I2848" s="68">
        <f>G2848</f>
        <v/>
      </c>
    </row>
    <row r="2849">
      <c r="A2849" s="68">
        <f>B2849&amp;TEXT(C2849,"0000")</f>
        <v/>
      </c>
      <c r="B2849" s="68" t="n">
        <v>201</v>
      </c>
      <c r="C2849" s="68" t="n">
        <v>946</v>
      </c>
      <c r="D2849" s="68" t="inlineStr">
        <is>
          <t>HpRatio</t>
        </is>
      </c>
      <c r="E2849" s="68" t="n">
        <v>0</v>
      </c>
      <c r="F2849" s="68" t="inlineStr">
        <is>
          <t>AtkRatio</t>
        </is>
      </c>
      <c r="G2849" s="68">
        <f>INT(G2848*1.01)</f>
        <v/>
      </c>
      <c r="H2849" s="68" t="inlineStr">
        <is>
          <t>DefRatio</t>
        </is>
      </c>
      <c r="I2849" s="68">
        <f>G2849</f>
        <v/>
      </c>
    </row>
    <row r="2850">
      <c r="A2850" s="68">
        <f>B2850&amp;TEXT(C2850,"0000")</f>
        <v/>
      </c>
      <c r="B2850" s="68" t="n">
        <v>201</v>
      </c>
      <c r="C2850" s="68" t="n">
        <v>947</v>
      </c>
      <c r="D2850" s="68" t="inlineStr">
        <is>
          <t>HpRatio</t>
        </is>
      </c>
      <c r="E2850" s="68" t="n">
        <v>0</v>
      </c>
      <c r="F2850" s="68" t="inlineStr">
        <is>
          <t>AtkRatio</t>
        </is>
      </c>
      <c r="G2850" s="68">
        <f>INT(G2849*1.01)</f>
        <v/>
      </c>
      <c r="H2850" s="68" t="inlineStr">
        <is>
          <t>DefRatio</t>
        </is>
      </c>
      <c r="I2850" s="68">
        <f>G2850</f>
        <v/>
      </c>
    </row>
    <row r="2851">
      <c r="A2851" s="68">
        <f>B2851&amp;TEXT(C2851,"0000")</f>
        <v/>
      </c>
      <c r="B2851" s="68" t="n">
        <v>201</v>
      </c>
      <c r="C2851" s="68" t="n">
        <v>948</v>
      </c>
      <c r="D2851" s="68" t="inlineStr">
        <is>
          <t>HpRatio</t>
        </is>
      </c>
      <c r="E2851" s="68" t="n">
        <v>0</v>
      </c>
      <c r="F2851" s="68" t="inlineStr">
        <is>
          <t>AtkRatio</t>
        </is>
      </c>
      <c r="G2851" s="68">
        <f>INT(G2850*1.01)</f>
        <v/>
      </c>
      <c r="H2851" s="68" t="inlineStr">
        <is>
          <t>DefRatio</t>
        </is>
      </c>
      <c r="I2851" s="68">
        <f>G2851</f>
        <v/>
      </c>
    </row>
    <row r="2852">
      <c r="A2852" s="68">
        <f>B2852&amp;TEXT(C2852,"0000")</f>
        <v/>
      </c>
      <c r="B2852" s="68" t="n">
        <v>201</v>
      </c>
      <c r="C2852" s="68" t="n">
        <v>949</v>
      </c>
      <c r="D2852" s="68" t="inlineStr">
        <is>
          <t>HpRatio</t>
        </is>
      </c>
      <c r="E2852" s="68" t="n">
        <v>0</v>
      </c>
      <c r="F2852" s="68" t="inlineStr">
        <is>
          <t>AtkRatio</t>
        </is>
      </c>
      <c r="G2852" s="68">
        <f>INT(G2851*1.01)</f>
        <v/>
      </c>
      <c r="H2852" s="68" t="inlineStr">
        <is>
          <t>DefRatio</t>
        </is>
      </c>
      <c r="I2852" s="68">
        <f>G2852</f>
        <v/>
      </c>
    </row>
    <row r="2853">
      <c r="A2853" s="68">
        <f>B2853&amp;TEXT(C2853,"0000")</f>
        <v/>
      </c>
      <c r="B2853" s="68" t="n">
        <v>201</v>
      </c>
      <c r="C2853" s="68" t="n">
        <v>950</v>
      </c>
      <c r="D2853" s="68" t="inlineStr">
        <is>
          <t>HpRatio</t>
        </is>
      </c>
      <c r="E2853" s="68" t="n">
        <v>0</v>
      </c>
      <c r="F2853" s="68" t="inlineStr">
        <is>
          <t>AtkRatio</t>
        </is>
      </c>
      <c r="G2853" s="68">
        <f>INT(G2852*1.01)</f>
        <v/>
      </c>
      <c r="H2853" s="68" t="inlineStr">
        <is>
          <t>DefRatio</t>
        </is>
      </c>
      <c r="I2853" s="68">
        <f>G2853</f>
        <v/>
      </c>
    </row>
    <row r="2854">
      <c r="A2854" s="68">
        <f>B2854&amp;TEXT(C2854,"0000")</f>
        <v/>
      </c>
      <c r="B2854" s="68" t="n">
        <v>201</v>
      </c>
      <c r="C2854" s="68" t="n">
        <v>951</v>
      </c>
      <c r="D2854" s="68" t="inlineStr">
        <is>
          <t>HpRatio</t>
        </is>
      </c>
      <c r="E2854" s="68" t="n">
        <v>0</v>
      </c>
      <c r="F2854" s="68" t="inlineStr">
        <is>
          <t>AtkRatio</t>
        </is>
      </c>
      <c r="G2854" s="68">
        <f>INT(G2853*1.01)</f>
        <v/>
      </c>
      <c r="H2854" s="68" t="inlineStr">
        <is>
          <t>DefRatio</t>
        </is>
      </c>
      <c r="I2854" s="68">
        <f>G2854</f>
        <v/>
      </c>
    </row>
    <row r="2855">
      <c r="A2855" s="68">
        <f>B2855&amp;TEXT(C2855,"0000")</f>
        <v/>
      </c>
      <c r="B2855" s="68" t="n">
        <v>201</v>
      </c>
      <c r="C2855" s="68" t="n">
        <v>952</v>
      </c>
      <c r="D2855" s="68" t="inlineStr">
        <is>
          <t>HpRatio</t>
        </is>
      </c>
      <c r="E2855" s="68" t="n">
        <v>0</v>
      </c>
      <c r="F2855" s="68" t="inlineStr">
        <is>
          <t>AtkRatio</t>
        </is>
      </c>
      <c r="G2855" s="68">
        <f>INT(G2854*1.01)</f>
        <v/>
      </c>
      <c r="H2855" s="68" t="inlineStr">
        <is>
          <t>DefRatio</t>
        </is>
      </c>
      <c r="I2855" s="68">
        <f>G2855</f>
        <v/>
      </c>
    </row>
    <row r="2856">
      <c r="A2856" s="68">
        <f>B2856&amp;TEXT(C2856,"0000")</f>
        <v/>
      </c>
      <c r="B2856" s="68" t="n">
        <v>201</v>
      </c>
      <c r="C2856" s="68" t="n">
        <v>953</v>
      </c>
      <c r="D2856" s="68" t="inlineStr">
        <is>
          <t>HpRatio</t>
        </is>
      </c>
      <c r="E2856" s="68" t="n">
        <v>0</v>
      </c>
      <c r="F2856" s="68" t="inlineStr">
        <is>
          <t>AtkRatio</t>
        </is>
      </c>
      <c r="G2856" s="68">
        <f>INT(G2855*1.01)</f>
        <v/>
      </c>
      <c r="H2856" s="68" t="inlineStr">
        <is>
          <t>DefRatio</t>
        </is>
      </c>
      <c r="I2856" s="68">
        <f>G2856</f>
        <v/>
      </c>
    </row>
    <row r="2857">
      <c r="A2857" s="68">
        <f>B2857&amp;TEXT(C2857,"0000")</f>
        <v/>
      </c>
      <c r="B2857" s="68" t="n">
        <v>201</v>
      </c>
      <c r="C2857" s="68" t="n">
        <v>954</v>
      </c>
      <c r="D2857" s="68" t="inlineStr">
        <is>
          <t>HpRatio</t>
        </is>
      </c>
      <c r="E2857" s="68" t="n">
        <v>0</v>
      </c>
      <c r="F2857" s="68" t="inlineStr">
        <is>
          <t>AtkRatio</t>
        </is>
      </c>
      <c r="G2857" s="68">
        <f>INT(G2856*1.01)</f>
        <v/>
      </c>
      <c r="H2857" s="68" t="inlineStr">
        <is>
          <t>DefRatio</t>
        </is>
      </c>
      <c r="I2857" s="68">
        <f>G2857</f>
        <v/>
      </c>
    </row>
    <row r="2858">
      <c r="A2858" s="68">
        <f>B2858&amp;TEXT(C2858,"0000")</f>
        <v/>
      </c>
      <c r="B2858" s="68" t="n">
        <v>201</v>
      </c>
      <c r="C2858" s="68" t="n">
        <v>955</v>
      </c>
      <c r="D2858" s="68" t="inlineStr">
        <is>
          <t>HpRatio</t>
        </is>
      </c>
      <c r="E2858" s="68" t="n">
        <v>0</v>
      </c>
      <c r="F2858" s="68" t="inlineStr">
        <is>
          <t>AtkRatio</t>
        </is>
      </c>
      <c r="G2858" s="68">
        <f>INT(G2857*1.01)</f>
        <v/>
      </c>
      <c r="H2858" s="68" t="inlineStr">
        <is>
          <t>DefRatio</t>
        </is>
      </c>
      <c r="I2858" s="68">
        <f>G2858</f>
        <v/>
      </c>
    </row>
    <row r="2859">
      <c r="A2859" s="68">
        <f>B2859&amp;TEXT(C2859,"0000")</f>
        <v/>
      </c>
      <c r="B2859" s="68" t="n">
        <v>201</v>
      </c>
      <c r="C2859" s="68" t="n">
        <v>956</v>
      </c>
      <c r="D2859" s="68" t="inlineStr">
        <is>
          <t>HpRatio</t>
        </is>
      </c>
      <c r="E2859" s="68" t="n">
        <v>0</v>
      </c>
      <c r="F2859" s="68" t="inlineStr">
        <is>
          <t>AtkRatio</t>
        </is>
      </c>
      <c r="G2859" s="68">
        <f>INT(G2858*1.01)</f>
        <v/>
      </c>
      <c r="H2859" s="68" t="inlineStr">
        <is>
          <t>DefRatio</t>
        </is>
      </c>
      <c r="I2859" s="68">
        <f>G2859</f>
        <v/>
      </c>
    </row>
    <row r="2860">
      <c r="A2860" s="68">
        <f>B2860&amp;TEXT(C2860,"0000")</f>
        <v/>
      </c>
      <c r="B2860" s="68" t="n">
        <v>201</v>
      </c>
      <c r="C2860" s="68" t="n">
        <v>957</v>
      </c>
      <c r="D2860" s="68" t="inlineStr">
        <is>
          <t>HpRatio</t>
        </is>
      </c>
      <c r="E2860" s="68" t="n">
        <v>0</v>
      </c>
      <c r="F2860" s="68" t="inlineStr">
        <is>
          <t>AtkRatio</t>
        </is>
      </c>
      <c r="G2860" s="68">
        <f>INT(G2859*1.01)</f>
        <v/>
      </c>
      <c r="H2860" s="68" t="inlineStr">
        <is>
          <t>DefRatio</t>
        </is>
      </c>
      <c r="I2860" s="68">
        <f>G2860</f>
        <v/>
      </c>
    </row>
    <row r="2861">
      <c r="A2861" s="68">
        <f>B2861&amp;TEXT(C2861,"0000")</f>
        <v/>
      </c>
      <c r="B2861" s="68" t="n">
        <v>201</v>
      </c>
      <c r="C2861" s="68" t="n">
        <v>958</v>
      </c>
      <c r="D2861" s="68" t="inlineStr">
        <is>
          <t>HpRatio</t>
        </is>
      </c>
      <c r="E2861" s="68" t="n">
        <v>0</v>
      </c>
      <c r="F2861" s="68" t="inlineStr">
        <is>
          <t>AtkRatio</t>
        </is>
      </c>
      <c r="G2861" s="68">
        <f>INT(G2860*1.01)</f>
        <v/>
      </c>
      <c r="H2861" s="68" t="inlineStr">
        <is>
          <t>DefRatio</t>
        </is>
      </c>
      <c r="I2861" s="68">
        <f>G2861</f>
        <v/>
      </c>
    </row>
    <row r="2862">
      <c r="A2862" s="68">
        <f>B2862&amp;TEXT(C2862,"0000")</f>
        <v/>
      </c>
      <c r="B2862" s="68" t="n">
        <v>201</v>
      </c>
      <c r="C2862" s="68" t="n">
        <v>959</v>
      </c>
      <c r="D2862" s="68" t="inlineStr">
        <is>
          <t>HpRatio</t>
        </is>
      </c>
      <c r="E2862" s="68" t="n">
        <v>0</v>
      </c>
      <c r="F2862" s="68" t="inlineStr">
        <is>
          <t>AtkRatio</t>
        </is>
      </c>
      <c r="G2862" s="68">
        <f>INT(G2861*1.01)</f>
        <v/>
      </c>
      <c r="H2862" s="68" t="inlineStr">
        <is>
          <t>DefRatio</t>
        </is>
      </c>
      <c r="I2862" s="68">
        <f>G2862</f>
        <v/>
      </c>
    </row>
    <row r="2863">
      <c r="A2863" s="68">
        <f>B2863&amp;TEXT(C2863,"0000")</f>
        <v/>
      </c>
      <c r="B2863" s="68" t="n">
        <v>201</v>
      </c>
      <c r="C2863" s="68" t="n">
        <v>960</v>
      </c>
      <c r="D2863" s="68" t="inlineStr">
        <is>
          <t>HpRatio</t>
        </is>
      </c>
      <c r="E2863" s="68" t="n">
        <v>0</v>
      </c>
      <c r="F2863" s="68" t="inlineStr">
        <is>
          <t>AtkRatio</t>
        </is>
      </c>
      <c r="G2863" s="68">
        <f>INT(G2862*1.01)</f>
        <v/>
      </c>
      <c r="H2863" s="68" t="inlineStr">
        <is>
          <t>DefRatio</t>
        </is>
      </c>
      <c r="I2863" s="68">
        <f>G2863</f>
        <v/>
      </c>
    </row>
    <row r="2864">
      <c r="A2864" s="68">
        <f>B2864&amp;TEXT(C2864,"0000")</f>
        <v/>
      </c>
      <c r="B2864" s="68" t="n">
        <v>201</v>
      </c>
      <c r="C2864" s="68" t="n">
        <v>961</v>
      </c>
      <c r="D2864" s="68" t="inlineStr">
        <is>
          <t>HpRatio</t>
        </is>
      </c>
      <c r="E2864" s="68" t="n">
        <v>0</v>
      </c>
      <c r="F2864" s="68" t="inlineStr">
        <is>
          <t>AtkRatio</t>
        </is>
      </c>
      <c r="G2864" s="68">
        <f>INT(G2863*1.01)</f>
        <v/>
      </c>
      <c r="H2864" s="68" t="inlineStr">
        <is>
          <t>DefRatio</t>
        </is>
      </c>
      <c r="I2864" s="68">
        <f>G2864</f>
        <v/>
      </c>
    </row>
    <row r="2865">
      <c r="A2865" s="68">
        <f>B2865&amp;TEXT(C2865,"0000")</f>
        <v/>
      </c>
      <c r="B2865" s="68" t="n">
        <v>201</v>
      </c>
      <c r="C2865" s="68" t="n">
        <v>962</v>
      </c>
      <c r="D2865" s="68" t="inlineStr">
        <is>
          <t>HpRatio</t>
        </is>
      </c>
      <c r="E2865" s="68" t="n">
        <v>0</v>
      </c>
      <c r="F2865" s="68" t="inlineStr">
        <is>
          <t>AtkRatio</t>
        </is>
      </c>
      <c r="G2865" s="68">
        <f>INT(G2864*1.01)</f>
        <v/>
      </c>
      <c r="H2865" s="68" t="inlineStr">
        <is>
          <t>DefRatio</t>
        </is>
      </c>
      <c r="I2865" s="68">
        <f>G2865</f>
        <v/>
      </c>
    </row>
    <row r="2866">
      <c r="A2866" s="68">
        <f>B2866&amp;TEXT(C2866,"0000")</f>
        <v/>
      </c>
      <c r="B2866" s="68" t="n">
        <v>201</v>
      </c>
      <c r="C2866" s="68" t="n">
        <v>963</v>
      </c>
      <c r="D2866" s="68" t="inlineStr">
        <is>
          <t>HpRatio</t>
        </is>
      </c>
      <c r="E2866" s="68" t="n">
        <v>0</v>
      </c>
      <c r="F2866" s="68" t="inlineStr">
        <is>
          <t>AtkRatio</t>
        </is>
      </c>
      <c r="G2866" s="68">
        <f>INT(G2865*1.01)</f>
        <v/>
      </c>
      <c r="H2866" s="68" t="inlineStr">
        <is>
          <t>DefRatio</t>
        </is>
      </c>
      <c r="I2866" s="68">
        <f>G2866</f>
        <v/>
      </c>
    </row>
    <row r="2867">
      <c r="A2867" s="68">
        <f>B2867&amp;TEXT(C2867,"0000")</f>
        <v/>
      </c>
      <c r="B2867" s="68" t="n">
        <v>201</v>
      </c>
      <c r="C2867" s="68" t="n">
        <v>964</v>
      </c>
      <c r="D2867" s="68" t="inlineStr">
        <is>
          <t>HpRatio</t>
        </is>
      </c>
      <c r="E2867" s="68" t="n">
        <v>0</v>
      </c>
      <c r="F2867" s="68" t="inlineStr">
        <is>
          <t>AtkRatio</t>
        </is>
      </c>
      <c r="G2867" s="68">
        <f>INT(G2866*1.01)</f>
        <v/>
      </c>
      <c r="H2867" s="68" t="inlineStr">
        <is>
          <t>DefRatio</t>
        </is>
      </c>
      <c r="I2867" s="68">
        <f>G2867</f>
        <v/>
      </c>
    </row>
    <row r="2868">
      <c r="A2868" s="68">
        <f>B2868&amp;TEXT(C2868,"0000")</f>
        <v/>
      </c>
      <c r="B2868" s="68" t="n">
        <v>201</v>
      </c>
      <c r="C2868" s="68" t="n">
        <v>965</v>
      </c>
      <c r="D2868" s="68" t="inlineStr">
        <is>
          <t>HpRatio</t>
        </is>
      </c>
      <c r="E2868" s="68" t="n">
        <v>0</v>
      </c>
      <c r="F2868" s="68" t="inlineStr">
        <is>
          <t>AtkRatio</t>
        </is>
      </c>
      <c r="G2868" s="68">
        <f>INT(G2867*1.01)</f>
        <v/>
      </c>
      <c r="H2868" s="68" t="inlineStr">
        <is>
          <t>DefRatio</t>
        </is>
      </c>
      <c r="I2868" s="68">
        <f>G2868</f>
        <v/>
      </c>
    </row>
    <row r="2869">
      <c r="A2869" s="68">
        <f>B2869&amp;TEXT(C2869,"0000")</f>
        <v/>
      </c>
      <c r="B2869" s="68" t="n">
        <v>201</v>
      </c>
      <c r="C2869" s="68" t="n">
        <v>966</v>
      </c>
      <c r="D2869" s="68" t="inlineStr">
        <is>
          <t>HpRatio</t>
        </is>
      </c>
      <c r="E2869" s="68" t="n">
        <v>0</v>
      </c>
      <c r="F2869" s="68" t="inlineStr">
        <is>
          <t>AtkRatio</t>
        </is>
      </c>
      <c r="G2869" s="68">
        <f>INT(G2868*1.01)</f>
        <v/>
      </c>
      <c r="H2869" s="68" t="inlineStr">
        <is>
          <t>DefRatio</t>
        </is>
      </c>
      <c r="I2869" s="68">
        <f>G2869</f>
        <v/>
      </c>
    </row>
    <row r="2870">
      <c r="A2870" s="68">
        <f>B2870&amp;TEXT(C2870,"0000")</f>
        <v/>
      </c>
      <c r="B2870" s="68" t="n">
        <v>201</v>
      </c>
      <c r="C2870" s="68" t="n">
        <v>967</v>
      </c>
      <c r="D2870" s="68" t="inlineStr">
        <is>
          <t>HpRatio</t>
        </is>
      </c>
      <c r="E2870" s="68" t="n">
        <v>0</v>
      </c>
      <c r="F2870" s="68" t="inlineStr">
        <is>
          <t>AtkRatio</t>
        </is>
      </c>
      <c r="G2870" s="68">
        <f>INT(G2869*1.01)</f>
        <v/>
      </c>
      <c r="H2870" s="68" t="inlineStr">
        <is>
          <t>DefRatio</t>
        </is>
      </c>
      <c r="I2870" s="68">
        <f>G2870</f>
        <v/>
      </c>
    </row>
    <row r="2871">
      <c r="A2871" s="68">
        <f>B2871&amp;TEXT(C2871,"0000")</f>
        <v/>
      </c>
      <c r="B2871" s="68" t="n">
        <v>201</v>
      </c>
      <c r="C2871" s="68" t="n">
        <v>968</v>
      </c>
      <c r="D2871" s="68" t="inlineStr">
        <is>
          <t>HpRatio</t>
        </is>
      </c>
      <c r="E2871" s="68" t="n">
        <v>0</v>
      </c>
      <c r="F2871" s="68" t="inlineStr">
        <is>
          <t>AtkRatio</t>
        </is>
      </c>
      <c r="G2871" s="68">
        <f>INT(G2870*1.01)</f>
        <v/>
      </c>
      <c r="H2871" s="68" t="inlineStr">
        <is>
          <t>DefRatio</t>
        </is>
      </c>
      <c r="I2871" s="68">
        <f>G2871</f>
        <v/>
      </c>
    </row>
    <row r="2872">
      <c r="A2872" s="68">
        <f>B2872&amp;TEXT(C2872,"0000")</f>
        <v/>
      </c>
      <c r="B2872" s="68" t="n">
        <v>201</v>
      </c>
      <c r="C2872" s="68" t="n">
        <v>969</v>
      </c>
      <c r="D2872" s="68" t="inlineStr">
        <is>
          <t>HpRatio</t>
        </is>
      </c>
      <c r="E2872" s="68" t="n">
        <v>0</v>
      </c>
      <c r="F2872" s="68" t="inlineStr">
        <is>
          <t>AtkRatio</t>
        </is>
      </c>
      <c r="G2872" s="68">
        <f>INT(G2871*1.01)</f>
        <v/>
      </c>
      <c r="H2872" s="68" t="inlineStr">
        <is>
          <t>DefRatio</t>
        </is>
      </c>
      <c r="I2872" s="68">
        <f>G2872</f>
        <v/>
      </c>
    </row>
    <row r="2873">
      <c r="A2873" s="68">
        <f>B2873&amp;TEXT(C2873,"0000")</f>
        <v/>
      </c>
      <c r="B2873" s="68" t="n">
        <v>201</v>
      </c>
      <c r="C2873" s="68" t="n">
        <v>970</v>
      </c>
      <c r="D2873" s="68" t="inlineStr">
        <is>
          <t>HpRatio</t>
        </is>
      </c>
      <c r="E2873" s="68" t="n">
        <v>0</v>
      </c>
      <c r="F2873" s="68" t="inlineStr">
        <is>
          <t>AtkRatio</t>
        </is>
      </c>
      <c r="G2873" s="68">
        <f>INT(G2872*1.01)</f>
        <v/>
      </c>
      <c r="H2873" s="68" t="inlineStr">
        <is>
          <t>DefRatio</t>
        </is>
      </c>
      <c r="I2873" s="68">
        <f>G2873</f>
        <v/>
      </c>
    </row>
    <row r="2874">
      <c r="A2874" s="68">
        <f>B2874&amp;TEXT(C2874,"0000")</f>
        <v/>
      </c>
      <c r="B2874" s="68" t="n">
        <v>201</v>
      </c>
      <c r="C2874" s="68" t="n">
        <v>971</v>
      </c>
      <c r="D2874" s="68" t="inlineStr">
        <is>
          <t>HpRatio</t>
        </is>
      </c>
      <c r="E2874" s="68" t="n">
        <v>0</v>
      </c>
      <c r="F2874" s="68" t="inlineStr">
        <is>
          <t>AtkRatio</t>
        </is>
      </c>
      <c r="G2874" s="68">
        <f>INT(G2873*1.01)</f>
        <v/>
      </c>
      <c r="H2874" s="68" t="inlineStr">
        <is>
          <t>DefRatio</t>
        </is>
      </c>
      <c r="I2874" s="68">
        <f>G2874</f>
        <v/>
      </c>
    </row>
    <row r="2875">
      <c r="A2875" s="68">
        <f>B2875&amp;TEXT(C2875,"0000")</f>
        <v/>
      </c>
      <c r="B2875" s="68" t="n">
        <v>201</v>
      </c>
      <c r="C2875" s="68" t="n">
        <v>972</v>
      </c>
      <c r="D2875" s="68" t="inlineStr">
        <is>
          <t>HpRatio</t>
        </is>
      </c>
      <c r="E2875" s="68" t="n">
        <v>0</v>
      </c>
      <c r="F2875" s="68" t="inlineStr">
        <is>
          <t>AtkRatio</t>
        </is>
      </c>
      <c r="G2875" s="68">
        <f>INT(G2874*1.01)</f>
        <v/>
      </c>
      <c r="H2875" s="68" t="inlineStr">
        <is>
          <t>DefRatio</t>
        </is>
      </c>
      <c r="I2875" s="68">
        <f>G2875</f>
        <v/>
      </c>
    </row>
    <row r="2876">
      <c r="A2876" s="68">
        <f>B2876&amp;TEXT(C2876,"0000")</f>
        <v/>
      </c>
      <c r="B2876" s="68" t="n">
        <v>201</v>
      </c>
      <c r="C2876" s="68" t="n">
        <v>973</v>
      </c>
      <c r="D2876" s="68" t="inlineStr">
        <is>
          <t>HpRatio</t>
        </is>
      </c>
      <c r="E2876" s="68" t="n">
        <v>0</v>
      </c>
      <c r="F2876" s="68" t="inlineStr">
        <is>
          <t>AtkRatio</t>
        </is>
      </c>
      <c r="G2876" s="68">
        <f>INT(G2875*1.01)</f>
        <v/>
      </c>
      <c r="H2876" s="68" t="inlineStr">
        <is>
          <t>DefRatio</t>
        </is>
      </c>
      <c r="I2876" s="68">
        <f>G2876</f>
        <v/>
      </c>
    </row>
    <row r="2877">
      <c r="A2877" s="68">
        <f>B2877&amp;TEXT(C2877,"0000")</f>
        <v/>
      </c>
      <c r="B2877" s="68" t="n">
        <v>201</v>
      </c>
      <c r="C2877" s="68" t="n">
        <v>974</v>
      </c>
      <c r="D2877" s="68" t="inlineStr">
        <is>
          <t>HpRatio</t>
        </is>
      </c>
      <c r="E2877" s="68" t="n">
        <v>0</v>
      </c>
      <c r="F2877" s="68" t="inlineStr">
        <is>
          <t>AtkRatio</t>
        </is>
      </c>
      <c r="G2877" s="68">
        <f>INT(G2876*1.01)</f>
        <v/>
      </c>
      <c r="H2877" s="68" t="inlineStr">
        <is>
          <t>DefRatio</t>
        </is>
      </c>
      <c r="I2877" s="68">
        <f>G2877</f>
        <v/>
      </c>
    </row>
    <row r="2878">
      <c r="A2878" s="68">
        <f>B2878&amp;TEXT(C2878,"0000")</f>
        <v/>
      </c>
      <c r="B2878" s="68" t="n">
        <v>201</v>
      </c>
      <c r="C2878" s="68" t="n">
        <v>975</v>
      </c>
      <c r="D2878" s="68" t="inlineStr">
        <is>
          <t>HpRatio</t>
        </is>
      </c>
      <c r="E2878" s="68" t="n">
        <v>0</v>
      </c>
      <c r="F2878" s="68" t="inlineStr">
        <is>
          <t>AtkRatio</t>
        </is>
      </c>
      <c r="G2878" s="68">
        <f>INT(G2877*1.01)</f>
        <v/>
      </c>
      <c r="H2878" s="68" t="inlineStr">
        <is>
          <t>DefRatio</t>
        </is>
      </c>
      <c r="I2878" s="68">
        <f>G2878</f>
        <v/>
      </c>
    </row>
    <row r="2879">
      <c r="A2879" s="68">
        <f>B2879&amp;TEXT(C2879,"0000")</f>
        <v/>
      </c>
      <c r="B2879" s="68" t="n">
        <v>201</v>
      </c>
      <c r="C2879" s="68" t="n">
        <v>976</v>
      </c>
      <c r="D2879" s="68" t="inlineStr">
        <is>
          <t>HpRatio</t>
        </is>
      </c>
      <c r="E2879" s="68" t="n">
        <v>0</v>
      </c>
      <c r="F2879" s="68" t="inlineStr">
        <is>
          <t>AtkRatio</t>
        </is>
      </c>
      <c r="G2879" s="68">
        <f>INT(G2878*1.01)</f>
        <v/>
      </c>
      <c r="H2879" s="68" t="inlineStr">
        <is>
          <t>DefRatio</t>
        </is>
      </c>
      <c r="I2879" s="68">
        <f>G2879</f>
        <v/>
      </c>
    </row>
    <row r="2880">
      <c r="A2880" s="68">
        <f>B2880&amp;TEXT(C2880,"0000")</f>
        <v/>
      </c>
      <c r="B2880" s="68" t="n">
        <v>201</v>
      </c>
      <c r="C2880" s="68" t="n">
        <v>977</v>
      </c>
      <c r="D2880" s="68" t="inlineStr">
        <is>
          <t>HpRatio</t>
        </is>
      </c>
      <c r="E2880" s="68" t="n">
        <v>0</v>
      </c>
      <c r="F2880" s="68" t="inlineStr">
        <is>
          <t>AtkRatio</t>
        </is>
      </c>
      <c r="G2880" s="68">
        <f>INT(G2879*1.01)</f>
        <v/>
      </c>
      <c r="H2880" s="68" t="inlineStr">
        <is>
          <t>DefRatio</t>
        </is>
      </c>
      <c r="I2880" s="68">
        <f>G2880</f>
        <v/>
      </c>
    </row>
    <row r="2881">
      <c r="A2881" s="68">
        <f>B2881&amp;TEXT(C2881,"0000")</f>
        <v/>
      </c>
      <c r="B2881" s="68" t="n">
        <v>201</v>
      </c>
      <c r="C2881" s="68" t="n">
        <v>978</v>
      </c>
      <c r="D2881" s="68" t="inlineStr">
        <is>
          <t>HpRatio</t>
        </is>
      </c>
      <c r="E2881" s="68" t="n">
        <v>0</v>
      </c>
      <c r="F2881" s="68" t="inlineStr">
        <is>
          <t>AtkRatio</t>
        </is>
      </c>
      <c r="G2881" s="68">
        <f>INT(G2880*1.01)</f>
        <v/>
      </c>
      <c r="H2881" s="68" t="inlineStr">
        <is>
          <t>DefRatio</t>
        </is>
      </c>
      <c r="I2881" s="68">
        <f>G2881</f>
        <v/>
      </c>
    </row>
    <row r="2882">
      <c r="A2882" s="68">
        <f>B2882&amp;TEXT(C2882,"0000")</f>
        <v/>
      </c>
      <c r="B2882" s="68" t="n">
        <v>201</v>
      </c>
      <c r="C2882" s="68" t="n">
        <v>979</v>
      </c>
      <c r="D2882" s="68" t="inlineStr">
        <is>
          <t>HpRatio</t>
        </is>
      </c>
      <c r="E2882" s="68" t="n">
        <v>0</v>
      </c>
      <c r="F2882" s="68" t="inlineStr">
        <is>
          <t>AtkRatio</t>
        </is>
      </c>
      <c r="G2882" s="68">
        <f>INT(G2881*1.01)</f>
        <v/>
      </c>
      <c r="H2882" s="68" t="inlineStr">
        <is>
          <t>DefRatio</t>
        </is>
      </c>
      <c r="I2882" s="68">
        <f>G2882</f>
        <v/>
      </c>
    </row>
    <row r="2883">
      <c r="A2883" s="68">
        <f>B2883&amp;TEXT(C2883,"0000")</f>
        <v/>
      </c>
      <c r="B2883" s="68" t="n">
        <v>201</v>
      </c>
      <c r="C2883" s="68" t="n">
        <v>980</v>
      </c>
      <c r="D2883" s="68" t="inlineStr">
        <is>
          <t>HpRatio</t>
        </is>
      </c>
      <c r="E2883" s="68" t="n">
        <v>0</v>
      </c>
      <c r="F2883" s="68" t="inlineStr">
        <is>
          <t>AtkRatio</t>
        </is>
      </c>
      <c r="G2883" s="68">
        <f>INT(G2882*1.01)</f>
        <v/>
      </c>
      <c r="H2883" s="68" t="inlineStr">
        <is>
          <t>DefRatio</t>
        </is>
      </c>
      <c r="I2883" s="68">
        <f>G2883</f>
        <v/>
      </c>
    </row>
    <row r="2884">
      <c r="A2884" s="68">
        <f>B2884&amp;TEXT(C2884,"0000")</f>
        <v/>
      </c>
      <c r="B2884" s="68" t="n">
        <v>201</v>
      </c>
      <c r="C2884" s="68" t="n">
        <v>981</v>
      </c>
      <c r="D2884" s="68" t="inlineStr">
        <is>
          <t>HpRatio</t>
        </is>
      </c>
      <c r="E2884" s="68" t="n">
        <v>0</v>
      </c>
      <c r="F2884" s="68" t="inlineStr">
        <is>
          <t>AtkRatio</t>
        </is>
      </c>
      <c r="G2884" s="68">
        <f>INT(G2883*1.01)</f>
        <v/>
      </c>
      <c r="H2884" s="68" t="inlineStr">
        <is>
          <t>DefRatio</t>
        </is>
      </c>
      <c r="I2884" s="68">
        <f>G2884</f>
        <v/>
      </c>
    </row>
    <row r="2885">
      <c r="A2885" s="68">
        <f>B2885&amp;TEXT(C2885,"0000")</f>
        <v/>
      </c>
      <c r="B2885" s="68" t="n">
        <v>201</v>
      </c>
      <c r="C2885" s="68" t="n">
        <v>982</v>
      </c>
      <c r="D2885" s="68" t="inlineStr">
        <is>
          <t>HpRatio</t>
        </is>
      </c>
      <c r="E2885" s="68" t="n">
        <v>0</v>
      </c>
      <c r="F2885" s="68" t="inlineStr">
        <is>
          <t>AtkRatio</t>
        </is>
      </c>
      <c r="G2885" s="68">
        <f>INT(G2884*1.01)</f>
        <v/>
      </c>
      <c r="H2885" s="68" t="inlineStr">
        <is>
          <t>DefRatio</t>
        </is>
      </c>
      <c r="I2885" s="68">
        <f>G2885</f>
        <v/>
      </c>
    </row>
    <row r="2886">
      <c r="A2886" s="68">
        <f>B2886&amp;TEXT(C2886,"0000")</f>
        <v/>
      </c>
      <c r="B2886" s="68" t="n">
        <v>201</v>
      </c>
      <c r="C2886" s="68" t="n">
        <v>983</v>
      </c>
      <c r="D2886" s="68" t="inlineStr">
        <is>
          <t>HpRatio</t>
        </is>
      </c>
      <c r="E2886" s="68" t="n">
        <v>0</v>
      </c>
      <c r="F2886" s="68" t="inlineStr">
        <is>
          <t>AtkRatio</t>
        </is>
      </c>
      <c r="G2886" s="68">
        <f>INT(G2885*1.01)</f>
        <v/>
      </c>
      <c r="H2886" s="68" t="inlineStr">
        <is>
          <t>DefRatio</t>
        </is>
      </c>
      <c r="I2886" s="68">
        <f>G2886</f>
        <v/>
      </c>
    </row>
    <row r="2887">
      <c r="A2887" s="68">
        <f>B2887&amp;TEXT(C2887,"0000")</f>
        <v/>
      </c>
      <c r="B2887" s="68" t="n">
        <v>201</v>
      </c>
      <c r="C2887" s="68" t="n">
        <v>984</v>
      </c>
      <c r="D2887" s="68" t="inlineStr">
        <is>
          <t>HpRatio</t>
        </is>
      </c>
      <c r="E2887" s="68" t="n">
        <v>0</v>
      </c>
      <c r="F2887" s="68" t="inlineStr">
        <is>
          <t>AtkRatio</t>
        </is>
      </c>
      <c r="G2887" s="68">
        <f>INT(G2886*1.01)</f>
        <v/>
      </c>
      <c r="H2887" s="68" t="inlineStr">
        <is>
          <t>DefRatio</t>
        </is>
      </c>
      <c r="I2887" s="68">
        <f>G2887</f>
        <v/>
      </c>
    </row>
    <row r="2888">
      <c r="A2888" s="68">
        <f>B2888&amp;TEXT(C2888,"0000")</f>
        <v/>
      </c>
      <c r="B2888" s="68" t="n">
        <v>201</v>
      </c>
      <c r="C2888" s="68" t="n">
        <v>985</v>
      </c>
      <c r="D2888" s="68" t="inlineStr">
        <is>
          <t>HpRatio</t>
        </is>
      </c>
      <c r="E2888" s="68" t="n">
        <v>0</v>
      </c>
      <c r="F2888" s="68" t="inlineStr">
        <is>
          <t>AtkRatio</t>
        </is>
      </c>
      <c r="G2888" s="68">
        <f>INT(G2887*1.01)</f>
        <v/>
      </c>
      <c r="H2888" s="68" t="inlineStr">
        <is>
          <t>DefRatio</t>
        </is>
      </c>
      <c r="I2888" s="68">
        <f>G2888</f>
        <v/>
      </c>
    </row>
    <row r="2889">
      <c r="A2889" s="68">
        <f>B2889&amp;TEXT(C2889,"0000")</f>
        <v/>
      </c>
      <c r="B2889" s="68" t="n">
        <v>201</v>
      </c>
      <c r="C2889" s="68" t="n">
        <v>986</v>
      </c>
      <c r="D2889" s="68" t="inlineStr">
        <is>
          <t>HpRatio</t>
        </is>
      </c>
      <c r="E2889" s="68" t="n">
        <v>0</v>
      </c>
      <c r="F2889" s="68" t="inlineStr">
        <is>
          <t>AtkRatio</t>
        </is>
      </c>
      <c r="G2889" s="68">
        <f>INT(G2888*1.01)</f>
        <v/>
      </c>
      <c r="H2889" s="68" t="inlineStr">
        <is>
          <t>DefRatio</t>
        </is>
      </c>
      <c r="I2889" s="68">
        <f>G2889</f>
        <v/>
      </c>
    </row>
    <row r="2890">
      <c r="A2890" s="68">
        <f>B2890&amp;TEXT(C2890,"0000")</f>
        <v/>
      </c>
      <c r="B2890" s="68" t="n">
        <v>201</v>
      </c>
      <c r="C2890" s="68" t="n">
        <v>987</v>
      </c>
      <c r="D2890" s="68" t="inlineStr">
        <is>
          <t>HpRatio</t>
        </is>
      </c>
      <c r="E2890" s="68" t="n">
        <v>0</v>
      </c>
      <c r="F2890" s="68" t="inlineStr">
        <is>
          <t>AtkRatio</t>
        </is>
      </c>
      <c r="G2890" s="68">
        <f>INT(G2889*1.01)</f>
        <v/>
      </c>
      <c r="H2890" s="68" t="inlineStr">
        <is>
          <t>DefRatio</t>
        </is>
      </c>
      <c r="I2890" s="68">
        <f>G2890</f>
        <v/>
      </c>
    </row>
    <row r="2891">
      <c r="A2891" s="68">
        <f>B2891&amp;TEXT(C2891,"0000")</f>
        <v/>
      </c>
      <c r="B2891" s="68" t="n">
        <v>201</v>
      </c>
      <c r="C2891" s="68" t="n">
        <v>988</v>
      </c>
      <c r="D2891" s="68" t="inlineStr">
        <is>
          <t>HpRatio</t>
        </is>
      </c>
      <c r="E2891" s="68" t="n">
        <v>0</v>
      </c>
      <c r="F2891" s="68" t="inlineStr">
        <is>
          <t>AtkRatio</t>
        </is>
      </c>
      <c r="G2891" s="68">
        <f>INT(G2890*1.01)</f>
        <v/>
      </c>
      <c r="H2891" s="68" t="inlineStr">
        <is>
          <t>DefRatio</t>
        </is>
      </c>
      <c r="I2891" s="68">
        <f>G2891</f>
        <v/>
      </c>
    </row>
    <row r="2892">
      <c r="A2892" s="68">
        <f>B2892&amp;TEXT(C2892,"0000")</f>
        <v/>
      </c>
      <c r="B2892" s="68" t="n">
        <v>201</v>
      </c>
      <c r="C2892" s="68" t="n">
        <v>989</v>
      </c>
      <c r="D2892" s="68" t="inlineStr">
        <is>
          <t>HpRatio</t>
        </is>
      </c>
      <c r="E2892" s="68" t="n">
        <v>0</v>
      </c>
      <c r="F2892" s="68" t="inlineStr">
        <is>
          <t>AtkRatio</t>
        </is>
      </c>
      <c r="G2892" s="68">
        <f>INT(G2891*1.01)</f>
        <v/>
      </c>
      <c r="H2892" s="68" t="inlineStr">
        <is>
          <t>DefRatio</t>
        </is>
      </c>
      <c r="I2892" s="68">
        <f>G2892</f>
        <v/>
      </c>
    </row>
    <row r="2893">
      <c r="A2893" s="68">
        <f>B2893&amp;TEXT(C2893,"0000")</f>
        <v/>
      </c>
      <c r="B2893" s="68" t="n">
        <v>201</v>
      </c>
      <c r="C2893" s="68" t="n">
        <v>990</v>
      </c>
      <c r="D2893" s="68" t="inlineStr">
        <is>
          <t>HpRatio</t>
        </is>
      </c>
      <c r="E2893" s="68" t="n">
        <v>0</v>
      </c>
      <c r="F2893" s="68" t="inlineStr">
        <is>
          <t>AtkRatio</t>
        </is>
      </c>
      <c r="G2893" s="68">
        <f>INT(G2892*1.01)</f>
        <v/>
      </c>
      <c r="H2893" s="68" t="inlineStr">
        <is>
          <t>DefRatio</t>
        </is>
      </c>
      <c r="I2893" s="68">
        <f>G2893</f>
        <v/>
      </c>
    </row>
    <row r="2894">
      <c r="A2894" s="68">
        <f>B2894&amp;TEXT(C2894,"0000")</f>
        <v/>
      </c>
      <c r="B2894" s="68" t="n">
        <v>201</v>
      </c>
      <c r="C2894" s="68" t="n">
        <v>991</v>
      </c>
      <c r="D2894" s="68" t="inlineStr">
        <is>
          <t>HpRatio</t>
        </is>
      </c>
      <c r="E2894" s="68" t="n">
        <v>0</v>
      </c>
      <c r="F2894" s="68" t="inlineStr">
        <is>
          <t>AtkRatio</t>
        </is>
      </c>
      <c r="G2894" s="68">
        <f>INT(G2893*1.01)</f>
        <v/>
      </c>
      <c r="H2894" s="68" t="inlineStr">
        <is>
          <t>DefRatio</t>
        </is>
      </c>
      <c r="I2894" s="68">
        <f>G2894</f>
        <v/>
      </c>
    </row>
    <row r="2895">
      <c r="A2895" s="68">
        <f>B2895&amp;TEXT(C2895,"0000")</f>
        <v/>
      </c>
      <c r="B2895" s="68" t="n">
        <v>201</v>
      </c>
      <c r="C2895" s="68" t="n">
        <v>992</v>
      </c>
      <c r="D2895" s="68" t="inlineStr">
        <is>
          <t>HpRatio</t>
        </is>
      </c>
      <c r="E2895" s="68" t="n">
        <v>0</v>
      </c>
      <c r="F2895" s="68" t="inlineStr">
        <is>
          <t>AtkRatio</t>
        </is>
      </c>
      <c r="G2895" s="68">
        <f>INT(G2894*1.01)</f>
        <v/>
      </c>
      <c r="H2895" s="68" t="inlineStr">
        <is>
          <t>DefRatio</t>
        </is>
      </c>
      <c r="I2895" s="68">
        <f>G2895</f>
        <v/>
      </c>
    </row>
    <row r="2896">
      <c r="A2896" s="68">
        <f>B2896&amp;TEXT(C2896,"0000")</f>
        <v/>
      </c>
      <c r="B2896" s="68" t="n">
        <v>201</v>
      </c>
      <c r="C2896" s="68" t="n">
        <v>993</v>
      </c>
      <c r="D2896" s="68" t="inlineStr">
        <is>
          <t>HpRatio</t>
        </is>
      </c>
      <c r="E2896" s="68" t="n">
        <v>0</v>
      </c>
      <c r="F2896" s="68" t="inlineStr">
        <is>
          <t>AtkRatio</t>
        </is>
      </c>
      <c r="G2896" s="68">
        <f>INT(G2895*1.01)</f>
        <v/>
      </c>
      <c r="H2896" s="68" t="inlineStr">
        <is>
          <t>DefRatio</t>
        </is>
      </c>
      <c r="I2896" s="68">
        <f>G2896</f>
        <v/>
      </c>
    </row>
    <row r="2897">
      <c r="A2897" s="68">
        <f>B2897&amp;TEXT(C2897,"0000")</f>
        <v/>
      </c>
      <c r="B2897" s="68" t="n">
        <v>201</v>
      </c>
      <c r="C2897" s="68" t="n">
        <v>994</v>
      </c>
      <c r="D2897" s="68" t="inlineStr">
        <is>
          <t>HpRatio</t>
        </is>
      </c>
      <c r="E2897" s="68" t="n">
        <v>0</v>
      </c>
      <c r="F2897" s="68" t="inlineStr">
        <is>
          <t>AtkRatio</t>
        </is>
      </c>
      <c r="G2897" s="68">
        <f>INT(G2896*1.01)</f>
        <v/>
      </c>
      <c r="H2897" s="68" t="inlineStr">
        <is>
          <t>DefRatio</t>
        </is>
      </c>
      <c r="I2897" s="68">
        <f>G2897</f>
        <v/>
      </c>
    </row>
    <row r="2898">
      <c r="A2898" s="68">
        <f>B2898&amp;TEXT(C2898,"0000")</f>
        <v/>
      </c>
      <c r="B2898" s="68" t="n">
        <v>201</v>
      </c>
      <c r="C2898" s="68" t="n">
        <v>995</v>
      </c>
      <c r="D2898" s="68" t="inlineStr">
        <is>
          <t>HpRatio</t>
        </is>
      </c>
      <c r="E2898" s="68" t="n">
        <v>0</v>
      </c>
      <c r="F2898" s="68" t="inlineStr">
        <is>
          <t>AtkRatio</t>
        </is>
      </c>
      <c r="G2898" s="68">
        <f>INT(G2897*1.01)</f>
        <v/>
      </c>
      <c r="H2898" s="68" t="inlineStr">
        <is>
          <t>DefRatio</t>
        </is>
      </c>
      <c r="I2898" s="68">
        <f>G2898</f>
        <v/>
      </c>
    </row>
    <row r="2899">
      <c r="A2899" s="68">
        <f>B2899&amp;TEXT(C2899,"0000")</f>
        <v/>
      </c>
      <c r="B2899" s="68" t="n">
        <v>201</v>
      </c>
      <c r="C2899" s="68" t="n">
        <v>996</v>
      </c>
      <c r="D2899" s="68" t="inlineStr">
        <is>
          <t>HpRatio</t>
        </is>
      </c>
      <c r="E2899" s="68" t="n">
        <v>0</v>
      </c>
      <c r="F2899" s="68" t="inlineStr">
        <is>
          <t>AtkRatio</t>
        </is>
      </c>
      <c r="G2899" s="68">
        <f>INT(G2898*1.01)</f>
        <v/>
      </c>
      <c r="H2899" s="68" t="inlineStr">
        <is>
          <t>DefRatio</t>
        </is>
      </c>
      <c r="I2899" s="68">
        <f>G2899</f>
        <v/>
      </c>
    </row>
    <row r="2900">
      <c r="A2900" s="68">
        <f>B2900&amp;TEXT(C2900,"0000")</f>
        <v/>
      </c>
      <c r="B2900" s="68" t="n">
        <v>201</v>
      </c>
      <c r="C2900" s="68" t="n">
        <v>997</v>
      </c>
      <c r="D2900" s="68" t="inlineStr">
        <is>
          <t>HpRatio</t>
        </is>
      </c>
      <c r="E2900" s="68" t="n">
        <v>0</v>
      </c>
      <c r="F2900" s="68" t="inlineStr">
        <is>
          <t>AtkRatio</t>
        </is>
      </c>
      <c r="G2900" s="68">
        <f>INT(G2899*1.01)</f>
        <v/>
      </c>
      <c r="H2900" s="68" t="inlineStr">
        <is>
          <t>DefRatio</t>
        </is>
      </c>
      <c r="I2900" s="68">
        <f>G2900</f>
        <v/>
      </c>
    </row>
    <row r="2901">
      <c r="A2901" s="68">
        <f>B2901&amp;TEXT(C2901,"0000")</f>
        <v/>
      </c>
      <c r="B2901" s="68" t="n">
        <v>201</v>
      </c>
      <c r="C2901" s="68" t="n">
        <v>998</v>
      </c>
      <c r="D2901" s="68" t="inlineStr">
        <is>
          <t>HpRatio</t>
        </is>
      </c>
      <c r="E2901" s="68" t="n">
        <v>0</v>
      </c>
      <c r="F2901" s="68" t="inlineStr">
        <is>
          <t>AtkRatio</t>
        </is>
      </c>
      <c r="G2901" s="68">
        <f>INT(G2900*1.01)</f>
        <v/>
      </c>
      <c r="H2901" s="68" t="inlineStr">
        <is>
          <t>DefRatio</t>
        </is>
      </c>
      <c r="I2901" s="68">
        <f>G2901</f>
        <v/>
      </c>
    </row>
    <row r="2902">
      <c r="A2902" s="68">
        <f>B2902&amp;TEXT(C2902,"0000")</f>
        <v/>
      </c>
      <c r="B2902" s="68" t="n">
        <v>201</v>
      </c>
      <c r="C2902" s="68" t="n">
        <v>999</v>
      </c>
      <c r="D2902" s="68" t="inlineStr">
        <is>
          <t>HpRatio</t>
        </is>
      </c>
      <c r="E2902" s="68" t="n">
        <v>0</v>
      </c>
      <c r="F2902" s="68" t="inlineStr">
        <is>
          <t>AtkRatio</t>
        </is>
      </c>
      <c r="G2902" s="68">
        <f>INT(G2901*1.01)</f>
        <v/>
      </c>
      <c r="H2902" s="68" t="inlineStr">
        <is>
          <t>DefRatio</t>
        </is>
      </c>
      <c r="I2902" s="68">
        <f>G2902</f>
        <v/>
      </c>
    </row>
    <row r="2903">
      <c r="A2903" s="68">
        <f>B2903&amp;TEXT(C2903,"0000")</f>
        <v/>
      </c>
      <c r="B2903" s="68" t="n">
        <v>201</v>
      </c>
      <c r="C2903" s="68" t="n">
        <v>1000</v>
      </c>
      <c r="D2903" s="68" t="inlineStr">
        <is>
          <t>HpRatio</t>
        </is>
      </c>
      <c r="E2903" s="68" t="n">
        <v>0</v>
      </c>
      <c r="F2903" s="68" t="inlineStr">
        <is>
          <t>AtkRatio</t>
        </is>
      </c>
      <c r="G2903" s="68">
        <f>INT(G2902*1.01)</f>
        <v/>
      </c>
      <c r="H2903" s="68" t="inlineStr">
        <is>
          <t>DefRatio</t>
        </is>
      </c>
      <c r="I2903" s="68">
        <f>G2903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3"/>
  <sheetViews>
    <sheetView zoomScaleNormal="100" workbookViewId="0">
      <pane ySplit="3" topLeftCell="A4" activePane="bottomLeft" state="frozen"/>
      <selection pane="bottomLeft" activeCell="C5" sqref="C5"/>
    </sheetView>
  </sheetViews>
  <sheetFormatPr baseColWidth="8" defaultRowHeight="16.5"/>
  <cols>
    <col width="9" customWidth="1" style="68" min="1" max="2"/>
    <col width="18" bestFit="1" customWidth="1" style="66" min="3" max="3"/>
    <col width="8.625" bestFit="1" customWidth="1" style="66" min="4" max="4"/>
    <col width="11.25" bestFit="1" customWidth="1" style="68" min="5" max="5"/>
  </cols>
  <sheetData>
    <row r="1">
      <c r="A1" s="21" t="inlineStr">
        <is>
          <t>Id</t>
        </is>
      </c>
      <c r="B1" s="21" t="inlineStr">
        <is>
          <t>Level</t>
        </is>
      </c>
      <c r="C1" s="21" t="inlineStr">
        <is>
          <t>RequireCategoryType</t>
        </is>
      </c>
      <c r="D1" s="21" t="inlineStr">
        <is>
          <t>RequireId</t>
        </is>
      </c>
      <c r="E1" s="21" t="inlineStr">
        <is>
          <t>RequireValue</t>
        </is>
      </c>
    </row>
    <row r="4">
      <c r="A4" s="68" t="n">
        <v>1</v>
      </c>
      <c r="B4" s="68" t="n">
        <v>1</v>
      </c>
      <c r="C4" s="68" t="inlineStr">
        <is>
          <t>Item</t>
        </is>
      </c>
      <c r="D4" s="68" t="n">
        <v>3</v>
      </c>
      <c r="E4" s="68" t="n">
        <v>919</v>
      </c>
    </row>
    <row r="5">
      <c r="A5" s="68" t="n">
        <v>2</v>
      </c>
      <c r="B5" s="68" t="n">
        <v>2</v>
      </c>
      <c r="C5" s="68" t="inlineStr">
        <is>
          <t>Item</t>
        </is>
      </c>
      <c r="D5" s="68" t="n">
        <v>3</v>
      </c>
      <c r="E5" s="68" t="n">
        <v>995</v>
      </c>
    </row>
    <row r="6">
      <c r="A6" s="68" t="n">
        <v>3</v>
      </c>
      <c r="B6" s="68" t="n">
        <v>3</v>
      </c>
      <c r="C6" s="68" t="inlineStr">
        <is>
          <t>Item</t>
        </is>
      </c>
      <c r="D6" s="68" t="n">
        <v>3</v>
      </c>
      <c r="E6" s="68" t="n">
        <v>1080</v>
      </c>
    </row>
    <row r="7">
      <c r="A7" s="68" t="n">
        <v>4</v>
      </c>
      <c r="B7" s="68" t="n">
        <v>4</v>
      </c>
      <c r="C7" s="68" t="inlineStr">
        <is>
          <t>Item</t>
        </is>
      </c>
      <c r="D7" s="68" t="n">
        <v>3</v>
      </c>
      <c r="E7" s="68" t="n">
        <v>1172</v>
      </c>
    </row>
    <row r="8">
      <c r="A8" s="68" t="n">
        <v>5</v>
      </c>
      <c r="B8" s="68" t="n">
        <v>5</v>
      </c>
      <c r="C8" s="68" t="inlineStr">
        <is>
          <t>Item</t>
        </is>
      </c>
      <c r="D8" s="68" t="n">
        <v>3</v>
      </c>
      <c r="E8" s="68" t="n">
        <v>1274</v>
      </c>
    </row>
    <row r="9">
      <c r="A9" s="68" t="n">
        <v>6</v>
      </c>
      <c r="B9" s="68" t="n">
        <v>6</v>
      </c>
      <c r="C9" s="68" t="inlineStr">
        <is>
          <t>Item</t>
        </is>
      </c>
      <c r="D9" s="68" t="n">
        <v>3</v>
      </c>
      <c r="E9" s="68" t="n">
        <v>1385</v>
      </c>
    </row>
    <row r="10">
      <c r="A10" s="68" t="n">
        <v>7</v>
      </c>
      <c r="B10" s="68" t="n">
        <v>7</v>
      </c>
      <c r="C10" s="68" t="inlineStr">
        <is>
          <t>Item</t>
        </is>
      </c>
      <c r="D10" s="68" t="n">
        <v>3</v>
      </c>
      <c r="E10" s="68" t="n">
        <v>1506</v>
      </c>
    </row>
    <row r="11">
      <c r="A11" s="68" t="n">
        <v>8</v>
      </c>
      <c r="B11" s="68" t="n">
        <v>8</v>
      </c>
      <c r="C11" s="68" t="inlineStr">
        <is>
          <t>Item</t>
        </is>
      </c>
      <c r="D11" s="68" t="n">
        <v>3</v>
      </c>
      <c r="E11" s="68" t="n">
        <v>1637</v>
      </c>
    </row>
    <row r="12">
      <c r="A12" s="68" t="n">
        <v>9</v>
      </c>
      <c r="B12" s="68" t="n">
        <v>9</v>
      </c>
      <c r="C12" s="68" t="inlineStr">
        <is>
          <t>Item</t>
        </is>
      </c>
      <c r="D12" s="68" t="n">
        <v>3</v>
      </c>
      <c r="E12" s="68" t="n">
        <v>1780</v>
      </c>
    </row>
    <row r="13">
      <c r="A13" s="68" t="n">
        <v>10</v>
      </c>
      <c r="B13" s="68" t="n">
        <v>10</v>
      </c>
      <c r="C13" s="68" t="inlineStr">
        <is>
          <t>Item</t>
        </is>
      </c>
      <c r="D13" s="68" t="n">
        <v>3</v>
      </c>
      <c r="E13" s="68" t="n">
        <v>1935</v>
      </c>
    </row>
    <row r="14">
      <c r="A14" s="68" t="n">
        <v>11</v>
      </c>
      <c r="B14" s="68" t="n">
        <v>11</v>
      </c>
      <c r="C14" s="68" t="inlineStr">
        <is>
          <t>Item</t>
        </is>
      </c>
      <c r="D14" s="68" t="n">
        <v>3</v>
      </c>
      <c r="E14" s="68" t="n">
        <v>2103</v>
      </c>
    </row>
    <row r="15">
      <c r="A15" s="68" t="n">
        <v>12</v>
      </c>
      <c r="B15" s="68" t="n">
        <v>12</v>
      </c>
      <c r="C15" s="68" t="inlineStr">
        <is>
          <t>Item</t>
        </is>
      </c>
      <c r="D15" s="68" t="n">
        <v>3</v>
      </c>
      <c r="E15" s="68" t="n">
        <v>2284</v>
      </c>
    </row>
    <row r="16">
      <c r="A16" s="68" t="n">
        <v>13</v>
      </c>
      <c r="B16" s="68" t="n">
        <v>13</v>
      </c>
      <c r="C16" s="68" t="inlineStr">
        <is>
          <t>Item</t>
        </is>
      </c>
      <c r="D16" s="68" t="n">
        <v>3</v>
      </c>
      <c r="E16" s="68" t="n">
        <v>2481</v>
      </c>
    </row>
    <row r="17">
      <c r="A17" s="68" t="n">
        <v>14</v>
      </c>
      <c r="B17" s="68" t="n">
        <v>14</v>
      </c>
      <c r="C17" s="68" t="inlineStr">
        <is>
          <t>Item</t>
        </is>
      </c>
      <c r="D17" s="68" t="n">
        <v>3</v>
      </c>
      <c r="E17" s="68" t="n">
        <v>2693</v>
      </c>
    </row>
    <row r="18">
      <c r="A18" s="68" t="n">
        <v>15</v>
      </c>
      <c r="B18" s="68" t="n">
        <v>15</v>
      </c>
      <c r="C18" s="68" t="inlineStr">
        <is>
          <t>Item</t>
        </is>
      </c>
      <c r="D18" s="68" t="n">
        <v>3</v>
      </c>
      <c r="E18" s="68" t="n">
        <v>2921</v>
      </c>
    </row>
    <row r="19">
      <c r="A19" s="68" t="n">
        <v>16</v>
      </c>
      <c r="B19" s="68" t="n">
        <v>16</v>
      </c>
      <c r="C19" s="68" t="inlineStr">
        <is>
          <t>Item</t>
        </is>
      </c>
      <c r="D19" s="68" t="n">
        <v>3</v>
      </c>
      <c r="E19" s="68" t="n">
        <v>3168</v>
      </c>
    </row>
    <row r="20">
      <c r="A20" s="68" t="n">
        <v>17</v>
      </c>
      <c r="B20" s="68" t="n">
        <v>17</v>
      </c>
      <c r="C20" s="68" t="inlineStr">
        <is>
          <t>Item</t>
        </is>
      </c>
      <c r="D20" s="68" t="n">
        <v>3</v>
      </c>
      <c r="E20" s="68" t="n">
        <v>3434</v>
      </c>
    </row>
    <row r="21">
      <c r="A21" s="68" t="n">
        <v>18</v>
      </c>
      <c r="B21" s="68" t="n">
        <v>18</v>
      </c>
      <c r="C21" s="68" t="inlineStr">
        <is>
          <t>Item</t>
        </is>
      </c>
      <c r="D21" s="68" t="n">
        <v>3</v>
      </c>
      <c r="E21" s="68" t="n">
        <v>3721</v>
      </c>
    </row>
    <row r="22">
      <c r="A22" s="68" t="n">
        <v>19</v>
      </c>
      <c r="B22" s="68" t="n">
        <v>19</v>
      </c>
      <c r="C22" s="68" t="inlineStr">
        <is>
          <t>Item</t>
        </is>
      </c>
      <c r="D22" s="68" t="n">
        <v>3</v>
      </c>
      <c r="E22" s="68" t="n">
        <v>4029</v>
      </c>
    </row>
    <row r="23">
      <c r="A23" s="68" t="n">
        <v>20</v>
      </c>
      <c r="B23" s="68" t="n">
        <v>20</v>
      </c>
      <c r="C23" s="68" t="inlineStr">
        <is>
          <t>Item</t>
        </is>
      </c>
      <c r="D23" s="68" t="n">
        <v>3</v>
      </c>
      <c r="E23" s="68" t="n">
        <v>4362</v>
      </c>
    </row>
    <row r="24">
      <c r="A24" s="68" t="n">
        <v>21</v>
      </c>
      <c r="B24" s="68" t="n">
        <v>21</v>
      </c>
      <c r="C24" s="68" t="inlineStr">
        <is>
          <t>Item</t>
        </is>
      </c>
      <c r="D24" s="68" t="n">
        <v>3</v>
      </c>
      <c r="E24" s="68" t="n">
        <v>4720</v>
      </c>
    </row>
    <row r="25">
      <c r="A25" s="68" t="n">
        <v>22</v>
      </c>
      <c r="B25" s="68" t="n">
        <v>22</v>
      </c>
      <c r="C25" s="68" t="inlineStr">
        <is>
          <t>Item</t>
        </is>
      </c>
      <c r="D25" s="68" t="n">
        <v>3</v>
      </c>
      <c r="E25" s="68" t="n">
        <v>5105</v>
      </c>
    </row>
    <row r="26">
      <c r="A26" s="68" t="n">
        <v>23</v>
      </c>
      <c r="B26" s="68" t="n">
        <v>23</v>
      </c>
      <c r="C26" s="68" t="inlineStr">
        <is>
          <t>Item</t>
        </is>
      </c>
      <c r="D26" s="68" t="n">
        <v>3</v>
      </c>
      <c r="E26" s="68" t="n">
        <v>5520</v>
      </c>
    </row>
    <row r="27">
      <c r="A27" s="68" t="n">
        <v>24</v>
      </c>
      <c r="B27" s="68" t="n">
        <v>24</v>
      </c>
      <c r="C27" s="68" t="inlineStr">
        <is>
          <t>Item</t>
        </is>
      </c>
      <c r="D27" s="68" t="n">
        <v>3</v>
      </c>
      <c r="E27" s="68" t="n">
        <v>5966</v>
      </c>
    </row>
    <row r="28">
      <c r="A28" s="68" t="n">
        <v>25</v>
      </c>
      <c r="B28" s="68" t="n">
        <v>25</v>
      </c>
      <c r="C28" s="68" t="inlineStr">
        <is>
          <t>Item</t>
        </is>
      </c>
      <c r="D28" s="68" t="n">
        <v>3</v>
      </c>
      <c r="E28" s="68" t="n">
        <v>6446</v>
      </c>
    </row>
    <row r="29">
      <c r="A29" s="68" t="n">
        <v>26</v>
      </c>
      <c r="B29" s="68" t="n">
        <v>26</v>
      </c>
      <c r="C29" s="68" t="inlineStr">
        <is>
          <t>Item</t>
        </is>
      </c>
      <c r="D29" s="68" t="n">
        <v>3</v>
      </c>
      <c r="E29" s="68" t="n">
        <v>6963</v>
      </c>
    </row>
    <row r="30">
      <c r="A30" s="68" t="n">
        <v>27</v>
      </c>
      <c r="B30" s="68" t="n">
        <v>27</v>
      </c>
      <c r="C30" s="68" t="inlineStr">
        <is>
          <t>Item</t>
        </is>
      </c>
      <c r="D30" s="68" t="n">
        <v>3</v>
      </c>
      <c r="E30" s="68" t="n">
        <v>7519</v>
      </c>
    </row>
    <row r="31">
      <c r="A31" s="68" t="n">
        <v>28</v>
      </c>
      <c r="B31" s="68" t="n">
        <v>28</v>
      </c>
      <c r="C31" s="68" t="inlineStr">
        <is>
          <t>Item</t>
        </is>
      </c>
      <c r="D31" s="68" t="n">
        <v>3</v>
      </c>
      <c r="E31" s="68" t="n">
        <v>8117</v>
      </c>
    </row>
    <row r="32">
      <c r="A32" s="68" t="n">
        <v>29</v>
      </c>
      <c r="B32" s="68" t="n">
        <v>29</v>
      </c>
      <c r="C32" s="68" t="inlineStr">
        <is>
          <t>Item</t>
        </is>
      </c>
      <c r="D32" s="68" t="n">
        <v>3</v>
      </c>
      <c r="E32" s="68" t="n">
        <v>8761</v>
      </c>
    </row>
    <row r="33">
      <c r="A33" s="68" t="n">
        <v>30</v>
      </c>
      <c r="B33" s="68" t="n">
        <v>30</v>
      </c>
      <c r="C33" s="68" t="inlineStr">
        <is>
          <t>Item</t>
        </is>
      </c>
      <c r="D33" s="32" t="n">
        <v>3</v>
      </c>
      <c r="E33" s="68" t="n">
        <v>9453</v>
      </c>
    </row>
    <row r="34">
      <c r="A34" s="68" t="n">
        <v>31</v>
      </c>
      <c r="B34" s="68" t="n">
        <v>31</v>
      </c>
      <c r="C34" s="68" t="inlineStr">
        <is>
          <t>Item</t>
        </is>
      </c>
      <c r="D34" s="68" t="n">
        <v>3</v>
      </c>
      <c r="E34" s="68" t="n">
        <v>10199</v>
      </c>
    </row>
    <row r="35">
      <c r="A35" s="68" t="n">
        <v>32</v>
      </c>
      <c r="B35" s="68" t="n">
        <v>32</v>
      </c>
      <c r="C35" s="68" t="inlineStr">
        <is>
          <t>Item</t>
        </is>
      </c>
      <c r="D35" s="68" t="n">
        <v>3</v>
      </c>
      <c r="E35" s="68" t="n">
        <v>11001</v>
      </c>
    </row>
    <row r="36">
      <c r="A36" s="68" t="n">
        <v>33</v>
      </c>
      <c r="B36" s="68" t="n">
        <v>33</v>
      </c>
      <c r="C36" s="68" t="inlineStr">
        <is>
          <t>Item</t>
        </is>
      </c>
      <c r="D36" s="68" t="n">
        <v>3</v>
      </c>
      <c r="E36" s="68" t="n">
        <v>11864</v>
      </c>
    </row>
    <row r="37">
      <c r="A37" s="68" t="n">
        <v>34</v>
      </c>
      <c r="B37" s="68" t="n">
        <v>34</v>
      </c>
      <c r="C37" s="68" t="inlineStr">
        <is>
          <t>Item</t>
        </is>
      </c>
      <c r="D37" s="68" t="n">
        <v>3</v>
      </c>
      <c r="E37" s="68" t="n">
        <v>12793</v>
      </c>
    </row>
    <row r="38">
      <c r="A38" s="68" t="n">
        <v>35</v>
      </c>
      <c r="B38" s="68" t="n">
        <v>35</v>
      </c>
      <c r="C38" s="68" t="inlineStr">
        <is>
          <t>Item</t>
        </is>
      </c>
      <c r="D38" s="68" t="n">
        <v>3</v>
      </c>
      <c r="E38" s="68" t="n">
        <v>13793</v>
      </c>
    </row>
    <row r="39">
      <c r="A39" s="68" t="n">
        <v>36</v>
      </c>
      <c r="B39" s="68" t="n">
        <v>36</v>
      </c>
      <c r="C39" s="68" t="inlineStr">
        <is>
          <t>Item</t>
        </is>
      </c>
      <c r="D39" s="68" t="n">
        <v>3</v>
      </c>
      <c r="E39" s="68" t="n">
        <v>14869</v>
      </c>
    </row>
    <row r="40">
      <c r="A40" s="68" t="n">
        <v>37</v>
      </c>
      <c r="B40" s="68" t="n">
        <v>37</v>
      </c>
      <c r="C40" s="68" t="inlineStr">
        <is>
          <t>Item</t>
        </is>
      </c>
      <c r="D40" s="68" t="n">
        <v>3</v>
      </c>
      <c r="E40" s="68" t="n">
        <v>16028</v>
      </c>
    </row>
    <row r="41">
      <c r="A41" s="68" t="n">
        <v>38</v>
      </c>
      <c r="B41" s="68" t="n">
        <v>38</v>
      </c>
      <c r="C41" s="68" t="inlineStr">
        <is>
          <t>Item</t>
        </is>
      </c>
      <c r="D41" s="68" t="n">
        <v>3</v>
      </c>
      <c r="E41" s="68" t="n">
        <v>17275</v>
      </c>
    </row>
    <row r="42">
      <c r="A42" s="68" t="n">
        <v>39</v>
      </c>
      <c r="B42" s="68" t="n">
        <v>39</v>
      </c>
      <c r="C42" s="68" t="inlineStr">
        <is>
          <t>Item</t>
        </is>
      </c>
      <c r="D42" s="68" t="n">
        <v>3</v>
      </c>
      <c r="E42" s="68" t="n">
        <v>18619</v>
      </c>
    </row>
    <row r="43">
      <c r="A43" s="68" t="n">
        <v>40</v>
      </c>
      <c r="B43" s="68" t="n">
        <v>40</v>
      </c>
      <c r="C43" s="68" t="inlineStr">
        <is>
          <t>Item</t>
        </is>
      </c>
      <c r="D43" s="68" t="n">
        <v>3</v>
      </c>
      <c r="E43" s="68" t="n">
        <v>20066</v>
      </c>
    </row>
    <row r="44">
      <c r="A44" s="68" t="n">
        <v>41</v>
      </c>
      <c r="B44" s="68" t="n">
        <v>41</v>
      </c>
      <c r="C44" s="68" t="inlineStr">
        <is>
          <t>Item</t>
        </is>
      </c>
      <c r="D44" s="68" t="n">
        <v>3</v>
      </c>
      <c r="E44" s="68" t="n">
        <v>21624</v>
      </c>
    </row>
    <row r="45">
      <c r="A45" s="68" t="n">
        <v>42</v>
      </c>
      <c r="B45" s="68" t="n">
        <v>42</v>
      </c>
      <c r="C45" s="68" t="inlineStr">
        <is>
          <t>Item</t>
        </is>
      </c>
      <c r="D45" s="68" t="n">
        <v>3</v>
      </c>
      <c r="E45" s="68" t="n">
        <v>23303</v>
      </c>
    </row>
    <row r="46">
      <c r="A46" s="68" t="n">
        <v>43</v>
      </c>
      <c r="B46" s="68" t="n">
        <v>43</v>
      </c>
      <c r="C46" s="68" t="inlineStr">
        <is>
          <t>Item</t>
        </is>
      </c>
      <c r="D46" s="68" t="n">
        <v>3</v>
      </c>
      <c r="E46" s="68" t="n">
        <v>25111</v>
      </c>
    </row>
    <row r="47">
      <c r="A47" s="68" t="n">
        <v>44</v>
      </c>
      <c r="B47" s="68" t="n">
        <v>44</v>
      </c>
      <c r="C47" s="68" t="inlineStr">
        <is>
          <t>Item</t>
        </is>
      </c>
      <c r="D47" s="68" t="n">
        <v>3</v>
      </c>
      <c r="E47" s="68" t="n">
        <v>27059</v>
      </c>
    </row>
    <row r="48">
      <c r="A48" s="68" t="n">
        <v>45</v>
      </c>
      <c r="B48" s="68" t="n">
        <v>45</v>
      </c>
      <c r="C48" s="68" t="inlineStr">
        <is>
          <t>Item</t>
        </is>
      </c>
      <c r="D48" s="68" t="n">
        <v>3</v>
      </c>
      <c r="E48" s="68" t="n">
        <v>29157</v>
      </c>
    </row>
    <row r="49">
      <c r="A49" s="68" t="n">
        <v>46</v>
      </c>
      <c r="B49" s="68" t="n">
        <v>46</v>
      </c>
      <c r="C49" s="68" t="inlineStr">
        <is>
          <t>Item</t>
        </is>
      </c>
      <c r="D49" s="68" t="n">
        <v>3</v>
      </c>
      <c r="E49" s="68" t="n">
        <v>31419</v>
      </c>
    </row>
    <row r="50">
      <c r="A50" s="68" t="n">
        <v>47</v>
      </c>
      <c r="B50" s="68" t="n">
        <v>47</v>
      </c>
      <c r="C50" s="68" t="inlineStr">
        <is>
          <t>Item</t>
        </is>
      </c>
      <c r="D50" s="68" t="n">
        <v>3</v>
      </c>
      <c r="E50" s="68" t="n">
        <v>33856</v>
      </c>
    </row>
    <row r="51">
      <c r="A51" s="68" t="n">
        <v>48</v>
      </c>
      <c r="B51" s="68" t="n">
        <v>48</v>
      </c>
      <c r="C51" s="68" t="inlineStr">
        <is>
          <t>Item</t>
        </is>
      </c>
      <c r="D51" s="68" t="n">
        <v>3</v>
      </c>
      <c r="E51" s="68" t="n">
        <v>36483</v>
      </c>
    </row>
    <row r="52">
      <c r="A52" s="68" t="n">
        <v>49</v>
      </c>
      <c r="B52" s="68" t="n">
        <v>49</v>
      </c>
      <c r="C52" s="68" t="inlineStr">
        <is>
          <t>Item</t>
        </is>
      </c>
      <c r="D52" s="68" t="n">
        <v>3</v>
      </c>
      <c r="E52" s="68" t="n">
        <v>39314</v>
      </c>
    </row>
    <row r="53">
      <c r="A53" s="68" t="n">
        <v>50</v>
      </c>
      <c r="B53" s="68" t="n">
        <v>50</v>
      </c>
      <c r="C53" s="68" t="inlineStr">
        <is>
          <t>Item</t>
        </is>
      </c>
      <c r="D53" s="68" t="n">
        <v>3</v>
      </c>
      <c r="E53" s="68" t="n">
        <v>42366</v>
      </c>
    </row>
    <row r="54">
      <c r="A54" s="68" t="n">
        <v>51</v>
      </c>
      <c r="B54" s="68" t="n">
        <v>51</v>
      </c>
      <c r="C54" s="68" t="inlineStr">
        <is>
          <t>Item</t>
        </is>
      </c>
      <c r="D54" s="68" t="n">
        <v>3</v>
      </c>
      <c r="E54" s="68" t="n">
        <v>45657</v>
      </c>
    </row>
    <row r="55">
      <c r="A55" s="68" t="n">
        <v>52</v>
      </c>
      <c r="B55" s="68" t="n">
        <v>52</v>
      </c>
      <c r="C55" s="68" t="inlineStr">
        <is>
          <t>Item</t>
        </is>
      </c>
      <c r="D55" s="68" t="n">
        <v>3</v>
      </c>
      <c r="E55" s="68" t="n">
        <v>49204</v>
      </c>
    </row>
    <row r="56">
      <c r="A56" s="68" t="n">
        <v>53</v>
      </c>
      <c r="B56" s="68" t="n">
        <v>53</v>
      </c>
      <c r="C56" s="68" t="inlineStr">
        <is>
          <t>Item</t>
        </is>
      </c>
      <c r="D56" s="68" t="n">
        <v>3</v>
      </c>
      <c r="E56" s="68" t="n">
        <v>53029</v>
      </c>
    </row>
    <row r="57">
      <c r="A57" s="68" t="n">
        <v>54</v>
      </c>
      <c r="B57" s="68" t="n">
        <v>54</v>
      </c>
      <c r="C57" s="68" t="inlineStr">
        <is>
          <t>Item</t>
        </is>
      </c>
      <c r="D57" s="68" t="n">
        <v>3</v>
      </c>
      <c r="E57" s="68" t="n">
        <v>57154</v>
      </c>
    </row>
    <row r="58">
      <c r="A58" s="68" t="n">
        <v>55</v>
      </c>
      <c r="B58" s="68" t="n">
        <v>55</v>
      </c>
      <c r="C58" s="68" t="inlineStr">
        <is>
          <t>Item</t>
        </is>
      </c>
      <c r="D58" s="68" t="n">
        <v>3</v>
      </c>
      <c r="E58" s="68" t="n">
        <v>61602</v>
      </c>
    </row>
    <row r="59">
      <c r="A59" s="68" t="n">
        <v>56</v>
      </c>
      <c r="B59" s="68" t="n">
        <v>56</v>
      </c>
      <c r="C59" s="68" t="inlineStr">
        <is>
          <t>Item</t>
        </is>
      </c>
      <c r="D59" s="68" t="n">
        <v>3</v>
      </c>
      <c r="E59" s="68" t="n">
        <v>66399</v>
      </c>
    </row>
    <row r="60">
      <c r="A60" s="68" t="n">
        <v>57</v>
      </c>
      <c r="B60" s="68" t="n">
        <v>57</v>
      </c>
      <c r="C60" s="68" t="inlineStr">
        <is>
          <t>Item</t>
        </is>
      </c>
      <c r="D60" s="68" t="n">
        <v>3</v>
      </c>
      <c r="E60" s="68" t="n">
        <v>71573</v>
      </c>
    </row>
    <row r="61">
      <c r="A61" s="68" t="n">
        <v>58</v>
      </c>
      <c r="B61" s="68" t="n">
        <v>58</v>
      </c>
      <c r="C61" s="68" t="inlineStr">
        <is>
          <t>Item</t>
        </is>
      </c>
      <c r="D61" s="68" t="n">
        <v>3</v>
      </c>
      <c r="E61" s="68" t="n">
        <v>77154</v>
      </c>
    </row>
    <row r="62">
      <c r="A62" s="68" t="n">
        <v>59</v>
      </c>
      <c r="B62" s="68" t="n">
        <v>59</v>
      </c>
      <c r="C62" s="68" t="inlineStr">
        <is>
          <t>Item</t>
        </is>
      </c>
      <c r="D62" s="68" t="n">
        <v>3</v>
      </c>
      <c r="E62" s="68" t="n">
        <v>83174</v>
      </c>
    </row>
    <row r="63">
      <c r="A63" s="68" t="n">
        <v>60</v>
      </c>
      <c r="B63" s="68" t="n">
        <v>60</v>
      </c>
      <c r="C63" s="68" t="inlineStr">
        <is>
          <t>Item</t>
        </is>
      </c>
      <c r="D63" s="68" t="n">
        <v>3</v>
      </c>
      <c r="E63" s="68" t="n">
        <v>89669</v>
      </c>
    </row>
    <row r="64">
      <c r="A64" s="68" t="n">
        <v>61</v>
      </c>
      <c r="B64" s="68" t="n">
        <v>61</v>
      </c>
      <c r="C64" s="68" t="inlineStr">
        <is>
          <t>Item</t>
        </is>
      </c>
      <c r="D64" s="68" t="n">
        <v>3</v>
      </c>
      <c r="E64" s="68" t="n">
        <v>96675</v>
      </c>
    </row>
    <row r="65">
      <c r="A65" s="68" t="n">
        <v>62</v>
      </c>
      <c r="B65" s="68" t="n">
        <v>62</v>
      </c>
      <c r="C65" s="68" t="inlineStr">
        <is>
          <t>Item</t>
        </is>
      </c>
      <c r="D65" s="68" t="n">
        <v>3</v>
      </c>
      <c r="E65" s="68" t="n">
        <v>104234</v>
      </c>
    </row>
    <row r="66">
      <c r="A66" s="68" t="n">
        <v>63</v>
      </c>
      <c r="B66" s="68" t="n">
        <v>63</v>
      </c>
      <c r="C66" s="68" t="inlineStr">
        <is>
          <t>Item</t>
        </is>
      </c>
      <c r="D66" s="68" t="n">
        <v>3</v>
      </c>
      <c r="E66" s="68" t="n">
        <v>112391</v>
      </c>
    </row>
    <row r="67">
      <c r="A67" s="68" t="n">
        <v>64</v>
      </c>
      <c r="B67" s="68" t="n">
        <v>64</v>
      </c>
      <c r="C67" s="68" t="inlineStr">
        <is>
          <t>Item</t>
        </is>
      </c>
      <c r="D67" s="68" t="n">
        <v>3</v>
      </c>
      <c r="E67" s="68" t="n">
        <v>121191</v>
      </c>
    </row>
    <row r="68">
      <c r="A68" s="68" t="n">
        <v>65</v>
      </c>
      <c r="B68" s="68" t="n">
        <v>65</v>
      </c>
      <c r="C68" s="68" t="inlineStr">
        <is>
          <t>Item</t>
        </is>
      </c>
      <c r="D68" s="68" t="n">
        <v>3</v>
      </c>
      <c r="E68" s="68" t="n">
        <v>130688</v>
      </c>
    </row>
    <row r="69">
      <c r="A69" s="68" t="n">
        <v>66</v>
      </c>
      <c r="B69" s="68" t="n">
        <v>66</v>
      </c>
      <c r="C69" s="68" t="inlineStr">
        <is>
          <t>Item</t>
        </is>
      </c>
      <c r="D69" s="68" t="n">
        <v>3</v>
      </c>
      <c r="E69" s="68" t="n">
        <v>140936</v>
      </c>
    </row>
    <row r="70">
      <c r="A70" s="68" t="n">
        <v>67</v>
      </c>
      <c r="B70" s="68" t="n">
        <v>67</v>
      </c>
      <c r="C70" s="68" t="inlineStr">
        <is>
          <t>Item</t>
        </is>
      </c>
      <c r="D70" s="68" t="n">
        <v>3</v>
      </c>
      <c r="E70" s="68" t="n">
        <v>151995</v>
      </c>
    </row>
    <row r="71">
      <c r="A71" s="68" t="n">
        <v>68</v>
      </c>
      <c r="B71" s="68" t="n">
        <v>68</v>
      </c>
      <c r="C71" s="68" t="inlineStr">
        <is>
          <t>Item</t>
        </is>
      </c>
      <c r="D71" s="68" t="n">
        <v>3</v>
      </c>
      <c r="E71" s="68" t="n">
        <v>163931</v>
      </c>
    </row>
    <row r="72">
      <c r="A72" s="68" t="n">
        <v>69</v>
      </c>
      <c r="B72" s="68" t="n">
        <v>69</v>
      </c>
      <c r="C72" s="68" t="inlineStr">
        <is>
          <t>Item</t>
        </is>
      </c>
      <c r="D72" s="68" t="n">
        <v>3</v>
      </c>
      <c r="E72" s="68" t="n">
        <v>176812</v>
      </c>
    </row>
    <row r="73">
      <c r="A73" s="68" t="n">
        <v>70</v>
      </c>
      <c r="B73" s="68" t="n">
        <v>70</v>
      </c>
      <c r="C73" s="68" t="inlineStr">
        <is>
          <t>Item</t>
        </is>
      </c>
      <c r="D73" s="68" t="n">
        <v>3</v>
      </c>
      <c r="E73" s="68" t="n">
        <v>190715</v>
      </c>
    </row>
    <row r="74">
      <c r="A74" s="68" t="n">
        <v>71</v>
      </c>
      <c r="B74" s="68" t="n">
        <v>71</v>
      </c>
      <c r="C74" s="68" t="inlineStr">
        <is>
          <t>Item</t>
        </is>
      </c>
      <c r="D74" s="68" t="n">
        <v>3</v>
      </c>
      <c r="E74" s="68" t="n">
        <v>205722</v>
      </c>
    </row>
    <row r="75">
      <c r="A75" s="68" t="n">
        <v>72</v>
      </c>
      <c r="B75" s="68" t="n">
        <v>72</v>
      </c>
      <c r="C75" s="68" t="inlineStr">
        <is>
          <t>Item</t>
        </is>
      </c>
      <c r="D75" s="68" t="n">
        <v>3</v>
      </c>
      <c r="E75" s="68" t="n">
        <v>221919</v>
      </c>
    </row>
    <row r="76">
      <c r="A76" s="68" t="n">
        <v>73</v>
      </c>
      <c r="B76" s="68" t="n">
        <v>73</v>
      </c>
      <c r="C76" s="68" t="inlineStr">
        <is>
          <t>Item</t>
        </is>
      </c>
      <c r="D76" s="68" t="n">
        <v>3</v>
      </c>
      <c r="E76" s="68" t="n">
        <v>239403</v>
      </c>
    </row>
    <row r="77">
      <c r="A77" s="68" t="n">
        <v>74</v>
      </c>
      <c r="B77" s="68" t="n">
        <v>74</v>
      </c>
      <c r="C77" s="68" t="inlineStr">
        <is>
          <t>Item</t>
        </is>
      </c>
      <c r="D77" s="68" t="n">
        <v>3</v>
      </c>
      <c r="E77" s="68" t="n">
        <v>258276</v>
      </c>
    </row>
    <row r="78">
      <c r="A78" s="68" t="n">
        <v>75</v>
      </c>
      <c r="B78" s="68" t="n">
        <v>75</v>
      </c>
      <c r="C78" s="68" t="inlineStr">
        <is>
          <t>Item</t>
        </is>
      </c>
      <c r="D78" s="68" t="n">
        <v>3</v>
      </c>
      <c r="E78" s="68" t="n">
        <v>278649</v>
      </c>
    </row>
    <row r="79">
      <c r="A79" s="68" t="n">
        <v>76</v>
      </c>
      <c r="B79" s="68" t="n">
        <v>76</v>
      </c>
      <c r="C79" s="68" t="inlineStr">
        <is>
          <t>Item</t>
        </is>
      </c>
      <c r="D79" s="68" t="n">
        <v>3</v>
      </c>
      <c r="E79" s="68" t="n">
        <v>300642</v>
      </c>
    </row>
    <row r="80">
      <c r="A80" s="68" t="n">
        <v>77</v>
      </c>
      <c r="B80" s="68" t="n">
        <v>77</v>
      </c>
      <c r="C80" s="68" t="inlineStr">
        <is>
          <t>Item</t>
        </is>
      </c>
      <c r="D80" s="68" t="n">
        <v>3</v>
      </c>
      <c r="E80" s="68" t="n">
        <v>324384</v>
      </c>
    </row>
    <row r="81">
      <c r="A81" s="68" t="n">
        <v>78</v>
      </c>
      <c r="B81" s="68" t="n">
        <v>78</v>
      </c>
      <c r="C81" s="68" t="inlineStr">
        <is>
          <t>Item</t>
        </is>
      </c>
      <c r="D81" s="68" t="n">
        <v>3</v>
      </c>
      <c r="E81" s="68" t="n">
        <v>350015</v>
      </c>
    </row>
    <row r="82">
      <c r="A82" s="68" t="n">
        <v>79</v>
      </c>
      <c r="B82" s="68" t="n">
        <v>79</v>
      </c>
      <c r="C82" s="68" t="inlineStr">
        <is>
          <t>Item</t>
        </is>
      </c>
      <c r="D82" s="68" t="n">
        <v>3</v>
      </c>
      <c r="E82" s="68" t="n">
        <v>377687</v>
      </c>
    </row>
    <row r="83">
      <c r="A83" s="68" t="n">
        <v>80</v>
      </c>
      <c r="B83" s="68" t="n">
        <v>80</v>
      </c>
      <c r="C83" s="68" t="inlineStr">
        <is>
          <t>Item</t>
        </is>
      </c>
      <c r="D83" s="68" t="n">
        <v>3</v>
      </c>
      <c r="E83" s="68" t="n">
        <v>407562</v>
      </c>
    </row>
    <row r="84">
      <c r="A84" s="68" t="n">
        <v>81</v>
      </c>
      <c r="B84" s="68" t="n">
        <v>81</v>
      </c>
      <c r="C84" s="68" t="inlineStr">
        <is>
          <t>Item</t>
        </is>
      </c>
      <c r="D84" s="68" t="n">
        <v>3</v>
      </c>
      <c r="E84" s="68" t="n">
        <v>439816</v>
      </c>
    </row>
    <row r="85">
      <c r="A85" s="68" t="n">
        <v>82</v>
      </c>
      <c r="B85" s="68" t="n">
        <v>82</v>
      </c>
      <c r="C85" s="68" t="inlineStr">
        <is>
          <t>Item</t>
        </is>
      </c>
      <c r="D85" s="68" t="n">
        <v>3</v>
      </c>
      <c r="E85" s="68" t="n">
        <v>474639</v>
      </c>
    </row>
    <row r="86">
      <c r="A86" s="68" t="n">
        <v>83</v>
      </c>
      <c r="B86" s="68" t="n">
        <v>83</v>
      </c>
      <c r="C86" s="68" t="inlineStr">
        <is>
          <t>Item</t>
        </is>
      </c>
      <c r="D86" s="68" t="n">
        <v>3</v>
      </c>
      <c r="E86" s="68" t="n">
        <v>512237</v>
      </c>
    </row>
    <row r="87">
      <c r="A87" s="68" t="n">
        <v>84</v>
      </c>
      <c r="B87" s="68" t="n">
        <v>84</v>
      </c>
      <c r="C87" s="68" t="inlineStr">
        <is>
          <t>Item</t>
        </is>
      </c>
      <c r="D87" s="68" t="n">
        <v>3</v>
      </c>
      <c r="E87" s="68" t="n">
        <v>552832</v>
      </c>
    </row>
    <row r="88">
      <c r="A88" s="68" t="n">
        <v>85</v>
      </c>
      <c r="B88" s="68" t="n">
        <v>85</v>
      </c>
      <c r="C88" s="68" t="inlineStr">
        <is>
          <t>Item</t>
        </is>
      </c>
      <c r="D88" s="68" t="n">
        <v>3</v>
      </c>
      <c r="E88" s="68" t="n">
        <v>596663</v>
      </c>
    </row>
    <row r="89">
      <c r="A89" s="68" t="n">
        <v>86</v>
      </c>
      <c r="B89" s="68" t="n">
        <v>86</v>
      </c>
      <c r="C89" s="68" t="inlineStr">
        <is>
          <t>Item</t>
        </is>
      </c>
      <c r="D89" s="68" t="n">
        <v>3</v>
      </c>
      <c r="E89" s="68" t="n">
        <v>643989</v>
      </c>
    </row>
    <row r="90">
      <c r="A90" s="68" t="n">
        <v>87</v>
      </c>
      <c r="B90" s="68" t="n">
        <v>87</v>
      </c>
      <c r="C90" s="68" t="inlineStr">
        <is>
          <t>Item</t>
        </is>
      </c>
      <c r="D90" s="68" t="n">
        <v>3</v>
      </c>
      <c r="E90" s="68" t="n">
        <v>695090</v>
      </c>
    </row>
    <row r="91">
      <c r="A91" s="68" t="n">
        <v>88</v>
      </c>
      <c r="B91" s="68" t="n">
        <v>88</v>
      </c>
      <c r="C91" s="68" t="inlineStr">
        <is>
          <t>Item</t>
        </is>
      </c>
      <c r="D91" s="68" t="n">
        <v>3</v>
      </c>
      <c r="E91" s="68" t="n">
        <v>750266</v>
      </c>
    </row>
    <row r="92">
      <c r="A92" s="68" t="n">
        <v>89</v>
      </c>
      <c r="B92" s="68" t="n">
        <v>89</v>
      </c>
      <c r="C92" s="68" t="inlineStr">
        <is>
          <t>Item</t>
        </is>
      </c>
      <c r="D92" s="68" t="n">
        <v>3</v>
      </c>
      <c r="E92" s="68" t="n">
        <v>809845</v>
      </c>
    </row>
    <row r="93">
      <c r="A93" s="68" t="n">
        <v>90</v>
      </c>
      <c r="B93" s="68" t="n">
        <v>90</v>
      </c>
      <c r="C93" s="68" t="inlineStr">
        <is>
          <t>Item</t>
        </is>
      </c>
      <c r="D93" s="68" t="n">
        <v>3</v>
      </c>
      <c r="E93" s="68" t="n">
        <v>874178</v>
      </c>
    </row>
    <row r="94">
      <c r="A94" s="68" t="n">
        <v>91</v>
      </c>
      <c r="B94" s="68" t="n">
        <v>91</v>
      </c>
      <c r="C94" s="68" t="inlineStr">
        <is>
          <t>Item</t>
        </is>
      </c>
      <c r="D94" s="68" t="n">
        <v>3</v>
      </c>
      <c r="E94" s="68" t="n">
        <v>943645</v>
      </c>
    </row>
    <row r="95">
      <c r="A95" s="68" t="n">
        <v>92</v>
      </c>
      <c r="B95" s="68" t="n">
        <v>92</v>
      </c>
      <c r="C95" s="68" t="inlineStr">
        <is>
          <t>Item</t>
        </is>
      </c>
      <c r="D95" s="68" t="n">
        <v>3</v>
      </c>
      <c r="E95" s="68" t="n">
        <v>1018657</v>
      </c>
    </row>
    <row r="96">
      <c r="A96" s="68" t="n">
        <v>93</v>
      </c>
      <c r="B96" s="68" t="n">
        <v>93</v>
      </c>
      <c r="C96" s="68" t="inlineStr">
        <is>
          <t>Item</t>
        </is>
      </c>
      <c r="D96" s="68" t="n">
        <v>3</v>
      </c>
      <c r="E96" s="68" t="n">
        <v>1099658</v>
      </c>
    </row>
    <row r="97">
      <c r="A97" s="68" t="n">
        <v>94</v>
      </c>
      <c r="B97" s="68" t="n">
        <v>94</v>
      </c>
      <c r="C97" s="68" t="inlineStr">
        <is>
          <t>Item</t>
        </is>
      </c>
      <c r="D97" s="68" t="n">
        <v>3</v>
      </c>
      <c r="E97" s="68" t="n">
        <v>1187125</v>
      </c>
    </row>
    <row r="98">
      <c r="A98" s="68" t="n">
        <v>95</v>
      </c>
      <c r="B98" s="68" t="n">
        <v>95</v>
      </c>
      <c r="C98" s="68" t="inlineStr">
        <is>
          <t>Item</t>
        </is>
      </c>
      <c r="D98" s="68" t="n">
        <v>3</v>
      </c>
      <c r="E98" s="68" t="n">
        <v>1281577</v>
      </c>
    </row>
    <row r="99">
      <c r="A99" s="68" t="n">
        <v>96</v>
      </c>
      <c r="B99" s="68" t="n">
        <v>96</v>
      </c>
      <c r="C99" s="68" t="inlineStr">
        <is>
          <t>Item</t>
        </is>
      </c>
      <c r="D99" s="68" t="n">
        <v>3</v>
      </c>
      <c r="E99" s="68" t="n">
        <v>1383573</v>
      </c>
    </row>
    <row r="100">
      <c r="A100" s="68" t="n">
        <v>97</v>
      </c>
      <c r="B100" s="68" t="n">
        <v>97</v>
      </c>
      <c r="C100" s="68" t="inlineStr">
        <is>
          <t>Item</t>
        </is>
      </c>
      <c r="D100" s="68" t="n">
        <v>3</v>
      </c>
      <c r="E100" s="68" t="n">
        <v>1493714</v>
      </c>
    </row>
    <row r="101">
      <c r="A101" s="68" t="n">
        <v>98</v>
      </c>
      <c r="B101" s="68" t="n">
        <v>98</v>
      </c>
      <c r="C101" s="68" t="inlineStr">
        <is>
          <t>Item</t>
        </is>
      </c>
      <c r="D101" s="68" t="n">
        <v>3</v>
      </c>
      <c r="E101" s="68" t="n">
        <v>1612654</v>
      </c>
    </row>
    <row r="102">
      <c r="A102" s="68" t="n">
        <v>99</v>
      </c>
      <c r="B102" s="68" t="n">
        <v>99</v>
      </c>
      <c r="C102" s="68" t="inlineStr">
        <is>
          <t>Item</t>
        </is>
      </c>
      <c r="D102" s="68" t="n">
        <v>3</v>
      </c>
      <c r="E102" s="68" t="n">
        <v>1741095</v>
      </c>
    </row>
    <row r="103">
      <c r="A103" s="68" t="n">
        <v>100</v>
      </c>
      <c r="B103" s="68" t="n">
        <v>100</v>
      </c>
      <c r="C103" s="68" t="inlineStr">
        <is>
          <t>Item</t>
        </is>
      </c>
      <c r="D103" s="68" t="n">
        <v>3</v>
      </c>
      <c r="E103" s="68" t="n">
        <v>1879797</v>
      </c>
    </row>
    <row r="104">
      <c r="A104" s="68" t="n">
        <v>101</v>
      </c>
      <c r="B104" s="68" t="n">
        <v>101</v>
      </c>
      <c r="C104" s="68" t="inlineStr">
        <is>
          <t>Item</t>
        </is>
      </c>
      <c r="D104" s="68" t="n">
        <v>3</v>
      </c>
      <c r="E104" s="68" t="n">
        <v>2029582</v>
      </c>
    </row>
    <row r="105">
      <c r="A105" s="68" t="n">
        <v>102</v>
      </c>
      <c r="B105" s="68" t="n">
        <v>102</v>
      </c>
      <c r="C105" s="68" t="inlineStr">
        <is>
          <t>Item</t>
        </is>
      </c>
      <c r="D105" s="68" t="n">
        <v>3</v>
      </c>
      <c r="E105" s="68" t="n">
        <v>2191335</v>
      </c>
    </row>
    <row r="106">
      <c r="A106" s="68" t="n">
        <v>103</v>
      </c>
      <c r="B106" s="68" t="n">
        <v>103</v>
      </c>
      <c r="C106" s="68" t="inlineStr">
        <is>
          <t>Item</t>
        </is>
      </c>
      <c r="D106" s="68" t="n">
        <v>3</v>
      </c>
      <c r="E106" s="68" t="n">
        <v>2366015</v>
      </c>
    </row>
    <row r="107">
      <c r="A107" s="68" t="n">
        <v>104</v>
      </c>
      <c r="B107" s="68" t="n">
        <v>104</v>
      </c>
      <c r="C107" s="68" t="inlineStr">
        <is>
          <t>Item</t>
        </is>
      </c>
      <c r="D107" s="68" t="n">
        <v>3</v>
      </c>
      <c r="E107" s="68" t="n">
        <v>2554654</v>
      </c>
    </row>
    <row r="108">
      <c r="A108" s="68" t="n">
        <v>105</v>
      </c>
      <c r="B108" s="68" t="n">
        <v>105</v>
      </c>
      <c r="C108" s="68" t="inlineStr">
        <is>
          <t>Item</t>
        </is>
      </c>
      <c r="D108" s="68" t="n">
        <v>3</v>
      </c>
      <c r="E108" s="68" t="n">
        <v>2758370</v>
      </c>
    </row>
    <row r="109">
      <c r="A109" s="68" t="n">
        <v>106</v>
      </c>
      <c r="B109" s="68" t="n">
        <v>106</v>
      </c>
      <c r="C109" s="68" t="inlineStr">
        <is>
          <t>Item</t>
        </is>
      </c>
      <c r="D109" s="68" t="n">
        <v>3</v>
      </c>
      <c r="E109" s="68" t="n">
        <v>2978369</v>
      </c>
    </row>
    <row r="110">
      <c r="A110" s="68" t="n">
        <v>107</v>
      </c>
      <c r="B110" s="68" t="n">
        <v>107</v>
      </c>
      <c r="C110" s="68" t="inlineStr">
        <is>
          <t>Item</t>
        </is>
      </c>
      <c r="D110" s="68" t="n">
        <v>3</v>
      </c>
      <c r="E110" s="68" t="n">
        <v>3215953</v>
      </c>
    </row>
    <row r="111">
      <c r="A111" s="68" t="n">
        <v>108</v>
      </c>
      <c r="B111" s="68" t="n">
        <v>108</v>
      </c>
      <c r="C111" s="68" t="inlineStr">
        <is>
          <t>Item</t>
        </is>
      </c>
      <c r="D111" s="68" t="n">
        <v>3</v>
      </c>
      <c r="E111" s="68" t="n">
        <v>3472528</v>
      </c>
    </row>
    <row r="112">
      <c r="A112" s="68" t="n">
        <v>109</v>
      </c>
      <c r="B112" s="68" t="n">
        <v>109</v>
      </c>
      <c r="C112" s="68" t="inlineStr">
        <is>
          <t>Item</t>
        </is>
      </c>
      <c r="D112" s="68" t="n">
        <v>3</v>
      </c>
      <c r="E112" s="68" t="n">
        <v>3749614</v>
      </c>
    </row>
    <row r="113">
      <c r="A113" s="68" t="n">
        <v>110</v>
      </c>
      <c r="B113" s="68" t="n">
        <v>110</v>
      </c>
      <c r="C113" s="68" t="inlineStr">
        <is>
          <t>Item</t>
        </is>
      </c>
      <c r="D113" s="68" t="n">
        <v>3</v>
      </c>
      <c r="E113" s="68" t="n">
        <v>4048852</v>
      </c>
    </row>
    <row r="114">
      <c r="A114" s="68" t="n">
        <v>111</v>
      </c>
      <c r="B114" s="68" t="n">
        <v>111</v>
      </c>
      <c r="C114" s="68" t="inlineStr">
        <is>
          <t>Item</t>
        </is>
      </c>
      <c r="D114" s="68" t="n">
        <v>3</v>
      </c>
      <c r="E114" s="68" t="n">
        <v>4372013</v>
      </c>
    </row>
    <row r="115">
      <c r="A115" s="68" t="n">
        <v>112</v>
      </c>
      <c r="B115" s="68" t="n">
        <v>112</v>
      </c>
      <c r="C115" s="68" t="inlineStr">
        <is>
          <t>Item</t>
        </is>
      </c>
      <c r="D115" s="68" t="n">
        <v>3</v>
      </c>
      <c r="E115" s="68" t="n">
        <v>4721011</v>
      </c>
    </row>
    <row r="116">
      <c r="A116" s="68" t="n">
        <v>113</v>
      </c>
      <c r="B116" s="68" t="n">
        <v>113</v>
      </c>
      <c r="C116" s="68" t="inlineStr">
        <is>
          <t>Item</t>
        </is>
      </c>
      <c r="D116" s="68" t="n">
        <v>3</v>
      </c>
      <c r="E116" s="68" t="n">
        <v>5097913</v>
      </c>
    </row>
    <row r="117">
      <c r="A117" s="68" t="n">
        <v>114</v>
      </c>
      <c r="B117" s="68" t="n">
        <v>114</v>
      </c>
      <c r="C117" s="68" t="inlineStr">
        <is>
          <t>Item</t>
        </is>
      </c>
      <c r="D117" s="68" t="n">
        <v>3</v>
      </c>
      <c r="E117" s="68" t="n">
        <v>5504952</v>
      </c>
    </row>
    <row r="118">
      <c r="A118" s="68" t="n">
        <v>115</v>
      </c>
      <c r="B118" s="68" t="n">
        <v>115</v>
      </c>
      <c r="C118" s="68" t="inlineStr">
        <is>
          <t>Item</t>
        </is>
      </c>
      <c r="D118" s="68" t="n">
        <v>3</v>
      </c>
      <c r="E118" s="68" t="n">
        <v>5944538</v>
      </c>
    </row>
    <row r="119">
      <c r="A119" s="68" t="n">
        <v>116</v>
      </c>
      <c r="B119" s="68" t="n">
        <v>116</v>
      </c>
      <c r="C119" s="68" t="inlineStr">
        <is>
          <t>Item</t>
        </is>
      </c>
      <c r="D119" s="68" t="n">
        <v>3</v>
      </c>
      <c r="E119" s="68" t="n">
        <v>6419274</v>
      </c>
    </row>
    <row r="120">
      <c r="A120" s="68" t="n">
        <v>117</v>
      </c>
      <c r="B120" s="68" t="n">
        <v>117</v>
      </c>
      <c r="C120" s="68" t="inlineStr">
        <is>
          <t>Item</t>
        </is>
      </c>
      <c r="D120" s="68" t="n">
        <v>3</v>
      </c>
      <c r="E120" s="68" t="n">
        <v>6931972</v>
      </c>
    </row>
    <row r="121">
      <c r="A121" s="68" t="n">
        <v>118</v>
      </c>
      <c r="B121" s="68" t="n">
        <v>118</v>
      </c>
      <c r="C121" s="68" t="inlineStr">
        <is>
          <t>Item</t>
        </is>
      </c>
      <c r="D121" s="68" t="n">
        <v>3</v>
      </c>
      <c r="E121" s="68" t="n">
        <v>7485670</v>
      </c>
    </row>
    <row r="122">
      <c r="A122" s="68" t="n">
        <v>119</v>
      </c>
      <c r="B122" s="68" t="n">
        <v>119</v>
      </c>
      <c r="C122" s="68" t="inlineStr">
        <is>
          <t>Item</t>
        </is>
      </c>
      <c r="D122" s="68" t="n">
        <v>3</v>
      </c>
      <c r="E122" s="68" t="n">
        <v>8083646</v>
      </c>
    </row>
    <row r="123">
      <c r="A123" s="68" t="n">
        <v>120</v>
      </c>
      <c r="B123" s="68" t="n">
        <v>120</v>
      </c>
      <c r="C123" s="68" t="inlineStr">
        <is>
          <t>Item</t>
        </is>
      </c>
      <c r="D123" s="68" t="n">
        <v>3</v>
      </c>
      <c r="E123" s="68" t="n">
        <v>8729444</v>
      </c>
    </row>
    <row r="124">
      <c r="A124" s="68" t="n">
        <v>121</v>
      </c>
      <c r="B124" s="68" t="n">
        <v>121</v>
      </c>
      <c r="C124" s="68" t="inlineStr">
        <is>
          <t>Item</t>
        </is>
      </c>
      <c r="D124" s="68" t="n">
        <v>3</v>
      </c>
      <c r="E124" s="68" t="n">
        <v>9426889</v>
      </c>
    </row>
    <row r="125">
      <c r="A125" s="68" t="n">
        <v>122</v>
      </c>
      <c r="B125" s="68" t="n">
        <v>122</v>
      </c>
      <c r="C125" s="68" t="inlineStr">
        <is>
          <t>Item</t>
        </is>
      </c>
      <c r="D125" s="68" t="n">
        <v>3</v>
      </c>
      <c r="E125" s="68" t="n">
        <v>10180111</v>
      </c>
    </row>
    <row r="126">
      <c r="A126" s="68" t="n">
        <v>123</v>
      </c>
      <c r="B126" s="68" t="n">
        <v>123</v>
      </c>
      <c r="C126" s="68" t="inlineStr">
        <is>
          <t>Item</t>
        </is>
      </c>
      <c r="D126" s="68" t="n">
        <v>3</v>
      </c>
      <c r="E126" s="68" t="n">
        <v>10993575</v>
      </c>
    </row>
    <row r="127">
      <c r="A127" s="68" t="n">
        <v>124</v>
      </c>
      <c r="B127" s="68" t="n">
        <v>124</v>
      </c>
      <c r="C127" s="68" t="inlineStr">
        <is>
          <t>Item</t>
        </is>
      </c>
      <c r="D127" s="68" t="n">
        <v>3</v>
      </c>
      <c r="E127" s="68" t="n">
        <v>11872097</v>
      </c>
    </row>
    <row r="128">
      <c r="A128" s="68" t="n">
        <v>125</v>
      </c>
      <c r="B128" s="68" t="n">
        <v>125</v>
      </c>
      <c r="C128" s="68" t="inlineStr">
        <is>
          <t>Item</t>
        </is>
      </c>
      <c r="D128" s="68" t="n">
        <v>3</v>
      </c>
      <c r="E128" s="68" t="n">
        <v>12820884</v>
      </c>
    </row>
    <row r="129">
      <c r="A129" s="68" t="n">
        <v>126</v>
      </c>
      <c r="B129" s="68" t="n">
        <v>126</v>
      </c>
      <c r="C129" s="68" t="inlineStr">
        <is>
          <t>Item</t>
        </is>
      </c>
      <c r="D129" s="68" t="n">
        <v>3</v>
      </c>
      <c r="E129" s="68" t="n">
        <v>13845556</v>
      </c>
    </row>
    <row r="130">
      <c r="A130" s="68" t="n">
        <v>127</v>
      </c>
      <c r="B130" s="68" t="n">
        <v>127</v>
      </c>
      <c r="C130" s="68" t="inlineStr">
        <is>
          <t>Item</t>
        </is>
      </c>
      <c r="D130" s="68" t="n">
        <v>3</v>
      </c>
      <c r="E130" s="68" t="n">
        <v>14952183</v>
      </c>
    </row>
    <row r="131">
      <c r="A131" s="68" t="n">
        <v>128</v>
      </c>
      <c r="B131" s="68" t="n">
        <v>128</v>
      </c>
      <c r="C131" s="68" t="inlineStr">
        <is>
          <t>Item</t>
        </is>
      </c>
      <c r="D131" s="68" t="n">
        <v>3</v>
      </c>
      <c r="E131" s="68" t="n">
        <v>16147322</v>
      </c>
    </row>
    <row r="132">
      <c r="A132" s="68" t="n">
        <v>129</v>
      </c>
      <c r="B132" s="68" t="n">
        <v>129</v>
      </c>
      <c r="C132" s="68" t="inlineStr">
        <is>
          <t>Item</t>
        </is>
      </c>
      <c r="D132" s="68" t="n">
        <v>3</v>
      </c>
      <c r="E132" s="68" t="n">
        <v>17438054</v>
      </c>
    </row>
    <row r="133">
      <c r="A133" s="68" t="n">
        <v>130</v>
      </c>
      <c r="B133" s="68" t="n">
        <v>130</v>
      </c>
      <c r="C133" s="68" t="inlineStr">
        <is>
          <t>Item</t>
        </is>
      </c>
      <c r="D133" s="68" t="n">
        <v>3</v>
      </c>
      <c r="E133" s="68" t="n">
        <v>18832026</v>
      </c>
    </row>
    <row r="134">
      <c r="A134" s="68" t="n">
        <v>131</v>
      </c>
      <c r="B134" s="68" t="n">
        <v>131</v>
      </c>
      <c r="C134" s="68" t="inlineStr">
        <is>
          <t>Item</t>
        </is>
      </c>
      <c r="D134" s="68" t="n">
        <v>3</v>
      </c>
      <c r="E134" s="68" t="n">
        <v>20337497</v>
      </c>
    </row>
    <row r="135">
      <c r="A135" s="68" t="n">
        <v>132</v>
      </c>
      <c r="B135" s="68" t="n">
        <v>132</v>
      </c>
      <c r="C135" s="68" t="inlineStr">
        <is>
          <t>Item</t>
        </is>
      </c>
      <c r="D135" s="68" t="n">
        <v>3</v>
      </c>
      <c r="E135" s="68" t="n">
        <v>21963387</v>
      </c>
    </row>
    <row r="136">
      <c r="A136" s="68" t="n">
        <v>133</v>
      </c>
      <c r="B136" s="68" t="n">
        <v>133</v>
      </c>
      <c r="C136" s="68" t="inlineStr">
        <is>
          <t>Item</t>
        </is>
      </c>
      <c r="D136" s="68" t="n">
        <v>3</v>
      </c>
      <c r="E136" s="68" t="n">
        <v>23719329</v>
      </c>
    </row>
    <row r="137">
      <c r="A137" s="68" t="n">
        <v>134</v>
      </c>
      <c r="B137" s="68" t="n">
        <v>134</v>
      </c>
      <c r="C137" s="68" t="inlineStr">
        <is>
          <t>Item</t>
        </is>
      </c>
      <c r="D137" s="68" t="n">
        <v>3</v>
      </c>
      <c r="E137" s="68" t="n">
        <v>25615728</v>
      </c>
    </row>
    <row r="138">
      <c r="A138" s="68" t="n">
        <v>135</v>
      </c>
      <c r="B138" s="68" t="n">
        <v>135</v>
      </c>
      <c r="C138" s="68" t="inlineStr">
        <is>
          <t>Item</t>
        </is>
      </c>
      <c r="D138" s="68" t="n">
        <v>3</v>
      </c>
      <c r="E138" s="68" t="n">
        <v>27663818</v>
      </c>
    </row>
    <row r="139">
      <c r="A139" s="68" t="n">
        <v>136</v>
      </c>
      <c r="B139" s="68" t="n">
        <v>136</v>
      </c>
      <c r="C139" s="68" t="inlineStr">
        <is>
          <t>Item</t>
        </is>
      </c>
      <c r="D139" s="68" t="n">
        <v>3</v>
      </c>
      <c r="E139" s="68" t="n">
        <v>29875737</v>
      </c>
    </row>
    <row r="140">
      <c r="A140" s="68" t="n">
        <v>137</v>
      </c>
      <c r="B140" s="68" t="n">
        <v>137</v>
      </c>
      <c r="C140" s="68" t="inlineStr">
        <is>
          <t>Item</t>
        </is>
      </c>
      <c r="D140" s="68" t="n">
        <v>3</v>
      </c>
      <c r="E140" s="68" t="n">
        <v>32264589</v>
      </c>
    </row>
    <row r="141">
      <c r="A141" s="68" t="n">
        <v>138</v>
      </c>
      <c r="B141" s="68" t="n">
        <v>138</v>
      </c>
      <c r="C141" s="68" t="inlineStr">
        <is>
          <t>Item</t>
        </is>
      </c>
      <c r="D141" s="68" t="n">
        <v>3</v>
      </c>
      <c r="E141" s="68" t="n">
        <v>34844530</v>
      </c>
    </row>
    <row r="142">
      <c r="A142" s="68" t="n">
        <v>139</v>
      </c>
      <c r="B142" s="68" t="n">
        <v>139</v>
      </c>
      <c r="C142" s="68" t="inlineStr">
        <is>
          <t>Item</t>
        </is>
      </c>
      <c r="D142" s="68" t="n">
        <v>3</v>
      </c>
      <c r="E142" s="68" t="n">
        <v>37630846</v>
      </c>
    </row>
    <row r="143">
      <c r="A143" s="68" t="n">
        <v>140</v>
      </c>
      <c r="B143" s="68" t="n">
        <v>140</v>
      </c>
      <c r="C143" s="68" t="inlineStr">
        <is>
          <t>Item</t>
        </is>
      </c>
      <c r="D143" s="68" t="n">
        <v>3</v>
      </c>
      <c r="E143" s="68" t="n">
        <v>40640047</v>
      </c>
    </row>
    <row r="144">
      <c r="A144" s="68" t="n">
        <v>141</v>
      </c>
      <c r="B144" s="68" t="n">
        <v>141</v>
      </c>
      <c r="C144" s="68" t="inlineStr">
        <is>
          <t>Item</t>
        </is>
      </c>
      <c r="D144" s="68" t="n">
        <v>3</v>
      </c>
      <c r="E144" s="68" t="n">
        <v>43889963</v>
      </c>
    </row>
    <row r="145">
      <c r="A145" s="68" t="n">
        <v>142</v>
      </c>
      <c r="B145" s="68" t="n">
        <v>142</v>
      </c>
      <c r="C145" s="68" t="inlineStr">
        <is>
          <t>Item</t>
        </is>
      </c>
      <c r="D145" s="68" t="n">
        <v>3</v>
      </c>
      <c r="E145" s="68" t="n">
        <v>47399853</v>
      </c>
    </row>
    <row r="146">
      <c r="A146" s="68" t="n">
        <v>143</v>
      </c>
      <c r="B146" s="68" t="n">
        <v>143</v>
      </c>
      <c r="C146" s="68" t="inlineStr">
        <is>
          <t>Item</t>
        </is>
      </c>
      <c r="D146" s="68" t="n">
        <v>3</v>
      </c>
      <c r="E146" s="68" t="n">
        <v>51190513</v>
      </c>
    </row>
    <row r="147">
      <c r="A147" s="68" t="n">
        <v>144</v>
      </c>
      <c r="B147" s="68" t="n">
        <v>144</v>
      </c>
      <c r="C147" s="68" t="inlineStr">
        <is>
          <t>Item</t>
        </is>
      </c>
      <c r="D147" s="68" t="n">
        <v>3</v>
      </c>
      <c r="E147" s="68" t="n">
        <v>55284405</v>
      </c>
    </row>
    <row r="148">
      <c r="A148" s="68" t="n">
        <v>145</v>
      </c>
      <c r="B148" s="68" t="n">
        <v>145</v>
      </c>
      <c r="C148" s="68" t="inlineStr">
        <is>
          <t>Item</t>
        </is>
      </c>
      <c r="D148" s="68" t="n">
        <v>3</v>
      </c>
      <c r="E148" s="68" t="n">
        <v>59705788</v>
      </c>
    </row>
    <row r="149">
      <c r="A149" s="68" t="n">
        <v>146</v>
      </c>
      <c r="B149" s="68" t="n">
        <v>146</v>
      </c>
      <c r="C149" s="68" t="inlineStr">
        <is>
          <t>Item</t>
        </is>
      </c>
      <c r="D149" s="68" t="n">
        <v>3</v>
      </c>
      <c r="E149" s="68" t="n">
        <v>64480860</v>
      </c>
    </row>
    <row r="150">
      <c r="A150" s="68" t="n">
        <v>147</v>
      </c>
      <c r="B150" s="68" t="n">
        <v>147</v>
      </c>
      <c r="C150" s="68" t="inlineStr">
        <is>
          <t>Item</t>
        </is>
      </c>
      <c r="D150" s="68" t="n">
        <v>3</v>
      </c>
      <c r="E150" s="68" t="n">
        <v>69637916</v>
      </c>
    </row>
    <row r="151">
      <c r="A151" s="68" t="n">
        <v>148</v>
      </c>
      <c r="B151" s="68" t="n">
        <v>148</v>
      </c>
      <c r="C151" s="68" t="inlineStr">
        <is>
          <t>Item</t>
        </is>
      </c>
      <c r="D151" s="68" t="n">
        <v>3</v>
      </c>
      <c r="E151" s="68" t="n">
        <v>75207516</v>
      </c>
    </row>
    <row r="152">
      <c r="A152" s="68" t="n">
        <v>149</v>
      </c>
      <c r="B152" s="68" t="n">
        <v>149</v>
      </c>
      <c r="C152" s="68" t="inlineStr">
        <is>
          <t>Item</t>
        </is>
      </c>
      <c r="D152" s="68" t="n">
        <v>3</v>
      </c>
      <c r="E152" s="68" t="n">
        <v>81222662</v>
      </c>
    </row>
    <row r="153">
      <c r="A153" s="68" t="n">
        <v>150</v>
      </c>
      <c r="B153" s="68" t="n">
        <v>150</v>
      </c>
      <c r="C153" s="68" t="inlineStr">
        <is>
          <t>Item</t>
        </is>
      </c>
      <c r="D153" s="68" t="n">
        <v>3</v>
      </c>
      <c r="E153" s="68" t="n">
        <v>87718998</v>
      </c>
    </row>
    <row r="154">
      <c r="A154" s="68" t="n">
        <v>151</v>
      </c>
      <c r="B154" s="68" t="n">
        <v>151</v>
      </c>
      <c r="C154" s="68" t="inlineStr">
        <is>
          <t>Item</t>
        </is>
      </c>
      <c r="D154" s="68" t="n">
        <v>3</v>
      </c>
      <c r="E154" s="68" t="n">
        <v>94735018</v>
      </c>
    </row>
    <row r="155">
      <c r="A155" s="68" t="n">
        <v>152</v>
      </c>
      <c r="B155" s="68" t="n">
        <v>152</v>
      </c>
      <c r="C155" s="68" t="inlineStr">
        <is>
          <t>Item</t>
        </is>
      </c>
      <c r="D155" s="68" t="n">
        <v>3</v>
      </c>
      <c r="E155" s="68" t="n">
        <v>102312299</v>
      </c>
    </row>
    <row r="156">
      <c r="A156" s="68" t="n">
        <v>153</v>
      </c>
      <c r="B156" s="68" t="n">
        <v>153</v>
      </c>
      <c r="C156" s="68" t="inlineStr">
        <is>
          <t>Item</t>
        </is>
      </c>
      <c r="D156" s="68" t="n">
        <v>3</v>
      </c>
      <c r="E156" s="68" t="n">
        <v>110495739</v>
      </c>
    </row>
    <row r="157">
      <c r="A157" s="68" t="n">
        <v>154</v>
      </c>
      <c r="B157" s="68" t="n">
        <v>154</v>
      </c>
      <c r="C157" s="68" t="inlineStr">
        <is>
          <t>Item</t>
        </is>
      </c>
      <c r="D157" s="68" t="n">
        <v>3</v>
      </c>
      <c r="E157" s="68" t="n">
        <v>119333833</v>
      </c>
    </row>
    <row r="158">
      <c r="A158" s="68" t="n">
        <v>155</v>
      </c>
      <c r="B158" s="68" t="n">
        <v>155</v>
      </c>
      <c r="C158" s="68" t="inlineStr">
        <is>
          <t>Item</t>
        </is>
      </c>
      <c r="D158" s="68" t="n">
        <v>3</v>
      </c>
      <c r="E158" s="68" t="n">
        <v>128878951</v>
      </c>
    </row>
    <row r="159">
      <c r="A159" s="68" t="n">
        <v>156</v>
      </c>
      <c r="B159" s="68" t="n">
        <v>156</v>
      </c>
      <c r="C159" s="68" t="inlineStr">
        <is>
          <t>Item</t>
        </is>
      </c>
      <c r="D159" s="68" t="n">
        <v>3</v>
      </c>
      <c r="E159" s="68" t="n">
        <v>139187656</v>
      </c>
    </row>
    <row r="160">
      <c r="A160" s="68" t="n">
        <v>157</v>
      </c>
      <c r="B160" s="68" t="n">
        <v>157</v>
      </c>
      <c r="C160" s="68" t="inlineStr">
        <is>
          <t>Item</t>
        </is>
      </c>
      <c r="D160" s="68" t="n">
        <v>3</v>
      </c>
      <c r="E160" s="68" t="n">
        <v>150321035</v>
      </c>
    </row>
    <row r="161">
      <c r="A161" s="68" t="n">
        <v>158</v>
      </c>
      <c r="B161" s="68" t="n">
        <v>158</v>
      </c>
      <c r="C161" s="68" t="inlineStr">
        <is>
          <t>Item</t>
        </is>
      </c>
      <c r="D161" s="68" t="n">
        <v>3</v>
      </c>
      <c r="E161" s="68" t="n">
        <v>162345061</v>
      </c>
    </row>
    <row r="162">
      <c r="A162" s="68" t="n">
        <v>159</v>
      </c>
      <c r="B162" s="68" t="n">
        <v>159</v>
      </c>
      <c r="C162" s="68" t="inlineStr">
        <is>
          <t>Item</t>
        </is>
      </c>
      <c r="D162" s="68" t="n">
        <v>3</v>
      </c>
      <c r="E162" s="68" t="n">
        <v>175330985</v>
      </c>
    </row>
    <row r="163">
      <c r="A163" s="68" t="n">
        <v>160</v>
      </c>
      <c r="B163" s="68" t="n">
        <v>160</v>
      </c>
      <c r="C163" s="68" t="inlineStr">
        <is>
          <t>Item</t>
        </is>
      </c>
      <c r="D163" s="68" t="n">
        <v>3</v>
      </c>
      <c r="E163" s="68" t="n">
        <v>189355761</v>
      </c>
    </row>
    <row r="164">
      <c r="A164" s="68" t="n">
        <v>161</v>
      </c>
      <c r="B164" s="68" t="n">
        <v>161</v>
      </c>
      <c r="C164" s="68" t="inlineStr">
        <is>
          <t>Item</t>
        </is>
      </c>
      <c r="D164" s="68" t="n">
        <v>3</v>
      </c>
      <c r="E164" s="68" t="n">
        <v>204502495</v>
      </c>
    </row>
    <row r="165">
      <c r="A165" s="68" t="n">
        <v>162</v>
      </c>
      <c r="B165" s="68" t="n">
        <v>162</v>
      </c>
      <c r="C165" s="68" t="inlineStr">
        <is>
          <t>Item</t>
        </is>
      </c>
      <c r="D165" s="68" t="n">
        <v>3</v>
      </c>
      <c r="E165" s="68" t="n">
        <v>220860943</v>
      </c>
    </row>
    <row r="166">
      <c r="A166" s="68" t="n">
        <v>163</v>
      </c>
      <c r="B166" s="68" t="n">
        <v>163</v>
      </c>
      <c r="C166" s="68" t="inlineStr">
        <is>
          <t>Item</t>
        </is>
      </c>
      <c r="D166" s="68" t="n">
        <v>3</v>
      </c>
      <c r="E166" s="68" t="n">
        <v>238528044</v>
      </c>
    </row>
    <row r="167">
      <c r="A167" s="68" t="n">
        <v>164</v>
      </c>
      <c r="B167" s="68" t="n">
        <v>164</v>
      </c>
      <c r="C167" s="68" t="inlineStr">
        <is>
          <t>Item</t>
        </is>
      </c>
      <c r="D167" s="68" t="n">
        <v>3</v>
      </c>
      <c r="E167" s="68" t="n">
        <v>257608489</v>
      </c>
    </row>
    <row r="168">
      <c r="A168" s="68" t="n">
        <v>165</v>
      </c>
      <c r="B168" s="68" t="n">
        <v>165</v>
      </c>
      <c r="C168" s="68" t="inlineStr">
        <is>
          <t>Item</t>
        </is>
      </c>
      <c r="D168" s="68" t="n">
        <v>3</v>
      </c>
      <c r="E168" s="68" t="n">
        <v>278215346</v>
      </c>
    </row>
    <row r="169">
      <c r="A169" s="68" t="n">
        <v>166</v>
      </c>
      <c r="B169" s="68" t="n">
        <v>166</v>
      </c>
      <c r="C169" s="68" t="inlineStr">
        <is>
          <t>Item</t>
        </is>
      </c>
      <c r="D169" s="68" t="n">
        <v>3</v>
      </c>
      <c r="E169" s="68" t="n">
        <v>300470727</v>
      </c>
    </row>
    <row r="170">
      <c r="A170" s="68" t="n">
        <v>167</v>
      </c>
      <c r="B170" s="68" t="n">
        <v>167</v>
      </c>
      <c r="C170" s="68" t="inlineStr">
        <is>
          <t>Item</t>
        </is>
      </c>
      <c r="D170" s="68" t="n">
        <v>3</v>
      </c>
      <c r="E170" s="68" t="n">
        <v>324506513</v>
      </c>
    </row>
    <row r="171">
      <c r="A171" s="68" t="n">
        <v>168</v>
      </c>
      <c r="B171" s="68" t="n">
        <v>168</v>
      </c>
      <c r="C171" s="68" t="inlineStr">
        <is>
          <t>Item</t>
        </is>
      </c>
      <c r="D171" s="68" t="n">
        <v>3</v>
      </c>
      <c r="E171" s="68" t="n">
        <v>350465138</v>
      </c>
    </row>
    <row r="172">
      <c r="A172" s="68" t="n">
        <v>169</v>
      </c>
      <c r="B172" s="68" t="n">
        <v>169</v>
      </c>
      <c r="C172" s="68" t="inlineStr">
        <is>
          <t>Item</t>
        </is>
      </c>
      <c r="D172" s="68" t="n">
        <v>3</v>
      </c>
      <c r="E172" s="68" t="n">
        <v>378500428</v>
      </c>
    </row>
    <row r="173">
      <c r="A173" s="68" t="n">
        <v>170</v>
      </c>
      <c r="B173" s="68" t="n">
        <v>170</v>
      </c>
      <c r="C173" s="68" t="inlineStr">
        <is>
          <t>Item</t>
        </is>
      </c>
      <c r="D173" s="68" t="n">
        <v>3</v>
      </c>
      <c r="E173" s="68" t="n">
        <v>408778517</v>
      </c>
    </row>
    <row r="174">
      <c r="A174" s="68" t="n">
        <v>171</v>
      </c>
      <c r="B174" s="68" t="n">
        <v>171</v>
      </c>
      <c r="C174" s="68" t="inlineStr">
        <is>
          <t>Item</t>
        </is>
      </c>
      <c r="D174" s="68" t="n">
        <v>3</v>
      </c>
      <c r="E174" s="68" t="n">
        <v>441478827</v>
      </c>
    </row>
    <row r="175">
      <c r="A175" s="68" t="n">
        <v>172</v>
      </c>
      <c r="B175" s="68" t="n">
        <v>172</v>
      </c>
      <c r="C175" s="68" t="inlineStr">
        <is>
          <t>Item</t>
        </is>
      </c>
      <c r="D175" s="68" t="n">
        <v>3</v>
      </c>
      <c r="E175" s="68" t="n">
        <v>476795137</v>
      </c>
    </row>
    <row r="176">
      <c r="A176" s="68" t="n">
        <v>173</v>
      </c>
      <c r="B176" s="68" t="n">
        <v>173</v>
      </c>
      <c r="C176" s="68" t="inlineStr">
        <is>
          <t>Item</t>
        </is>
      </c>
      <c r="D176" s="68" t="n">
        <v>3</v>
      </c>
      <c r="E176" s="68" t="n">
        <v>514936726</v>
      </c>
    </row>
    <row r="177">
      <c r="A177" s="68" t="n">
        <v>174</v>
      </c>
      <c r="B177" s="68" t="n">
        <v>174</v>
      </c>
      <c r="C177" s="68" t="inlineStr">
        <is>
          <t>Item</t>
        </is>
      </c>
      <c r="D177" s="68" t="n">
        <v>3</v>
      </c>
      <c r="E177" s="68" t="n">
        <v>556129617</v>
      </c>
    </row>
    <row r="178">
      <c r="A178" s="68" t="n">
        <v>175</v>
      </c>
      <c r="B178" s="68" t="n">
        <v>175</v>
      </c>
      <c r="C178" s="68" t="inlineStr">
        <is>
          <t>Item</t>
        </is>
      </c>
      <c r="D178" s="68" t="n">
        <v>3</v>
      </c>
      <c r="E178" s="68" t="n">
        <v>600617913</v>
      </c>
    </row>
    <row r="179">
      <c r="A179" s="68" t="n">
        <v>176</v>
      </c>
      <c r="B179" s="68" t="n">
        <v>176</v>
      </c>
      <c r="C179" s="68" t="inlineStr">
        <is>
          <t>Item</t>
        </is>
      </c>
      <c r="D179" s="68" t="n">
        <v>3</v>
      </c>
      <c r="E179" s="68" t="n">
        <v>648665247</v>
      </c>
    </row>
    <row r="180">
      <c r="A180" s="68" t="n">
        <v>177</v>
      </c>
      <c r="B180" s="68" t="n">
        <v>177</v>
      </c>
      <c r="C180" s="68" t="inlineStr">
        <is>
          <t>Item</t>
        </is>
      </c>
      <c r="D180" s="68" t="n">
        <v>3</v>
      </c>
      <c r="E180" s="68" t="n">
        <v>700556342</v>
      </c>
    </row>
    <row r="181">
      <c r="A181" s="68" t="n">
        <v>178</v>
      </c>
      <c r="B181" s="68" t="n">
        <v>178</v>
      </c>
      <c r="C181" s="68" t="inlineStr">
        <is>
          <t>Item</t>
        </is>
      </c>
      <c r="D181" s="68" t="n">
        <v>3</v>
      </c>
      <c r="E181" s="68" t="n">
        <v>756598698</v>
      </c>
    </row>
    <row r="182">
      <c r="A182" s="68" t="n">
        <v>179</v>
      </c>
      <c r="B182" s="68" t="n">
        <v>179</v>
      </c>
      <c r="C182" s="68" t="inlineStr">
        <is>
          <t>Item</t>
        </is>
      </c>
      <c r="D182" s="68" t="n">
        <v>3</v>
      </c>
      <c r="E182" s="68" t="n">
        <v>817124416</v>
      </c>
    </row>
    <row r="183">
      <c r="A183" s="68" t="n">
        <v>180</v>
      </c>
      <c r="B183" s="68" t="n">
        <v>180</v>
      </c>
      <c r="C183" s="68" t="inlineStr">
        <is>
          <t>Item</t>
        </is>
      </c>
      <c r="D183" s="68" t="n">
        <v>3</v>
      </c>
      <c r="E183" s="68" t="n">
        <v>882492165</v>
      </c>
    </row>
    <row r="184">
      <c r="A184" s="68" t="n">
        <v>181</v>
      </c>
      <c r="B184" s="68" t="n">
        <v>181</v>
      </c>
      <c r="C184" s="68" t="inlineStr">
        <is>
          <t>Item</t>
        </is>
      </c>
      <c r="D184" s="68" t="n">
        <v>3</v>
      </c>
      <c r="E184" s="68" t="n">
        <v>953089308</v>
      </c>
    </row>
    <row r="185">
      <c r="A185" s="68" t="n">
        <v>182</v>
      </c>
      <c r="B185" s="68" t="n">
        <v>182</v>
      </c>
      <c r="C185" s="68" t="inlineStr">
        <is>
          <t>Item</t>
        </is>
      </c>
      <c r="D185" s="68" t="n">
        <v>3</v>
      </c>
      <c r="E185" s="68" t="n">
        <v>1029334194</v>
      </c>
    </row>
    <row r="186">
      <c r="A186" s="68" t="n">
        <v>183</v>
      </c>
      <c r="B186" s="68" t="n">
        <v>183</v>
      </c>
      <c r="C186" s="68" t="inlineStr">
        <is>
          <t>Item</t>
        </is>
      </c>
      <c r="D186" s="68" t="n">
        <v>3</v>
      </c>
      <c r="E186" s="68" t="n">
        <v>1111678645</v>
      </c>
    </row>
    <row r="187">
      <c r="A187" s="68" t="n">
        <v>184</v>
      </c>
      <c r="B187" s="68" t="n">
        <v>184</v>
      </c>
      <c r="C187" s="68" t="inlineStr">
        <is>
          <t>Item</t>
        </is>
      </c>
      <c r="D187" s="68" t="n">
        <v>3</v>
      </c>
      <c r="E187" s="68" t="n">
        <v>1200610624</v>
      </c>
    </row>
    <row r="188">
      <c r="A188" s="68" t="n">
        <v>185</v>
      </c>
      <c r="B188" s="68" t="n">
        <v>185</v>
      </c>
      <c r="C188" s="68" t="inlineStr">
        <is>
          <t>Item</t>
        </is>
      </c>
      <c r="D188" s="68" t="n">
        <v>3</v>
      </c>
      <c r="E188" s="68" t="n">
        <v>1296657135</v>
      </c>
    </row>
    <row r="189">
      <c r="A189" s="68" t="n">
        <v>186</v>
      </c>
      <c r="B189" s="68" t="n">
        <v>186</v>
      </c>
      <c r="C189" s="68" t="inlineStr">
        <is>
          <t>Item</t>
        </is>
      </c>
      <c r="D189" s="68" t="n">
        <v>3</v>
      </c>
      <c r="E189" s="68" t="n">
        <v>1400387339</v>
      </c>
    </row>
    <row r="190">
      <c r="A190" s="68" t="n">
        <v>187</v>
      </c>
      <c r="B190" s="68" t="n">
        <v>187</v>
      </c>
      <c r="C190" s="68" t="inlineStr">
        <is>
          <t>Item</t>
        </is>
      </c>
      <c r="D190" s="68" t="n">
        <v>3</v>
      </c>
      <c r="E190" s="68" t="n">
        <v>1512415931</v>
      </c>
    </row>
    <row r="191">
      <c r="A191" s="68" t="n">
        <v>188</v>
      </c>
      <c r="B191" s="68" t="n">
        <v>188</v>
      </c>
      <c r="C191" s="68" t="inlineStr">
        <is>
          <t>Item</t>
        </is>
      </c>
      <c r="D191" s="68" t="n">
        <v>3</v>
      </c>
      <c r="E191" s="68" t="n">
        <v>1633406783</v>
      </c>
    </row>
    <row r="192">
      <c r="A192" s="68" t="n">
        <v>189</v>
      </c>
      <c r="B192" s="68" t="n">
        <v>189</v>
      </c>
      <c r="C192" s="68" t="inlineStr">
        <is>
          <t>Item</t>
        </is>
      </c>
      <c r="D192" s="68" t="n">
        <v>3</v>
      </c>
      <c r="E192" s="68" t="n">
        <v>1764076875</v>
      </c>
    </row>
    <row r="193">
      <c r="A193" s="68" t="n">
        <v>190</v>
      </c>
      <c r="B193" s="68" t="n">
        <v>190</v>
      </c>
      <c r="C193" s="68" t="inlineStr">
        <is>
          <t>Item</t>
        </is>
      </c>
      <c r="D193" s="68" t="n">
        <v>3</v>
      </c>
      <c r="E193" s="68" t="n">
        <v>1905200546</v>
      </c>
    </row>
    <row r="194">
      <c r="A194" s="68" t="n">
        <v>191</v>
      </c>
      <c r="B194" s="68" t="n">
        <v>191</v>
      </c>
      <c r="C194" s="68" t="inlineStr">
        <is>
          <t>Item</t>
        </is>
      </c>
      <c r="D194" s="68" t="n">
        <v>3</v>
      </c>
      <c r="E194" s="68" t="n">
        <v>2057614083</v>
      </c>
    </row>
    <row r="195">
      <c r="A195" s="68" t="n">
        <v>192</v>
      </c>
      <c r="B195" s="68" t="n">
        <v>192</v>
      </c>
      <c r="C195" s="68" t="inlineStr">
        <is>
          <t>Item</t>
        </is>
      </c>
      <c r="D195" s="68" t="n">
        <v>3</v>
      </c>
      <c r="E195" s="68" t="n">
        <v>2222220674</v>
      </c>
    </row>
    <row r="196">
      <c r="A196" s="68" t="n">
        <v>193</v>
      </c>
      <c r="B196" s="68" t="n">
        <v>193</v>
      </c>
      <c r="C196" s="68" t="inlineStr">
        <is>
          <t>Item</t>
        </is>
      </c>
      <c r="D196" s="68" t="n">
        <v>3</v>
      </c>
      <c r="E196" s="68" t="n">
        <v>2399995764</v>
      </c>
    </row>
    <row r="197">
      <c r="A197" s="68" t="n">
        <v>194</v>
      </c>
      <c r="B197" s="68" t="n">
        <v>194</v>
      </c>
      <c r="C197" s="68" t="inlineStr">
        <is>
          <t>Item</t>
        </is>
      </c>
      <c r="D197" s="68" t="n">
        <v>3</v>
      </c>
      <c r="E197" s="68" t="n">
        <v>2591992832</v>
      </c>
    </row>
    <row r="198">
      <c r="A198" s="68" t="n">
        <v>195</v>
      </c>
      <c r="B198" s="68" t="n">
        <v>195</v>
      </c>
      <c r="C198" s="68" t="inlineStr">
        <is>
          <t>Item</t>
        </is>
      </c>
      <c r="D198" s="68" t="n">
        <v>3</v>
      </c>
      <c r="E198" s="68" t="n">
        <v>2799349637</v>
      </c>
    </row>
    <row r="199">
      <c r="A199" s="68" t="n">
        <v>196</v>
      </c>
      <c r="B199" s="68" t="n">
        <v>196</v>
      </c>
      <c r="C199" s="68" t="inlineStr">
        <is>
          <t>Item</t>
        </is>
      </c>
      <c r="D199" s="68" t="n">
        <v>3</v>
      </c>
      <c r="E199" s="68" t="n">
        <v>3023294957</v>
      </c>
    </row>
    <row r="200">
      <c r="A200" s="68" t="n">
        <v>197</v>
      </c>
      <c r="B200" s="68" t="n">
        <v>197</v>
      </c>
      <c r="C200" s="68" t="inlineStr">
        <is>
          <t>Item</t>
        </is>
      </c>
      <c r="D200" s="68" t="n">
        <v>3</v>
      </c>
      <c r="E200" s="68" t="n">
        <v>3265155873</v>
      </c>
    </row>
    <row r="201">
      <c r="A201" s="68" t="n">
        <v>198</v>
      </c>
      <c r="B201" s="68" t="n">
        <v>198</v>
      </c>
      <c r="C201" s="68" t="inlineStr">
        <is>
          <t>Item</t>
        </is>
      </c>
      <c r="D201" s="68" t="n">
        <v>3</v>
      </c>
      <c r="E201" s="68" t="n">
        <v>3526365633</v>
      </c>
    </row>
    <row r="202">
      <c r="A202" s="68" t="n">
        <v>199</v>
      </c>
      <c r="B202" s="68" t="n">
        <v>199</v>
      </c>
      <c r="C202" s="68" t="inlineStr">
        <is>
          <t>Item</t>
        </is>
      </c>
      <c r="D202" s="68" t="n">
        <v>3</v>
      </c>
      <c r="E202" s="68" t="n">
        <v>3808472145</v>
      </c>
    </row>
    <row r="203">
      <c r="A203" s="68" t="n">
        <v>200</v>
      </c>
      <c r="B203" s="68" t="n">
        <v>200</v>
      </c>
      <c r="C203" s="68" t="inlineStr">
        <is>
          <t>Item</t>
        </is>
      </c>
      <c r="D203" s="68" t="n">
        <v>3</v>
      </c>
      <c r="E203" s="68" t="n">
        <v>4113147147</v>
      </c>
    </row>
    <row r="204">
      <c r="A204" s="68" t="n">
        <v>201</v>
      </c>
      <c r="B204" s="68" t="n">
        <v>201</v>
      </c>
      <c r="C204" s="68" t="inlineStr">
        <is>
          <t>Item</t>
        </is>
      </c>
      <c r="D204" s="68" t="n">
        <v>3</v>
      </c>
      <c r="E204" s="68" t="n">
        <v>4442196120</v>
      </c>
    </row>
    <row r="205">
      <c r="A205" s="68" t="n">
        <v>202</v>
      </c>
      <c r="B205" s="68" t="n">
        <v>202</v>
      </c>
      <c r="C205" s="68" t="inlineStr">
        <is>
          <t>Item</t>
        </is>
      </c>
      <c r="D205" s="68" t="n">
        <v>3</v>
      </c>
      <c r="E205" s="68" t="n">
        <v>4797568980</v>
      </c>
    </row>
    <row r="206">
      <c r="A206" s="68" t="n">
        <v>203</v>
      </c>
      <c r="B206" s="68" t="n">
        <v>203</v>
      </c>
      <c r="C206" s="68" t="inlineStr">
        <is>
          <t>Item</t>
        </is>
      </c>
      <c r="D206" s="68" t="n">
        <v>3</v>
      </c>
      <c r="E206" s="68" t="n">
        <v>5181371640</v>
      </c>
    </row>
    <row r="207">
      <c r="A207" s="68" t="n">
        <v>204</v>
      </c>
      <c r="B207" s="68" t="n">
        <v>204</v>
      </c>
      <c r="C207" s="68" t="inlineStr">
        <is>
          <t>Item</t>
        </is>
      </c>
      <c r="D207" s="68" t="n">
        <v>3</v>
      </c>
      <c r="E207" s="68" t="n">
        <v>5595878481</v>
      </c>
    </row>
    <row r="208">
      <c r="A208" s="68" t="n">
        <v>205</v>
      </c>
      <c r="B208" s="68" t="n">
        <v>205</v>
      </c>
      <c r="C208" s="68" t="inlineStr">
        <is>
          <t>Item</t>
        </is>
      </c>
      <c r="D208" s="68" t="n">
        <v>3</v>
      </c>
      <c r="E208" s="68" t="n">
        <v>6043545839</v>
      </c>
    </row>
    <row r="209">
      <c r="A209" s="68" t="n">
        <v>206</v>
      </c>
      <c r="B209" s="68" t="n">
        <v>206</v>
      </c>
      <c r="C209" s="68" t="inlineStr">
        <is>
          <t>Item</t>
        </is>
      </c>
      <c r="D209" s="68" t="n">
        <v>3</v>
      </c>
      <c r="E209" s="68" t="n">
        <v>6527026555</v>
      </c>
    </row>
    <row r="210">
      <c r="A210" s="68" t="n">
        <v>207</v>
      </c>
      <c r="B210" s="68" t="n">
        <v>207</v>
      </c>
      <c r="C210" s="68" t="inlineStr">
        <is>
          <t>Item</t>
        </is>
      </c>
      <c r="D210" s="68" t="n">
        <v>3</v>
      </c>
      <c r="E210" s="68" t="n">
        <v>7049185698</v>
      </c>
    </row>
    <row r="211">
      <c r="A211" s="68" t="n">
        <v>208</v>
      </c>
      <c r="B211" s="68" t="n">
        <v>208</v>
      </c>
      <c r="C211" s="68" t="inlineStr">
        <is>
          <t>Item</t>
        </is>
      </c>
      <c r="D211" s="68" t="n">
        <v>3</v>
      </c>
      <c r="E211" s="68" t="n">
        <v>7613117541</v>
      </c>
    </row>
    <row r="212">
      <c r="A212" s="68" t="n">
        <v>209</v>
      </c>
      <c r="B212" s="68" t="n">
        <v>209</v>
      </c>
      <c r="C212" s="68" t="inlineStr">
        <is>
          <t>Item</t>
        </is>
      </c>
      <c r="D212" s="68" t="n">
        <v>3</v>
      </c>
      <c r="E212" s="68" t="n">
        <v>8222163900</v>
      </c>
    </row>
    <row r="213">
      <c r="A213" s="68" t="n">
        <v>210</v>
      </c>
      <c r="B213" s="68" t="n">
        <v>210</v>
      </c>
      <c r="C213" s="68" t="inlineStr">
        <is>
          <t>Item</t>
        </is>
      </c>
      <c r="D213" s="68" t="n">
        <v>3</v>
      </c>
      <c r="E213" s="68" t="n">
        <v>8879933936</v>
      </c>
    </row>
    <row r="214">
      <c r="A214" s="68" t="n">
        <v>211</v>
      </c>
      <c r="B214" s="68" t="n">
        <v>211</v>
      </c>
      <c r="C214" s="68" t="inlineStr">
        <is>
          <t>Item</t>
        </is>
      </c>
      <c r="D214" s="68" t="n">
        <v>3</v>
      </c>
      <c r="E214" s="68" t="n">
        <v>9590325544</v>
      </c>
    </row>
    <row r="215">
      <c r="A215" s="68" t="n">
        <v>212</v>
      </c>
      <c r="B215" s="68" t="n">
        <v>212</v>
      </c>
      <c r="C215" s="68" t="inlineStr">
        <is>
          <t>Item</t>
        </is>
      </c>
      <c r="D215" s="68" t="n">
        <v>3</v>
      </c>
      <c r="E215" s="68" t="n">
        <v>10357548449</v>
      </c>
    </row>
    <row r="216">
      <c r="A216" s="68" t="n">
        <v>213</v>
      </c>
      <c r="B216" s="68" t="n">
        <v>213</v>
      </c>
      <c r="C216" s="68" t="inlineStr">
        <is>
          <t>Item</t>
        </is>
      </c>
      <c r="D216" s="68" t="n">
        <v>3</v>
      </c>
      <c r="E216" s="68" t="n">
        <v>11186149155</v>
      </c>
    </row>
    <row r="217">
      <c r="A217" s="68" t="n">
        <v>214</v>
      </c>
      <c r="B217" s="68" t="n">
        <v>214</v>
      </c>
      <c r="C217" s="68" t="inlineStr">
        <is>
          <t>Item</t>
        </is>
      </c>
      <c r="D217" s="68" t="n">
        <v>3</v>
      </c>
      <c r="E217" s="68" t="n">
        <v>12081037885</v>
      </c>
    </row>
    <row r="218">
      <c r="A218" s="68" t="n">
        <v>215</v>
      </c>
      <c r="B218" s="68" t="n">
        <v>215</v>
      </c>
      <c r="C218" s="68" t="inlineStr">
        <is>
          <t>Item</t>
        </is>
      </c>
      <c r="D218" s="68" t="n">
        <v>3</v>
      </c>
      <c r="E218" s="68" t="n">
        <v>13047517681</v>
      </c>
    </row>
    <row r="219">
      <c r="A219" s="68" t="n">
        <v>216</v>
      </c>
      <c r="B219" s="68" t="n">
        <v>216</v>
      </c>
      <c r="C219" s="68" t="inlineStr">
        <is>
          <t>Item</t>
        </is>
      </c>
      <c r="D219" s="68" t="n">
        <v>3</v>
      </c>
      <c r="E219" s="68" t="n">
        <v>14091315828</v>
      </c>
    </row>
    <row r="220">
      <c r="A220" s="68" t="n">
        <v>217</v>
      </c>
      <c r="B220" s="68" t="n">
        <v>217</v>
      </c>
      <c r="C220" s="68" t="inlineStr">
        <is>
          <t>Item</t>
        </is>
      </c>
      <c r="D220" s="68" t="n">
        <v>3</v>
      </c>
      <c r="E220" s="68" t="n">
        <v>15218617795</v>
      </c>
    </row>
    <row r="221">
      <c r="A221" s="68" t="n">
        <v>218</v>
      </c>
      <c r="B221" s="68" t="n">
        <v>218</v>
      </c>
      <c r="C221" s="68" t="inlineStr">
        <is>
          <t>Item</t>
        </is>
      </c>
      <c r="D221" s="68" t="n">
        <v>3</v>
      </c>
      <c r="E221" s="68" t="n">
        <v>16436103886</v>
      </c>
    </row>
    <row r="222">
      <c r="A222" s="68" t="n">
        <v>219</v>
      </c>
      <c r="B222" s="68" t="n">
        <v>219</v>
      </c>
      <c r="C222" s="68" t="inlineStr">
        <is>
          <t>Item</t>
        </is>
      </c>
      <c r="D222" s="68" t="n">
        <v>3</v>
      </c>
      <c r="E222" s="68" t="n">
        <v>17750988832</v>
      </c>
    </row>
    <row r="223">
      <c r="A223" s="68" t="n">
        <v>220</v>
      </c>
      <c r="B223" s="68" t="n">
        <v>220</v>
      </c>
      <c r="C223" s="68" t="inlineStr">
        <is>
          <t>Item</t>
        </is>
      </c>
      <c r="D223" s="68" t="n">
        <v>3</v>
      </c>
      <c r="E223" s="68" t="n">
        <v>19171064541</v>
      </c>
    </row>
    <row r="224">
      <c r="A224" s="68" t="n">
        <v>221</v>
      </c>
      <c r="B224" s="68" t="n">
        <v>221</v>
      </c>
      <c r="C224" s="68" t="inlineStr">
        <is>
          <t>Item</t>
        </is>
      </c>
      <c r="D224" s="68" t="n">
        <v>3</v>
      </c>
      <c r="E224" s="68" t="n">
        <v>20704746273</v>
      </c>
    </row>
    <row r="225">
      <c r="A225" s="68" t="n">
        <v>222</v>
      </c>
      <c r="B225" s="68" t="n">
        <v>222</v>
      </c>
      <c r="C225" s="68" t="inlineStr">
        <is>
          <t>Item</t>
        </is>
      </c>
      <c r="D225" s="68" t="n">
        <v>3</v>
      </c>
      <c r="E225" s="68" t="n">
        <v>22361122511</v>
      </c>
    </row>
    <row r="226">
      <c r="A226" s="68" t="n">
        <v>223</v>
      </c>
      <c r="B226" s="68" t="n">
        <v>223</v>
      </c>
      <c r="C226" s="68" t="inlineStr">
        <is>
          <t>Item</t>
        </is>
      </c>
      <c r="D226" s="68" t="n">
        <v>3</v>
      </c>
      <c r="E226" s="68" t="n">
        <v>24150008814</v>
      </c>
    </row>
    <row r="227">
      <c r="A227" s="68" t="n">
        <v>224</v>
      </c>
      <c r="B227" s="68" t="n">
        <v>224</v>
      </c>
      <c r="C227" s="68" t="inlineStr">
        <is>
          <t>Item</t>
        </is>
      </c>
      <c r="D227" s="68" t="n">
        <v>3</v>
      </c>
      <c r="E227" s="68" t="n">
        <v>26082005988</v>
      </c>
    </row>
    <row r="228">
      <c r="A228" s="68" t="n">
        <v>225</v>
      </c>
      <c r="B228" s="68" t="n">
        <v>225</v>
      </c>
      <c r="C228" s="68" t="inlineStr">
        <is>
          <t>Item</t>
        </is>
      </c>
      <c r="D228" s="68" t="n">
        <v>3</v>
      </c>
      <c r="E228" s="68" t="n">
        <v>28168562902</v>
      </c>
    </row>
    <row r="229">
      <c r="A229" s="68" t="n">
        <v>226</v>
      </c>
      <c r="B229" s="68" t="n">
        <v>226</v>
      </c>
      <c r="C229" s="68" t="inlineStr">
        <is>
          <t>Item</t>
        </is>
      </c>
      <c r="D229" s="68" t="n">
        <v>3</v>
      </c>
      <c r="E229" s="68" t="n">
        <v>30422044335</v>
      </c>
    </row>
    <row r="230">
      <c r="A230" s="68" t="n">
        <v>227</v>
      </c>
      <c r="B230" s="68" t="n">
        <v>227</v>
      </c>
      <c r="C230" s="68" t="inlineStr">
        <is>
          <t>Item</t>
        </is>
      </c>
      <c r="D230" s="68" t="n">
        <v>3</v>
      </c>
      <c r="E230" s="68" t="n">
        <v>32855804249</v>
      </c>
    </row>
    <row r="231">
      <c r="A231" s="68" t="n">
        <v>228</v>
      </c>
      <c r="B231" s="68" t="n">
        <v>228</v>
      </c>
      <c r="C231" s="68" t="inlineStr">
        <is>
          <t>Item</t>
        </is>
      </c>
      <c r="D231" s="68" t="n">
        <v>3</v>
      </c>
      <c r="E231" s="68" t="n">
        <v>35484264921</v>
      </c>
    </row>
    <row r="232">
      <c r="A232" s="68" t="n">
        <v>229</v>
      </c>
      <c r="B232" s="68" t="n">
        <v>229</v>
      </c>
      <c r="C232" s="68" t="inlineStr">
        <is>
          <t>Item</t>
        </is>
      </c>
      <c r="D232" s="68" t="n">
        <v>3</v>
      </c>
      <c r="E232" s="68" t="n">
        <v>38323002413</v>
      </c>
    </row>
    <row r="233">
      <c r="A233" s="68" t="n">
        <v>230</v>
      </c>
      <c r="B233" s="68" t="n">
        <v>230</v>
      </c>
      <c r="C233" s="68" t="inlineStr">
        <is>
          <t>Item</t>
        </is>
      </c>
      <c r="D233" s="68" t="n">
        <v>3</v>
      </c>
      <c r="E233" s="68" t="n">
        <v>41388838870</v>
      </c>
    </row>
    <row r="234">
      <c r="A234" s="68" t="n">
        <v>231</v>
      </c>
      <c r="B234" s="68" t="n">
        <v>231</v>
      </c>
      <c r="C234" s="68" t="inlineStr">
        <is>
          <t>Item</t>
        </is>
      </c>
      <c r="D234" s="68" t="n">
        <v>3</v>
      </c>
      <c r="E234" s="68" t="n">
        <v>44699942209</v>
      </c>
    </row>
    <row r="235">
      <c r="A235" s="68" t="n">
        <v>232</v>
      </c>
      <c r="B235" s="68" t="n">
        <v>232</v>
      </c>
      <c r="C235" s="68" t="inlineStr">
        <is>
          <t>Item</t>
        </is>
      </c>
      <c r="D235" s="68" t="n">
        <v>3</v>
      </c>
      <c r="E235" s="68" t="n">
        <v>48275933779</v>
      </c>
    </row>
    <row r="236">
      <c r="A236" s="68" t="n">
        <v>233</v>
      </c>
      <c r="B236" s="68" t="n">
        <v>233</v>
      </c>
      <c r="C236" s="68" t="inlineStr">
        <is>
          <t>Item</t>
        </is>
      </c>
      <c r="D236" s="68" t="n">
        <v>3</v>
      </c>
      <c r="E236" s="68" t="n">
        <v>52138004641</v>
      </c>
    </row>
    <row r="237">
      <c r="A237" s="68" t="n">
        <v>234</v>
      </c>
      <c r="B237" s="68" t="n">
        <v>234</v>
      </c>
      <c r="C237" s="68" t="inlineStr">
        <is>
          <t>Item</t>
        </is>
      </c>
      <c r="D237" s="68" t="n">
        <v>3</v>
      </c>
      <c r="E237" s="68" t="n">
        <v>56309041136</v>
      </c>
    </row>
    <row r="238">
      <c r="A238" s="68" t="n">
        <v>235</v>
      </c>
      <c r="B238" s="68" t="n">
        <v>235</v>
      </c>
      <c r="C238" s="68" t="inlineStr">
        <is>
          <t>Item</t>
        </is>
      </c>
      <c r="D238" s="68" t="n">
        <v>3</v>
      </c>
      <c r="E238" s="68" t="n">
        <v>60813760515</v>
      </c>
    </row>
    <row r="239">
      <c r="A239" s="68" t="n">
        <v>236</v>
      </c>
      <c r="B239" s="68" t="n">
        <v>236</v>
      </c>
      <c r="C239" s="68" t="inlineStr">
        <is>
          <t>Item</t>
        </is>
      </c>
      <c r="D239" s="68" t="n">
        <v>3</v>
      </c>
      <c r="E239" s="68" t="n">
        <v>65678857409</v>
      </c>
    </row>
    <row r="240">
      <c r="A240" s="68" t="n">
        <v>237</v>
      </c>
      <c r="B240" s="68" t="n">
        <v>237</v>
      </c>
      <c r="C240" s="68" t="inlineStr">
        <is>
          <t>Item</t>
        </is>
      </c>
      <c r="D240" s="68" t="n">
        <v>3</v>
      </c>
      <c r="E240" s="68" t="n">
        <v>70933162020</v>
      </c>
    </row>
    <row r="241">
      <c r="A241" s="68" t="n">
        <v>238</v>
      </c>
      <c r="B241" s="68" t="n">
        <v>238</v>
      </c>
      <c r="C241" s="68" t="inlineStr">
        <is>
          <t>Item</t>
        </is>
      </c>
      <c r="D241" s="68" t="n">
        <v>3</v>
      </c>
      <c r="E241" s="68" t="n">
        <v>76607810963</v>
      </c>
    </row>
    <row r="242">
      <c r="A242" s="68" t="n">
        <v>239</v>
      </c>
      <c r="B242" s="68" t="n">
        <v>239</v>
      </c>
      <c r="C242" s="68" t="inlineStr">
        <is>
          <t>Item</t>
        </is>
      </c>
      <c r="D242" s="68" t="n">
        <v>3</v>
      </c>
      <c r="E242" s="68" t="n">
        <v>82736431785</v>
      </c>
    </row>
    <row r="243">
      <c r="A243" s="68" t="n">
        <v>240</v>
      </c>
      <c r="B243" s="68" t="n">
        <v>240</v>
      </c>
      <c r="C243" s="68" t="inlineStr">
        <is>
          <t>Item</t>
        </is>
      </c>
      <c r="D243" s="68" t="n">
        <v>3</v>
      </c>
      <c r="E243" s="68" t="n">
        <v>89355342237</v>
      </c>
    </row>
    <row r="244">
      <c r="A244" s="68" t="n">
        <v>241</v>
      </c>
      <c r="B244" s="68" t="n">
        <v>241</v>
      </c>
      <c r="C244" s="68" t="inlineStr">
        <is>
          <t>Item</t>
        </is>
      </c>
      <c r="D244" s="68" t="n">
        <v>3</v>
      </c>
      <c r="E244" s="68" t="n">
        <v>96503765489</v>
      </c>
    </row>
    <row r="245">
      <c r="A245" s="68" t="n">
        <v>242</v>
      </c>
      <c r="B245" s="68" t="n">
        <v>242</v>
      </c>
      <c r="C245" s="68" t="inlineStr">
        <is>
          <t>Item</t>
        </is>
      </c>
      <c r="D245" s="68" t="n">
        <v>3</v>
      </c>
      <c r="E245" s="68" t="n">
        <v>104224062565</v>
      </c>
    </row>
    <row r="246">
      <c r="A246" s="68" t="n">
        <v>243</v>
      </c>
      <c r="B246" s="68" t="n">
        <v>243</v>
      </c>
      <c r="C246" s="68" t="inlineStr">
        <is>
          <t>Item</t>
        </is>
      </c>
      <c r="D246" s="68" t="n">
        <v>3</v>
      </c>
      <c r="E246" s="68" t="n">
        <v>112561983370</v>
      </c>
    </row>
    <row r="247">
      <c r="A247" s="68" t="n">
        <v>244</v>
      </c>
      <c r="B247" s="68" t="n">
        <v>244</v>
      </c>
      <c r="C247" s="68" t="inlineStr">
        <is>
          <t>Item</t>
        </is>
      </c>
      <c r="D247" s="68" t="n">
        <v>3</v>
      </c>
      <c r="E247" s="68" t="n">
        <v>121566937803</v>
      </c>
    </row>
    <row r="248">
      <c r="A248" s="68" t="n">
        <v>245</v>
      </c>
      <c r="B248" s="68" t="n">
        <v>245</v>
      </c>
      <c r="C248" s="68" t="inlineStr">
        <is>
          <t>Item</t>
        </is>
      </c>
      <c r="D248" s="68" t="n">
        <v>3</v>
      </c>
      <c r="E248" s="68" t="n">
        <v>131292288553</v>
      </c>
    </row>
    <row r="249">
      <c r="A249" s="68" t="n">
        <v>246</v>
      </c>
      <c r="B249" s="68" t="n">
        <v>246</v>
      </c>
      <c r="C249" s="68" t="inlineStr">
        <is>
          <t>Item</t>
        </is>
      </c>
      <c r="D249" s="68" t="n">
        <v>3</v>
      </c>
      <c r="E249" s="68" t="n">
        <v>141795667326</v>
      </c>
    </row>
    <row r="250">
      <c r="A250" s="68" t="n">
        <v>247</v>
      </c>
      <c r="B250" s="68" t="n">
        <v>247</v>
      </c>
      <c r="C250" s="68" t="inlineStr">
        <is>
          <t>Item</t>
        </is>
      </c>
      <c r="D250" s="68" t="n">
        <v>3</v>
      </c>
      <c r="E250" s="68" t="n">
        <v>153139316364</v>
      </c>
    </row>
    <row r="251">
      <c r="A251" s="68" t="n">
        <v>248</v>
      </c>
      <c r="B251" s="68" t="n">
        <v>248</v>
      </c>
      <c r="C251" s="68" t="inlineStr">
        <is>
          <t>Item</t>
        </is>
      </c>
      <c r="D251" s="68" t="n">
        <v>3</v>
      </c>
      <c r="E251" s="68" t="n">
        <v>165390457287</v>
      </c>
    </row>
    <row r="252">
      <c r="A252" s="68" t="n">
        <v>249</v>
      </c>
      <c r="B252" s="68" t="n">
        <v>249</v>
      </c>
      <c r="C252" s="68" t="inlineStr">
        <is>
          <t>Item</t>
        </is>
      </c>
      <c r="D252" s="68" t="n">
        <v>3</v>
      </c>
      <c r="E252" s="68" t="n">
        <v>178621689447</v>
      </c>
    </row>
    <row r="253">
      <c r="A253" s="68" t="n">
        <v>250</v>
      </c>
      <c r="B253" s="68" t="n">
        <v>250</v>
      </c>
      <c r="C253" s="68" t="inlineStr">
        <is>
          <t>Item</t>
        </is>
      </c>
      <c r="D253" s="68" t="n">
        <v>3</v>
      </c>
      <c r="E253" s="68" t="n">
        <v>192911420142</v>
      </c>
    </row>
    <row r="254">
      <c r="A254" s="68" t="n">
        <v>251</v>
      </c>
      <c r="B254" s="68" t="n">
        <v>251</v>
      </c>
      <c r="C254" s="68" t="inlineStr">
        <is>
          <t>Item</t>
        </is>
      </c>
      <c r="D254" s="68" t="n">
        <v>3</v>
      </c>
      <c r="E254" s="68" t="n">
        <v>208344329254</v>
      </c>
    </row>
    <row r="255">
      <c r="A255" s="68" t="n">
        <v>252</v>
      </c>
      <c r="B255" s="68" t="n">
        <v>252</v>
      </c>
      <c r="C255" s="68" t="inlineStr">
        <is>
          <t>Item</t>
        </is>
      </c>
      <c r="D255" s="68" t="n">
        <v>3</v>
      </c>
      <c r="E255" s="68" t="n">
        <v>225011871057</v>
      </c>
    </row>
    <row r="256">
      <c r="A256" s="68" t="n">
        <v>253</v>
      </c>
      <c r="B256" s="68" t="n">
        <v>253</v>
      </c>
      <c r="C256" s="68" t="inlineStr">
        <is>
          <t>Item</t>
        </is>
      </c>
      <c r="D256" s="68" t="n">
        <v>3</v>
      </c>
      <c r="E256" s="68" t="n">
        <v>243012816167</v>
      </c>
    </row>
    <row r="257">
      <c r="A257" s="68" t="n">
        <v>254</v>
      </c>
      <c r="B257" s="68" t="n">
        <v>254</v>
      </c>
      <c r="C257" s="68" t="inlineStr">
        <is>
          <t>Item</t>
        </is>
      </c>
      <c r="D257" s="68" t="n">
        <v>3</v>
      </c>
      <c r="E257" s="68" t="n">
        <v>262453836846</v>
      </c>
    </row>
    <row r="258">
      <c r="A258" s="68" t="n">
        <v>255</v>
      </c>
      <c r="B258" s="68" t="n">
        <v>255</v>
      </c>
      <c r="C258" s="68" t="inlineStr">
        <is>
          <t>Item</t>
        </is>
      </c>
      <c r="D258" s="68" t="n">
        <v>3</v>
      </c>
      <c r="E258" s="68" t="n">
        <v>283450139142</v>
      </c>
    </row>
    <row r="259">
      <c r="A259" s="68" t="n">
        <v>256</v>
      </c>
      <c r="B259" s="68" t="n">
        <v>256</v>
      </c>
      <c r="C259" s="68" t="inlineStr">
        <is>
          <t>Item</t>
        </is>
      </c>
      <c r="D259" s="68" t="n">
        <v>3</v>
      </c>
      <c r="E259" s="68" t="n">
        <v>306126145582</v>
      </c>
    </row>
    <row r="260">
      <c r="A260" s="68" t="n">
        <v>257</v>
      </c>
      <c r="B260" s="68" t="n">
        <v>257</v>
      </c>
      <c r="C260" s="68" t="inlineStr">
        <is>
          <t>Item</t>
        </is>
      </c>
      <c r="D260" s="68" t="n">
        <v>3</v>
      </c>
      <c r="E260" s="68" t="n">
        <v>330616232499</v>
      </c>
    </row>
    <row r="261">
      <c r="A261" s="68" t="n">
        <v>258</v>
      </c>
      <c r="B261" s="68" t="n">
        <v>258</v>
      </c>
      <c r="C261" s="68" t="inlineStr">
        <is>
          <t>Item</t>
        </is>
      </c>
      <c r="D261" s="68" t="n">
        <v>3</v>
      </c>
      <c r="E261" s="68" t="n">
        <v>357065526330</v>
      </c>
    </row>
    <row r="262">
      <c r="A262" s="68" t="n">
        <v>259</v>
      </c>
      <c r="B262" s="68" t="n">
        <v>259</v>
      </c>
      <c r="C262" s="68" t="inlineStr">
        <is>
          <t>Item</t>
        </is>
      </c>
      <c r="D262" s="68" t="n">
        <v>3</v>
      </c>
      <c r="E262" s="68" t="n">
        <v>385630763628</v>
      </c>
    </row>
    <row r="263">
      <c r="A263" s="68" t="n">
        <v>260</v>
      </c>
      <c r="B263" s="68" t="n">
        <v>260</v>
      </c>
      <c r="C263" s="68" t="inlineStr">
        <is>
          <t>Item</t>
        </is>
      </c>
      <c r="D263" s="68" t="n">
        <v>3</v>
      </c>
      <c r="E263" s="68" t="n">
        <v>416481219871</v>
      </c>
    </row>
    <row r="264">
      <c r="A264" s="68" t="n">
        <v>261</v>
      </c>
      <c r="B264" s="68" t="n">
        <v>261</v>
      </c>
      <c r="C264" s="68" t="inlineStr">
        <is>
          <t>Item</t>
        </is>
      </c>
      <c r="D264" s="68" t="n">
        <v>3</v>
      </c>
      <c r="E264" s="68" t="n">
        <v>449799712573</v>
      </c>
    </row>
    <row r="265">
      <c r="A265" s="68" t="n">
        <v>262</v>
      </c>
      <c r="B265" s="68" t="n">
        <v>262</v>
      </c>
      <c r="C265" s="68" t="inlineStr">
        <is>
          <t>Item</t>
        </is>
      </c>
      <c r="D265" s="68" t="n">
        <v>3</v>
      </c>
      <c r="E265" s="68" t="n">
        <v>485783684652</v>
      </c>
    </row>
    <row r="266">
      <c r="A266" s="68" t="n">
        <v>263</v>
      </c>
      <c r="B266" s="68" t="n">
        <v>263</v>
      </c>
      <c r="C266" s="68" t="inlineStr">
        <is>
          <t>Item</t>
        </is>
      </c>
      <c r="D266" s="68" t="n">
        <v>3</v>
      </c>
      <c r="E266" s="68" t="n">
        <v>524646374458</v>
      </c>
    </row>
    <row r="267">
      <c r="A267" s="68" t="n">
        <v>264</v>
      </c>
      <c r="B267" s="68" t="n">
        <v>264</v>
      </c>
      <c r="C267" s="68" t="inlineStr">
        <is>
          <t>Item</t>
        </is>
      </c>
      <c r="D267" s="68" t="n">
        <v>3</v>
      </c>
      <c r="E267" s="68" t="n">
        <v>566618079408</v>
      </c>
    </row>
    <row r="268">
      <c r="A268" s="68" t="n">
        <v>265</v>
      </c>
      <c r="B268" s="68" t="n">
        <v>265</v>
      </c>
      <c r="C268" s="68" t="inlineStr">
        <is>
          <t>Item</t>
        </is>
      </c>
      <c r="D268" s="68" t="n">
        <v>3</v>
      </c>
      <c r="E268" s="68" t="n">
        <v>611947520714</v>
      </c>
    </row>
    <row r="269">
      <c r="A269" s="68" t="n">
        <v>266</v>
      </c>
      <c r="B269" s="68" t="n">
        <v>266</v>
      </c>
      <c r="C269" s="68" t="inlineStr">
        <is>
          <t>Item</t>
        </is>
      </c>
      <c r="D269" s="68" t="n">
        <v>3</v>
      </c>
      <c r="E269" s="68" t="n">
        <v>660903317284</v>
      </c>
    </row>
    <row r="270">
      <c r="A270" s="68" t="n">
        <v>267</v>
      </c>
      <c r="B270" s="68" t="n">
        <v>267</v>
      </c>
      <c r="C270" s="68" t="inlineStr">
        <is>
          <t>Item</t>
        </is>
      </c>
      <c r="D270" s="68" t="n">
        <v>3</v>
      </c>
      <c r="E270" s="68" t="n">
        <v>713775577540</v>
      </c>
    </row>
    <row r="271">
      <c r="A271" s="68" t="n">
        <v>268</v>
      </c>
      <c r="B271" s="68" t="n">
        <v>268</v>
      </c>
      <c r="C271" s="68" t="inlineStr">
        <is>
          <t>Item</t>
        </is>
      </c>
      <c r="D271" s="68" t="n">
        <v>3</v>
      </c>
      <c r="E271" s="68" t="n">
        <v>770877618575</v>
      </c>
    </row>
    <row r="272">
      <c r="A272" s="68" t="n">
        <v>269</v>
      </c>
      <c r="B272" s="68" t="n">
        <v>269</v>
      </c>
      <c r="C272" s="68" t="inlineStr">
        <is>
          <t>Item</t>
        </is>
      </c>
      <c r="D272" s="68" t="n">
        <v>3</v>
      </c>
      <c r="E272" s="68" t="n">
        <v>832547822852</v>
      </c>
    </row>
    <row r="273">
      <c r="A273" s="68" t="n">
        <v>270</v>
      </c>
      <c r="B273" s="68" t="n">
        <v>270</v>
      </c>
      <c r="C273" s="68" t="inlineStr">
        <is>
          <t>Item</t>
        </is>
      </c>
      <c r="D273" s="68" t="n">
        <v>3</v>
      </c>
      <c r="E273" s="68" t="n">
        <v>899151643430</v>
      </c>
    </row>
    <row r="274">
      <c r="A274" s="68" t="n">
        <v>271</v>
      </c>
      <c r="B274" s="68" t="n">
        <v>271</v>
      </c>
      <c r="C274" s="68" t="inlineStr">
        <is>
          <t>Item</t>
        </is>
      </c>
      <c r="D274" s="68" t="n">
        <v>3</v>
      </c>
      <c r="E274" s="68" t="n">
        <v>971083769613</v>
      </c>
    </row>
    <row r="275">
      <c r="A275" s="68" t="n">
        <v>272</v>
      </c>
      <c r="B275" s="68" t="n">
        <v>272</v>
      </c>
      <c r="C275" s="68" t="inlineStr">
        <is>
          <t>Item</t>
        </is>
      </c>
      <c r="D275" s="68" t="n">
        <v>3</v>
      </c>
      <c r="E275" s="68" t="n">
        <v>1048770465850</v>
      </c>
    </row>
    <row r="276">
      <c r="A276" s="68" t="n">
        <v>273</v>
      </c>
      <c r="B276" s="68" t="n">
        <v>273</v>
      </c>
      <c r="C276" s="68" t="inlineStr">
        <is>
          <t>Item</t>
        </is>
      </c>
      <c r="D276" s="68" t="n">
        <v>3</v>
      </c>
      <c r="E276" s="68" t="n">
        <v>1132672097744</v>
      </c>
    </row>
    <row r="277">
      <c r="A277" s="68" t="n">
        <v>274</v>
      </c>
      <c r="B277" s="68" t="n">
        <v>274</v>
      </c>
      <c r="C277" s="68" t="inlineStr">
        <is>
          <t>Item</t>
        </is>
      </c>
      <c r="D277" s="68" t="n">
        <v>3</v>
      </c>
      <c r="E277" s="68" t="n">
        <v>1223285860149</v>
      </c>
    </row>
    <row r="278">
      <c r="A278" s="68" t="n">
        <v>275</v>
      </c>
      <c r="B278" s="68" t="n">
        <v>275</v>
      </c>
      <c r="C278" s="68" t="inlineStr">
        <is>
          <t>Item</t>
        </is>
      </c>
      <c r="D278" s="68" t="n">
        <v>3</v>
      </c>
      <c r="E278" s="68" t="n">
        <v>1321148723503</v>
      </c>
    </row>
    <row r="279">
      <c r="A279" s="68" t="n">
        <v>276</v>
      </c>
      <c r="B279" s="68" t="n">
        <v>276</v>
      </c>
      <c r="C279" s="68" t="inlineStr">
        <is>
          <t>Item</t>
        </is>
      </c>
      <c r="D279" s="68" t="n">
        <v>3</v>
      </c>
      <c r="E279" s="68" t="n">
        <v>1426840615885</v>
      </c>
    </row>
    <row r="280">
      <c r="A280" s="68" t="n">
        <v>277</v>
      </c>
      <c r="B280" s="68" t="n">
        <v>277</v>
      </c>
      <c r="C280" s="68" t="inlineStr">
        <is>
          <t>Item</t>
        </is>
      </c>
      <c r="D280" s="68" t="n">
        <v>3</v>
      </c>
      <c r="E280" s="68" t="n">
        <v>1540987859614</v>
      </c>
    </row>
    <row r="281">
      <c r="A281" s="68" t="n">
        <v>278</v>
      </c>
      <c r="B281" s="68" t="n">
        <v>278</v>
      </c>
      <c r="C281" s="68" t="inlineStr">
        <is>
          <t>Item</t>
        </is>
      </c>
      <c r="D281" s="68" t="n">
        <v>3</v>
      </c>
      <c r="E281" s="68" t="n">
        <v>1664266882800</v>
      </c>
    </row>
    <row r="282">
      <c r="A282" s="68" t="n">
        <v>279</v>
      </c>
      <c r="B282" s="68" t="n">
        <v>279</v>
      </c>
      <c r="C282" s="68" t="inlineStr">
        <is>
          <t>Item</t>
        </is>
      </c>
      <c r="D282" s="68" t="n">
        <v>3</v>
      </c>
      <c r="E282" s="68" t="n">
        <v>1797408227799</v>
      </c>
    </row>
    <row r="283">
      <c r="A283" s="68" t="n">
        <v>280</v>
      </c>
      <c r="B283" s="68" t="n">
        <v>280</v>
      </c>
      <c r="C283" s="68" t="inlineStr">
        <is>
          <t>Item</t>
        </is>
      </c>
      <c r="D283" s="68" t="n">
        <v>3</v>
      </c>
      <c r="E283" s="68" t="n">
        <v>1941200880354</v>
      </c>
    </row>
    <row r="284">
      <c r="A284" s="68" t="n">
        <v>281</v>
      </c>
      <c r="B284" s="68" t="n">
        <v>281</v>
      </c>
      <c r="C284" s="68" t="inlineStr">
        <is>
          <t>Item</t>
        </is>
      </c>
      <c r="D284" s="68" t="n">
        <v>3</v>
      </c>
      <c r="E284" s="68" t="n">
        <v>2096496945072</v>
      </c>
    </row>
    <row r="285">
      <c r="A285" s="68" t="n">
        <v>282</v>
      </c>
      <c r="B285" s="68" t="n">
        <v>282</v>
      </c>
      <c r="C285" s="68" t="inlineStr">
        <is>
          <t>Item</t>
        </is>
      </c>
      <c r="D285" s="68" t="n">
        <v>3</v>
      </c>
      <c r="E285" s="68" t="n">
        <v>2264216694923</v>
      </c>
    </row>
    <row r="286">
      <c r="A286" s="68" t="n">
        <v>283</v>
      </c>
      <c r="B286" s="68" t="n">
        <v>283</v>
      </c>
      <c r="C286" s="68" t="inlineStr">
        <is>
          <t>Item</t>
        </is>
      </c>
      <c r="D286" s="68" t="n">
        <v>3</v>
      </c>
      <c r="E286" s="68" t="n">
        <v>2445354024720</v>
      </c>
    </row>
    <row r="287">
      <c r="A287" s="68" t="n">
        <v>284</v>
      </c>
      <c r="B287" s="68" t="n">
        <v>284</v>
      </c>
      <c r="C287" s="68" t="inlineStr">
        <is>
          <t>Item</t>
        </is>
      </c>
      <c r="D287" s="68" t="n">
        <v>3</v>
      </c>
      <c r="E287" s="68" t="n">
        <v>2640982340858</v>
      </c>
    </row>
    <row r="288">
      <c r="A288" s="68" t="n">
        <v>285</v>
      </c>
      <c r="B288" s="68" t="n">
        <v>285</v>
      </c>
      <c r="C288" s="68" t="inlineStr">
        <is>
          <t>Item</t>
        </is>
      </c>
      <c r="D288" s="68" t="n">
        <v>3</v>
      </c>
      <c r="E288" s="68" t="n">
        <v>2852260922243</v>
      </c>
    </row>
    <row r="289">
      <c r="A289" s="68" t="n">
        <v>286</v>
      </c>
      <c r="B289" s="68" t="n">
        <v>286</v>
      </c>
      <c r="C289" s="68" t="inlineStr">
        <is>
          <t>Item</t>
        </is>
      </c>
      <c r="D289" s="68" t="n">
        <v>3</v>
      </c>
      <c r="E289" s="68" t="n">
        <v>3080441790095</v>
      </c>
    </row>
    <row r="290">
      <c r="A290" s="68" t="n">
        <v>287</v>
      </c>
      <c r="B290" s="68" t="n">
        <v>287</v>
      </c>
      <c r="C290" s="68" t="inlineStr">
        <is>
          <t>Item</t>
        </is>
      </c>
      <c r="D290" s="68" t="n">
        <v>3</v>
      </c>
      <c r="E290" s="68" t="n">
        <v>3326877127332</v>
      </c>
    </row>
    <row r="291">
      <c r="A291" s="68" t="n">
        <v>288</v>
      </c>
      <c r="B291" s="68" t="n">
        <v>288</v>
      </c>
      <c r="C291" s="68" t="inlineStr">
        <is>
          <t>Item</t>
        </is>
      </c>
      <c r="D291" s="68" t="n">
        <v>3</v>
      </c>
      <c r="E291" s="68" t="n">
        <v>3593027291504</v>
      </c>
    </row>
    <row r="292">
      <c r="A292" s="68" t="n">
        <v>289</v>
      </c>
      <c r="B292" s="68" t="n">
        <v>289</v>
      </c>
      <c r="C292" s="68" t="inlineStr">
        <is>
          <t>Item</t>
        </is>
      </c>
      <c r="D292" s="68" t="n">
        <v>3</v>
      </c>
      <c r="E292" s="68" t="n">
        <v>3880469468766</v>
      </c>
    </row>
    <row r="293">
      <c r="A293" s="68" t="n">
        <v>290</v>
      </c>
      <c r="B293" s="68" t="n">
        <v>290</v>
      </c>
      <c r="C293" s="68" t="inlineStr">
        <is>
          <t>Item</t>
        </is>
      </c>
      <c r="D293" s="68" t="n">
        <v>3</v>
      </c>
      <c r="E293" s="68" t="n">
        <v>4190907020165</v>
      </c>
    </row>
    <row r="294">
      <c r="A294" s="68" t="n">
        <v>291</v>
      </c>
      <c r="B294" s="68" t="n">
        <v>291</v>
      </c>
      <c r="C294" s="68" t="inlineStr">
        <is>
          <t>Item</t>
        </is>
      </c>
      <c r="D294" s="68" t="n">
        <v>3</v>
      </c>
      <c r="E294" s="68" t="n">
        <v>4526179575631</v>
      </c>
    </row>
    <row r="295">
      <c r="A295" s="68" t="n">
        <v>292</v>
      </c>
      <c r="B295" s="68" t="n">
        <v>292</v>
      </c>
      <c r="C295" s="68" t="inlineStr">
        <is>
          <t>Item</t>
        </is>
      </c>
      <c r="D295" s="68" t="n">
        <v>3</v>
      </c>
      <c r="E295" s="68" t="n">
        <v>4888273935490</v>
      </c>
    </row>
    <row r="296">
      <c r="A296" s="68" t="n">
        <v>293</v>
      </c>
      <c r="B296" s="68" t="n">
        <v>293</v>
      </c>
      <c r="C296" s="68" t="inlineStr">
        <is>
          <t>Item</t>
        </is>
      </c>
      <c r="D296" s="68" t="n">
        <v>3</v>
      </c>
      <c r="E296" s="68" t="n">
        <v>5279335844093</v>
      </c>
    </row>
    <row r="297">
      <c r="A297" s="68" t="n">
        <v>294</v>
      </c>
      <c r="B297" s="68" t="n">
        <v>294</v>
      </c>
      <c r="C297" s="68" t="inlineStr">
        <is>
          <t>Item</t>
        </is>
      </c>
      <c r="D297" s="68" t="n">
        <v>3</v>
      </c>
      <c r="E297" s="68" t="n">
        <v>5701682705340</v>
      </c>
    </row>
    <row r="298">
      <c r="A298" s="68" t="n">
        <v>295</v>
      </c>
      <c r="B298" s="68" t="n">
        <v>295</v>
      </c>
      <c r="C298" s="68" t="inlineStr">
        <is>
          <t>Item</t>
        </is>
      </c>
      <c r="D298" s="68" t="n">
        <v>3</v>
      </c>
      <c r="E298" s="68" t="n">
        <v>6157817315441</v>
      </c>
    </row>
    <row r="299">
      <c r="A299" s="68" t="n">
        <v>296</v>
      </c>
      <c r="B299" s="68" t="n">
        <v>296</v>
      </c>
      <c r="C299" s="68" t="inlineStr">
        <is>
          <t>Item</t>
        </is>
      </c>
      <c r="D299" s="68" t="n">
        <v>3</v>
      </c>
      <c r="E299" s="68" t="n">
        <v>6650442694305</v>
      </c>
    </row>
    <row r="300">
      <c r="A300" s="68" t="n">
        <v>297</v>
      </c>
      <c r="B300" s="68" t="n">
        <v>297</v>
      </c>
      <c r="C300" s="68" t="inlineStr">
        <is>
          <t>Item</t>
        </is>
      </c>
      <c r="D300" s="68" t="n">
        <v>3</v>
      </c>
      <c r="E300" s="68" t="n">
        <v>7182478103434</v>
      </c>
    </row>
    <row r="301">
      <c r="A301" s="68" t="n">
        <v>298</v>
      </c>
      <c r="B301" s="68" t="n">
        <v>298</v>
      </c>
      <c r="C301" s="68" t="inlineStr">
        <is>
          <t>Item</t>
        </is>
      </c>
      <c r="D301" s="68" t="n">
        <v>3</v>
      </c>
      <c r="E301" s="68" t="n">
        <v>7757076345246</v>
      </c>
    </row>
    <row r="302">
      <c r="A302" s="68" t="n">
        <v>299</v>
      </c>
      <c r="B302" s="68" t="n">
        <v>299</v>
      </c>
      <c r="C302" s="68" t="inlineStr">
        <is>
          <t>Item</t>
        </is>
      </c>
      <c r="D302" s="68" t="n">
        <v>3</v>
      </c>
      <c r="E302" s="68" t="n">
        <v>8377642446359</v>
      </c>
    </row>
    <row r="303">
      <c r="A303" s="68" t="n">
        <v>300</v>
      </c>
      <c r="B303" s="68" t="n">
        <v>300</v>
      </c>
      <c r="C303" s="68" t="inlineStr">
        <is>
          <t>Item</t>
        </is>
      </c>
      <c r="D303" s="68" t="n">
        <v>3</v>
      </c>
      <c r="E303" s="68" t="n">
        <v>9047853835514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43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J13" sqref="J13"/>
    </sheetView>
  </sheetViews>
  <sheetFormatPr baseColWidth="8" defaultRowHeight="16.5"/>
  <cols>
    <col width="10.25" bestFit="1" customWidth="1" style="68" min="1" max="1"/>
    <col width="9" customWidth="1" style="68" min="2" max="2"/>
    <col width="12.75" bestFit="1" customWidth="1" style="68" min="3" max="3"/>
    <col width="24.25" bestFit="1" customWidth="1" style="68" min="4" max="4"/>
    <col width="14.625" bestFit="1" customWidth="1" style="68" min="5" max="5"/>
    <col width="12.5" bestFit="1" customWidth="1" style="68" min="6" max="6"/>
    <col width="15.25" bestFit="1" customWidth="1" style="68" min="7" max="7"/>
    <col width="9.75" bestFit="1" customWidth="1" style="68" min="8" max="8"/>
    <col width="10.5" bestFit="1" customWidth="1" style="68" min="9" max="9"/>
    <col width="13.375" bestFit="1" customWidth="1" style="68" min="10" max="10"/>
    <col width="11.25" bestFit="1" customWidth="1" style="68" min="11" max="11"/>
    <col width="9" customWidth="1" style="68" min="12" max="17"/>
  </cols>
  <sheetData>
    <row r="1">
      <c r="A1" s="68" t="inlineStr">
        <is>
          <t>Id</t>
        </is>
      </c>
      <c r="B1" s="68" t="inlineStr">
        <is>
          <t>Cid</t>
        </is>
      </c>
      <c r="C1" s="68" t="inlineStr">
        <is>
          <t>#이름</t>
        </is>
      </c>
      <c r="D1" s="68" t="inlineStr">
        <is>
          <t>Name</t>
        </is>
      </c>
      <c r="E1" s="68" t="inlineStr">
        <is>
          <t>RequireCategoryType</t>
        </is>
      </c>
      <c r="F1" s="68" t="inlineStr">
        <is>
          <t>RequireId</t>
        </is>
      </c>
      <c r="G1" s="68" t="inlineStr">
        <is>
          <t>RequireValue</t>
        </is>
      </c>
      <c r="H1" s="68" t="inlineStr">
        <is>
          <t>StarGradeUp</t>
        </is>
      </c>
      <c r="I1" s="68" t="inlineStr">
        <is>
          <t>MaxSkillLevel</t>
        </is>
      </c>
      <c r="J1" s="68" t="inlineStr">
        <is>
          <t>SkillEnhanceType</t>
        </is>
      </c>
      <c r="K1" s="68" t="inlineStr">
        <is>
          <t>SkillEnhanceId</t>
        </is>
      </c>
      <c r="L1" s="68" t="inlineStr">
        <is>
          <t>ChildStat</t>
        </is>
      </c>
      <c r="M1" s="68" t="inlineStr">
        <is>
          <t>Value</t>
        </is>
      </c>
      <c r="N1" s="68" t="inlineStr">
        <is>
          <t>ChildStat</t>
        </is>
      </c>
      <c r="O1" s="68" t="inlineStr">
        <is>
          <t>Value</t>
        </is>
      </c>
      <c r="P1" s="68" t="inlineStr">
        <is>
          <t>ChildStat</t>
        </is>
      </c>
      <c r="Q1" s="68" t="inlineStr">
        <is>
          <t>Value</t>
        </is>
      </c>
      <c r="R1" s="68" t="inlineStr">
        <is>
          <t>#등급</t>
        </is>
      </c>
    </row>
    <row r="2">
      <c r="J2" s="68" t="inlineStr">
        <is>
          <t>Enum.SkillType</t>
        </is>
      </c>
    </row>
    <row r="4">
      <c r="A4" s="68">
        <f>B4*100+H4</f>
        <v/>
      </c>
      <c r="B4" s="68" t="n">
        <v>10000354</v>
      </c>
      <c r="C4" s="68">
        <f>_xlfn.XLOOKUP(B4,'Detail&lt;Child&gt;'!A:A,'Detail&lt;Child&gt;'!B:B)</f>
        <v/>
      </c>
      <c r="D4" s="68">
        <f>"character_gradeup_"&amp;$B4&amp;"_"&amp;$H4</f>
        <v/>
      </c>
      <c r="E4" s="68" t="inlineStr">
        <is>
          <t>Item</t>
        </is>
      </c>
      <c r="F4" s="68">
        <f>INT(3003&amp;RIGHT(B4,4))</f>
        <v/>
      </c>
      <c r="G4" s="68">
        <f>VLOOKUP($R4, '#등급업 재료 개수'!$A$2:$K$5, MATCH(GradeUp!H4, '#등급업 재료 개수'!$A$2:$K$2, 0), FALSE)</f>
        <v/>
      </c>
      <c r="H4" s="68" t="n">
        <v>1</v>
      </c>
      <c r="I4" s="68" t="n">
        <v>10</v>
      </c>
      <c r="J4" s="68" t="n">
        <v>0</v>
      </c>
      <c r="K4" s="68" t="n">
        <v>0</v>
      </c>
      <c r="L4" s="68" t="inlineStr">
        <is>
          <t>HpRatio</t>
        </is>
      </c>
      <c r="M4" s="68" t="n">
        <v>0</v>
      </c>
      <c r="N4" s="68" t="inlineStr">
        <is>
          <t>AtkRatio</t>
        </is>
      </c>
      <c r="O4" s="68" t="n">
        <v>0</v>
      </c>
      <c r="P4" s="68" t="inlineStr">
        <is>
          <t>DefRatio</t>
        </is>
      </c>
      <c r="Q4" s="68" t="n">
        <v>0</v>
      </c>
      <c r="R4" s="0">
        <f>_xlfn.XLOOKUP($B4, 'Detail&lt;Child&gt;'!$A:$A, 'Detail&lt;Child&gt;'!$L:$L)</f>
        <v/>
      </c>
    </row>
    <row r="5">
      <c r="A5" s="68">
        <f>B5*100+H5</f>
        <v/>
      </c>
      <c r="B5" s="68" t="n">
        <v>10000354</v>
      </c>
      <c r="C5" s="68">
        <f>_xlfn.XLOOKUP(B5,'Detail&lt;Child&gt;'!A:A,'Detail&lt;Child&gt;'!B:B)</f>
        <v/>
      </c>
      <c r="D5" s="68">
        <f>"character_gradeup_"&amp;$B5&amp;"_"&amp;$H5</f>
        <v/>
      </c>
      <c r="E5" s="68" t="inlineStr">
        <is>
          <t>Item</t>
        </is>
      </c>
      <c r="F5" s="68">
        <f>INT(3003&amp;RIGHT(B5,4))</f>
        <v/>
      </c>
      <c r="G5" s="68">
        <f>VLOOKUP($R5, '#등급업 재료 개수'!$A$2:$K$5, MATCH(GradeUp!H5, '#등급업 재료 개수'!$A$2:$K$2, 0), FALSE)</f>
        <v/>
      </c>
      <c r="H5" s="68" t="n">
        <v>2</v>
      </c>
      <c r="I5" s="68" t="n">
        <v>20</v>
      </c>
      <c r="J5" s="68" t="inlineStr">
        <is>
          <t>Active</t>
        </is>
      </c>
      <c r="K5" s="68">
        <f>_xlfn.IFNA(VLOOKUP($B5, 'Detail&lt;Child&gt;'!$A:$AW, MATCH(J5, 'Detail&lt;Child&gt;'!$3:$3,0 ), FALSE)+INT($H5/12), 0)</f>
        <v/>
      </c>
      <c r="L5" s="68" t="inlineStr">
        <is>
          <t>HpRatio</t>
        </is>
      </c>
      <c r="M5" s="68" t="n">
        <v>10000</v>
      </c>
      <c r="N5" s="68" t="inlineStr">
        <is>
          <t>AtkRatio</t>
        </is>
      </c>
      <c r="O5" s="68" t="n">
        <v>10000</v>
      </c>
      <c r="P5" s="68" t="inlineStr">
        <is>
          <t>DefRatio</t>
        </is>
      </c>
      <c r="Q5" s="68" t="n">
        <v>10000</v>
      </c>
      <c r="R5" s="0">
        <f>_xlfn.XLOOKUP($B5, 'Detail&lt;Child&gt;'!$A:$A, 'Detail&lt;Child&gt;'!$L:$L)</f>
        <v/>
      </c>
    </row>
    <row r="6">
      <c r="A6" s="68">
        <f>B6*100+H6</f>
        <v/>
      </c>
      <c r="B6" s="68" t="n">
        <v>10000354</v>
      </c>
      <c r="C6" s="68">
        <f>_xlfn.XLOOKUP(B6,'Detail&lt;Child&gt;'!A:A,'Detail&lt;Child&gt;'!B:B)</f>
        <v/>
      </c>
      <c r="D6" s="68">
        <f>"character_gradeup_"&amp;$B6&amp;"_"&amp;$H6</f>
        <v/>
      </c>
      <c r="E6" s="68" t="inlineStr">
        <is>
          <t>Item</t>
        </is>
      </c>
      <c r="F6" s="68">
        <f>INT(3003&amp;RIGHT(B6,4))</f>
        <v/>
      </c>
      <c r="G6" s="68">
        <f>VLOOKUP($R6, '#등급업 재료 개수'!$A$2:$K$5, MATCH(GradeUp!H6, '#등급업 재료 개수'!$A$2:$K$2, 0), FALSE)</f>
        <v/>
      </c>
      <c r="H6" s="68" t="n">
        <v>3</v>
      </c>
      <c r="I6" s="68" t="n">
        <v>30</v>
      </c>
      <c r="J6" s="68" t="n">
        <v>0</v>
      </c>
      <c r="K6" s="68" t="n">
        <v>0</v>
      </c>
      <c r="L6" s="68" t="inlineStr">
        <is>
          <t>HpRatio</t>
        </is>
      </c>
      <c r="M6" s="68">
        <f>M5+10000</f>
        <v/>
      </c>
      <c r="N6" s="68" t="inlineStr">
        <is>
          <t>AtkRatio</t>
        </is>
      </c>
      <c r="O6" s="68">
        <f>O5+10000</f>
        <v/>
      </c>
      <c r="P6" s="68" t="inlineStr">
        <is>
          <t>DefRatio</t>
        </is>
      </c>
      <c r="Q6" s="68">
        <f>Q5+10000</f>
        <v/>
      </c>
      <c r="R6" s="0">
        <f>_xlfn.XLOOKUP($B6, 'Detail&lt;Child&gt;'!$A:$A, 'Detail&lt;Child&gt;'!$L:$L)</f>
        <v/>
      </c>
    </row>
    <row r="7">
      <c r="A7" s="68">
        <f>B7*100+H7</f>
        <v/>
      </c>
      <c r="B7" s="68" t="n">
        <v>10000354</v>
      </c>
      <c r="C7" s="68">
        <f>_xlfn.XLOOKUP(B7,'Detail&lt;Child&gt;'!A:A,'Detail&lt;Child&gt;'!B:B)</f>
        <v/>
      </c>
      <c r="D7" s="68">
        <f>"character_gradeup_"&amp;$B7&amp;"_"&amp;$H7</f>
        <v/>
      </c>
      <c r="E7" s="68" t="inlineStr">
        <is>
          <t>Item</t>
        </is>
      </c>
      <c r="F7" s="68">
        <f>INT(3003&amp;RIGHT(B7,4))</f>
        <v/>
      </c>
      <c r="G7" s="68">
        <f>VLOOKUP($R7, '#등급업 재료 개수'!$A$2:$K$5, MATCH(GradeUp!H7, '#등급업 재료 개수'!$A$2:$K$2, 0), FALSE)</f>
        <v/>
      </c>
      <c r="H7" s="68" t="n">
        <v>4</v>
      </c>
      <c r="I7" s="68" t="n">
        <v>40</v>
      </c>
      <c r="J7" s="68" t="inlineStr">
        <is>
          <t>Passive</t>
        </is>
      </c>
      <c r="K7" s="68">
        <f>_xlfn.IFNA(VLOOKUP($B7, 'Detail&lt;Child&gt;'!$A:$AW, MATCH(J7, 'Detail&lt;Child&gt;'!$3:$3,0 ), FALSE)+INT($H7/12), 0)</f>
        <v/>
      </c>
      <c r="L7" s="68" t="inlineStr">
        <is>
          <t>HpRatio</t>
        </is>
      </c>
      <c r="M7" s="68">
        <f>M6+10000</f>
        <v/>
      </c>
      <c r="N7" s="68" t="inlineStr">
        <is>
          <t>AtkRatio</t>
        </is>
      </c>
      <c r="O7" s="68">
        <f>O6+10000</f>
        <v/>
      </c>
      <c r="P7" s="68" t="inlineStr">
        <is>
          <t>DefRatio</t>
        </is>
      </c>
      <c r="Q7" s="68">
        <f>Q6+10000</f>
        <v/>
      </c>
      <c r="R7" s="0">
        <f>_xlfn.XLOOKUP($B7, 'Detail&lt;Child&gt;'!$A:$A, 'Detail&lt;Child&gt;'!$L:$L)</f>
        <v/>
      </c>
    </row>
    <row r="8">
      <c r="A8" s="68">
        <f>B8*100+H8</f>
        <v/>
      </c>
      <c r="B8" s="68" t="n">
        <v>10000354</v>
      </c>
      <c r="C8" s="68">
        <f>_xlfn.XLOOKUP(B8,'Detail&lt;Child&gt;'!A:A,'Detail&lt;Child&gt;'!B:B)</f>
        <v/>
      </c>
      <c r="D8" s="68">
        <f>"character_gradeup_"&amp;$B8&amp;"_"&amp;$H8</f>
        <v/>
      </c>
      <c r="E8" s="68" t="inlineStr">
        <is>
          <t>Item</t>
        </is>
      </c>
      <c r="F8" s="68">
        <f>INT(3003&amp;RIGHT(B8,4))</f>
        <v/>
      </c>
      <c r="G8" s="68">
        <f>VLOOKUP($R8, '#등급업 재료 개수'!$A$2:$K$5, MATCH(GradeUp!H8, '#등급업 재료 개수'!$A$2:$K$2, 0), FALSE)</f>
        <v/>
      </c>
      <c r="H8" s="68" t="n">
        <v>5</v>
      </c>
      <c r="I8" s="68" t="n">
        <v>50</v>
      </c>
      <c r="J8" s="68" t="inlineStr">
        <is>
          <t>Active</t>
        </is>
      </c>
      <c r="K8" s="68">
        <f>_xlfn.IFNA(VLOOKUP($B8, 'Detail&lt;Child&gt;'!$A:$AW, MATCH(J8, 'Detail&lt;Child&gt;'!$3:$3,0 ), FALSE)+INT($H8/12), 0)+1</f>
        <v/>
      </c>
      <c r="L8" s="68" t="inlineStr">
        <is>
          <t>HpRatio</t>
        </is>
      </c>
      <c r="M8" s="68">
        <f>M7+10000</f>
        <v/>
      </c>
      <c r="N8" s="68" t="inlineStr">
        <is>
          <t>AtkRatio</t>
        </is>
      </c>
      <c r="O8" s="68">
        <f>O7+10000</f>
        <v/>
      </c>
      <c r="P8" s="68" t="inlineStr">
        <is>
          <t>DefRatio</t>
        </is>
      </c>
      <c r="Q8" s="68">
        <f>Q7+10000</f>
        <v/>
      </c>
      <c r="R8" s="0">
        <f>_xlfn.XLOOKUP($B8, 'Detail&lt;Child&gt;'!$A:$A, 'Detail&lt;Child&gt;'!$L:$L)</f>
        <v/>
      </c>
    </row>
    <row r="9">
      <c r="A9" s="68">
        <f>B9*100+H9</f>
        <v/>
      </c>
      <c r="B9" s="68" t="n">
        <v>10000354</v>
      </c>
      <c r="C9" s="68">
        <f>_xlfn.XLOOKUP(B9,'Detail&lt;Child&gt;'!A:A,'Detail&lt;Child&gt;'!B:B)</f>
        <v/>
      </c>
      <c r="D9" s="68">
        <f>"character_gradeup_"&amp;$B9&amp;"_"&amp;$H9</f>
        <v/>
      </c>
      <c r="E9" s="68" t="inlineStr">
        <is>
          <t>Item</t>
        </is>
      </c>
      <c r="F9" s="68">
        <f>INT(3003&amp;RIGHT(B9,4))</f>
        <v/>
      </c>
      <c r="G9" s="68">
        <f>VLOOKUP($R9, '#등급업 재료 개수'!$A$2:$K$5, MATCH(GradeUp!H9, '#등급업 재료 개수'!$A$2:$K$2, 0), FALSE)</f>
        <v/>
      </c>
      <c r="H9" s="68" t="n">
        <v>6</v>
      </c>
      <c r="I9" s="68" t="n">
        <v>60</v>
      </c>
      <c r="J9" s="68" t="n">
        <v>0</v>
      </c>
      <c r="K9" s="68" t="n">
        <v>0</v>
      </c>
      <c r="L9" s="68" t="inlineStr">
        <is>
          <t>HpRatio</t>
        </is>
      </c>
      <c r="M9" s="68">
        <f>M8+10000</f>
        <v/>
      </c>
      <c r="N9" s="68" t="inlineStr">
        <is>
          <t>AtkRatio</t>
        </is>
      </c>
      <c r="O9" s="68">
        <f>O8+10000</f>
        <v/>
      </c>
      <c r="P9" s="68" t="inlineStr">
        <is>
          <t>DefRatio</t>
        </is>
      </c>
      <c r="Q9" s="68">
        <f>Q8+10000</f>
        <v/>
      </c>
      <c r="R9" s="0">
        <f>_xlfn.XLOOKUP($B9, 'Detail&lt;Child&gt;'!$A:$A, 'Detail&lt;Child&gt;'!$L:$L)</f>
        <v/>
      </c>
    </row>
    <row r="10">
      <c r="A10" s="68">
        <f>B10*100+H10</f>
        <v/>
      </c>
      <c r="B10" s="68" t="n">
        <v>10000354</v>
      </c>
      <c r="C10" s="68">
        <f>_xlfn.XLOOKUP(B10,'Detail&lt;Child&gt;'!A:A,'Detail&lt;Child&gt;'!B:B)</f>
        <v/>
      </c>
      <c r="D10" s="68">
        <f>"character_gradeup_"&amp;$B10&amp;"_"&amp;$H10</f>
        <v/>
      </c>
      <c r="E10" s="68" t="inlineStr">
        <is>
          <t>Item</t>
        </is>
      </c>
      <c r="F10" s="68">
        <f>INT(3003&amp;RIGHT(B10,4))</f>
        <v/>
      </c>
      <c r="G10" s="68">
        <f>VLOOKUP($R10, '#등급업 재료 개수'!$A$2:$K$5, MATCH(GradeUp!H10, '#등급업 재료 개수'!$A$2:$K$2, 0), FALSE)</f>
        <v/>
      </c>
      <c r="H10" s="68" t="n">
        <v>7</v>
      </c>
      <c r="I10" s="68" t="n">
        <v>70</v>
      </c>
      <c r="J10" s="68" t="inlineStr">
        <is>
          <t>Passive</t>
        </is>
      </c>
      <c r="K10" s="68">
        <f>_xlfn.IFNA(VLOOKUP($B10, 'Detail&lt;Child&gt;'!$A:$AW, MATCH(J10, 'Detail&lt;Child&gt;'!$3:$3,0 ), FALSE)+INT($H10/12), 0)+1</f>
        <v/>
      </c>
      <c r="L10" s="68" t="inlineStr">
        <is>
          <t>HpRatio</t>
        </is>
      </c>
      <c r="M10" s="68">
        <f>M9+10000</f>
        <v/>
      </c>
      <c r="N10" s="68" t="inlineStr">
        <is>
          <t>AtkRatio</t>
        </is>
      </c>
      <c r="O10" s="68">
        <f>O9+10000</f>
        <v/>
      </c>
      <c r="P10" s="68" t="inlineStr">
        <is>
          <t>DefRatio</t>
        </is>
      </c>
      <c r="Q10" s="68">
        <f>Q9+10000</f>
        <v/>
      </c>
      <c r="R10" s="0">
        <f>_xlfn.XLOOKUP($B10, 'Detail&lt;Child&gt;'!$A:$A, 'Detail&lt;Child&gt;'!$L:$L)</f>
        <v/>
      </c>
    </row>
    <row r="11">
      <c r="A11" s="68">
        <f>B11*100+H11</f>
        <v/>
      </c>
      <c r="B11" s="68" t="n">
        <v>10000354</v>
      </c>
      <c r="C11" s="68">
        <f>_xlfn.XLOOKUP(B11,'Detail&lt;Child&gt;'!A:A,'Detail&lt;Child&gt;'!B:B)</f>
        <v/>
      </c>
      <c r="D11" s="68">
        <f>"character_gradeup_"&amp;$B11&amp;"_"&amp;$H11</f>
        <v/>
      </c>
      <c r="E11" s="68" t="inlineStr">
        <is>
          <t>Item</t>
        </is>
      </c>
      <c r="F11" s="68">
        <f>INT(3003&amp;RIGHT(B11,4))</f>
        <v/>
      </c>
      <c r="G11" s="68">
        <f>VLOOKUP($R11, '#등급업 재료 개수'!$A$2:$K$5, MATCH(GradeUp!H11, '#등급업 재료 개수'!$A$2:$K$2, 0), FALSE)</f>
        <v/>
      </c>
      <c r="H11" s="68" t="n">
        <v>8</v>
      </c>
      <c r="I11" s="68" t="n">
        <v>80</v>
      </c>
      <c r="J11" s="68" t="n">
        <v>0</v>
      </c>
      <c r="K11" s="68" t="n">
        <v>0</v>
      </c>
      <c r="L11" s="68" t="inlineStr">
        <is>
          <t>HpRatio</t>
        </is>
      </c>
      <c r="M11" s="68">
        <f>M10+10000</f>
        <v/>
      </c>
      <c r="N11" s="68" t="inlineStr">
        <is>
          <t>AtkRatio</t>
        </is>
      </c>
      <c r="O11" s="68">
        <f>O10+10000</f>
        <v/>
      </c>
      <c r="P11" s="68" t="inlineStr">
        <is>
          <t>DefRatio</t>
        </is>
      </c>
      <c r="Q11" s="68">
        <f>Q10+10000</f>
        <v/>
      </c>
      <c r="R11" s="0">
        <f>_xlfn.XLOOKUP($B11, 'Detail&lt;Child&gt;'!$A:$A, 'Detail&lt;Child&gt;'!$L:$L)</f>
        <v/>
      </c>
    </row>
    <row r="12">
      <c r="A12" s="68">
        <f>B12*100+H12</f>
        <v/>
      </c>
      <c r="B12" s="68" t="n">
        <v>10000354</v>
      </c>
      <c r="C12" s="68">
        <f>_xlfn.XLOOKUP(B12,'Detail&lt;Child&gt;'!A:A,'Detail&lt;Child&gt;'!B:B)</f>
        <v/>
      </c>
      <c r="D12" s="68">
        <f>"character_gradeup_"&amp;$B12&amp;"_"&amp;$H12</f>
        <v/>
      </c>
      <c r="E12" s="68" t="inlineStr">
        <is>
          <t>Item</t>
        </is>
      </c>
      <c r="F12" s="68">
        <f>INT(3003&amp;RIGHT(B12,4))</f>
        <v/>
      </c>
      <c r="G12" s="68">
        <f>VLOOKUP($R12, '#등급업 재료 개수'!$A$2:$K$5, MATCH(GradeUp!H12, '#등급업 재료 개수'!$A$2:$K$2, 0), FALSE)</f>
        <v/>
      </c>
      <c r="H12" s="68" t="n">
        <v>9</v>
      </c>
      <c r="I12" s="68" t="n">
        <v>90</v>
      </c>
      <c r="J12" s="68" t="inlineStr">
        <is>
          <t>Ultimate</t>
        </is>
      </c>
      <c r="K12" s="68">
        <f>_xlfn.IFNA(VLOOKUP($B12, 'Detail&lt;Child&gt;'!$A:$AW, MATCH(J12, 'Detail&lt;Child&gt;'!$3:$3,0 ), FALSE)+INT($H12/12), 0)+1</f>
        <v/>
      </c>
      <c r="L12" s="68" t="inlineStr">
        <is>
          <t>HpRatio</t>
        </is>
      </c>
      <c r="M12" s="68">
        <f>M11+10000</f>
        <v/>
      </c>
      <c r="N12" s="68" t="inlineStr">
        <is>
          <t>AtkRatio</t>
        </is>
      </c>
      <c r="O12" s="68">
        <f>O11+10000</f>
        <v/>
      </c>
      <c r="P12" s="68" t="inlineStr">
        <is>
          <t>DefRatio</t>
        </is>
      </c>
      <c r="Q12" s="68">
        <f>Q11+10000</f>
        <v/>
      </c>
      <c r="R12" s="0">
        <f>_xlfn.XLOOKUP($B12, 'Detail&lt;Child&gt;'!$A:$A, 'Detail&lt;Child&gt;'!$L:$L)</f>
        <v/>
      </c>
    </row>
    <row r="13">
      <c r="A13" s="68">
        <f>B13*100+H13</f>
        <v/>
      </c>
      <c r="B13" s="68" t="n">
        <v>10000354</v>
      </c>
      <c r="C13" s="68">
        <f>_xlfn.XLOOKUP(B13,'Detail&lt;Child&gt;'!A:A,'Detail&lt;Child&gt;'!B:B)</f>
        <v/>
      </c>
      <c r="D13" s="68">
        <f>"character_gradeup_"&amp;$B13&amp;"_"&amp;$H13</f>
        <v/>
      </c>
      <c r="E13" s="68" t="inlineStr">
        <is>
          <t>Item</t>
        </is>
      </c>
      <c r="F13" s="68">
        <f>INT(3003&amp;RIGHT(B13,4))</f>
        <v/>
      </c>
      <c r="G13" s="68">
        <f>VLOOKUP($R13, '#등급업 재료 개수'!$A$2:$K$5, MATCH(GradeUp!H13, '#등급업 재료 개수'!$A$2:$K$2, 0), FALSE)</f>
        <v/>
      </c>
      <c r="H13" s="68" t="n">
        <v>10</v>
      </c>
      <c r="I13" s="68" t="n">
        <v>100</v>
      </c>
      <c r="J13" s="68" t="n">
        <v>0</v>
      </c>
      <c r="K13" s="68" t="n">
        <v>0</v>
      </c>
      <c r="L13" s="68" t="inlineStr">
        <is>
          <t>HpRatio</t>
        </is>
      </c>
      <c r="M13" s="68">
        <f>M12+10000</f>
        <v/>
      </c>
      <c r="N13" s="68" t="inlineStr">
        <is>
          <t>AtkRatio</t>
        </is>
      </c>
      <c r="O13" s="68">
        <f>O12+10000</f>
        <v/>
      </c>
      <c r="P13" s="68" t="inlineStr">
        <is>
          <t>DefRatio</t>
        </is>
      </c>
      <c r="Q13" s="68">
        <f>Q12+10000</f>
        <v/>
      </c>
      <c r="R13" s="0">
        <f>_xlfn.XLOOKUP($B13, 'Detail&lt;Child&gt;'!$A:$A, 'Detail&lt;Child&gt;'!$L:$L)</f>
        <v/>
      </c>
    </row>
    <row r="14">
      <c r="A14" s="68">
        <f>B14*100+H14</f>
        <v/>
      </c>
      <c r="B14" s="68" t="n">
        <v>10000296</v>
      </c>
      <c r="C14" s="68">
        <f>_xlfn.XLOOKUP(B14,'Detail&lt;Child&gt;'!A:A,'Detail&lt;Child&gt;'!B:B)</f>
        <v/>
      </c>
      <c r="D14" s="68">
        <f>"character_gradeup_"&amp;$B14&amp;"_"&amp;$H14</f>
        <v/>
      </c>
      <c r="E14" s="68" t="inlineStr">
        <is>
          <t>Item</t>
        </is>
      </c>
      <c r="F14" s="68">
        <f>INT(3003&amp;RIGHT(B14,4))</f>
        <v/>
      </c>
      <c r="G14" s="68">
        <f>VLOOKUP($R14, '#등급업 재료 개수'!$A$2:$K$5, MATCH(GradeUp!H14, '#등급업 재료 개수'!$A$2:$K$2, 0), FALSE)</f>
        <v/>
      </c>
      <c r="H14" s="68" t="n">
        <v>1</v>
      </c>
      <c r="I14" s="68" t="n">
        <v>10</v>
      </c>
      <c r="J14" s="68" t="n">
        <v>0</v>
      </c>
      <c r="K14" s="68" t="n">
        <v>0</v>
      </c>
      <c r="L14" s="68" t="inlineStr">
        <is>
          <t>HpRatio</t>
        </is>
      </c>
      <c r="M14" s="68" t="n">
        <v>0</v>
      </c>
      <c r="N14" s="68" t="inlineStr">
        <is>
          <t>AtkRatio</t>
        </is>
      </c>
      <c r="O14" s="68" t="n">
        <v>0</v>
      </c>
      <c r="P14" s="68" t="inlineStr">
        <is>
          <t>DefRatio</t>
        </is>
      </c>
      <c r="Q14" s="68" t="n">
        <v>0</v>
      </c>
      <c r="R14" s="0">
        <f>_xlfn.XLOOKUP($B14, 'Detail&lt;Child&gt;'!$A:$A, 'Detail&lt;Child&gt;'!$L:$L)</f>
        <v/>
      </c>
    </row>
    <row r="15">
      <c r="A15" s="68">
        <f>B15*100+H15</f>
        <v/>
      </c>
      <c r="B15" s="68" t="n">
        <v>10000296</v>
      </c>
      <c r="C15" s="68">
        <f>_xlfn.XLOOKUP(B15,'Detail&lt;Child&gt;'!A:A,'Detail&lt;Child&gt;'!B:B)</f>
        <v/>
      </c>
      <c r="D15" s="68">
        <f>"character_gradeup_"&amp;$B15&amp;"_"&amp;$H15</f>
        <v/>
      </c>
      <c r="E15" s="68" t="inlineStr">
        <is>
          <t>Item</t>
        </is>
      </c>
      <c r="F15" s="68">
        <f>INT(3003&amp;RIGHT(B15,4))</f>
        <v/>
      </c>
      <c r="G15" s="68">
        <f>VLOOKUP($R15, '#등급업 재료 개수'!$A$2:$K$5, MATCH(GradeUp!H15, '#등급업 재료 개수'!$A$2:$K$2, 0), FALSE)</f>
        <v/>
      </c>
      <c r="H15" s="68" t="n">
        <v>2</v>
      </c>
      <c r="I15" s="68" t="n">
        <v>20</v>
      </c>
      <c r="J15" s="68" t="inlineStr">
        <is>
          <t>Active</t>
        </is>
      </c>
      <c r="K15" s="68">
        <f>_xlfn.IFNA(VLOOKUP($B15, 'Detail&lt;Child&gt;'!$A:$AW, MATCH(J15, 'Detail&lt;Child&gt;'!$3:$3,0 ), FALSE)+INT($H15/12), 0)</f>
        <v/>
      </c>
      <c r="L15" s="68" t="inlineStr">
        <is>
          <t>HpRatio</t>
        </is>
      </c>
      <c r="M15" s="68" t="n">
        <v>0</v>
      </c>
      <c r="N15" s="68" t="inlineStr">
        <is>
          <t>AtkRatio</t>
        </is>
      </c>
      <c r="O15" s="68" t="n">
        <v>0</v>
      </c>
      <c r="P15" s="68" t="inlineStr">
        <is>
          <t>DefRatio</t>
        </is>
      </c>
      <c r="Q15" s="68" t="n">
        <v>0</v>
      </c>
      <c r="R15" s="0">
        <f>_xlfn.XLOOKUP($B15, 'Detail&lt;Child&gt;'!$A:$A, 'Detail&lt;Child&gt;'!$L:$L)</f>
        <v/>
      </c>
    </row>
    <row r="16">
      <c r="A16" s="68">
        <f>B16*100+H16</f>
        <v/>
      </c>
      <c r="B16" s="68" t="n">
        <v>10000296</v>
      </c>
      <c r="C16" s="68">
        <f>_xlfn.XLOOKUP(B16,'Detail&lt;Child&gt;'!A:A,'Detail&lt;Child&gt;'!B:B)</f>
        <v/>
      </c>
      <c r="D16" s="68">
        <f>"character_gradeup_"&amp;$B16&amp;"_"&amp;$H16</f>
        <v/>
      </c>
      <c r="E16" s="68" t="inlineStr">
        <is>
          <t>Item</t>
        </is>
      </c>
      <c r="F16" s="68">
        <f>INT(3003&amp;RIGHT(B16,4))</f>
        <v/>
      </c>
      <c r="G16" s="68">
        <f>VLOOKUP($R16, '#등급업 재료 개수'!$A$2:$K$5, MATCH(GradeUp!H16, '#등급업 재료 개수'!$A$2:$K$2, 0), FALSE)</f>
        <v/>
      </c>
      <c r="H16" s="68" t="n">
        <v>3</v>
      </c>
      <c r="I16" s="68" t="n">
        <v>30</v>
      </c>
      <c r="J16" s="68" t="n">
        <v>0</v>
      </c>
      <c r="K16" s="68" t="n">
        <v>0</v>
      </c>
      <c r="L16" s="68" t="inlineStr">
        <is>
          <t>HpRatio</t>
        </is>
      </c>
      <c r="M16" s="68" t="n">
        <v>0</v>
      </c>
      <c r="N16" s="68" t="inlineStr">
        <is>
          <t>AtkRatio</t>
        </is>
      </c>
      <c r="O16" s="68" t="n">
        <v>0</v>
      </c>
      <c r="P16" s="68" t="inlineStr">
        <is>
          <t>DefRatio</t>
        </is>
      </c>
      <c r="Q16" s="68" t="n">
        <v>0</v>
      </c>
      <c r="R16" s="0">
        <f>_xlfn.XLOOKUP($B16, 'Detail&lt;Child&gt;'!$A:$A, 'Detail&lt;Child&gt;'!$L:$L)</f>
        <v/>
      </c>
    </row>
    <row r="17">
      <c r="A17" s="68">
        <f>B17*100+H17</f>
        <v/>
      </c>
      <c r="B17" s="68" t="n">
        <v>10000296</v>
      </c>
      <c r="C17" s="68">
        <f>_xlfn.XLOOKUP(B17,'Detail&lt;Child&gt;'!A:A,'Detail&lt;Child&gt;'!B:B)</f>
        <v/>
      </c>
      <c r="D17" s="68">
        <f>"character_gradeup_"&amp;$B17&amp;"_"&amp;$H17</f>
        <v/>
      </c>
      <c r="E17" s="68" t="inlineStr">
        <is>
          <t>Item</t>
        </is>
      </c>
      <c r="F17" s="68">
        <f>INT(3003&amp;RIGHT(B17,4))</f>
        <v/>
      </c>
      <c r="G17" s="68">
        <f>VLOOKUP($R17, '#등급업 재료 개수'!$A$2:$K$5, MATCH(GradeUp!H17, '#등급업 재료 개수'!$A$2:$K$2, 0), FALSE)</f>
        <v/>
      </c>
      <c r="H17" s="68" t="n">
        <v>4</v>
      </c>
      <c r="I17" s="68" t="n">
        <v>40</v>
      </c>
      <c r="J17" s="68" t="inlineStr">
        <is>
          <t>Passive</t>
        </is>
      </c>
      <c r="K17" s="68">
        <f>_xlfn.IFNA(VLOOKUP($B17, 'Detail&lt;Child&gt;'!$A:$AW, MATCH(J17, 'Detail&lt;Child&gt;'!$3:$3,0 ), FALSE)+INT($H17/12), 0)</f>
        <v/>
      </c>
      <c r="L17" s="68" t="inlineStr">
        <is>
          <t>HpRatio</t>
        </is>
      </c>
      <c r="M17" s="68" t="n">
        <v>10000</v>
      </c>
      <c r="N17" s="68" t="inlineStr">
        <is>
          <t>AtkRatio</t>
        </is>
      </c>
      <c r="O17" s="68" t="n">
        <v>10000</v>
      </c>
      <c r="P17" s="68" t="inlineStr">
        <is>
          <t>DefRatio</t>
        </is>
      </c>
      <c r="Q17" s="68" t="n">
        <v>10000</v>
      </c>
      <c r="R17" s="0">
        <f>_xlfn.XLOOKUP($B17, 'Detail&lt;Child&gt;'!$A:$A, 'Detail&lt;Child&gt;'!$L:$L)</f>
        <v/>
      </c>
    </row>
    <row r="18">
      <c r="A18" s="68">
        <f>B18*100+H18</f>
        <v/>
      </c>
      <c r="B18" s="68" t="n">
        <v>10000296</v>
      </c>
      <c r="C18" s="68">
        <f>_xlfn.XLOOKUP(B18,'Detail&lt;Child&gt;'!A:A,'Detail&lt;Child&gt;'!B:B)</f>
        <v/>
      </c>
      <c r="D18" s="68">
        <f>"character_gradeup_"&amp;$B18&amp;"_"&amp;$H18</f>
        <v/>
      </c>
      <c r="E18" s="68" t="inlineStr">
        <is>
          <t>Item</t>
        </is>
      </c>
      <c r="F18" s="68">
        <f>INT(3003&amp;RIGHT(B18,4))</f>
        <v/>
      </c>
      <c r="G18" s="68">
        <f>VLOOKUP($R18, '#등급업 재료 개수'!$A$2:$K$5, MATCH(GradeUp!H18, '#등급업 재료 개수'!$A$2:$K$2, 0), FALSE)</f>
        <v/>
      </c>
      <c r="H18" s="68" t="n">
        <v>5</v>
      </c>
      <c r="I18" s="68" t="n">
        <v>50</v>
      </c>
      <c r="J18" s="68" t="inlineStr">
        <is>
          <t>Active</t>
        </is>
      </c>
      <c r="K18" s="68">
        <f>_xlfn.IFNA(VLOOKUP($B18, 'Detail&lt;Child&gt;'!$A:$AW, MATCH(J18, 'Detail&lt;Child&gt;'!$3:$3,0 ), FALSE)+INT($H18/12), 0)+1</f>
        <v/>
      </c>
      <c r="L18" s="68" t="inlineStr">
        <is>
          <t>HpRatio</t>
        </is>
      </c>
      <c r="M18" s="68">
        <f>M17+10000</f>
        <v/>
      </c>
      <c r="N18" s="68" t="inlineStr">
        <is>
          <t>AtkRatio</t>
        </is>
      </c>
      <c r="O18" s="68">
        <f>O17+10000</f>
        <v/>
      </c>
      <c r="P18" s="68" t="inlineStr">
        <is>
          <t>DefRatio</t>
        </is>
      </c>
      <c r="Q18" s="68">
        <f>Q17+10000</f>
        <v/>
      </c>
      <c r="R18" s="0">
        <f>_xlfn.XLOOKUP($B18, 'Detail&lt;Child&gt;'!$A:$A, 'Detail&lt;Child&gt;'!$L:$L)</f>
        <v/>
      </c>
    </row>
    <row r="19">
      <c r="A19" s="68">
        <f>B19*100+H19</f>
        <v/>
      </c>
      <c r="B19" s="68" t="n">
        <v>10000296</v>
      </c>
      <c r="C19" s="68">
        <f>_xlfn.XLOOKUP(B19,'Detail&lt;Child&gt;'!A:A,'Detail&lt;Child&gt;'!B:B)</f>
        <v/>
      </c>
      <c r="D19" s="68">
        <f>"character_gradeup_"&amp;$B19&amp;"_"&amp;$H19</f>
        <v/>
      </c>
      <c r="E19" s="68" t="inlineStr">
        <is>
          <t>Item</t>
        </is>
      </c>
      <c r="F19" s="68">
        <f>INT(3003&amp;RIGHT(B19,4))</f>
        <v/>
      </c>
      <c r="G19" s="68">
        <f>VLOOKUP($R19, '#등급업 재료 개수'!$A$2:$K$5, MATCH(GradeUp!H19, '#등급업 재료 개수'!$A$2:$K$2, 0), FALSE)</f>
        <v/>
      </c>
      <c r="H19" s="68" t="n">
        <v>6</v>
      </c>
      <c r="I19" s="68" t="n">
        <v>60</v>
      </c>
      <c r="J19" s="68" t="n">
        <v>0</v>
      </c>
      <c r="K19" s="68" t="n">
        <v>0</v>
      </c>
      <c r="L19" s="68" t="inlineStr">
        <is>
          <t>HpRatio</t>
        </is>
      </c>
      <c r="M19" s="68">
        <f>M18+10000</f>
        <v/>
      </c>
      <c r="N19" s="68" t="inlineStr">
        <is>
          <t>AtkRatio</t>
        </is>
      </c>
      <c r="O19" s="68">
        <f>O18+10000</f>
        <v/>
      </c>
      <c r="P19" s="68" t="inlineStr">
        <is>
          <t>DefRatio</t>
        </is>
      </c>
      <c r="Q19" s="68">
        <f>Q18+10000</f>
        <v/>
      </c>
      <c r="R19" s="0">
        <f>_xlfn.XLOOKUP($B19, 'Detail&lt;Child&gt;'!$A:$A, 'Detail&lt;Child&gt;'!$L:$L)</f>
        <v/>
      </c>
    </row>
    <row r="20">
      <c r="A20" s="68">
        <f>B20*100+H20</f>
        <v/>
      </c>
      <c r="B20" s="68" t="n">
        <v>10000296</v>
      </c>
      <c r="C20" s="68">
        <f>_xlfn.XLOOKUP(B20,'Detail&lt;Child&gt;'!A:A,'Detail&lt;Child&gt;'!B:B)</f>
        <v/>
      </c>
      <c r="D20" s="68">
        <f>"character_gradeup_"&amp;$B20&amp;"_"&amp;$H20</f>
        <v/>
      </c>
      <c r="E20" s="68" t="inlineStr">
        <is>
          <t>Item</t>
        </is>
      </c>
      <c r="F20" s="68">
        <f>INT(3003&amp;RIGHT(B20,4))</f>
        <v/>
      </c>
      <c r="G20" s="68">
        <f>VLOOKUP($R20, '#등급업 재료 개수'!$A$2:$K$5, MATCH(GradeUp!H20, '#등급업 재료 개수'!$A$2:$K$2, 0), FALSE)</f>
        <v/>
      </c>
      <c r="H20" s="68" t="n">
        <v>7</v>
      </c>
      <c r="I20" s="68" t="n">
        <v>70</v>
      </c>
      <c r="J20" s="68" t="inlineStr">
        <is>
          <t>Passive</t>
        </is>
      </c>
      <c r="K20" s="68">
        <f>_xlfn.IFNA(VLOOKUP($B20, 'Detail&lt;Child&gt;'!$A:$AW, MATCH(J20, 'Detail&lt;Child&gt;'!$3:$3,0 ), FALSE)+INT($H20/12), 0)+1</f>
        <v/>
      </c>
      <c r="L20" s="68" t="inlineStr">
        <is>
          <t>HpRatio</t>
        </is>
      </c>
      <c r="M20" s="68">
        <f>M19+10000</f>
        <v/>
      </c>
      <c r="N20" s="68" t="inlineStr">
        <is>
          <t>AtkRatio</t>
        </is>
      </c>
      <c r="O20" s="68">
        <f>O19+10000</f>
        <v/>
      </c>
      <c r="P20" s="68" t="inlineStr">
        <is>
          <t>DefRatio</t>
        </is>
      </c>
      <c r="Q20" s="68">
        <f>Q19+10000</f>
        <v/>
      </c>
      <c r="R20" s="0">
        <f>_xlfn.XLOOKUP($B20, 'Detail&lt;Child&gt;'!$A:$A, 'Detail&lt;Child&gt;'!$L:$L)</f>
        <v/>
      </c>
    </row>
    <row r="21">
      <c r="A21" s="68">
        <f>B21*100+H21</f>
        <v/>
      </c>
      <c r="B21" s="68" t="n">
        <v>10000296</v>
      </c>
      <c r="C21" s="68">
        <f>_xlfn.XLOOKUP(B21,'Detail&lt;Child&gt;'!A:A,'Detail&lt;Child&gt;'!B:B)</f>
        <v/>
      </c>
      <c r="D21" s="68">
        <f>"character_gradeup_"&amp;$B21&amp;"_"&amp;$H21</f>
        <v/>
      </c>
      <c r="E21" s="68" t="inlineStr">
        <is>
          <t>Item</t>
        </is>
      </c>
      <c r="F21" s="68">
        <f>INT(3003&amp;RIGHT(B21,4))</f>
        <v/>
      </c>
      <c r="G21" s="68">
        <f>VLOOKUP($R21, '#등급업 재료 개수'!$A$2:$K$5, MATCH(GradeUp!H21, '#등급업 재료 개수'!$A$2:$K$2, 0), FALSE)</f>
        <v/>
      </c>
      <c r="H21" s="68" t="n">
        <v>8</v>
      </c>
      <c r="I21" s="68" t="n">
        <v>80</v>
      </c>
      <c r="J21" s="68" t="n">
        <v>0</v>
      </c>
      <c r="K21" s="68" t="n">
        <v>0</v>
      </c>
      <c r="L21" s="68" t="inlineStr">
        <is>
          <t>HpRatio</t>
        </is>
      </c>
      <c r="M21" s="68">
        <f>M20+10000</f>
        <v/>
      </c>
      <c r="N21" s="68" t="inlineStr">
        <is>
          <t>AtkRatio</t>
        </is>
      </c>
      <c r="O21" s="68">
        <f>O20+10000</f>
        <v/>
      </c>
      <c r="P21" s="68" t="inlineStr">
        <is>
          <t>DefRatio</t>
        </is>
      </c>
      <c r="Q21" s="68">
        <f>Q20+10000</f>
        <v/>
      </c>
      <c r="R21" s="0">
        <f>_xlfn.XLOOKUP($B21, 'Detail&lt;Child&gt;'!$A:$A, 'Detail&lt;Child&gt;'!$L:$L)</f>
        <v/>
      </c>
    </row>
    <row r="22">
      <c r="A22" s="68">
        <f>B22*100+H22</f>
        <v/>
      </c>
      <c r="B22" s="68" t="n">
        <v>10000296</v>
      </c>
      <c r="C22" s="68">
        <f>_xlfn.XLOOKUP(B22,'Detail&lt;Child&gt;'!A:A,'Detail&lt;Child&gt;'!B:B)</f>
        <v/>
      </c>
      <c r="D22" s="68">
        <f>"character_gradeup_"&amp;$B22&amp;"_"&amp;$H22</f>
        <v/>
      </c>
      <c r="E22" s="68" t="inlineStr">
        <is>
          <t>Item</t>
        </is>
      </c>
      <c r="F22" s="68">
        <f>INT(3003&amp;RIGHT(B22,4))</f>
        <v/>
      </c>
      <c r="G22" s="68">
        <f>VLOOKUP($R22, '#등급업 재료 개수'!$A$2:$K$5, MATCH(GradeUp!H22, '#등급업 재료 개수'!$A$2:$K$2, 0), FALSE)</f>
        <v/>
      </c>
      <c r="H22" s="68" t="n">
        <v>9</v>
      </c>
      <c r="I22" s="68" t="n">
        <v>90</v>
      </c>
      <c r="J22" s="68" t="inlineStr">
        <is>
          <t>Ultimate</t>
        </is>
      </c>
      <c r="K22" s="68">
        <f>_xlfn.IFNA(VLOOKUP($B22, 'Detail&lt;Child&gt;'!$A:$AW, MATCH(J22, 'Detail&lt;Child&gt;'!$3:$3,0 ), FALSE)+INT($H22/12), 0)+1</f>
        <v/>
      </c>
      <c r="L22" s="68" t="inlineStr">
        <is>
          <t>HpRatio</t>
        </is>
      </c>
      <c r="M22" s="68">
        <f>M21+10000</f>
        <v/>
      </c>
      <c r="N22" s="68" t="inlineStr">
        <is>
          <t>AtkRatio</t>
        </is>
      </c>
      <c r="O22" s="68">
        <f>O21+10000</f>
        <v/>
      </c>
      <c r="P22" s="68" t="inlineStr">
        <is>
          <t>DefRatio</t>
        </is>
      </c>
      <c r="Q22" s="68">
        <f>Q21+10000</f>
        <v/>
      </c>
      <c r="R22" s="0">
        <f>_xlfn.XLOOKUP($B22, 'Detail&lt;Child&gt;'!$A:$A, 'Detail&lt;Child&gt;'!$L:$L)</f>
        <v/>
      </c>
    </row>
    <row r="23">
      <c r="A23" s="68">
        <f>B23*100+H23</f>
        <v/>
      </c>
      <c r="B23" s="68" t="n">
        <v>10000296</v>
      </c>
      <c r="C23" s="68">
        <f>_xlfn.XLOOKUP(B23,'Detail&lt;Child&gt;'!A:A,'Detail&lt;Child&gt;'!B:B)</f>
        <v/>
      </c>
      <c r="D23" s="68">
        <f>"character_gradeup_"&amp;$B23&amp;"_"&amp;$H23</f>
        <v/>
      </c>
      <c r="E23" s="68" t="inlineStr">
        <is>
          <t>Item</t>
        </is>
      </c>
      <c r="F23" s="68">
        <f>INT(3003&amp;RIGHT(B23,4))</f>
        <v/>
      </c>
      <c r="G23" s="68">
        <f>VLOOKUP($R23, '#등급업 재료 개수'!$A$2:$K$5, MATCH(GradeUp!H23, '#등급업 재료 개수'!$A$2:$K$2, 0), FALSE)</f>
        <v/>
      </c>
      <c r="H23" s="68" t="n">
        <v>10</v>
      </c>
      <c r="I23" s="68" t="n">
        <v>100</v>
      </c>
      <c r="J23" s="68" t="n">
        <v>0</v>
      </c>
      <c r="K23" s="68" t="n">
        <v>0</v>
      </c>
      <c r="L23" s="68" t="inlineStr">
        <is>
          <t>HpRatio</t>
        </is>
      </c>
      <c r="M23" s="68">
        <f>M22+10000</f>
        <v/>
      </c>
      <c r="N23" s="68" t="inlineStr">
        <is>
          <t>AtkRatio</t>
        </is>
      </c>
      <c r="O23" s="68">
        <f>O22+10000</f>
        <v/>
      </c>
      <c r="P23" s="68" t="inlineStr">
        <is>
          <t>DefRatio</t>
        </is>
      </c>
      <c r="Q23" s="68">
        <f>Q22+10000</f>
        <v/>
      </c>
      <c r="R23" s="0">
        <f>_xlfn.XLOOKUP($B23, 'Detail&lt;Child&gt;'!$A:$A, 'Detail&lt;Child&gt;'!$L:$L)</f>
        <v/>
      </c>
    </row>
    <row r="24">
      <c r="A24" s="68">
        <f>B24*100+H24</f>
        <v/>
      </c>
      <c r="B24" s="68" t="n">
        <v>10000003</v>
      </c>
      <c r="C24" s="68">
        <f>_xlfn.XLOOKUP(B24,'Detail&lt;Child&gt;'!A:A,'Detail&lt;Child&gt;'!B:B)</f>
        <v/>
      </c>
      <c r="D24" s="68">
        <f>"character_gradeup_"&amp;$B24&amp;"_"&amp;$H24</f>
        <v/>
      </c>
      <c r="E24" s="68" t="inlineStr">
        <is>
          <t>Item</t>
        </is>
      </c>
      <c r="F24" s="68">
        <f>INT(3003&amp;RIGHT(B24,4))</f>
        <v/>
      </c>
      <c r="G24" s="68">
        <f>VLOOKUP($R24, '#등급업 재료 개수'!$A$2:$K$5, MATCH(GradeUp!H24, '#등급업 재료 개수'!$A$2:$K$2, 0), FALSE)</f>
        <v/>
      </c>
      <c r="H24" s="68" t="n">
        <v>1</v>
      </c>
      <c r="I24" s="68" t="n">
        <v>10</v>
      </c>
      <c r="J24" s="68" t="n">
        <v>0</v>
      </c>
      <c r="K24" s="68" t="n">
        <v>0</v>
      </c>
      <c r="L24" s="68" t="inlineStr">
        <is>
          <t>HpRatio</t>
        </is>
      </c>
      <c r="M24" s="68" t="n">
        <v>0</v>
      </c>
      <c r="N24" s="68" t="inlineStr">
        <is>
          <t>AtkRatio</t>
        </is>
      </c>
      <c r="O24" s="68" t="n">
        <v>0</v>
      </c>
      <c r="P24" s="68" t="inlineStr">
        <is>
          <t>DefRatio</t>
        </is>
      </c>
      <c r="Q24" s="68" t="n">
        <v>0</v>
      </c>
      <c r="R24" s="0">
        <f>_xlfn.XLOOKUP($B24, 'Detail&lt;Child&gt;'!$A:$A, 'Detail&lt;Child&gt;'!$L:$L)</f>
        <v/>
      </c>
    </row>
    <row r="25">
      <c r="A25" s="68">
        <f>B25*100+H25</f>
        <v/>
      </c>
      <c r="B25" s="68" t="n">
        <v>10000003</v>
      </c>
      <c r="C25" s="68">
        <f>_xlfn.XLOOKUP(B25,'Detail&lt;Child&gt;'!A:A,'Detail&lt;Child&gt;'!B:B)</f>
        <v/>
      </c>
      <c r="D25" s="68">
        <f>"character_gradeup_"&amp;$B25&amp;"_"&amp;$H25</f>
        <v/>
      </c>
      <c r="E25" s="68" t="inlineStr">
        <is>
          <t>Item</t>
        </is>
      </c>
      <c r="F25" s="68">
        <f>INT(3003&amp;RIGHT(B25,4))</f>
        <v/>
      </c>
      <c r="G25" s="68">
        <f>VLOOKUP($R25, '#등급업 재료 개수'!$A$2:$K$5, MATCH(GradeUp!H25, '#등급업 재료 개수'!$A$2:$K$2, 0), FALSE)</f>
        <v/>
      </c>
      <c r="H25" s="68" t="n">
        <v>2</v>
      </c>
      <c r="I25" s="68" t="n">
        <v>20</v>
      </c>
      <c r="J25" s="68" t="inlineStr">
        <is>
          <t>Active</t>
        </is>
      </c>
      <c r="K25" s="68">
        <f>_xlfn.IFNA(VLOOKUP($B25, 'Detail&lt;Child&gt;'!$A:$AW, MATCH(J25, 'Detail&lt;Child&gt;'!$3:$3,0 ), FALSE)+INT($H25/12), 0)</f>
        <v/>
      </c>
      <c r="L25" s="68" t="inlineStr">
        <is>
          <t>HpRatio</t>
        </is>
      </c>
      <c r="M25" s="68" t="n">
        <v>10000</v>
      </c>
      <c r="N25" s="68" t="inlineStr">
        <is>
          <t>AtkRatio</t>
        </is>
      </c>
      <c r="O25" s="68" t="n">
        <v>10000</v>
      </c>
      <c r="P25" s="68" t="inlineStr">
        <is>
          <t>DefRatio</t>
        </is>
      </c>
      <c r="Q25" s="68" t="n">
        <v>10000</v>
      </c>
      <c r="R25" s="0">
        <f>_xlfn.XLOOKUP($B25, 'Detail&lt;Child&gt;'!$A:$A, 'Detail&lt;Child&gt;'!$L:$L)</f>
        <v/>
      </c>
    </row>
    <row r="26">
      <c r="A26" s="68">
        <f>B26*100+H26</f>
        <v/>
      </c>
      <c r="B26" s="68" t="n">
        <v>10000003</v>
      </c>
      <c r="C26" s="68">
        <f>_xlfn.XLOOKUP(B26,'Detail&lt;Child&gt;'!A:A,'Detail&lt;Child&gt;'!B:B)</f>
        <v/>
      </c>
      <c r="D26" s="68">
        <f>"character_gradeup_"&amp;$B26&amp;"_"&amp;$H26</f>
        <v/>
      </c>
      <c r="E26" s="68" t="inlineStr">
        <is>
          <t>Item</t>
        </is>
      </c>
      <c r="F26" s="68">
        <f>INT(3003&amp;RIGHT(B26,4))</f>
        <v/>
      </c>
      <c r="G26" s="68">
        <f>VLOOKUP($R26, '#등급업 재료 개수'!$A$2:$K$5, MATCH(GradeUp!H26, '#등급업 재료 개수'!$A$2:$K$2, 0), FALSE)</f>
        <v/>
      </c>
      <c r="H26" s="68" t="n">
        <v>3</v>
      </c>
      <c r="I26" s="68" t="n">
        <v>30</v>
      </c>
      <c r="J26" s="68" t="n">
        <v>0</v>
      </c>
      <c r="K26" s="68" t="n">
        <v>0</v>
      </c>
      <c r="L26" s="68" t="inlineStr">
        <is>
          <t>HpRatio</t>
        </is>
      </c>
      <c r="M26" s="68">
        <f>M25+10000</f>
        <v/>
      </c>
      <c r="N26" s="68" t="inlineStr">
        <is>
          <t>AtkRatio</t>
        </is>
      </c>
      <c r="O26" s="68">
        <f>O25+10000</f>
        <v/>
      </c>
      <c r="P26" s="68" t="inlineStr">
        <is>
          <t>DefRatio</t>
        </is>
      </c>
      <c r="Q26" s="68">
        <f>Q25+10000</f>
        <v/>
      </c>
      <c r="R26" s="0">
        <f>_xlfn.XLOOKUP($B26, 'Detail&lt;Child&gt;'!$A:$A, 'Detail&lt;Child&gt;'!$L:$L)</f>
        <v/>
      </c>
    </row>
    <row r="27">
      <c r="A27" s="68">
        <f>B27*100+H27</f>
        <v/>
      </c>
      <c r="B27" s="68" t="n">
        <v>10000003</v>
      </c>
      <c r="C27" s="68">
        <f>_xlfn.XLOOKUP(B27,'Detail&lt;Child&gt;'!A:A,'Detail&lt;Child&gt;'!B:B)</f>
        <v/>
      </c>
      <c r="D27" s="68">
        <f>"character_gradeup_"&amp;$B27&amp;"_"&amp;$H27</f>
        <v/>
      </c>
      <c r="E27" s="68" t="inlineStr">
        <is>
          <t>Item</t>
        </is>
      </c>
      <c r="F27" s="68">
        <f>INT(3003&amp;RIGHT(B27,4))</f>
        <v/>
      </c>
      <c r="G27" s="68">
        <f>VLOOKUP($R27, '#등급업 재료 개수'!$A$2:$K$5, MATCH(GradeUp!H27, '#등급업 재료 개수'!$A$2:$K$2, 0), FALSE)</f>
        <v/>
      </c>
      <c r="H27" s="68" t="n">
        <v>4</v>
      </c>
      <c r="I27" s="68" t="n">
        <v>40</v>
      </c>
      <c r="J27" s="68" t="inlineStr">
        <is>
          <t>Passive</t>
        </is>
      </c>
      <c r="K27" s="68">
        <f>_xlfn.IFNA(VLOOKUP($B27, 'Detail&lt;Child&gt;'!$A:$AW, MATCH(J27, 'Detail&lt;Child&gt;'!$3:$3,0 ), FALSE)+INT($H27/12), 0)</f>
        <v/>
      </c>
      <c r="L27" s="68" t="inlineStr">
        <is>
          <t>HpRatio</t>
        </is>
      </c>
      <c r="M27" s="68">
        <f>M26+10000</f>
        <v/>
      </c>
      <c r="N27" s="68" t="inlineStr">
        <is>
          <t>AtkRatio</t>
        </is>
      </c>
      <c r="O27" s="68">
        <f>O26+10000</f>
        <v/>
      </c>
      <c r="P27" s="68" t="inlineStr">
        <is>
          <t>DefRatio</t>
        </is>
      </c>
      <c r="Q27" s="68">
        <f>Q26+10000</f>
        <v/>
      </c>
      <c r="R27" s="0">
        <f>_xlfn.XLOOKUP($B27, 'Detail&lt;Child&gt;'!$A:$A, 'Detail&lt;Child&gt;'!$L:$L)</f>
        <v/>
      </c>
    </row>
    <row r="28">
      <c r="A28" s="68">
        <f>B28*100+H28</f>
        <v/>
      </c>
      <c r="B28" s="68" t="n">
        <v>10000003</v>
      </c>
      <c r="C28" s="68">
        <f>_xlfn.XLOOKUP(B28,'Detail&lt;Child&gt;'!A:A,'Detail&lt;Child&gt;'!B:B)</f>
        <v/>
      </c>
      <c r="D28" s="68">
        <f>"character_gradeup_"&amp;$B28&amp;"_"&amp;$H28</f>
        <v/>
      </c>
      <c r="E28" s="68" t="inlineStr">
        <is>
          <t>Item</t>
        </is>
      </c>
      <c r="F28" s="68">
        <f>INT(3003&amp;RIGHT(B28,4))</f>
        <v/>
      </c>
      <c r="G28" s="68">
        <f>VLOOKUP($R28, '#등급업 재료 개수'!$A$2:$K$5, MATCH(GradeUp!H28, '#등급업 재료 개수'!$A$2:$K$2, 0), FALSE)</f>
        <v/>
      </c>
      <c r="H28" s="68" t="n">
        <v>5</v>
      </c>
      <c r="I28" s="68" t="n">
        <v>50</v>
      </c>
      <c r="J28" s="68" t="inlineStr">
        <is>
          <t>Active</t>
        </is>
      </c>
      <c r="K28" s="68">
        <f>_xlfn.IFNA(VLOOKUP($B28, 'Detail&lt;Child&gt;'!$A:$AW, MATCH(J28, 'Detail&lt;Child&gt;'!$3:$3,0 ), FALSE)+INT($H28/12), 0)+1</f>
        <v/>
      </c>
      <c r="L28" s="68" t="inlineStr">
        <is>
          <t>HpRatio</t>
        </is>
      </c>
      <c r="M28" s="68">
        <f>M27+10000</f>
        <v/>
      </c>
      <c r="N28" s="68" t="inlineStr">
        <is>
          <t>AtkRatio</t>
        </is>
      </c>
      <c r="O28" s="68">
        <f>O27+10000</f>
        <v/>
      </c>
      <c r="P28" s="68" t="inlineStr">
        <is>
          <t>DefRatio</t>
        </is>
      </c>
      <c r="Q28" s="68">
        <f>Q27+10000</f>
        <v/>
      </c>
      <c r="R28" s="0">
        <f>_xlfn.XLOOKUP($B28, 'Detail&lt;Child&gt;'!$A:$A, 'Detail&lt;Child&gt;'!$L:$L)</f>
        <v/>
      </c>
    </row>
    <row r="29">
      <c r="A29" s="68">
        <f>B29*100+H29</f>
        <v/>
      </c>
      <c r="B29" s="68" t="n">
        <v>10000003</v>
      </c>
      <c r="C29" s="68">
        <f>_xlfn.XLOOKUP(B29,'Detail&lt;Child&gt;'!A:A,'Detail&lt;Child&gt;'!B:B)</f>
        <v/>
      </c>
      <c r="D29" s="68">
        <f>"character_gradeup_"&amp;$B29&amp;"_"&amp;$H29</f>
        <v/>
      </c>
      <c r="E29" s="68" t="inlineStr">
        <is>
          <t>Item</t>
        </is>
      </c>
      <c r="F29" s="68">
        <f>INT(3003&amp;RIGHT(B29,4))</f>
        <v/>
      </c>
      <c r="G29" s="68">
        <f>VLOOKUP($R29, '#등급업 재료 개수'!$A$2:$K$5, MATCH(GradeUp!H29, '#등급업 재료 개수'!$A$2:$K$2, 0), FALSE)</f>
        <v/>
      </c>
      <c r="H29" s="68" t="n">
        <v>6</v>
      </c>
      <c r="I29" s="68" t="n">
        <v>60</v>
      </c>
      <c r="J29" s="68" t="n">
        <v>0</v>
      </c>
      <c r="K29" s="68" t="n">
        <v>0</v>
      </c>
      <c r="L29" s="68" t="inlineStr">
        <is>
          <t>HpRatio</t>
        </is>
      </c>
      <c r="M29" s="68">
        <f>M28+10000</f>
        <v/>
      </c>
      <c r="N29" s="68" t="inlineStr">
        <is>
          <t>AtkRatio</t>
        </is>
      </c>
      <c r="O29" s="68">
        <f>O28+10000</f>
        <v/>
      </c>
      <c r="P29" s="68" t="inlineStr">
        <is>
          <t>DefRatio</t>
        </is>
      </c>
      <c r="Q29" s="68">
        <f>Q28+10000</f>
        <v/>
      </c>
      <c r="R29" s="0">
        <f>_xlfn.XLOOKUP($B29, 'Detail&lt;Child&gt;'!$A:$A, 'Detail&lt;Child&gt;'!$L:$L)</f>
        <v/>
      </c>
    </row>
    <row r="30">
      <c r="A30" s="68">
        <f>B30*100+H30</f>
        <v/>
      </c>
      <c r="B30" s="68" t="n">
        <v>10000003</v>
      </c>
      <c r="C30" s="68">
        <f>_xlfn.XLOOKUP(B30,'Detail&lt;Child&gt;'!A:A,'Detail&lt;Child&gt;'!B:B)</f>
        <v/>
      </c>
      <c r="D30" s="68">
        <f>"character_gradeup_"&amp;$B30&amp;"_"&amp;$H30</f>
        <v/>
      </c>
      <c r="E30" s="68" t="inlineStr">
        <is>
          <t>Item</t>
        </is>
      </c>
      <c r="F30" s="68">
        <f>INT(3003&amp;RIGHT(B30,4))</f>
        <v/>
      </c>
      <c r="G30" s="68">
        <f>VLOOKUP($R30, '#등급업 재료 개수'!$A$2:$K$5, MATCH(GradeUp!H30, '#등급업 재료 개수'!$A$2:$K$2, 0), FALSE)</f>
        <v/>
      </c>
      <c r="H30" s="68" t="n">
        <v>7</v>
      </c>
      <c r="I30" s="68" t="n">
        <v>70</v>
      </c>
      <c r="J30" s="68" t="inlineStr">
        <is>
          <t>Passive</t>
        </is>
      </c>
      <c r="K30" s="68">
        <f>_xlfn.IFNA(VLOOKUP($B30, 'Detail&lt;Child&gt;'!$A:$AW, MATCH(J30, 'Detail&lt;Child&gt;'!$3:$3,0 ), FALSE)+INT($H30/12), 0)+1</f>
        <v/>
      </c>
      <c r="L30" s="68" t="inlineStr">
        <is>
          <t>HpRatio</t>
        </is>
      </c>
      <c r="M30" s="68">
        <f>M29+10000</f>
        <v/>
      </c>
      <c r="N30" s="68" t="inlineStr">
        <is>
          <t>AtkRatio</t>
        </is>
      </c>
      <c r="O30" s="68">
        <f>O29+10000</f>
        <v/>
      </c>
      <c r="P30" s="68" t="inlineStr">
        <is>
          <t>DefRatio</t>
        </is>
      </c>
      <c r="Q30" s="68">
        <f>Q29+10000</f>
        <v/>
      </c>
      <c r="R30" s="0">
        <f>_xlfn.XLOOKUP($B30, 'Detail&lt;Child&gt;'!$A:$A, 'Detail&lt;Child&gt;'!$L:$L)</f>
        <v/>
      </c>
    </row>
    <row r="31">
      <c r="A31" s="68">
        <f>B31*100+H31</f>
        <v/>
      </c>
      <c r="B31" s="68" t="n">
        <v>10000003</v>
      </c>
      <c r="C31" s="68">
        <f>_xlfn.XLOOKUP(B31,'Detail&lt;Child&gt;'!A:A,'Detail&lt;Child&gt;'!B:B)</f>
        <v/>
      </c>
      <c r="D31" s="68">
        <f>"character_gradeup_"&amp;$B31&amp;"_"&amp;$H31</f>
        <v/>
      </c>
      <c r="E31" s="68" t="inlineStr">
        <is>
          <t>Item</t>
        </is>
      </c>
      <c r="F31" s="68">
        <f>INT(3003&amp;RIGHT(B31,4))</f>
        <v/>
      </c>
      <c r="G31" s="68">
        <f>VLOOKUP($R31, '#등급업 재료 개수'!$A$2:$K$5, MATCH(GradeUp!H31, '#등급업 재료 개수'!$A$2:$K$2, 0), FALSE)</f>
        <v/>
      </c>
      <c r="H31" s="68" t="n">
        <v>8</v>
      </c>
      <c r="I31" s="68" t="n">
        <v>80</v>
      </c>
      <c r="J31" s="68" t="n">
        <v>0</v>
      </c>
      <c r="K31" s="68" t="n">
        <v>0</v>
      </c>
      <c r="L31" s="68" t="inlineStr">
        <is>
          <t>HpRatio</t>
        </is>
      </c>
      <c r="M31" s="68">
        <f>M30+10000</f>
        <v/>
      </c>
      <c r="N31" s="68" t="inlineStr">
        <is>
          <t>AtkRatio</t>
        </is>
      </c>
      <c r="O31" s="68">
        <f>O30+10000</f>
        <v/>
      </c>
      <c r="P31" s="68" t="inlineStr">
        <is>
          <t>DefRatio</t>
        </is>
      </c>
      <c r="Q31" s="68">
        <f>Q30+10000</f>
        <v/>
      </c>
      <c r="R31" s="0">
        <f>_xlfn.XLOOKUP($B31, 'Detail&lt;Child&gt;'!$A:$A, 'Detail&lt;Child&gt;'!$L:$L)</f>
        <v/>
      </c>
    </row>
    <row r="32">
      <c r="A32" s="68">
        <f>B32*100+H32</f>
        <v/>
      </c>
      <c r="B32" s="68" t="n">
        <v>10000003</v>
      </c>
      <c r="C32" s="68">
        <f>_xlfn.XLOOKUP(B32,'Detail&lt;Child&gt;'!A:A,'Detail&lt;Child&gt;'!B:B)</f>
        <v/>
      </c>
      <c r="D32" s="68">
        <f>"character_gradeup_"&amp;$B32&amp;"_"&amp;$H32</f>
        <v/>
      </c>
      <c r="E32" s="68" t="inlineStr">
        <is>
          <t>Item</t>
        </is>
      </c>
      <c r="F32" s="68">
        <f>INT(3003&amp;RIGHT(B32,4))</f>
        <v/>
      </c>
      <c r="G32" s="68">
        <f>VLOOKUP($R32, '#등급업 재료 개수'!$A$2:$K$5, MATCH(GradeUp!H32, '#등급업 재료 개수'!$A$2:$K$2, 0), FALSE)</f>
        <v/>
      </c>
      <c r="H32" s="68" t="n">
        <v>9</v>
      </c>
      <c r="I32" s="68" t="n">
        <v>90</v>
      </c>
      <c r="J32" s="68" t="inlineStr">
        <is>
          <t>Ultimate</t>
        </is>
      </c>
      <c r="K32" s="68">
        <f>_xlfn.IFNA(VLOOKUP($B32, 'Detail&lt;Child&gt;'!$A:$AW, MATCH(J32, 'Detail&lt;Child&gt;'!$3:$3,0 ), FALSE)+INT($H32/12), 0)+1</f>
        <v/>
      </c>
      <c r="L32" s="68" t="inlineStr">
        <is>
          <t>HpRatio</t>
        </is>
      </c>
      <c r="M32" s="68">
        <f>M31+10000</f>
        <v/>
      </c>
      <c r="N32" s="68" t="inlineStr">
        <is>
          <t>AtkRatio</t>
        </is>
      </c>
      <c r="O32" s="68">
        <f>O31+10000</f>
        <v/>
      </c>
      <c r="P32" s="68" t="inlineStr">
        <is>
          <t>DefRatio</t>
        </is>
      </c>
      <c r="Q32" s="68">
        <f>Q31+10000</f>
        <v/>
      </c>
      <c r="R32" s="0">
        <f>_xlfn.XLOOKUP($B32, 'Detail&lt;Child&gt;'!$A:$A, 'Detail&lt;Child&gt;'!$L:$L)</f>
        <v/>
      </c>
    </row>
    <row r="33">
      <c r="A33" s="68">
        <f>B33*100+H33</f>
        <v/>
      </c>
      <c r="B33" s="68" t="n">
        <v>10000003</v>
      </c>
      <c r="C33" s="68">
        <f>_xlfn.XLOOKUP(B33,'Detail&lt;Child&gt;'!A:A,'Detail&lt;Child&gt;'!B:B)</f>
        <v/>
      </c>
      <c r="D33" s="68">
        <f>"character_gradeup_"&amp;$B33&amp;"_"&amp;$H33</f>
        <v/>
      </c>
      <c r="E33" s="68" t="inlineStr">
        <is>
          <t>Item</t>
        </is>
      </c>
      <c r="F33" s="68">
        <f>INT(3003&amp;RIGHT(B33,4))</f>
        <v/>
      </c>
      <c r="G33" s="68">
        <f>VLOOKUP($R33, '#등급업 재료 개수'!$A$2:$K$5, MATCH(GradeUp!H33, '#등급업 재료 개수'!$A$2:$K$2, 0), FALSE)</f>
        <v/>
      </c>
      <c r="H33" s="68" t="n">
        <v>10</v>
      </c>
      <c r="I33" s="68" t="n">
        <v>100</v>
      </c>
      <c r="J33" s="68" t="n">
        <v>0</v>
      </c>
      <c r="K33" s="68" t="n">
        <v>0</v>
      </c>
      <c r="L33" s="68" t="inlineStr">
        <is>
          <t>HpRatio</t>
        </is>
      </c>
      <c r="M33" s="68">
        <f>M32+10000</f>
        <v/>
      </c>
      <c r="N33" s="68" t="inlineStr">
        <is>
          <t>AtkRatio</t>
        </is>
      </c>
      <c r="O33" s="68">
        <f>O32+10000</f>
        <v/>
      </c>
      <c r="P33" s="68" t="inlineStr">
        <is>
          <t>DefRatio</t>
        </is>
      </c>
      <c r="Q33" s="68">
        <f>Q32+10000</f>
        <v/>
      </c>
      <c r="R33" s="0">
        <f>_xlfn.XLOOKUP($B33, 'Detail&lt;Child&gt;'!$A:$A, 'Detail&lt;Child&gt;'!$L:$L)</f>
        <v/>
      </c>
    </row>
    <row r="34">
      <c r="A34" s="68">
        <f>B34*100+H34</f>
        <v/>
      </c>
      <c r="B34" s="68" t="n">
        <v>10000464</v>
      </c>
      <c r="C34" s="68">
        <f>_xlfn.XLOOKUP(B34,'Detail&lt;Child&gt;'!A:A,'Detail&lt;Child&gt;'!B:B)</f>
        <v/>
      </c>
      <c r="D34" s="68">
        <f>"character_gradeup_"&amp;$B34&amp;"_"&amp;$H34</f>
        <v/>
      </c>
      <c r="E34" s="68" t="inlineStr">
        <is>
          <t>Item</t>
        </is>
      </c>
      <c r="F34" s="68">
        <f>INT(3003&amp;RIGHT(B34,4))</f>
        <v/>
      </c>
      <c r="G34" s="68">
        <f>VLOOKUP($R34, '#등급업 재료 개수'!$A$2:$K$5, MATCH(GradeUp!H34, '#등급업 재료 개수'!$A$2:$K$2, 0), FALSE)</f>
        <v/>
      </c>
      <c r="H34" s="68" t="n">
        <v>1</v>
      </c>
      <c r="I34" s="68" t="n">
        <v>10</v>
      </c>
      <c r="J34" s="68" t="n">
        <v>0</v>
      </c>
      <c r="K34" s="68" t="n">
        <v>0</v>
      </c>
      <c r="L34" s="68" t="inlineStr">
        <is>
          <t>HpRatio</t>
        </is>
      </c>
      <c r="M34" s="68" t="n">
        <v>0</v>
      </c>
      <c r="N34" s="68" t="inlineStr">
        <is>
          <t>AtkRatio</t>
        </is>
      </c>
      <c r="O34" s="68" t="n">
        <v>0</v>
      </c>
      <c r="P34" s="68" t="inlineStr">
        <is>
          <t>DefRatio</t>
        </is>
      </c>
      <c r="Q34" s="68" t="n">
        <v>0</v>
      </c>
      <c r="R34" s="0">
        <f>_xlfn.XLOOKUP($B34, 'Detail&lt;Child&gt;'!$A:$A, 'Detail&lt;Child&gt;'!$L:$L)</f>
        <v/>
      </c>
    </row>
    <row r="35">
      <c r="A35" s="68">
        <f>B35*100+H35</f>
        <v/>
      </c>
      <c r="B35" s="68" t="n">
        <v>10000464</v>
      </c>
      <c r="C35" s="68">
        <f>_xlfn.XLOOKUP(B35,'Detail&lt;Child&gt;'!A:A,'Detail&lt;Child&gt;'!B:B)</f>
        <v/>
      </c>
      <c r="D35" s="68">
        <f>"character_gradeup_"&amp;$B35&amp;"_"&amp;$H35</f>
        <v/>
      </c>
      <c r="E35" s="68" t="inlineStr">
        <is>
          <t>Item</t>
        </is>
      </c>
      <c r="F35" s="68">
        <f>INT(3003&amp;RIGHT(B35,4))</f>
        <v/>
      </c>
      <c r="G35" s="68">
        <f>VLOOKUP($R35, '#등급업 재료 개수'!$A$2:$K$5, MATCH(GradeUp!H35, '#등급업 재료 개수'!$A$2:$K$2, 0), FALSE)</f>
        <v/>
      </c>
      <c r="H35" s="68" t="n">
        <v>2</v>
      </c>
      <c r="I35" s="68" t="n">
        <v>20</v>
      </c>
      <c r="J35" s="68" t="inlineStr">
        <is>
          <t>Active</t>
        </is>
      </c>
      <c r="K35" s="68">
        <f>_xlfn.IFNA(VLOOKUP($B35, 'Detail&lt;Child&gt;'!$A:$AW, MATCH(J35, 'Detail&lt;Child&gt;'!$3:$3,0 ), FALSE)+INT($H35/12), 0)</f>
        <v/>
      </c>
      <c r="L35" s="68" t="inlineStr">
        <is>
          <t>HpRatio</t>
        </is>
      </c>
      <c r="M35" s="68" t="n">
        <v>0</v>
      </c>
      <c r="N35" s="68" t="inlineStr">
        <is>
          <t>AtkRatio</t>
        </is>
      </c>
      <c r="O35" s="68" t="n">
        <v>0</v>
      </c>
      <c r="P35" s="68" t="inlineStr">
        <is>
          <t>DefRatio</t>
        </is>
      </c>
      <c r="Q35" s="68" t="n">
        <v>0</v>
      </c>
      <c r="R35" s="0">
        <f>_xlfn.XLOOKUP($B35, 'Detail&lt;Child&gt;'!$A:$A, 'Detail&lt;Child&gt;'!$L:$L)</f>
        <v/>
      </c>
    </row>
    <row r="36">
      <c r="A36" s="68">
        <f>B36*100+H36</f>
        <v/>
      </c>
      <c r="B36" s="68" t="n">
        <v>10000464</v>
      </c>
      <c r="C36" s="68">
        <f>_xlfn.XLOOKUP(B36,'Detail&lt;Child&gt;'!A:A,'Detail&lt;Child&gt;'!B:B)</f>
        <v/>
      </c>
      <c r="D36" s="68">
        <f>"character_gradeup_"&amp;$B36&amp;"_"&amp;$H36</f>
        <v/>
      </c>
      <c r="E36" s="68" t="inlineStr">
        <is>
          <t>Item</t>
        </is>
      </c>
      <c r="F36" s="68">
        <f>INT(3003&amp;RIGHT(B36,4))</f>
        <v/>
      </c>
      <c r="G36" s="68">
        <f>VLOOKUP($R36, '#등급업 재료 개수'!$A$2:$K$5, MATCH(GradeUp!H36, '#등급업 재료 개수'!$A$2:$K$2, 0), FALSE)</f>
        <v/>
      </c>
      <c r="H36" s="68" t="n">
        <v>3</v>
      </c>
      <c r="I36" s="68" t="n">
        <v>30</v>
      </c>
      <c r="J36" s="68" t="n">
        <v>0</v>
      </c>
      <c r="K36" s="68" t="n">
        <v>0</v>
      </c>
      <c r="L36" s="68" t="inlineStr">
        <is>
          <t>HpRatio</t>
        </is>
      </c>
      <c r="M36" s="68" t="n">
        <v>0</v>
      </c>
      <c r="N36" s="68" t="inlineStr">
        <is>
          <t>AtkRatio</t>
        </is>
      </c>
      <c r="O36" s="68" t="n">
        <v>0</v>
      </c>
      <c r="P36" s="68" t="inlineStr">
        <is>
          <t>DefRatio</t>
        </is>
      </c>
      <c r="Q36" s="68" t="n">
        <v>0</v>
      </c>
      <c r="R36" s="0">
        <f>_xlfn.XLOOKUP($B36, 'Detail&lt;Child&gt;'!$A:$A, 'Detail&lt;Child&gt;'!$L:$L)</f>
        <v/>
      </c>
    </row>
    <row r="37">
      <c r="A37" s="68">
        <f>B37*100+H37</f>
        <v/>
      </c>
      <c r="B37" s="68" t="n">
        <v>10000464</v>
      </c>
      <c r="C37" s="68">
        <f>_xlfn.XLOOKUP(B37,'Detail&lt;Child&gt;'!A:A,'Detail&lt;Child&gt;'!B:B)</f>
        <v/>
      </c>
      <c r="D37" s="68">
        <f>"character_gradeup_"&amp;$B37&amp;"_"&amp;$H37</f>
        <v/>
      </c>
      <c r="E37" s="68" t="inlineStr">
        <is>
          <t>Item</t>
        </is>
      </c>
      <c r="F37" s="68">
        <f>INT(3003&amp;RIGHT(B37,4))</f>
        <v/>
      </c>
      <c r="G37" s="68">
        <f>VLOOKUP($R37, '#등급업 재료 개수'!$A$2:$K$5, MATCH(GradeUp!H37, '#등급업 재료 개수'!$A$2:$K$2, 0), FALSE)</f>
        <v/>
      </c>
      <c r="H37" s="68" t="n">
        <v>4</v>
      </c>
      <c r="I37" s="68" t="n">
        <v>40</v>
      </c>
      <c r="J37" s="68" t="inlineStr">
        <is>
          <t>Passive</t>
        </is>
      </c>
      <c r="K37" s="68">
        <f>_xlfn.IFNA(VLOOKUP($B37, 'Detail&lt;Child&gt;'!$A:$AW, MATCH(J37, 'Detail&lt;Child&gt;'!$3:$3,0 ), FALSE)+INT($H37/12), 0)</f>
        <v/>
      </c>
      <c r="L37" s="68" t="inlineStr">
        <is>
          <t>HpRatio</t>
        </is>
      </c>
      <c r="M37" s="68" t="n">
        <v>10000</v>
      </c>
      <c r="N37" s="68" t="inlineStr">
        <is>
          <t>AtkRatio</t>
        </is>
      </c>
      <c r="O37" s="68" t="n">
        <v>10000</v>
      </c>
      <c r="P37" s="68" t="inlineStr">
        <is>
          <t>DefRatio</t>
        </is>
      </c>
      <c r="Q37" s="68" t="n">
        <v>10000</v>
      </c>
      <c r="R37" s="0">
        <f>_xlfn.XLOOKUP($B37, 'Detail&lt;Child&gt;'!$A:$A, 'Detail&lt;Child&gt;'!$L:$L)</f>
        <v/>
      </c>
    </row>
    <row r="38">
      <c r="A38" s="68">
        <f>B38*100+H38</f>
        <v/>
      </c>
      <c r="B38" s="68" t="n">
        <v>10000464</v>
      </c>
      <c r="C38" s="68">
        <f>_xlfn.XLOOKUP(B38,'Detail&lt;Child&gt;'!A:A,'Detail&lt;Child&gt;'!B:B)</f>
        <v/>
      </c>
      <c r="D38" s="68">
        <f>"character_gradeup_"&amp;$B38&amp;"_"&amp;$H38</f>
        <v/>
      </c>
      <c r="E38" s="68" t="inlineStr">
        <is>
          <t>Item</t>
        </is>
      </c>
      <c r="F38" s="68">
        <f>INT(3003&amp;RIGHT(B38,4))</f>
        <v/>
      </c>
      <c r="G38" s="68">
        <f>VLOOKUP($R38, '#등급업 재료 개수'!$A$2:$K$5, MATCH(GradeUp!H38, '#등급업 재료 개수'!$A$2:$K$2, 0), FALSE)</f>
        <v/>
      </c>
      <c r="H38" s="68" t="n">
        <v>5</v>
      </c>
      <c r="I38" s="68" t="n">
        <v>50</v>
      </c>
      <c r="J38" s="68" t="inlineStr">
        <is>
          <t>Active</t>
        </is>
      </c>
      <c r="K38" s="68">
        <f>_xlfn.IFNA(VLOOKUP($B38, 'Detail&lt;Child&gt;'!$A:$AW, MATCH(J38, 'Detail&lt;Child&gt;'!$3:$3,0 ), FALSE)+INT($H38/12), 0)+1</f>
        <v/>
      </c>
      <c r="L38" s="68" t="inlineStr">
        <is>
          <t>HpRatio</t>
        </is>
      </c>
      <c r="M38" s="68">
        <f>M37+10000</f>
        <v/>
      </c>
      <c r="N38" s="68" t="inlineStr">
        <is>
          <t>AtkRatio</t>
        </is>
      </c>
      <c r="O38" s="68">
        <f>O37+10000</f>
        <v/>
      </c>
      <c r="P38" s="68" t="inlineStr">
        <is>
          <t>DefRatio</t>
        </is>
      </c>
      <c r="Q38" s="68">
        <f>Q37+10000</f>
        <v/>
      </c>
      <c r="R38" s="0">
        <f>_xlfn.XLOOKUP($B38, 'Detail&lt;Child&gt;'!$A:$A, 'Detail&lt;Child&gt;'!$L:$L)</f>
        <v/>
      </c>
    </row>
    <row r="39">
      <c r="A39" s="68">
        <f>B39*100+H39</f>
        <v/>
      </c>
      <c r="B39" s="68" t="n">
        <v>10000464</v>
      </c>
      <c r="C39" s="68">
        <f>_xlfn.XLOOKUP(B39,'Detail&lt;Child&gt;'!A:A,'Detail&lt;Child&gt;'!B:B)</f>
        <v/>
      </c>
      <c r="D39" s="68">
        <f>"character_gradeup_"&amp;$B39&amp;"_"&amp;$H39</f>
        <v/>
      </c>
      <c r="E39" s="68" t="inlineStr">
        <is>
          <t>Item</t>
        </is>
      </c>
      <c r="F39" s="68">
        <f>INT(3003&amp;RIGHT(B39,4))</f>
        <v/>
      </c>
      <c r="G39" s="68">
        <f>VLOOKUP($R39, '#등급업 재료 개수'!$A$2:$K$5, MATCH(GradeUp!H39, '#등급업 재료 개수'!$A$2:$K$2, 0), FALSE)</f>
        <v/>
      </c>
      <c r="H39" s="68" t="n">
        <v>6</v>
      </c>
      <c r="I39" s="68" t="n">
        <v>60</v>
      </c>
      <c r="J39" s="68" t="n">
        <v>0</v>
      </c>
      <c r="K39" s="68" t="n">
        <v>0</v>
      </c>
      <c r="L39" s="68" t="inlineStr">
        <is>
          <t>HpRatio</t>
        </is>
      </c>
      <c r="M39" s="68">
        <f>M38+10000</f>
        <v/>
      </c>
      <c r="N39" s="68" t="inlineStr">
        <is>
          <t>AtkRatio</t>
        </is>
      </c>
      <c r="O39" s="68">
        <f>O38+10000</f>
        <v/>
      </c>
      <c r="P39" s="68" t="inlineStr">
        <is>
          <t>DefRatio</t>
        </is>
      </c>
      <c r="Q39" s="68">
        <f>Q38+10000</f>
        <v/>
      </c>
      <c r="R39" s="0">
        <f>_xlfn.XLOOKUP($B39, 'Detail&lt;Child&gt;'!$A:$A, 'Detail&lt;Child&gt;'!$L:$L)</f>
        <v/>
      </c>
    </row>
    <row r="40">
      <c r="A40" s="68">
        <f>B40*100+H40</f>
        <v/>
      </c>
      <c r="B40" s="68" t="n">
        <v>10000464</v>
      </c>
      <c r="C40" s="68">
        <f>_xlfn.XLOOKUP(B40,'Detail&lt;Child&gt;'!A:A,'Detail&lt;Child&gt;'!B:B)</f>
        <v/>
      </c>
      <c r="D40" s="68">
        <f>"character_gradeup_"&amp;$B40&amp;"_"&amp;$H40</f>
        <v/>
      </c>
      <c r="E40" s="68" t="inlineStr">
        <is>
          <t>Item</t>
        </is>
      </c>
      <c r="F40" s="68">
        <f>INT(3003&amp;RIGHT(B40,4))</f>
        <v/>
      </c>
      <c r="G40" s="68">
        <f>VLOOKUP($R40, '#등급업 재료 개수'!$A$2:$K$5, MATCH(GradeUp!H40, '#등급업 재료 개수'!$A$2:$K$2, 0), FALSE)</f>
        <v/>
      </c>
      <c r="H40" s="68" t="n">
        <v>7</v>
      </c>
      <c r="I40" s="68" t="n">
        <v>70</v>
      </c>
      <c r="J40" s="68" t="inlineStr">
        <is>
          <t>Passive</t>
        </is>
      </c>
      <c r="K40" s="68">
        <f>_xlfn.IFNA(VLOOKUP($B40, 'Detail&lt;Child&gt;'!$A:$AW, MATCH(J40, 'Detail&lt;Child&gt;'!$3:$3,0 ), FALSE)+INT($H40/12), 0)+1</f>
        <v/>
      </c>
      <c r="L40" s="68" t="inlineStr">
        <is>
          <t>HpRatio</t>
        </is>
      </c>
      <c r="M40" s="68">
        <f>M39+10000</f>
        <v/>
      </c>
      <c r="N40" s="68" t="inlineStr">
        <is>
          <t>AtkRatio</t>
        </is>
      </c>
      <c r="O40" s="68">
        <f>O39+10000</f>
        <v/>
      </c>
      <c r="P40" s="68" t="inlineStr">
        <is>
          <t>DefRatio</t>
        </is>
      </c>
      <c r="Q40" s="68">
        <f>Q39+10000</f>
        <v/>
      </c>
      <c r="R40" s="0">
        <f>_xlfn.XLOOKUP($B40, 'Detail&lt;Child&gt;'!$A:$A, 'Detail&lt;Child&gt;'!$L:$L)</f>
        <v/>
      </c>
    </row>
    <row r="41">
      <c r="A41" s="68">
        <f>B41*100+H41</f>
        <v/>
      </c>
      <c r="B41" s="68" t="n">
        <v>10000464</v>
      </c>
      <c r="C41" s="68">
        <f>_xlfn.XLOOKUP(B41,'Detail&lt;Child&gt;'!A:A,'Detail&lt;Child&gt;'!B:B)</f>
        <v/>
      </c>
      <c r="D41" s="68">
        <f>"character_gradeup_"&amp;$B41&amp;"_"&amp;$H41</f>
        <v/>
      </c>
      <c r="E41" s="68" t="inlineStr">
        <is>
          <t>Item</t>
        </is>
      </c>
      <c r="F41" s="68">
        <f>INT(3003&amp;RIGHT(B41,4))</f>
        <v/>
      </c>
      <c r="G41" s="68">
        <f>VLOOKUP($R41, '#등급업 재료 개수'!$A$2:$K$5, MATCH(GradeUp!H41, '#등급업 재료 개수'!$A$2:$K$2, 0), FALSE)</f>
        <v/>
      </c>
      <c r="H41" s="68" t="n">
        <v>8</v>
      </c>
      <c r="I41" s="68" t="n">
        <v>80</v>
      </c>
      <c r="J41" s="68" t="n">
        <v>0</v>
      </c>
      <c r="K41" s="68" t="n">
        <v>0</v>
      </c>
      <c r="L41" s="68" t="inlineStr">
        <is>
          <t>HpRatio</t>
        </is>
      </c>
      <c r="M41" s="68">
        <f>M40+10000</f>
        <v/>
      </c>
      <c r="N41" s="68" t="inlineStr">
        <is>
          <t>AtkRatio</t>
        </is>
      </c>
      <c r="O41" s="68">
        <f>O40+10000</f>
        <v/>
      </c>
      <c r="P41" s="68" t="inlineStr">
        <is>
          <t>DefRatio</t>
        </is>
      </c>
      <c r="Q41" s="68">
        <f>Q40+10000</f>
        <v/>
      </c>
      <c r="R41" s="0">
        <f>_xlfn.XLOOKUP($B41, 'Detail&lt;Child&gt;'!$A:$A, 'Detail&lt;Child&gt;'!$L:$L)</f>
        <v/>
      </c>
    </row>
    <row r="42">
      <c r="A42" s="68">
        <f>B42*100+H42</f>
        <v/>
      </c>
      <c r="B42" s="68" t="n">
        <v>10000464</v>
      </c>
      <c r="C42" s="68">
        <f>_xlfn.XLOOKUP(B42,'Detail&lt;Child&gt;'!A:A,'Detail&lt;Child&gt;'!B:B)</f>
        <v/>
      </c>
      <c r="D42" s="68">
        <f>"character_gradeup_"&amp;$B42&amp;"_"&amp;$H42</f>
        <v/>
      </c>
      <c r="E42" s="68" t="inlineStr">
        <is>
          <t>Item</t>
        </is>
      </c>
      <c r="F42" s="68">
        <f>INT(3003&amp;RIGHT(B42,4))</f>
        <v/>
      </c>
      <c r="G42" s="68">
        <f>VLOOKUP($R42, '#등급업 재료 개수'!$A$2:$K$5, MATCH(GradeUp!H42, '#등급업 재료 개수'!$A$2:$K$2, 0), FALSE)</f>
        <v/>
      </c>
      <c r="H42" s="68" t="n">
        <v>9</v>
      </c>
      <c r="I42" s="68" t="n">
        <v>90</v>
      </c>
      <c r="J42" s="68" t="inlineStr">
        <is>
          <t>Ultimate</t>
        </is>
      </c>
      <c r="K42" s="68">
        <f>_xlfn.IFNA(VLOOKUP($B42, 'Detail&lt;Child&gt;'!$A:$AW, MATCH(J42, 'Detail&lt;Child&gt;'!$3:$3,0 ), FALSE)+INT($H42/12), 0)+1</f>
        <v/>
      </c>
      <c r="L42" s="68" t="inlineStr">
        <is>
          <t>HpRatio</t>
        </is>
      </c>
      <c r="M42" s="68">
        <f>M41+10000</f>
        <v/>
      </c>
      <c r="N42" s="68" t="inlineStr">
        <is>
          <t>AtkRatio</t>
        </is>
      </c>
      <c r="O42" s="68">
        <f>O41+10000</f>
        <v/>
      </c>
      <c r="P42" s="68" t="inlineStr">
        <is>
          <t>DefRatio</t>
        </is>
      </c>
      <c r="Q42" s="68">
        <f>Q41+10000</f>
        <v/>
      </c>
      <c r="R42" s="0">
        <f>_xlfn.XLOOKUP($B42, 'Detail&lt;Child&gt;'!$A:$A, 'Detail&lt;Child&gt;'!$L:$L)</f>
        <v/>
      </c>
    </row>
    <row r="43">
      <c r="A43" s="68">
        <f>B43*100+H43</f>
        <v/>
      </c>
      <c r="B43" s="68" t="n">
        <v>10000464</v>
      </c>
      <c r="C43" s="68">
        <f>_xlfn.XLOOKUP(B43,'Detail&lt;Child&gt;'!A:A,'Detail&lt;Child&gt;'!B:B)</f>
        <v/>
      </c>
      <c r="D43" s="68">
        <f>"character_gradeup_"&amp;$B43&amp;"_"&amp;$H43</f>
        <v/>
      </c>
      <c r="E43" s="68" t="inlineStr">
        <is>
          <t>Item</t>
        </is>
      </c>
      <c r="F43" s="68">
        <f>INT(3003&amp;RIGHT(B43,4))</f>
        <v/>
      </c>
      <c r="G43" s="68">
        <f>VLOOKUP($R43, '#등급업 재료 개수'!$A$2:$K$5, MATCH(GradeUp!H43, '#등급업 재료 개수'!$A$2:$K$2, 0), FALSE)</f>
        <v/>
      </c>
      <c r="H43" s="68" t="n">
        <v>10</v>
      </c>
      <c r="I43" s="68" t="n">
        <v>100</v>
      </c>
      <c r="J43" s="68" t="n">
        <v>0</v>
      </c>
      <c r="K43" s="68" t="n">
        <v>0</v>
      </c>
      <c r="L43" s="68" t="inlineStr">
        <is>
          <t>HpRatio</t>
        </is>
      </c>
      <c r="M43" s="68">
        <f>M42+10000</f>
        <v/>
      </c>
      <c r="N43" s="68" t="inlineStr">
        <is>
          <t>AtkRatio</t>
        </is>
      </c>
      <c r="O43" s="68">
        <f>O42+10000</f>
        <v/>
      </c>
      <c r="P43" s="68" t="inlineStr">
        <is>
          <t>DefRatio</t>
        </is>
      </c>
      <c r="Q43" s="68">
        <f>Q42+10000</f>
        <v/>
      </c>
      <c r="R43" s="0">
        <f>_xlfn.XLOOKUP($B43, 'Detail&lt;Child&gt;'!$A:$A, 'Detail&lt;Child&gt;'!$L:$L)</f>
        <v/>
      </c>
    </row>
    <row r="44">
      <c r="A44" s="68">
        <f>B44*100+H44</f>
        <v/>
      </c>
      <c r="B44" s="68" t="n">
        <v>10000353</v>
      </c>
      <c r="C44" s="68">
        <f>_xlfn.XLOOKUP(B44,'Detail&lt;Child&gt;'!A:A,'Detail&lt;Child&gt;'!B:B)</f>
        <v/>
      </c>
      <c r="D44" s="68">
        <f>"character_gradeup_"&amp;$B44&amp;"_"&amp;$H44</f>
        <v/>
      </c>
      <c r="E44" s="68" t="inlineStr">
        <is>
          <t>Item</t>
        </is>
      </c>
      <c r="F44" s="68">
        <f>INT(3003&amp;RIGHT(B44,4))</f>
        <v/>
      </c>
      <c r="G44" s="68">
        <f>VLOOKUP($R44, '#등급업 재료 개수'!$A$2:$K$5, MATCH(GradeUp!H44, '#등급업 재료 개수'!$A$2:$K$2, 0), FALSE)</f>
        <v/>
      </c>
      <c r="H44" s="68" t="n">
        <v>1</v>
      </c>
      <c r="I44" s="68" t="n">
        <v>10</v>
      </c>
      <c r="J44" s="68" t="n">
        <v>0</v>
      </c>
      <c r="K44" s="68" t="n">
        <v>0</v>
      </c>
      <c r="L44" s="68" t="inlineStr">
        <is>
          <t>HpRatio</t>
        </is>
      </c>
      <c r="M44" s="68" t="n">
        <v>0</v>
      </c>
      <c r="N44" s="68" t="inlineStr">
        <is>
          <t>AtkRatio</t>
        </is>
      </c>
      <c r="O44" s="68" t="n">
        <v>0</v>
      </c>
      <c r="P44" s="68" t="inlineStr">
        <is>
          <t>DefRatio</t>
        </is>
      </c>
      <c r="Q44" s="68" t="n">
        <v>0</v>
      </c>
      <c r="R44" s="0">
        <f>_xlfn.XLOOKUP($B44, 'Detail&lt;Child&gt;'!$A:$A, 'Detail&lt;Child&gt;'!$L:$L)</f>
        <v/>
      </c>
    </row>
    <row r="45">
      <c r="A45" s="68">
        <f>B45*100+H45</f>
        <v/>
      </c>
      <c r="B45" s="68" t="n">
        <v>10000353</v>
      </c>
      <c r="C45" s="68">
        <f>_xlfn.XLOOKUP(B45,'Detail&lt;Child&gt;'!A:A,'Detail&lt;Child&gt;'!B:B)</f>
        <v/>
      </c>
      <c r="D45" s="68">
        <f>"character_gradeup_"&amp;$B45&amp;"_"&amp;$H45</f>
        <v/>
      </c>
      <c r="E45" s="68" t="inlineStr">
        <is>
          <t>Item</t>
        </is>
      </c>
      <c r="F45" s="68">
        <f>INT(3003&amp;RIGHT(B45,4))</f>
        <v/>
      </c>
      <c r="G45" s="68">
        <f>VLOOKUP($R45, '#등급업 재료 개수'!$A$2:$K$5, MATCH(GradeUp!H45, '#등급업 재료 개수'!$A$2:$K$2, 0), FALSE)</f>
        <v/>
      </c>
      <c r="H45" s="68" t="n">
        <v>2</v>
      </c>
      <c r="I45" s="68" t="n">
        <v>20</v>
      </c>
      <c r="J45" s="68" t="inlineStr">
        <is>
          <t>Active</t>
        </is>
      </c>
      <c r="K45" s="68">
        <f>_xlfn.IFNA(VLOOKUP($B45, 'Detail&lt;Child&gt;'!$A:$AW, MATCH(J45, 'Detail&lt;Child&gt;'!$3:$3,0 ), FALSE)+INT($H45/12), 0)</f>
        <v/>
      </c>
      <c r="L45" s="68" t="inlineStr">
        <is>
          <t>HpRatio</t>
        </is>
      </c>
      <c r="M45" s="68" t="n">
        <v>0</v>
      </c>
      <c r="N45" s="68" t="inlineStr">
        <is>
          <t>AtkRatio</t>
        </is>
      </c>
      <c r="O45" s="68" t="n">
        <v>0</v>
      </c>
      <c r="P45" s="68" t="inlineStr">
        <is>
          <t>DefRatio</t>
        </is>
      </c>
      <c r="Q45" s="68" t="n">
        <v>0</v>
      </c>
      <c r="R45" s="0">
        <f>_xlfn.XLOOKUP($B45, 'Detail&lt;Child&gt;'!$A:$A, 'Detail&lt;Child&gt;'!$L:$L)</f>
        <v/>
      </c>
    </row>
    <row r="46">
      <c r="A46" s="68">
        <f>B46*100+H46</f>
        <v/>
      </c>
      <c r="B46" s="68" t="n">
        <v>10000353</v>
      </c>
      <c r="C46" s="68">
        <f>_xlfn.XLOOKUP(B46,'Detail&lt;Child&gt;'!A:A,'Detail&lt;Child&gt;'!B:B)</f>
        <v/>
      </c>
      <c r="D46" s="68">
        <f>"character_gradeup_"&amp;$B46&amp;"_"&amp;$H46</f>
        <v/>
      </c>
      <c r="E46" s="68" t="inlineStr">
        <is>
          <t>Item</t>
        </is>
      </c>
      <c r="F46" s="68">
        <f>INT(3003&amp;RIGHT(B46,4))</f>
        <v/>
      </c>
      <c r="G46" s="68">
        <f>VLOOKUP($R46, '#등급업 재료 개수'!$A$2:$K$5, MATCH(GradeUp!H46, '#등급업 재료 개수'!$A$2:$K$2, 0), FALSE)</f>
        <v/>
      </c>
      <c r="H46" s="68" t="n">
        <v>3</v>
      </c>
      <c r="I46" s="68" t="n">
        <v>30</v>
      </c>
      <c r="J46" s="68" t="n">
        <v>0</v>
      </c>
      <c r="K46" s="68" t="n">
        <v>0</v>
      </c>
      <c r="L46" s="68" t="inlineStr">
        <is>
          <t>HpRatio</t>
        </is>
      </c>
      <c r="M46" s="68" t="n">
        <v>10000</v>
      </c>
      <c r="N46" s="68" t="inlineStr">
        <is>
          <t>AtkRatio</t>
        </is>
      </c>
      <c r="O46" s="68" t="n">
        <v>10000</v>
      </c>
      <c r="P46" s="68" t="inlineStr">
        <is>
          <t>DefRatio</t>
        </is>
      </c>
      <c r="Q46" s="68" t="n">
        <v>10000</v>
      </c>
      <c r="R46" s="0">
        <f>_xlfn.XLOOKUP($B46, 'Detail&lt;Child&gt;'!$A:$A, 'Detail&lt;Child&gt;'!$L:$L)</f>
        <v/>
      </c>
    </row>
    <row r="47">
      <c r="A47" s="68">
        <f>B47*100+H47</f>
        <v/>
      </c>
      <c r="B47" s="68" t="n">
        <v>10000353</v>
      </c>
      <c r="C47" s="68">
        <f>_xlfn.XLOOKUP(B47,'Detail&lt;Child&gt;'!A:A,'Detail&lt;Child&gt;'!B:B)</f>
        <v/>
      </c>
      <c r="D47" s="68">
        <f>"character_gradeup_"&amp;$B47&amp;"_"&amp;$H47</f>
        <v/>
      </c>
      <c r="E47" s="68" t="inlineStr">
        <is>
          <t>Item</t>
        </is>
      </c>
      <c r="F47" s="68">
        <f>INT(3003&amp;RIGHT(B47,4))</f>
        <v/>
      </c>
      <c r="G47" s="68">
        <f>VLOOKUP($R47, '#등급업 재료 개수'!$A$2:$K$5, MATCH(GradeUp!H47, '#등급업 재료 개수'!$A$2:$K$2, 0), FALSE)</f>
        <v/>
      </c>
      <c r="H47" s="68" t="n">
        <v>4</v>
      </c>
      <c r="I47" s="68" t="n">
        <v>40</v>
      </c>
      <c r="J47" s="68" t="inlineStr">
        <is>
          <t>Passive</t>
        </is>
      </c>
      <c r="K47" s="68">
        <f>_xlfn.IFNA(VLOOKUP($B47, 'Detail&lt;Child&gt;'!$A:$AW, MATCH(J47, 'Detail&lt;Child&gt;'!$3:$3,0 ), FALSE)+INT($H47/12), 0)</f>
        <v/>
      </c>
      <c r="L47" s="68" t="inlineStr">
        <is>
          <t>HpRatio</t>
        </is>
      </c>
      <c r="M47" s="68">
        <f>M46+10000</f>
        <v/>
      </c>
      <c r="N47" s="68" t="inlineStr">
        <is>
          <t>AtkRatio</t>
        </is>
      </c>
      <c r="O47" s="68">
        <f>O46+10000</f>
        <v/>
      </c>
      <c r="P47" s="68" t="inlineStr">
        <is>
          <t>DefRatio</t>
        </is>
      </c>
      <c r="Q47" s="68">
        <f>Q46+10000</f>
        <v/>
      </c>
      <c r="R47" s="0">
        <f>_xlfn.XLOOKUP($B47, 'Detail&lt;Child&gt;'!$A:$A, 'Detail&lt;Child&gt;'!$L:$L)</f>
        <v/>
      </c>
    </row>
    <row r="48">
      <c r="A48" s="68">
        <f>B48*100+H48</f>
        <v/>
      </c>
      <c r="B48" s="68" t="n">
        <v>10000353</v>
      </c>
      <c r="C48" s="68">
        <f>_xlfn.XLOOKUP(B48,'Detail&lt;Child&gt;'!A:A,'Detail&lt;Child&gt;'!B:B)</f>
        <v/>
      </c>
      <c r="D48" s="68">
        <f>"character_gradeup_"&amp;$B48&amp;"_"&amp;$H48</f>
        <v/>
      </c>
      <c r="E48" s="68" t="inlineStr">
        <is>
          <t>Item</t>
        </is>
      </c>
      <c r="F48" s="68">
        <f>INT(3003&amp;RIGHT(B48,4))</f>
        <v/>
      </c>
      <c r="G48" s="68">
        <f>VLOOKUP($R48, '#등급업 재료 개수'!$A$2:$K$5, MATCH(GradeUp!H48, '#등급업 재료 개수'!$A$2:$K$2, 0), FALSE)</f>
        <v/>
      </c>
      <c r="H48" s="68" t="n">
        <v>5</v>
      </c>
      <c r="I48" s="68" t="n">
        <v>50</v>
      </c>
      <c r="J48" s="68" t="inlineStr">
        <is>
          <t>Active</t>
        </is>
      </c>
      <c r="K48" s="68">
        <f>_xlfn.IFNA(VLOOKUP($B48, 'Detail&lt;Child&gt;'!$A:$AW, MATCH(J48, 'Detail&lt;Child&gt;'!$3:$3,0 ), FALSE)+INT($H48/12), 0)+1</f>
        <v/>
      </c>
      <c r="L48" s="68" t="inlineStr">
        <is>
          <t>HpRatio</t>
        </is>
      </c>
      <c r="M48" s="68">
        <f>M47+10000</f>
        <v/>
      </c>
      <c r="N48" s="68" t="inlineStr">
        <is>
          <t>AtkRatio</t>
        </is>
      </c>
      <c r="O48" s="68">
        <f>O47+10000</f>
        <v/>
      </c>
      <c r="P48" s="68" t="inlineStr">
        <is>
          <t>DefRatio</t>
        </is>
      </c>
      <c r="Q48" s="68">
        <f>Q47+10000</f>
        <v/>
      </c>
      <c r="R48" s="0">
        <f>_xlfn.XLOOKUP($B48, 'Detail&lt;Child&gt;'!$A:$A, 'Detail&lt;Child&gt;'!$L:$L)</f>
        <v/>
      </c>
    </row>
    <row r="49">
      <c r="A49" s="68">
        <f>B49*100+H49</f>
        <v/>
      </c>
      <c r="B49" s="68" t="n">
        <v>10000353</v>
      </c>
      <c r="C49" s="68">
        <f>_xlfn.XLOOKUP(B49,'Detail&lt;Child&gt;'!A:A,'Detail&lt;Child&gt;'!B:B)</f>
        <v/>
      </c>
      <c r="D49" s="68">
        <f>"character_gradeup_"&amp;$B49&amp;"_"&amp;$H49</f>
        <v/>
      </c>
      <c r="E49" s="68" t="inlineStr">
        <is>
          <t>Item</t>
        </is>
      </c>
      <c r="F49" s="68">
        <f>INT(3003&amp;RIGHT(B49,4))</f>
        <v/>
      </c>
      <c r="G49" s="68">
        <f>VLOOKUP($R49, '#등급업 재료 개수'!$A$2:$K$5, MATCH(GradeUp!H49, '#등급업 재료 개수'!$A$2:$K$2, 0), FALSE)</f>
        <v/>
      </c>
      <c r="H49" s="68" t="n">
        <v>6</v>
      </c>
      <c r="I49" s="68" t="n">
        <v>60</v>
      </c>
      <c r="J49" s="68" t="n">
        <v>0</v>
      </c>
      <c r="K49" s="68" t="n">
        <v>0</v>
      </c>
      <c r="L49" s="68" t="inlineStr">
        <is>
          <t>HpRatio</t>
        </is>
      </c>
      <c r="M49" s="68">
        <f>M48+10000</f>
        <v/>
      </c>
      <c r="N49" s="68" t="inlineStr">
        <is>
          <t>AtkRatio</t>
        </is>
      </c>
      <c r="O49" s="68">
        <f>O48+10000</f>
        <v/>
      </c>
      <c r="P49" s="68" t="inlineStr">
        <is>
          <t>DefRatio</t>
        </is>
      </c>
      <c r="Q49" s="68">
        <f>Q48+10000</f>
        <v/>
      </c>
      <c r="R49" s="0">
        <f>_xlfn.XLOOKUP($B49, 'Detail&lt;Child&gt;'!$A:$A, 'Detail&lt;Child&gt;'!$L:$L)</f>
        <v/>
      </c>
    </row>
    <row r="50">
      <c r="A50" s="68">
        <f>B50*100+H50</f>
        <v/>
      </c>
      <c r="B50" s="68" t="n">
        <v>10000353</v>
      </c>
      <c r="C50" s="68">
        <f>_xlfn.XLOOKUP(B50,'Detail&lt;Child&gt;'!A:A,'Detail&lt;Child&gt;'!B:B)</f>
        <v/>
      </c>
      <c r="D50" s="68">
        <f>"character_gradeup_"&amp;$B50&amp;"_"&amp;$H50</f>
        <v/>
      </c>
      <c r="E50" s="68" t="inlineStr">
        <is>
          <t>Item</t>
        </is>
      </c>
      <c r="F50" s="68">
        <f>INT(3003&amp;RIGHT(B50,4))</f>
        <v/>
      </c>
      <c r="G50" s="68">
        <f>VLOOKUP($R50, '#등급업 재료 개수'!$A$2:$K$5, MATCH(GradeUp!H50, '#등급업 재료 개수'!$A$2:$K$2, 0), FALSE)</f>
        <v/>
      </c>
      <c r="H50" s="68" t="n">
        <v>7</v>
      </c>
      <c r="I50" s="68" t="n">
        <v>70</v>
      </c>
      <c r="J50" s="68" t="inlineStr">
        <is>
          <t>Passive</t>
        </is>
      </c>
      <c r="K50" s="68">
        <f>_xlfn.IFNA(VLOOKUP($B50, 'Detail&lt;Child&gt;'!$A:$AW, MATCH(J50, 'Detail&lt;Child&gt;'!$3:$3,0 ), FALSE)+INT($H50/12), 0)+1</f>
        <v/>
      </c>
      <c r="L50" s="68" t="inlineStr">
        <is>
          <t>HpRatio</t>
        </is>
      </c>
      <c r="M50" s="68">
        <f>M49+10000</f>
        <v/>
      </c>
      <c r="N50" s="68" t="inlineStr">
        <is>
          <t>AtkRatio</t>
        </is>
      </c>
      <c r="O50" s="68">
        <f>O49+10000</f>
        <v/>
      </c>
      <c r="P50" s="68" t="inlineStr">
        <is>
          <t>DefRatio</t>
        </is>
      </c>
      <c r="Q50" s="68">
        <f>Q49+10000</f>
        <v/>
      </c>
      <c r="R50" s="0">
        <f>_xlfn.XLOOKUP($B50, 'Detail&lt;Child&gt;'!$A:$A, 'Detail&lt;Child&gt;'!$L:$L)</f>
        <v/>
      </c>
    </row>
    <row r="51">
      <c r="A51" s="68">
        <f>B51*100+H51</f>
        <v/>
      </c>
      <c r="B51" s="68" t="n">
        <v>10000353</v>
      </c>
      <c r="C51" s="68">
        <f>_xlfn.XLOOKUP(B51,'Detail&lt;Child&gt;'!A:A,'Detail&lt;Child&gt;'!B:B)</f>
        <v/>
      </c>
      <c r="D51" s="68">
        <f>"character_gradeup_"&amp;$B51&amp;"_"&amp;$H51</f>
        <v/>
      </c>
      <c r="E51" s="68" t="inlineStr">
        <is>
          <t>Item</t>
        </is>
      </c>
      <c r="F51" s="68">
        <f>INT(3003&amp;RIGHT(B51,4))</f>
        <v/>
      </c>
      <c r="G51" s="68">
        <f>VLOOKUP($R51, '#등급업 재료 개수'!$A$2:$K$5, MATCH(GradeUp!H51, '#등급업 재료 개수'!$A$2:$K$2, 0), FALSE)</f>
        <v/>
      </c>
      <c r="H51" s="68" t="n">
        <v>8</v>
      </c>
      <c r="I51" s="68" t="n">
        <v>80</v>
      </c>
      <c r="J51" s="68" t="n">
        <v>0</v>
      </c>
      <c r="K51" s="68" t="n">
        <v>0</v>
      </c>
      <c r="L51" s="68" t="inlineStr">
        <is>
          <t>HpRatio</t>
        </is>
      </c>
      <c r="M51" s="68">
        <f>M50+10000</f>
        <v/>
      </c>
      <c r="N51" s="68" t="inlineStr">
        <is>
          <t>AtkRatio</t>
        </is>
      </c>
      <c r="O51" s="68">
        <f>O50+10000</f>
        <v/>
      </c>
      <c r="P51" s="68" t="inlineStr">
        <is>
          <t>DefRatio</t>
        </is>
      </c>
      <c r="Q51" s="68">
        <f>Q50+10000</f>
        <v/>
      </c>
      <c r="R51" s="0">
        <f>_xlfn.XLOOKUP($B51, 'Detail&lt;Child&gt;'!$A:$A, 'Detail&lt;Child&gt;'!$L:$L)</f>
        <v/>
      </c>
    </row>
    <row r="52">
      <c r="A52" s="68">
        <f>B52*100+H52</f>
        <v/>
      </c>
      <c r="B52" s="68" t="n">
        <v>10000353</v>
      </c>
      <c r="C52" s="68">
        <f>_xlfn.XLOOKUP(B52,'Detail&lt;Child&gt;'!A:A,'Detail&lt;Child&gt;'!B:B)</f>
        <v/>
      </c>
      <c r="D52" s="68">
        <f>"character_gradeup_"&amp;$B52&amp;"_"&amp;$H52</f>
        <v/>
      </c>
      <c r="E52" s="68" t="inlineStr">
        <is>
          <t>Item</t>
        </is>
      </c>
      <c r="F52" s="68">
        <f>INT(3003&amp;RIGHT(B52,4))</f>
        <v/>
      </c>
      <c r="G52" s="68">
        <f>VLOOKUP($R52, '#등급업 재료 개수'!$A$2:$K$5, MATCH(GradeUp!H52, '#등급업 재료 개수'!$A$2:$K$2, 0), FALSE)</f>
        <v/>
      </c>
      <c r="H52" s="68" t="n">
        <v>9</v>
      </c>
      <c r="I52" s="68" t="n">
        <v>90</v>
      </c>
      <c r="J52" s="68" t="inlineStr">
        <is>
          <t>Ultimate</t>
        </is>
      </c>
      <c r="K52" s="68">
        <f>_xlfn.IFNA(VLOOKUP($B52, 'Detail&lt;Child&gt;'!$A:$AW, MATCH(J52, 'Detail&lt;Child&gt;'!$3:$3,0 ), FALSE)+INT($H52/12), 0)+1</f>
        <v/>
      </c>
      <c r="L52" s="68" t="inlineStr">
        <is>
          <t>HpRatio</t>
        </is>
      </c>
      <c r="M52" s="68">
        <f>M51+10000</f>
        <v/>
      </c>
      <c r="N52" s="68" t="inlineStr">
        <is>
          <t>AtkRatio</t>
        </is>
      </c>
      <c r="O52" s="68">
        <f>O51+10000</f>
        <v/>
      </c>
      <c r="P52" s="68" t="inlineStr">
        <is>
          <t>DefRatio</t>
        </is>
      </c>
      <c r="Q52" s="68">
        <f>Q51+10000</f>
        <v/>
      </c>
      <c r="R52" s="0">
        <f>_xlfn.XLOOKUP($B52, 'Detail&lt;Child&gt;'!$A:$A, 'Detail&lt;Child&gt;'!$L:$L)</f>
        <v/>
      </c>
    </row>
    <row r="53">
      <c r="A53" s="68">
        <f>B53*100+H53</f>
        <v/>
      </c>
      <c r="B53" s="68" t="n">
        <v>10000353</v>
      </c>
      <c r="C53" s="68">
        <f>_xlfn.XLOOKUP(B53,'Detail&lt;Child&gt;'!A:A,'Detail&lt;Child&gt;'!B:B)</f>
        <v/>
      </c>
      <c r="D53" s="68">
        <f>"character_gradeup_"&amp;$B53&amp;"_"&amp;$H53</f>
        <v/>
      </c>
      <c r="E53" s="68" t="inlineStr">
        <is>
          <t>Item</t>
        </is>
      </c>
      <c r="F53" s="68">
        <f>INT(3003&amp;RIGHT(B53,4))</f>
        <v/>
      </c>
      <c r="G53" s="68">
        <f>VLOOKUP($R53, '#등급업 재료 개수'!$A$2:$K$5, MATCH(GradeUp!H53, '#등급업 재료 개수'!$A$2:$K$2, 0), FALSE)</f>
        <v/>
      </c>
      <c r="H53" s="68" t="n">
        <v>10</v>
      </c>
      <c r="I53" s="68" t="n">
        <v>100</v>
      </c>
      <c r="J53" s="68" t="n">
        <v>0</v>
      </c>
      <c r="K53" s="68" t="n">
        <v>0</v>
      </c>
      <c r="L53" s="68" t="inlineStr">
        <is>
          <t>HpRatio</t>
        </is>
      </c>
      <c r="M53" s="68">
        <f>M52+10000</f>
        <v/>
      </c>
      <c r="N53" s="68" t="inlineStr">
        <is>
          <t>AtkRatio</t>
        </is>
      </c>
      <c r="O53" s="68">
        <f>O52+10000</f>
        <v/>
      </c>
      <c r="P53" s="68" t="inlineStr">
        <is>
          <t>DefRatio</t>
        </is>
      </c>
      <c r="Q53" s="68">
        <f>Q52+10000</f>
        <v/>
      </c>
      <c r="R53" s="0">
        <f>_xlfn.XLOOKUP($B53, 'Detail&lt;Child&gt;'!$A:$A, 'Detail&lt;Child&gt;'!$L:$L)</f>
        <v/>
      </c>
    </row>
    <row r="54">
      <c r="A54" s="68">
        <f>B54*100+H54</f>
        <v/>
      </c>
      <c r="B54" s="68" t="n">
        <v>10000229</v>
      </c>
      <c r="C54" s="68">
        <f>_xlfn.XLOOKUP(B54,'Detail&lt;Child&gt;'!A:A,'Detail&lt;Child&gt;'!B:B)</f>
        <v/>
      </c>
      <c r="D54" s="68">
        <f>"character_gradeup_"&amp;$B54&amp;"_"&amp;$H54</f>
        <v/>
      </c>
      <c r="E54" s="68" t="inlineStr">
        <is>
          <t>Item</t>
        </is>
      </c>
      <c r="F54" s="68">
        <f>INT(3003&amp;RIGHT(B54,4))</f>
        <v/>
      </c>
      <c r="G54" s="68">
        <f>VLOOKUP($R54, '#등급업 재료 개수'!$A$2:$K$5, MATCH(GradeUp!H54, '#등급업 재료 개수'!$A$2:$K$2, 0), FALSE)</f>
        <v/>
      </c>
      <c r="H54" s="68" t="n">
        <v>1</v>
      </c>
      <c r="I54" s="68" t="n">
        <v>10</v>
      </c>
      <c r="J54" s="68" t="n">
        <v>0</v>
      </c>
      <c r="K54" s="68" t="n">
        <v>0</v>
      </c>
      <c r="L54" s="68" t="inlineStr">
        <is>
          <t>HpRatio</t>
        </is>
      </c>
      <c r="M54" s="68" t="n">
        <v>0</v>
      </c>
      <c r="N54" s="68" t="inlineStr">
        <is>
          <t>AtkRatio</t>
        </is>
      </c>
      <c r="O54" s="68" t="n">
        <v>0</v>
      </c>
      <c r="P54" s="68" t="inlineStr">
        <is>
          <t>DefRatio</t>
        </is>
      </c>
      <c r="Q54" s="68" t="n">
        <v>0</v>
      </c>
      <c r="R54" s="0">
        <f>_xlfn.XLOOKUP($B54, 'Detail&lt;Child&gt;'!$A:$A, 'Detail&lt;Child&gt;'!$L:$L)</f>
        <v/>
      </c>
    </row>
    <row r="55">
      <c r="A55" s="68">
        <f>B55*100+H55</f>
        <v/>
      </c>
      <c r="B55" s="68" t="n">
        <v>10000229</v>
      </c>
      <c r="C55" s="68">
        <f>_xlfn.XLOOKUP(B55,'Detail&lt;Child&gt;'!A:A,'Detail&lt;Child&gt;'!B:B)</f>
        <v/>
      </c>
      <c r="D55" s="68">
        <f>"character_gradeup_"&amp;$B55&amp;"_"&amp;$H55</f>
        <v/>
      </c>
      <c r="E55" s="68" t="inlineStr">
        <is>
          <t>Item</t>
        </is>
      </c>
      <c r="F55" s="68">
        <f>INT(3003&amp;RIGHT(B55,4))</f>
        <v/>
      </c>
      <c r="G55" s="68">
        <f>VLOOKUP($R55, '#등급업 재료 개수'!$A$2:$K$5, MATCH(GradeUp!H55, '#등급업 재료 개수'!$A$2:$K$2, 0), FALSE)</f>
        <v/>
      </c>
      <c r="H55" s="68" t="n">
        <v>2</v>
      </c>
      <c r="I55" s="68" t="n">
        <v>20</v>
      </c>
      <c r="J55" s="68" t="inlineStr">
        <is>
          <t>Active</t>
        </is>
      </c>
      <c r="K55" s="68">
        <f>_xlfn.IFNA(VLOOKUP($B55, 'Detail&lt;Child&gt;'!$A:$AW, MATCH(J55, 'Detail&lt;Child&gt;'!$3:$3,0 ), FALSE)+INT($H55/12), 0)</f>
        <v/>
      </c>
      <c r="L55" s="68" t="inlineStr">
        <is>
          <t>HpRatio</t>
        </is>
      </c>
      <c r="M55" s="68" t="n">
        <v>0</v>
      </c>
      <c r="N55" s="68" t="inlineStr">
        <is>
          <t>AtkRatio</t>
        </is>
      </c>
      <c r="O55" s="68" t="n">
        <v>0</v>
      </c>
      <c r="P55" s="68" t="inlineStr">
        <is>
          <t>DefRatio</t>
        </is>
      </c>
      <c r="Q55" s="68" t="n">
        <v>0</v>
      </c>
      <c r="R55" s="0">
        <f>_xlfn.XLOOKUP($B55, 'Detail&lt;Child&gt;'!$A:$A, 'Detail&lt;Child&gt;'!$L:$L)</f>
        <v/>
      </c>
    </row>
    <row r="56">
      <c r="A56" s="68">
        <f>B56*100+H56</f>
        <v/>
      </c>
      <c r="B56" s="68" t="n">
        <v>10000229</v>
      </c>
      <c r="C56" s="68">
        <f>_xlfn.XLOOKUP(B56,'Detail&lt;Child&gt;'!A:A,'Detail&lt;Child&gt;'!B:B)</f>
        <v/>
      </c>
      <c r="D56" s="68">
        <f>"character_gradeup_"&amp;$B56&amp;"_"&amp;$H56</f>
        <v/>
      </c>
      <c r="E56" s="68" t="inlineStr">
        <is>
          <t>Item</t>
        </is>
      </c>
      <c r="F56" s="68">
        <f>INT(3003&amp;RIGHT(B56,4))</f>
        <v/>
      </c>
      <c r="G56" s="68">
        <f>VLOOKUP($R56, '#등급업 재료 개수'!$A$2:$K$5, MATCH(GradeUp!H56, '#등급업 재료 개수'!$A$2:$K$2, 0), FALSE)</f>
        <v/>
      </c>
      <c r="H56" s="68" t="n">
        <v>3</v>
      </c>
      <c r="I56" s="68" t="n">
        <v>30</v>
      </c>
      <c r="J56" s="68" t="n">
        <v>0</v>
      </c>
      <c r="K56" s="68" t="n">
        <v>0</v>
      </c>
      <c r="L56" s="68" t="inlineStr">
        <is>
          <t>HpRatio</t>
        </is>
      </c>
      <c r="M56" s="68" t="n">
        <v>10000</v>
      </c>
      <c r="N56" s="68" t="inlineStr">
        <is>
          <t>AtkRatio</t>
        </is>
      </c>
      <c r="O56" s="68" t="n">
        <v>10000</v>
      </c>
      <c r="P56" s="68" t="inlineStr">
        <is>
          <t>DefRatio</t>
        </is>
      </c>
      <c r="Q56" s="68" t="n">
        <v>10000</v>
      </c>
      <c r="R56" s="0">
        <f>_xlfn.XLOOKUP($B56, 'Detail&lt;Child&gt;'!$A:$A, 'Detail&lt;Child&gt;'!$L:$L)</f>
        <v/>
      </c>
    </row>
    <row r="57">
      <c r="A57" s="68">
        <f>B57*100+H57</f>
        <v/>
      </c>
      <c r="B57" s="68" t="n">
        <v>10000229</v>
      </c>
      <c r="C57" s="68">
        <f>_xlfn.XLOOKUP(B57,'Detail&lt;Child&gt;'!A:A,'Detail&lt;Child&gt;'!B:B)</f>
        <v/>
      </c>
      <c r="D57" s="68">
        <f>"character_gradeup_"&amp;$B57&amp;"_"&amp;$H57</f>
        <v/>
      </c>
      <c r="E57" s="68" t="inlineStr">
        <is>
          <t>Item</t>
        </is>
      </c>
      <c r="F57" s="68">
        <f>INT(3003&amp;RIGHT(B57,4))</f>
        <v/>
      </c>
      <c r="G57" s="68">
        <f>VLOOKUP($R57, '#등급업 재료 개수'!$A$2:$K$5, MATCH(GradeUp!H57, '#등급업 재료 개수'!$A$2:$K$2, 0), FALSE)</f>
        <v/>
      </c>
      <c r="H57" s="68" t="n">
        <v>4</v>
      </c>
      <c r="I57" s="68" t="n">
        <v>40</v>
      </c>
      <c r="J57" s="68" t="inlineStr">
        <is>
          <t>Passive</t>
        </is>
      </c>
      <c r="K57" s="68">
        <f>_xlfn.IFNA(VLOOKUP($B57, 'Detail&lt;Child&gt;'!$A:$AW, MATCH(J57, 'Detail&lt;Child&gt;'!$3:$3,0 ), FALSE)+INT($H57/12), 0)</f>
        <v/>
      </c>
      <c r="L57" s="68" t="inlineStr">
        <is>
          <t>HpRatio</t>
        </is>
      </c>
      <c r="M57" s="68">
        <f>M56+10000</f>
        <v/>
      </c>
      <c r="N57" s="68" t="inlineStr">
        <is>
          <t>AtkRatio</t>
        </is>
      </c>
      <c r="O57" s="68">
        <f>O56+10000</f>
        <v/>
      </c>
      <c r="P57" s="68" t="inlineStr">
        <is>
          <t>DefRatio</t>
        </is>
      </c>
      <c r="Q57" s="68">
        <f>Q56+10000</f>
        <v/>
      </c>
      <c r="R57" s="0">
        <f>_xlfn.XLOOKUP($B57, 'Detail&lt;Child&gt;'!$A:$A, 'Detail&lt;Child&gt;'!$L:$L)</f>
        <v/>
      </c>
    </row>
    <row r="58">
      <c r="A58" s="68">
        <f>B58*100+H58</f>
        <v/>
      </c>
      <c r="B58" s="68" t="n">
        <v>10000229</v>
      </c>
      <c r="C58" s="68">
        <f>_xlfn.XLOOKUP(B58,'Detail&lt;Child&gt;'!A:A,'Detail&lt;Child&gt;'!B:B)</f>
        <v/>
      </c>
      <c r="D58" s="68">
        <f>"character_gradeup_"&amp;$B58&amp;"_"&amp;$H58</f>
        <v/>
      </c>
      <c r="E58" s="68" t="inlineStr">
        <is>
          <t>Item</t>
        </is>
      </c>
      <c r="F58" s="68">
        <f>INT(3003&amp;RIGHT(B58,4))</f>
        <v/>
      </c>
      <c r="G58" s="68">
        <f>VLOOKUP($R58, '#등급업 재료 개수'!$A$2:$K$5, MATCH(GradeUp!H58, '#등급업 재료 개수'!$A$2:$K$2, 0), FALSE)</f>
        <v/>
      </c>
      <c r="H58" s="68" t="n">
        <v>5</v>
      </c>
      <c r="I58" s="68" t="n">
        <v>50</v>
      </c>
      <c r="J58" s="68" t="inlineStr">
        <is>
          <t>Active</t>
        </is>
      </c>
      <c r="K58" s="68">
        <f>_xlfn.IFNA(VLOOKUP($B58, 'Detail&lt;Child&gt;'!$A:$AW, MATCH(J58, 'Detail&lt;Child&gt;'!$3:$3,0 ), FALSE)+INT($H58/12), 0)+1</f>
        <v/>
      </c>
      <c r="L58" s="68" t="inlineStr">
        <is>
          <t>HpRatio</t>
        </is>
      </c>
      <c r="M58" s="68">
        <f>M57+10000</f>
        <v/>
      </c>
      <c r="N58" s="68" t="inlineStr">
        <is>
          <t>AtkRatio</t>
        </is>
      </c>
      <c r="O58" s="68">
        <f>O57+10000</f>
        <v/>
      </c>
      <c r="P58" s="68" t="inlineStr">
        <is>
          <t>DefRatio</t>
        </is>
      </c>
      <c r="Q58" s="68">
        <f>Q57+10000</f>
        <v/>
      </c>
      <c r="R58" s="0">
        <f>_xlfn.XLOOKUP($B58, 'Detail&lt;Child&gt;'!$A:$A, 'Detail&lt;Child&gt;'!$L:$L)</f>
        <v/>
      </c>
    </row>
    <row r="59">
      <c r="A59" s="68">
        <f>B59*100+H59</f>
        <v/>
      </c>
      <c r="B59" s="68" t="n">
        <v>10000229</v>
      </c>
      <c r="C59" s="68">
        <f>_xlfn.XLOOKUP(B59,'Detail&lt;Child&gt;'!A:A,'Detail&lt;Child&gt;'!B:B)</f>
        <v/>
      </c>
      <c r="D59" s="68">
        <f>"character_gradeup_"&amp;$B59&amp;"_"&amp;$H59</f>
        <v/>
      </c>
      <c r="E59" s="68" t="inlineStr">
        <is>
          <t>Item</t>
        </is>
      </c>
      <c r="F59" s="68">
        <f>INT(3003&amp;RIGHT(B59,4))</f>
        <v/>
      </c>
      <c r="G59" s="68">
        <f>VLOOKUP($R59, '#등급업 재료 개수'!$A$2:$K$5, MATCH(GradeUp!H59, '#등급업 재료 개수'!$A$2:$K$2, 0), FALSE)</f>
        <v/>
      </c>
      <c r="H59" s="68" t="n">
        <v>6</v>
      </c>
      <c r="I59" s="68" t="n">
        <v>60</v>
      </c>
      <c r="J59" s="68" t="n">
        <v>0</v>
      </c>
      <c r="K59" s="68" t="n">
        <v>0</v>
      </c>
      <c r="L59" s="68" t="inlineStr">
        <is>
          <t>HpRatio</t>
        </is>
      </c>
      <c r="M59" s="68">
        <f>M58+10000</f>
        <v/>
      </c>
      <c r="N59" s="68" t="inlineStr">
        <is>
          <t>AtkRatio</t>
        </is>
      </c>
      <c r="O59" s="68">
        <f>O58+10000</f>
        <v/>
      </c>
      <c r="P59" s="68" t="inlineStr">
        <is>
          <t>DefRatio</t>
        </is>
      </c>
      <c r="Q59" s="68">
        <f>Q58+10000</f>
        <v/>
      </c>
      <c r="R59" s="0">
        <f>_xlfn.XLOOKUP($B59, 'Detail&lt;Child&gt;'!$A:$A, 'Detail&lt;Child&gt;'!$L:$L)</f>
        <v/>
      </c>
    </row>
    <row r="60">
      <c r="A60" s="68">
        <f>B60*100+H60</f>
        <v/>
      </c>
      <c r="B60" s="68" t="n">
        <v>10000229</v>
      </c>
      <c r="C60" s="68">
        <f>_xlfn.XLOOKUP(B60,'Detail&lt;Child&gt;'!A:A,'Detail&lt;Child&gt;'!B:B)</f>
        <v/>
      </c>
      <c r="D60" s="68">
        <f>"character_gradeup_"&amp;$B60&amp;"_"&amp;$H60</f>
        <v/>
      </c>
      <c r="E60" s="68" t="inlineStr">
        <is>
          <t>Item</t>
        </is>
      </c>
      <c r="F60" s="68">
        <f>INT(3003&amp;RIGHT(B60,4))</f>
        <v/>
      </c>
      <c r="G60" s="68">
        <f>VLOOKUP($R60, '#등급업 재료 개수'!$A$2:$K$5, MATCH(GradeUp!H60, '#등급업 재료 개수'!$A$2:$K$2, 0), FALSE)</f>
        <v/>
      </c>
      <c r="H60" s="68" t="n">
        <v>7</v>
      </c>
      <c r="I60" s="68" t="n">
        <v>70</v>
      </c>
      <c r="J60" s="68" t="inlineStr">
        <is>
          <t>Passive</t>
        </is>
      </c>
      <c r="K60" s="68">
        <f>_xlfn.IFNA(VLOOKUP($B60, 'Detail&lt;Child&gt;'!$A:$AW, MATCH(J60, 'Detail&lt;Child&gt;'!$3:$3,0 ), FALSE)+INT($H60/12), 0)+1</f>
        <v/>
      </c>
      <c r="L60" s="68" t="inlineStr">
        <is>
          <t>HpRatio</t>
        </is>
      </c>
      <c r="M60" s="68">
        <f>M59+10000</f>
        <v/>
      </c>
      <c r="N60" s="68" t="inlineStr">
        <is>
          <t>AtkRatio</t>
        </is>
      </c>
      <c r="O60" s="68">
        <f>O59+10000</f>
        <v/>
      </c>
      <c r="P60" s="68" t="inlineStr">
        <is>
          <t>DefRatio</t>
        </is>
      </c>
      <c r="Q60" s="68">
        <f>Q59+10000</f>
        <v/>
      </c>
      <c r="R60" s="0">
        <f>_xlfn.XLOOKUP($B60, 'Detail&lt;Child&gt;'!$A:$A, 'Detail&lt;Child&gt;'!$L:$L)</f>
        <v/>
      </c>
    </row>
    <row r="61">
      <c r="A61" s="68">
        <f>B61*100+H61</f>
        <v/>
      </c>
      <c r="B61" s="68" t="n">
        <v>10000229</v>
      </c>
      <c r="C61" s="68">
        <f>_xlfn.XLOOKUP(B61,'Detail&lt;Child&gt;'!A:A,'Detail&lt;Child&gt;'!B:B)</f>
        <v/>
      </c>
      <c r="D61" s="68">
        <f>"character_gradeup_"&amp;$B61&amp;"_"&amp;$H61</f>
        <v/>
      </c>
      <c r="E61" s="68" t="inlineStr">
        <is>
          <t>Item</t>
        </is>
      </c>
      <c r="F61" s="68">
        <f>INT(3003&amp;RIGHT(B61,4))</f>
        <v/>
      </c>
      <c r="G61" s="68">
        <f>VLOOKUP($R61, '#등급업 재료 개수'!$A$2:$K$5, MATCH(GradeUp!H61, '#등급업 재료 개수'!$A$2:$K$2, 0), FALSE)</f>
        <v/>
      </c>
      <c r="H61" s="68" t="n">
        <v>8</v>
      </c>
      <c r="I61" s="68" t="n">
        <v>80</v>
      </c>
      <c r="J61" s="68" t="n">
        <v>0</v>
      </c>
      <c r="K61" s="68" t="n">
        <v>0</v>
      </c>
      <c r="L61" s="68" t="inlineStr">
        <is>
          <t>HpRatio</t>
        </is>
      </c>
      <c r="M61" s="68">
        <f>M60+10000</f>
        <v/>
      </c>
      <c r="N61" s="68" t="inlineStr">
        <is>
          <t>AtkRatio</t>
        </is>
      </c>
      <c r="O61" s="68">
        <f>O60+10000</f>
        <v/>
      </c>
      <c r="P61" s="68" t="inlineStr">
        <is>
          <t>DefRatio</t>
        </is>
      </c>
      <c r="Q61" s="68">
        <f>Q60+10000</f>
        <v/>
      </c>
      <c r="R61" s="0">
        <f>_xlfn.XLOOKUP($B61, 'Detail&lt;Child&gt;'!$A:$A, 'Detail&lt;Child&gt;'!$L:$L)</f>
        <v/>
      </c>
    </row>
    <row r="62">
      <c r="A62" s="68">
        <f>B62*100+H62</f>
        <v/>
      </c>
      <c r="B62" s="68" t="n">
        <v>10000229</v>
      </c>
      <c r="C62" s="68">
        <f>_xlfn.XLOOKUP(B62,'Detail&lt;Child&gt;'!A:A,'Detail&lt;Child&gt;'!B:B)</f>
        <v/>
      </c>
      <c r="D62" s="68">
        <f>"character_gradeup_"&amp;$B62&amp;"_"&amp;$H62</f>
        <v/>
      </c>
      <c r="E62" s="68" t="inlineStr">
        <is>
          <t>Item</t>
        </is>
      </c>
      <c r="F62" s="68">
        <f>INT(3003&amp;RIGHT(B62,4))</f>
        <v/>
      </c>
      <c r="G62" s="68">
        <f>VLOOKUP($R62, '#등급업 재료 개수'!$A$2:$K$5, MATCH(GradeUp!H62, '#등급업 재료 개수'!$A$2:$K$2, 0), FALSE)</f>
        <v/>
      </c>
      <c r="H62" s="68" t="n">
        <v>9</v>
      </c>
      <c r="I62" s="68" t="n">
        <v>90</v>
      </c>
      <c r="J62" s="68" t="inlineStr">
        <is>
          <t>Ultimate</t>
        </is>
      </c>
      <c r="K62" s="68">
        <f>_xlfn.IFNA(VLOOKUP($B62, 'Detail&lt;Child&gt;'!$A:$AW, MATCH(J62, 'Detail&lt;Child&gt;'!$3:$3,0 ), FALSE)+INT($H62/12), 0)+1</f>
        <v/>
      </c>
      <c r="L62" s="68" t="inlineStr">
        <is>
          <t>HpRatio</t>
        </is>
      </c>
      <c r="M62" s="68">
        <f>M61+10000</f>
        <v/>
      </c>
      <c r="N62" s="68" t="inlineStr">
        <is>
          <t>AtkRatio</t>
        </is>
      </c>
      <c r="O62" s="68">
        <f>O61+10000</f>
        <v/>
      </c>
      <c r="P62" s="68" t="inlineStr">
        <is>
          <t>DefRatio</t>
        </is>
      </c>
      <c r="Q62" s="68">
        <f>Q61+10000</f>
        <v/>
      </c>
      <c r="R62" s="0">
        <f>_xlfn.XLOOKUP($B62, 'Detail&lt;Child&gt;'!$A:$A, 'Detail&lt;Child&gt;'!$L:$L)</f>
        <v/>
      </c>
    </row>
    <row r="63">
      <c r="A63" s="68">
        <f>B63*100+H63</f>
        <v/>
      </c>
      <c r="B63" s="68" t="n">
        <v>10000229</v>
      </c>
      <c r="C63" s="68">
        <f>_xlfn.XLOOKUP(B63,'Detail&lt;Child&gt;'!A:A,'Detail&lt;Child&gt;'!B:B)</f>
        <v/>
      </c>
      <c r="D63" s="68">
        <f>"character_gradeup_"&amp;$B63&amp;"_"&amp;$H63</f>
        <v/>
      </c>
      <c r="E63" s="68" t="inlineStr">
        <is>
          <t>Item</t>
        </is>
      </c>
      <c r="F63" s="68">
        <f>INT(3003&amp;RIGHT(B63,4))</f>
        <v/>
      </c>
      <c r="G63" s="68">
        <f>VLOOKUP($R63, '#등급업 재료 개수'!$A$2:$K$5, MATCH(GradeUp!H63, '#등급업 재료 개수'!$A$2:$K$2, 0), FALSE)</f>
        <v/>
      </c>
      <c r="H63" s="68" t="n">
        <v>10</v>
      </c>
      <c r="I63" s="68" t="n">
        <v>100</v>
      </c>
      <c r="J63" s="68" t="n">
        <v>0</v>
      </c>
      <c r="K63" s="68" t="n">
        <v>0</v>
      </c>
      <c r="L63" s="68" t="inlineStr">
        <is>
          <t>HpRatio</t>
        </is>
      </c>
      <c r="M63" s="68">
        <f>M62+10000</f>
        <v/>
      </c>
      <c r="N63" s="68" t="inlineStr">
        <is>
          <t>AtkRatio</t>
        </is>
      </c>
      <c r="O63" s="68">
        <f>O62+10000</f>
        <v/>
      </c>
      <c r="P63" s="68" t="inlineStr">
        <is>
          <t>DefRatio</t>
        </is>
      </c>
      <c r="Q63" s="68">
        <f>Q62+10000</f>
        <v/>
      </c>
      <c r="R63" s="0">
        <f>_xlfn.XLOOKUP($B63, 'Detail&lt;Child&gt;'!$A:$A, 'Detail&lt;Child&gt;'!$L:$L)</f>
        <v/>
      </c>
    </row>
    <row r="64">
      <c r="A64" s="68">
        <f>B64*100+H64</f>
        <v/>
      </c>
      <c r="B64" s="68" t="n">
        <v>10000180</v>
      </c>
      <c r="C64" s="68">
        <f>_xlfn.XLOOKUP(B64,'Detail&lt;Child&gt;'!A:A,'Detail&lt;Child&gt;'!B:B)</f>
        <v/>
      </c>
      <c r="D64" s="68">
        <f>"character_gradeup_"&amp;$B64&amp;"_"&amp;$H64</f>
        <v/>
      </c>
      <c r="E64" s="68" t="inlineStr">
        <is>
          <t>Item</t>
        </is>
      </c>
      <c r="F64" s="68">
        <f>INT(3003&amp;RIGHT(B64,4))</f>
        <v/>
      </c>
      <c r="G64" s="68">
        <f>VLOOKUP($R64, '#등급업 재료 개수'!$A$2:$K$5, MATCH(GradeUp!H64, '#등급업 재료 개수'!$A$2:$K$2, 0), FALSE)</f>
        <v/>
      </c>
      <c r="H64" s="68" t="n">
        <v>1</v>
      </c>
      <c r="I64" s="68" t="n">
        <v>10</v>
      </c>
      <c r="J64" s="68" t="n">
        <v>0</v>
      </c>
      <c r="K64" s="68" t="n">
        <v>0</v>
      </c>
      <c r="L64" s="68" t="inlineStr">
        <is>
          <t>HpRatio</t>
        </is>
      </c>
      <c r="M64" s="68" t="n">
        <v>0</v>
      </c>
      <c r="N64" s="68" t="inlineStr">
        <is>
          <t>AtkRatio</t>
        </is>
      </c>
      <c r="O64" s="68" t="n">
        <v>0</v>
      </c>
      <c r="P64" s="68" t="inlineStr">
        <is>
          <t>DefRatio</t>
        </is>
      </c>
      <c r="Q64" s="68" t="n">
        <v>0</v>
      </c>
      <c r="R64" s="0">
        <f>_xlfn.XLOOKUP($B64, 'Detail&lt;Child&gt;'!$A:$A, 'Detail&lt;Child&gt;'!$L:$L)</f>
        <v/>
      </c>
    </row>
    <row r="65">
      <c r="A65" s="68">
        <f>B65*100+H65</f>
        <v/>
      </c>
      <c r="B65" s="68" t="n">
        <v>10000180</v>
      </c>
      <c r="C65" s="68">
        <f>_xlfn.XLOOKUP(B65,'Detail&lt;Child&gt;'!A:A,'Detail&lt;Child&gt;'!B:B)</f>
        <v/>
      </c>
      <c r="D65" s="68">
        <f>"character_gradeup_"&amp;$B65&amp;"_"&amp;$H65</f>
        <v/>
      </c>
      <c r="E65" s="68" t="inlineStr">
        <is>
          <t>Item</t>
        </is>
      </c>
      <c r="F65" s="68">
        <f>INT(3003&amp;RIGHT(B65,4))</f>
        <v/>
      </c>
      <c r="G65" s="68">
        <f>VLOOKUP($R65, '#등급업 재료 개수'!$A$2:$K$5, MATCH(GradeUp!H65, '#등급업 재료 개수'!$A$2:$K$2, 0), FALSE)</f>
        <v/>
      </c>
      <c r="H65" s="68" t="n">
        <v>2</v>
      </c>
      <c r="I65" s="68" t="n">
        <v>20</v>
      </c>
      <c r="J65" s="68" t="inlineStr">
        <is>
          <t>Active</t>
        </is>
      </c>
      <c r="K65" s="68">
        <f>_xlfn.IFNA(VLOOKUP($B65, 'Detail&lt;Child&gt;'!$A:$AW, MATCH(J65, 'Detail&lt;Child&gt;'!$3:$3,0 ), FALSE)+INT($H65/12), 0)</f>
        <v/>
      </c>
      <c r="L65" s="68" t="inlineStr">
        <is>
          <t>HpRatio</t>
        </is>
      </c>
      <c r="M65" s="68" t="n">
        <v>10000</v>
      </c>
      <c r="N65" s="68" t="inlineStr">
        <is>
          <t>AtkRatio</t>
        </is>
      </c>
      <c r="O65" s="68" t="n">
        <v>10000</v>
      </c>
      <c r="P65" s="68" t="inlineStr">
        <is>
          <t>DefRatio</t>
        </is>
      </c>
      <c r="Q65" s="68" t="n">
        <v>10000</v>
      </c>
      <c r="R65" s="0">
        <f>_xlfn.XLOOKUP($B65, 'Detail&lt;Child&gt;'!$A:$A, 'Detail&lt;Child&gt;'!$L:$L)</f>
        <v/>
      </c>
    </row>
    <row r="66">
      <c r="A66" s="68">
        <f>B66*100+H66</f>
        <v/>
      </c>
      <c r="B66" s="68" t="n">
        <v>10000180</v>
      </c>
      <c r="C66" s="68">
        <f>_xlfn.XLOOKUP(B66,'Detail&lt;Child&gt;'!A:A,'Detail&lt;Child&gt;'!B:B)</f>
        <v/>
      </c>
      <c r="D66" s="68">
        <f>"character_gradeup_"&amp;$B66&amp;"_"&amp;$H66</f>
        <v/>
      </c>
      <c r="E66" s="68" t="inlineStr">
        <is>
          <t>Item</t>
        </is>
      </c>
      <c r="F66" s="68">
        <f>INT(3003&amp;RIGHT(B66,4))</f>
        <v/>
      </c>
      <c r="G66" s="68">
        <f>VLOOKUP($R66, '#등급업 재료 개수'!$A$2:$K$5, MATCH(GradeUp!H66, '#등급업 재료 개수'!$A$2:$K$2, 0), FALSE)</f>
        <v/>
      </c>
      <c r="H66" s="68" t="n">
        <v>3</v>
      </c>
      <c r="I66" s="68" t="n">
        <v>30</v>
      </c>
      <c r="J66" s="68" t="n">
        <v>0</v>
      </c>
      <c r="K66" s="68" t="n">
        <v>0</v>
      </c>
      <c r="L66" s="68" t="inlineStr">
        <is>
          <t>HpRatio</t>
        </is>
      </c>
      <c r="M66" s="68">
        <f>M65+10000</f>
        <v/>
      </c>
      <c r="N66" s="68" t="inlineStr">
        <is>
          <t>AtkRatio</t>
        </is>
      </c>
      <c r="O66" s="68">
        <f>O65+10000</f>
        <v/>
      </c>
      <c r="P66" s="68" t="inlineStr">
        <is>
          <t>DefRatio</t>
        </is>
      </c>
      <c r="Q66" s="68">
        <f>Q65+10000</f>
        <v/>
      </c>
      <c r="R66" s="0">
        <f>_xlfn.XLOOKUP($B66, 'Detail&lt;Child&gt;'!$A:$A, 'Detail&lt;Child&gt;'!$L:$L)</f>
        <v/>
      </c>
    </row>
    <row r="67">
      <c r="A67" s="68">
        <f>B67*100+H67</f>
        <v/>
      </c>
      <c r="B67" s="68" t="n">
        <v>10000180</v>
      </c>
      <c r="C67" s="68">
        <f>_xlfn.XLOOKUP(B67,'Detail&lt;Child&gt;'!A:A,'Detail&lt;Child&gt;'!B:B)</f>
        <v/>
      </c>
      <c r="D67" s="68">
        <f>"character_gradeup_"&amp;$B67&amp;"_"&amp;$H67</f>
        <v/>
      </c>
      <c r="E67" s="68" t="inlineStr">
        <is>
          <t>Item</t>
        </is>
      </c>
      <c r="F67" s="68">
        <f>INT(3003&amp;RIGHT(B67,4))</f>
        <v/>
      </c>
      <c r="G67" s="68">
        <f>VLOOKUP($R67, '#등급업 재료 개수'!$A$2:$K$5, MATCH(GradeUp!H67, '#등급업 재료 개수'!$A$2:$K$2, 0), FALSE)</f>
        <v/>
      </c>
      <c r="H67" s="68" t="n">
        <v>4</v>
      </c>
      <c r="I67" s="68" t="n">
        <v>40</v>
      </c>
      <c r="J67" s="68" t="inlineStr">
        <is>
          <t>Passive</t>
        </is>
      </c>
      <c r="K67" s="68">
        <f>_xlfn.IFNA(VLOOKUP($B67, 'Detail&lt;Child&gt;'!$A:$AW, MATCH(J67, 'Detail&lt;Child&gt;'!$3:$3,0 ), FALSE)+INT($H67/12), 0)</f>
        <v/>
      </c>
      <c r="L67" s="68" t="inlineStr">
        <is>
          <t>HpRatio</t>
        </is>
      </c>
      <c r="M67" s="68">
        <f>M66+10000</f>
        <v/>
      </c>
      <c r="N67" s="68" t="inlineStr">
        <is>
          <t>AtkRatio</t>
        </is>
      </c>
      <c r="O67" s="68">
        <f>O66+10000</f>
        <v/>
      </c>
      <c r="P67" s="68" t="inlineStr">
        <is>
          <t>DefRatio</t>
        </is>
      </c>
      <c r="Q67" s="68">
        <f>Q66+10000</f>
        <v/>
      </c>
      <c r="R67" s="0">
        <f>_xlfn.XLOOKUP($B67, 'Detail&lt;Child&gt;'!$A:$A, 'Detail&lt;Child&gt;'!$L:$L)</f>
        <v/>
      </c>
    </row>
    <row r="68">
      <c r="A68" s="68">
        <f>B68*100+H68</f>
        <v/>
      </c>
      <c r="B68" s="68" t="n">
        <v>10000180</v>
      </c>
      <c r="C68" s="68">
        <f>_xlfn.XLOOKUP(B68,'Detail&lt;Child&gt;'!A:A,'Detail&lt;Child&gt;'!B:B)</f>
        <v/>
      </c>
      <c r="D68" s="68">
        <f>"character_gradeup_"&amp;$B68&amp;"_"&amp;$H68</f>
        <v/>
      </c>
      <c r="E68" s="68" t="inlineStr">
        <is>
          <t>Item</t>
        </is>
      </c>
      <c r="F68" s="68">
        <f>INT(3003&amp;RIGHT(B68,4))</f>
        <v/>
      </c>
      <c r="G68" s="68">
        <f>VLOOKUP($R68, '#등급업 재료 개수'!$A$2:$K$5, MATCH(GradeUp!H68, '#등급업 재료 개수'!$A$2:$K$2, 0), FALSE)</f>
        <v/>
      </c>
      <c r="H68" s="68" t="n">
        <v>5</v>
      </c>
      <c r="I68" s="68" t="n">
        <v>50</v>
      </c>
      <c r="J68" s="68" t="inlineStr">
        <is>
          <t>Active</t>
        </is>
      </c>
      <c r="K68" s="68">
        <f>_xlfn.IFNA(VLOOKUP($B68, 'Detail&lt;Child&gt;'!$A:$AW, MATCH(J68, 'Detail&lt;Child&gt;'!$3:$3,0 ), FALSE)+INT($H68/12), 0)+1</f>
        <v/>
      </c>
      <c r="L68" s="68" t="inlineStr">
        <is>
          <t>HpRatio</t>
        </is>
      </c>
      <c r="M68" s="68">
        <f>M67+10000</f>
        <v/>
      </c>
      <c r="N68" s="68" t="inlineStr">
        <is>
          <t>AtkRatio</t>
        </is>
      </c>
      <c r="O68" s="68">
        <f>O67+10000</f>
        <v/>
      </c>
      <c r="P68" s="68" t="inlineStr">
        <is>
          <t>DefRatio</t>
        </is>
      </c>
      <c r="Q68" s="68">
        <f>Q67+10000</f>
        <v/>
      </c>
      <c r="R68" s="0">
        <f>_xlfn.XLOOKUP($B68, 'Detail&lt;Child&gt;'!$A:$A, 'Detail&lt;Child&gt;'!$L:$L)</f>
        <v/>
      </c>
    </row>
    <row r="69">
      <c r="A69" s="68">
        <f>B69*100+H69</f>
        <v/>
      </c>
      <c r="B69" s="68" t="n">
        <v>10000180</v>
      </c>
      <c r="C69" s="68">
        <f>_xlfn.XLOOKUP(B69,'Detail&lt;Child&gt;'!A:A,'Detail&lt;Child&gt;'!B:B)</f>
        <v/>
      </c>
      <c r="D69" s="68">
        <f>"character_gradeup_"&amp;$B69&amp;"_"&amp;$H69</f>
        <v/>
      </c>
      <c r="E69" s="68" t="inlineStr">
        <is>
          <t>Item</t>
        </is>
      </c>
      <c r="F69" s="68">
        <f>INT(3003&amp;RIGHT(B69,4))</f>
        <v/>
      </c>
      <c r="G69" s="68">
        <f>VLOOKUP($R69, '#등급업 재료 개수'!$A$2:$K$5, MATCH(GradeUp!H69, '#등급업 재료 개수'!$A$2:$K$2, 0), FALSE)</f>
        <v/>
      </c>
      <c r="H69" s="68" t="n">
        <v>6</v>
      </c>
      <c r="I69" s="68" t="n">
        <v>60</v>
      </c>
      <c r="J69" s="68" t="n">
        <v>0</v>
      </c>
      <c r="K69" s="68" t="n">
        <v>0</v>
      </c>
      <c r="L69" s="68" t="inlineStr">
        <is>
          <t>HpRatio</t>
        </is>
      </c>
      <c r="M69" s="68">
        <f>M68+10000</f>
        <v/>
      </c>
      <c r="N69" s="68" t="inlineStr">
        <is>
          <t>AtkRatio</t>
        </is>
      </c>
      <c r="O69" s="68">
        <f>O68+10000</f>
        <v/>
      </c>
      <c r="P69" s="68" t="inlineStr">
        <is>
          <t>DefRatio</t>
        </is>
      </c>
      <c r="Q69" s="68">
        <f>Q68+10000</f>
        <v/>
      </c>
      <c r="R69" s="0">
        <f>_xlfn.XLOOKUP($B69, 'Detail&lt;Child&gt;'!$A:$A, 'Detail&lt;Child&gt;'!$L:$L)</f>
        <v/>
      </c>
    </row>
    <row r="70">
      <c r="A70" s="68">
        <f>B70*100+H70</f>
        <v/>
      </c>
      <c r="B70" s="68" t="n">
        <v>10000180</v>
      </c>
      <c r="C70" s="68">
        <f>_xlfn.XLOOKUP(B70,'Detail&lt;Child&gt;'!A:A,'Detail&lt;Child&gt;'!B:B)</f>
        <v/>
      </c>
      <c r="D70" s="68">
        <f>"character_gradeup_"&amp;$B70&amp;"_"&amp;$H70</f>
        <v/>
      </c>
      <c r="E70" s="68" t="inlineStr">
        <is>
          <t>Item</t>
        </is>
      </c>
      <c r="F70" s="68">
        <f>INT(3003&amp;RIGHT(B70,4))</f>
        <v/>
      </c>
      <c r="G70" s="68">
        <f>VLOOKUP($R70, '#등급업 재료 개수'!$A$2:$K$5, MATCH(GradeUp!H70, '#등급업 재료 개수'!$A$2:$K$2, 0), FALSE)</f>
        <v/>
      </c>
      <c r="H70" s="68" t="n">
        <v>7</v>
      </c>
      <c r="I70" s="68" t="n">
        <v>70</v>
      </c>
      <c r="J70" s="68" t="inlineStr">
        <is>
          <t>Passive</t>
        </is>
      </c>
      <c r="K70" s="68">
        <f>_xlfn.IFNA(VLOOKUP($B70, 'Detail&lt;Child&gt;'!$A:$AW, MATCH(J70, 'Detail&lt;Child&gt;'!$3:$3,0 ), FALSE)+INT($H70/12), 0)+1</f>
        <v/>
      </c>
      <c r="L70" s="68" t="inlineStr">
        <is>
          <t>HpRatio</t>
        </is>
      </c>
      <c r="M70" s="68">
        <f>M69+10000</f>
        <v/>
      </c>
      <c r="N70" s="68" t="inlineStr">
        <is>
          <t>AtkRatio</t>
        </is>
      </c>
      <c r="O70" s="68">
        <f>O69+10000</f>
        <v/>
      </c>
      <c r="P70" s="68" t="inlineStr">
        <is>
          <t>DefRatio</t>
        </is>
      </c>
      <c r="Q70" s="68">
        <f>Q69+10000</f>
        <v/>
      </c>
      <c r="R70" s="0">
        <f>_xlfn.XLOOKUP($B70, 'Detail&lt;Child&gt;'!$A:$A, 'Detail&lt;Child&gt;'!$L:$L)</f>
        <v/>
      </c>
    </row>
    <row r="71">
      <c r="A71" s="68">
        <f>B71*100+H71</f>
        <v/>
      </c>
      <c r="B71" s="68" t="n">
        <v>10000180</v>
      </c>
      <c r="C71" s="68">
        <f>_xlfn.XLOOKUP(B71,'Detail&lt;Child&gt;'!A:A,'Detail&lt;Child&gt;'!B:B)</f>
        <v/>
      </c>
      <c r="D71" s="68">
        <f>"character_gradeup_"&amp;$B71&amp;"_"&amp;$H71</f>
        <v/>
      </c>
      <c r="E71" s="68" t="inlineStr">
        <is>
          <t>Item</t>
        </is>
      </c>
      <c r="F71" s="68">
        <f>INT(3003&amp;RIGHT(B71,4))</f>
        <v/>
      </c>
      <c r="G71" s="68">
        <f>VLOOKUP($R71, '#등급업 재료 개수'!$A$2:$K$5, MATCH(GradeUp!H71, '#등급업 재료 개수'!$A$2:$K$2, 0), FALSE)</f>
        <v/>
      </c>
      <c r="H71" s="68" t="n">
        <v>8</v>
      </c>
      <c r="I71" s="68" t="n">
        <v>80</v>
      </c>
      <c r="J71" s="68" t="n">
        <v>0</v>
      </c>
      <c r="K71" s="68" t="n">
        <v>0</v>
      </c>
      <c r="L71" s="68" t="inlineStr">
        <is>
          <t>HpRatio</t>
        </is>
      </c>
      <c r="M71" s="68">
        <f>M70+10000</f>
        <v/>
      </c>
      <c r="N71" s="68" t="inlineStr">
        <is>
          <t>AtkRatio</t>
        </is>
      </c>
      <c r="O71" s="68">
        <f>O70+10000</f>
        <v/>
      </c>
      <c r="P71" s="68" t="inlineStr">
        <is>
          <t>DefRatio</t>
        </is>
      </c>
      <c r="Q71" s="68">
        <f>Q70+10000</f>
        <v/>
      </c>
      <c r="R71" s="0">
        <f>_xlfn.XLOOKUP($B71, 'Detail&lt;Child&gt;'!$A:$A, 'Detail&lt;Child&gt;'!$L:$L)</f>
        <v/>
      </c>
    </row>
    <row r="72">
      <c r="A72" s="68">
        <f>B72*100+H72</f>
        <v/>
      </c>
      <c r="B72" s="68" t="n">
        <v>10000180</v>
      </c>
      <c r="C72" s="68">
        <f>_xlfn.XLOOKUP(B72,'Detail&lt;Child&gt;'!A:A,'Detail&lt;Child&gt;'!B:B)</f>
        <v/>
      </c>
      <c r="D72" s="68">
        <f>"character_gradeup_"&amp;$B72&amp;"_"&amp;$H72</f>
        <v/>
      </c>
      <c r="E72" s="68" t="inlineStr">
        <is>
          <t>Item</t>
        </is>
      </c>
      <c r="F72" s="68">
        <f>INT(3003&amp;RIGHT(B72,4))</f>
        <v/>
      </c>
      <c r="G72" s="68">
        <f>VLOOKUP($R72, '#등급업 재료 개수'!$A$2:$K$5, MATCH(GradeUp!H72, '#등급업 재료 개수'!$A$2:$K$2, 0), FALSE)</f>
        <v/>
      </c>
      <c r="H72" s="68" t="n">
        <v>9</v>
      </c>
      <c r="I72" s="68" t="n">
        <v>90</v>
      </c>
      <c r="J72" s="68" t="inlineStr">
        <is>
          <t>Ultimate</t>
        </is>
      </c>
      <c r="K72" s="68">
        <f>_xlfn.IFNA(VLOOKUP($B72, 'Detail&lt;Child&gt;'!$A:$AW, MATCH(J72, 'Detail&lt;Child&gt;'!$3:$3,0 ), FALSE)+INT($H72/12), 0)+1</f>
        <v/>
      </c>
      <c r="L72" s="68" t="inlineStr">
        <is>
          <t>HpRatio</t>
        </is>
      </c>
      <c r="M72" s="68">
        <f>M71+10000</f>
        <v/>
      </c>
      <c r="N72" s="68" t="inlineStr">
        <is>
          <t>AtkRatio</t>
        </is>
      </c>
      <c r="O72" s="68">
        <f>O71+10000</f>
        <v/>
      </c>
      <c r="P72" s="68" t="inlineStr">
        <is>
          <t>DefRatio</t>
        </is>
      </c>
      <c r="Q72" s="68">
        <f>Q71+10000</f>
        <v/>
      </c>
      <c r="R72" s="0">
        <f>_xlfn.XLOOKUP($B72, 'Detail&lt;Child&gt;'!$A:$A, 'Detail&lt;Child&gt;'!$L:$L)</f>
        <v/>
      </c>
    </row>
    <row r="73">
      <c r="A73" s="68">
        <f>B73*100+H73</f>
        <v/>
      </c>
      <c r="B73" s="68" t="n">
        <v>10000180</v>
      </c>
      <c r="C73" s="68">
        <f>_xlfn.XLOOKUP(B73,'Detail&lt;Child&gt;'!A:A,'Detail&lt;Child&gt;'!B:B)</f>
        <v/>
      </c>
      <c r="D73" s="68">
        <f>"character_gradeup_"&amp;$B73&amp;"_"&amp;$H73</f>
        <v/>
      </c>
      <c r="E73" s="68" t="inlineStr">
        <is>
          <t>Item</t>
        </is>
      </c>
      <c r="F73" s="68">
        <f>INT(3003&amp;RIGHT(B73,4))</f>
        <v/>
      </c>
      <c r="G73" s="68">
        <f>VLOOKUP($R73, '#등급업 재료 개수'!$A$2:$K$5, MATCH(GradeUp!H73, '#등급업 재료 개수'!$A$2:$K$2, 0), FALSE)</f>
        <v/>
      </c>
      <c r="H73" s="68" t="n">
        <v>10</v>
      </c>
      <c r="I73" s="68" t="n">
        <v>100</v>
      </c>
      <c r="J73" s="68" t="n">
        <v>0</v>
      </c>
      <c r="K73" s="68" t="n">
        <v>0</v>
      </c>
      <c r="L73" s="68" t="inlineStr">
        <is>
          <t>HpRatio</t>
        </is>
      </c>
      <c r="M73" s="68">
        <f>M72+10000</f>
        <v/>
      </c>
      <c r="N73" s="68" t="inlineStr">
        <is>
          <t>AtkRatio</t>
        </is>
      </c>
      <c r="O73" s="68">
        <f>O72+10000</f>
        <v/>
      </c>
      <c r="P73" s="68" t="inlineStr">
        <is>
          <t>DefRatio</t>
        </is>
      </c>
      <c r="Q73" s="68">
        <f>Q72+10000</f>
        <v/>
      </c>
      <c r="R73" s="0">
        <f>_xlfn.XLOOKUP($B73, 'Detail&lt;Child&gt;'!$A:$A, 'Detail&lt;Child&gt;'!$L:$L)</f>
        <v/>
      </c>
    </row>
    <row r="74">
      <c r="A74" s="68">
        <f>B74*100+H74</f>
        <v/>
      </c>
      <c r="B74" s="68" t="n">
        <v>10000183</v>
      </c>
      <c r="C74" s="68">
        <f>_xlfn.XLOOKUP(B74,'Detail&lt;Child&gt;'!A:A,'Detail&lt;Child&gt;'!B:B)</f>
        <v/>
      </c>
      <c r="D74" s="68">
        <f>"character_gradeup_"&amp;$B74&amp;"_"&amp;$H74</f>
        <v/>
      </c>
      <c r="E74" s="68" t="inlineStr">
        <is>
          <t>Item</t>
        </is>
      </c>
      <c r="F74" s="68">
        <f>INT(3003&amp;RIGHT(B74,4))</f>
        <v/>
      </c>
      <c r="G74" s="68">
        <f>VLOOKUP($R74, '#등급업 재료 개수'!$A$2:$K$5, MATCH(GradeUp!H74, '#등급업 재료 개수'!$A$2:$K$2, 0), FALSE)</f>
        <v/>
      </c>
      <c r="H74" s="68" t="n">
        <v>1</v>
      </c>
      <c r="I74" s="68" t="n">
        <v>10</v>
      </c>
      <c r="J74" s="68" t="n">
        <v>0</v>
      </c>
      <c r="K74" s="68" t="n">
        <v>0</v>
      </c>
      <c r="L74" s="68" t="inlineStr">
        <is>
          <t>HpRatio</t>
        </is>
      </c>
      <c r="M74" s="68" t="n">
        <v>0</v>
      </c>
      <c r="N74" s="68" t="inlineStr">
        <is>
          <t>AtkRatio</t>
        </is>
      </c>
      <c r="O74" s="68" t="n">
        <v>0</v>
      </c>
      <c r="P74" s="68" t="inlineStr">
        <is>
          <t>DefRatio</t>
        </is>
      </c>
      <c r="Q74" s="68" t="n">
        <v>0</v>
      </c>
      <c r="R74" s="0">
        <f>_xlfn.XLOOKUP($B74, 'Detail&lt;Child&gt;'!$A:$A, 'Detail&lt;Child&gt;'!$L:$L)</f>
        <v/>
      </c>
    </row>
    <row r="75">
      <c r="A75" s="68">
        <f>B75*100+H75</f>
        <v/>
      </c>
      <c r="B75" s="68" t="n">
        <v>10000183</v>
      </c>
      <c r="C75" s="68">
        <f>_xlfn.XLOOKUP(B75,'Detail&lt;Child&gt;'!A:A,'Detail&lt;Child&gt;'!B:B)</f>
        <v/>
      </c>
      <c r="D75" s="68">
        <f>"character_gradeup_"&amp;$B75&amp;"_"&amp;$H75</f>
        <v/>
      </c>
      <c r="E75" s="68" t="inlineStr">
        <is>
          <t>Item</t>
        </is>
      </c>
      <c r="F75" s="68">
        <f>INT(3003&amp;RIGHT(B75,4))</f>
        <v/>
      </c>
      <c r="G75" s="68">
        <f>VLOOKUP($R75, '#등급업 재료 개수'!$A$2:$K$5, MATCH(GradeUp!H75, '#등급업 재료 개수'!$A$2:$K$2, 0), FALSE)</f>
        <v/>
      </c>
      <c r="H75" s="68" t="n">
        <v>2</v>
      </c>
      <c r="I75" s="68" t="n">
        <v>20</v>
      </c>
      <c r="J75" s="68" t="inlineStr">
        <is>
          <t>Active</t>
        </is>
      </c>
      <c r="K75" s="68">
        <f>_xlfn.IFNA(VLOOKUP($B75, 'Detail&lt;Child&gt;'!$A:$AW, MATCH(J75, 'Detail&lt;Child&gt;'!$3:$3,0 ), FALSE)+INT($H75/12), 0)</f>
        <v/>
      </c>
      <c r="L75" s="68" t="inlineStr">
        <is>
          <t>HpRatio</t>
        </is>
      </c>
      <c r="M75" s="68" t="n">
        <v>0</v>
      </c>
      <c r="N75" s="68" t="inlineStr">
        <is>
          <t>AtkRatio</t>
        </is>
      </c>
      <c r="O75" s="68" t="n">
        <v>0</v>
      </c>
      <c r="P75" s="68" t="inlineStr">
        <is>
          <t>DefRatio</t>
        </is>
      </c>
      <c r="Q75" s="68" t="n">
        <v>0</v>
      </c>
      <c r="R75" s="0">
        <f>_xlfn.XLOOKUP($B75, 'Detail&lt;Child&gt;'!$A:$A, 'Detail&lt;Child&gt;'!$L:$L)</f>
        <v/>
      </c>
    </row>
    <row r="76">
      <c r="A76" s="68">
        <f>B76*100+H76</f>
        <v/>
      </c>
      <c r="B76" s="68" t="n">
        <v>10000183</v>
      </c>
      <c r="C76" s="68">
        <f>_xlfn.XLOOKUP(B76,'Detail&lt;Child&gt;'!A:A,'Detail&lt;Child&gt;'!B:B)</f>
        <v/>
      </c>
      <c r="D76" s="68">
        <f>"character_gradeup_"&amp;$B76&amp;"_"&amp;$H76</f>
        <v/>
      </c>
      <c r="E76" s="68" t="inlineStr">
        <is>
          <t>Item</t>
        </is>
      </c>
      <c r="F76" s="68">
        <f>INT(3003&amp;RIGHT(B76,4))</f>
        <v/>
      </c>
      <c r="G76" s="68">
        <f>VLOOKUP($R76, '#등급업 재료 개수'!$A$2:$K$5, MATCH(GradeUp!H76, '#등급업 재료 개수'!$A$2:$K$2, 0), FALSE)</f>
        <v/>
      </c>
      <c r="H76" s="68" t="n">
        <v>3</v>
      </c>
      <c r="I76" s="68" t="n">
        <v>30</v>
      </c>
      <c r="J76" s="68" t="n">
        <v>0</v>
      </c>
      <c r="K76" s="68" t="n">
        <v>0</v>
      </c>
      <c r="L76" s="68" t="inlineStr">
        <is>
          <t>HpRatio</t>
        </is>
      </c>
      <c r="M76" s="68" t="n">
        <v>0</v>
      </c>
      <c r="N76" s="68" t="inlineStr">
        <is>
          <t>AtkRatio</t>
        </is>
      </c>
      <c r="O76" s="68" t="n">
        <v>0</v>
      </c>
      <c r="P76" s="68" t="inlineStr">
        <is>
          <t>DefRatio</t>
        </is>
      </c>
      <c r="Q76" s="68" t="n">
        <v>0</v>
      </c>
      <c r="R76" s="0">
        <f>_xlfn.XLOOKUP($B76, 'Detail&lt;Child&gt;'!$A:$A, 'Detail&lt;Child&gt;'!$L:$L)</f>
        <v/>
      </c>
    </row>
    <row r="77">
      <c r="A77" s="68">
        <f>B77*100+H77</f>
        <v/>
      </c>
      <c r="B77" s="68" t="n">
        <v>10000183</v>
      </c>
      <c r="C77" s="68">
        <f>_xlfn.XLOOKUP(B77,'Detail&lt;Child&gt;'!A:A,'Detail&lt;Child&gt;'!B:B)</f>
        <v/>
      </c>
      <c r="D77" s="68">
        <f>"character_gradeup_"&amp;$B77&amp;"_"&amp;$H77</f>
        <v/>
      </c>
      <c r="E77" s="68" t="inlineStr">
        <is>
          <t>Item</t>
        </is>
      </c>
      <c r="F77" s="68">
        <f>INT(3003&amp;RIGHT(B77,4))</f>
        <v/>
      </c>
      <c r="G77" s="68">
        <f>VLOOKUP($R77, '#등급업 재료 개수'!$A$2:$K$5, MATCH(GradeUp!H77, '#등급업 재료 개수'!$A$2:$K$2, 0), FALSE)</f>
        <v/>
      </c>
      <c r="H77" s="68" t="n">
        <v>4</v>
      </c>
      <c r="I77" s="68" t="n">
        <v>40</v>
      </c>
      <c r="J77" s="68" t="inlineStr">
        <is>
          <t>Passive</t>
        </is>
      </c>
      <c r="K77" s="68">
        <f>_xlfn.IFNA(VLOOKUP($B77, 'Detail&lt;Child&gt;'!$A:$AW, MATCH(J77, 'Detail&lt;Child&gt;'!$3:$3,0 ), FALSE)+INT($H77/12), 0)</f>
        <v/>
      </c>
      <c r="L77" s="68" t="inlineStr">
        <is>
          <t>HpRatio</t>
        </is>
      </c>
      <c r="M77" s="68" t="n">
        <v>10000</v>
      </c>
      <c r="N77" s="68" t="inlineStr">
        <is>
          <t>AtkRatio</t>
        </is>
      </c>
      <c r="O77" s="68" t="n">
        <v>10000</v>
      </c>
      <c r="P77" s="68" t="inlineStr">
        <is>
          <t>DefRatio</t>
        </is>
      </c>
      <c r="Q77" s="68" t="n">
        <v>10000</v>
      </c>
      <c r="R77" s="0">
        <f>_xlfn.XLOOKUP($B77, 'Detail&lt;Child&gt;'!$A:$A, 'Detail&lt;Child&gt;'!$L:$L)</f>
        <v/>
      </c>
    </row>
    <row r="78">
      <c r="A78" s="68">
        <f>B78*100+H78</f>
        <v/>
      </c>
      <c r="B78" s="68" t="n">
        <v>10000183</v>
      </c>
      <c r="C78" s="68">
        <f>_xlfn.XLOOKUP(B78,'Detail&lt;Child&gt;'!A:A,'Detail&lt;Child&gt;'!B:B)</f>
        <v/>
      </c>
      <c r="D78" s="68">
        <f>"character_gradeup_"&amp;$B78&amp;"_"&amp;$H78</f>
        <v/>
      </c>
      <c r="E78" s="68" t="inlineStr">
        <is>
          <t>Item</t>
        </is>
      </c>
      <c r="F78" s="68">
        <f>INT(3003&amp;RIGHT(B78,4))</f>
        <v/>
      </c>
      <c r="G78" s="68">
        <f>VLOOKUP($R78, '#등급업 재료 개수'!$A$2:$K$5, MATCH(GradeUp!H78, '#등급업 재료 개수'!$A$2:$K$2, 0), FALSE)</f>
        <v/>
      </c>
      <c r="H78" s="68" t="n">
        <v>5</v>
      </c>
      <c r="I78" s="68" t="n">
        <v>50</v>
      </c>
      <c r="J78" s="68" t="inlineStr">
        <is>
          <t>Active</t>
        </is>
      </c>
      <c r="K78" s="68">
        <f>_xlfn.IFNA(VLOOKUP($B78, 'Detail&lt;Child&gt;'!$A:$AW, MATCH(J78, 'Detail&lt;Child&gt;'!$3:$3,0 ), FALSE)+INT($H78/12), 0)+1</f>
        <v/>
      </c>
      <c r="L78" s="68" t="inlineStr">
        <is>
          <t>HpRatio</t>
        </is>
      </c>
      <c r="M78" s="68">
        <f>M77+10000</f>
        <v/>
      </c>
      <c r="N78" s="68" t="inlineStr">
        <is>
          <t>AtkRatio</t>
        </is>
      </c>
      <c r="O78" s="68">
        <f>O77+10000</f>
        <v/>
      </c>
      <c r="P78" s="68" t="inlineStr">
        <is>
          <t>DefRatio</t>
        </is>
      </c>
      <c r="Q78" s="68">
        <f>Q77+10000</f>
        <v/>
      </c>
      <c r="R78" s="0">
        <f>_xlfn.XLOOKUP($B78, 'Detail&lt;Child&gt;'!$A:$A, 'Detail&lt;Child&gt;'!$L:$L)</f>
        <v/>
      </c>
    </row>
    <row r="79">
      <c r="A79" s="68">
        <f>B79*100+H79</f>
        <v/>
      </c>
      <c r="B79" s="68" t="n">
        <v>10000183</v>
      </c>
      <c r="C79" s="68">
        <f>_xlfn.XLOOKUP(B79,'Detail&lt;Child&gt;'!A:A,'Detail&lt;Child&gt;'!B:B)</f>
        <v/>
      </c>
      <c r="D79" s="68">
        <f>"character_gradeup_"&amp;$B79&amp;"_"&amp;$H79</f>
        <v/>
      </c>
      <c r="E79" s="68" t="inlineStr">
        <is>
          <t>Item</t>
        </is>
      </c>
      <c r="F79" s="68">
        <f>INT(3003&amp;RIGHT(B79,4))</f>
        <v/>
      </c>
      <c r="G79" s="68">
        <f>VLOOKUP($R79, '#등급업 재료 개수'!$A$2:$K$5, MATCH(GradeUp!H79, '#등급업 재료 개수'!$A$2:$K$2, 0), FALSE)</f>
        <v/>
      </c>
      <c r="H79" s="68" t="n">
        <v>6</v>
      </c>
      <c r="I79" s="68" t="n">
        <v>60</v>
      </c>
      <c r="J79" s="68" t="n">
        <v>0</v>
      </c>
      <c r="K79" s="68" t="n">
        <v>0</v>
      </c>
      <c r="L79" s="68" t="inlineStr">
        <is>
          <t>HpRatio</t>
        </is>
      </c>
      <c r="M79" s="68">
        <f>M78+10000</f>
        <v/>
      </c>
      <c r="N79" s="68" t="inlineStr">
        <is>
          <t>AtkRatio</t>
        </is>
      </c>
      <c r="O79" s="68">
        <f>O78+10000</f>
        <v/>
      </c>
      <c r="P79" s="68" t="inlineStr">
        <is>
          <t>DefRatio</t>
        </is>
      </c>
      <c r="Q79" s="68">
        <f>Q78+10000</f>
        <v/>
      </c>
      <c r="R79" s="0">
        <f>_xlfn.XLOOKUP($B79, 'Detail&lt;Child&gt;'!$A:$A, 'Detail&lt;Child&gt;'!$L:$L)</f>
        <v/>
      </c>
    </row>
    <row r="80">
      <c r="A80" s="68">
        <f>B80*100+H80</f>
        <v/>
      </c>
      <c r="B80" s="68" t="n">
        <v>10000183</v>
      </c>
      <c r="C80" s="68">
        <f>_xlfn.XLOOKUP(B80,'Detail&lt;Child&gt;'!A:A,'Detail&lt;Child&gt;'!B:B)</f>
        <v/>
      </c>
      <c r="D80" s="68">
        <f>"character_gradeup_"&amp;$B80&amp;"_"&amp;$H80</f>
        <v/>
      </c>
      <c r="E80" s="68" t="inlineStr">
        <is>
          <t>Item</t>
        </is>
      </c>
      <c r="F80" s="68">
        <f>INT(3003&amp;RIGHT(B80,4))</f>
        <v/>
      </c>
      <c r="G80" s="68">
        <f>VLOOKUP($R80, '#등급업 재료 개수'!$A$2:$K$5, MATCH(GradeUp!H80, '#등급업 재료 개수'!$A$2:$K$2, 0), FALSE)</f>
        <v/>
      </c>
      <c r="H80" s="68" t="n">
        <v>7</v>
      </c>
      <c r="I80" s="68" t="n">
        <v>70</v>
      </c>
      <c r="J80" s="68" t="inlineStr">
        <is>
          <t>Passive</t>
        </is>
      </c>
      <c r="K80" s="68">
        <f>_xlfn.IFNA(VLOOKUP($B80, 'Detail&lt;Child&gt;'!$A:$AW, MATCH(J80, 'Detail&lt;Child&gt;'!$3:$3,0 ), FALSE)+INT($H80/12), 0)+1</f>
        <v/>
      </c>
      <c r="L80" s="68" t="inlineStr">
        <is>
          <t>HpRatio</t>
        </is>
      </c>
      <c r="M80" s="68">
        <f>M79+10000</f>
        <v/>
      </c>
      <c r="N80" s="68" t="inlineStr">
        <is>
          <t>AtkRatio</t>
        </is>
      </c>
      <c r="O80" s="68">
        <f>O79+10000</f>
        <v/>
      </c>
      <c r="P80" s="68" t="inlineStr">
        <is>
          <t>DefRatio</t>
        </is>
      </c>
      <c r="Q80" s="68">
        <f>Q79+10000</f>
        <v/>
      </c>
      <c r="R80" s="0">
        <f>_xlfn.XLOOKUP($B80, 'Detail&lt;Child&gt;'!$A:$A, 'Detail&lt;Child&gt;'!$L:$L)</f>
        <v/>
      </c>
    </row>
    <row r="81">
      <c r="A81" s="68">
        <f>B81*100+H81</f>
        <v/>
      </c>
      <c r="B81" s="68" t="n">
        <v>10000183</v>
      </c>
      <c r="C81" s="68">
        <f>_xlfn.XLOOKUP(B81,'Detail&lt;Child&gt;'!A:A,'Detail&lt;Child&gt;'!B:B)</f>
        <v/>
      </c>
      <c r="D81" s="68">
        <f>"character_gradeup_"&amp;$B81&amp;"_"&amp;$H81</f>
        <v/>
      </c>
      <c r="E81" s="68" t="inlineStr">
        <is>
          <t>Item</t>
        </is>
      </c>
      <c r="F81" s="68">
        <f>INT(3003&amp;RIGHT(B81,4))</f>
        <v/>
      </c>
      <c r="G81" s="68">
        <f>VLOOKUP($R81, '#등급업 재료 개수'!$A$2:$K$5, MATCH(GradeUp!H81, '#등급업 재료 개수'!$A$2:$K$2, 0), FALSE)</f>
        <v/>
      </c>
      <c r="H81" s="68" t="n">
        <v>8</v>
      </c>
      <c r="I81" s="68" t="n">
        <v>80</v>
      </c>
      <c r="J81" s="68" t="n">
        <v>0</v>
      </c>
      <c r="K81" s="68" t="n">
        <v>0</v>
      </c>
      <c r="L81" s="68" t="inlineStr">
        <is>
          <t>HpRatio</t>
        </is>
      </c>
      <c r="M81" s="68">
        <f>M80+10000</f>
        <v/>
      </c>
      <c r="N81" s="68" t="inlineStr">
        <is>
          <t>AtkRatio</t>
        </is>
      </c>
      <c r="O81" s="68">
        <f>O80+10000</f>
        <v/>
      </c>
      <c r="P81" s="68" t="inlineStr">
        <is>
          <t>DefRatio</t>
        </is>
      </c>
      <c r="Q81" s="68">
        <f>Q80+10000</f>
        <v/>
      </c>
      <c r="R81" s="0">
        <f>_xlfn.XLOOKUP($B81, 'Detail&lt;Child&gt;'!$A:$A, 'Detail&lt;Child&gt;'!$L:$L)</f>
        <v/>
      </c>
    </row>
    <row r="82">
      <c r="A82" s="68">
        <f>B82*100+H82</f>
        <v/>
      </c>
      <c r="B82" s="68" t="n">
        <v>10000183</v>
      </c>
      <c r="C82" s="68">
        <f>_xlfn.XLOOKUP(B82,'Detail&lt;Child&gt;'!A:A,'Detail&lt;Child&gt;'!B:B)</f>
        <v/>
      </c>
      <c r="D82" s="68">
        <f>"character_gradeup_"&amp;$B82&amp;"_"&amp;$H82</f>
        <v/>
      </c>
      <c r="E82" s="68" t="inlineStr">
        <is>
          <t>Item</t>
        </is>
      </c>
      <c r="F82" s="68">
        <f>INT(3003&amp;RIGHT(B82,4))</f>
        <v/>
      </c>
      <c r="G82" s="68">
        <f>VLOOKUP($R82, '#등급업 재료 개수'!$A$2:$K$5, MATCH(GradeUp!H82, '#등급업 재료 개수'!$A$2:$K$2, 0), FALSE)</f>
        <v/>
      </c>
      <c r="H82" s="68" t="n">
        <v>9</v>
      </c>
      <c r="I82" s="68" t="n">
        <v>90</v>
      </c>
      <c r="J82" s="68" t="inlineStr">
        <is>
          <t>Ultimate</t>
        </is>
      </c>
      <c r="K82" s="68">
        <f>_xlfn.IFNA(VLOOKUP($B82, 'Detail&lt;Child&gt;'!$A:$AW, MATCH(J82, 'Detail&lt;Child&gt;'!$3:$3,0 ), FALSE)+INT($H82/12), 0)+1</f>
        <v/>
      </c>
      <c r="L82" s="68" t="inlineStr">
        <is>
          <t>HpRatio</t>
        </is>
      </c>
      <c r="M82" s="68">
        <f>M81+10000</f>
        <v/>
      </c>
      <c r="N82" s="68" t="inlineStr">
        <is>
          <t>AtkRatio</t>
        </is>
      </c>
      <c r="O82" s="68">
        <f>O81+10000</f>
        <v/>
      </c>
      <c r="P82" s="68" t="inlineStr">
        <is>
          <t>DefRatio</t>
        </is>
      </c>
      <c r="Q82" s="68">
        <f>Q81+10000</f>
        <v/>
      </c>
      <c r="R82" s="0">
        <f>_xlfn.XLOOKUP($B82, 'Detail&lt;Child&gt;'!$A:$A, 'Detail&lt;Child&gt;'!$L:$L)</f>
        <v/>
      </c>
    </row>
    <row r="83">
      <c r="A83" s="68">
        <f>B83*100+H83</f>
        <v/>
      </c>
      <c r="B83" s="68" t="n">
        <v>10000183</v>
      </c>
      <c r="C83" s="68">
        <f>_xlfn.XLOOKUP(B83,'Detail&lt;Child&gt;'!A:A,'Detail&lt;Child&gt;'!B:B)</f>
        <v/>
      </c>
      <c r="D83" s="68">
        <f>"character_gradeup_"&amp;$B83&amp;"_"&amp;$H83</f>
        <v/>
      </c>
      <c r="E83" s="68" t="inlineStr">
        <is>
          <t>Item</t>
        </is>
      </c>
      <c r="F83" s="68">
        <f>INT(3003&amp;RIGHT(B83,4))</f>
        <v/>
      </c>
      <c r="G83" s="68">
        <f>VLOOKUP($R83, '#등급업 재료 개수'!$A$2:$K$5, MATCH(GradeUp!H83, '#등급업 재료 개수'!$A$2:$K$2, 0), FALSE)</f>
        <v/>
      </c>
      <c r="H83" s="68" t="n">
        <v>10</v>
      </c>
      <c r="I83" s="68" t="n">
        <v>100</v>
      </c>
      <c r="J83" s="68" t="n">
        <v>0</v>
      </c>
      <c r="K83" s="68" t="n">
        <v>0</v>
      </c>
      <c r="L83" s="68" t="inlineStr">
        <is>
          <t>HpRatio</t>
        </is>
      </c>
      <c r="M83" s="68">
        <f>M82+10000</f>
        <v/>
      </c>
      <c r="N83" s="68" t="inlineStr">
        <is>
          <t>AtkRatio</t>
        </is>
      </c>
      <c r="O83" s="68">
        <f>O82+10000</f>
        <v/>
      </c>
      <c r="P83" s="68" t="inlineStr">
        <is>
          <t>DefRatio</t>
        </is>
      </c>
      <c r="Q83" s="68">
        <f>Q82+10000</f>
        <v/>
      </c>
      <c r="R83" s="0">
        <f>_xlfn.XLOOKUP($B83, 'Detail&lt;Child&gt;'!$A:$A, 'Detail&lt;Child&gt;'!$L:$L)</f>
        <v/>
      </c>
    </row>
    <row r="84">
      <c r="A84" s="68">
        <f>B84*100+H84</f>
        <v/>
      </c>
      <c r="B84" s="68" t="n">
        <v>10000051</v>
      </c>
      <c r="C84" s="68">
        <f>_xlfn.XLOOKUP(B84,'Detail&lt;Child&gt;'!A:A,'Detail&lt;Child&gt;'!B:B)</f>
        <v/>
      </c>
      <c r="D84" s="68">
        <f>"character_gradeup_"&amp;$B84&amp;"_"&amp;$H84</f>
        <v/>
      </c>
      <c r="E84" s="68" t="inlineStr">
        <is>
          <t>Item</t>
        </is>
      </c>
      <c r="F84" s="68">
        <f>INT(3003&amp;RIGHT(B84,4))</f>
        <v/>
      </c>
      <c r="G84" s="68">
        <f>VLOOKUP($R84, '#등급업 재료 개수'!$A$2:$K$5, MATCH(GradeUp!H84, '#등급업 재료 개수'!$A$2:$K$2, 0), FALSE)</f>
        <v/>
      </c>
      <c r="H84" s="68" t="n">
        <v>1</v>
      </c>
      <c r="I84" s="68" t="n">
        <v>10</v>
      </c>
      <c r="J84" s="68" t="n">
        <v>0</v>
      </c>
      <c r="K84" s="68" t="n">
        <v>0</v>
      </c>
      <c r="L84" s="68" t="inlineStr">
        <is>
          <t>HpRatio</t>
        </is>
      </c>
      <c r="M84" s="68" t="n">
        <v>0</v>
      </c>
      <c r="N84" s="68" t="inlineStr">
        <is>
          <t>AtkRatio</t>
        </is>
      </c>
      <c r="O84" s="68" t="n">
        <v>0</v>
      </c>
      <c r="P84" s="68" t="inlineStr">
        <is>
          <t>DefRatio</t>
        </is>
      </c>
      <c r="Q84" s="68" t="n">
        <v>0</v>
      </c>
      <c r="R84" s="0">
        <f>_xlfn.XLOOKUP($B84, 'Detail&lt;Child&gt;'!$A:$A, 'Detail&lt;Child&gt;'!$L:$L)</f>
        <v/>
      </c>
    </row>
    <row r="85">
      <c r="A85" s="68">
        <f>B85*100+H85</f>
        <v/>
      </c>
      <c r="B85" s="68" t="n">
        <v>10000051</v>
      </c>
      <c r="C85" s="68">
        <f>_xlfn.XLOOKUP(B85,'Detail&lt;Child&gt;'!A:A,'Detail&lt;Child&gt;'!B:B)</f>
        <v/>
      </c>
      <c r="D85" s="68">
        <f>"character_gradeup_"&amp;$B85&amp;"_"&amp;$H85</f>
        <v/>
      </c>
      <c r="E85" s="68" t="inlineStr">
        <is>
          <t>Item</t>
        </is>
      </c>
      <c r="F85" s="68">
        <f>INT(3003&amp;RIGHT(B85,4))</f>
        <v/>
      </c>
      <c r="G85" s="68">
        <f>VLOOKUP($R85, '#등급업 재료 개수'!$A$2:$K$5, MATCH(GradeUp!H85, '#등급업 재료 개수'!$A$2:$K$2, 0), FALSE)</f>
        <v/>
      </c>
      <c r="H85" s="68" t="n">
        <v>2</v>
      </c>
      <c r="I85" s="68" t="n">
        <v>20</v>
      </c>
      <c r="J85" s="68" t="inlineStr">
        <is>
          <t>Active</t>
        </is>
      </c>
      <c r="K85" s="68">
        <f>_xlfn.IFNA(VLOOKUP($B85, 'Detail&lt;Child&gt;'!$A:$AW, MATCH(J85, 'Detail&lt;Child&gt;'!$3:$3,0 ), FALSE)+INT($H85/12), 0)</f>
        <v/>
      </c>
      <c r="L85" s="68" t="inlineStr">
        <is>
          <t>HpRatio</t>
        </is>
      </c>
      <c r="M85" s="68" t="n">
        <v>0</v>
      </c>
      <c r="N85" s="68" t="inlineStr">
        <is>
          <t>AtkRatio</t>
        </is>
      </c>
      <c r="O85" s="68" t="n">
        <v>0</v>
      </c>
      <c r="P85" s="68" t="inlineStr">
        <is>
          <t>DefRatio</t>
        </is>
      </c>
      <c r="Q85" s="68" t="n">
        <v>0</v>
      </c>
      <c r="R85" s="0">
        <f>_xlfn.XLOOKUP($B85, 'Detail&lt;Child&gt;'!$A:$A, 'Detail&lt;Child&gt;'!$L:$L)</f>
        <v/>
      </c>
    </row>
    <row r="86">
      <c r="A86" s="68">
        <f>B86*100+H86</f>
        <v/>
      </c>
      <c r="B86" s="68" t="n">
        <v>10000051</v>
      </c>
      <c r="C86" s="68">
        <f>_xlfn.XLOOKUP(B86,'Detail&lt;Child&gt;'!A:A,'Detail&lt;Child&gt;'!B:B)</f>
        <v/>
      </c>
      <c r="D86" s="68">
        <f>"character_gradeup_"&amp;$B86&amp;"_"&amp;$H86</f>
        <v/>
      </c>
      <c r="E86" s="68" t="inlineStr">
        <is>
          <t>Item</t>
        </is>
      </c>
      <c r="F86" s="68">
        <f>INT(3003&amp;RIGHT(B86,4))</f>
        <v/>
      </c>
      <c r="G86" s="68">
        <f>VLOOKUP($R86, '#등급업 재료 개수'!$A$2:$K$5, MATCH(GradeUp!H86, '#등급업 재료 개수'!$A$2:$K$2, 0), FALSE)</f>
        <v/>
      </c>
      <c r="H86" s="68" t="n">
        <v>3</v>
      </c>
      <c r="I86" s="68" t="n">
        <v>30</v>
      </c>
      <c r="J86" s="68" t="n">
        <v>0</v>
      </c>
      <c r="K86" s="68" t="n">
        <v>0</v>
      </c>
      <c r="L86" s="68" t="inlineStr">
        <is>
          <t>HpRatio</t>
        </is>
      </c>
      <c r="M86" s="68" t="n">
        <v>0</v>
      </c>
      <c r="N86" s="68" t="inlineStr">
        <is>
          <t>AtkRatio</t>
        </is>
      </c>
      <c r="O86" s="68" t="n">
        <v>0</v>
      </c>
      <c r="P86" s="68" t="inlineStr">
        <is>
          <t>DefRatio</t>
        </is>
      </c>
      <c r="Q86" s="68" t="n">
        <v>0</v>
      </c>
      <c r="R86" s="0">
        <f>_xlfn.XLOOKUP($B86, 'Detail&lt;Child&gt;'!$A:$A, 'Detail&lt;Child&gt;'!$L:$L)</f>
        <v/>
      </c>
    </row>
    <row r="87">
      <c r="A87" s="68">
        <f>B87*100+H87</f>
        <v/>
      </c>
      <c r="B87" s="68" t="n">
        <v>10000051</v>
      </c>
      <c r="C87" s="68">
        <f>_xlfn.XLOOKUP(B87,'Detail&lt;Child&gt;'!A:A,'Detail&lt;Child&gt;'!B:B)</f>
        <v/>
      </c>
      <c r="D87" s="68">
        <f>"character_gradeup_"&amp;$B87&amp;"_"&amp;$H87</f>
        <v/>
      </c>
      <c r="E87" s="68" t="inlineStr">
        <is>
          <t>Item</t>
        </is>
      </c>
      <c r="F87" s="68">
        <f>INT(3003&amp;RIGHT(B87,4))</f>
        <v/>
      </c>
      <c r="G87" s="68">
        <f>VLOOKUP($R87, '#등급업 재료 개수'!$A$2:$K$5, MATCH(GradeUp!H87, '#등급업 재료 개수'!$A$2:$K$2, 0), FALSE)</f>
        <v/>
      </c>
      <c r="H87" s="68" t="n">
        <v>4</v>
      </c>
      <c r="I87" s="68" t="n">
        <v>40</v>
      </c>
      <c r="J87" s="68" t="inlineStr">
        <is>
          <t>Passive</t>
        </is>
      </c>
      <c r="K87" s="68">
        <f>_xlfn.IFNA(VLOOKUP($B87, 'Detail&lt;Child&gt;'!$A:$AW, MATCH(J87, 'Detail&lt;Child&gt;'!$3:$3,0 ), FALSE)+INT($H87/12), 0)</f>
        <v/>
      </c>
      <c r="L87" s="68" t="inlineStr">
        <is>
          <t>HpRatio</t>
        </is>
      </c>
      <c r="M87" s="68" t="n">
        <v>10000</v>
      </c>
      <c r="N87" s="68" t="inlineStr">
        <is>
          <t>AtkRatio</t>
        </is>
      </c>
      <c r="O87" s="68" t="n">
        <v>10000</v>
      </c>
      <c r="P87" s="68" t="inlineStr">
        <is>
          <t>DefRatio</t>
        </is>
      </c>
      <c r="Q87" s="68" t="n">
        <v>10000</v>
      </c>
      <c r="R87" s="0">
        <f>_xlfn.XLOOKUP($B87, 'Detail&lt;Child&gt;'!$A:$A, 'Detail&lt;Child&gt;'!$L:$L)</f>
        <v/>
      </c>
    </row>
    <row r="88">
      <c r="A88" s="68">
        <f>B88*100+H88</f>
        <v/>
      </c>
      <c r="B88" s="68" t="n">
        <v>10000051</v>
      </c>
      <c r="C88" s="68">
        <f>_xlfn.XLOOKUP(B88,'Detail&lt;Child&gt;'!A:A,'Detail&lt;Child&gt;'!B:B)</f>
        <v/>
      </c>
      <c r="D88" s="68">
        <f>"character_gradeup_"&amp;$B88&amp;"_"&amp;$H88</f>
        <v/>
      </c>
      <c r="E88" s="68" t="inlineStr">
        <is>
          <t>Item</t>
        </is>
      </c>
      <c r="F88" s="68">
        <f>INT(3003&amp;RIGHT(B88,4))</f>
        <v/>
      </c>
      <c r="G88" s="68">
        <f>VLOOKUP($R88, '#등급업 재료 개수'!$A$2:$K$5, MATCH(GradeUp!H88, '#등급업 재료 개수'!$A$2:$K$2, 0), FALSE)</f>
        <v/>
      </c>
      <c r="H88" s="68" t="n">
        <v>5</v>
      </c>
      <c r="I88" s="68" t="n">
        <v>50</v>
      </c>
      <c r="J88" s="68" t="inlineStr">
        <is>
          <t>Active</t>
        </is>
      </c>
      <c r="K88" s="68">
        <f>_xlfn.IFNA(VLOOKUP($B88, 'Detail&lt;Child&gt;'!$A:$AW, MATCH(J88, 'Detail&lt;Child&gt;'!$3:$3,0 ), FALSE)+INT($H88/12), 0)+1</f>
        <v/>
      </c>
      <c r="L88" s="68" t="inlineStr">
        <is>
          <t>HpRatio</t>
        </is>
      </c>
      <c r="M88" s="68">
        <f>M87+10000</f>
        <v/>
      </c>
      <c r="N88" s="68" t="inlineStr">
        <is>
          <t>AtkRatio</t>
        </is>
      </c>
      <c r="O88" s="68">
        <f>O87+10000</f>
        <v/>
      </c>
      <c r="P88" s="68" t="inlineStr">
        <is>
          <t>DefRatio</t>
        </is>
      </c>
      <c r="Q88" s="68">
        <f>Q87+10000</f>
        <v/>
      </c>
      <c r="R88" s="0">
        <f>_xlfn.XLOOKUP($B88, 'Detail&lt;Child&gt;'!$A:$A, 'Detail&lt;Child&gt;'!$L:$L)</f>
        <v/>
      </c>
    </row>
    <row r="89">
      <c r="A89" s="68">
        <f>B89*100+H89</f>
        <v/>
      </c>
      <c r="B89" s="68" t="n">
        <v>10000051</v>
      </c>
      <c r="C89" s="68">
        <f>_xlfn.XLOOKUP(B89,'Detail&lt;Child&gt;'!A:A,'Detail&lt;Child&gt;'!B:B)</f>
        <v/>
      </c>
      <c r="D89" s="68">
        <f>"character_gradeup_"&amp;$B89&amp;"_"&amp;$H89</f>
        <v/>
      </c>
      <c r="E89" s="68" t="inlineStr">
        <is>
          <t>Item</t>
        </is>
      </c>
      <c r="F89" s="68">
        <f>INT(3003&amp;RIGHT(B89,4))</f>
        <v/>
      </c>
      <c r="G89" s="68">
        <f>VLOOKUP($R89, '#등급업 재료 개수'!$A$2:$K$5, MATCH(GradeUp!H89, '#등급업 재료 개수'!$A$2:$K$2, 0), FALSE)</f>
        <v/>
      </c>
      <c r="H89" s="68" t="n">
        <v>6</v>
      </c>
      <c r="I89" s="68" t="n">
        <v>60</v>
      </c>
      <c r="J89" s="68" t="n">
        <v>0</v>
      </c>
      <c r="K89" s="68" t="n">
        <v>0</v>
      </c>
      <c r="L89" s="68" t="inlineStr">
        <is>
          <t>HpRatio</t>
        </is>
      </c>
      <c r="M89" s="68">
        <f>M88+10000</f>
        <v/>
      </c>
      <c r="N89" s="68" t="inlineStr">
        <is>
          <t>AtkRatio</t>
        </is>
      </c>
      <c r="O89" s="68">
        <f>O88+10000</f>
        <v/>
      </c>
      <c r="P89" s="68" t="inlineStr">
        <is>
          <t>DefRatio</t>
        </is>
      </c>
      <c r="Q89" s="68">
        <f>Q88+10000</f>
        <v/>
      </c>
      <c r="R89" s="0">
        <f>_xlfn.XLOOKUP($B89, 'Detail&lt;Child&gt;'!$A:$A, 'Detail&lt;Child&gt;'!$L:$L)</f>
        <v/>
      </c>
    </row>
    <row r="90">
      <c r="A90" s="68">
        <f>B90*100+H90</f>
        <v/>
      </c>
      <c r="B90" s="68" t="n">
        <v>10000051</v>
      </c>
      <c r="C90" s="68">
        <f>_xlfn.XLOOKUP(B90,'Detail&lt;Child&gt;'!A:A,'Detail&lt;Child&gt;'!B:B)</f>
        <v/>
      </c>
      <c r="D90" s="68">
        <f>"character_gradeup_"&amp;$B90&amp;"_"&amp;$H90</f>
        <v/>
      </c>
      <c r="E90" s="68" t="inlineStr">
        <is>
          <t>Item</t>
        </is>
      </c>
      <c r="F90" s="68">
        <f>INT(3003&amp;RIGHT(B90,4))</f>
        <v/>
      </c>
      <c r="G90" s="68">
        <f>VLOOKUP($R90, '#등급업 재료 개수'!$A$2:$K$5, MATCH(GradeUp!H90, '#등급업 재료 개수'!$A$2:$K$2, 0), FALSE)</f>
        <v/>
      </c>
      <c r="H90" s="68" t="n">
        <v>7</v>
      </c>
      <c r="I90" s="68" t="n">
        <v>70</v>
      </c>
      <c r="J90" s="68" t="inlineStr">
        <is>
          <t>Passive</t>
        </is>
      </c>
      <c r="K90" s="68">
        <f>_xlfn.IFNA(VLOOKUP($B90, 'Detail&lt;Child&gt;'!$A:$AW, MATCH(J90, 'Detail&lt;Child&gt;'!$3:$3,0 ), FALSE)+INT($H90/12), 0)+1</f>
        <v/>
      </c>
      <c r="L90" s="68" t="inlineStr">
        <is>
          <t>HpRatio</t>
        </is>
      </c>
      <c r="M90" s="68">
        <f>M89+10000</f>
        <v/>
      </c>
      <c r="N90" s="68" t="inlineStr">
        <is>
          <t>AtkRatio</t>
        </is>
      </c>
      <c r="O90" s="68">
        <f>O89+10000</f>
        <v/>
      </c>
      <c r="P90" s="68" t="inlineStr">
        <is>
          <t>DefRatio</t>
        </is>
      </c>
      <c r="Q90" s="68">
        <f>Q89+10000</f>
        <v/>
      </c>
      <c r="R90" s="0">
        <f>_xlfn.XLOOKUP($B90, 'Detail&lt;Child&gt;'!$A:$A, 'Detail&lt;Child&gt;'!$L:$L)</f>
        <v/>
      </c>
    </row>
    <row r="91">
      <c r="A91" s="68">
        <f>B91*100+H91</f>
        <v/>
      </c>
      <c r="B91" s="68" t="n">
        <v>10000051</v>
      </c>
      <c r="C91" s="68">
        <f>_xlfn.XLOOKUP(B91,'Detail&lt;Child&gt;'!A:A,'Detail&lt;Child&gt;'!B:B)</f>
        <v/>
      </c>
      <c r="D91" s="68">
        <f>"character_gradeup_"&amp;$B91&amp;"_"&amp;$H91</f>
        <v/>
      </c>
      <c r="E91" s="68" t="inlineStr">
        <is>
          <t>Item</t>
        </is>
      </c>
      <c r="F91" s="68">
        <f>INT(3003&amp;RIGHT(B91,4))</f>
        <v/>
      </c>
      <c r="G91" s="68">
        <f>VLOOKUP($R91, '#등급업 재료 개수'!$A$2:$K$5, MATCH(GradeUp!H91, '#등급업 재료 개수'!$A$2:$K$2, 0), FALSE)</f>
        <v/>
      </c>
      <c r="H91" s="68" t="n">
        <v>8</v>
      </c>
      <c r="I91" s="68" t="n">
        <v>80</v>
      </c>
      <c r="J91" s="68" t="n">
        <v>0</v>
      </c>
      <c r="K91" s="68" t="n">
        <v>0</v>
      </c>
      <c r="L91" s="68" t="inlineStr">
        <is>
          <t>HpRatio</t>
        </is>
      </c>
      <c r="M91" s="68">
        <f>M90+10000</f>
        <v/>
      </c>
      <c r="N91" s="68" t="inlineStr">
        <is>
          <t>AtkRatio</t>
        </is>
      </c>
      <c r="O91" s="68">
        <f>O90+10000</f>
        <v/>
      </c>
      <c r="P91" s="68" t="inlineStr">
        <is>
          <t>DefRatio</t>
        </is>
      </c>
      <c r="Q91" s="68">
        <f>Q90+10000</f>
        <v/>
      </c>
      <c r="R91" s="0">
        <f>_xlfn.XLOOKUP($B91, 'Detail&lt;Child&gt;'!$A:$A, 'Detail&lt;Child&gt;'!$L:$L)</f>
        <v/>
      </c>
    </row>
    <row r="92">
      <c r="A92" s="68">
        <f>B92*100+H92</f>
        <v/>
      </c>
      <c r="B92" s="68" t="n">
        <v>10000051</v>
      </c>
      <c r="C92" s="68">
        <f>_xlfn.XLOOKUP(B92,'Detail&lt;Child&gt;'!A:A,'Detail&lt;Child&gt;'!B:B)</f>
        <v/>
      </c>
      <c r="D92" s="68">
        <f>"character_gradeup_"&amp;$B92&amp;"_"&amp;$H92</f>
        <v/>
      </c>
      <c r="E92" s="68" t="inlineStr">
        <is>
          <t>Item</t>
        </is>
      </c>
      <c r="F92" s="68">
        <f>INT(3003&amp;RIGHT(B92,4))</f>
        <v/>
      </c>
      <c r="G92" s="68">
        <f>VLOOKUP($R92, '#등급업 재료 개수'!$A$2:$K$5, MATCH(GradeUp!H92, '#등급업 재료 개수'!$A$2:$K$2, 0), FALSE)</f>
        <v/>
      </c>
      <c r="H92" s="68" t="n">
        <v>9</v>
      </c>
      <c r="I92" s="68" t="n">
        <v>90</v>
      </c>
      <c r="J92" s="68" t="inlineStr">
        <is>
          <t>Ultimate</t>
        </is>
      </c>
      <c r="K92" s="68">
        <f>_xlfn.IFNA(VLOOKUP($B92, 'Detail&lt;Child&gt;'!$A:$AW, MATCH(J92, 'Detail&lt;Child&gt;'!$3:$3,0 ), FALSE)+INT($H92/12), 0)+1</f>
        <v/>
      </c>
      <c r="L92" s="68" t="inlineStr">
        <is>
          <t>HpRatio</t>
        </is>
      </c>
      <c r="M92" s="68">
        <f>M91+10000</f>
        <v/>
      </c>
      <c r="N92" s="68" t="inlineStr">
        <is>
          <t>AtkRatio</t>
        </is>
      </c>
      <c r="O92" s="68">
        <f>O91+10000</f>
        <v/>
      </c>
      <c r="P92" s="68" t="inlineStr">
        <is>
          <t>DefRatio</t>
        </is>
      </c>
      <c r="Q92" s="68">
        <f>Q91+10000</f>
        <v/>
      </c>
      <c r="R92" s="0">
        <f>_xlfn.XLOOKUP($B92, 'Detail&lt;Child&gt;'!$A:$A, 'Detail&lt;Child&gt;'!$L:$L)</f>
        <v/>
      </c>
    </row>
    <row r="93">
      <c r="A93" s="68">
        <f>B93*100+H93</f>
        <v/>
      </c>
      <c r="B93" s="68" t="n">
        <v>10000051</v>
      </c>
      <c r="C93" s="68">
        <f>_xlfn.XLOOKUP(B93,'Detail&lt;Child&gt;'!A:A,'Detail&lt;Child&gt;'!B:B)</f>
        <v/>
      </c>
      <c r="D93" s="68">
        <f>"character_gradeup_"&amp;$B93&amp;"_"&amp;$H93</f>
        <v/>
      </c>
      <c r="E93" s="68" t="inlineStr">
        <is>
          <t>Item</t>
        </is>
      </c>
      <c r="F93" s="68">
        <f>INT(3003&amp;RIGHT(B93,4))</f>
        <v/>
      </c>
      <c r="G93" s="68">
        <f>VLOOKUP($R93, '#등급업 재료 개수'!$A$2:$K$5, MATCH(GradeUp!H93, '#등급업 재료 개수'!$A$2:$K$2, 0), FALSE)</f>
        <v/>
      </c>
      <c r="H93" s="68" t="n">
        <v>10</v>
      </c>
      <c r="I93" s="68" t="n">
        <v>100</v>
      </c>
      <c r="J93" s="68" t="n">
        <v>0</v>
      </c>
      <c r="K93" s="68" t="n">
        <v>0</v>
      </c>
      <c r="L93" s="68" t="inlineStr">
        <is>
          <t>HpRatio</t>
        </is>
      </c>
      <c r="M93" s="68">
        <f>M92+10000</f>
        <v/>
      </c>
      <c r="N93" s="68" t="inlineStr">
        <is>
          <t>AtkRatio</t>
        </is>
      </c>
      <c r="O93" s="68">
        <f>O92+10000</f>
        <v/>
      </c>
      <c r="P93" s="68" t="inlineStr">
        <is>
          <t>DefRatio</t>
        </is>
      </c>
      <c r="Q93" s="68">
        <f>Q92+10000</f>
        <v/>
      </c>
      <c r="R93" s="0">
        <f>_xlfn.XLOOKUP($B93, 'Detail&lt;Child&gt;'!$A:$A, 'Detail&lt;Child&gt;'!$L:$L)</f>
        <v/>
      </c>
    </row>
    <row r="94">
      <c r="A94" s="68">
        <f>B94*100+H94</f>
        <v/>
      </c>
      <c r="B94" s="68" t="n">
        <v>10000364</v>
      </c>
      <c r="C94" s="68">
        <f>_xlfn.XLOOKUP(B94,'Detail&lt;Child&gt;'!A:A,'Detail&lt;Child&gt;'!B:B)</f>
        <v/>
      </c>
      <c r="D94" s="68">
        <f>"character_gradeup_"&amp;$B94&amp;"_"&amp;$H94</f>
        <v/>
      </c>
      <c r="E94" s="68" t="inlineStr">
        <is>
          <t>Item</t>
        </is>
      </c>
      <c r="F94" s="68">
        <f>INT(3003&amp;RIGHT(B94,4))</f>
        <v/>
      </c>
      <c r="G94" s="68">
        <f>VLOOKUP($R94, '#등급업 재료 개수'!$A$2:$K$5, MATCH(GradeUp!H94, '#등급업 재료 개수'!$A$2:$K$2, 0), FALSE)</f>
        <v/>
      </c>
      <c r="H94" s="68" t="n">
        <v>1</v>
      </c>
      <c r="I94" s="68" t="n">
        <v>10</v>
      </c>
      <c r="J94" s="68" t="n">
        <v>0</v>
      </c>
      <c r="K94" s="68" t="n">
        <v>0</v>
      </c>
      <c r="L94" s="68" t="inlineStr">
        <is>
          <t>HpRatio</t>
        </is>
      </c>
      <c r="M94" s="68" t="n">
        <v>0</v>
      </c>
      <c r="N94" s="68" t="inlineStr">
        <is>
          <t>AtkRatio</t>
        </is>
      </c>
      <c r="O94" s="68" t="n">
        <v>0</v>
      </c>
      <c r="P94" s="68" t="inlineStr">
        <is>
          <t>DefRatio</t>
        </is>
      </c>
      <c r="Q94" s="68" t="n">
        <v>0</v>
      </c>
      <c r="R94" s="0">
        <f>_xlfn.XLOOKUP($B94, 'Detail&lt;Child&gt;'!$A:$A, 'Detail&lt;Child&gt;'!$L:$L)</f>
        <v/>
      </c>
    </row>
    <row r="95">
      <c r="A95" s="68">
        <f>B95*100+H95</f>
        <v/>
      </c>
      <c r="B95" s="68" t="n">
        <v>10000364</v>
      </c>
      <c r="C95" s="68">
        <f>_xlfn.XLOOKUP(B95,'Detail&lt;Child&gt;'!A:A,'Detail&lt;Child&gt;'!B:B)</f>
        <v/>
      </c>
      <c r="D95" s="68">
        <f>"character_gradeup_"&amp;$B95&amp;"_"&amp;$H95</f>
        <v/>
      </c>
      <c r="E95" s="68" t="inlineStr">
        <is>
          <t>Item</t>
        </is>
      </c>
      <c r="F95" s="68">
        <f>INT(3003&amp;RIGHT(B95,4))</f>
        <v/>
      </c>
      <c r="G95" s="68">
        <f>VLOOKUP($R95, '#등급업 재료 개수'!$A$2:$K$5, MATCH(GradeUp!H95, '#등급업 재료 개수'!$A$2:$K$2, 0), FALSE)</f>
        <v/>
      </c>
      <c r="H95" s="68" t="n">
        <v>2</v>
      </c>
      <c r="I95" s="68" t="n">
        <v>20</v>
      </c>
      <c r="J95" s="68" t="inlineStr">
        <is>
          <t>Active</t>
        </is>
      </c>
      <c r="K95" s="68">
        <f>_xlfn.IFNA(VLOOKUP($B95, 'Detail&lt;Child&gt;'!$A:$AW, MATCH(J95, 'Detail&lt;Child&gt;'!$3:$3,0 ), FALSE)+INT($H95/12), 0)</f>
        <v/>
      </c>
      <c r="L95" s="68" t="inlineStr">
        <is>
          <t>HpRatio</t>
        </is>
      </c>
      <c r="M95" s="68" t="n">
        <v>0</v>
      </c>
      <c r="N95" s="68" t="inlineStr">
        <is>
          <t>AtkRatio</t>
        </is>
      </c>
      <c r="O95" s="68" t="n">
        <v>0</v>
      </c>
      <c r="P95" s="68" t="inlineStr">
        <is>
          <t>DefRatio</t>
        </is>
      </c>
      <c r="Q95" s="68" t="n">
        <v>0</v>
      </c>
      <c r="R95" s="0">
        <f>_xlfn.XLOOKUP($B95, 'Detail&lt;Child&gt;'!$A:$A, 'Detail&lt;Child&gt;'!$L:$L)</f>
        <v/>
      </c>
    </row>
    <row r="96">
      <c r="A96" s="68">
        <f>B96*100+H96</f>
        <v/>
      </c>
      <c r="B96" s="68" t="n">
        <v>10000364</v>
      </c>
      <c r="C96" s="68">
        <f>_xlfn.XLOOKUP(B96,'Detail&lt;Child&gt;'!A:A,'Detail&lt;Child&gt;'!B:B)</f>
        <v/>
      </c>
      <c r="D96" s="68">
        <f>"character_gradeup_"&amp;$B96&amp;"_"&amp;$H96</f>
        <v/>
      </c>
      <c r="E96" s="68" t="inlineStr">
        <is>
          <t>Item</t>
        </is>
      </c>
      <c r="F96" s="68">
        <f>INT(3003&amp;RIGHT(B96,4))</f>
        <v/>
      </c>
      <c r="G96" s="68">
        <f>VLOOKUP($R96, '#등급업 재료 개수'!$A$2:$K$5, MATCH(GradeUp!H96, '#등급업 재료 개수'!$A$2:$K$2, 0), FALSE)</f>
        <v/>
      </c>
      <c r="H96" s="68" t="n">
        <v>3</v>
      </c>
      <c r="I96" s="68" t="n">
        <v>30</v>
      </c>
      <c r="J96" s="68" t="n">
        <v>0</v>
      </c>
      <c r="K96" s="68" t="n">
        <v>0</v>
      </c>
      <c r="L96" s="68" t="inlineStr">
        <is>
          <t>HpRatio</t>
        </is>
      </c>
      <c r="M96" s="68" t="n">
        <v>0</v>
      </c>
      <c r="N96" s="68" t="inlineStr">
        <is>
          <t>AtkRatio</t>
        </is>
      </c>
      <c r="O96" s="68" t="n">
        <v>0</v>
      </c>
      <c r="P96" s="68" t="inlineStr">
        <is>
          <t>DefRatio</t>
        </is>
      </c>
      <c r="Q96" s="68" t="n">
        <v>0</v>
      </c>
      <c r="R96" s="0">
        <f>_xlfn.XLOOKUP($B96, 'Detail&lt;Child&gt;'!$A:$A, 'Detail&lt;Child&gt;'!$L:$L)</f>
        <v/>
      </c>
    </row>
    <row r="97">
      <c r="A97" s="68">
        <f>B97*100+H97</f>
        <v/>
      </c>
      <c r="B97" s="68" t="n">
        <v>10000364</v>
      </c>
      <c r="C97" s="68">
        <f>_xlfn.XLOOKUP(B97,'Detail&lt;Child&gt;'!A:A,'Detail&lt;Child&gt;'!B:B)</f>
        <v/>
      </c>
      <c r="D97" s="68">
        <f>"character_gradeup_"&amp;$B97&amp;"_"&amp;$H97</f>
        <v/>
      </c>
      <c r="E97" s="68" t="inlineStr">
        <is>
          <t>Item</t>
        </is>
      </c>
      <c r="F97" s="68">
        <f>INT(3003&amp;RIGHT(B97,4))</f>
        <v/>
      </c>
      <c r="G97" s="68">
        <f>VLOOKUP($R97, '#등급업 재료 개수'!$A$2:$K$5, MATCH(GradeUp!H97, '#등급업 재료 개수'!$A$2:$K$2, 0), FALSE)</f>
        <v/>
      </c>
      <c r="H97" s="68" t="n">
        <v>4</v>
      </c>
      <c r="I97" s="68" t="n">
        <v>40</v>
      </c>
      <c r="J97" s="68" t="inlineStr">
        <is>
          <t>Passive</t>
        </is>
      </c>
      <c r="K97" s="68">
        <f>_xlfn.IFNA(VLOOKUP($B97, 'Detail&lt;Child&gt;'!$A:$AW, MATCH(J97, 'Detail&lt;Child&gt;'!$3:$3,0 ), FALSE)+INT($H97/12), 0)</f>
        <v/>
      </c>
      <c r="L97" s="68" t="inlineStr">
        <is>
          <t>HpRatio</t>
        </is>
      </c>
      <c r="M97" s="68" t="n">
        <v>10000</v>
      </c>
      <c r="N97" s="68" t="inlineStr">
        <is>
          <t>AtkRatio</t>
        </is>
      </c>
      <c r="O97" s="68" t="n">
        <v>10000</v>
      </c>
      <c r="P97" s="68" t="inlineStr">
        <is>
          <t>DefRatio</t>
        </is>
      </c>
      <c r="Q97" s="68" t="n">
        <v>10000</v>
      </c>
      <c r="R97" s="0">
        <f>_xlfn.XLOOKUP($B97, 'Detail&lt;Child&gt;'!$A:$A, 'Detail&lt;Child&gt;'!$L:$L)</f>
        <v/>
      </c>
    </row>
    <row r="98">
      <c r="A98" s="68">
        <f>B98*100+H98</f>
        <v/>
      </c>
      <c r="B98" s="68" t="n">
        <v>10000364</v>
      </c>
      <c r="C98" s="68">
        <f>_xlfn.XLOOKUP(B98,'Detail&lt;Child&gt;'!A:A,'Detail&lt;Child&gt;'!B:B)</f>
        <v/>
      </c>
      <c r="D98" s="68">
        <f>"character_gradeup_"&amp;$B98&amp;"_"&amp;$H98</f>
        <v/>
      </c>
      <c r="E98" s="68" t="inlineStr">
        <is>
          <t>Item</t>
        </is>
      </c>
      <c r="F98" s="68">
        <f>INT(3003&amp;RIGHT(B98,4))</f>
        <v/>
      </c>
      <c r="G98" s="68">
        <f>VLOOKUP($R98, '#등급업 재료 개수'!$A$2:$K$5, MATCH(GradeUp!H98, '#등급업 재료 개수'!$A$2:$K$2, 0), FALSE)</f>
        <v/>
      </c>
      <c r="H98" s="68" t="n">
        <v>5</v>
      </c>
      <c r="I98" s="68" t="n">
        <v>50</v>
      </c>
      <c r="J98" s="68" t="inlineStr">
        <is>
          <t>Active</t>
        </is>
      </c>
      <c r="K98" s="68">
        <f>_xlfn.IFNA(VLOOKUP($B98, 'Detail&lt;Child&gt;'!$A:$AW, MATCH(J98, 'Detail&lt;Child&gt;'!$3:$3,0 ), FALSE)+INT($H98/12), 0)+1</f>
        <v/>
      </c>
      <c r="L98" s="68" t="inlineStr">
        <is>
          <t>HpRatio</t>
        </is>
      </c>
      <c r="M98" s="68">
        <f>M97+10000</f>
        <v/>
      </c>
      <c r="N98" s="68" t="inlineStr">
        <is>
          <t>AtkRatio</t>
        </is>
      </c>
      <c r="O98" s="68">
        <f>O97+10000</f>
        <v/>
      </c>
      <c r="P98" s="68" t="inlineStr">
        <is>
          <t>DefRatio</t>
        </is>
      </c>
      <c r="Q98" s="68">
        <f>Q97+10000</f>
        <v/>
      </c>
      <c r="R98" s="0">
        <f>_xlfn.XLOOKUP($B98, 'Detail&lt;Child&gt;'!$A:$A, 'Detail&lt;Child&gt;'!$L:$L)</f>
        <v/>
      </c>
    </row>
    <row r="99">
      <c r="A99" s="68">
        <f>B99*100+H99</f>
        <v/>
      </c>
      <c r="B99" s="68" t="n">
        <v>10000364</v>
      </c>
      <c r="C99" s="68">
        <f>_xlfn.XLOOKUP(B99,'Detail&lt;Child&gt;'!A:A,'Detail&lt;Child&gt;'!B:B)</f>
        <v/>
      </c>
      <c r="D99" s="68">
        <f>"character_gradeup_"&amp;$B99&amp;"_"&amp;$H99</f>
        <v/>
      </c>
      <c r="E99" s="68" t="inlineStr">
        <is>
          <t>Item</t>
        </is>
      </c>
      <c r="F99" s="68">
        <f>INT(3003&amp;RIGHT(B99,4))</f>
        <v/>
      </c>
      <c r="G99" s="68">
        <f>VLOOKUP($R99, '#등급업 재료 개수'!$A$2:$K$5, MATCH(GradeUp!H99, '#등급업 재료 개수'!$A$2:$K$2, 0), FALSE)</f>
        <v/>
      </c>
      <c r="H99" s="68" t="n">
        <v>6</v>
      </c>
      <c r="I99" s="68" t="n">
        <v>60</v>
      </c>
      <c r="J99" s="68" t="n">
        <v>0</v>
      </c>
      <c r="K99" s="68" t="n">
        <v>0</v>
      </c>
      <c r="L99" s="68" t="inlineStr">
        <is>
          <t>HpRatio</t>
        </is>
      </c>
      <c r="M99" s="68">
        <f>M98+10000</f>
        <v/>
      </c>
      <c r="N99" s="68" t="inlineStr">
        <is>
          <t>AtkRatio</t>
        </is>
      </c>
      <c r="O99" s="68">
        <f>O98+10000</f>
        <v/>
      </c>
      <c r="P99" s="68" t="inlineStr">
        <is>
          <t>DefRatio</t>
        </is>
      </c>
      <c r="Q99" s="68">
        <f>Q98+10000</f>
        <v/>
      </c>
      <c r="R99" s="0">
        <f>_xlfn.XLOOKUP($B99, 'Detail&lt;Child&gt;'!$A:$A, 'Detail&lt;Child&gt;'!$L:$L)</f>
        <v/>
      </c>
    </row>
    <row r="100">
      <c r="A100" s="68">
        <f>B100*100+H100</f>
        <v/>
      </c>
      <c r="B100" s="68" t="n">
        <v>10000364</v>
      </c>
      <c r="C100" s="68">
        <f>_xlfn.XLOOKUP(B100,'Detail&lt;Child&gt;'!A:A,'Detail&lt;Child&gt;'!B:B)</f>
        <v/>
      </c>
      <c r="D100" s="68">
        <f>"character_gradeup_"&amp;$B100&amp;"_"&amp;$H100</f>
        <v/>
      </c>
      <c r="E100" s="68" t="inlineStr">
        <is>
          <t>Item</t>
        </is>
      </c>
      <c r="F100" s="68">
        <f>INT(3003&amp;RIGHT(B100,4))</f>
        <v/>
      </c>
      <c r="G100" s="68">
        <f>VLOOKUP($R100, '#등급업 재료 개수'!$A$2:$K$5, MATCH(GradeUp!H100, '#등급업 재료 개수'!$A$2:$K$2, 0), FALSE)</f>
        <v/>
      </c>
      <c r="H100" s="68" t="n">
        <v>7</v>
      </c>
      <c r="I100" s="68" t="n">
        <v>70</v>
      </c>
      <c r="J100" s="68" t="inlineStr">
        <is>
          <t>Passive</t>
        </is>
      </c>
      <c r="K100" s="68">
        <f>_xlfn.IFNA(VLOOKUP($B100, 'Detail&lt;Child&gt;'!$A:$AW, MATCH(J100, 'Detail&lt;Child&gt;'!$3:$3,0 ), FALSE)+INT($H100/12), 0)+1</f>
        <v/>
      </c>
      <c r="L100" s="68" t="inlineStr">
        <is>
          <t>HpRatio</t>
        </is>
      </c>
      <c r="M100" s="68">
        <f>M99+10000</f>
        <v/>
      </c>
      <c r="N100" s="68" t="inlineStr">
        <is>
          <t>AtkRatio</t>
        </is>
      </c>
      <c r="O100" s="68">
        <f>O99+10000</f>
        <v/>
      </c>
      <c r="P100" s="68" t="inlineStr">
        <is>
          <t>DefRatio</t>
        </is>
      </c>
      <c r="Q100" s="68">
        <f>Q99+10000</f>
        <v/>
      </c>
      <c r="R100" s="0">
        <f>_xlfn.XLOOKUP($B100, 'Detail&lt;Child&gt;'!$A:$A, 'Detail&lt;Child&gt;'!$L:$L)</f>
        <v/>
      </c>
    </row>
    <row r="101">
      <c r="A101" s="68">
        <f>B101*100+H101</f>
        <v/>
      </c>
      <c r="B101" s="68" t="n">
        <v>10000364</v>
      </c>
      <c r="C101" s="68">
        <f>_xlfn.XLOOKUP(B101,'Detail&lt;Child&gt;'!A:A,'Detail&lt;Child&gt;'!B:B)</f>
        <v/>
      </c>
      <c r="D101" s="68">
        <f>"character_gradeup_"&amp;$B101&amp;"_"&amp;$H101</f>
        <v/>
      </c>
      <c r="E101" s="68" t="inlineStr">
        <is>
          <t>Item</t>
        </is>
      </c>
      <c r="F101" s="68">
        <f>INT(3003&amp;RIGHT(B101,4))</f>
        <v/>
      </c>
      <c r="G101" s="68">
        <f>VLOOKUP($R101, '#등급업 재료 개수'!$A$2:$K$5, MATCH(GradeUp!H101, '#등급업 재료 개수'!$A$2:$K$2, 0), FALSE)</f>
        <v/>
      </c>
      <c r="H101" s="68" t="n">
        <v>8</v>
      </c>
      <c r="I101" s="68" t="n">
        <v>80</v>
      </c>
      <c r="J101" s="68" t="n">
        <v>0</v>
      </c>
      <c r="K101" s="68" t="n">
        <v>0</v>
      </c>
      <c r="L101" s="68" t="inlineStr">
        <is>
          <t>HpRatio</t>
        </is>
      </c>
      <c r="M101" s="68">
        <f>M100+10000</f>
        <v/>
      </c>
      <c r="N101" s="68" t="inlineStr">
        <is>
          <t>AtkRatio</t>
        </is>
      </c>
      <c r="O101" s="68">
        <f>O100+10000</f>
        <v/>
      </c>
      <c r="P101" s="68" t="inlineStr">
        <is>
          <t>DefRatio</t>
        </is>
      </c>
      <c r="Q101" s="68">
        <f>Q100+10000</f>
        <v/>
      </c>
      <c r="R101" s="0">
        <f>_xlfn.XLOOKUP($B101, 'Detail&lt;Child&gt;'!$A:$A, 'Detail&lt;Child&gt;'!$L:$L)</f>
        <v/>
      </c>
    </row>
    <row r="102">
      <c r="A102" s="68">
        <f>B102*100+H102</f>
        <v/>
      </c>
      <c r="B102" s="68" t="n">
        <v>10000364</v>
      </c>
      <c r="C102" s="68">
        <f>_xlfn.XLOOKUP(B102,'Detail&lt;Child&gt;'!A:A,'Detail&lt;Child&gt;'!B:B)</f>
        <v/>
      </c>
      <c r="D102" s="68">
        <f>"character_gradeup_"&amp;$B102&amp;"_"&amp;$H102</f>
        <v/>
      </c>
      <c r="E102" s="68" t="inlineStr">
        <is>
          <t>Item</t>
        </is>
      </c>
      <c r="F102" s="68">
        <f>INT(3003&amp;RIGHT(B102,4))</f>
        <v/>
      </c>
      <c r="G102" s="68">
        <f>VLOOKUP($R102, '#등급업 재료 개수'!$A$2:$K$5, MATCH(GradeUp!H102, '#등급업 재료 개수'!$A$2:$K$2, 0), FALSE)</f>
        <v/>
      </c>
      <c r="H102" s="68" t="n">
        <v>9</v>
      </c>
      <c r="I102" s="68" t="n">
        <v>90</v>
      </c>
      <c r="J102" s="68" t="inlineStr">
        <is>
          <t>Ultimate</t>
        </is>
      </c>
      <c r="K102" s="68">
        <f>_xlfn.IFNA(VLOOKUP($B102, 'Detail&lt;Child&gt;'!$A:$AW, MATCH(J102, 'Detail&lt;Child&gt;'!$3:$3,0 ), FALSE)+INT($H102/12), 0)+1</f>
        <v/>
      </c>
      <c r="L102" s="68" t="inlineStr">
        <is>
          <t>HpRatio</t>
        </is>
      </c>
      <c r="M102" s="68">
        <f>M101+10000</f>
        <v/>
      </c>
      <c r="N102" s="68" t="inlineStr">
        <is>
          <t>AtkRatio</t>
        </is>
      </c>
      <c r="O102" s="68">
        <f>O101+10000</f>
        <v/>
      </c>
      <c r="P102" s="68" t="inlineStr">
        <is>
          <t>DefRatio</t>
        </is>
      </c>
      <c r="Q102" s="68">
        <f>Q101+10000</f>
        <v/>
      </c>
      <c r="R102" s="0">
        <f>_xlfn.XLOOKUP($B102, 'Detail&lt;Child&gt;'!$A:$A, 'Detail&lt;Child&gt;'!$L:$L)</f>
        <v/>
      </c>
    </row>
    <row r="103">
      <c r="A103" s="68">
        <f>B103*100+H103</f>
        <v/>
      </c>
      <c r="B103" s="68" t="n">
        <v>10000364</v>
      </c>
      <c r="C103" s="68">
        <f>_xlfn.XLOOKUP(B103,'Detail&lt;Child&gt;'!A:A,'Detail&lt;Child&gt;'!B:B)</f>
        <v/>
      </c>
      <c r="D103" s="68">
        <f>"character_gradeup_"&amp;$B103&amp;"_"&amp;$H103</f>
        <v/>
      </c>
      <c r="E103" s="68" t="inlineStr">
        <is>
          <t>Item</t>
        </is>
      </c>
      <c r="F103" s="68">
        <f>INT(3003&amp;RIGHT(B103,4))</f>
        <v/>
      </c>
      <c r="G103" s="68">
        <f>VLOOKUP($R103, '#등급업 재료 개수'!$A$2:$K$5, MATCH(GradeUp!H103, '#등급업 재료 개수'!$A$2:$K$2, 0), FALSE)</f>
        <v/>
      </c>
      <c r="H103" s="68" t="n">
        <v>10</v>
      </c>
      <c r="I103" s="68" t="n">
        <v>100</v>
      </c>
      <c r="J103" s="68" t="n">
        <v>0</v>
      </c>
      <c r="K103" s="68" t="n">
        <v>0</v>
      </c>
      <c r="L103" s="68" t="inlineStr">
        <is>
          <t>HpRatio</t>
        </is>
      </c>
      <c r="M103" s="68">
        <f>M102+10000</f>
        <v/>
      </c>
      <c r="N103" s="68" t="inlineStr">
        <is>
          <t>AtkRatio</t>
        </is>
      </c>
      <c r="O103" s="68">
        <f>O102+10000</f>
        <v/>
      </c>
      <c r="P103" s="68" t="inlineStr">
        <is>
          <t>DefRatio</t>
        </is>
      </c>
      <c r="Q103" s="68">
        <f>Q102+10000</f>
        <v/>
      </c>
      <c r="R103" s="0">
        <f>_xlfn.XLOOKUP($B103, 'Detail&lt;Child&gt;'!$A:$A, 'Detail&lt;Child&gt;'!$L:$L)</f>
        <v/>
      </c>
    </row>
    <row r="104">
      <c r="A104" s="68">
        <f>B104*100+H104</f>
        <v/>
      </c>
      <c r="B104" s="68" t="n">
        <v>10000002</v>
      </c>
      <c r="C104" s="68">
        <f>_xlfn.XLOOKUP(B104,'Detail&lt;Child&gt;'!A:A,'Detail&lt;Child&gt;'!B:B)</f>
        <v/>
      </c>
      <c r="D104" s="68">
        <f>"character_gradeup_"&amp;$B104&amp;"_"&amp;$H104</f>
        <v/>
      </c>
      <c r="E104" s="68" t="inlineStr">
        <is>
          <t>Item</t>
        </is>
      </c>
      <c r="F104" s="68">
        <f>INT(3003&amp;RIGHT(B104,4))</f>
        <v/>
      </c>
      <c r="G104" s="68">
        <f>VLOOKUP($R104, '#등급업 재료 개수'!$A$2:$K$5, MATCH(GradeUp!H104, '#등급업 재료 개수'!$A$2:$K$2, 0), FALSE)</f>
        <v/>
      </c>
      <c r="H104" s="68" t="n">
        <v>1</v>
      </c>
      <c r="I104" s="68" t="n">
        <v>10</v>
      </c>
      <c r="J104" s="68" t="n">
        <v>0</v>
      </c>
      <c r="K104" s="68" t="n">
        <v>0</v>
      </c>
      <c r="L104" s="68" t="inlineStr">
        <is>
          <t>HpRatio</t>
        </is>
      </c>
      <c r="M104" s="68" t="n">
        <v>0</v>
      </c>
      <c r="N104" s="68" t="inlineStr">
        <is>
          <t>AtkRatio</t>
        </is>
      </c>
      <c r="O104" s="68" t="n">
        <v>0</v>
      </c>
      <c r="P104" s="68" t="inlineStr">
        <is>
          <t>DefRatio</t>
        </is>
      </c>
      <c r="Q104" s="68" t="n">
        <v>0</v>
      </c>
      <c r="R104" s="0">
        <f>_xlfn.XLOOKUP($B104, 'Detail&lt;Child&gt;'!$A:$A, 'Detail&lt;Child&gt;'!$L:$L)</f>
        <v/>
      </c>
    </row>
    <row r="105">
      <c r="A105" s="68">
        <f>B105*100+H105</f>
        <v/>
      </c>
      <c r="B105" s="68" t="n">
        <v>10000002</v>
      </c>
      <c r="C105" s="68">
        <f>_xlfn.XLOOKUP(B105,'Detail&lt;Child&gt;'!A:A,'Detail&lt;Child&gt;'!B:B)</f>
        <v/>
      </c>
      <c r="D105" s="68">
        <f>"character_gradeup_"&amp;$B105&amp;"_"&amp;$H105</f>
        <v/>
      </c>
      <c r="E105" s="68" t="inlineStr">
        <is>
          <t>Item</t>
        </is>
      </c>
      <c r="F105" s="68">
        <f>INT(3003&amp;RIGHT(B105,4))</f>
        <v/>
      </c>
      <c r="G105" s="68">
        <f>VLOOKUP($R105, '#등급업 재료 개수'!$A$2:$K$5, MATCH(GradeUp!H105, '#등급업 재료 개수'!$A$2:$K$2, 0), FALSE)</f>
        <v/>
      </c>
      <c r="H105" s="68" t="n">
        <v>2</v>
      </c>
      <c r="I105" s="68" t="n">
        <v>20</v>
      </c>
      <c r="J105" s="68" t="inlineStr">
        <is>
          <t>Active</t>
        </is>
      </c>
      <c r="K105" s="68">
        <f>_xlfn.IFNA(VLOOKUP($B105, 'Detail&lt;Child&gt;'!$A:$AW, MATCH(J105, 'Detail&lt;Child&gt;'!$3:$3,0 ), FALSE)+INT($H105/12), 0)</f>
        <v/>
      </c>
      <c r="L105" s="68" t="inlineStr">
        <is>
          <t>HpRatio</t>
        </is>
      </c>
      <c r="M105" s="68" t="n">
        <v>10000</v>
      </c>
      <c r="N105" s="68" t="inlineStr">
        <is>
          <t>AtkRatio</t>
        </is>
      </c>
      <c r="O105" s="68" t="n">
        <v>10000</v>
      </c>
      <c r="P105" s="68" t="inlineStr">
        <is>
          <t>DefRatio</t>
        </is>
      </c>
      <c r="Q105" s="68" t="n">
        <v>10000</v>
      </c>
      <c r="R105" s="0">
        <f>_xlfn.XLOOKUP($B105, 'Detail&lt;Child&gt;'!$A:$A, 'Detail&lt;Child&gt;'!$L:$L)</f>
        <v/>
      </c>
    </row>
    <row r="106">
      <c r="A106" s="68">
        <f>B106*100+H106</f>
        <v/>
      </c>
      <c r="B106" s="68" t="n">
        <v>10000002</v>
      </c>
      <c r="C106" s="68">
        <f>_xlfn.XLOOKUP(B106,'Detail&lt;Child&gt;'!A:A,'Detail&lt;Child&gt;'!B:B)</f>
        <v/>
      </c>
      <c r="D106" s="68">
        <f>"character_gradeup_"&amp;$B106&amp;"_"&amp;$H106</f>
        <v/>
      </c>
      <c r="E106" s="68" t="inlineStr">
        <is>
          <t>Item</t>
        </is>
      </c>
      <c r="F106" s="68">
        <f>INT(3003&amp;RIGHT(B106,4))</f>
        <v/>
      </c>
      <c r="G106" s="68">
        <f>VLOOKUP($R106, '#등급업 재료 개수'!$A$2:$K$5, MATCH(GradeUp!H106, '#등급업 재료 개수'!$A$2:$K$2, 0), FALSE)</f>
        <v/>
      </c>
      <c r="H106" s="68" t="n">
        <v>3</v>
      </c>
      <c r="I106" s="68" t="n">
        <v>30</v>
      </c>
      <c r="J106" s="68" t="n">
        <v>0</v>
      </c>
      <c r="K106" s="68" t="n">
        <v>0</v>
      </c>
      <c r="L106" s="68" t="inlineStr">
        <is>
          <t>HpRatio</t>
        </is>
      </c>
      <c r="M106" s="68">
        <f>M105+10000</f>
        <v/>
      </c>
      <c r="N106" s="68" t="inlineStr">
        <is>
          <t>AtkRatio</t>
        </is>
      </c>
      <c r="O106" s="68">
        <f>O105+10000</f>
        <v/>
      </c>
      <c r="P106" s="68" t="inlineStr">
        <is>
          <t>DefRatio</t>
        </is>
      </c>
      <c r="Q106" s="68">
        <f>Q105+10000</f>
        <v/>
      </c>
      <c r="R106" s="0">
        <f>_xlfn.XLOOKUP($B106, 'Detail&lt;Child&gt;'!$A:$A, 'Detail&lt;Child&gt;'!$L:$L)</f>
        <v/>
      </c>
    </row>
    <row r="107">
      <c r="A107" s="68">
        <f>B107*100+H107</f>
        <v/>
      </c>
      <c r="B107" s="68" t="n">
        <v>10000002</v>
      </c>
      <c r="C107" s="68">
        <f>_xlfn.XLOOKUP(B107,'Detail&lt;Child&gt;'!A:A,'Detail&lt;Child&gt;'!B:B)</f>
        <v/>
      </c>
      <c r="D107" s="68">
        <f>"character_gradeup_"&amp;$B107&amp;"_"&amp;$H107</f>
        <v/>
      </c>
      <c r="E107" s="68" t="inlineStr">
        <is>
          <t>Item</t>
        </is>
      </c>
      <c r="F107" s="68">
        <f>INT(3003&amp;RIGHT(B107,4))</f>
        <v/>
      </c>
      <c r="G107" s="68">
        <f>VLOOKUP($R107, '#등급업 재료 개수'!$A$2:$K$5, MATCH(GradeUp!H107, '#등급업 재료 개수'!$A$2:$K$2, 0), FALSE)</f>
        <v/>
      </c>
      <c r="H107" s="68" t="n">
        <v>4</v>
      </c>
      <c r="I107" s="68" t="n">
        <v>40</v>
      </c>
      <c r="J107" s="68" t="inlineStr">
        <is>
          <t>Passive</t>
        </is>
      </c>
      <c r="K107" s="68">
        <f>_xlfn.IFNA(VLOOKUP($B107, 'Detail&lt;Child&gt;'!$A:$AW, MATCH(J107, 'Detail&lt;Child&gt;'!$3:$3,0 ), FALSE)+INT($H107/12), 0)</f>
        <v/>
      </c>
      <c r="L107" s="68" t="inlineStr">
        <is>
          <t>HpRatio</t>
        </is>
      </c>
      <c r="M107" s="68">
        <f>M106+10000</f>
        <v/>
      </c>
      <c r="N107" s="68" t="inlineStr">
        <is>
          <t>AtkRatio</t>
        </is>
      </c>
      <c r="O107" s="68">
        <f>O106+10000</f>
        <v/>
      </c>
      <c r="P107" s="68" t="inlineStr">
        <is>
          <t>DefRatio</t>
        </is>
      </c>
      <c r="Q107" s="68">
        <f>Q106+10000</f>
        <v/>
      </c>
      <c r="R107" s="0">
        <f>_xlfn.XLOOKUP($B107, 'Detail&lt;Child&gt;'!$A:$A, 'Detail&lt;Child&gt;'!$L:$L)</f>
        <v/>
      </c>
    </row>
    <row r="108">
      <c r="A108" s="68">
        <f>B108*100+H108</f>
        <v/>
      </c>
      <c r="B108" s="68" t="n">
        <v>10000002</v>
      </c>
      <c r="C108" s="68">
        <f>_xlfn.XLOOKUP(B108,'Detail&lt;Child&gt;'!A:A,'Detail&lt;Child&gt;'!B:B)</f>
        <v/>
      </c>
      <c r="D108" s="68">
        <f>"character_gradeup_"&amp;$B108&amp;"_"&amp;$H108</f>
        <v/>
      </c>
      <c r="E108" s="68" t="inlineStr">
        <is>
          <t>Item</t>
        </is>
      </c>
      <c r="F108" s="68">
        <f>INT(3003&amp;RIGHT(B108,4))</f>
        <v/>
      </c>
      <c r="G108" s="68">
        <f>VLOOKUP($R108, '#등급업 재료 개수'!$A$2:$K$5, MATCH(GradeUp!H108, '#등급업 재료 개수'!$A$2:$K$2, 0), FALSE)</f>
        <v/>
      </c>
      <c r="H108" s="68" t="n">
        <v>5</v>
      </c>
      <c r="I108" s="68" t="n">
        <v>50</v>
      </c>
      <c r="J108" s="68" t="inlineStr">
        <is>
          <t>Active</t>
        </is>
      </c>
      <c r="K108" s="68">
        <f>_xlfn.IFNA(VLOOKUP($B108, 'Detail&lt;Child&gt;'!$A:$AW, MATCH(J108, 'Detail&lt;Child&gt;'!$3:$3,0 ), FALSE)+INT($H108/12), 0)+1</f>
        <v/>
      </c>
      <c r="L108" s="68" t="inlineStr">
        <is>
          <t>HpRatio</t>
        </is>
      </c>
      <c r="M108" s="68">
        <f>M107+10000</f>
        <v/>
      </c>
      <c r="N108" s="68" t="inlineStr">
        <is>
          <t>AtkRatio</t>
        </is>
      </c>
      <c r="O108" s="68">
        <f>O107+10000</f>
        <v/>
      </c>
      <c r="P108" s="68" t="inlineStr">
        <is>
          <t>DefRatio</t>
        </is>
      </c>
      <c r="Q108" s="68">
        <f>Q107+10000</f>
        <v/>
      </c>
      <c r="R108" s="0">
        <f>_xlfn.XLOOKUP($B108, 'Detail&lt;Child&gt;'!$A:$A, 'Detail&lt;Child&gt;'!$L:$L)</f>
        <v/>
      </c>
    </row>
    <row r="109">
      <c r="A109" s="68">
        <f>B109*100+H109</f>
        <v/>
      </c>
      <c r="B109" s="68" t="n">
        <v>10000002</v>
      </c>
      <c r="C109" s="68">
        <f>_xlfn.XLOOKUP(B109,'Detail&lt;Child&gt;'!A:A,'Detail&lt;Child&gt;'!B:B)</f>
        <v/>
      </c>
      <c r="D109" s="68">
        <f>"character_gradeup_"&amp;$B109&amp;"_"&amp;$H109</f>
        <v/>
      </c>
      <c r="E109" s="68" t="inlineStr">
        <is>
          <t>Item</t>
        </is>
      </c>
      <c r="F109" s="68">
        <f>INT(3003&amp;RIGHT(B109,4))</f>
        <v/>
      </c>
      <c r="G109" s="68">
        <f>VLOOKUP($R109, '#등급업 재료 개수'!$A$2:$K$5, MATCH(GradeUp!H109, '#등급업 재료 개수'!$A$2:$K$2, 0), FALSE)</f>
        <v/>
      </c>
      <c r="H109" s="68" t="n">
        <v>6</v>
      </c>
      <c r="I109" s="68" t="n">
        <v>60</v>
      </c>
      <c r="J109" s="68" t="n">
        <v>0</v>
      </c>
      <c r="K109" s="68" t="n">
        <v>0</v>
      </c>
      <c r="L109" s="68" t="inlineStr">
        <is>
          <t>HpRatio</t>
        </is>
      </c>
      <c r="M109" s="68">
        <f>M108+10000</f>
        <v/>
      </c>
      <c r="N109" s="68" t="inlineStr">
        <is>
          <t>AtkRatio</t>
        </is>
      </c>
      <c r="O109" s="68">
        <f>O108+10000</f>
        <v/>
      </c>
      <c r="P109" s="68" t="inlineStr">
        <is>
          <t>DefRatio</t>
        </is>
      </c>
      <c r="Q109" s="68">
        <f>Q108+10000</f>
        <v/>
      </c>
      <c r="R109" s="0">
        <f>_xlfn.XLOOKUP($B109, 'Detail&lt;Child&gt;'!$A:$A, 'Detail&lt;Child&gt;'!$L:$L)</f>
        <v/>
      </c>
    </row>
    <row r="110">
      <c r="A110" s="68">
        <f>B110*100+H110</f>
        <v/>
      </c>
      <c r="B110" s="68" t="n">
        <v>10000002</v>
      </c>
      <c r="C110" s="68">
        <f>_xlfn.XLOOKUP(B110,'Detail&lt;Child&gt;'!A:A,'Detail&lt;Child&gt;'!B:B)</f>
        <v/>
      </c>
      <c r="D110" s="68">
        <f>"character_gradeup_"&amp;$B110&amp;"_"&amp;$H110</f>
        <v/>
      </c>
      <c r="E110" s="68" t="inlineStr">
        <is>
          <t>Item</t>
        </is>
      </c>
      <c r="F110" s="68">
        <f>INT(3003&amp;RIGHT(B110,4))</f>
        <v/>
      </c>
      <c r="G110" s="68">
        <f>VLOOKUP($R110, '#등급업 재료 개수'!$A$2:$K$5, MATCH(GradeUp!H110, '#등급업 재료 개수'!$A$2:$K$2, 0), FALSE)</f>
        <v/>
      </c>
      <c r="H110" s="68" t="n">
        <v>7</v>
      </c>
      <c r="I110" s="68" t="n">
        <v>70</v>
      </c>
      <c r="J110" s="68" t="inlineStr">
        <is>
          <t>Passive</t>
        </is>
      </c>
      <c r="K110" s="68">
        <f>_xlfn.IFNA(VLOOKUP($B110, 'Detail&lt;Child&gt;'!$A:$AW, MATCH(J110, 'Detail&lt;Child&gt;'!$3:$3,0 ), FALSE)+INT($H110/12), 0)+1</f>
        <v/>
      </c>
      <c r="L110" s="68" t="inlineStr">
        <is>
          <t>HpRatio</t>
        </is>
      </c>
      <c r="M110" s="68">
        <f>M109+10000</f>
        <v/>
      </c>
      <c r="N110" s="68" t="inlineStr">
        <is>
          <t>AtkRatio</t>
        </is>
      </c>
      <c r="O110" s="68">
        <f>O109+10000</f>
        <v/>
      </c>
      <c r="P110" s="68" t="inlineStr">
        <is>
          <t>DefRatio</t>
        </is>
      </c>
      <c r="Q110" s="68">
        <f>Q109+10000</f>
        <v/>
      </c>
      <c r="R110" s="0">
        <f>_xlfn.XLOOKUP($B110, 'Detail&lt;Child&gt;'!$A:$A, 'Detail&lt;Child&gt;'!$L:$L)</f>
        <v/>
      </c>
    </row>
    <row r="111">
      <c r="A111" s="68">
        <f>B111*100+H111</f>
        <v/>
      </c>
      <c r="B111" s="68" t="n">
        <v>10000002</v>
      </c>
      <c r="C111" s="68">
        <f>_xlfn.XLOOKUP(B111,'Detail&lt;Child&gt;'!A:A,'Detail&lt;Child&gt;'!B:B)</f>
        <v/>
      </c>
      <c r="D111" s="68">
        <f>"character_gradeup_"&amp;$B111&amp;"_"&amp;$H111</f>
        <v/>
      </c>
      <c r="E111" s="68" t="inlineStr">
        <is>
          <t>Item</t>
        </is>
      </c>
      <c r="F111" s="68">
        <f>INT(3003&amp;RIGHT(B111,4))</f>
        <v/>
      </c>
      <c r="G111" s="68">
        <f>VLOOKUP($R111, '#등급업 재료 개수'!$A$2:$K$5, MATCH(GradeUp!H111, '#등급업 재료 개수'!$A$2:$K$2, 0), FALSE)</f>
        <v/>
      </c>
      <c r="H111" s="68" t="n">
        <v>8</v>
      </c>
      <c r="I111" s="68" t="n">
        <v>80</v>
      </c>
      <c r="J111" s="68" t="n">
        <v>0</v>
      </c>
      <c r="K111" s="68" t="n">
        <v>0</v>
      </c>
      <c r="L111" s="68" t="inlineStr">
        <is>
          <t>HpRatio</t>
        </is>
      </c>
      <c r="M111" s="68">
        <f>M110+10000</f>
        <v/>
      </c>
      <c r="N111" s="68" t="inlineStr">
        <is>
          <t>AtkRatio</t>
        </is>
      </c>
      <c r="O111" s="68">
        <f>O110+10000</f>
        <v/>
      </c>
      <c r="P111" s="68" t="inlineStr">
        <is>
          <t>DefRatio</t>
        </is>
      </c>
      <c r="Q111" s="68">
        <f>Q110+10000</f>
        <v/>
      </c>
      <c r="R111" s="0">
        <f>_xlfn.XLOOKUP($B111, 'Detail&lt;Child&gt;'!$A:$A, 'Detail&lt;Child&gt;'!$L:$L)</f>
        <v/>
      </c>
    </row>
    <row r="112">
      <c r="A112" s="68">
        <f>B112*100+H112</f>
        <v/>
      </c>
      <c r="B112" s="68" t="n">
        <v>10000002</v>
      </c>
      <c r="C112" s="68">
        <f>_xlfn.XLOOKUP(B112,'Detail&lt;Child&gt;'!A:A,'Detail&lt;Child&gt;'!B:B)</f>
        <v/>
      </c>
      <c r="D112" s="68">
        <f>"character_gradeup_"&amp;$B112&amp;"_"&amp;$H112</f>
        <v/>
      </c>
      <c r="E112" s="68" t="inlineStr">
        <is>
          <t>Item</t>
        </is>
      </c>
      <c r="F112" s="68">
        <f>INT(3003&amp;RIGHT(B112,4))</f>
        <v/>
      </c>
      <c r="G112" s="68">
        <f>VLOOKUP($R112, '#등급업 재료 개수'!$A$2:$K$5, MATCH(GradeUp!H112, '#등급업 재료 개수'!$A$2:$K$2, 0), FALSE)</f>
        <v/>
      </c>
      <c r="H112" s="68" t="n">
        <v>9</v>
      </c>
      <c r="I112" s="68" t="n">
        <v>90</v>
      </c>
      <c r="J112" s="68" t="inlineStr">
        <is>
          <t>Ultimate</t>
        </is>
      </c>
      <c r="K112" s="68">
        <f>_xlfn.IFNA(VLOOKUP($B112, 'Detail&lt;Child&gt;'!$A:$AW, MATCH(J112, 'Detail&lt;Child&gt;'!$3:$3,0 ), FALSE)+INT($H112/12), 0)+1</f>
        <v/>
      </c>
      <c r="L112" s="68" t="inlineStr">
        <is>
          <t>HpRatio</t>
        </is>
      </c>
      <c r="M112" s="68">
        <f>M111+10000</f>
        <v/>
      </c>
      <c r="N112" s="68" t="inlineStr">
        <is>
          <t>AtkRatio</t>
        </is>
      </c>
      <c r="O112" s="68">
        <f>O111+10000</f>
        <v/>
      </c>
      <c r="P112" s="68" t="inlineStr">
        <is>
          <t>DefRatio</t>
        </is>
      </c>
      <c r="Q112" s="68">
        <f>Q111+10000</f>
        <v/>
      </c>
      <c r="R112" s="0">
        <f>_xlfn.XLOOKUP($B112, 'Detail&lt;Child&gt;'!$A:$A, 'Detail&lt;Child&gt;'!$L:$L)</f>
        <v/>
      </c>
    </row>
    <row r="113">
      <c r="A113" s="68">
        <f>B113*100+H113</f>
        <v/>
      </c>
      <c r="B113" s="68" t="n">
        <v>10000002</v>
      </c>
      <c r="C113" s="68">
        <f>_xlfn.XLOOKUP(B113,'Detail&lt;Child&gt;'!A:A,'Detail&lt;Child&gt;'!B:B)</f>
        <v/>
      </c>
      <c r="D113" s="68">
        <f>"character_gradeup_"&amp;$B113&amp;"_"&amp;$H113</f>
        <v/>
      </c>
      <c r="E113" s="68" t="inlineStr">
        <is>
          <t>Item</t>
        </is>
      </c>
      <c r="F113" s="68">
        <f>INT(3003&amp;RIGHT(B113,4))</f>
        <v/>
      </c>
      <c r="G113" s="68">
        <f>VLOOKUP($R113, '#등급업 재료 개수'!$A$2:$K$5, MATCH(GradeUp!H113, '#등급업 재료 개수'!$A$2:$K$2, 0), FALSE)</f>
        <v/>
      </c>
      <c r="H113" s="68" t="n">
        <v>10</v>
      </c>
      <c r="I113" s="68" t="n">
        <v>100</v>
      </c>
      <c r="J113" s="68" t="n">
        <v>0</v>
      </c>
      <c r="K113" s="68" t="n">
        <v>0</v>
      </c>
      <c r="L113" s="68" t="inlineStr">
        <is>
          <t>HpRatio</t>
        </is>
      </c>
      <c r="M113" s="68">
        <f>M112+10000</f>
        <v/>
      </c>
      <c r="N113" s="68" t="inlineStr">
        <is>
          <t>AtkRatio</t>
        </is>
      </c>
      <c r="O113" s="68">
        <f>O112+10000</f>
        <v/>
      </c>
      <c r="P113" s="68" t="inlineStr">
        <is>
          <t>DefRatio</t>
        </is>
      </c>
      <c r="Q113" s="68">
        <f>Q112+10000</f>
        <v/>
      </c>
      <c r="R113" s="0">
        <f>_xlfn.XLOOKUP($B113, 'Detail&lt;Child&gt;'!$A:$A, 'Detail&lt;Child&gt;'!$L:$L)</f>
        <v/>
      </c>
    </row>
    <row r="114">
      <c r="A114" s="68">
        <f>B114*100+H114</f>
        <v/>
      </c>
      <c r="B114" s="68" t="n">
        <v>10000417</v>
      </c>
      <c r="C114" s="68">
        <f>_xlfn.XLOOKUP(B114,'Detail&lt;Child&gt;'!A:A,'Detail&lt;Child&gt;'!B:B)</f>
        <v/>
      </c>
      <c r="D114" s="68">
        <f>"character_gradeup_"&amp;$B114&amp;"_"&amp;$H114</f>
        <v/>
      </c>
      <c r="E114" s="68" t="inlineStr">
        <is>
          <t>Item</t>
        </is>
      </c>
      <c r="F114" s="68">
        <f>INT(3003&amp;RIGHT(B114,4))</f>
        <v/>
      </c>
      <c r="G114" s="68">
        <f>VLOOKUP($R114, '#등급업 재료 개수'!$A$2:$K$5, MATCH(GradeUp!H114, '#등급업 재료 개수'!$A$2:$K$2, 0), FALSE)</f>
        <v/>
      </c>
      <c r="H114" s="68" t="n">
        <v>1</v>
      </c>
      <c r="I114" s="68" t="n">
        <v>10</v>
      </c>
      <c r="J114" s="68" t="n">
        <v>0</v>
      </c>
      <c r="K114" s="68" t="n">
        <v>0</v>
      </c>
      <c r="L114" s="68" t="inlineStr">
        <is>
          <t>HpRatio</t>
        </is>
      </c>
      <c r="M114" s="68" t="n">
        <v>0</v>
      </c>
      <c r="N114" s="68" t="inlineStr">
        <is>
          <t>AtkRatio</t>
        </is>
      </c>
      <c r="O114" s="68" t="n">
        <v>0</v>
      </c>
      <c r="P114" s="68" t="inlineStr">
        <is>
          <t>DefRatio</t>
        </is>
      </c>
      <c r="Q114" s="68" t="n">
        <v>0</v>
      </c>
      <c r="R114" s="0">
        <f>_xlfn.XLOOKUP($B114, 'Detail&lt;Child&gt;'!$A:$A, 'Detail&lt;Child&gt;'!$L:$L)</f>
        <v/>
      </c>
    </row>
    <row r="115">
      <c r="A115" s="68">
        <f>B115*100+H115</f>
        <v/>
      </c>
      <c r="B115" s="68" t="n">
        <v>10000417</v>
      </c>
      <c r="C115" s="68">
        <f>_xlfn.XLOOKUP(B115,'Detail&lt;Child&gt;'!A:A,'Detail&lt;Child&gt;'!B:B)</f>
        <v/>
      </c>
      <c r="D115" s="68">
        <f>"character_gradeup_"&amp;$B115&amp;"_"&amp;$H115</f>
        <v/>
      </c>
      <c r="E115" s="68" t="inlineStr">
        <is>
          <t>Item</t>
        </is>
      </c>
      <c r="F115" s="68">
        <f>INT(3003&amp;RIGHT(B115,4))</f>
        <v/>
      </c>
      <c r="G115" s="68">
        <f>VLOOKUP($R115, '#등급업 재료 개수'!$A$2:$K$5, MATCH(GradeUp!H115, '#등급업 재료 개수'!$A$2:$K$2, 0), FALSE)</f>
        <v/>
      </c>
      <c r="H115" s="68" t="n">
        <v>2</v>
      </c>
      <c r="I115" s="68" t="n">
        <v>20</v>
      </c>
      <c r="J115" s="68" t="inlineStr">
        <is>
          <t>Active</t>
        </is>
      </c>
      <c r="K115" s="68">
        <f>_xlfn.IFNA(VLOOKUP($B115, 'Detail&lt;Child&gt;'!$A:$AW, MATCH(J115, 'Detail&lt;Child&gt;'!$3:$3,0 ), FALSE)+INT($H115/12), 0)</f>
        <v/>
      </c>
      <c r="L115" s="68" t="inlineStr">
        <is>
          <t>HpRatio</t>
        </is>
      </c>
      <c r="M115" s="68" t="n">
        <v>0</v>
      </c>
      <c r="N115" s="68" t="inlineStr">
        <is>
          <t>AtkRatio</t>
        </is>
      </c>
      <c r="O115" s="68" t="n">
        <v>0</v>
      </c>
      <c r="P115" s="68" t="inlineStr">
        <is>
          <t>DefRatio</t>
        </is>
      </c>
      <c r="Q115" s="68" t="n">
        <v>0</v>
      </c>
      <c r="R115" s="0">
        <f>_xlfn.XLOOKUP($B115, 'Detail&lt;Child&gt;'!$A:$A, 'Detail&lt;Child&gt;'!$L:$L)</f>
        <v/>
      </c>
    </row>
    <row r="116">
      <c r="A116" s="68">
        <f>B116*100+H116</f>
        <v/>
      </c>
      <c r="B116" s="68" t="n">
        <v>10000417</v>
      </c>
      <c r="C116" s="68">
        <f>_xlfn.XLOOKUP(B116,'Detail&lt;Child&gt;'!A:A,'Detail&lt;Child&gt;'!B:B)</f>
        <v/>
      </c>
      <c r="D116" s="68">
        <f>"character_gradeup_"&amp;$B116&amp;"_"&amp;$H116</f>
        <v/>
      </c>
      <c r="E116" s="68" t="inlineStr">
        <is>
          <t>Item</t>
        </is>
      </c>
      <c r="F116" s="68">
        <f>INT(3003&amp;RIGHT(B116,4))</f>
        <v/>
      </c>
      <c r="G116" s="68">
        <f>VLOOKUP($R116, '#등급업 재료 개수'!$A$2:$K$5, MATCH(GradeUp!H116, '#등급업 재료 개수'!$A$2:$K$2, 0), FALSE)</f>
        <v/>
      </c>
      <c r="H116" s="68" t="n">
        <v>3</v>
      </c>
      <c r="I116" s="68" t="n">
        <v>30</v>
      </c>
      <c r="J116" s="68" t="n">
        <v>0</v>
      </c>
      <c r="K116" s="68" t="n">
        <v>0</v>
      </c>
      <c r="L116" s="68" t="inlineStr">
        <is>
          <t>HpRatio</t>
        </is>
      </c>
      <c r="M116" s="68" t="n">
        <v>0</v>
      </c>
      <c r="N116" s="68" t="inlineStr">
        <is>
          <t>AtkRatio</t>
        </is>
      </c>
      <c r="O116" s="68" t="n">
        <v>0</v>
      </c>
      <c r="P116" s="68" t="inlineStr">
        <is>
          <t>DefRatio</t>
        </is>
      </c>
      <c r="Q116" s="68" t="n">
        <v>0</v>
      </c>
      <c r="R116" s="0">
        <f>_xlfn.XLOOKUP($B116, 'Detail&lt;Child&gt;'!$A:$A, 'Detail&lt;Child&gt;'!$L:$L)</f>
        <v/>
      </c>
    </row>
    <row r="117">
      <c r="A117" s="68">
        <f>B117*100+H117</f>
        <v/>
      </c>
      <c r="B117" s="68" t="n">
        <v>10000417</v>
      </c>
      <c r="C117" s="68">
        <f>_xlfn.XLOOKUP(B117,'Detail&lt;Child&gt;'!A:A,'Detail&lt;Child&gt;'!B:B)</f>
        <v/>
      </c>
      <c r="D117" s="68">
        <f>"character_gradeup_"&amp;$B117&amp;"_"&amp;$H117</f>
        <v/>
      </c>
      <c r="E117" s="68" t="inlineStr">
        <is>
          <t>Item</t>
        </is>
      </c>
      <c r="F117" s="68">
        <f>INT(3003&amp;RIGHT(B117,4))</f>
        <v/>
      </c>
      <c r="G117" s="68">
        <f>VLOOKUP($R117, '#등급업 재료 개수'!$A$2:$K$5, MATCH(GradeUp!H117, '#등급업 재료 개수'!$A$2:$K$2, 0), FALSE)</f>
        <v/>
      </c>
      <c r="H117" s="68" t="n">
        <v>4</v>
      </c>
      <c r="I117" s="68" t="n">
        <v>40</v>
      </c>
      <c r="J117" s="68" t="inlineStr">
        <is>
          <t>Passive</t>
        </is>
      </c>
      <c r="K117" s="68">
        <f>_xlfn.IFNA(VLOOKUP($B117, 'Detail&lt;Child&gt;'!$A:$AW, MATCH(J117, 'Detail&lt;Child&gt;'!$3:$3,0 ), FALSE)+INT($H117/12), 0)</f>
        <v/>
      </c>
      <c r="L117" s="68" t="inlineStr">
        <is>
          <t>HpRatio</t>
        </is>
      </c>
      <c r="M117" s="68" t="n">
        <v>10000</v>
      </c>
      <c r="N117" s="68" t="inlineStr">
        <is>
          <t>AtkRatio</t>
        </is>
      </c>
      <c r="O117" s="68" t="n">
        <v>10000</v>
      </c>
      <c r="P117" s="68" t="inlineStr">
        <is>
          <t>DefRatio</t>
        </is>
      </c>
      <c r="Q117" s="68" t="n">
        <v>10000</v>
      </c>
      <c r="R117" s="0">
        <f>_xlfn.XLOOKUP($B117, 'Detail&lt;Child&gt;'!$A:$A, 'Detail&lt;Child&gt;'!$L:$L)</f>
        <v/>
      </c>
    </row>
    <row r="118">
      <c r="A118" s="68">
        <f>B118*100+H118</f>
        <v/>
      </c>
      <c r="B118" s="68" t="n">
        <v>10000417</v>
      </c>
      <c r="C118" s="68">
        <f>_xlfn.XLOOKUP(B118,'Detail&lt;Child&gt;'!A:A,'Detail&lt;Child&gt;'!B:B)</f>
        <v/>
      </c>
      <c r="D118" s="68">
        <f>"character_gradeup_"&amp;$B118&amp;"_"&amp;$H118</f>
        <v/>
      </c>
      <c r="E118" s="68" t="inlineStr">
        <is>
          <t>Item</t>
        </is>
      </c>
      <c r="F118" s="68">
        <f>INT(3003&amp;RIGHT(B118,4))</f>
        <v/>
      </c>
      <c r="G118" s="68">
        <f>VLOOKUP($R118, '#등급업 재료 개수'!$A$2:$K$5, MATCH(GradeUp!H118, '#등급업 재료 개수'!$A$2:$K$2, 0), FALSE)</f>
        <v/>
      </c>
      <c r="H118" s="68" t="n">
        <v>5</v>
      </c>
      <c r="I118" s="68" t="n">
        <v>50</v>
      </c>
      <c r="J118" s="68" t="inlineStr">
        <is>
          <t>Active</t>
        </is>
      </c>
      <c r="K118" s="68">
        <f>_xlfn.IFNA(VLOOKUP($B118, 'Detail&lt;Child&gt;'!$A:$AW, MATCH(J118, 'Detail&lt;Child&gt;'!$3:$3,0 ), FALSE)+INT($H118/12), 0)+1</f>
        <v/>
      </c>
      <c r="L118" s="68" t="inlineStr">
        <is>
          <t>HpRatio</t>
        </is>
      </c>
      <c r="M118" s="68">
        <f>M117+10000</f>
        <v/>
      </c>
      <c r="N118" s="68" t="inlineStr">
        <is>
          <t>AtkRatio</t>
        </is>
      </c>
      <c r="O118" s="68">
        <f>O117+10000</f>
        <v/>
      </c>
      <c r="P118" s="68" t="inlineStr">
        <is>
          <t>DefRatio</t>
        </is>
      </c>
      <c r="Q118" s="68">
        <f>Q117+10000</f>
        <v/>
      </c>
      <c r="R118" s="0">
        <f>_xlfn.XLOOKUP($B118, 'Detail&lt;Child&gt;'!$A:$A, 'Detail&lt;Child&gt;'!$L:$L)</f>
        <v/>
      </c>
    </row>
    <row r="119">
      <c r="A119" s="68">
        <f>B119*100+H119</f>
        <v/>
      </c>
      <c r="B119" s="68" t="n">
        <v>10000417</v>
      </c>
      <c r="C119" s="68">
        <f>_xlfn.XLOOKUP(B119,'Detail&lt;Child&gt;'!A:A,'Detail&lt;Child&gt;'!B:B)</f>
        <v/>
      </c>
      <c r="D119" s="68">
        <f>"character_gradeup_"&amp;$B119&amp;"_"&amp;$H119</f>
        <v/>
      </c>
      <c r="E119" s="68" t="inlineStr">
        <is>
          <t>Item</t>
        </is>
      </c>
      <c r="F119" s="68">
        <f>INT(3003&amp;RIGHT(B119,4))</f>
        <v/>
      </c>
      <c r="G119" s="68">
        <f>VLOOKUP($R119, '#등급업 재료 개수'!$A$2:$K$5, MATCH(GradeUp!H119, '#등급업 재료 개수'!$A$2:$K$2, 0), FALSE)</f>
        <v/>
      </c>
      <c r="H119" s="68" t="n">
        <v>6</v>
      </c>
      <c r="I119" s="68" t="n">
        <v>60</v>
      </c>
      <c r="J119" s="68" t="n">
        <v>0</v>
      </c>
      <c r="K119" s="68" t="n">
        <v>0</v>
      </c>
      <c r="L119" s="68" t="inlineStr">
        <is>
          <t>HpRatio</t>
        </is>
      </c>
      <c r="M119" s="68">
        <f>M118+10000</f>
        <v/>
      </c>
      <c r="N119" s="68" t="inlineStr">
        <is>
          <t>AtkRatio</t>
        </is>
      </c>
      <c r="O119" s="68">
        <f>O118+10000</f>
        <v/>
      </c>
      <c r="P119" s="68" t="inlineStr">
        <is>
          <t>DefRatio</t>
        </is>
      </c>
      <c r="Q119" s="68">
        <f>Q118+10000</f>
        <v/>
      </c>
      <c r="R119" s="0">
        <f>_xlfn.XLOOKUP($B119, 'Detail&lt;Child&gt;'!$A:$A, 'Detail&lt;Child&gt;'!$L:$L)</f>
        <v/>
      </c>
    </row>
    <row r="120">
      <c r="A120" s="68">
        <f>B120*100+H120</f>
        <v/>
      </c>
      <c r="B120" s="68" t="n">
        <v>10000417</v>
      </c>
      <c r="C120" s="68">
        <f>_xlfn.XLOOKUP(B120,'Detail&lt;Child&gt;'!A:A,'Detail&lt;Child&gt;'!B:B)</f>
        <v/>
      </c>
      <c r="D120" s="68">
        <f>"character_gradeup_"&amp;$B120&amp;"_"&amp;$H120</f>
        <v/>
      </c>
      <c r="E120" s="68" t="inlineStr">
        <is>
          <t>Item</t>
        </is>
      </c>
      <c r="F120" s="68">
        <f>INT(3003&amp;RIGHT(B120,4))</f>
        <v/>
      </c>
      <c r="G120" s="68">
        <f>VLOOKUP($R120, '#등급업 재료 개수'!$A$2:$K$5, MATCH(GradeUp!H120, '#등급업 재료 개수'!$A$2:$K$2, 0), FALSE)</f>
        <v/>
      </c>
      <c r="H120" s="68" t="n">
        <v>7</v>
      </c>
      <c r="I120" s="68" t="n">
        <v>70</v>
      </c>
      <c r="J120" s="68" t="inlineStr">
        <is>
          <t>Passive</t>
        </is>
      </c>
      <c r="K120" s="68">
        <f>_xlfn.IFNA(VLOOKUP($B120, 'Detail&lt;Child&gt;'!$A:$AW, MATCH(J120, 'Detail&lt;Child&gt;'!$3:$3,0 ), FALSE)+INT($H120/12), 0)+1</f>
        <v/>
      </c>
      <c r="L120" s="68" t="inlineStr">
        <is>
          <t>HpRatio</t>
        </is>
      </c>
      <c r="M120" s="68">
        <f>M119+10000</f>
        <v/>
      </c>
      <c r="N120" s="68" t="inlineStr">
        <is>
          <t>AtkRatio</t>
        </is>
      </c>
      <c r="O120" s="68">
        <f>O119+10000</f>
        <v/>
      </c>
      <c r="P120" s="68" t="inlineStr">
        <is>
          <t>DefRatio</t>
        </is>
      </c>
      <c r="Q120" s="68">
        <f>Q119+10000</f>
        <v/>
      </c>
      <c r="R120" s="0">
        <f>_xlfn.XLOOKUP($B120, 'Detail&lt;Child&gt;'!$A:$A, 'Detail&lt;Child&gt;'!$L:$L)</f>
        <v/>
      </c>
    </row>
    <row r="121">
      <c r="A121" s="68">
        <f>B121*100+H121</f>
        <v/>
      </c>
      <c r="B121" s="68" t="n">
        <v>10000417</v>
      </c>
      <c r="C121" s="68">
        <f>_xlfn.XLOOKUP(B121,'Detail&lt;Child&gt;'!A:A,'Detail&lt;Child&gt;'!B:B)</f>
        <v/>
      </c>
      <c r="D121" s="68">
        <f>"character_gradeup_"&amp;$B121&amp;"_"&amp;$H121</f>
        <v/>
      </c>
      <c r="E121" s="68" t="inlineStr">
        <is>
          <t>Item</t>
        </is>
      </c>
      <c r="F121" s="68">
        <f>INT(3003&amp;RIGHT(B121,4))</f>
        <v/>
      </c>
      <c r="G121" s="68">
        <f>VLOOKUP($R121, '#등급업 재료 개수'!$A$2:$K$5, MATCH(GradeUp!H121, '#등급업 재료 개수'!$A$2:$K$2, 0), FALSE)</f>
        <v/>
      </c>
      <c r="H121" s="68" t="n">
        <v>8</v>
      </c>
      <c r="I121" s="68" t="n">
        <v>80</v>
      </c>
      <c r="J121" s="68" t="n">
        <v>0</v>
      </c>
      <c r="K121" s="68" t="n">
        <v>0</v>
      </c>
      <c r="L121" s="68" t="inlineStr">
        <is>
          <t>HpRatio</t>
        </is>
      </c>
      <c r="M121" s="68">
        <f>M120+10000</f>
        <v/>
      </c>
      <c r="N121" s="68" t="inlineStr">
        <is>
          <t>AtkRatio</t>
        </is>
      </c>
      <c r="O121" s="68">
        <f>O120+10000</f>
        <v/>
      </c>
      <c r="P121" s="68" t="inlineStr">
        <is>
          <t>DefRatio</t>
        </is>
      </c>
      <c r="Q121" s="68">
        <f>Q120+10000</f>
        <v/>
      </c>
      <c r="R121" s="0">
        <f>_xlfn.XLOOKUP($B121, 'Detail&lt;Child&gt;'!$A:$A, 'Detail&lt;Child&gt;'!$L:$L)</f>
        <v/>
      </c>
    </row>
    <row r="122">
      <c r="A122" s="68">
        <f>B122*100+H122</f>
        <v/>
      </c>
      <c r="B122" s="68" t="n">
        <v>10000417</v>
      </c>
      <c r="C122" s="68">
        <f>_xlfn.XLOOKUP(B122,'Detail&lt;Child&gt;'!A:A,'Detail&lt;Child&gt;'!B:B)</f>
        <v/>
      </c>
      <c r="D122" s="68">
        <f>"character_gradeup_"&amp;$B122&amp;"_"&amp;$H122</f>
        <v/>
      </c>
      <c r="E122" s="68" t="inlineStr">
        <is>
          <t>Item</t>
        </is>
      </c>
      <c r="F122" s="68">
        <f>INT(3003&amp;RIGHT(B122,4))</f>
        <v/>
      </c>
      <c r="G122" s="68">
        <f>VLOOKUP($R122, '#등급업 재료 개수'!$A$2:$K$5, MATCH(GradeUp!H122, '#등급업 재료 개수'!$A$2:$K$2, 0), FALSE)</f>
        <v/>
      </c>
      <c r="H122" s="68" t="n">
        <v>9</v>
      </c>
      <c r="I122" s="68" t="n">
        <v>90</v>
      </c>
      <c r="J122" s="68" t="inlineStr">
        <is>
          <t>Ultimate</t>
        </is>
      </c>
      <c r="K122" s="68">
        <f>_xlfn.IFNA(VLOOKUP($B122, 'Detail&lt;Child&gt;'!$A:$AW, MATCH(J122, 'Detail&lt;Child&gt;'!$3:$3,0 ), FALSE)+INT($H122/12), 0)+1</f>
        <v/>
      </c>
      <c r="L122" s="68" t="inlineStr">
        <is>
          <t>HpRatio</t>
        </is>
      </c>
      <c r="M122" s="68">
        <f>M121+10000</f>
        <v/>
      </c>
      <c r="N122" s="68" t="inlineStr">
        <is>
          <t>AtkRatio</t>
        </is>
      </c>
      <c r="O122" s="68">
        <f>O121+10000</f>
        <v/>
      </c>
      <c r="P122" s="68" t="inlineStr">
        <is>
          <t>DefRatio</t>
        </is>
      </c>
      <c r="Q122" s="68">
        <f>Q121+10000</f>
        <v/>
      </c>
      <c r="R122" s="0">
        <f>_xlfn.XLOOKUP($B122, 'Detail&lt;Child&gt;'!$A:$A, 'Detail&lt;Child&gt;'!$L:$L)</f>
        <v/>
      </c>
    </row>
    <row r="123">
      <c r="A123" s="68">
        <f>B123*100+H123</f>
        <v/>
      </c>
      <c r="B123" s="68" t="n">
        <v>10000417</v>
      </c>
      <c r="C123" s="68">
        <f>_xlfn.XLOOKUP(B123,'Detail&lt;Child&gt;'!A:A,'Detail&lt;Child&gt;'!B:B)</f>
        <v/>
      </c>
      <c r="D123" s="68">
        <f>"character_gradeup_"&amp;$B123&amp;"_"&amp;$H123</f>
        <v/>
      </c>
      <c r="E123" s="68" t="inlineStr">
        <is>
          <t>Item</t>
        </is>
      </c>
      <c r="F123" s="68">
        <f>INT(3003&amp;RIGHT(B123,4))</f>
        <v/>
      </c>
      <c r="G123" s="68">
        <f>VLOOKUP($R123, '#등급업 재료 개수'!$A$2:$K$5, MATCH(GradeUp!H123, '#등급업 재료 개수'!$A$2:$K$2, 0), FALSE)</f>
        <v/>
      </c>
      <c r="H123" s="68" t="n">
        <v>10</v>
      </c>
      <c r="I123" s="68" t="n">
        <v>100</v>
      </c>
      <c r="J123" s="68" t="n">
        <v>0</v>
      </c>
      <c r="K123" s="68" t="n">
        <v>0</v>
      </c>
      <c r="L123" s="68" t="inlineStr">
        <is>
          <t>HpRatio</t>
        </is>
      </c>
      <c r="M123" s="68">
        <f>M122+10000</f>
        <v/>
      </c>
      <c r="N123" s="68" t="inlineStr">
        <is>
          <t>AtkRatio</t>
        </is>
      </c>
      <c r="O123" s="68">
        <f>O122+10000</f>
        <v/>
      </c>
      <c r="P123" s="68" t="inlineStr">
        <is>
          <t>DefRatio</t>
        </is>
      </c>
      <c r="Q123" s="68">
        <f>Q122+10000</f>
        <v/>
      </c>
      <c r="R123" s="0">
        <f>_xlfn.XLOOKUP($B123, 'Detail&lt;Child&gt;'!$A:$A, 'Detail&lt;Child&gt;'!$L:$L)</f>
        <v/>
      </c>
    </row>
    <row r="124">
      <c r="A124" s="68">
        <f>B124*100+H124</f>
        <v/>
      </c>
      <c r="B124" s="68" t="n">
        <v>10000432</v>
      </c>
      <c r="C124" s="68">
        <f>_xlfn.XLOOKUP(B124,'Detail&lt;Child&gt;'!A:A,'Detail&lt;Child&gt;'!B:B)</f>
        <v/>
      </c>
      <c r="D124" s="68">
        <f>"character_gradeup_"&amp;$B124&amp;"_"&amp;$H124</f>
        <v/>
      </c>
      <c r="E124" s="68" t="inlineStr">
        <is>
          <t>Item</t>
        </is>
      </c>
      <c r="F124" s="68">
        <f>INT(3003&amp;RIGHT(B124,4))</f>
        <v/>
      </c>
      <c r="G124" s="68">
        <f>VLOOKUP($R124, '#등급업 재료 개수'!$A$2:$K$5, MATCH(GradeUp!H124, '#등급업 재료 개수'!$A$2:$K$2, 0), FALSE)</f>
        <v/>
      </c>
      <c r="H124" s="68" t="n">
        <v>1</v>
      </c>
      <c r="I124" s="68" t="n">
        <v>10</v>
      </c>
      <c r="J124" s="68" t="n">
        <v>0</v>
      </c>
      <c r="K124" s="68" t="n">
        <v>0</v>
      </c>
      <c r="L124" s="68" t="inlineStr">
        <is>
          <t>HpRatio</t>
        </is>
      </c>
      <c r="M124" s="68" t="n">
        <v>0</v>
      </c>
      <c r="N124" s="68" t="inlineStr">
        <is>
          <t>AtkRatio</t>
        </is>
      </c>
      <c r="O124" s="68" t="n">
        <v>0</v>
      </c>
      <c r="P124" s="68" t="inlineStr">
        <is>
          <t>DefRatio</t>
        </is>
      </c>
      <c r="Q124" s="68" t="n">
        <v>0</v>
      </c>
      <c r="R124" s="0">
        <f>_xlfn.XLOOKUP($B124, 'Detail&lt;Child&gt;'!$A:$A, 'Detail&lt;Child&gt;'!$L:$L)</f>
        <v/>
      </c>
    </row>
    <row r="125">
      <c r="A125" s="68">
        <f>B125*100+H125</f>
        <v/>
      </c>
      <c r="B125" s="68" t="n">
        <v>10000432</v>
      </c>
      <c r="C125" s="68">
        <f>_xlfn.XLOOKUP(B125,'Detail&lt;Child&gt;'!A:A,'Detail&lt;Child&gt;'!B:B)</f>
        <v/>
      </c>
      <c r="D125" s="68">
        <f>"character_gradeup_"&amp;$B125&amp;"_"&amp;$H125</f>
        <v/>
      </c>
      <c r="E125" s="68" t="inlineStr">
        <is>
          <t>Item</t>
        </is>
      </c>
      <c r="F125" s="68">
        <f>INT(3003&amp;RIGHT(B125,4))</f>
        <v/>
      </c>
      <c r="G125" s="68">
        <f>VLOOKUP($R125, '#등급업 재료 개수'!$A$2:$K$5, MATCH(GradeUp!H125, '#등급업 재료 개수'!$A$2:$K$2, 0), FALSE)</f>
        <v/>
      </c>
      <c r="H125" s="68" t="n">
        <v>2</v>
      </c>
      <c r="I125" s="68" t="n">
        <v>20</v>
      </c>
      <c r="J125" s="68" t="inlineStr">
        <is>
          <t>Active</t>
        </is>
      </c>
      <c r="K125" s="68">
        <f>_xlfn.IFNA(VLOOKUP($B125, 'Detail&lt;Child&gt;'!$A:$AW, MATCH(J125, 'Detail&lt;Child&gt;'!$3:$3,0 ), FALSE)+INT($H125/12), 0)</f>
        <v/>
      </c>
      <c r="L125" s="68" t="inlineStr">
        <is>
          <t>HpRatio</t>
        </is>
      </c>
      <c r="M125" s="68" t="n">
        <v>0</v>
      </c>
      <c r="N125" s="68" t="inlineStr">
        <is>
          <t>AtkRatio</t>
        </is>
      </c>
      <c r="O125" s="68" t="n">
        <v>0</v>
      </c>
      <c r="P125" s="68" t="inlineStr">
        <is>
          <t>DefRatio</t>
        </is>
      </c>
      <c r="Q125" s="68" t="n">
        <v>0</v>
      </c>
      <c r="R125" s="0">
        <f>_xlfn.XLOOKUP($B125, 'Detail&lt;Child&gt;'!$A:$A, 'Detail&lt;Child&gt;'!$L:$L)</f>
        <v/>
      </c>
    </row>
    <row r="126">
      <c r="A126" s="68">
        <f>B126*100+H126</f>
        <v/>
      </c>
      <c r="B126" s="68" t="n">
        <v>10000432</v>
      </c>
      <c r="C126" s="68">
        <f>_xlfn.XLOOKUP(B126,'Detail&lt;Child&gt;'!A:A,'Detail&lt;Child&gt;'!B:B)</f>
        <v/>
      </c>
      <c r="D126" s="68">
        <f>"character_gradeup_"&amp;$B126&amp;"_"&amp;$H126</f>
        <v/>
      </c>
      <c r="E126" s="68" t="inlineStr">
        <is>
          <t>Item</t>
        </is>
      </c>
      <c r="F126" s="68">
        <f>INT(3003&amp;RIGHT(B126,4))</f>
        <v/>
      </c>
      <c r="G126" s="68">
        <f>VLOOKUP($R126, '#등급업 재료 개수'!$A$2:$K$5, MATCH(GradeUp!H126, '#등급업 재료 개수'!$A$2:$K$2, 0), FALSE)</f>
        <v/>
      </c>
      <c r="H126" s="68" t="n">
        <v>3</v>
      </c>
      <c r="I126" s="68" t="n">
        <v>30</v>
      </c>
      <c r="J126" s="68" t="n">
        <v>0</v>
      </c>
      <c r="K126" s="68" t="n">
        <v>0</v>
      </c>
      <c r="L126" s="68" t="inlineStr">
        <is>
          <t>HpRatio</t>
        </is>
      </c>
      <c r="M126" s="68" t="n">
        <v>10000</v>
      </c>
      <c r="N126" s="68" t="inlineStr">
        <is>
          <t>AtkRatio</t>
        </is>
      </c>
      <c r="O126" s="68" t="n">
        <v>10000</v>
      </c>
      <c r="P126" s="68" t="inlineStr">
        <is>
          <t>DefRatio</t>
        </is>
      </c>
      <c r="Q126" s="68" t="n">
        <v>10000</v>
      </c>
      <c r="R126" s="0">
        <f>_xlfn.XLOOKUP($B126, 'Detail&lt;Child&gt;'!$A:$A, 'Detail&lt;Child&gt;'!$L:$L)</f>
        <v/>
      </c>
    </row>
    <row r="127">
      <c r="A127" s="68">
        <f>B127*100+H127</f>
        <v/>
      </c>
      <c r="B127" s="68" t="n">
        <v>10000432</v>
      </c>
      <c r="C127" s="68">
        <f>_xlfn.XLOOKUP(B127,'Detail&lt;Child&gt;'!A:A,'Detail&lt;Child&gt;'!B:B)</f>
        <v/>
      </c>
      <c r="D127" s="68">
        <f>"character_gradeup_"&amp;$B127&amp;"_"&amp;$H127</f>
        <v/>
      </c>
      <c r="E127" s="68" t="inlineStr">
        <is>
          <t>Item</t>
        </is>
      </c>
      <c r="F127" s="68">
        <f>INT(3003&amp;RIGHT(B127,4))</f>
        <v/>
      </c>
      <c r="G127" s="68">
        <f>VLOOKUP($R127, '#등급업 재료 개수'!$A$2:$K$5, MATCH(GradeUp!H127, '#등급업 재료 개수'!$A$2:$K$2, 0), FALSE)</f>
        <v/>
      </c>
      <c r="H127" s="68" t="n">
        <v>4</v>
      </c>
      <c r="I127" s="68" t="n">
        <v>40</v>
      </c>
      <c r="J127" s="68" t="inlineStr">
        <is>
          <t>Passive</t>
        </is>
      </c>
      <c r="K127" s="68">
        <f>_xlfn.IFNA(VLOOKUP($B127, 'Detail&lt;Child&gt;'!$A:$AW, MATCH(J127, 'Detail&lt;Child&gt;'!$3:$3,0 ), FALSE)+INT($H127/12), 0)</f>
        <v/>
      </c>
      <c r="L127" s="68" t="inlineStr">
        <is>
          <t>HpRatio</t>
        </is>
      </c>
      <c r="M127" s="68">
        <f>M126+10000</f>
        <v/>
      </c>
      <c r="N127" s="68" t="inlineStr">
        <is>
          <t>AtkRatio</t>
        </is>
      </c>
      <c r="O127" s="68">
        <f>O126+10000</f>
        <v/>
      </c>
      <c r="P127" s="68" t="inlineStr">
        <is>
          <t>DefRatio</t>
        </is>
      </c>
      <c r="Q127" s="68">
        <f>Q126+10000</f>
        <v/>
      </c>
      <c r="R127" s="0">
        <f>_xlfn.XLOOKUP($B127, 'Detail&lt;Child&gt;'!$A:$A, 'Detail&lt;Child&gt;'!$L:$L)</f>
        <v/>
      </c>
    </row>
    <row r="128">
      <c r="A128" s="68">
        <f>B128*100+H128</f>
        <v/>
      </c>
      <c r="B128" s="68" t="n">
        <v>10000432</v>
      </c>
      <c r="C128" s="68">
        <f>_xlfn.XLOOKUP(B128,'Detail&lt;Child&gt;'!A:A,'Detail&lt;Child&gt;'!B:B)</f>
        <v/>
      </c>
      <c r="D128" s="68">
        <f>"character_gradeup_"&amp;$B128&amp;"_"&amp;$H128</f>
        <v/>
      </c>
      <c r="E128" s="68" t="inlineStr">
        <is>
          <t>Item</t>
        </is>
      </c>
      <c r="F128" s="68">
        <f>INT(3003&amp;RIGHT(B128,4))</f>
        <v/>
      </c>
      <c r="G128" s="68">
        <f>VLOOKUP($R128, '#등급업 재료 개수'!$A$2:$K$5, MATCH(GradeUp!H128, '#등급업 재료 개수'!$A$2:$K$2, 0), FALSE)</f>
        <v/>
      </c>
      <c r="H128" s="68" t="n">
        <v>5</v>
      </c>
      <c r="I128" s="68" t="n">
        <v>50</v>
      </c>
      <c r="J128" s="68" t="inlineStr">
        <is>
          <t>Active</t>
        </is>
      </c>
      <c r="K128" s="68">
        <f>_xlfn.IFNA(VLOOKUP($B128, 'Detail&lt;Child&gt;'!$A:$AW, MATCH(J128, 'Detail&lt;Child&gt;'!$3:$3,0 ), FALSE)+INT($H128/12), 0)+1</f>
        <v/>
      </c>
      <c r="L128" s="68" t="inlineStr">
        <is>
          <t>HpRatio</t>
        </is>
      </c>
      <c r="M128" s="68">
        <f>M127+10000</f>
        <v/>
      </c>
      <c r="N128" s="68" t="inlineStr">
        <is>
          <t>AtkRatio</t>
        </is>
      </c>
      <c r="O128" s="68">
        <f>O127+10000</f>
        <v/>
      </c>
      <c r="P128" s="68" t="inlineStr">
        <is>
          <t>DefRatio</t>
        </is>
      </c>
      <c r="Q128" s="68">
        <f>Q127+10000</f>
        <v/>
      </c>
      <c r="R128" s="0">
        <f>_xlfn.XLOOKUP($B128, 'Detail&lt;Child&gt;'!$A:$A, 'Detail&lt;Child&gt;'!$L:$L)</f>
        <v/>
      </c>
    </row>
    <row r="129">
      <c r="A129" s="68">
        <f>B129*100+H129</f>
        <v/>
      </c>
      <c r="B129" s="68" t="n">
        <v>10000432</v>
      </c>
      <c r="C129" s="68">
        <f>_xlfn.XLOOKUP(B129,'Detail&lt;Child&gt;'!A:A,'Detail&lt;Child&gt;'!B:B)</f>
        <v/>
      </c>
      <c r="D129" s="68">
        <f>"character_gradeup_"&amp;$B129&amp;"_"&amp;$H129</f>
        <v/>
      </c>
      <c r="E129" s="68" t="inlineStr">
        <is>
          <t>Item</t>
        </is>
      </c>
      <c r="F129" s="68">
        <f>INT(3003&amp;RIGHT(B129,4))</f>
        <v/>
      </c>
      <c r="G129" s="68">
        <f>VLOOKUP($R129, '#등급업 재료 개수'!$A$2:$K$5, MATCH(GradeUp!H129, '#등급업 재료 개수'!$A$2:$K$2, 0), FALSE)</f>
        <v/>
      </c>
      <c r="H129" s="68" t="n">
        <v>6</v>
      </c>
      <c r="I129" s="68" t="n">
        <v>60</v>
      </c>
      <c r="J129" s="68" t="n">
        <v>0</v>
      </c>
      <c r="K129" s="68" t="n">
        <v>0</v>
      </c>
      <c r="L129" s="68" t="inlineStr">
        <is>
          <t>HpRatio</t>
        </is>
      </c>
      <c r="M129" s="68">
        <f>M128+10000</f>
        <v/>
      </c>
      <c r="N129" s="68" t="inlineStr">
        <is>
          <t>AtkRatio</t>
        </is>
      </c>
      <c r="O129" s="68">
        <f>O128+10000</f>
        <v/>
      </c>
      <c r="P129" s="68" t="inlineStr">
        <is>
          <t>DefRatio</t>
        </is>
      </c>
      <c r="Q129" s="68">
        <f>Q128+10000</f>
        <v/>
      </c>
      <c r="R129" s="0">
        <f>_xlfn.XLOOKUP($B129, 'Detail&lt;Child&gt;'!$A:$A, 'Detail&lt;Child&gt;'!$L:$L)</f>
        <v/>
      </c>
    </row>
    <row r="130">
      <c r="A130" s="68">
        <f>B130*100+H130</f>
        <v/>
      </c>
      <c r="B130" s="68" t="n">
        <v>10000432</v>
      </c>
      <c r="C130" s="68">
        <f>_xlfn.XLOOKUP(B130,'Detail&lt;Child&gt;'!A:A,'Detail&lt;Child&gt;'!B:B)</f>
        <v/>
      </c>
      <c r="D130" s="68">
        <f>"character_gradeup_"&amp;$B130&amp;"_"&amp;$H130</f>
        <v/>
      </c>
      <c r="E130" s="68" t="inlineStr">
        <is>
          <t>Item</t>
        </is>
      </c>
      <c r="F130" s="68">
        <f>INT(3003&amp;RIGHT(B130,4))</f>
        <v/>
      </c>
      <c r="G130" s="68">
        <f>VLOOKUP($R130, '#등급업 재료 개수'!$A$2:$K$5, MATCH(GradeUp!H130, '#등급업 재료 개수'!$A$2:$K$2, 0), FALSE)</f>
        <v/>
      </c>
      <c r="H130" s="68" t="n">
        <v>7</v>
      </c>
      <c r="I130" s="68" t="n">
        <v>70</v>
      </c>
      <c r="J130" s="68" t="inlineStr">
        <is>
          <t>Passive</t>
        </is>
      </c>
      <c r="K130" s="68">
        <f>_xlfn.IFNA(VLOOKUP($B130, 'Detail&lt;Child&gt;'!$A:$AW, MATCH(J130, 'Detail&lt;Child&gt;'!$3:$3,0 ), FALSE)+INT($H130/12), 0)+1</f>
        <v/>
      </c>
      <c r="L130" s="68" t="inlineStr">
        <is>
          <t>HpRatio</t>
        </is>
      </c>
      <c r="M130" s="68">
        <f>M129+10000</f>
        <v/>
      </c>
      <c r="N130" s="68" t="inlineStr">
        <is>
          <t>AtkRatio</t>
        </is>
      </c>
      <c r="O130" s="68">
        <f>O129+10000</f>
        <v/>
      </c>
      <c r="P130" s="68" t="inlineStr">
        <is>
          <t>DefRatio</t>
        </is>
      </c>
      <c r="Q130" s="68">
        <f>Q129+10000</f>
        <v/>
      </c>
      <c r="R130" s="0">
        <f>_xlfn.XLOOKUP($B130, 'Detail&lt;Child&gt;'!$A:$A, 'Detail&lt;Child&gt;'!$L:$L)</f>
        <v/>
      </c>
    </row>
    <row r="131">
      <c r="A131" s="68">
        <f>B131*100+H131</f>
        <v/>
      </c>
      <c r="B131" s="68" t="n">
        <v>10000432</v>
      </c>
      <c r="C131" s="68">
        <f>_xlfn.XLOOKUP(B131,'Detail&lt;Child&gt;'!A:A,'Detail&lt;Child&gt;'!B:B)</f>
        <v/>
      </c>
      <c r="D131" s="68">
        <f>"character_gradeup_"&amp;$B131&amp;"_"&amp;$H131</f>
        <v/>
      </c>
      <c r="E131" s="68" t="inlineStr">
        <is>
          <t>Item</t>
        </is>
      </c>
      <c r="F131" s="68">
        <f>INT(3003&amp;RIGHT(B131,4))</f>
        <v/>
      </c>
      <c r="G131" s="68">
        <f>VLOOKUP($R131, '#등급업 재료 개수'!$A$2:$K$5, MATCH(GradeUp!H131, '#등급업 재료 개수'!$A$2:$K$2, 0), FALSE)</f>
        <v/>
      </c>
      <c r="H131" s="68" t="n">
        <v>8</v>
      </c>
      <c r="I131" s="68" t="n">
        <v>80</v>
      </c>
      <c r="J131" s="68" t="n">
        <v>0</v>
      </c>
      <c r="K131" s="68" t="n">
        <v>0</v>
      </c>
      <c r="L131" s="68" t="inlineStr">
        <is>
          <t>HpRatio</t>
        </is>
      </c>
      <c r="M131" s="68">
        <f>M130+10000</f>
        <v/>
      </c>
      <c r="N131" s="68" t="inlineStr">
        <is>
          <t>AtkRatio</t>
        </is>
      </c>
      <c r="O131" s="68">
        <f>O130+10000</f>
        <v/>
      </c>
      <c r="P131" s="68" t="inlineStr">
        <is>
          <t>DefRatio</t>
        </is>
      </c>
      <c r="Q131" s="68">
        <f>Q130+10000</f>
        <v/>
      </c>
      <c r="R131" s="0">
        <f>_xlfn.XLOOKUP($B131, 'Detail&lt;Child&gt;'!$A:$A, 'Detail&lt;Child&gt;'!$L:$L)</f>
        <v/>
      </c>
    </row>
    <row r="132">
      <c r="A132" s="68">
        <f>B132*100+H132</f>
        <v/>
      </c>
      <c r="B132" s="68" t="n">
        <v>10000432</v>
      </c>
      <c r="C132" s="68">
        <f>_xlfn.XLOOKUP(B132,'Detail&lt;Child&gt;'!A:A,'Detail&lt;Child&gt;'!B:B)</f>
        <v/>
      </c>
      <c r="D132" s="68">
        <f>"character_gradeup_"&amp;$B132&amp;"_"&amp;$H132</f>
        <v/>
      </c>
      <c r="E132" s="68" t="inlineStr">
        <is>
          <t>Item</t>
        </is>
      </c>
      <c r="F132" s="68">
        <f>INT(3003&amp;RIGHT(B132,4))</f>
        <v/>
      </c>
      <c r="G132" s="68">
        <f>VLOOKUP($R132, '#등급업 재료 개수'!$A$2:$K$5, MATCH(GradeUp!H132, '#등급업 재료 개수'!$A$2:$K$2, 0), FALSE)</f>
        <v/>
      </c>
      <c r="H132" s="68" t="n">
        <v>9</v>
      </c>
      <c r="I132" s="68" t="n">
        <v>90</v>
      </c>
      <c r="J132" s="68" t="inlineStr">
        <is>
          <t>Ultimate</t>
        </is>
      </c>
      <c r="K132" s="68">
        <f>_xlfn.IFNA(VLOOKUP($B132, 'Detail&lt;Child&gt;'!$A:$AW, MATCH(J132, 'Detail&lt;Child&gt;'!$3:$3,0 ), FALSE)+INT($H132/12), 0)+1</f>
        <v/>
      </c>
      <c r="L132" s="68" t="inlineStr">
        <is>
          <t>HpRatio</t>
        </is>
      </c>
      <c r="M132" s="68">
        <f>M131+10000</f>
        <v/>
      </c>
      <c r="N132" s="68" t="inlineStr">
        <is>
          <t>AtkRatio</t>
        </is>
      </c>
      <c r="O132" s="68">
        <f>O131+10000</f>
        <v/>
      </c>
      <c r="P132" s="68" t="inlineStr">
        <is>
          <t>DefRatio</t>
        </is>
      </c>
      <c r="Q132" s="68">
        <f>Q131+10000</f>
        <v/>
      </c>
      <c r="R132" s="0">
        <f>_xlfn.XLOOKUP($B132, 'Detail&lt;Child&gt;'!$A:$A, 'Detail&lt;Child&gt;'!$L:$L)</f>
        <v/>
      </c>
    </row>
    <row r="133">
      <c r="A133" s="68">
        <f>B133*100+H133</f>
        <v/>
      </c>
      <c r="B133" s="68" t="n">
        <v>10000432</v>
      </c>
      <c r="C133" s="68">
        <f>_xlfn.XLOOKUP(B133,'Detail&lt;Child&gt;'!A:A,'Detail&lt;Child&gt;'!B:B)</f>
        <v/>
      </c>
      <c r="D133" s="68">
        <f>"character_gradeup_"&amp;$B133&amp;"_"&amp;$H133</f>
        <v/>
      </c>
      <c r="E133" s="68" t="inlineStr">
        <is>
          <t>Item</t>
        </is>
      </c>
      <c r="F133" s="68">
        <f>INT(3003&amp;RIGHT(B133,4))</f>
        <v/>
      </c>
      <c r="G133" s="68">
        <f>VLOOKUP($R133, '#등급업 재료 개수'!$A$2:$K$5, MATCH(GradeUp!H133, '#등급업 재료 개수'!$A$2:$K$2, 0), FALSE)</f>
        <v/>
      </c>
      <c r="H133" s="68" t="n">
        <v>10</v>
      </c>
      <c r="I133" s="68" t="n">
        <v>100</v>
      </c>
      <c r="J133" s="68" t="n">
        <v>0</v>
      </c>
      <c r="K133" s="68" t="n">
        <v>0</v>
      </c>
      <c r="L133" s="68" t="inlineStr">
        <is>
          <t>HpRatio</t>
        </is>
      </c>
      <c r="M133" s="68">
        <f>M132+10000</f>
        <v/>
      </c>
      <c r="N133" s="68" t="inlineStr">
        <is>
          <t>AtkRatio</t>
        </is>
      </c>
      <c r="O133" s="68">
        <f>O132+10000</f>
        <v/>
      </c>
      <c r="P133" s="68" t="inlineStr">
        <is>
          <t>DefRatio</t>
        </is>
      </c>
      <c r="Q133" s="68">
        <f>Q132+10000</f>
        <v/>
      </c>
      <c r="R133" s="0">
        <f>_xlfn.XLOOKUP($B133, 'Detail&lt;Child&gt;'!$A:$A, 'Detail&lt;Child&gt;'!$L:$L)</f>
        <v/>
      </c>
    </row>
    <row r="134">
      <c r="A134" s="68">
        <f>B134*100+H134</f>
        <v/>
      </c>
      <c r="B134" s="68" t="n">
        <v>10000486</v>
      </c>
      <c r="C134" s="68">
        <f>_xlfn.XLOOKUP(B134,'Detail&lt;Child&gt;'!A:A,'Detail&lt;Child&gt;'!B:B)</f>
        <v/>
      </c>
      <c r="D134" s="68">
        <f>"character_gradeup_"&amp;$B134&amp;"_"&amp;$H134</f>
        <v/>
      </c>
      <c r="E134" s="68" t="inlineStr">
        <is>
          <t>Item</t>
        </is>
      </c>
      <c r="F134" s="68">
        <f>INT(3003&amp;RIGHT(B134,4))</f>
        <v/>
      </c>
      <c r="G134" s="68">
        <f>VLOOKUP($R134, '#등급업 재료 개수'!$A$2:$K$5, MATCH(GradeUp!H134, '#등급업 재료 개수'!$A$2:$K$2, 0), FALSE)</f>
        <v/>
      </c>
      <c r="H134" s="68" t="n">
        <v>1</v>
      </c>
      <c r="I134" s="68" t="n">
        <v>10</v>
      </c>
      <c r="J134" s="68" t="n">
        <v>0</v>
      </c>
      <c r="K134" s="68" t="n">
        <v>0</v>
      </c>
      <c r="L134" s="68" t="inlineStr">
        <is>
          <t>HpRatio</t>
        </is>
      </c>
      <c r="M134" s="68" t="n">
        <v>0</v>
      </c>
      <c r="N134" s="68" t="inlineStr">
        <is>
          <t>AtkRatio</t>
        </is>
      </c>
      <c r="O134" s="68" t="n">
        <v>0</v>
      </c>
      <c r="P134" s="68" t="inlineStr">
        <is>
          <t>DefRatio</t>
        </is>
      </c>
      <c r="Q134" s="68" t="n">
        <v>0</v>
      </c>
      <c r="R134" s="0">
        <f>_xlfn.XLOOKUP($B134, 'Detail&lt;Child&gt;'!$A:$A, 'Detail&lt;Child&gt;'!$L:$L)</f>
        <v/>
      </c>
    </row>
    <row r="135">
      <c r="A135" s="68">
        <f>B135*100+H135</f>
        <v/>
      </c>
      <c r="B135" s="68" t="n">
        <v>10000486</v>
      </c>
      <c r="C135" s="68">
        <f>_xlfn.XLOOKUP(B135,'Detail&lt;Child&gt;'!A:A,'Detail&lt;Child&gt;'!B:B)</f>
        <v/>
      </c>
      <c r="D135" s="68">
        <f>"character_gradeup_"&amp;$B135&amp;"_"&amp;$H135</f>
        <v/>
      </c>
      <c r="E135" s="68" t="inlineStr">
        <is>
          <t>Item</t>
        </is>
      </c>
      <c r="F135" s="68">
        <f>INT(3003&amp;RIGHT(B135,4))</f>
        <v/>
      </c>
      <c r="G135" s="68">
        <f>VLOOKUP($R135, '#등급업 재료 개수'!$A$2:$K$5, MATCH(GradeUp!H135, '#등급업 재료 개수'!$A$2:$K$2, 0), FALSE)</f>
        <v/>
      </c>
      <c r="H135" s="68" t="n">
        <v>2</v>
      </c>
      <c r="I135" s="68" t="n">
        <v>20</v>
      </c>
      <c r="J135" s="68" t="inlineStr">
        <is>
          <t>Active</t>
        </is>
      </c>
      <c r="K135" s="68">
        <f>_xlfn.IFNA(VLOOKUP($B135, 'Detail&lt;Child&gt;'!$A:$AW, MATCH(J135, 'Detail&lt;Child&gt;'!$3:$3,0 ), FALSE)+INT($H135/12), 0)</f>
        <v/>
      </c>
      <c r="L135" s="68" t="inlineStr">
        <is>
          <t>HpRatio</t>
        </is>
      </c>
      <c r="M135" s="68" t="n">
        <v>0</v>
      </c>
      <c r="N135" s="68" t="inlineStr">
        <is>
          <t>AtkRatio</t>
        </is>
      </c>
      <c r="O135" s="68" t="n">
        <v>0</v>
      </c>
      <c r="P135" s="68" t="inlineStr">
        <is>
          <t>DefRatio</t>
        </is>
      </c>
      <c r="Q135" s="68" t="n">
        <v>0</v>
      </c>
      <c r="R135" s="0">
        <f>_xlfn.XLOOKUP($B135, 'Detail&lt;Child&gt;'!$A:$A, 'Detail&lt;Child&gt;'!$L:$L)</f>
        <v/>
      </c>
    </row>
    <row r="136">
      <c r="A136" s="68">
        <f>B136*100+H136</f>
        <v/>
      </c>
      <c r="B136" s="68" t="n">
        <v>10000486</v>
      </c>
      <c r="C136" s="68">
        <f>_xlfn.XLOOKUP(B136,'Detail&lt;Child&gt;'!A:A,'Detail&lt;Child&gt;'!B:B)</f>
        <v/>
      </c>
      <c r="D136" s="68">
        <f>"character_gradeup_"&amp;$B136&amp;"_"&amp;$H136</f>
        <v/>
      </c>
      <c r="E136" s="68" t="inlineStr">
        <is>
          <t>Item</t>
        </is>
      </c>
      <c r="F136" s="68">
        <f>INT(3003&amp;RIGHT(B136,4))</f>
        <v/>
      </c>
      <c r="G136" s="68">
        <f>VLOOKUP($R136, '#등급업 재료 개수'!$A$2:$K$5, MATCH(GradeUp!H136, '#등급업 재료 개수'!$A$2:$K$2, 0), FALSE)</f>
        <v/>
      </c>
      <c r="H136" s="68" t="n">
        <v>3</v>
      </c>
      <c r="I136" s="68" t="n">
        <v>30</v>
      </c>
      <c r="J136" s="68" t="n">
        <v>0</v>
      </c>
      <c r="K136" s="68" t="n">
        <v>0</v>
      </c>
      <c r="L136" s="68" t="inlineStr">
        <is>
          <t>HpRatio</t>
        </is>
      </c>
      <c r="M136" s="68" t="n">
        <v>0</v>
      </c>
      <c r="N136" s="68" t="inlineStr">
        <is>
          <t>AtkRatio</t>
        </is>
      </c>
      <c r="O136" s="68" t="n">
        <v>0</v>
      </c>
      <c r="P136" s="68" t="inlineStr">
        <is>
          <t>DefRatio</t>
        </is>
      </c>
      <c r="Q136" s="68" t="n">
        <v>0</v>
      </c>
      <c r="R136" s="0">
        <f>_xlfn.XLOOKUP($B136, 'Detail&lt;Child&gt;'!$A:$A, 'Detail&lt;Child&gt;'!$L:$L)</f>
        <v/>
      </c>
    </row>
    <row r="137">
      <c r="A137" s="68">
        <f>B137*100+H137</f>
        <v/>
      </c>
      <c r="B137" s="68" t="n">
        <v>10000486</v>
      </c>
      <c r="C137" s="68">
        <f>_xlfn.XLOOKUP(B137,'Detail&lt;Child&gt;'!A:A,'Detail&lt;Child&gt;'!B:B)</f>
        <v/>
      </c>
      <c r="D137" s="68">
        <f>"character_gradeup_"&amp;$B137&amp;"_"&amp;$H137</f>
        <v/>
      </c>
      <c r="E137" s="68" t="inlineStr">
        <is>
          <t>Item</t>
        </is>
      </c>
      <c r="F137" s="68">
        <f>INT(3003&amp;RIGHT(B137,4))</f>
        <v/>
      </c>
      <c r="G137" s="68">
        <f>VLOOKUP($R137, '#등급업 재료 개수'!$A$2:$K$5, MATCH(GradeUp!H137, '#등급업 재료 개수'!$A$2:$K$2, 0), FALSE)</f>
        <v/>
      </c>
      <c r="H137" s="68" t="n">
        <v>4</v>
      </c>
      <c r="I137" s="68" t="n">
        <v>40</v>
      </c>
      <c r="J137" s="68" t="inlineStr">
        <is>
          <t>Passive</t>
        </is>
      </c>
      <c r="K137" s="68">
        <f>_xlfn.IFNA(VLOOKUP($B137, 'Detail&lt;Child&gt;'!$A:$AW, MATCH(J137, 'Detail&lt;Child&gt;'!$3:$3,0 ), FALSE)+INT($H137/12), 0)</f>
        <v/>
      </c>
      <c r="L137" s="68" t="inlineStr">
        <is>
          <t>HpRatio</t>
        </is>
      </c>
      <c r="M137" s="68" t="n">
        <v>10000</v>
      </c>
      <c r="N137" s="68" t="inlineStr">
        <is>
          <t>AtkRatio</t>
        </is>
      </c>
      <c r="O137" s="68" t="n">
        <v>10000</v>
      </c>
      <c r="P137" s="68" t="inlineStr">
        <is>
          <t>DefRatio</t>
        </is>
      </c>
      <c r="Q137" s="68" t="n">
        <v>10000</v>
      </c>
      <c r="R137" s="0">
        <f>_xlfn.XLOOKUP($B137, 'Detail&lt;Child&gt;'!$A:$A, 'Detail&lt;Child&gt;'!$L:$L)</f>
        <v/>
      </c>
    </row>
    <row r="138">
      <c r="A138" s="68">
        <f>B138*100+H138</f>
        <v/>
      </c>
      <c r="B138" s="68" t="n">
        <v>10000486</v>
      </c>
      <c r="C138" s="68">
        <f>_xlfn.XLOOKUP(B138,'Detail&lt;Child&gt;'!A:A,'Detail&lt;Child&gt;'!B:B)</f>
        <v/>
      </c>
      <c r="D138" s="68">
        <f>"character_gradeup_"&amp;$B138&amp;"_"&amp;$H138</f>
        <v/>
      </c>
      <c r="E138" s="68" t="inlineStr">
        <is>
          <t>Item</t>
        </is>
      </c>
      <c r="F138" s="68">
        <f>INT(3003&amp;RIGHT(B138,4))</f>
        <v/>
      </c>
      <c r="G138" s="68">
        <f>VLOOKUP($R138, '#등급업 재료 개수'!$A$2:$K$5, MATCH(GradeUp!H138, '#등급업 재료 개수'!$A$2:$K$2, 0), FALSE)</f>
        <v/>
      </c>
      <c r="H138" s="68" t="n">
        <v>5</v>
      </c>
      <c r="I138" s="68" t="n">
        <v>50</v>
      </c>
      <c r="J138" s="68" t="inlineStr">
        <is>
          <t>Active</t>
        </is>
      </c>
      <c r="K138" s="68">
        <f>_xlfn.IFNA(VLOOKUP($B138, 'Detail&lt;Child&gt;'!$A:$AW, MATCH(J138, 'Detail&lt;Child&gt;'!$3:$3,0 ), FALSE)+INT($H138/12), 0)+1</f>
        <v/>
      </c>
      <c r="L138" s="68" t="inlineStr">
        <is>
          <t>HpRatio</t>
        </is>
      </c>
      <c r="M138" s="68">
        <f>M137+10000</f>
        <v/>
      </c>
      <c r="N138" s="68" t="inlineStr">
        <is>
          <t>AtkRatio</t>
        </is>
      </c>
      <c r="O138" s="68">
        <f>O137+10000</f>
        <v/>
      </c>
      <c r="P138" s="68" t="inlineStr">
        <is>
          <t>DefRatio</t>
        </is>
      </c>
      <c r="Q138" s="68">
        <f>Q137+10000</f>
        <v/>
      </c>
      <c r="R138" s="0">
        <f>_xlfn.XLOOKUP($B138, 'Detail&lt;Child&gt;'!$A:$A, 'Detail&lt;Child&gt;'!$L:$L)</f>
        <v/>
      </c>
    </row>
    <row r="139">
      <c r="A139" s="68">
        <f>B139*100+H139</f>
        <v/>
      </c>
      <c r="B139" s="68" t="n">
        <v>10000486</v>
      </c>
      <c r="C139" s="68">
        <f>_xlfn.XLOOKUP(B139,'Detail&lt;Child&gt;'!A:A,'Detail&lt;Child&gt;'!B:B)</f>
        <v/>
      </c>
      <c r="D139" s="68">
        <f>"character_gradeup_"&amp;$B139&amp;"_"&amp;$H139</f>
        <v/>
      </c>
      <c r="E139" s="68" t="inlineStr">
        <is>
          <t>Item</t>
        </is>
      </c>
      <c r="F139" s="68">
        <f>INT(3003&amp;RIGHT(B139,4))</f>
        <v/>
      </c>
      <c r="G139" s="68">
        <f>VLOOKUP($R139, '#등급업 재료 개수'!$A$2:$K$5, MATCH(GradeUp!H139, '#등급업 재료 개수'!$A$2:$K$2, 0), FALSE)</f>
        <v/>
      </c>
      <c r="H139" s="68" t="n">
        <v>6</v>
      </c>
      <c r="I139" s="68" t="n">
        <v>60</v>
      </c>
      <c r="J139" s="68" t="n">
        <v>0</v>
      </c>
      <c r="K139" s="68" t="n">
        <v>0</v>
      </c>
      <c r="L139" s="68" t="inlineStr">
        <is>
          <t>HpRatio</t>
        </is>
      </c>
      <c r="M139" s="68">
        <f>M138+10000</f>
        <v/>
      </c>
      <c r="N139" s="68" t="inlineStr">
        <is>
          <t>AtkRatio</t>
        </is>
      </c>
      <c r="O139" s="68">
        <f>O138+10000</f>
        <v/>
      </c>
      <c r="P139" s="68" t="inlineStr">
        <is>
          <t>DefRatio</t>
        </is>
      </c>
      <c r="Q139" s="68">
        <f>Q138+10000</f>
        <v/>
      </c>
      <c r="R139" s="0">
        <f>_xlfn.XLOOKUP($B139, 'Detail&lt;Child&gt;'!$A:$A, 'Detail&lt;Child&gt;'!$L:$L)</f>
        <v/>
      </c>
    </row>
    <row r="140">
      <c r="A140" s="68">
        <f>B140*100+H140</f>
        <v/>
      </c>
      <c r="B140" s="68" t="n">
        <v>10000486</v>
      </c>
      <c r="C140" s="68">
        <f>_xlfn.XLOOKUP(B140,'Detail&lt;Child&gt;'!A:A,'Detail&lt;Child&gt;'!B:B)</f>
        <v/>
      </c>
      <c r="D140" s="68">
        <f>"character_gradeup_"&amp;$B140&amp;"_"&amp;$H140</f>
        <v/>
      </c>
      <c r="E140" s="68" t="inlineStr">
        <is>
          <t>Item</t>
        </is>
      </c>
      <c r="F140" s="68">
        <f>INT(3003&amp;RIGHT(B140,4))</f>
        <v/>
      </c>
      <c r="G140" s="68">
        <f>VLOOKUP($R140, '#등급업 재료 개수'!$A$2:$K$5, MATCH(GradeUp!H140, '#등급업 재료 개수'!$A$2:$K$2, 0), FALSE)</f>
        <v/>
      </c>
      <c r="H140" s="68" t="n">
        <v>7</v>
      </c>
      <c r="I140" s="68" t="n">
        <v>70</v>
      </c>
      <c r="J140" s="68" t="inlineStr">
        <is>
          <t>Passive</t>
        </is>
      </c>
      <c r="K140" s="68">
        <f>_xlfn.IFNA(VLOOKUP($B140, 'Detail&lt;Child&gt;'!$A:$AW, MATCH(J140, 'Detail&lt;Child&gt;'!$3:$3,0 ), FALSE)+INT($H140/12), 0)+1</f>
        <v/>
      </c>
      <c r="L140" s="68" t="inlineStr">
        <is>
          <t>HpRatio</t>
        </is>
      </c>
      <c r="M140" s="68">
        <f>M139+10000</f>
        <v/>
      </c>
      <c r="N140" s="68" t="inlineStr">
        <is>
          <t>AtkRatio</t>
        </is>
      </c>
      <c r="O140" s="68">
        <f>O139+10000</f>
        <v/>
      </c>
      <c r="P140" s="68" t="inlineStr">
        <is>
          <t>DefRatio</t>
        </is>
      </c>
      <c r="Q140" s="68">
        <f>Q139+10000</f>
        <v/>
      </c>
      <c r="R140" s="0">
        <f>_xlfn.XLOOKUP($B140, 'Detail&lt;Child&gt;'!$A:$A, 'Detail&lt;Child&gt;'!$L:$L)</f>
        <v/>
      </c>
    </row>
    <row r="141">
      <c r="A141" s="68">
        <f>B141*100+H141</f>
        <v/>
      </c>
      <c r="B141" s="68" t="n">
        <v>10000486</v>
      </c>
      <c r="C141" s="68">
        <f>_xlfn.XLOOKUP(B141,'Detail&lt;Child&gt;'!A:A,'Detail&lt;Child&gt;'!B:B)</f>
        <v/>
      </c>
      <c r="D141" s="68">
        <f>"character_gradeup_"&amp;$B141&amp;"_"&amp;$H141</f>
        <v/>
      </c>
      <c r="E141" s="68" t="inlineStr">
        <is>
          <t>Item</t>
        </is>
      </c>
      <c r="F141" s="68">
        <f>INT(3003&amp;RIGHT(B141,4))</f>
        <v/>
      </c>
      <c r="G141" s="68">
        <f>VLOOKUP($R141, '#등급업 재료 개수'!$A$2:$K$5, MATCH(GradeUp!H141, '#등급업 재료 개수'!$A$2:$K$2, 0), FALSE)</f>
        <v/>
      </c>
      <c r="H141" s="68" t="n">
        <v>8</v>
      </c>
      <c r="I141" s="68" t="n">
        <v>80</v>
      </c>
      <c r="J141" s="68" t="n">
        <v>0</v>
      </c>
      <c r="K141" s="68" t="n">
        <v>0</v>
      </c>
      <c r="L141" s="68" t="inlineStr">
        <is>
          <t>HpRatio</t>
        </is>
      </c>
      <c r="M141" s="68">
        <f>M140+10000</f>
        <v/>
      </c>
      <c r="N141" s="68" t="inlineStr">
        <is>
          <t>AtkRatio</t>
        </is>
      </c>
      <c r="O141" s="68">
        <f>O140+10000</f>
        <v/>
      </c>
      <c r="P141" s="68" t="inlineStr">
        <is>
          <t>DefRatio</t>
        </is>
      </c>
      <c r="Q141" s="68">
        <f>Q140+10000</f>
        <v/>
      </c>
      <c r="R141" s="0">
        <f>_xlfn.XLOOKUP($B141, 'Detail&lt;Child&gt;'!$A:$A, 'Detail&lt;Child&gt;'!$L:$L)</f>
        <v/>
      </c>
    </row>
    <row r="142">
      <c r="A142" s="68">
        <f>B142*100+H142</f>
        <v/>
      </c>
      <c r="B142" s="68" t="n">
        <v>10000486</v>
      </c>
      <c r="C142" s="68">
        <f>_xlfn.XLOOKUP(B142,'Detail&lt;Child&gt;'!A:A,'Detail&lt;Child&gt;'!B:B)</f>
        <v/>
      </c>
      <c r="D142" s="68">
        <f>"character_gradeup_"&amp;$B142&amp;"_"&amp;$H142</f>
        <v/>
      </c>
      <c r="E142" s="68" t="inlineStr">
        <is>
          <t>Item</t>
        </is>
      </c>
      <c r="F142" s="68">
        <f>INT(3003&amp;RIGHT(B142,4))</f>
        <v/>
      </c>
      <c r="G142" s="68">
        <f>VLOOKUP($R142, '#등급업 재료 개수'!$A$2:$K$5, MATCH(GradeUp!H142, '#등급업 재료 개수'!$A$2:$K$2, 0), FALSE)</f>
        <v/>
      </c>
      <c r="H142" s="68" t="n">
        <v>9</v>
      </c>
      <c r="I142" s="68" t="n">
        <v>90</v>
      </c>
      <c r="J142" s="68" t="inlineStr">
        <is>
          <t>Ultimate</t>
        </is>
      </c>
      <c r="K142" s="68">
        <f>_xlfn.IFNA(VLOOKUP($B142, 'Detail&lt;Child&gt;'!$A:$AW, MATCH(J142, 'Detail&lt;Child&gt;'!$3:$3,0 ), FALSE)+INT($H142/12), 0)+1</f>
        <v/>
      </c>
      <c r="L142" s="68" t="inlineStr">
        <is>
          <t>HpRatio</t>
        </is>
      </c>
      <c r="M142" s="68">
        <f>M141+10000</f>
        <v/>
      </c>
      <c r="N142" s="68" t="inlineStr">
        <is>
          <t>AtkRatio</t>
        </is>
      </c>
      <c r="O142" s="68">
        <f>O141+10000</f>
        <v/>
      </c>
      <c r="P142" s="68" t="inlineStr">
        <is>
          <t>DefRatio</t>
        </is>
      </c>
      <c r="Q142" s="68">
        <f>Q141+10000</f>
        <v/>
      </c>
      <c r="R142" s="0">
        <f>_xlfn.XLOOKUP($B142, 'Detail&lt;Child&gt;'!$A:$A, 'Detail&lt;Child&gt;'!$L:$L)</f>
        <v/>
      </c>
    </row>
    <row r="143">
      <c r="A143" s="68">
        <f>B143*100+H143</f>
        <v/>
      </c>
      <c r="B143" s="68" t="n">
        <v>10000486</v>
      </c>
      <c r="C143" s="68">
        <f>_xlfn.XLOOKUP(B143,'Detail&lt;Child&gt;'!A:A,'Detail&lt;Child&gt;'!B:B)</f>
        <v/>
      </c>
      <c r="D143" s="68">
        <f>"character_gradeup_"&amp;$B143&amp;"_"&amp;$H143</f>
        <v/>
      </c>
      <c r="E143" s="68" t="inlineStr">
        <is>
          <t>Item</t>
        </is>
      </c>
      <c r="F143" s="68">
        <f>INT(3003&amp;RIGHT(B143,4))</f>
        <v/>
      </c>
      <c r="G143" s="68">
        <f>VLOOKUP($R143, '#등급업 재료 개수'!$A$2:$K$5, MATCH(GradeUp!H143, '#등급업 재료 개수'!$A$2:$K$2, 0), FALSE)</f>
        <v/>
      </c>
      <c r="H143" s="68" t="n">
        <v>10</v>
      </c>
      <c r="I143" s="68" t="n">
        <v>100</v>
      </c>
      <c r="J143" s="68" t="n">
        <v>0</v>
      </c>
      <c r="K143" s="68" t="n">
        <v>0</v>
      </c>
      <c r="L143" s="68" t="inlineStr">
        <is>
          <t>HpRatio</t>
        </is>
      </c>
      <c r="M143" s="68">
        <f>M142+10000</f>
        <v/>
      </c>
      <c r="N143" s="68" t="inlineStr">
        <is>
          <t>AtkRatio</t>
        </is>
      </c>
      <c r="O143" s="68">
        <f>O142+10000</f>
        <v/>
      </c>
      <c r="P143" s="68" t="inlineStr">
        <is>
          <t>DefRatio</t>
        </is>
      </c>
      <c r="Q143" s="68">
        <f>Q142+10000</f>
        <v/>
      </c>
      <c r="R143" s="0">
        <f>_xlfn.XLOOKUP($B143, 'Detail&lt;Child&gt;'!$A:$A, 'Detail&lt;Child&gt;'!$L:$L)</f>
        <v/>
      </c>
    </row>
    <row r="144">
      <c r="A144" s="68">
        <f>B144*100+H144</f>
        <v/>
      </c>
      <c r="B144" s="68" t="n">
        <v>10000294</v>
      </c>
      <c r="C144" s="68">
        <f>_xlfn.XLOOKUP(B144,'Detail&lt;Child&gt;'!A:A,'Detail&lt;Child&gt;'!B:B)</f>
        <v/>
      </c>
      <c r="D144" s="68">
        <f>"character_gradeup_"&amp;$B144&amp;"_"&amp;$H144</f>
        <v/>
      </c>
      <c r="E144" s="68" t="inlineStr">
        <is>
          <t>Item</t>
        </is>
      </c>
      <c r="F144" s="68">
        <f>INT(3003&amp;RIGHT(B144,4))</f>
        <v/>
      </c>
      <c r="G144" s="68">
        <f>VLOOKUP($R144, '#등급업 재료 개수'!$A$2:$K$5, MATCH(GradeUp!H144, '#등급업 재료 개수'!$A$2:$K$2, 0), FALSE)</f>
        <v/>
      </c>
      <c r="H144" s="68" t="n">
        <v>1</v>
      </c>
      <c r="I144" s="68" t="n">
        <v>10</v>
      </c>
      <c r="J144" s="68" t="n">
        <v>0</v>
      </c>
      <c r="K144" s="68" t="n">
        <v>0</v>
      </c>
      <c r="L144" s="68" t="inlineStr">
        <is>
          <t>HpRatio</t>
        </is>
      </c>
      <c r="M144" s="68" t="n">
        <v>0</v>
      </c>
      <c r="N144" s="68" t="inlineStr">
        <is>
          <t>AtkRatio</t>
        </is>
      </c>
      <c r="O144" s="68" t="n">
        <v>0</v>
      </c>
      <c r="P144" s="68" t="inlineStr">
        <is>
          <t>DefRatio</t>
        </is>
      </c>
      <c r="Q144" s="68" t="n">
        <v>0</v>
      </c>
      <c r="R144" s="0">
        <f>_xlfn.XLOOKUP($B144, 'Detail&lt;Child&gt;'!$A:$A, 'Detail&lt;Child&gt;'!$L:$L)</f>
        <v/>
      </c>
    </row>
    <row r="145">
      <c r="A145" s="68">
        <f>B145*100+H145</f>
        <v/>
      </c>
      <c r="B145" s="68" t="n">
        <v>10000294</v>
      </c>
      <c r="C145" s="68">
        <f>_xlfn.XLOOKUP(B145,'Detail&lt;Child&gt;'!A:A,'Detail&lt;Child&gt;'!B:B)</f>
        <v/>
      </c>
      <c r="D145" s="68">
        <f>"character_gradeup_"&amp;$B145&amp;"_"&amp;$H145</f>
        <v/>
      </c>
      <c r="E145" s="68" t="inlineStr">
        <is>
          <t>Item</t>
        </is>
      </c>
      <c r="F145" s="68">
        <f>INT(3003&amp;RIGHT(B145,4))</f>
        <v/>
      </c>
      <c r="G145" s="68">
        <f>VLOOKUP($R145, '#등급업 재료 개수'!$A$2:$K$5, MATCH(GradeUp!H145, '#등급업 재료 개수'!$A$2:$K$2, 0), FALSE)</f>
        <v/>
      </c>
      <c r="H145" s="68" t="n">
        <v>2</v>
      </c>
      <c r="I145" s="68" t="n">
        <v>20</v>
      </c>
      <c r="J145" s="68" t="inlineStr">
        <is>
          <t>Active</t>
        </is>
      </c>
      <c r="K145" s="68">
        <f>_xlfn.IFNA(VLOOKUP($B145, 'Detail&lt;Child&gt;'!$A:$AW, MATCH(J145, 'Detail&lt;Child&gt;'!$3:$3,0 ), FALSE)+INT($H145/12), 0)</f>
        <v/>
      </c>
      <c r="L145" s="68" t="inlineStr">
        <is>
          <t>HpRatio</t>
        </is>
      </c>
      <c r="M145" s="68" t="n">
        <v>0</v>
      </c>
      <c r="N145" s="68" t="inlineStr">
        <is>
          <t>AtkRatio</t>
        </is>
      </c>
      <c r="O145" s="68" t="n">
        <v>0</v>
      </c>
      <c r="P145" s="68" t="inlineStr">
        <is>
          <t>DefRatio</t>
        </is>
      </c>
      <c r="Q145" s="68" t="n">
        <v>0</v>
      </c>
      <c r="R145" s="0">
        <f>_xlfn.XLOOKUP($B145, 'Detail&lt;Child&gt;'!$A:$A, 'Detail&lt;Child&gt;'!$L:$L)</f>
        <v/>
      </c>
    </row>
    <row r="146">
      <c r="A146" s="68">
        <f>B146*100+H146</f>
        <v/>
      </c>
      <c r="B146" s="68" t="n">
        <v>10000294</v>
      </c>
      <c r="C146" s="68">
        <f>_xlfn.XLOOKUP(B146,'Detail&lt;Child&gt;'!A:A,'Detail&lt;Child&gt;'!B:B)</f>
        <v/>
      </c>
      <c r="D146" s="68">
        <f>"character_gradeup_"&amp;$B146&amp;"_"&amp;$H146</f>
        <v/>
      </c>
      <c r="E146" s="68" t="inlineStr">
        <is>
          <t>Item</t>
        </is>
      </c>
      <c r="F146" s="68">
        <f>INT(3003&amp;RIGHT(B146,4))</f>
        <v/>
      </c>
      <c r="G146" s="68">
        <f>VLOOKUP($R146, '#등급업 재료 개수'!$A$2:$K$5, MATCH(GradeUp!H146, '#등급업 재료 개수'!$A$2:$K$2, 0), FALSE)</f>
        <v/>
      </c>
      <c r="H146" s="68" t="n">
        <v>3</v>
      </c>
      <c r="I146" s="68" t="n">
        <v>30</v>
      </c>
      <c r="J146" s="68" t="n">
        <v>0</v>
      </c>
      <c r="K146" s="68" t="n">
        <v>0</v>
      </c>
      <c r="L146" s="68" t="inlineStr">
        <is>
          <t>HpRatio</t>
        </is>
      </c>
      <c r="M146" s="68" t="n">
        <v>10000</v>
      </c>
      <c r="N146" s="68" t="inlineStr">
        <is>
          <t>AtkRatio</t>
        </is>
      </c>
      <c r="O146" s="68" t="n">
        <v>10000</v>
      </c>
      <c r="P146" s="68" t="inlineStr">
        <is>
          <t>DefRatio</t>
        </is>
      </c>
      <c r="Q146" s="68" t="n">
        <v>10000</v>
      </c>
      <c r="R146" s="0">
        <f>_xlfn.XLOOKUP($B146, 'Detail&lt;Child&gt;'!$A:$A, 'Detail&lt;Child&gt;'!$L:$L)</f>
        <v/>
      </c>
    </row>
    <row r="147">
      <c r="A147" s="68">
        <f>B147*100+H147</f>
        <v/>
      </c>
      <c r="B147" s="68" t="n">
        <v>10000294</v>
      </c>
      <c r="C147" s="68">
        <f>_xlfn.XLOOKUP(B147,'Detail&lt;Child&gt;'!A:A,'Detail&lt;Child&gt;'!B:B)</f>
        <v/>
      </c>
      <c r="D147" s="68">
        <f>"character_gradeup_"&amp;$B147&amp;"_"&amp;$H147</f>
        <v/>
      </c>
      <c r="E147" s="68" t="inlineStr">
        <is>
          <t>Item</t>
        </is>
      </c>
      <c r="F147" s="68">
        <f>INT(3003&amp;RIGHT(B147,4))</f>
        <v/>
      </c>
      <c r="G147" s="68">
        <f>VLOOKUP($R147, '#등급업 재료 개수'!$A$2:$K$5, MATCH(GradeUp!H147, '#등급업 재료 개수'!$A$2:$K$2, 0), FALSE)</f>
        <v/>
      </c>
      <c r="H147" s="68" t="n">
        <v>4</v>
      </c>
      <c r="I147" s="68" t="n">
        <v>40</v>
      </c>
      <c r="J147" s="68" t="inlineStr">
        <is>
          <t>Passive</t>
        </is>
      </c>
      <c r="K147" s="68">
        <f>_xlfn.IFNA(VLOOKUP($B147, 'Detail&lt;Child&gt;'!$A:$AW, MATCH(J147, 'Detail&lt;Child&gt;'!$3:$3,0 ), FALSE)+INT($H147/12), 0)</f>
        <v/>
      </c>
      <c r="L147" s="68" t="inlineStr">
        <is>
          <t>HpRatio</t>
        </is>
      </c>
      <c r="M147" s="68">
        <f>M146+10000</f>
        <v/>
      </c>
      <c r="N147" s="68" t="inlineStr">
        <is>
          <t>AtkRatio</t>
        </is>
      </c>
      <c r="O147" s="68">
        <f>O146+10000</f>
        <v/>
      </c>
      <c r="P147" s="68" t="inlineStr">
        <is>
          <t>DefRatio</t>
        </is>
      </c>
      <c r="Q147" s="68">
        <f>Q146+10000</f>
        <v/>
      </c>
      <c r="R147" s="0">
        <f>_xlfn.XLOOKUP($B147, 'Detail&lt;Child&gt;'!$A:$A, 'Detail&lt;Child&gt;'!$L:$L)</f>
        <v/>
      </c>
    </row>
    <row r="148">
      <c r="A148" s="68">
        <f>B148*100+H148</f>
        <v/>
      </c>
      <c r="B148" s="68" t="n">
        <v>10000294</v>
      </c>
      <c r="C148" s="68">
        <f>_xlfn.XLOOKUP(B148,'Detail&lt;Child&gt;'!A:A,'Detail&lt;Child&gt;'!B:B)</f>
        <v/>
      </c>
      <c r="D148" s="68">
        <f>"character_gradeup_"&amp;$B148&amp;"_"&amp;$H148</f>
        <v/>
      </c>
      <c r="E148" s="68" t="inlineStr">
        <is>
          <t>Item</t>
        </is>
      </c>
      <c r="F148" s="68">
        <f>INT(3003&amp;RIGHT(B148,4))</f>
        <v/>
      </c>
      <c r="G148" s="68">
        <f>VLOOKUP($R148, '#등급업 재료 개수'!$A$2:$K$5, MATCH(GradeUp!H148, '#등급업 재료 개수'!$A$2:$K$2, 0), FALSE)</f>
        <v/>
      </c>
      <c r="H148" s="68" t="n">
        <v>5</v>
      </c>
      <c r="I148" s="68" t="n">
        <v>50</v>
      </c>
      <c r="J148" s="68" t="inlineStr">
        <is>
          <t>Active</t>
        </is>
      </c>
      <c r="K148" s="68">
        <f>_xlfn.IFNA(VLOOKUP($B148, 'Detail&lt;Child&gt;'!$A:$AW, MATCH(J148, 'Detail&lt;Child&gt;'!$3:$3,0 ), FALSE)+INT($H148/12), 0)+1</f>
        <v/>
      </c>
      <c r="L148" s="68" t="inlineStr">
        <is>
          <t>HpRatio</t>
        </is>
      </c>
      <c r="M148" s="68">
        <f>M147+10000</f>
        <v/>
      </c>
      <c r="N148" s="68" t="inlineStr">
        <is>
          <t>AtkRatio</t>
        </is>
      </c>
      <c r="O148" s="68">
        <f>O147+10000</f>
        <v/>
      </c>
      <c r="P148" s="68" t="inlineStr">
        <is>
          <t>DefRatio</t>
        </is>
      </c>
      <c r="Q148" s="68">
        <f>Q147+10000</f>
        <v/>
      </c>
      <c r="R148" s="0">
        <f>_xlfn.XLOOKUP($B148, 'Detail&lt;Child&gt;'!$A:$A, 'Detail&lt;Child&gt;'!$L:$L)</f>
        <v/>
      </c>
    </row>
    <row r="149">
      <c r="A149" s="68">
        <f>B149*100+H149</f>
        <v/>
      </c>
      <c r="B149" s="68" t="n">
        <v>10000294</v>
      </c>
      <c r="C149" s="68">
        <f>_xlfn.XLOOKUP(B149,'Detail&lt;Child&gt;'!A:A,'Detail&lt;Child&gt;'!B:B)</f>
        <v/>
      </c>
      <c r="D149" s="68">
        <f>"character_gradeup_"&amp;$B149&amp;"_"&amp;$H149</f>
        <v/>
      </c>
      <c r="E149" s="68" t="inlineStr">
        <is>
          <t>Item</t>
        </is>
      </c>
      <c r="F149" s="68">
        <f>INT(3003&amp;RIGHT(B149,4))</f>
        <v/>
      </c>
      <c r="G149" s="68">
        <f>VLOOKUP($R149, '#등급업 재료 개수'!$A$2:$K$5, MATCH(GradeUp!H149, '#등급업 재료 개수'!$A$2:$K$2, 0), FALSE)</f>
        <v/>
      </c>
      <c r="H149" s="68" t="n">
        <v>6</v>
      </c>
      <c r="I149" s="68" t="n">
        <v>60</v>
      </c>
      <c r="J149" s="68" t="n">
        <v>0</v>
      </c>
      <c r="K149" s="68" t="n">
        <v>0</v>
      </c>
      <c r="L149" s="68" t="inlineStr">
        <is>
          <t>HpRatio</t>
        </is>
      </c>
      <c r="M149" s="68">
        <f>M148+10000</f>
        <v/>
      </c>
      <c r="N149" s="68" t="inlineStr">
        <is>
          <t>AtkRatio</t>
        </is>
      </c>
      <c r="O149" s="68">
        <f>O148+10000</f>
        <v/>
      </c>
      <c r="P149" s="68" t="inlineStr">
        <is>
          <t>DefRatio</t>
        </is>
      </c>
      <c r="Q149" s="68">
        <f>Q148+10000</f>
        <v/>
      </c>
      <c r="R149" s="0">
        <f>_xlfn.XLOOKUP($B149, 'Detail&lt;Child&gt;'!$A:$A, 'Detail&lt;Child&gt;'!$L:$L)</f>
        <v/>
      </c>
    </row>
    <row r="150">
      <c r="A150" s="68">
        <f>B150*100+H150</f>
        <v/>
      </c>
      <c r="B150" s="68" t="n">
        <v>10000294</v>
      </c>
      <c r="C150" s="68">
        <f>_xlfn.XLOOKUP(B150,'Detail&lt;Child&gt;'!A:A,'Detail&lt;Child&gt;'!B:B)</f>
        <v/>
      </c>
      <c r="D150" s="68">
        <f>"character_gradeup_"&amp;$B150&amp;"_"&amp;$H150</f>
        <v/>
      </c>
      <c r="E150" s="68" t="inlineStr">
        <is>
          <t>Item</t>
        </is>
      </c>
      <c r="F150" s="68">
        <f>INT(3003&amp;RIGHT(B150,4))</f>
        <v/>
      </c>
      <c r="G150" s="68">
        <f>VLOOKUP($R150, '#등급업 재료 개수'!$A$2:$K$5, MATCH(GradeUp!H150, '#등급업 재료 개수'!$A$2:$K$2, 0), FALSE)</f>
        <v/>
      </c>
      <c r="H150" s="68" t="n">
        <v>7</v>
      </c>
      <c r="I150" s="68" t="n">
        <v>70</v>
      </c>
      <c r="J150" s="68" t="inlineStr">
        <is>
          <t>Passive</t>
        </is>
      </c>
      <c r="K150" s="68">
        <f>_xlfn.IFNA(VLOOKUP($B150, 'Detail&lt;Child&gt;'!$A:$AW, MATCH(J150, 'Detail&lt;Child&gt;'!$3:$3,0 ), FALSE)+INT($H150/12), 0)+1</f>
        <v/>
      </c>
      <c r="L150" s="68" t="inlineStr">
        <is>
          <t>HpRatio</t>
        </is>
      </c>
      <c r="M150" s="68">
        <f>M149+10000</f>
        <v/>
      </c>
      <c r="N150" s="68" t="inlineStr">
        <is>
          <t>AtkRatio</t>
        </is>
      </c>
      <c r="O150" s="68">
        <f>O149+10000</f>
        <v/>
      </c>
      <c r="P150" s="68" t="inlineStr">
        <is>
          <t>DefRatio</t>
        </is>
      </c>
      <c r="Q150" s="68">
        <f>Q149+10000</f>
        <v/>
      </c>
      <c r="R150" s="0">
        <f>_xlfn.XLOOKUP($B150, 'Detail&lt;Child&gt;'!$A:$A, 'Detail&lt;Child&gt;'!$L:$L)</f>
        <v/>
      </c>
    </row>
    <row r="151">
      <c r="A151" s="68">
        <f>B151*100+H151</f>
        <v/>
      </c>
      <c r="B151" s="68" t="n">
        <v>10000294</v>
      </c>
      <c r="C151" s="68">
        <f>_xlfn.XLOOKUP(B151,'Detail&lt;Child&gt;'!A:A,'Detail&lt;Child&gt;'!B:B)</f>
        <v/>
      </c>
      <c r="D151" s="68">
        <f>"character_gradeup_"&amp;$B151&amp;"_"&amp;$H151</f>
        <v/>
      </c>
      <c r="E151" s="68" t="inlineStr">
        <is>
          <t>Item</t>
        </is>
      </c>
      <c r="F151" s="68">
        <f>INT(3003&amp;RIGHT(B151,4))</f>
        <v/>
      </c>
      <c r="G151" s="68">
        <f>VLOOKUP($R151, '#등급업 재료 개수'!$A$2:$K$5, MATCH(GradeUp!H151, '#등급업 재료 개수'!$A$2:$K$2, 0), FALSE)</f>
        <v/>
      </c>
      <c r="H151" s="68" t="n">
        <v>8</v>
      </c>
      <c r="I151" s="68" t="n">
        <v>80</v>
      </c>
      <c r="J151" s="68" t="n">
        <v>0</v>
      </c>
      <c r="K151" s="68" t="n">
        <v>0</v>
      </c>
      <c r="L151" s="68" t="inlineStr">
        <is>
          <t>HpRatio</t>
        </is>
      </c>
      <c r="M151" s="68">
        <f>M150+10000</f>
        <v/>
      </c>
      <c r="N151" s="68" t="inlineStr">
        <is>
          <t>AtkRatio</t>
        </is>
      </c>
      <c r="O151" s="68">
        <f>O150+10000</f>
        <v/>
      </c>
      <c r="P151" s="68" t="inlineStr">
        <is>
          <t>DefRatio</t>
        </is>
      </c>
      <c r="Q151" s="68">
        <f>Q150+10000</f>
        <v/>
      </c>
      <c r="R151" s="0">
        <f>_xlfn.XLOOKUP($B151, 'Detail&lt;Child&gt;'!$A:$A, 'Detail&lt;Child&gt;'!$L:$L)</f>
        <v/>
      </c>
    </row>
    <row r="152">
      <c r="A152" s="68">
        <f>B152*100+H152</f>
        <v/>
      </c>
      <c r="B152" s="68" t="n">
        <v>10000294</v>
      </c>
      <c r="C152" s="68">
        <f>_xlfn.XLOOKUP(B152,'Detail&lt;Child&gt;'!A:A,'Detail&lt;Child&gt;'!B:B)</f>
        <v/>
      </c>
      <c r="D152" s="68">
        <f>"character_gradeup_"&amp;$B152&amp;"_"&amp;$H152</f>
        <v/>
      </c>
      <c r="E152" s="68" t="inlineStr">
        <is>
          <t>Item</t>
        </is>
      </c>
      <c r="F152" s="68">
        <f>INT(3003&amp;RIGHT(B152,4))</f>
        <v/>
      </c>
      <c r="G152" s="68">
        <f>VLOOKUP($R152, '#등급업 재료 개수'!$A$2:$K$5, MATCH(GradeUp!H152, '#등급업 재료 개수'!$A$2:$K$2, 0), FALSE)</f>
        <v/>
      </c>
      <c r="H152" s="68" t="n">
        <v>9</v>
      </c>
      <c r="I152" s="68" t="n">
        <v>90</v>
      </c>
      <c r="J152" s="68" t="inlineStr">
        <is>
          <t>Ultimate</t>
        </is>
      </c>
      <c r="K152" s="68">
        <f>_xlfn.IFNA(VLOOKUP($B152, 'Detail&lt;Child&gt;'!$A:$AW, MATCH(J152, 'Detail&lt;Child&gt;'!$3:$3,0 ), FALSE)+INT($H152/12), 0)+1</f>
        <v/>
      </c>
      <c r="L152" s="68" t="inlineStr">
        <is>
          <t>HpRatio</t>
        </is>
      </c>
      <c r="M152" s="68">
        <f>M151+10000</f>
        <v/>
      </c>
      <c r="N152" s="68" t="inlineStr">
        <is>
          <t>AtkRatio</t>
        </is>
      </c>
      <c r="O152" s="68">
        <f>O151+10000</f>
        <v/>
      </c>
      <c r="P152" s="68" t="inlineStr">
        <is>
          <t>DefRatio</t>
        </is>
      </c>
      <c r="Q152" s="68">
        <f>Q151+10000</f>
        <v/>
      </c>
      <c r="R152" s="0">
        <f>_xlfn.XLOOKUP($B152, 'Detail&lt;Child&gt;'!$A:$A, 'Detail&lt;Child&gt;'!$L:$L)</f>
        <v/>
      </c>
    </row>
    <row r="153">
      <c r="A153" s="68">
        <f>B153*100+H153</f>
        <v/>
      </c>
      <c r="B153" s="68" t="n">
        <v>10000294</v>
      </c>
      <c r="C153" s="68">
        <f>_xlfn.XLOOKUP(B153,'Detail&lt;Child&gt;'!A:A,'Detail&lt;Child&gt;'!B:B)</f>
        <v/>
      </c>
      <c r="D153" s="68">
        <f>"character_gradeup_"&amp;$B153&amp;"_"&amp;$H153</f>
        <v/>
      </c>
      <c r="E153" s="68" t="inlineStr">
        <is>
          <t>Item</t>
        </is>
      </c>
      <c r="F153" s="68">
        <f>INT(3003&amp;RIGHT(B153,4))</f>
        <v/>
      </c>
      <c r="G153" s="68">
        <f>VLOOKUP($R153, '#등급업 재료 개수'!$A$2:$K$5, MATCH(GradeUp!H153, '#등급업 재료 개수'!$A$2:$K$2, 0), FALSE)</f>
        <v/>
      </c>
      <c r="H153" s="68" t="n">
        <v>10</v>
      </c>
      <c r="I153" s="68" t="n">
        <v>100</v>
      </c>
      <c r="J153" s="68" t="n">
        <v>0</v>
      </c>
      <c r="K153" s="68" t="n">
        <v>0</v>
      </c>
      <c r="L153" s="68" t="inlineStr">
        <is>
          <t>HpRatio</t>
        </is>
      </c>
      <c r="M153" s="68">
        <f>M152+10000</f>
        <v/>
      </c>
      <c r="N153" s="68" t="inlineStr">
        <is>
          <t>AtkRatio</t>
        </is>
      </c>
      <c r="O153" s="68">
        <f>O152+10000</f>
        <v/>
      </c>
      <c r="P153" s="68" t="inlineStr">
        <is>
          <t>DefRatio</t>
        </is>
      </c>
      <c r="Q153" s="68">
        <f>Q152+10000</f>
        <v/>
      </c>
      <c r="R153" s="0">
        <f>_xlfn.XLOOKUP($B153, 'Detail&lt;Child&gt;'!$A:$A, 'Detail&lt;Child&gt;'!$L:$L)</f>
        <v/>
      </c>
    </row>
    <row r="154">
      <c r="A154" s="68">
        <f>B154*100+H154</f>
        <v/>
      </c>
      <c r="B154" s="68" t="n">
        <v>10000501</v>
      </c>
      <c r="C154" s="68">
        <f>_xlfn.XLOOKUP(B154,'Detail&lt;Child&gt;'!A:A,'Detail&lt;Child&gt;'!B:B)</f>
        <v/>
      </c>
      <c r="D154" s="68">
        <f>"character_gradeup_"&amp;$B154&amp;"_"&amp;$H154</f>
        <v/>
      </c>
      <c r="E154" s="68" t="inlineStr">
        <is>
          <t>Item</t>
        </is>
      </c>
      <c r="F154" s="68">
        <f>INT(3003&amp;RIGHT(B154,4))</f>
        <v/>
      </c>
      <c r="G154" s="68">
        <f>VLOOKUP($R154, '#등급업 재료 개수'!$A$2:$K$5, MATCH(GradeUp!H154, '#등급업 재료 개수'!$A$2:$K$2, 0), FALSE)</f>
        <v/>
      </c>
      <c r="H154" s="68" t="n">
        <v>1</v>
      </c>
      <c r="I154" s="68" t="n">
        <v>10</v>
      </c>
      <c r="J154" s="68" t="n">
        <v>0</v>
      </c>
      <c r="K154" s="68" t="n">
        <v>0</v>
      </c>
      <c r="L154" s="68" t="inlineStr">
        <is>
          <t>HpRatio</t>
        </is>
      </c>
      <c r="M154" s="68" t="n">
        <v>0</v>
      </c>
      <c r="N154" s="68" t="inlineStr">
        <is>
          <t>AtkRatio</t>
        </is>
      </c>
      <c r="O154" s="68" t="n">
        <v>0</v>
      </c>
      <c r="P154" s="68" t="inlineStr">
        <is>
          <t>DefRatio</t>
        </is>
      </c>
      <c r="Q154" s="68" t="n">
        <v>0</v>
      </c>
      <c r="R154" s="0">
        <f>_xlfn.XLOOKUP($B154, 'Detail&lt;Child&gt;'!$A:$A, 'Detail&lt;Child&gt;'!$L:$L)</f>
        <v/>
      </c>
    </row>
    <row r="155">
      <c r="A155" s="68">
        <f>B155*100+H155</f>
        <v/>
      </c>
      <c r="B155" s="68" t="n">
        <v>10000501</v>
      </c>
      <c r="C155" s="68">
        <f>_xlfn.XLOOKUP(B155,'Detail&lt;Child&gt;'!A:A,'Detail&lt;Child&gt;'!B:B)</f>
        <v/>
      </c>
      <c r="D155" s="68">
        <f>"character_gradeup_"&amp;$B155&amp;"_"&amp;$H155</f>
        <v/>
      </c>
      <c r="E155" s="68" t="inlineStr">
        <is>
          <t>Item</t>
        </is>
      </c>
      <c r="F155" s="68">
        <f>INT(3003&amp;RIGHT(B155,4))</f>
        <v/>
      </c>
      <c r="G155" s="68">
        <f>VLOOKUP($R155, '#등급업 재료 개수'!$A$2:$K$5, MATCH(GradeUp!H155, '#등급업 재료 개수'!$A$2:$K$2, 0), FALSE)</f>
        <v/>
      </c>
      <c r="H155" s="68" t="n">
        <v>2</v>
      </c>
      <c r="I155" s="68" t="n">
        <v>20</v>
      </c>
      <c r="J155" s="68" t="inlineStr">
        <is>
          <t>Active</t>
        </is>
      </c>
      <c r="K155" s="68">
        <f>_xlfn.IFNA(VLOOKUP($B155, 'Detail&lt;Child&gt;'!$A:$AW, MATCH(J155, 'Detail&lt;Child&gt;'!$3:$3,0 ), FALSE)+INT($H155/12), 0)</f>
        <v/>
      </c>
      <c r="L155" s="68" t="inlineStr">
        <is>
          <t>HpRatio</t>
        </is>
      </c>
      <c r="M155" s="68" t="n">
        <v>0</v>
      </c>
      <c r="N155" s="68" t="inlineStr">
        <is>
          <t>AtkRatio</t>
        </is>
      </c>
      <c r="O155" s="68" t="n">
        <v>0</v>
      </c>
      <c r="P155" s="68" t="inlineStr">
        <is>
          <t>DefRatio</t>
        </is>
      </c>
      <c r="Q155" s="68" t="n">
        <v>0</v>
      </c>
      <c r="R155" s="0">
        <f>_xlfn.XLOOKUP($B155, 'Detail&lt;Child&gt;'!$A:$A, 'Detail&lt;Child&gt;'!$L:$L)</f>
        <v/>
      </c>
    </row>
    <row r="156">
      <c r="A156" s="68">
        <f>B156*100+H156</f>
        <v/>
      </c>
      <c r="B156" s="68" t="n">
        <v>10000501</v>
      </c>
      <c r="C156" s="68">
        <f>_xlfn.XLOOKUP(B156,'Detail&lt;Child&gt;'!A:A,'Detail&lt;Child&gt;'!B:B)</f>
        <v/>
      </c>
      <c r="D156" s="68">
        <f>"character_gradeup_"&amp;$B156&amp;"_"&amp;$H156</f>
        <v/>
      </c>
      <c r="E156" s="68" t="inlineStr">
        <is>
          <t>Item</t>
        </is>
      </c>
      <c r="F156" s="68">
        <f>INT(3003&amp;RIGHT(B156,4))</f>
        <v/>
      </c>
      <c r="G156" s="68">
        <f>VLOOKUP($R156, '#등급업 재료 개수'!$A$2:$K$5, MATCH(GradeUp!H156, '#등급업 재료 개수'!$A$2:$K$2, 0), FALSE)</f>
        <v/>
      </c>
      <c r="H156" s="68" t="n">
        <v>3</v>
      </c>
      <c r="I156" s="68" t="n">
        <v>30</v>
      </c>
      <c r="J156" s="68" t="n">
        <v>0</v>
      </c>
      <c r="K156" s="68" t="n">
        <v>0</v>
      </c>
      <c r="L156" s="68" t="inlineStr">
        <is>
          <t>HpRatio</t>
        </is>
      </c>
      <c r="M156" s="68" t="n">
        <v>0</v>
      </c>
      <c r="N156" s="68" t="inlineStr">
        <is>
          <t>AtkRatio</t>
        </is>
      </c>
      <c r="O156" s="68" t="n">
        <v>0</v>
      </c>
      <c r="P156" s="68" t="inlineStr">
        <is>
          <t>DefRatio</t>
        </is>
      </c>
      <c r="Q156" s="68" t="n">
        <v>0</v>
      </c>
      <c r="R156" s="0">
        <f>_xlfn.XLOOKUP($B156, 'Detail&lt;Child&gt;'!$A:$A, 'Detail&lt;Child&gt;'!$L:$L)</f>
        <v/>
      </c>
    </row>
    <row r="157">
      <c r="A157" s="68">
        <f>B157*100+H157</f>
        <v/>
      </c>
      <c r="B157" s="68" t="n">
        <v>10000501</v>
      </c>
      <c r="C157" s="68">
        <f>_xlfn.XLOOKUP(B157,'Detail&lt;Child&gt;'!A:A,'Detail&lt;Child&gt;'!B:B)</f>
        <v/>
      </c>
      <c r="D157" s="68">
        <f>"character_gradeup_"&amp;$B157&amp;"_"&amp;$H157</f>
        <v/>
      </c>
      <c r="E157" s="68" t="inlineStr">
        <is>
          <t>Item</t>
        </is>
      </c>
      <c r="F157" s="68">
        <f>INT(3003&amp;RIGHT(B157,4))</f>
        <v/>
      </c>
      <c r="G157" s="68">
        <f>VLOOKUP($R157, '#등급업 재료 개수'!$A$2:$K$5, MATCH(GradeUp!H157, '#등급업 재료 개수'!$A$2:$K$2, 0), FALSE)</f>
        <v/>
      </c>
      <c r="H157" s="68" t="n">
        <v>4</v>
      </c>
      <c r="I157" s="68" t="n">
        <v>40</v>
      </c>
      <c r="J157" s="68" t="inlineStr">
        <is>
          <t>Passive</t>
        </is>
      </c>
      <c r="K157" s="68">
        <f>_xlfn.IFNA(VLOOKUP($B157, 'Detail&lt;Child&gt;'!$A:$AW, MATCH(J157, 'Detail&lt;Child&gt;'!$3:$3,0 ), FALSE)+INT($H157/12), 0)</f>
        <v/>
      </c>
      <c r="L157" s="68" t="inlineStr">
        <is>
          <t>HpRatio</t>
        </is>
      </c>
      <c r="M157" s="68" t="n">
        <v>10000</v>
      </c>
      <c r="N157" s="68" t="inlineStr">
        <is>
          <t>AtkRatio</t>
        </is>
      </c>
      <c r="O157" s="68" t="n">
        <v>10000</v>
      </c>
      <c r="P157" s="68" t="inlineStr">
        <is>
          <t>DefRatio</t>
        </is>
      </c>
      <c r="Q157" s="68" t="n">
        <v>10000</v>
      </c>
      <c r="R157" s="0">
        <f>_xlfn.XLOOKUP($B157, 'Detail&lt;Child&gt;'!$A:$A, 'Detail&lt;Child&gt;'!$L:$L)</f>
        <v/>
      </c>
    </row>
    <row r="158">
      <c r="A158" s="68">
        <f>B158*100+H158</f>
        <v/>
      </c>
      <c r="B158" s="68" t="n">
        <v>10000501</v>
      </c>
      <c r="C158" s="68">
        <f>_xlfn.XLOOKUP(B158,'Detail&lt;Child&gt;'!A:A,'Detail&lt;Child&gt;'!B:B)</f>
        <v/>
      </c>
      <c r="D158" s="68">
        <f>"character_gradeup_"&amp;$B158&amp;"_"&amp;$H158</f>
        <v/>
      </c>
      <c r="E158" s="68" t="inlineStr">
        <is>
          <t>Item</t>
        </is>
      </c>
      <c r="F158" s="68">
        <f>INT(3003&amp;RIGHT(B158,4))</f>
        <v/>
      </c>
      <c r="G158" s="68">
        <f>VLOOKUP($R158, '#등급업 재료 개수'!$A$2:$K$5, MATCH(GradeUp!H158, '#등급업 재료 개수'!$A$2:$K$2, 0), FALSE)</f>
        <v/>
      </c>
      <c r="H158" s="68" t="n">
        <v>5</v>
      </c>
      <c r="I158" s="68" t="n">
        <v>50</v>
      </c>
      <c r="J158" s="68" t="inlineStr">
        <is>
          <t>Active</t>
        </is>
      </c>
      <c r="K158" s="68">
        <f>_xlfn.IFNA(VLOOKUP($B158, 'Detail&lt;Child&gt;'!$A:$AW, MATCH(J158, 'Detail&lt;Child&gt;'!$3:$3,0 ), FALSE)+INT($H158/12), 0)+1</f>
        <v/>
      </c>
      <c r="L158" s="68" t="inlineStr">
        <is>
          <t>HpRatio</t>
        </is>
      </c>
      <c r="M158" s="68">
        <f>M157+10000</f>
        <v/>
      </c>
      <c r="N158" s="68" t="inlineStr">
        <is>
          <t>AtkRatio</t>
        </is>
      </c>
      <c r="O158" s="68">
        <f>O157+10000</f>
        <v/>
      </c>
      <c r="P158" s="68" t="inlineStr">
        <is>
          <t>DefRatio</t>
        </is>
      </c>
      <c r="Q158" s="68">
        <f>Q157+10000</f>
        <v/>
      </c>
      <c r="R158" s="0">
        <f>_xlfn.XLOOKUP($B158, 'Detail&lt;Child&gt;'!$A:$A, 'Detail&lt;Child&gt;'!$L:$L)</f>
        <v/>
      </c>
    </row>
    <row r="159">
      <c r="A159" s="68">
        <f>B159*100+H159</f>
        <v/>
      </c>
      <c r="B159" s="68" t="n">
        <v>10000501</v>
      </c>
      <c r="C159" s="68">
        <f>_xlfn.XLOOKUP(B159,'Detail&lt;Child&gt;'!A:A,'Detail&lt;Child&gt;'!B:B)</f>
        <v/>
      </c>
      <c r="D159" s="68">
        <f>"character_gradeup_"&amp;$B159&amp;"_"&amp;$H159</f>
        <v/>
      </c>
      <c r="E159" s="68" t="inlineStr">
        <is>
          <t>Item</t>
        </is>
      </c>
      <c r="F159" s="68">
        <f>INT(3003&amp;RIGHT(B159,4))</f>
        <v/>
      </c>
      <c r="G159" s="68">
        <f>VLOOKUP($R159, '#등급업 재료 개수'!$A$2:$K$5, MATCH(GradeUp!H159, '#등급업 재료 개수'!$A$2:$K$2, 0), FALSE)</f>
        <v/>
      </c>
      <c r="H159" s="68" t="n">
        <v>6</v>
      </c>
      <c r="I159" s="68" t="n">
        <v>60</v>
      </c>
      <c r="J159" s="68" t="n">
        <v>0</v>
      </c>
      <c r="K159" s="68" t="n">
        <v>0</v>
      </c>
      <c r="L159" s="68" t="inlineStr">
        <is>
          <t>HpRatio</t>
        </is>
      </c>
      <c r="M159" s="68">
        <f>M158+10000</f>
        <v/>
      </c>
      <c r="N159" s="68" t="inlineStr">
        <is>
          <t>AtkRatio</t>
        </is>
      </c>
      <c r="O159" s="68">
        <f>O158+10000</f>
        <v/>
      </c>
      <c r="P159" s="68" t="inlineStr">
        <is>
          <t>DefRatio</t>
        </is>
      </c>
      <c r="Q159" s="68">
        <f>Q158+10000</f>
        <v/>
      </c>
      <c r="R159" s="0">
        <f>_xlfn.XLOOKUP($B159, 'Detail&lt;Child&gt;'!$A:$A, 'Detail&lt;Child&gt;'!$L:$L)</f>
        <v/>
      </c>
    </row>
    <row r="160">
      <c r="A160" s="68">
        <f>B160*100+H160</f>
        <v/>
      </c>
      <c r="B160" s="68" t="n">
        <v>10000501</v>
      </c>
      <c r="C160" s="68">
        <f>_xlfn.XLOOKUP(B160,'Detail&lt;Child&gt;'!A:A,'Detail&lt;Child&gt;'!B:B)</f>
        <v/>
      </c>
      <c r="D160" s="68">
        <f>"character_gradeup_"&amp;$B160&amp;"_"&amp;$H160</f>
        <v/>
      </c>
      <c r="E160" s="68" t="inlineStr">
        <is>
          <t>Item</t>
        </is>
      </c>
      <c r="F160" s="68">
        <f>INT(3003&amp;RIGHT(B160,4))</f>
        <v/>
      </c>
      <c r="G160" s="68">
        <f>VLOOKUP($R160, '#등급업 재료 개수'!$A$2:$K$5, MATCH(GradeUp!H160, '#등급업 재료 개수'!$A$2:$K$2, 0), FALSE)</f>
        <v/>
      </c>
      <c r="H160" s="68" t="n">
        <v>7</v>
      </c>
      <c r="I160" s="68" t="n">
        <v>70</v>
      </c>
      <c r="J160" s="68" t="inlineStr">
        <is>
          <t>Passive</t>
        </is>
      </c>
      <c r="K160" s="68">
        <f>_xlfn.IFNA(VLOOKUP($B160, 'Detail&lt;Child&gt;'!$A:$AW, MATCH(J160, 'Detail&lt;Child&gt;'!$3:$3,0 ), FALSE)+INT($H160/12), 0)+1</f>
        <v/>
      </c>
      <c r="L160" s="68" t="inlineStr">
        <is>
          <t>HpRatio</t>
        </is>
      </c>
      <c r="M160" s="68">
        <f>M159+10000</f>
        <v/>
      </c>
      <c r="N160" s="68" t="inlineStr">
        <is>
          <t>AtkRatio</t>
        </is>
      </c>
      <c r="O160" s="68">
        <f>O159+10000</f>
        <v/>
      </c>
      <c r="P160" s="68" t="inlineStr">
        <is>
          <t>DefRatio</t>
        </is>
      </c>
      <c r="Q160" s="68">
        <f>Q159+10000</f>
        <v/>
      </c>
      <c r="R160" s="0">
        <f>_xlfn.XLOOKUP($B160, 'Detail&lt;Child&gt;'!$A:$A, 'Detail&lt;Child&gt;'!$L:$L)</f>
        <v/>
      </c>
    </row>
    <row r="161">
      <c r="A161" s="68">
        <f>B161*100+H161</f>
        <v/>
      </c>
      <c r="B161" s="68" t="n">
        <v>10000501</v>
      </c>
      <c r="C161" s="68">
        <f>_xlfn.XLOOKUP(B161,'Detail&lt;Child&gt;'!A:A,'Detail&lt;Child&gt;'!B:B)</f>
        <v/>
      </c>
      <c r="D161" s="68">
        <f>"character_gradeup_"&amp;$B161&amp;"_"&amp;$H161</f>
        <v/>
      </c>
      <c r="E161" s="68" t="inlineStr">
        <is>
          <t>Item</t>
        </is>
      </c>
      <c r="F161" s="68">
        <f>INT(3003&amp;RIGHT(B161,4))</f>
        <v/>
      </c>
      <c r="G161" s="68">
        <f>VLOOKUP($R161, '#등급업 재료 개수'!$A$2:$K$5, MATCH(GradeUp!H161, '#등급업 재료 개수'!$A$2:$K$2, 0), FALSE)</f>
        <v/>
      </c>
      <c r="H161" s="68" t="n">
        <v>8</v>
      </c>
      <c r="I161" s="68" t="n">
        <v>80</v>
      </c>
      <c r="J161" s="68" t="n">
        <v>0</v>
      </c>
      <c r="K161" s="68" t="n">
        <v>0</v>
      </c>
      <c r="L161" s="68" t="inlineStr">
        <is>
          <t>HpRatio</t>
        </is>
      </c>
      <c r="M161" s="68">
        <f>M160+10000</f>
        <v/>
      </c>
      <c r="N161" s="68" t="inlineStr">
        <is>
          <t>AtkRatio</t>
        </is>
      </c>
      <c r="O161" s="68">
        <f>O160+10000</f>
        <v/>
      </c>
      <c r="P161" s="68" t="inlineStr">
        <is>
          <t>DefRatio</t>
        </is>
      </c>
      <c r="Q161" s="68">
        <f>Q160+10000</f>
        <v/>
      </c>
      <c r="R161" s="0">
        <f>_xlfn.XLOOKUP($B161, 'Detail&lt;Child&gt;'!$A:$A, 'Detail&lt;Child&gt;'!$L:$L)</f>
        <v/>
      </c>
    </row>
    <row r="162">
      <c r="A162" s="68">
        <f>B162*100+H162</f>
        <v/>
      </c>
      <c r="B162" s="68" t="n">
        <v>10000501</v>
      </c>
      <c r="C162" s="68">
        <f>_xlfn.XLOOKUP(B162,'Detail&lt;Child&gt;'!A:A,'Detail&lt;Child&gt;'!B:B)</f>
        <v/>
      </c>
      <c r="D162" s="68">
        <f>"character_gradeup_"&amp;$B162&amp;"_"&amp;$H162</f>
        <v/>
      </c>
      <c r="E162" s="68" t="inlineStr">
        <is>
          <t>Item</t>
        </is>
      </c>
      <c r="F162" s="68">
        <f>INT(3003&amp;RIGHT(B162,4))</f>
        <v/>
      </c>
      <c r="G162" s="68">
        <f>VLOOKUP($R162, '#등급업 재료 개수'!$A$2:$K$5, MATCH(GradeUp!H162, '#등급업 재료 개수'!$A$2:$K$2, 0), FALSE)</f>
        <v/>
      </c>
      <c r="H162" s="68" t="n">
        <v>9</v>
      </c>
      <c r="I162" s="68" t="n">
        <v>90</v>
      </c>
      <c r="J162" s="68" t="inlineStr">
        <is>
          <t>Ultimate</t>
        </is>
      </c>
      <c r="K162" s="68">
        <f>_xlfn.IFNA(VLOOKUP($B162, 'Detail&lt;Child&gt;'!$A:$AW, MATCH(J162, 'Detail&lt;Child&gt;'!$3:$3,0 ), FALSE)+INT($H162/12), 0)+1</f>
        <v/>
      </c>
      <c r="L162" s="68" t="inlineStr">
        <is>
          <t>HpRatio</t>
        </is>
      </c>
      <c r="M162" s="68">
        <f>M161+10000</f>
        <v/>
      </c>
      <c r="N162" s="68" t="inlineStr">
        <is>
          <t>AtkRatio</t>
        </is>
      </c>
      <c r="O162" s="68">
        <f>O161+10000</f>
        <v/>
      </c>
      <c r="P162" s="68" t="inlineStr">
        <is>
          <t>DefRatio</t>
        </is>
      </c>
      <c r="Q162" s="68">
        <f>Q161+10000</f>
        <v/>
      </c>
      <c r="R162" s="0">
        <f>_xlfn.XLOOKUP($B162, 'Detail&lt;Child&gt;'!$A:$A, 'Detail&lt;Child&gt;'!$L:$L)</f>
        <v/>
      </c>
    </row>
    <row r="163">
      <c r="A163" s="68">
        <f>B163*100+H163</f>
        <v/>
      </c>
      <c r="B163" s="68" t="n">
        <v>10000501</v>
      </c>
      <c r="C163" s="68">
        <f>_xlfn.XLOOKUP(B163,'Detail&lt;Child&gt;'!A:A,'Detail&lt;Child&gt;'!B:B)</f>
        <v/>
      </c>
      <c r="D163" s="68">
        <f>"character_gradeup_"&amp;$B163&amp;"_"&amp;$H163</f>
        <v/>
      </c>
      <c r="E163" s="68" t="inlineStr">
        <is>
          <t>Item</t>
        </is>
      </c>
      <c r="F163" s="68">
        <f>INT(3003&amp;RIGHT(B163,4))</f>
        <v/>
      </c>
      <c r="G163" s="68">
        <f>VLOOKUP($R163, '#등급업 재료 개수'!$A$2:$K$5, MATCH(GradeUp!H163, '#등급업 재료 개수'!$A$2:$K$2, 0), FALSE)</f>
        <v/>
      </c>
      <c r="H163" s="68" t="n">
        <v>10</v>
      </c>
      <c r="I163" s="68" t="n">
        <v>100</v>
      </c>
      <c r="J163" s="68" t="n">
        <v>0</v>
      </c>
      <c r="K163" s="68" t="n">
        <v>0</v>
      </c>
      <c r="L163" s="68" t="inlineStr">
        <is>
          <t>HpRatio</t>
        </is>
      </c>
      <c r="M163" s="68">
        <f>M162+10000</f>
        <v/>
      </c>
      <c r="N163" s="68" t="inlineStr">
        <is>
          <t>AtkRatio</t>
        </is>
      </c>
      <c r="O163" s="68">
        <f>O162+10000</f>
        <v/>
      </c>
      <c r="P163" s="68" t="inlineStr">
        <is>
          <t>DefRatio</t>
        </is>
      </c>
      <c r="Q163" s="68">
        <f>Q162+10000</f>
        <v/>
      </c>
      <c r="R163" s="0">
        <f>_xlfn.XLOOKUP($B163, 'Detail&lt;Child&gt;'!$A:$A, 'Detail&lt;Child&gt;'!$L:$L)</f>
        <v/>
      </c>
    </row>
    <row r="164">
      <c r="A164" s="68">
        <f>B164*100+H164</f>
        <v/>
      </c>
      <c r="B164" s="68" t="n">
        <v>10000001</v>
      </c>
      <c r="C164" s="68">
        <f>_xlfn.XLOOKUP(B164,'Detail&lt;Child&gt;'!A:A,'Detail&lt;Child&gt;'!B:B)</f>
        <v/>
      </c>
      <c r="D164" s="68">
        <f>"character_gradeup_"&amp;$B164&amp;"_"&amp;$H164</f>
        <v/>
      </c>
      <c r="E164" s="68" t="inlineStr">
        <is>
          <t>Item</t>
        </is>
      </c>
      <c r="F164" s="68">
        <f>INT(3003&amp;RIGHT(B164,4))</f>
        <v/>
      </c>
      <c r="G164" s="68">
        <f>VLOOKUP($R164, '#등급업 재료 개수'!$A$2:$K$5, MATCH(GradeUp!H164, '#등급업 재료 개수'!$A$2:$K$2, 0), FALSE)</f>
        <v/>
      </c>
      <c r="H164" s="68" t="n">
        <v>1</v>
      </c>
      <c r="I164" s="68" t="n">
        <v>10</v>
      </c>
      <c r="J164" s="68" t="n">
        <v>0</v>
      </c>
      <c r="K164" s="68" t="n">
        <v>0</v>
      </c>
      <c r="L164" s="68" t="inlineStr">
        <is>
          <t>HpRatio</t>
        </is>
      </c>
      <c r="M164" s="68" t="n">
        <v>0</v>
      </c>
      <c r="N164" s="68" t="inlineStr">
        <is>
          <t>AtkRatio</t>
        </is>
      </c>
      <c r="O164" s="68" t="n">
        <v>0</v>
      </c>
      <c r="P164" s="68" t="inlineStr">
        <is>
          <t>DefRatio</t>
        </is>
      </c>
      <c r="Q164" s="68" t="n">
        <v>0</v>
      </c>
      <c r="R164" s="0">
        <f>_xlfn.XLOOKUP($B164, 'Detail&lt;Child&gt;'!$A:$A, 'Detail&lt;Child&gt;'!$L:$L)</f>
        <v/>
      </c>
    </row>
    <row r="165">
      <c r="A165" s="68">
        <f>B165*100+H165</f>
        <v/>
      </c>
      <c r="B165" s="68" t="n">
        <v>10000001</v>
      </c>
      <c r="C165" s="68">
        <f>_xlfn.XLOOKUP(B165,'Detail&lt;Child&gt;'!A:A,'Detail&lt;Child&gt;'!B:B)</f>
        <v/>
      </c>
      <c r="D165" s="68">
        <f>"character_gradeup_"&amp;$B165&amp;"_"&amp;$H165</f>
        <v/>
      </c>
      <c r="E165" s="68" t="inlineStr">
        <is>
          <t>Item</t>
        </is>
      </c>
      <c r="F165" s="68">
        <f>INT(3003&amp;RIGHT(B165,4))</f>
        <v/>
      </c>
      <c r="G165" s="68">
        <f>VLOOKUP($R165, '#등급업 재료 개수'!$A$2:$K$5, MATCH(GradeUp!H165, '#등급업 재료 개수'!$A$2:$K$2, 0), FALSE)</f>
        <v/>
      </c>
      <c r="H165" s="68" t="n">
        <v>2</v>
      </c>
      <c r="I165" s="68" t="n">
        <v>20</v>
      </c>
      <c r="J165" s="68" t="inlineStr">
        <is>
          <t>Active</t>
        </is>
      </c>
      <c r="K165" s="68">
        <f>_xlfn.IFNA(VLOOKUP($B165, 'Detail&lt;Child&gt;'!$A:$AW, MATCH(J165, 'Detail&lt;Child&gt;'!$3:$3,0 ), FALSE)+INT($H165/12), 0)</f>
        <v/>
      </c>
      <c r="L165" s="68" t="inlineStr">
        <is>
          <t>HpRatio</t>
        </is>
      </c>
      <c r="M165" s="68" t="n">
        <v>10000</v>
      </c>
      <c r="N165" s="68" t="inlineStr">
        <is>
          <t>AtkRatio</t>
        </is>
      </c>
      <c r="O165" s="68" t="n">
        <v>10000</v>
      </c>
      <c r="P165" s="68" t="inlineStr">
        <is>
          <t>DefRatio</t>
        </is>
      </c>
      <c r="Q165" s="68" t="n">
        <v>10000</v>
      </c>
      <c r="R165" s="0">
        <f>_xlfn.XLOOKUP($B165, 'Detail&lt;Child&gt;'!$A:$A, 'Detail&lt;Child&gt;'!$L:$L)</f>
        <v/>
      </c>
    </row>
    <row r="166">
      <c r="A166" s="68">
        <f>B166*100+H166</f>
        <v/>
      </c>
      <c r="B166" s="68" t="n">
        <v>10000001</v>
      </c>
      <c r="C166" s="68">
        <f>_xlfn.XLOOKUP(B166,'Detail&lt;Child&gt;'!A:A,'Detail&lt;Child&gt;'!B:B)</f>
        <v/>
      </c>
      <c r="D166" s="68">
        <f>"character_gradeup_"&amp;$B166&amp;"_"&amp;$H166</f>
        <v/>
      </c>
      <c r="E166" s="68" t="inlineStr">
        <is>
          <t>Item</t>
        </is>
      </c>
      <c r="F166" s="68">
        <f>INT(3003&amp;RIGHT(B166,4))</f>
        <v/>
      </c>
      <c r="G166" s="68">
        <f>VLOOKUP($R166, '#등급업 재료 개수'!$A$2:$K$5, MATCH(GradeUp!H166, '#등급업 재료 개수'!$A$2:$K$2, 0), FALSE)</f>
        <v/>
      </c>
      <c r="H166" s="68" t="n">
        <v>3</v>
      </c>
      <c r="I166" s="68" t="n">
        <v>30</v>
      </c>
      <c r="J166" s="68" t="n">
        <v>0</v>
      </c>
      <c r="K166" s="68" t="n">
        <v>0</v>
      </c>
      <c r="L166" s="68" t="inlineStr">
        <is>
          <t>HpRatio</t>
        </is>
      </c>
      <c r="M166" s="68">
        <f>M165+10000</f>
        <v/>
      </c>
      <c r="N166" s="68" t="inlineStr">
        <is>
          <t>AtkRatio</t>
        </is>
      </c>
      <c r="O166" s="68">
        <f>O165+10000</f>
        <v/>
      </c>
      <c r="P166" s="68" t="inlineStr">
        <is>
          <t>DefRatio</t>
        </is>
      </c>
      <c r="Q166" s="68">
        <f>Q165+10000</f>
        <v/>
      </c>
      <c r="R166" s="0">
        <f>_xlfn.XLOOKUP($B166, 'Detail&lt;Child&gt;'!$A:$A, 'Detail&lt;Child&gt;'!$L:$L)</f>
        <v/>
      </c>
    </row>
    <row r="167">
      <c r="A167" s="68">
        <f>B167*100+H167</f>
        <v/>
      </c>
      <c r="B167" s="68" t="n">
        <v>10000001</v>
      </c>
      <c r="C167" s="68">
        <f>_xlfn.XLOOKUP(B167,'Detail&lt;Child&gt;'!A:A,'Detail&lt;Child&gt;'!B:B)</f>
        <v/>
      </c>
      <c r="D167" s="68">
        <f>"character_gradeup_"&amp;$B167&amp;"_"&amp;$H167</f>
        <v/>
      </c>
      <c r="E167" s="68" t="inlineStr">
        <is>
          <t>Item</t>
        </is>
      </c>
      <c r="F167" s="68">
        <f>INT(3003&amp;RIGHT(B167,4))</f>
        <v/>
      </c>
      <c r="G167" s="68">
        <f>VLOOKUP($R167, '#등급업 재료 개수'!$A$2:$K$5, MATCH(GradeUp!H167, '#등급업 재료 개수'!$A$2:$K$2, 0), FALSE)</f>
        <v/>
      </c>
      <c r="H167" s="68" t="n">
        <v>4</v>
      </c>
      <c r="I167" s="68" t="n">
        <v>40</v>
      </c>
      <c r="J167" s="68" t="inlineStr">
        <is>
          <t>Passive</t>
        </is>
      </c>
      <c r="K167" s="68">
        <f>_xlfn.IFNA(VLOOKUP($B167, 'Detail&lt;Child&gt;'!$A:$AW, MATCH(J167, 'Detail&lt;Child&gt;'!$3:$3,0 ), FALSE)+INT($H167/12), 0)</f>
        <v/>
      </c>
      <c r="L167" s="68" t="inlineStr">
        <is>
          <t>HpRatio</t>
        </is>
      </c>
      <c r="M167" s="68">
        <f>M166+10000</f>
        <v/>
      </c>
      <c r="N167" s="68" t="inlineStr">
        <is>
          <t>AtkRatio</t>
        </is>
      </c>
      <c r="O167" s="68">
        <f>O166+10000</f>
        <v/>
      </c>
      <c r="P167" s="68" t="inlineStr">
        <is>
          <t>DefRatio</t>
        </is>
      </c>
      <c r="Q167" s="68">
        <f>Q166+10000</f>
        <v/>
      </c>
      <c r="R167" s="0">
        <f>_xlfn.XLOOKUP($B167, 'Detail&lt;Child&gt;'!$A:$A, 'Detail&lt;Child&gt;'!$L:$L)</f>
        <v/>
      </c>
    </row>
    <row r="168">
      <c r="A168" s="68">
        <f>B168*100+H168</f>
        <v/>
      </c>
      <c r="B168" s="68" t="n">
        <v>10000001</v>
      </c>
      <c r="C168" s="68">
        <f>_xlfn.XLOOKUP(B168,'Detail&lt;Child&gt;'!A:A,'Detail&lt;Child&gt;'!B:B)</f>
        <v/>
      </c>
      <c r="D168" s="68">
        <f>"character_gradeup_"&amp;$B168&amp;"_"&amp;$H168</f>
        <v/>
      </c>
      <c r="E168" s="68" t="inlineStr">
        <is>
          <t>Item</t>
        </is>
      </c>
      <c r="F168" s="68">
        <f>INT(3003&amp;RIGHT(B168,4))</f>
        <v/>
      </c>
      <c r="G168" s="68">
        <f>VLOOKUP($R168, '#등급업 재료 개수'!$A$2:$K$5, MATCH(GradeUp!H168, '#등급업 재료 개수'!$A$2:$K$2, 0), FALSE)</f>
        <v/>
      </c>
      <c r="H168" s="68" t="n">
        <v>5</v>
      </c>
      <c r="I168" s="68" t="n">
        <v>50</v>
      </c>
      <c r="J168" s="68" t="inlineStr">
        <is>
          <t>Active</t>
        </is>
      </c>
      <c r="K168" s="68">
        <f>_xlfn.IFNA(VLOOKUP($B168, 'Detail&lt;Child&gt;'!$A:$AW, MATCH(J168, 'Detail&lt;Child&gt;'!$3:$3,0 ), FALSE)+INT($H168/12), 0)+1</f>
        <v/>
      </c>
      <c r="L168" s="68" t="inlineStr">
        <is>
          <t>HpRatio</t>
        </is>
      </c>
      <c r="M168" s="68">
        <f>M167+10000</f>
        <v/>
      </c>
      <c r="N168" s="68" t="inlineStr">
        <is>
          <t>AtkRatio</t>
        </is>
      </c>
      <c r="O168" s="68">
        <f>O167+10000</f>
        <v/>
      </c>
      <c r="P168" s="68" t="inlineStr">
        <is>
          <t>DefRatio</t>
        </is>
      </c>
      <c r="Q168" s="68">
        <f>Q167+10000</f>
        <v/>
      </c>
      <c r="R168" s="0">
        <f>_xlfn.XLOOKUP($B168, 'Detail&lt;Child&gt;'!$A:$A, 'Detail&lt;Child&gt;'!$L:$L)</f>
        <v/>
      </c>
    </row>
    <row r="169">
      <c r="A169" s="68">
        <f>B169*100+H169</f>
        <v/>
      </c>
      <c r="B169" s="68" t="n">
        <v>10000001</v>
      </c>
      <c r="C169" s="68">
        <f>_xlfn.XLOOKUP(B169,'Detail&lt;Child&gt;'!A:A,'Detail&lt;Child&gt;'!B:B)</f>
        <v/>
      </c>
      <c r="D169" s="68">
        <f>"character_gradeup_"&amp;$B169&amp;"_"&amp;$H169</f>
        <v/>
      </c>
      <c r="E169" s="68" t="inlineStr">
        <is>
          <t>Item</t>
        </is>
      </c>
      <c r="F169" s="68">
        <f>INT(3003&amp;RIGHT(B169,4))</f>
        <v/>
      </c>
      <c r="G169" s="68">
        <f>VLOOKUP($R169, '#등급업 재료 개수'!$A$2:$K$5, MATCH(GradeUp!H169, '#등급업 재료 개수'!$A$2:$K$2, 0), FALSE)</f>
        <v/>
      </c>
      <c r="H169" s="68" t="n">
        <v>6</v>
      </c>
      <c r="I169" s="68" t="n">
        <v>60</v>
      </c>
      <c r="J169" s="68" t="n">
        <v>0</v>
      </c>
      <c r="K169" s="68" t="n">
        <v>0</v>
      </c>
      <c r="L169" s="68" t="inlineStr">
        <is>
          <t>HpRatio</t>
        </is>
      </c>
      <c r="M169" s="68">
        <f>M168+10000</f>
        <v/>
      </c>
      <c r="N169" s="68" t="inlineStr">
        <is>
          <t>AtkRatio</t>
        </is>
      </c>
      <c r="O169" s="68">
        <f>O168+10000</f>
        <v/>
      </c>
      <c r="P169" s="68" t="inlineStr">
        <is>
          <t>DefRatio</t>
        </is>
      </c>
      <c r="Q169" s="68">
        <f>Q168+10000</f>
        <v/>
      </c>
      <c r="R169" s="0">
        <f>_xlfn.XLOOKUP($B169, 'Detail&lt;Child&gt;'!$A:$A, 'Detail&lt;Child&gt;'!$L:$L)</f>
        <v/>
      </c>
    </row>
    <row r="170">
      <c r="A170" s="68">
        <f>B170*100+H170</f>
        <v/>
      </c>
      <c r="B170" s="68" t="n">
        <v>10000001</v>
      </c>
      <c r="C170" s="68">
        <f>_xlfn.XLOOKUP(B170,'Detail&lt;Child&gt;'!A:A,'Detail&lt;Child&gt;'!B:B)</f>
        <v/>
      </c>
      <c r="D170" s="68">
        <f>"character_gradeup_"&amp;$B170&amp;"_"&amp;$H170</f>
        <v/>
      </c>
      <c r="E170" s="68" t="inlineStr">
        <is>
          <t>Item</t>
        </is>
      </c>
      <c r="F170" s="68">
        <f>INT(3003&amp;RIGHT(B170,4))</f>
        <v/>
      </c>
      <c r="G170" s="68">
        <f>VLOOKUP($R170, '#등급업 재료 개수'!$A$2:$K$5, MATCH(GradeUp!H170, '#등급업 재료 개수'!$A$2:$K$2, 0), FALSE)</f>
        <v/>
      </c>
      <c r="H170" s="68" t="n">
        <v>7</v>
      </c>
      <c r="I170" s="68" t="n">
        <v>70</v>
      </c>
      <c r="J170" s="68" t="inlineStr">
        <is>
          <t>Passive</t>
        </is>
      </c>
      <c r="K170" s="68">
        <f>_xlfn.IFNA(VLOOKUP($B170, 'Detail&lt;Child&gt;'!$A:$AW, MATCH(J170, 'Detail&lt;Child&gt;'!$3:$3,0 ), FALSE)+INT($H170/12), 0)+1</f>
        <v/>
      </c>
      <c r="L170" s="68" t="inlineStr">
        <is>
          <t>HpRatio</t>
        </is>
      </c>
      <c r="M170" s="68">
        <f>M169+10000</f>
        <v/>
      </c>
      <c r="N170" s="68" t="inlineStr">
        <is>
          <t>AtkRatio</t>
        </is>
      </c>
      <c r="O170" s="68">
        <f>O169+10000</f>
        <v/>
      </c>
      <c r="P170" s="68" t="inlineStr">
        <is>
          <t>DefRatio</t>
        </is>
      </c>
      <c r="Q170" s="68">
        <f>Q169+10000</f>
        <v/>
      </c>
      <c r="R170" s="0">
        <f>_xlfn.XLOOKUP($B170, 'Detail&lt;Child&gt;'!$A:$A, 'Detail&lt;Child&gt;'!$L:$L)</f>
        <v/>
      </c>
    </row>
    <row r="171">
      <c r="A171" s="68">
        <f>B171*100+H171</f>
        <v/>
      </c>
      <c r="B171" s="68" t="n">
        <v>10000001</v>
      </c>
      <c r="C171" s="68">
        <f>_xlfn.XLOOKUP(B171,'Detail&lt;Child&gt;'!A:A,'Detail&lt;Child&gt;'!B:B)</f>
        <v/>
      </c>
      <c r="D171" s="68">
        <f>"character_gradeup_"&amp;$B171&amp;"_"&amp;$H171</f>
        <v/>
      </c>
      <c r="E171" s="68" t="inlineStr">
        <is>
          <t>Item</t>
        </is>
      </c>
      <c r="F171" s="68">
        <f>INT(3003&amp;RIGHT(B171,4))</f>
        <v/>
      </c>
      <c r="G171" s="68">
        <f>VLOOKUP($R171, '#등급업 재료 개수'!$A$2:$K$5, MATCH(GradeUp!H171, '#등급업 재료 개수'!$A$2:$K$2, 0), FALSE)</f>
        <v/>
      </c>
      <c r="H171" s="68" t="n">
        <v>8</v>
      </c>
      <c r="I171" s="68" t="n">
        <v>80</v>
      </c>
      <c r="J171" s="68" t="n">
        <v>0</v>
      </c>
      <c r="K171" s="68" t="n">
        <v>0</v>
      </c>
      <c r="L171" s="68" t="inlineStr">
        <is>
          <t>HpRatio</t>
        </is>
      </c>
      <c r="M171" s="68">
        <f>M170+10000</f>
        <v/>
      </c>
      <c r="N171" s="68" t="inlineStr">
        <is>
          <t>AtkRatio</t>
        </is>
      </c>
      <c r="O171" s="68">
        <f>O170+10000</f>
        <v/>
      </c>
      <c r="P171" s="68" t="inlineStr">
        <is>
          <t>DefRatio</t>
        </is>
      </c>
      <c r="Q171" s="68">
        <f>Q170+10000</f>
        <v/>
      </c>
      <c r="R171" s="0">
        <f>_xlfn.XLOOKUP($B171, 'Detail&lt;Child&gt;'!$A:$A, 'Detail&lt;Child&gt;'!$L:$L)</f>
        <v/>
      </c>
    </row>
    <row r="172">
      <c r="A172" s="68">
        <f>B172*100+H172</f>
        <v/>
      </c>
      <c r="B172" s="68" t="n">
        <v>10000001</v>
      </c>
      <c r="C172" s="68">
        <f>_xlfn.XLOOKUP(B172,'Detail&lt;Child&gt;'!A:A,'Detail&lt;Child&gt;'!B:B)</f>
        <v/>
      </c>
      <c r="D172" s="68">
        <f>"character_gradeup_"&amp;$B172&amp;"_"&amp;$H172</f>
        <v/>
      </c>
      <c r="E172" s="68" t="inlineStr">
        <is>
          <t>Item</t>
        </is>
      </c>
      <c r="F172" s="68">
        <f>INT(3003&amp;RIGHT(B172,4))</f>
        <v/>
      </c>
      <c r="G172" s="68">
        <f>VLOOKUP($R172, '#등급업 재료 개수'!$A$2:$K$5, MATCH(GradeUp!H172, '#등급업 재료 개수'!$A$2:$K$2, 0), FALSE)</f>
        <v/>
      </c>
      <c r="H172" s="68" t="n">
        <v>9</v>
      </c>
      <c r="I172" s="68" t="n">
        <v>90</v>
      </c>
      <c r="J172" s="68" t="inlineStr">
        <is>
          <t>Ultimate</t>
        </is>
      </c>
      <c r="K172" s="68">
        <f>_xlfn.IFNA(VLOOKUP($B172, 'Detail&lt;Child&gt;'!$A:$AW, MATCH(J172, 'Detail&lt;Child&gt;'!$3:$3,0 ), FALSE)+INT($H172/12), 0)+1</f>
        <v/>
      </c>
      <c r="L172" s="68" t="inlineStr">
        <is>
          <t>HpRatio</t>
        </is>
      </c>
      <c r="M172" s="68">
        <f>M171+10000</f>
        <v/>
      </c>
      <c r="N172" s="68" t="inlineStr">
        <is>
          <t>AtkRatio</t>
        </is>
      </c>
      <c r="O172" s="68">
        <f>O171+10000</f>
        <v/>
      </c>
      <c r="P172" s="68" t="inlineStr">
        <is>
          <t>DefRatio</t>
        </is>
      </c>
      <c r="Q172" s="68">
        <f>Q171+10000</f>
        <v/>
      </c>
      <c r="R172" s="0">
        <f>_xlfn.XLOOKUP($B172, 'Detail&lt;Child&gt;'!$A:$A, 'Detail&lt;Child&gt;'!$L:$L)</f>
        <v/>
      </c>
    </row>
    <row r="173">
      <c r="A173" s="68">
        <f>B173*100+H173</f>
        <v/>
      </c>
      <c r="B173" s="68" t="n">
        <v>10000001</v>
      </c>
      <c r="C173" s="68">
        <f>_xlfn.XLOOKUP(B173,'Detail&lt;Child&gt;'!A:A,'Detail&lt;Child&gt;'!B:B)</f>
        <v/>
      </c>
      <c r="D173" s="68">
        <f>"character_gradeup_"&amp;$B173&amp;"_"&amp;$H173</f>
        <v/>
      </c>
      <c r="E173" s="68" t="inlineStr">
        <is>
          <t>Item</t>
        </is>
      </c>
      <c r="F173" s="68">
        <f>INT(3003&amp;RIGHT(B173,4))</f>
        <v/>
      </c>
      <c r="G173" s="68">
        <f>VLOOKUP($R173, '#등급업 재료 개수'!$A$2:$K$5, MATCH(GradeUp!H173, '#등급업 재료 개수'!$A$2:$K$2, 0), FALSE)</f>
        <v/>
      </c>
      <c r="H173" s="68" t="n">
        <v>10</v>
      </c>
      <c r="I173" s="68" t="n">
        <v>100</v>
      </c>
      <c r="J173" s="68" t="n">
        <v>0</v>
      </c>
      <c r="K173" s="68" t="n">
        <v>0</v>
      </c>
      <c r="L173" s="68" t="inlineStr">
        <is>
          <t>HpRatio</t>
        </is>
      </c>
      <c r="M173" s="68">
        <f>M172+10000</f>
        <v/>
      </c>
      <c r="N173" s="68" t="inlineStr">
        <is>
          <t>AtkRatio</t>
        </is>
      </c>
      <c r="O173" s="68">
        <f>O172+10000</f>
        <v/>
      </c>
      <c r="P173" s="68" t="inlineStr">
        <is>
          <t>DefRatio</t>
        </is>
      </c>
      <c r="Q173" s="68">
        <f>Q172+10000</f>
        <v/>
      </c>
      <c r="R173" s="0">
        <f>_xlfn.XLOOKUP($B173, 'Detail&lt;Child&gt;'!$A:$A, 'Detail&lt;Child&gt;'!$L:$L)</f>
        <v/>
      </c>
    </row>
    <row r="174">
      <c r="A174" s="68">
        <f>B174*100+H174</f>
        <v/>
      </c>
      <c r="B174" s="68" t="n">
        <v>10000502</v>
      </c>
      <c r="C174" s="68">
        <f>_xlfn.XLOOKUP(B174,'Detail&lt;Child&gt;'!A:A,'Detail&lt;Child&gt;'!B:B)</f>
        <v/>
      </c>
      <c r="D174" s="68">
        <f>"character_gradeup_"&amp;$B174&amp;"_"&amp;$H174</f>
        <v/>
      </c>
      <c r="E174" s="68" t="inlineStr">
        <is>
          <t>Item</t>
        </is>
      </c>
      <c r="F174" s="68">
        <f>INT(3003&amp;RIGHT(B174,4))</f>
        <v/>
      </c>
      <c r="G174" s="68">
        <f>VLOOKUP($R174, '#등급업 재료 개수'!$A$2:$K$5, MATCH(GradeUp!H174, '#등급업 재료 개수'!$A$2:$K$2, 0), FALSE)</f>
        <v/>
      </c>
      <c r="H174" s="68" t="n">
        <v>1</v>
      </c>
      <c r="I174" s="68" t="n">
        <v>10</v>
      </c>
      <c r="J174" s="68" t="n">
        <v>0</v>
      </c>
      <c r="K174" s="68" t="n">
        <v>0</v>
      </c>
      <c r="L174" s="68" t="inlineStr">
        <is>
          <t>HpRatio</t>
        </is>
      </c>
      <c r="M174" s="68" t="n">
        <v>0</v>
      </c>
      <c r="N174" s="68" t="inlineStr">
        <is>
          <t>AtkRatio</t>
        </is>
      </c>
      <c r="O174" s="68" t="n">
        <v>0</v>
      </c>
      <c r="P174" s="68" t="inlineStr">
        <is>
          <t>DefRatio</t>
        </is>
      </c>
      <c r="Q174" s="68" t="n">
        <v>0</v>
      </c>
      <c r="R174" s="0">
        <f>_xlfn.XLOOKUP($B174, 'Detail&lt;Child&gt;'!$A:$A, 'Detail&lt;Child&gt;'!$L:$L)</f>
        <v/>
      </c>
    </row>
    <row r="175">
      <c r="A175" s="68">
        <f>B175*100+H175</f>
        <v/>
      </c>
      <c r="B175" s="68" t="n">
        <v>10000502</v>
      </c>
      <c r="C175" s="68">
        <f>_xlfn.XLOOKUP(B175,'Detail&lt;Child&gt;'!A:A,'Detail&lt;Child&gt;'!B:B)</f>
        <v/>
      </c>
      <c r="D175" s="68">
        <f>"character_gradeup_"&amp;$B175&amp;"_"&amp;$H175</f>
        <v/>
      </c>
      <c r="E175" s="68" t="inlineStr">
        <is>
          <t>Item</t>
        </is>
      </c>
      <c r="F175" s="68">
        <f>INT(3003&amp;RIGHT(B175,4))</f>
        <v/>
      </c>
      <c r="G175" s="68">
        <f>VLOOKUP($R175, '#등급업 재료 개수'!$A$2:$K$5, MATCH(GradeUp!H175, '#등급업 재료 개수'!$A$2:$K$2, 0), FALSE)</f>
        <v/>
      </c>
      <c r="H175" s="68" t="n">
        <v>2</v>
      </c>
      <c r="I175" s="68" t="n">
        <v>20</v>
      </c>
      <c r="J175" s="68" t="inlineStr">
        <is>
          <t>Active</t>
        </is>
      </c>
      <c r="K175" s="68">
        <f>_xlfn.IFNA(VLOOKUP($B175, 'Detail&lt;Child&gt;'!$A:$AW, MATCH(J175, 'Detail&lt;Child&gt;'!$3:$3,0 ), FALSE)+INT($H175/12), 0)</f>
        <v/>
      </c>
      <c r="L175" s="68" t="inlineStr">
        <is>
          <t>HpRatio</t>
        </is>
      </c>
      <c r="M175" s="68" t="n">
        <v>0</v>
      </c>
      <c r="N175" s="68" t="inlineStr">
        <is>
          <t>AtkRatio</t>
        </is>
      </c>
      <c r="O175" s="68" t="n">
        <v>0</v>
      </c>
      <c r="P175" s="68" t="inlineStr">
        <is>
          <t>DefRatio</t>
        </is>
      </c>
      <c r="Q175" s="68" t="n">
        <v>0</v>
      </c>
      <c r="R175" s="0">
        <f>_xlfn.XLOOKUP($B175, 'Detail&lt;Child&gt;'!$A:$A, 'Detail&lt;Child&gt;'!$L:$L)</f>
        <v/>
      </c>
    </row>
    <row r="176">
      <c r="A176" s="68">
        <f>B176*100+H176</f>
        <v/>
      </c>
      <c r="B176" s="68" t="n">
        <v>10000502</v>
      </c>
      <c r="C176" s="68">
        <f>_xlfn.XLOOKUP(B176,'Detail&lt;Child&gt;'!A:A,'Detail&lt;Child&gt;'!B:B)</f>
        <v/>
      </c>
      <c r="D176" s="68">
        <f>"character_gradeup_"&amp;$B176&amp;"_"&amp;$H176</f>
        <v/>
      </c>
      <c r="E176" s="68" t="inlineStr">
        <is>
          <t>Item</t>
        </is>
      </c>
      <c r="F176" s="68">
        <f>INT(3003&amp;RIGHT(B176,4))</f>
        <v/>
      </c>
      <c r="G176" s="68">
        <f>VLOOKUP($R176, '#등급업 재료 개수'!$A$2:$K$5, MATCH(GradeUp!H176, '#등급업 재료 개수'!$A$2:$K$2, 0), FALSE)</f>
        <v/>
      </c>
      <c r="H176" s="68" t="n">
        <v>3</v>
      </c>
      <c r="I176" s="68" t="n">
        <v>30</v>
      </c>
      <c r="J176" s="68" t="n">
        <v>0</v>
      </c>
      <c r="K176" s="68" t="n">
        <v>0</v>
      </c>
      <c r="L176" s="68" t="inlineStr">
        <is>
          <t>HpRatio</t>
        </is>
      </c>
      <c r="M176" s="68" t="n">
        <v>10000</v>
      </c>
      <c r="N176" s="68" t="inlineStr">
        <is>
          <t>AtkRatio</t>
        </is>
      </c>
      <c r="O176" s="68" t="n">
        <v>10000</v>
      </c>
      <c r="P176" s="68" t="inlineStr">
        <is>
          <t>DefRatio</t>
        </is>
      </c>
      <c r="Q176" s="68" t="n">
        <v>10000</v>
      </c>
      <c r="R176" s="0">
        <f>_xlfn.XLOOKUP($B176, 'Detail&lt;Child&gt;'!$A:$A, 'Detail&lt;Child&gt;'!$L:$L)</f>
        <v/>
      </c>
    </row>
    <row r="177">
      <c r="A177" s="68">
        <f>B177*100+H177</f>
        <v/>
      </c>
      <c r="B177" s="68" t="n">
        <v>10000502</v>
      </c>
      <c r="C177" s="68">
        <f>_xlfn.XLOOKUP(B177,'Detail&lt;Child&gt;'!A:A,'Detail&lt;Child&gt;'!B:B)</f>
        <v/>
      </c>
      <c r="D177" s="68">
        <f>"character_gradeup_"&amp;$B177&amp;"_"&amp;$H177</f>
        <v/>
      </c>
      <c r="E177" s="68" t="inlineStr">
        <is>
          <t>Item</t>
        </is>
      </c>
      <c r="F177" s="68">
        <f>INT(3003&amp;RIGHT(B177,4))</f>
        <v/>
      </c>
      <c r="G177" s="68">
        <f>VLOOKUP($R177, '#등급업 재료 개수'!$A$2:$K$5, MATCH(GradeUp!H177, '#등급업 재료 개수'!$A$2:$K$2, 0), FALSE)</f>
        <v/>
      </c>
      <c r="H177" s="68" t="n">
        <v>4</v>
      </c>
      <c r="I177" s="68" t="n">
        <v>40</v>
      </c>
      <c r="J177" s="68" t="inlineStr">
        <is>
          <t>Passive</t>
        </is>
      </c>
      <c r="K177" s="68">
        <f>_xlfn.IFNA(VLOOKUP($B177, 'Detail&lt;Child&gt;'!$A:$AW, MATCH(J177, 'Detail&lt;Child&gt;'!$3:$3,0 ), FALSE)+INT($H177/12), 0)</f>
        <v/>
      </c>
      <c r="L177" s="68" t="inlineStr">
        <is>
          <t>HpRatio</t>
        </is>
      </c>
      <c r="M177" s="68">
        <f>M176+10000</f>
        <v/>
      </c>
      <c r="N177" s="68" t="inlineStr">
        <is>
          <t>AtkRatio</t>
        </is>
      </c>
      <c r="O177" s="68">
        <f>O176+10000</f>
        <v/>
      </c>
      <c r="P177" s="68" t="inlineStr">
        <is>
          <t>DefRatio</t>
        </is>
      </c>
      <c r="Q177" s="68">
        <f>Q176+10000</f>
        <v/>
      </c>
      <c r="R177" s="0">
        <f>_xlfn.XLOOKUP($B177, 'Detail&lt;Child&gt;'!$A:$A, 'Detail&lt;Child&gt;'!$L:$L)</f>
        <v/>
      </c>
    </row>
    <row r="178">
      <c r="A178" s="68">
        <f>B178*100+H178</f>
        <v/>
      </c>
      <c r="B178" s="68" t="n">
        <v>10000502</v>
      </c>
      <c r="C178" s="68">
        <f>_xlfn.XLOOKUP(B178,'Detail&lt;Child&gt;'!A:A,'Detail&lt;Child&gt;'!B:B)</f>
        <v/>
      </c>
      <c r="D178" s="68">
        <f>"character_gradeup_"&amp;$B178&amp;"_"&amp;$H178</f>
        <v/>
      </c>
      <c r="E178" s="68" t="inlineStr">
        <is>
          <t>Item</t>
        </is>
      </c>
      <c r="F178" s="68">
        <f>INT(3003&amp;RIGHT(B178,4))</f>
        <v/>
      </c>
      <c r="G178" s="68">
        <f>VLOOKUP($R178, '#등급업 재료 개수'!$A$2:$K$5, MATCH(GradeUp!H178, '#등급업 재료 개수'!$A$2:$K$2, 0), FALSE)</f>
        <v/>
      </c>
      <c r="H178" s="68" t="n">
        <v>5</v>
      </c>
      <c r="I178" s="68" t="n">
        <v>50</v>
      </c>
      <c r="J178" s="68" t="inlineStr">
        <is>
          <t>Active</t>
        </is>
      </c>
      <c r="K178" s="68">
        <f>_xlfn.IFNA(VLOOKUP($B178, 'Detail&lt;Child&gt;'!$A:$AW, MATCH(J178, 'Detail&lt;Child&gt;'!$3:$3,0 ), FALSE)+INT($H178/12), 0)+1</f>
        <v/>
      </c>
      <c r="L178" s="68" t="inlineStr">
        <is>
          <t>HpRatio</t>
        </is>
      </c>
      <c r="M178" s="68">
        <f>M177+10000</f>
        <v/>
      </c>
      <c r="N178" s="68" t="inlineStr">
        <is>
          <t>AtkRatio</t>
        </is>
      </c>
      <c r="O178" s="68">
        <f>O177+10000</f>
        <v/>
      </c>
      <c r="P178" s="68" t="inlineStr">
        <is>
          <t>DefRatio</t>
        </is>
      </c>
      <c r="Q178" s="68">
        <f>Q177+10000</f>
        <v/>
      </c>
      <c r="R178" s="0">
        <f>_xlfn.XLOOKUP($B178, 'Detail&lt;Child&gt;'!$A:$A, 'Detail&lt;Child&gt;'!$L:$L)</f>
        <v/>
      </c>
    </row>
    <row r="179">
      <c r="A179" s="68">
        <f>B179*100+H179</f>
        <v/>
      </c>
      <c r="B179" s="68" t="n">
        <v>10000502</v>
      </c>
      <c r="C179" s="68">
        <f>_xlfn.XLOOKUP(B179,'Detail&lt;Child&gt;'!A:A,'Detail&lt;Child&gt;'!B:B)</f>
        <v/>
      </c>
      <c r="D179" s="68">
        <f>"character_gradeup_"&amp;$B179&amp;"_"&amp;$H179</f>
        <v/>
      </c>
      <c r="E179" s="68" t="inlineStr">
        <is>
          <t>Item</t>
        </is>
      </c>
      <c r="F179" s="68">
        <f>INT(3003&amp;RIGHT(B179,4))</f>
        <v/>
      </c>
      <c r="G179" s="68">
        <f>VLOOKUP($R179, '#등급업 재료 개수'!$A$2:$K$5, MATCH(GradeUp!H179, '#등급업 재료 개수'!$A$2:$K$2, 0), FALSE)</f>
        <v/>
      </c>
      <c r="H179" s="68" t="n">
        <v>6</v>
      </c>
      <c r="I179" s="68" t="n">
        <v>60</v>
      </c>
      <c r="J179" s="68" t="n">
        <v>0</v>
      </c>
      <c r="K179" s="68" t="n">
        <v>0</v>
      </c>
      <c r="L179" s="68" t="inlineStr">
        <is>
          <t>HpRatio</t>
        </is>
      </c>
      <c r="M179" s="68">
        <f>M178+10000</f>
        <v/>
      </c>
      <c r="N179" s="68" t="inlineStr">
        <is>
          <t>AtkRatio</t>
        </is>
      </c>
      <c r="O179" s="68">
        <f>O178+10000</f>
        <v/>
      </c>
      <c r="P179" s="68" t="inlineStr">
        <is>
          <t>DefRatio</t>
        </is>
      </c>
      <c r="Q179" s="68">
        <f>Q178+10000</f>
        <v/>
      </c>
      <c r="R179" s="0">
        <f>_xlfn.XLOOKUP($B179, 'Detail&lt;Child&gt;'!$A:$A, 'Detail&lt;Child&gt;'!$L:$L)</f>
        <v/>
      </c>
    </row>
    <row r="180">
      <c r="A180" s="68">
        <f>B180*100+H180</f>
        <v/>
      </c>
      <c r="B180" s="68" t="n">
        <v>10000502</v>
      </c>
      <c r="C180" s="68">
        <f>_xlfn.XLOOKUP(B180,'Detail&lt;Child&gt;'!A:A,'Detail&lt;Child&gt;'!B:B)</f>
        <v/>
      </c>
      <c r="D180" s="68">
        <f>"character_gradeup_"&amp;$B180&amp;"_"&amp;$H180</f>
        <v/>
      </c>
      <c r="E180" s="68" t="inlineStr">
        <is>
          <t>Item</t>
        </is>
      </c>
      <c r="F180" s="68">
        <f>INT(3003&amp;RIGHT(B180,4))</f>
        <v/>
      </c>
      <c r="G180" s="68">
        <f>VLOOKUP($R180, '#등급업 재료 개수'!$A$2:$K$5, MATCH(GradeUp!H180, '#등급업 재료 개수'!$A$2:$K$2, 0), FALSE)</f>
        <v/>
      </c>
      <c r="H180" s="68" t="n">
        <v>7</v>
      </c>
      <c r="I180" s="68" t="n">
        <v>70</v>
      </c>
      <c r="J180" s="68" t="inlineStr">
        <is>
          <t>Passive</t>
        </is>
      </c>
      <c r="K180" s="68">
        <f>_xlfn.IFNA(VLOOKUP($B180, 'Detail&lt;Child&gt;'!$A:$AW, MATCH(J180, 'Detail&lt;Child&gt;'!$3:$3,0 ), FALSE)+INT($H180/12), 0)+1</f>
        <v/>
      </c>
      <c r="L180" s="68" t="inlineStr">
        <is>
          <t>HpRatio</t>
        </is>
      </c>
      <c r="M180" s="68">
        <f>M179+10000</f>
        <v/>
      </c>
      <c r="N180" s="68" t="inlineStr">
        <is>
          <t>AtkRatio</t>
        </is>
      </c>
      <c r="O180" s="68">
        <f>O179+10000</f>
        <v/>
      </c>
      <c r="P180" s="68" t="inlineStr">
        <is>
          <t>DefRatio</t>
        </is>
      </c>
      <c r="Q180" s="68">
        <f>Q179+10000</f>
        <v/>
      </c>
      <c r="R180" s="0">
        <f>_xlfn.XLOOKUP($B180, 'Detail&lt;Child&gt;'!$A:$A, 'Detail&lt;Child&gt;'!$L:$L)</f>
        <v/>
      </c>
    </row>
    <row r="181">
      <c r="A181" s="68">
        <f>B181*100+H181</f>
        <v/>
      </c>
      <c r="B181" s="68" t="n">
        <v>10000502</v>
      </c>
      <c r="C181" s="68">
        <f>_xlfn.XLOOKUP(B181,'Detail&lt;Child&gt;'!A:A,'Detail&lt;Child&gt;'!B:B)</f>
        <v/>
      </c>
      <c r="D181" s="68">
        <f>"character_gradeup_"&amp;$B181&amp;"_"&amp;$H181</f>
        <v/>
      </c>
      <c r="E181" s="68" t="inlineStr">
        <is>
          <t>Item</t>
        </is>
      </c>
      <c r="F181" s="68">
        <f>INT(3003&amp;RIGHT(B181,4))</f>
        <v/>
      </c>
      <c r="G181" s="68">
        <f>VLOOKUP($R181, '#등급업 재료 개수'!$A$2:$K$5, MATCH(GradeUp!H181, '#등급업 재료 개수'!$A$2:$K$2, 0), FALSE)</f>
        <v/>
      </c>
      <c r="H181" s="68" t="n">
        <v>8</v>
      </c>
      <c r="I181" s="68" t="n">
        <v>80</v>
      </c>
      <c r="J181" s="68" t="n">
        <v>0</v>
      </c>
      <c r="K181" s="68" t="n">
        <v>0</v>
      </c>
      <c r="L181" s="68" t="inlineStr">
        <is>
          <t>HpRatio</t>
        </is>
      </c>
      <c r="M181" s="68">
        <f>M180+10000</f>
        <v/>
      </c>
      <c r="N181" s="68" t="inlineStr">
        <is>
          <t>AtkRatio</t>
        </is>
      </c>
      <c r="O181" s="68">
        <f>O180+10000</f>
        <v/>
      </c>
      <c r="P181" s="68" t="inlineStr">
        <is>
          <t>DefRatio</t>
        </is>
      </c>
      <c r="Q181" s="68">
        <f>Q180+10000</f>
        <v/>
      </c>
      <c r="R181" s="0">
        <f>_xlfn.XLOOKUP($B181, 'Detail&lt;Child&gt;'!$A:$A, 'Detail&lt;Child&gt;'!$L:$L)</f>
        <v/>
      </c>
    </row>
    <row r="182">
      <c r="A182" s="68">
        <f>B182*100+H182</f>
        <v/>
      </c>
      <c r="B182" s="68" t="n">
        <v>10000502</v>
      </c>
      <c r="C182" s="68">
        <f>_xlfn.XLOOKUP(B182,'Detail&lt;Child&gt;'!A:A,'Detail&lt;Child&gt;'!B:B)</f>
        <v/>
      </c>
      <c r="D182" s="68">
        <f>"character_gradeup_"&amp;$B182&amp;"_"&amp;$H182</f>
        <v/>
      </c>
      <c r="E182" s="68" t="inlineStr">
        <is>
          <t>Item</t>
        </is>
      </c>
      <c r="F182" s="68">
        <f>INT(3003&amp;RIGHT(B182,4))</f>
        <v/>
      </c>
      <c r="G182" s="68">
        <f>VLOOKUP($R182, '#등급업 재료 개수'!$A$2:$K$5, MATCH(GradeUp!H182, '#등급업 재료 개수'!$A$2:$K$2, 0), FALSE)</f>
        <v/>
      </c>
      <c r="H182" s="68" t="n">
        <v>9</v>
      </c>
      <c r="I182" s="68" t="n">
        <v>90</v>
      </c>
      <c r="J182" s="68" t="inlineStr">
        <is>
          <t>Ultimate</t>
        </is>
      </c>
      <c r="K182" s="68">
        <f>_xlfn.IFNA(VLOOKUP($B182, 'Detail&lt;Child&gt;'!$A:$AW, MATCH(J182, 'Detail&lt;Child&gt;'!$3:$3,0 ), FALSE)+INT($H182/12), 0)+1</f>
        <v/>
      </c>
      <c r="L182" s="68" t="inlineStr">
        <is>
          <t>HpRatio</t>
        </is>
      </c>
      <c r="M182" s="68">
        <f>M181+10000</f>
        <v/>
      </c>
      <c r="N182" s="68" t="inlineStr">
        <is>
          <t>AtkRatio</t>
        </is>
      </c>
      <c r="O182" s="68">
        <f>O181+10000</f>
        <v/>
      </c>
      <c r="P182" s="68" t="inlineStr">
        <is>
          <t>DefRatio</t>
        </is>
      </c>
      <c r="Q182" s="68">
        <f>Q181+10000</f>
        <v/>
      </c>
      <c r="R182" s="0">
        <f>_xlfn.XLOOKUP($B182, 'Detail&lt;Child&gt;'!$A:$A, 'Detail&lt;Child&gt;'!$L:$L)</f>
        <v/>
      </c>
    </row>
    <row r="183">
      <c r="A183" s="68">
        <f>B183*100+H183</f>
        <v/>
      </c>
      <c r="B183" s="68" t="n">
        <v>10000502</v>
      </c>
      <c r="C183" s="68">
        <f>_xlfn.XLOOKUP(B183,'Detail&lt;Child&gt;'!A:A,'Detail&lt;Child&gt;'!B:B)</f>
        <v/>
      </c>
      <c r="D183" s="68">
        <f>"character_gradeup_"&amp;$B183&amp;"_"&amp;$H183</f>
        <v/>
      </c>
      <c r="E183" s="68" t="inlineStr">
        <is>
          <t>Item</t>
        </is>
      </c>
      <c r="F183" s="68">
        <f>INT(3003&amp;RIGHT(B183,4))</f>
        <v/>
      </c>
      <c r="G183" s="68">
        <f>VLOOKUP($R183, '#등급업 재료 개수'!$A$2:$K$5, MATCH(GradeUp!H183, '#등급업 재료 개수'!$A$2:$K$2, 0), FALSE)</f>
        <v/>
      </c>
      <c r="H183" s="68" t="n">
        <v>10</v>
      </c>
      <c r="I183" s="68" t="n">
        <v>100</v>
      </c>
      <c r="J183" s="68" t="n">
        <v>0</v>
      </c>
      <c r="K183" s="68" t="n">
        <v>0</v>
      </c>
      <c r="L183" s="68" t="inlineStr">
        <is>
          <t>HpRatio</t>
        </is>
      </c>
      <c r="M183" s="68">
        <f>M182+10000</f>
        <v/>
      </c>
      <c r="N183" s="68" t="inlineStr">
        <is>
          <t>AtkRatio</t>
        </is>
      </c>
      <c r="O183" s="68">
        <f>O182+10000</f>
        <v/>
      </c>
      <c r="P183" s="68" t="inlineStr">
        <is>
          <t>DefRatio</t>
        </is>
      </c>
      <c r="Q183" s="68">
        <f>Q182+10000</f>
        <v/>
      </c>
      <c r="R183" s="0">
        <f>_xlfn.XLOOKUP($B183, 'Detail&lt;Child&gt;'!$A:$A, 'Detail&lt;Child&gt;'!$L:$L)</f>
        <v/>
      </c>
    </row>
    <row r="184">
      <c r="A184" s="68">
        <f>B184*100+H184</f>
        <v/>
      </c>
      <c r="B184" s="68" t="n">
        <v>10000412</v>
      </c>
      <c r="C184" s="68">
        <f>_xlfn.XLOOKUP(B184,'Detail&lt;Child&gt;'!A:A,'Detail&lt;Child&gt;'!B:B)</f>
        <v/>
      </c>
      <c r="D184" s="68">
        <f>"character_gradeup_"&amp;$B184&amp;"_"&amp;$H184</f>
        <v/>
      </c>
      <c r="E184" s="68" t="inlineStr">
        <is>
          <t>Item</t>
        </is>
      </c>
      <c r="F184" s="68">
        <f>INT(3003&amp;RIGHT(B184,4))</f>
        <v/>
      </c>
      <c r="G184" s="68">
        <f>VLOOKUP($R184, '#등급업 재료 개수'!$A$2:$K$5, MATCH(GradeUp!H184, '#등급업 재료 개수'!$A$2:$K$2, 0), FALSE)</f>
        <v/>
      </c>
      <c r="H184" s="68" t="n">
        <v>1</v>
      </c>
      <c r="I184" s="68" t="n">
        <v>10</v>
      </c>
      <c r="J184" s="68" t="n">
        <v>0</v>
      </c>
      <c r="K184" s="68" t="n">
        <v>0</v>
      </c>
      <c r="L184" s="68" t="inlineStr">
        <is>
          <t>HpRatio</t>
        </is>
      </c>
      <c r="M184" s="68" t="n">
        <v>0</v>
      </c>
      <c r="N184" s="68" t="inlineStr">
        <is>
          <t>AtkRatio</t>
        </is>
      </c>
      <c r="O184" s="68" t="n">
        <v>0</v>
      </c>
      <c r="P184" s="68" t="inlineStr">
        <is>
          <t>DefRatio</t>
        </is>
      </c>
      <c r="Q184" s="68" t="n">
        <v>0</v>
      </c>
      <c r="R184" s="0">
        <f>_xlfn.XLOOKUP($B184, 'Detail&lt;Child&gt;'!$A:$A, 'Detail&lt;Child&gt;'!$L:$L)</f>
        <v/>
      </c>
    </row>
    <row r="185">
      <c r="A185" s="68">
        <f>B185*100+H185</f>
        <v/>
      </c>
      <c r="B185" s="68" t="n">
        <v>10000412</v>
      </c>
      <c r="C185" s="68">
        <f>_xlfn.XLOOKUP(B185,'Detail&lt;Child&gt;'!A:A,'Detail&lt;Child&gt;'!B:B)</f>
        <v/>
      </c>
      <c r="D185" s="68">
        <f>"character_gradeup_"&amp;$B185&amp;"_"&amp;$H185</f>
        <v/>
      </c>
      <c r="E185" s="68" t="inlineStr">
        <is>
          <t>Item</t>
        </is>
      </c>
      <c r="F185" s="68">
        <f>INT(3003&amp;RIGHT(B185,4))</f>
        <v/>
      </c>
      <c r="G185" s="68">
        <f>VLOOKUP($R185, '#등급업 재료 개수'!$A$2:$K$5, MATCH(GradeUp!H185, '#등급업 재료 개수'!$A$2:$K$2, 0), FALSE)</f>
        <v/>
      </c>
      <c r="H185" s="68" t="n">
        <v>2</v>
      </c>
      <c r="I185" s="68" t="n">
        <v>20</v>
      </c>
      <c r="J185" s="68" t="inlineStr">
        <is>
          <t>Active</t>
        </is>
      </c>
      <c r="K185" s="68">
        <f>_xlfn.IFNA(VLOOKUP($B185, 'Detail&lt;Child&gt;'!$A:$AW, MATCH(J185, 'Detail&lt;Child&gt;'!$3:$3,0 ), FALSE)+INT($H185/12), 0)</f>
        <v/>
      </c>
      <c r="L185" s="68" t="inlineStr">
        <is>
          <t>HpRatio</t>
        </is>
      </c>
      <c r="M185" s="68" t="n">
        <v>10000</v>
      </c>
      <c r="N185" s="68" t="inlineStr">
        <is>
          <t>AtkRatio</t>
        </is>
      </c>
      <c r="O185" s="68" t="n">
        <v>10000</v>
      </c>
      <c r="P185" s="68" t="inlineStr">
        <is>
          <t>DefRatio</t>
        </is>
      </c>
      <c r="Q185" s="68" t="n">
        <v>10000</v>
      </c>
      <c r="R185" s="0">
        <f>_xlfn.XLOOKUP($B185, 'Detail&lt;Child&gt;'!$A:$A, 'Detail&lt;Child&gt;'!$L:$L)</f>
        <v/>
      </c>
    </row>
    <row r="186">
      <c r="A186" s="68">
        <f>B186*100+H186</f>
        <v/>
      </c>
      <c r="B186" s="68" t="n">
        <v>10000412</v>
      </c>
      <c r="C186" s="68">
        <f>_xlfn.XLOOKUP(B186,'Detail&lt;Child&gt;'!A:A,'Detail&lt;Child&gt;'!B:B)</f>
        <v/>
      </c>
      <c r="D186" s="68">
        <f>"character_gradeup_"&amp;$B186&amp;"_"&amp;$H186</f>
        <v/>
      </c>
      <c r="E186" s="68" t="inlineStr">
        <is>
          <t>Item</t>
        </is>
      </c>
      <c r="F186" s="68">
        <f>INT(3003&amp;RIGHT(B186,4))</f>
        <v/>
      </c>
      <c r="G186" s="68">
        <f>VLOOKUP($R186, '#등급업 재료 개수'!$A$2:$K$5, MATCH(GradeUp!H186, '#등급업 재료 개수'!$A$2:$K$2, 0), FALSE)</f>
        <v/>
      </c>
      <c r="H186" s="68" t="n">
        <v>3</v>
      </c>
      <c r="I186" s="68" t="n">
        <v>30</v>
      </c>
      <c r="J186" s="68" t="n">
        <v>0</v>
      </c>
      <c r="K186" s="68" t="n">
        <v>0</v>
      </c>
      <c r="L186" s="68" t="inlineStr">
        <is>
          <t>HpRatio</t>
        </is>
      </c>
      <c r="M186" s="68">
        <f>M185+10000</f>
        <v/>
      </c>
      <c r="N186" s="68" t="inlineStr">
        <is>
          <t>AtkRatio</t>
        </is>
      </c>
      <c r="O186" s="68">
        <f>O185+10000</f>
        <v/>
      </c>
      <c r="P186" s="68" t="inlineStr">
        <is>
          <t>DefRatio</t>
        </is>
      </c>
      <c r="Q186" s="68">
        <f>Q185+10000</f>
        <v/>
      </c>
      <c r="R186" s="0">
        <f>_xlfn.XLOOKUP($B186, 'Detail&lt;Child&gt;'!$A:$A, 'Detail&lt;Child&gt;'!$L:$L)</f>
        <v/>
      </c>
    </row>
    <row r="187">
      <c r="A187" s="68">
        <f>B187*100+H187</f>
        <v/>
      </c>
      <c r="B187" s="68" t="n">
        <v>10000412</v>
      </c>
      <c r="C187" s="68">
        <f>_xlfn.XLOOKUP(B187,'Detail&lt;Child&gt;'!A:A,'Detail&lt;Child&gt;'!B:B)</f>
        <v/>
      </c>
      <c r="D187" s="68">
        <f>"character_gradeup_"&amp;$B187&amp;"_"&amp;$H187</f>
        <v/>
      </c>
      <c r="E187" s="68" t="inlineStr">
        <is>
          <t>Item</t>
        </is>
      </c>
      <c r="F187" s="68">
        <f>INT(3003&amp;RIGHT(B187,4))</f>
        <v/>
      </c>
      <c r="G187" s="68">
        <f>VLOOKUP($R187, '#등급업 재료 개수'!$A$2:$K$5, MATCH(GradeUp!H187, '#등급업 재료 개수'!$A$2:$K$2, 0), FALSE)</f>
        <v/>
      </c>
      <c r="H187" s="68" t="n">
        <v>4</v>
      </c>
      <c r="I187" s="68" t="n">
        <v>40</v>
      </c>
      <c r="J187" s="68" t="inlineStr">
        <is>
          <t>Passive</t>
        </is>
      </c>
      <c r="K187" s="68">
        <f>_xlfn.IFNA(VLOOKUP($B187, 'Detail&lt;Child&gt;'!$A:$AW, MATCH(J187, 'Detail&lt;Child&gt;'!$3:$3,0 ), FALSE)+INT($H187/12), 0)</f>
        <v/>
      </c>
      <c r="L187" s="68" t="inlineStr">
        <is>
          <t>HpRatio</t>
        </is>
      </c>
      <c r="M187" s="68">
        <f>M186+10000</f>
        <v/>
      </c>
      <c r="N187" s="68" t="inlineStr">
        <is>
          <t>AtkRatio</t>
        </is>
      </c>
      <c r="O187" s="68">
        <f>O186+10000</f>
        <v/>
      </c>
      <c r="P187" s="68" t="inlineStr">
        <is>
          <t>DefRatio</t>
        </is>
      </c>
      <c r="Q187" s="68">
        <f>Q186+10000</f>
        <v/>
      </c>
      <c r="R187" s="0">
        <f>_xlfn.XLOOKUP($B187, 'Detail&lt;Child&gt;'!$A:$A, 'Detail&lt;Child&gt;'!$L:$L)</f>
        <v/>
      </c>
    </row>
    <row r="188">
      <c r="A188" s="68">
        <f>B188*100+H188</f>
        <v/>
      </c>
      <c r="B188" s="68" t="n">
        <v>10000412</v>
      </c>
      <c r="C188" s="68">
        <f>_xlfn.XLOOKUP(B188,'Detail&lt;Child&gt;'!A:A,'Detail&lt;Child&gt;'!B:B)</f>
        <v/>
      </c>
      <c r="D188" s="68">
        <f>"character_gradeup_"&amp;$B188&amp;"_"&amp;$H188</f>
        <v/>
      </c>
      <c r="E188" s="68" t="inlineStr">
        <is>
          <t>Item</t>
        </is>
      </c>
      <c r="F188" s="68">
        <f>INT(3003&amp;RIGHT(B188,4))</f>
        <v/>
      </c>
      <c r="G188" s="68">
        <f>VLOOKUP($R188, '#등급업 재료 개수'!$A$2:$K$5, MATCH(GradeUp!H188, '#등급업 재료 개수'!$A$2:$K$2, 0), FALSE)</f>
        <v/>
      </c>
      <c r="H188" s="68" t="n">
        <v>5</v>
      </c>
      <c r="I188" s="68" t="n">
        <v>50</v>
      </c>
      <c r="J188" s="68" t="inlineStr">
        <is>
          <t>Active</t>
        </is>
      </c>
      <c r="K188" s="68">
        <f>_xlfn.IFNA(VLOOKUP($B188, 'Detail&lt;Child&gt;'!$A:$AW, MATCH(J188, 'Detail&lt;Child&gt;'!$3:$3,0 ), FALSE)+INT($H188/12), 0)+1</f>
        <v/>
      </c>
      <c r="L188" s="68" t="inlineStr">
        <is>
          <t>HpRatio</t>
        </is>
      </c>
      <c r="M188" s="68">
        <f>M187+10000</f>
        <v/>
      </c>
      <c r="N188" s="68" t="inlineStr">
        <is>
          <t>AtkRatio</t>
        </is>
      </c>
      <c r="O188" s="68">
        <f>O187+10000</f>
        <v/>
      </c>
      <c r="P188" s="68" t="inlineStr">
        <is>
          <t>DefRatio</t>
        </is>
      </c>
      <c r="Q188" s="68">
        <f>Q187+10000</f>
        <v/>
      </c>
      <c r="R188" s="0">
        <f>_xlfn.XLOOKUP($B188, 'Detail&lt;Child&gt;'!$A:$A, 'Detail&lt;Child&gt;'!$L:$L)</f>
        <v/>
      </c>
    </row>
    <row r="189">
      <c r="A189" s="68">
        <f>B189*100+H189</f>
        <v/>
      </c>
      <c r="B189" s="68" t="n">
        <v>10000412</v>
      </c>
      <c r="C189" s="68">
        <f>_xlfn.XLOOKUP(B189,'Detail&lt;Child&gt;'!A:A,'Detail&lt;Child&gt;'!B:B)</f>
        <v/>
      </c>
      <c r="D189" s="68">
        <f>"character_gradeup_"&amp;$B189&amp;"_"&amp;$H189</f>
        <v/>
      </c>
      <c r="E189" s="68" t="inlineStr">
        <is>
          <t>Item</t>
        </is>
      </c>
      <c r="F189" s="68">
        <f>INT(3003&amp;RIGHT(B189,4))</f>
        <v/>
      </c>
      <c r="G189" s="68">
        <f>VLOOKUP($R189, '#등급업 재료 개수'!$A$2:$K$5, MATCH(GradeUp!H189, '#등급업 재료 개수'!$A$2:$K$2, 0), FALSE)</f>
        <v/>
      </c>
      <c r="H189" s="68" t="n">
        <v>6</v>
      </c>
      <c r="I189" s="68" t="n">
        <v>60</v>
      </c>
      <c r="J189" s="68" t="n">
        <v>0</v>
      </c>
      <c r="K189" s="68" t="n">
        <v>0</v>
      </c>
      <c r="L189" s="68" t="inlineStr">
        <is>
          <t>HpRatio</t>
        </is>
      </c>
      <c r="M189" s="68">
        <f>M188+10000</f>
        <v/>
      </c>
      <c r="N189" s="68" t="inlineStr">
        <is>
          <t>AtkRatio</t>
        </is>
      </c>
      <c r="O189" s="68">
        <f>O188+10000</f>
        <v/>
      </c>
      <c r="P189" s="68" t="inlineStr">
        <is>
          <t>DefRatio</t>
        </is>
      </c>
      <c r="Q189" s="68">
        <f>Q188+10000</f>
        <v/>
      </c>
      <c r="R189" s="0">
        <f>_xlfn.XLOOKUP($B189, 'Detail&lt;Child&gt;'!$A:$A, 'Detail&lt;Child&gt;'!$L:$L)</f>
        <v/>
      </c>
    </row>
    <row r="190">
      <c r="A190" s="68">
        <f>B190*100+H190</f>
        <v/>
      </c>
      <c r="B190" s="68" t="n">
        <v>10000412</v>
      </c>
      <c r="C190" s="68">
        <f>_xlfn.XLOOKUP(B190,'Detail&lt;Child&gt;'!A:A,'Detail&lt;Child&gt;'!B:B)</f>
        <v/>
      </c>
      <c r="D190" s="68">
        <f>"character_gradeup_"&amp;$B190&amp;"_"&amp;$H190</f>
        <v/>
      </c>
      <c r="E190" s="68" t="inlineStr">
        <is>
          <t>Item</t>
        </is>
      </c>
      <c r="F190" s="68">
        <f>INT(3003&amp;RIGHT(B190,4))</f>
        <v/>
      </c>
      <c r="G190" s="68">
        <f>VLOOKUP($R190, '#등급업 재료 개수'!$A$2:$K$5, MATCH(GradeUp!H190, '#등급업 재료 개수'!$A$2:$K$2, 0), FALSE)</f>
        <v/>
      </c>
      <c r="H190" s="68" t="n">
        <v>7</v>
      </c>
      <c r="I190" s="68" t="n">
        <v>70</v>
      </c>
      <c r="J190" s="68" t="inlineStr">
        <is>
          <t>Passive</t>
        </is>
      </c>
      <c r="K190" s="68">
        <f>_xlfn.IFNA(VLOOKUP($B190, 'Detail&lt;Child&gt;'!$A:$AW, MATCH(J190, 'Detail&lt;Child&gt;'!$3:$3,0 ), FALSE)+INT($H190/12), 0)+1</f>
        <v/>
      </c>
      <c r="L190" s="68" t="inlineStr">
        <is>
          <t>HpRatio</t>
        </is>
      </c>
      <c r="M190" s="68">
        <f>M189+10000</f>
        <v/>
      </c>
      <c r="N190" s="68" t="inlineStr">
        <is>
          <t>AtkRatio</t>
        </is>
      </c>
      <c r="O190" s="68">
        <f>O189+10000</f>
        <v/>
      </c>
      <c r="P190" s="68" t="inlineStr">
        <is>
          <t>DefRatio</t>
        </is>
      </c>
      <c r="Q190" s="68">
        <f>Q189+10000</f>
        <v/>
      </c>
      <c r="R190" s="0">
        <f>_xlfn.XLOOKUP($B190, 'Detail&lt;Child&gt;'!$A:$A, 'Detail&lt;Child&gt;'!$L:$L)</f>
        <v/>
      </c>
    </row>
    <row r="191">
      <c r="A191" s="68">
        <f>B191*100+H191</f>
        <v/>
      </c>
      <c r="B191" s="68" t="n">
        <v>10000412</v>
      </c>
      <c r="C191" s="68">
        <f>_xlfn.XLOOKUP(B191,'Detail&lt;Child&gt;'!A:A,'Detail&lt;Child&gt;'!B:B)</f>
        <v/>
      </c>
      <c r="D191" s="68">
        <f>"character_gradeup_"&amp;$B191&amp;"_"&amp;$H191</f>
        <v/>
      </c>
      <c r="E191" s="68" t="inlineStr">
        <is>
          <t>Item</t>
        </is>
      </c>
      <c r="F191" s="68">
        <f>INT(3003&amp;RIGHT(B191,4))</f>
        <v/>
      </c>
      <c r="G191" s="68">
        <f>VLOOKUP($R191, '#등급업 재료 개수'!$A$2:$K$5, MATCH(GradeUp!H191, '#등급업 재료 개수'!$A$2:$K$2, 0), FALSE)</f>
        <v/>
      </c>
      <c r="H191" s="68" t="n">
        <v>8</v>
      </c>
      <c r="I191" s="68" t="n">
        <v>80</v>
      </c>
      <c r="J191" s="68" t="n">
        <v>0</v>
      </c>
      <c r="K191" s="68" t="n">
        <v>0</v>
      </c>
      <c r="L191" s="68" t="inlineStr">
        <is>
          <t>HpRatio</t>
        </is>
      </c>
      <c r="M191" s="68">
        <f>M190+10000</f>
        <v/>
      </c>
      <c r="N191" s="68" t="inlineStr">
        <is>
          <t>AtkRatio</t>
        </is>
      </c>
      <c r="O191" s="68">
        <f>O190+10000</f>
        <v/>
      </c>
      <c r="P191" s="68" t="inlineStr">
        <is>
          <t>DefRatio</t>
        </is>
      </c>
      <c r="Q191" s="68">
        <f>Q190+10000</f>
        <v/>
      </c>
      <c r="R191" s="0">
        <f>_xlfn.XLOOKUP($B191, 'Detail&lt;Child&gt;'!$A:$A, 'Detail&lt;Child&gt;'!$L:$L)</f>
        <v/>
      </c>
    </row>
    <row r="192">
      <c r="A192" s="68">
        <f>B192*100+H192</f>
        <v/>
      </c>
      <c r="B192" s="68" t="n">
        <v>10000412</v>
      </c>
      <c r="C192" s="68">
        <f>_xlfn.XLOOKUP(B192,'Detail&lt;Child&gt;'!A:A,'Detail&lt;Child&gt;'!B:B)</f>
        <v/>
      </c>
      <c r="D192" s="68">
        <f>"character_gradeup_"&amp;$B192&amp;"_"&amp;$H192</f>
        <v/>
      </c>
      <c r="E192" s="68" t="inlineStr">
        <is>
          <t>Item</t>
        </is>
      </c>
      <c r="F192" s="68">
        <f>INT(3003&amp;RIGHT(B192,4))</f>
        <v/>
      </c>
      <c r="G192" s="68">
        <f>VLOOKUP($R192, '#등급업 재료 개수'!$A$2:$K$5, MATCH(GradeUp!H192, '#등급업 재료 개수'!$A$2:$K$2, 0), FALSE)</f>
        <v/>
      </c>
      <c r="H192" s="68" t="n">
        <v>9</v>
      </c>
      <c r="I192" s="68" t="n">
        <v>90</v>
      </c>
      <c r="J192" s="68" t="inlineStr">
        <is>
          <t>Ultimate</t>
        </is>
      </c>
      <c r="K192" s="68">
        <f>_xlfn.IFNA(VLOOKUP($B192, 'Detail&lt;Child&gt;'!$A:$AW, MATCH(J192, 'Detail&lt;Child&gt;'!$3:$3,0 ), FALSE)+INT($H192/12), 0)+1</f>
        <v/>
      </c>
      <c r="L192" s="68" t="inlineStr">
        <is>
          <t>HpRatio</t>
        </is>
      </c>
      <c r="M192" s="68">
        <f>M191+10000</f>
        <v/>
      </c>
      <c r="N192" s="68" t="inlineStr">
        <is>
          <t>AtkRatio</t>
        </is>
      </c>
      <c r="O192" s="68">
        <f>O191+10000</f>
        <v/>
      </c>
      <c r="P192" s="68" t="inlineStr">
        <is>
          <t>DefRatio</t>
        </is>
      </c>
      <c r="Q192" s="68">
        <f>Q191+10000</f>
        <v/>
      </c>
      <c r="R192" s="0">
        <f>_xlfn.XLOOKUP($B192, 'Detail&lt;Child&gt;'!$A:$A, 'Detail&lt;Child&gt;'!$L:$L)</f>
        <v/>
      </c>
    </row>
    <row r="193">
      <c r="A193" s="68">
        <f>B193*100+H193</f>
        <v/>
      </c>
      <c r="B193" s="68" t="n">
        <v>10000412</v>
      </c>
      <c r="C193" s="68">
        <f>_xlfn.XLOOKUP(B193,'Detail&lt;Child&gt;'!A:A,'Detail&lt;Child&gt;'!B:B)</f>
        <v/>
      </c>
      <c r="D193" s="68">
        <f>"character_gradeup_"&amp;$B193&amp;"_"&amp;$H193</f>
        <v/>
      </c>
      <c r="E193" s="68" t="inlineStr">
        <is>
          <t>Item</t>
        </is>
      </c>
      <c r="F193" s="68">
        <f>INT(3003&amp;RIGHT(B193,4))</f>
        <v/>
      </c>
      <c r="G193" s="68">
        <f>VLOOKUP($R193, '#등급업 재료 개수'!$A$2:$K$5, MATCH(GradeUp!H193, '#등급업 재료 개수'!$A$2:$K$2, 0), FALSE)</f>
        <v/>
      </c>
      <c r="H193" s="68" t="n">
        <v>10</v>
      </c>
      <c r="I193" s="68" t="n">
        <v>100</v>
      </c>
      <c r="J193" s="68" t="n">
        <v>0</v>
      </c>
      <c r="K193" s="68" t="n">
        <v>0</v>
      </c>
      <c r="L193" s="68" t="inlineStr">
        <is>
          <t>HpRatio</t>
        </is>
      </c>
      <c r="M193" s="68">
        <f>M192+10000</f>
        <v/>
      </c>
      <c r="N193" s="68" t="inlineStr">
        <is>
          <t>AtkRatio</t>
        </is>
      </c>
      <c r="O193" s="68">
        <f>O192+10000</f>
        <v/>
      </c>
      <c r="P193" s="68" t="inlineStr">
        <is>
          <t>DefRatio</t>
        </is>
      </c>
      <c r="Q193" s="68">
        <f>Q192+10000</f>
        <v/>
      </c>
      <c r="R193" s="0">
        <f>_xlfn.XLOOKUP($B193, 'Detail&lt;Child&gt;'!$A:$A, 'Detail&lt;Child&gt;'!$L:$L)</f>
        <v/>
      </c>
    </row>
    <row r="194">
      <c r="A194" s="68">
        <f>B194*100+H194</f>
        <v/>
      </c>
      <c r="B194" s="68" t="n">
        <v>10000156</v>
      </c>
      <c r="C194" s="68">
        <f>_xlfn.XLOOKUP(B194,'Detail&lt;Child&gt;'!A:A,'Detail&lt;Child&gt;'!B:B)</f>
        <v/>
      </c>
      <c r="D194" s="68">
        <f>"character_gradeup_"&amp;$B194&amp;"_"&amp;$H194</f>
        <v/>
      </c>
      <c r="E194" s="68" t="inlineStr">
        <is>
          <t>Item</t>
        </is>
      </c>
      <c r="F194" s="68">
        <f>INT(3003&amp;RIGHT(B194,4))</f>
        <v/>
      </c>
      <c r="G194" s="68">
        <f>VLOOKUP($R194, '#등급업 재료 개수'!$A$2:$K$5, MATCH(GradeUp!H194, '#등급업 재료 개수'!$A$2:$K$2, 0), FALSE)</f>
        <v/>
      </c>
      <c r="H194" s="68" t="n">
        <v>1</v>
      </c>
      <c r="I194" s="68" t="n">
        <v>10</v>
      </c>
      <c r="J194" s="68" t="n">
        <v>0</v>
      </c>
      <c r="K194" s="68" t="n">
        <v>0</v>
      </c>
      <c r="L194" s="68" t="inlineStr">
        <is>
          <t>HpRatio</t>
        </is>
      </c>
      <c r="M194" s="68" t="n">
        <v>0</v>
      </c>
      <c r="N194" s="68" t="inlineStr">
        <is>
          <t>AtkRatio</t>
        </is>
      </c>
      <c r="O194" s="68" t="n">
        <v>0</v>
      </c>
      <c r="P194" s="68" t="inlineStr">
        <is>
          <t>DefRatio</t>
        </is>
      </c>
      <c r="Q194" s="68" t="n">
        <v>0</v>
      </c>
      <c r="R194" s="0">
        <f>_xlfn.XLOOKUP($B194, 'Detail&lt;Child&gt;'!$A:$A, 'Detail&lt;Child&gt;'!$L:$L)</f>
        <v/>
      </c>
    </row>
    <row r="195">
      <c r="A195" s="68">
        <f>B195*100+H195</f>
        <v/>
      </c>
      <c r="B195" s="68" t="n">
        <v>10000156</v>
      </c>
      <c r="C195" s="68">
        <f>_xlfn.XLOOKUP(B195,'Detail&lt;Child&gt;'!A:A,'Detail&lt;Child&gt;'!B:B)</f>
        <v/>
      </c>
      <c r="D195" s="68">
        <f>"character_gradeup_"&amp;$B195&amp;"_"&amp;$H195</f>
        <v/>
      </c>
      <c r="E195" s="68" t="inlineStr">
        <is>
          <t>Item</t>
        </is>
      </c>
      <c r="F195" s="68">
        <f>INT(3003&amp;RIGHT(B195,4))</f>
        <v/>
      </c>
      <c r="G195" s="68">
        <f>VLOOKUP($R195, '#등급업 재료 개수'!$A$2:$K$5, MATCH(GradeUp!H195, '#등급업 재료 개수'!$A$2:$K$2, 0), FALSE)</f>
        <v/>
      </c>
      <c r="H195" s="68" t="n">
        <v>2</v>
      </c>
      <c r="I195" s="68" t="n">
        <v>20</v>
      </c>
      <c r="J195" s="68" t="inlineStr">
        <is>
          <t>Active</t>
        </is>
      </c>
      <c r="K195" s="68">
        <f>_xlfn.IFNA(VLOOKUP($B195, 'Detail&lt;Child&gt;'!$A:$AW, MATCH(J195, 'Detail&lt;Child&gt;'!$3:$3,0 ), FALSE)+INT($H195/12), 0)</f>
        <v/>
      </c>
      <c r="L195" s="68" t="inlineStr">
        <is>
          <t>HpRatio</t>
        </is>
      </c>
      <c r="M195" s="68" t="n">
        <v>0</v>
      </c>
      <c r="N195" s="68" t="inlineStr">
        <is>
          <t>AtkRatio</t>
        </is>
      </c>
      <c r="O195" s="68" t="n">
        <v>0</v>
      </c>
      <c r="P195" s="68" t="inlineStr">
        <is>
          <t>DefRatio</t>
        </is>
      </c>
      <c r="Q195" s="68" t="n">
        <v>0</v>
      </c>
      <c r="R195" s="0">
        <f>_xlfn.XLOOKUP($B195, 'Detail&lt;Child&gt;'!$A:$A, 'Detail&lt;Child&gt;'!$L:$L)</f>
        <v/>
      </c>
    </row>
    <row r="196">
      <c r="A196" s="68">
        <f>B196*100+H196</f>
        <v/>
      </c>
      <c r="B196" s="68" t="n">
        <v>10000156</v>
      </c>
      <c r="C196" s="68">
        <f>_xlfn.XLOOKUP(B196,'Detail&lt;Child&gt;'!A:A,'Detail&lt;Child&gt;'!B:B)</f>
        <v/>
      </c>
      <c r="D196" s="68">
        <f>"character_gradeup_"&amp;$B196&amp;"_"&amp;$H196</f>
        <v/>
      </c>
      <c r="E196" s="68" t="inlineStr">
        <is>
          <t>Item</t>
        </is>
      </c>
      <c r="F196" s="68">
        <f>INT(3003&amp;RIGHT(B196,4))</f>
        <v/>
      </c>
      <c r="G196" s="68">
        <f>VLOOKUP($R196, '#등급업 재료 개수'!$A$2:$K$5, MATCH(GradeUp!H196, '#등급업 재료 개수'!$A$2:$K$2, 0), FALSE)</f>
        <v/>
      </c>
      <c r="H196" s="68" t="n">
        <v>3</v>
      </c>
      <c r="I196" s="68" t="n">
        <v>30</v>
      </c>
      <c r="J196" s="68" t="n">
        <v>0</v>
      </c>
      <c r="K196" s="68" t="n">
        <v>0</v>
      </c>
      <c r="L196" s="68" t="inlineStr">
        <is>
          <t>HpRatio</t>
        </is>
      </c>
      <c r="M196" s="68" t="n">
        <v>0</v>
      </c>
      <c r="N196" s="68" t="inlineStr">
        <is>
          <t>AtkRatio</t>
        </is>
      </c>
      <c r="O196" s="68" t="n">
        <v>0</v>
      </c>
      <c r="P196" s="68" t="inlineStr">
        <is>
          <t>DefRatio</t>
        </is>
      </c>
      <c r="Q196" s="68" t="n">
        <v>0</v>
      </c>
      <c r="R196" s="0">
        <f>_xlfn.XLOOKUP($B196, 'Detail&lt;Child&gt;'!$A:$A, 'Detail&lt;Child&gt;'!$L:$L)</f>
        <v/>
      </c>
    </row>
    <row r="197">
      <c r="A197" s="68">
        <f>B197*100+H197</f>
        <v/>
      </c>
      <c r="B197" s="68" t="n">
        <v>10000156</v>
      </c>
      <c r="C197" s="68">
        <f>_xlfn.XLOOKUP(B197,'Detail&lt;Child&gt;'!A:A,'Detail&lt;Child&gt;'!B:B)</f>
        <v/>
      </c>
      <c r="D197" s="68">
        <f>"character_gradeup_"&amp;$B197&amp;"_"&amp;$H197</f>
        <v/>
      </c>
      <c r="E197" s="68" t="inlineStr">
        <is>
          <t>Item</t>
        </is>
      </c>
      <c r="F197" s="68">
        <f>INT(3003&amp;RIGHT(B197,4))</f>
        <v/>
      </c>
      <c r="G197" s="68">
        <f>VLOOKUP($R197, '#등급업 재료 개수'!$A$2:$K$5, MATCH(GradeUp!H197, '#등급업 재료 개수'!$A$2:$K$2, 0), FALSE)</f>
        <v/>
      </c>
      <c r="H197" s="68" t="n">
        <v>4</v>
      </c>
      <c r="I197" s="68" t="n">
        <v>40</v>
      </c>
      <c r="J197" s="68" t="inlineStr">
        <is>
          <t>Passive</t>
        </is>
      </c>
      <c r="K197" s="68">
        <f>_xlfn.IFNA(VLOOKUP($B197, 'Detail&lt;Child&gt;'!$A:$AW, MATCH(J197, 'Detail&lt;Child&gt;'!$3:$3,0 ), FALSE)+INT($H197/12), 0)</f>
        <v/>
      </c>
      <c r="L197" s="68" t="inlineStr">
        <is>
          <t>HpRatio</t>
        </is>
      </c>
      <c r="M197" s="68" t="n">
        <v>10000</v>
      </c>
      <c r="N197" s="68" t="inlineStr">
        <is>
          <t>AtkRatio</t>
        </is>
      </c>
      <c r="O197" s="68" t="n">
        <v>10000</v>
      </c>
      <c r="P197" s="68" t="inlineStr">
        <is>
          <t>DefRatio</t>
        </is>
      </c>
      <c r="Q197" s="68" t="n">
        <v>10000</v>
      </c>
      <c r="R197" s="0">
        <f>_xlfn.XLOOKUP($B197, 'Detail&lt;Child&gt;'!$A:$A, 'Detail&lt;Child&gt;'!$L:$L)</f>
        <v/>
      </c>
    </row>
    <row r="198">
      <c r="A198" s="68">
        <f>B198*100+H198</f>
        <v/>
      </c>
      <c r="B198" s="68" t="n">
        <v>10000156</v>
      </c>
      <c r="C198" s="68">
        <f>_xlfn.XLOOKUP(B198,'Detail&lt;Child&gt;'!A:A,'Detail&lt;Child&gt;'!B:B)</f>
        <v/>
      </c>
      <c r="D198" s="68">
        <f>"character_gradeup_"&amp;$B198&amp;"_"&amp;$H198</f>
        <v/>
      </c>
      <c r="E198" s="68" t="inlineStr">
        <is>
          <t>Item</t>
        </is>
      </c>
      <c r="F198" s="68">
        <f>INT(3003&amp;RIGHT(B198,4))</f>
        <v/>
      </c>
      <c r="G198" s="68">
        <f>VLOOKUP($R198, '#등급업 재료 개수'!$A$2:$K$5, MATCH(GradeUp!H198, '#등급업 재료 개수'!$A$2:$K$2, 0), FALSE)</f>
        <v/>
      </c>
      <c r="H198" s="68" t="n">
        <v>5</v>
      </c>
      <c r="I198" s="68" t="n">
        <v>50</v>
      </c>
      <c r="J198" s="68" t="inlineStr">
        <is>
          <t>Active</t>
        </is>
      </c>
      <c r="K198" s="68">
        <f>_xlfn.IFNA(VLOOKUP($B198, 'Detail&lt;Child&gt;'!$A:$AW, MATCH(J198, 'Detail&lt;Child&gt;'!$3:$3,0 ), FALSE)+INT($H198/12), 0)+1</f>
        <v/>
      </c>
      <c r="L198" s="68" t="inlineStr">
        <is>
          <t>HpRatio</t>
        </is>
      </c>
      <c r="M198" s="68">
        <f>M197+10000</f>
        <v/>
      </c>
      <c r="N198" s="68" t="inlineStr">
        <is>
          <t>AtkRatio</t>
        </is>
      </c>
      <c r="O198" s="68">
        <f>O197+10000</f>
        <v/>
      </c>
      <c r="P198" s="68" t="inlineStr">
        <is>
          <t>DefRatio</t>
        </is>
      </c>
      <c r="Q198" s="68">
        <f>Q197+10000</f>
        <v/>
      </c>
      <c r="R198" s="0">
        <f>_xlfn.XLOOKUP($B198, 'Detail&lt;Child&gt;'!$A:$A, 'Detail&lt;Child&gt;'!$L:$L)</f>
        <v/>
      </c>
    </row>
    <row r="199">
      <c r="A199" s="68">
        <f>B199*100+H199</f>
        <v/>
      </c>
      <c r="B199" s="68" t="n">
        <v>10000156</v>
      </c>
      <c r="C199" s="68">
        <f>_xlfn.XLOOKUP(B199,'Detail&lt;Child&gt;'!A:A,'Detail&lt;Child&gt;'!B:B)</f>
        <v/>
      </c>
      <c r="D199" s="68">
        <f>"character_gradeup_"&amp;$B199&amp;"_"&amp;$H199</f>
        <v/>
      </c>
      <c r="E199" s="68" t="inlineStr">
        <is>
          <t>Item</t>
        </is>
      </c>
      <c r="F199" s="68">
        <f>INT(3003&amp;RIGHT(B199,4))</f>
        <v/>
      </c>
      <c r="G199" s="68">
        <f>VLOOKUP($R199, '#등급업 재료 개수'!$A$2:$K$5, MATCH(GradeUp!H199, '#등급업 재료 개수'!$A$2:$K$2, 0), FALSE)</f>
        <v/>
      </c>
      <c r="H199" s="68" t="n">
        <v>6</v>
      </c>
      <c r="I199" s="68" t="n">
        <v>60</v>
      </c>
      <c r="J199" s="68" t="n">
        <v>0</v>
      </c>
      <c r="K199" s="68" t="n">
        <v>0</v>
      </c>
      <c r="L199" s="68" t="inlineStr">
        <is>
          <t>HpRatio</t>
        </is>
      </c>
      <c r="M199" s="68">
        <f>M198+10000</f>
        <v/>
      </c>
      <c r="N199" s="68" t="inlineStr">
        <is>
          <t>AtkRatio</t>
        </is>
      </c>
      <c r="O199" s="68">
        <f>O198+10000</f>
        <v/>
      </c>
      <c r="P199" s="68" t="inlineStr">
        <is>
          <t>DefRatio</t>
        </is>
      </c>
      <c r="Q199" s="68">
        <f>Q198+10000</f>
        <v/>
      </c>
      <c r="R199" s="0">
        <f>_xlfn.XLOOKUP($B199, 'Detail&lt;Child&gt;'!$A:$A, 'Detail&lt;Child&gt;'!$L:$L)</f>
        <v/>
      </c>
    </row>
    <row r="200">
      <c r="A200" s="68">
        <f>B200*100+H200</f>
        <v/>
      </c>
      <c r="B200" s="68" t="n">
        <v>10000156</v>
      </c>
      <c r="C200" s="68">
        <f>_xlfn.XLOOKUP(B200,'Detail&lt;Child&gt;'!A:A,'Detail&lt;Child&gt;'!B:B)</f>
        <v/>
      </c>
      <c r="D200" s="68">
        <f>"character_gradeup_"&amp;$B200&amp;"_"&amp;$H200</f>
        <v/>
      </c>
      <c r="E200" s="68" t="inlineStr">
        <is>
          <t>Item</t>
        </is>
      </c>
      <c r="F200" s="68">
        <f>INT(3003&amp;RIGHT(B200,4))</f>
        <v/>
      </c>
      <c r="G200" s="68">
        <f>VLOOKUP($R200, '#등급업 재료 개수'!$A$2:$K$5, MATCH(GradeUp!H200, '#등급업 재료 개수'!$A$2:$K$2, 0), FALSE)</f>
        <v/>
      </c>
      <c r="H200" s="68" t="n">
        <v>7</v>
      </c>
      <c r="I200" s="68" t="n">
        <v>70</v>
      </c>
      <c r="J200" s="68" t="inlineStr">
        <is>
          <t>Passive</t>
        </is>
      </c>
      <c r="K200" s="68">
        <f>_xlfn.IFNA(VLOOKUP($B200, 'Detail&lt;Child&gt;'!$A:$AW, MATCH(J200, 'Detail&lt;Child&gt;'!$3:$3,0 ), FALSE)+INT($H200/12), 0)+1</f>
        <v/>
      </c>
      <c r="L200" s="68" t="inlineStr">
        <is>
          <t>HpRatio</t>
        </is>
      </c>
      <c r="M200" s="68">
        <f>M199+10000</f>
        <v/>
      </c>
      <c r="N200" s="68" t="inlineStr">
        <is>
          <t>AtkRatio</t>
        </is>
      </c>
      <c r="O200" s="68">
        <f>O199+10000</f>
        <v/>
      </c>
      <c r="P200" s="68" t="inlineStr">
        <is>
          <t>DefRatio</t>
        </is>
      </c>
      <c r="Q200" s="68">
        <f>Q199+10000</f>
        <v/>
      </c>
      <c r="R200" s="0">
        <f>_xlfn.XLOOKUP($B200, 'Detail&lt;Child&gt;'!$A:$A, 'Detail&lt;Child&gt;'!$L:$L)</f>
        <v/>
      </c>
    </row>
    <row r="201">
      <c r="A201" s="68">
        <f>B201*100+H201</f>
        <v/>
      </c>
      <c r="B201" s="68" t="n">
        <v>10000156</v>
      </c>
      <c r="C201" s="68">
        <f>_xlfn.XLOOKUP(B201,'Detail&lt;Child&gt;'!A:A,'Detail&lt;Child&gt;'!B:B)</f>
        <v/>
      </c>
      <c r="D201" s="68">
        <f>"character_gradeup_"&amp;$B201&amp;"_"&amp;$H201</f>
        <v/>
      </c>
      <c r="E201" s="68" t="inlineStr">
        <is>
          <t>Item</t>
        </is>
      </c>
      <c r="F201" s="68">
        <f>INT(3003&amp;RIGHT(B201,4))</f>
        <v/>
      </c>
      <c r="G201" s="68">
        <f>VLOOKUP($R201, '#등급업 재료 개수'!$A$2:$K$5, MATCH(GradeUp!H201, '#등급업 재료 개수'!$A$2:$K$2, 0), FALSE)</f>
        <v/>
      </c>
      <c r="H201" s="68" t="n">
        <v>8</v>
      </c>
      <c r="I201" s="68" t="n">
        <v>80</v>
      </c>
      <c r="J201" s="68" t="n">
        <v>0</v>
      </c>
      <c r="K201" s="68" t="n">
        <v>0</v>
      </c>
      <c r="L201" s="68" t="inlineStr">
        <is>
          <t>HpRatio</t>
        </is>
      </c>
      <c r="M201" s="68">
        <f>M200+10000</f>
        <v/>
      </c>
      <c r="N201" s="68" t="inlineStr">
        <is>
          <t>AtkRatio</t>
        </is>
      </c>
      <c r="O201" s="68">
        <f>O200+10000</f>
        <v/>
      </c>
      <c r="P201" s="68" t="inlineStr">
        <is>
          <t>DefRatio</t>
        </is>
      </c>
      <c r="Q201" s="68">
        <f>Q200+10000</f>
        <v/>
      </c>
      <c r="R201" s="0">
        <f>_xlfn.XLOOKUP($B201, 'Detail&lt;Child&gt;'!$A:$A, 'Detail&lt;Child&gt;'!$L:$L)</f>
        <v/>
      </c>
    </row>
    <row r="202">
      <c r="A202" s="68">
        <f>B202*100+H202</f>
        <v/>
      </c>
      <c r="B202" s="68" t="n">
        <v>10000156</v>
      </c>
      <c r="C202" s="68">
        <f>_xlfn.XLOOKUP(B202,'Detail&lt;Child&gt;'!A:A,'Detail&lt;Child&gt;'!B:B)</f>
        <v/>
      </c>
      <c r="D202" s="68">
        <f>"character_gradeup_"&amp;$B202&amp;"_"&amp;$H202</f>
        <v/>
      </c>
      <c r="E202" s="68" t="inlineStr">
        <is>
          <t>Item</t>
        </is>
      </c>
      <c r="F202" s="68">
        <f>INT(3003&amp;RIGHT(B202,4))</f>
        <v/>
      </c>
      <c r="G202" s="68">
        <f>VLOOKUP($R202, '#등급업 재료 개수'!$A$2:$K$5, MATCH(GradeUp!H202, '#등급업 재료 개수'!$A$2:$K$2, 0), FALSE)</f>
        <v/>
      </c>
      <c r="H202" s="68" t="n">
        <v>9</v>
      </c>
      <c r="I202" s="68" t="n">
        <v>90</v>
      </c>
      <c r="J202" s="68" t="inlineStr">
        <is>
          <t>Ultimate</t>
        </is>
      </c>
      <c r="K202" s="68">
        <f>_xlfn.IFNA(VLOOKUP($B202, 'Detail&lt;Child&gt;'!$A:$AW, MATCH(J202, 'Detail&lt;Child&gt;'!$3:$3,0 ), FALSE)+INT($H202/12), 0)+1</f>
        <v/>
      </c>
      <c r="L202" s="68" t="inlineStr">
        <is>
          <t>HpRatio</t>
        </is>
      </c>
      <c r="M202" s="68">
        <f>M201+10000</f>
        <v/>
      </c>
      <c r="N202" s="68" t="inlineStr">
        <is>
          <t>AtkRatio</t>
        </is>
      </c>
      <c r="O202" s="68">
        <f>O201+10000</f>
        <v/>
      </c>
      <c r="P202" s="68" t="inlineStr">
        <is>
          <t>DefRatio</t>
        </is>
      </c>
      <c r="Q202" s="68">
        <f>Q201+10000</f>
        <v/>
      </c>
      <c r="R202" s="0">
        <f>_xlfn.XLOOKUP($B202, 'Detail&lt;Child&gt;'!$A:$A, 'Detail&lt;Child&gt;'!$L:$L)</f>
        <v/>
      </c>
    </row>
    <row r="203">
      <c r="A203" s="68">
        <f>B203*100+H203</f>
        <v/>
      </c>
      <c r="B203" s="68" t="n">
        <v>10000156</v>
      </c>
      <c r="C203" s="68">
        <f>_xlfn.XLOOKUP(B203,'Detail&lt;Child&gt;'!A:A,'Detail&lt;Child&gt;'!B:B)</f>
        <v/>
      </c>
      <c r="D203" s="68">
        <f>"character_gradeup_"&amp;$B203&amp;"_"&amp;$H203</f>
        <v/>
      </c>
      <c r="E203" s="68" t="inlineStr">
        <is>
          <t>Item</t>
        </is>
      </c>
      <c r="F203" s="68">
        <f>INT(3003&amp;RIGHT(B203,4))</f>
        <v/>
      </c>
      <c r="G203" s="68">
        <f>VLOOKUP($R203, '#등급업 재료 개수'!$A$2:$K$5, MATCH(GradeUp!H203, '#등급업 재료 개수'!$A$2:$K$2, 0), FALSE)</f>
        <v/>
      </c>
      <c r="H203" s="68" t="n">
        <v>10</v>
      </c>
      <c r="I203" s="68" t="n">
        <v>100</v>
      </c>
      <c r="J203" s="68" t="n">
        <v>0</v>
      </c>
      <c r="K203" s="68" t="n">
        <v>0</v>
      </c>
      <c r="L203" s="68" t="inlineStr">
        <is>
          <t>HpRatio</t>
        </is>
      </c>
      <c r="M203" s="68">
        <f>M202+10000</f>
        <v/>
      </c>
      <c r="N203" s="68" t="inlineStr">
        <is>
          <t>AtkRatio</t>
        </is>
      </c>
      <c r="O203" s="68">
        <f>O202+10000</f>
        <v/>
      </c>
      <c r="P203" s="68" t="inlineStr">
        <is>
          <t>DefRatio</t>
        </is>
      </c>
      <c r="Q203" s="68">
        <f>Q202+10000</f>
        <v/>
      </c>
      <c r="R203" s="0">
        <f>_xlfn.XLOOKUP($B203, 'Detail&lt;Child&gt;'!$A:$A, 'Detail&lt;Child&gt;'!$L:$L)</f>
        <v/>
      </c>
    </row>
    <row r="204">
      <c r="A204" s="68">
        <f>B204*100+H204</f>
        <v/>
      </c>
      <c r="B204" s="68" t="n">
        <v>10000318</v>
      </c>
      <c r="C204" s="68">
        <f>_xlfn.XLOOKUP(B204,'Detail&lt;Child&gt;'!A:A,'Detail&lt;Child&gt;'!B:B)</f>
        <v/>
      </c>
      <c r="D204" s="68">
        <f>"character_gradeup_"&amp;$B204&amp;"_"&amp;$H204</f>
        <v/>
      </c>
      <c r="E204" s="68" t="inlineStr">
        <is>
          <t>Item</t>
        </is>
      </c>
      <c r="F204" s="68">
        <f>INT(3003&amp;RIGHT(B204,4))</f>
        <v/>
      </c>
      <c r="G204" s="68">
        <f>VLOOKUP($R204, '#등급업 재료 개수'!$A$2:$K$5, MATCH(GradeUp!H204, '#등급업 재료 개수'!$A$2:$K$2, 0), FALSE)</f>
        <v/>
      </c>
      <c r="H204" s="68" t="n">
        <v>1</v>
      </c>
      <c r="I204" s="68" t="n">
        <v>10</v>
      </c>
      <c r="J204" s="68" t="n">
        <v>0</v>
      </c>
      <c r="K204" s="68" t="n">
        <v>0</v>
      </c>
      <c r="L204" s="68" t="inlineStr">
        <is>
          <t>HpRatio</t>
        </is>
      </c>
      <c r="M204" s="68" t="n">
        <v>0</v>
      </c>
      <c r="N204" s="68" t="inlineStr">
        <is>
          <t>AtkRatio</t>
        </is>
      </c>
      <c r="O204" s="68" t="n">
        <v>0</v>
      </c>
      <c r="P204" s="68" t="inlineStr">
        <is>
          <t>DefRatio</t>
        </is>
      </c>
      <c r="Q204" s="68" t="n">
        <v>0</v>
      </c>
      <c r="R204" s="0">
        <f>_xlfn.XLOOKUP($B204, 'Detail&lt;Child&gt;'!$A:$A, 'Detail&lt;Child&gt;'!$L:$L)</f>
        <v/>
      </c>
    </row>
    <row r="205">
      <c r="A205" s="68">
        <f>B205*100+H205</f>
        <v/>
      </c>
      <c r="B205" s="68" t="n">
        <v>10000318</v>
      </c>
      <c r="C205" s="68">
        <f>_xlfn.XLOOKUP(B205,'Detail&lt;Child&gt;'!A:A,'Detail&lt;Child&gt;'!B:B)</f>
        <v/>
      </c>
      <c r="D205" s="68">
        <f>"character_gradeup_"&amp;$B205&amp;"_"&amp;$H205</f>
        <v/>
      </c>
      <c r="E205" s="68" t="inlineStr">
        <is>
          <t>Item</t>
        </is>
      </c>
      <c r="F205" s="68">
        <f>INT(3003&amp;RIGHT(B205,4))</f>
        <v/>
      </c>
      <c r="G205" s="68">
        <f>VLOOKUP($R205, '#등급업 재료 개수'!$A$2:$K$5, MATCH(GradeUp!H205, '#등급업 재료 개수'!$A$2:$K$2, 0), FALSE)</f>
        <v/>
      </c>
      <c r="H205" s="68" t="n">
        <v>2</v>
      </c>
      <c r="I205" s="68" t="n">
        <v>20</v>
      </c>
      <c r="J205" s="68" t="inlineStr">
        <is>
          <t>Active</t>
        </is>
      </c>
      <c r="K205" s="68">
        <f>_xlfn.IFNA(VLOOKUP($B205, 'Detail&lt;Child&gt;'!$A:$AW, MATCH(J205, 'Detail&lt;Child&gt;'!$3:$3,0 ), FALSE)+INT($H205/12), 0)</f>
        <v/>
      </c>
      <c r="L205" s="68" t="inlineStr">
        <is>
          <t>HpRatio</t>
        </is>
      </c>
      <c r="M205" s="68" t="n">
        <v>0</v>
      </c>
      <c r="N205" s="68" t="inlineStr">
        <is>
          <t>AtkRatio</t>
        </is>
      </c>
      <c r="O205" s="68" t="n">
        <v>0</v>
      </c>
      <c r="P205" s="68" t="inlineStr">
        <is>
          <t>DefRatio</t>
        </is>
      </c>
      <c r="Q205" s="68" t="n">
        <v>0</v>
      </c>
      <c r="R205" s="0">
        <f>_xlfn.XLOOKUP($B205, 'Detail&lt;Child&gt;'!$A:$A, 'Detail&lt;Child&gt;'!$L:$L)</f>
        <v/>
      </c>
    </row>
    <row r="206">
      <c r="A206" s="68">
        <f>B206*100+H206</f>
        <v/>
      </c>
      <c r="B206" s="68" t="n">
        <v>10000318</v>
      </c>
      <c r="C206" s="68">
        <f>_xlfn.XLOOKUP(B206,'Detail&lt;Child&gt;'!A:A,'Detail&lt;Child&gt;'!B:B)</f>
        <v/>
      </c>
      <c r="D206" s="68">
        <f>"character_gradeup_"&amp;$B206&amp;"_"&amp;$H206</f>
        <v/>
      </c>
      <c r="E206" s="68" t="inlineStr">
        <is>
          <t>Item</t>
        </is>
      </c>
      <c r="F206" s="68">
        <f>INT(3003&amp;RIGHT(B206,4))</f>
        <v/>
      </c>
      <c r="G206" s="68">
        <f>VLOOKUP($R206, '#등급업 재료 개수'!$A$2:$K$5, MATCH(GradeUp!H206, '#등급업 재료 개수'!$A$2:$K$2, 0), FALSE)</f>
        <v/>
      </c>
      <c r="H206" s="68" t="n">
        <v>3</v>
      </c>
      <c r="I206" s="68" t="n">
        <v>30</v>
      </c>
      <c r="J206" s="68" t="n">
        <v>0</v>
      </c>
      <c r="K206" s="68" t="n">
        <v>0</v>
      </c>
      <c r="L206" s="68" t="inlineStr">
        <is>
          <t>HpRatio</t>
        </is>
      </c>
      <c r="M206" s="68" t="n">
        <v>0</v>
      </c>
      <c r="N206" s="68" t="inlineStr">
        <is>
          <t>AtkRatio</t>
        </is>
      </c>
      <c r="O206" s="68" t="n">
        <v>0</v>
      </c>
      <c r="P206" s="68" t="inlineStr">
        <is>
          <t>DefRatio</t>
        </is>
      </c>
      <c r="Q206" s="68" t="n">
        <v>0</v>
      </c>
      <c r="R206" s="0">
        <f>_xlfn.XLOOKUP($B206, 'Detail&lt;Child&gt;'!$A:$A, 'Detail&lt;Child&gt;'!$L:$L)</f>
        <v/>
      </c>
    </row>
    <row r="207">
      <c r="A207" s="68">
        <f>B207*100+H207</f>
        <v/>
      </c>
      <c r="B207" s="68" t="n">
        <v>10000318</v>
      </c>
      <c r="C207" s="68">
        <f>_xlfn.XLOOKUP(B207,'Detail&lt;Child&gt;'!A:A,'Detail&lt;Child&gt;'!B:B)</f>
        <v/>
      </c>
      <c r="D207" s="68">
        <f>"character_gradeup_"&amp;$B207&amp;"_"&amp;$H207</f>
        <v/>
      </c>
      <c r="E207" s="68" t="inlineStr">
        <is>
          <t>Item</t>
        </is>
      </c>
      <c r="F207" s="68">
        <f>INT(3003&amp;RIGHT(B207,4))</f>
        <v/>
      </c>
      <c r="G207" s="68">
        <f>VLOOKUP($R207, '#등급업 재료 개수'!$A$2:$K$5, MATCH(GradeUp!H207, '#등급업 재료 개수'!$A$2:$K$2, 0), FALSE)</f>
        <v/>
      </c>
      <c r="H207" s="68" t="n">
        <v>4</v>
      </c>
      <c r="I207" s="68" t="n">
        <v>40</v>
      </c>
      <c r="J207" s="68" t="inlineStr">
        <is>
          <t>Passive</t>
        </is>
      </c>
      <c r="K207" s="68">
        <f>_xlfn.IFNA(VLOOKUP($B207, 'Detail&lt;Child&gt;'!$A:$AW, MATCH(J207, 'Detail&lt;Child&gt;'!$3:$3,0 ), FALSE)+INT($H207/12), 0)</f>
        <v/>
      </c>
      <c r="L207" s="68" t="inlineStr">
        <is>
          <t>HpRatio</t>
        </is>
      </c>
      <c r="M207" s="68" t="n">
        <v>10000</v>
      </c>
      <c r="N207" s="68" t="inlineStr">
        <is>
          <t>AtkRatio</t>
        </is>
      </c>
      <c r="O207" s="68" t="n">
        <v>10000</v>
      </c>
      <c r="P207" s="68" t="inlineStr">
        <is>
          <t>DefRatio</t>
        </is>
      </c>
      <c r="Q207" s="68" t="n">
        <v>10000</v>
      </c>
      <c r="R207" s="0">
        <f>_xlfn.XLOOKUP($B207, 'Detail&lt;Child&gt;'!$A:$A, 'Detail&lt;Child&gt;'!$L:$L)</f>
        <v/>
      </c>
    </row>
    <row r="208">
      <c r="A208" s="68">
        <f>B208*100+H208</f>
        <v/>
      </c>
      <c r="B208" s="68" t="n">
        <v>10000318</v>
      </c>
      <c r="C208" s="68">
        <f>_xlfn.XLOOKUP(B208,'Detail&lt;Child&gt;'!A:A,'Detail&lt;Child&gt;'!B:B)</f>
        <v/>
      </c>
      <c r="D208" s="68">
        <f>"character_gradeup_"&amp;$B208&amp;"_"&amp;$H208</f>
        <v/>
      </c>
      <c r="E208" s="68" t="inlineStr">
        <is>
          <t>Item</t>
        </is>
      </c>
      <c r="F208" s="68">
        <f>INT(3003&amp;RIGHT(B208,4))</f>
        <v/>
      </c>
      <c r="G208" s="68">
        <f>VLOOKUP($R208, '#등급업 재료 개수'!$A$2:$K$5, MATCH(GradeUp!H208, '#등급업 재료 개수'!$A$2:$K$2, 0), FALSE)</f>
        <v/>
      </c>
      <c r="H208" s="68" t="n">
        <v>5</v>
      </c>
      <c r="I208" s="68" t="n">
        <v>50</v>
      </c>
      <c r="J208" s="68" t="inlineStr">
        <is>
          <t>Active</t>
        </is>
      </c>
      <c r="K208" s="68">
        <f>_xlfn.IFNA(VLOOKUP($B208, 'Detail&lt;Child&gt;'!$A:$AW, MATCH(J208, 'Detail&lt;Child&gt;'!$3:$3,0 ), FALSE)+INT($H208/12), 0)+1</f>
        <v/>
      </c>
      <c r="L208" s="68" t="inlineStr">
        <is>
          <t>HpRatio</t>
        </is>
      </c>
      <c r="M208" s="68">
        <f>M207+10000</f>
        <v/>
      </c>
      <c r="N208" s="68" t="inlineStr">
        <is>
          <t>AtkRatio</t>
        </is>
      </c>
      <c r="O208" s="68">
        <f>O207+10000</f>
        <v/>
      </c>
      <c r="P208" s="68" t="inlineStr">
        <is>
          <t>DefRatio</t>
        </is>
      </c>
      <c r="Q208" s="68">
        <f>Q207+10000</f>
        <v/>
      </c>
      <c r="R208" s="0">
        <f>_xlfn.XLOOKUP($B208, 'Detail&lt;Child&gt;'!$A:$A, 'Detail&lt;Child&gt;'!$L:$L)</f>
        <v/>
      </c>
    </row>
    <row r="209">
      <c r="A209" s="68">
        <f>B209*100+H209</f>
        <v/>
      </c>
      <c r="B209" s="68" t="n">
        <v>10000318</v>
      </c>
      <c r="C209" s="68">
        <f>_xlfn.XLOOKUP(B209,'Detail&lt;Child&gt;'!A:A,'Detail&lt;Child&gt;'!B:B)</f>
        <v/>
      </c>
      <c r="D209" s="68">
        <f>"character_gradeup_"&amp;$B209&amp;"_"&amp;$H209</f>
        <v/>
      </c>
      <c r="E209" s="68" t="inlineStr">
        <is>
          <t>Item</t>
        </is>
      </c>
      <c r="F209" s="68">
        <f>INT(3003&amp;RIGHT(B209,4))</f>
        <v/>
      </c>
      <c r="G209" s="68">
        <f>VLOOKUP($R209, '#등급업 재료 개수'!$A$2:$K$5, MATCH(GradeUp!H209, '#등급업 재료 개수'!$A$2:$K$2, 0), FALSE)</f>
        <v/>
      </c>
      <c r="H209" s="68" t="n">
        <v>6</v>
      </c>
      <c r="I209" s="68" t="n">
        <v>60</v>
      </c>
      <c r="J209" s="68" t="n">
        <v>0</v>
      </c>
      <c r="K209" s="68" t="n">
        <v>0</v>
      </c>
      <c r="L209" s="68" t="inlineStr">
        <is>
          <t>HpRatio</t>
        </is>
      </c>
      <c r="M209" s="68">
        <f>M208+10000</f>
        <v/>
      </c>
      <c r="N209" s="68" t="inlineStr">
        <is>
          <t>AtkRatio</t>
        </is>
      </c>
      <c r="O209" s="68">
        <f>O208+10000</f>
        <v/>
      </c>
      <c r="P209" s="68" t="inlineStr">
        <is>
          <t>DefRatio</t>
        </is>
      </c>
      <c r="Q209" s="68">
        <f>Q208+10000</f>
        <v/>
      </c>
      <c r="R209" s="0">
        <f>_xlfn.XLOOKUP($B209, 'Detail&lt;Child&gt;'!$A:$A, 'Detail&lt;Child&gt;'!$L:$L)</f>
        <v/>
      </c>
    </row>
    <row r="210">
      <c r="A210" s="68">
        <f>B210*100+H210</f>
        <v/>
      </c>
      <c r="B210" s="68" t="n">
        <v>10000318</v>
      </c>
      <c r="C210" s="68">
        <f>_xlfn.XLOOKUP(B210,'Detail&lt;Child&gt;'!A:A,'Detail&lt;Child&gt;'!B:B)</f>
        <v/>
      </c>
      <c r="D210" s="68">
        <f>"character_gradeup_"&amp;$B210&amp;"_"&amp;$H210</f>
        <v/>
      </c>
      <c r="E210" s="68" t="inlineStr">
        <is>
          <t>Item</t>
        </is>
      </c>
      <c r="F210" s="68">
        <f>INT(3003&amp;RIGHT(B210,4))</f>
        <v/>
      </c>
      <c r="G210" s="68">
        <f>VLOOKUP($R210, '#등급업 재료 개수'!$A$2:$K$5, MATCH(GradeUp!H210, '#등급업 재료 개수'!$A$2:$K$2, 0), FALSE)</f>
        <v/>
      </c>
      <c r="H210" s="68" t="n">
        <v>7</v>
      </c>
      <c r="I210" s="68" t="n">
        <v>70</v>
      </c>
      <c r="J210" s="68" t="inlineStr">
        <is>
          <t>Passive</t>
        </is>
      </c>
      <c r="K210" s="68">
        <f>_xlfn.IFNA(VLOOKUP($B210, 'Detail&lt;Child&gt;'!$A:$AW, MATCH(J210, 'Detail&lt;Child&gt;'!$3:$3,0 ), FALSE)+INT($H210/12), 0)+1</f>
        <v/>
      </c>
      <c r="L210" s="68" t="inlineStr">
        <is>
          <t>HpRatio</t>
        </is>
      </c>
      <c r="M210" s="68">
        <f>M209+10000</f>
        <v/>
      </c>
      <c r="N210" s="68" t="inlineStr">
        <is>
          <t>AtkRatio</t>
        </is>
      </c>
      <c r="O210" s="68">
        <f>O209+10000</f>
        <v/>
      </c>
      <c r="P210" s="68" t="inlineStr">
        <is>
          <t>DefRatio</t>
        </is>
      </c>
      <c r="Q210" s="68">
        <f>Q209+10000</f>
        <v/>
      </c>
      <c r="R210" s="0">
        <f>_xlfn.XLOOKUP($B210, 'Detail&lt;Child&gt;'!$A:$A, 'Detail&lt;Child&gt;'!$L:$L)</f>
        <v/>
      </c>
    </row>
    <row r="211">
      <c r="A211" s="68">
        <f>B211*100+H211</f>
        <v/>
      </c>
      <c r="B211" s="68" t="n">
        <v>10000318</v>
      </c>
      <c r="C211" s="68">
        <f>_xlfn.XLOOKUP(B211,'Detail&lt;Child&gt;'!A:A,'Detail&lt;Child&gt;'!B:B)</f>
        <v/>
      </c>
      <c r="D211" s="68">
        <f>"character_gradeup_"&amp;$B211&amp;"_"&amp;$H211</f>
        <v/>
      </c>
      <c r="E211" s="68" t="inlineStr">
        <is>
          <t>Item</t>
        </is>
      </c>
      <c r="F211" s="68">
        <f>INT(3003&amp;RIGHT(B211,4))</f>
        <v/>
      </c>
      <c r="G211" s="68">
        <f>VLOOKUP($R211, '#등급업 재료 개수'!$A$2:$K$5, MATCH(GradeUp!H211, '#등급업 재료 개수'!$A$2:$K$2, 0), FALSE)</f>
        <v/>
      </c>
      <c r="H211" s="68" t="n">
        <v>8</v>
      </c>
      <c r="I211" s="68" t="n">
        <v>80</v>
      </c>
      <c r="J211" s="68" t="n">
        <v>0</v>
      </c>
      <c r="K211" s="68" t="n">
        <v>0</v>
      </c>
      <c r="L211" s="68" t="inlineStr">
        <is>
          <t>HpRatio</t>
        </is>
      </c>
      <c r="M211" s="68">
        <f>M210+10000</f>
        <v/>
      </c>
      <c r="N211" s="68" t="inlineStr">
        <is>
          <t>AtkRatio</t>
        </is>
      </c>
      <c r="O211" s="68">
        <f>O210+10000</f>
        <v/>
      </c>
      <c r="P211" s="68" t="inlineStr">
        <is>
          <t>DefRatio</t>
        </is>
      </c>
      <c r="Q211" s="68">
        <f>Q210+10000</f>
        <v/>
      </c>
      <c r="R211" s="0">
        <f>_xlfn.XLOOKUP($B211, 'Detail&lt;Child&gt;'!$A:$A, 'Detail&lt;Child&gt;'!$L:$L)</f>
        <v/>
      </c>
    </row>
    <row r="212">
      <c r="A212" s="68">
        <f>B212*100+H212</f>
        <v/>
      </c>
      <c r="B212" s="68" t="n">
        <v>10000318</v>
      </c>
      <c r="C212" s="68">
        <f>_xlfn.XLOOKUP(B212,'Detail&lt;Child&gt;'!A:A,'Detail&lt;Child&gt;'!B:B)</f>
        <v/>
      </c>
      <c r="D212" s="68">
        <f>"character_gradeup_"&amp;$B212&amp;"_"&amp;$H212</f>
        <v/>
      </c>
      <c r="E212" s="68" t="inlineStr">
        <is>
          <t>Item</t>
        </is>
      </c>
      <c r="F212" s="68">
        <f>INT(3003&amp;RIGHT(B212,4))</f>
        <v/>
      </c>
      <c r="G212" s="68">
        <f>VLOOKUP($R212, '#등급업 재료 개수'!$A$2:$K$5, MATCH(GradeUp!H212, '#등급업 재료 개수'!$A$2:$K$2, 0), FALSE)</f>
        <v/>
      </c>
      <c r="H212" s="68" t="n">
        <v>9</v>
      </c>
      <c r="I212" s="68" t="n">
        <v>90</v>
      </c>
      <c r="J212" s="68" t="inlineStr">
        <is>
          <t>Ultimate</t>
        </is>
      </c>
      <c r="K212" s="68">
        <f>_xlfn.IFNA(VLOOKUP($B212, 'Detail&lt;Child&gt;'!$A:$AW, MATCH(J212, 'Detail&lt;Child&gt;'!$3:$3,0 ), FALSE)+INT($H212/12), 0)+1</f>
        <v/>
      </c>
      <c r="L212" s="68" t="inlineStr">
        <is>
          <t>HpRatio</t>
        </is>
      </c>
      <c r="M212" s="68">
        <f>M211+10000</f>
        <v/>
      </c>
      <c r="N212" s="68" t="inlineStr">
        <is>
          <t>AtkRatio</t>
        </is>
      </c>
      <c r="O212" s="68">
        <f>O211+10000</f>
        <v/>
      </c>
      <c r="P212" s="68" t="inlineStr">
        <is>
          <t>DefRatio</t>
        </is>
      </c>
      <c r="Q212" s="68">
        <f>Q211+10000</f>
        <v/>
      </c>
      <c r="R212" s="0">
        <f>_xlfn.XLOOKUP($B212, 'Detail&lt;Child&gt;'!$A:$A, 'Detail&lt;Child&gt;'!$L:$L)</f>
        <v/>
      </c>
    </row>
    <row r="213">
      <c r="A213" s="68">
        <f>B213*100+H213</f>
        <v/>
      </c>
      <c r="B213" s="68" t="n">
        <v>10000318</v>
      </c>
      <c r="C213" s="68">
        <f>_xlfn.XLOOKUP(B213,'Detail&lt;Child&gt;'!A:A,'Detail&lt;Child&gt;'!B:B)</f>
        <v/>
      </c>
      <c r="D213" s="68">
        <f>"character_gradeup_"&amp;$B213&amp;"_"&amp;$H213</f>
        <v/>
      </c>
      <c r="E213" s="68" t="inlineStr">
        <is>
          <t>Item</t>
        </is>
      </c>
      <c r="F213" s="68">
        <f>INT(3003&amp;RIGHT(B213,4))</f>
        <v/>
      </c>
      <c r="G213" s="68">
        <f>VLOOKUP($R213, '#등급업 재료 개수'!$A$2:$K$5, MATCH(GradeUp!H213, '#등급업 재료 개수'!$A$2:$K$2, 0), FALSE)</f>
        <v/>
      </c>
      <c r="H213" s="68" t="n">
        <v>10</v>
      </c>
      <c r="I213" s="68" t="n">
        <v>100</v>
      </c>
      <c r="J213" s="68" t="n">
        <v>0</v>
      </c>
      <c r="K213" s="68" t="n">
        <v>0</v>
      </c>
      <c r="L213" s="68" t="inlineStr">
        <is>
          <t>HpRatio</t>
        </is>
      </c>
      <c r="M213" s="68">
        <f>M212+10000</f>
        <v/>
      </c>
      <c r="N213" s="68" t="inlineStr">
        <is>
          <t>AtkRatio</t>
        </is>
      </c>
      <c r="O213" s="68">
        <f>O212+10000</f>
        <v/>
      </c>
      <c r="P213" s="68" t="inlineStr">
        <is>
          <t>DefRatio</t>
        </is>
      </c>
      <c r="Q213" s="68">
        <f>Q212+10000</f>
        <v/>
      </c>
      <c r="R213" s="0">
        <f>_xlfn.XLOOKUP($B213, 'Detail&lt;Child&gt;'!$A:$A, 'Detail&lt;Child&gt;'!$L:$L)</f>
        <v/>
      </c>
    </row>
    <row r="214">
      <c r="A214" s="68">
        <f>B214*100+H214</f>
        <v/>
      </c>
      <c r="B214" s="68" t="n">
        <v>10000525</v>
      </c>
      <c r="C214" s="68">
        <f>_xlfn.XLOOKUP(B214,'Detail&lt;Child&gt;'!A:A,'Detail&lt;Child&gt;'!B:B)</f>
        <v/>
      </c>
      <c r="D214" s="68">
        <f>"character_gradeup_"&amp;$B214&amp;"_"&amp;$H214</f>
        <v/>
      </c>
      <c r="E214" s="68" t="inlineStr">
        <is>
          <t>Item</t>
        </is>
      </c>
      <c r="F214" s="68">
        <f>INT(3003&amp;RIGHT(B214,4))</f>
        <v/>
      </c>
      <c r="G214" s="68">
        <f>VLOOKUP($R214, '#등급업 재료 개수'!$A$2:$K$5, MATCH(GradeUp!H214, '#등급업 재료 개수'!$A$2:$K$2, 0), FALSE)</f>
        <v/>
      </c>
      <c r="H214" s="68" t="n">
        <v>1</v>
      </c>
      <c r="I214" s="68" t="n">
        <v>10</v>
      </c>
      <c r="J214" s="68" t="n">
        <v>0</v>
      </c>
      <c r="K214" s="68" t="n">
        <v>0</v>
      </c>
      <c r="L214" s="68" t="inlineStr">
        <is>
          <t>HpRatio</t>
        </is>
      </c>
      <c r="M214" s="68" t="n">
        <v>0</v>
      </c>
      <c r="N214" s="68" t="inlineStr">
        <is>
          <t>AtkRatio</t>
        </is>
      </c>
      <c r="O214" s="68" t="n">
        <v>0</v>
      </c>
      <c r="P214" s="68" t="inlineStr">
        <is>
          <t>DefRatio</t>
        </is>
      </c>
      <c r="Q214" s="68" t="n">
        <v>0</v>
      </c>
      <c r="R214" s="0">
        <f>_xlfn.XLOOKUP($B214, 'Detail&lt;Child&gt;'!$A:$A, 'Detail&lt;Child&gt;'!$L:$L)</f>
        <v/>
      </c>
    </row>
    <row r="215">
      <c r="A215" s="68">
        <f>B215*100+H215</f>
        <v/>
      </c>
      <c r="B215" s="68" t="n">
        <v>10000525</v>
      </c>
      <c r="C215" s="68">
        <f>_xlfn.XLOOKUP(B215,'Detail&lt;Child&gt;'!A:A,'Detail&lt;Child&gt;'!B:B)</f>
        <v/>
      </c>
      <c r="D215" s="68">
        <f>"character_gradeup_"&amp;$B215&amp;"_"&amp;$H215</f>
        <v/>
      </c>
      <c r="E215" s="68" t="inlineStr">
        <is>
          <t>Item</t>
        </is>
      </c>
      <c r="F215" s="68">
        <f>INT(3003&amp;RIGHT(B215,4))</f>
        <v/>
      </c>
      <c r="G215" s="68">
        <f>VLOOKUP($R215, '#등급업 재료 개수'!$A$2:$K$5, MATCH(GradeUp!H215, '#등급업 재료 개수'!$A$2:$K$2, 0), FALSE)</f>
        <v/>
      </c>
      <c r="H215" s="68" t="n">
        <v>2</v>
      </c>
      <c r="I215" s="68" t="n">
        <v>20</v>
      </c>
      <c r="J215" s="68" t="inlineStr">
        <is>
          <t>Active</t>
        </is>
      </c>
      <c r="K215" s="68">
        <f>_xlfn.IFNA(VLOOKUP($B215, 'Detail&lt;Child&gt;'!$A:$AW, MATCH(J215, 'Detail&lt;Child&gt;'!$3:$3,0 ), FALSE)+INT($H215/12), 0)</f>
        <v/>
      </c>
      <c r="L215" s="68" t="inlineStr">
        <is>
          <t>HpRatio</t>
        </is>
      </c>
      <c r="M215" s="68" t="n">
        <v>0</v>
      </c>
      <c r="N215" s="68" t="inlineStr">
        <is>
          <t>AtkRatio</t>
        </is>
      </c>
      <c r="O215" s="68" t="n">
        <v>0</v>
      </c>
      <c r="P215" s="68" t="inlineStr">
        <is>
          <t>DefRatio</t>
        </is>
      </c>
      <c r="Q215" s="68" t="n">
        <v>0</v>
      </c>
      <c r="R215" s="0">
        <f>_xlfn.XLOOKUP($B215, 'Detail&lt;Child&gt;'!$A:$A, 'Detail&lt;Child&gt;'!$L:$L)</f>
        <v/>
      </c>
    </row>
    <row r="216">
      <c r="A216" s="68">
        <f>B216*100+H216</f>
        <v/>
      </c>
      <c r="B216" s="68" t="n">
        <v>10000525</v>
      </c>
      <c r="C216" s="68">
        <f>_xlfn.XLOOKUP(B216,'Detail&lt;Child&gt;'!A:A,'Detail&lt;Child&gt;'!B:B)</f>
        <v/>
      </c>
      <c r="D216" s="68">
        <f>"character_gradeup_"&amp;$B216&amp;"_"&amp;$H216</f>
        <v/>
      </c>
      <c r="E216" s="68" t="inlineStr">
        <is>
          <t>Item</t>
        </is>
      </c>
      <c r="F216" s="68">
        <f>INT(3003&amp;RIGHT(B216,4))</f>
        <v/>
      </c>
      <c r="G216" s="68">
        <f>VLOOKUP($R216, '#등급업 재료 개수'!$A$2:$K$5, MATCH(GradeUp!H216, '#등급업 재료 개수'!$A$2:$K$2, 0), FALSE)</f>
        <v/>
      </c>
      <c r="H216" s="68" t="n">
        <v>3</v>
      </c>
      <c r="I216" s="68" t="n">
        <v>30</v>
      </c>
      <c r="J216" s="68" t="n">
        <v>0</v>
      </c>
      <c r="K216" s="68" t="n">
        <v>0</v>
      </c>
      <c r="L216" s="68" t="inlineStr">
        <is>
          <t>HpRatio</t>
        </is>
      </c>
      <c r="M216" s="68" t="n">
        <v>10000</v>
      </c>
      <c r="N216" s="68" t="inlineStr">
        <is>
          <t>AtkRatio</t>
        </is>
      </c>
      <c r="O216" s="68" t="n">
        <v>10000</v>
      </c>
      <c r="P216" s="68" t="inlineStr">
        <is>
          <t>DefRatio</t>
        </is>
      </c>
      <c r="Q216" s="68" t="n">
        <v>10000</v>
      </c>
      <c r="R216" s="0">
        <f>_xlfn.XLOOKUP($B216, 'Detail&lt;Child&gt;'!$A:$A, 'Detail&lt;Child&gt;'!$L:$L)</f>
        <v/>
      </c>
    </row>
    <row r="217">
      <c r="A217" s="68">
        <f>B217*100+H217</f>
        <v/>
      </c>
      <c r="B217" s="68" t="n">
        <v>10000525</v>
      </c>
      <c r="C217" s="68">
        <f>_xlfn.XLOOKUP(B217,'Detail&lt;Child&gt;'!A:A,'Detail&lt;Child&gt;'!B:B)</f>
        <v/>
      </c>
      <c r="D217" s="68">
        <f>"character_gradeup_"&amp;$B217&amp;"_"&amp;$H217</f>
        <v/>
      </c>
      <c r="E217" s="68" t="inlineStr">
        <is>
          <t>Item</t>
        </is>
      </c>
      <c r="F217" s="68">
        <f>INT(3003&amp;RIGHT(B217,4))</f>
        <v/>
      </c>
      <c r="G217" s="68">
        <f>VLOOKUP($R217, '#등급업 재료 개수'!$A$2:$K$5, MATCH(GradeUp!H217, '#등급업 재료 개수'!$A$2:$K$2, 0), FALSE)</f>
        <v/>
      </c>
      <c r="H217" s="68" t="n">
        <v>4</v>
      </c>
      <c r="I217" s="68" t="n">
        <v>40</v>
      </c>
      <c r="J217" s="68" t="inlineStr">
        <is>
          <t>Passive</t>
        </is>
      </c>
      <c r="K217" s="68">
        <f>_xlfn.IFNA(VLOOKUP($B217, 'Detail&lt;Child&gt;'!$A:$AW, MATCH(J217, 'Detail&lt;Child&gt;'!$3:$3,0 ), FALSE)+INT($H217/12), 0)</f>
        <v/>
      </c>
      <c r="L217" s="68" t="inlineStr">
        <is>
          <t>HpRatio</t>
        </is>
      </c>
      <c r="M217" s="68">
        <f>M216+10000</f>
        <v/>
      </c>
      <c r="N217" s="68" t="inlineStr">
        <is>
          <t>AtkRatio</t>
        </is>
      </c>
      <c r="O217" s="68">
        <f>O216+10000</f>
        <v/>
      </c>
      <c r="P217" s="68" t="inlineStr">
        <is>
          <t>DefRatio</t>
        </is>
      </c>
      <c r="Q217" s="68">
        <f>Q216+10000</f>
        <v/>
      </c>
      <c r="R217" s="0">
        <f>_xlfn.XLOOKUP($B217, 'Detail&lt;Child&gt;'!$A:$A, 'Detail&lt;Child&gt;'!$L:$L)</f>
        <v/>
      </c>
    </row>
    <row r="218">
      <c r="A218" s="68">
        <f>B218*100+H218</f>
        <v/>
      </c>
      <c r="B218" s="68" t="n">
        <v>10000525</v>
      </c>
      <c r="C218" s="68">
        <f>_xlfn.XLOOKUP(B218,'Detail&lt;Child&gt;'!A:A,'Detail&lt;Child&gt;'!B:B)</f>
        <v/>
      </c>
      <c r="D218" s="68">
        <f>"character_gradeup_"&amp;$B218&amp;"_"&amp;$H218</f>
        <v/>
      </c>
      <c r="E218" s="68" t="inlineStr">
        <is>
          <t>Item</t>
        </is>
      </c>
      <c r="F218" s="68">
        <f>INT(3003&amp;RIGHT(B218,4))</f>
        <v/>
      </c>
      <c r="G218" s="68">
        <f>VLOOKUP($R218, '#등급업 재료 개수'!$A$2:$K$5, MATCH(GradeUp!H218, '#등급업 재료 개수'!$A$2:$K$2, 0), FALSE)</f>
        <v/>
      </c>
      <c r="H218" s="68" t="n">
        <v>5</v>
      </c>
      <c r="I218" s="68" t="n">
        <v>50</v>
      </c>
      <c r="J218" s="68" t="inlineStr">
        <is>
          <t>Active</t>
        </is>
      </c>
      <c r="K218" s="68">
        <f>_xlfn.IFNA(VLOOKUP($B218, 'Detail&lt;Child&gt;'!$A:$AW, MATCH(J218, 'Detail&lt;Child&gt;'!$3:$3,0 ), FALSE)+INT($H218/12), 0)+1</f>
        <v/>
      </c>
      <c r="L218" s="68" t="inlineStr">
        <is>
          <t>HpRatio</t>
        </is>
      </c>
      <c r="M218" s="68">
        <f>M217+10000</f>
        <v/>
      </c>
      <c r="N218" s="68" t="inlineStr">
        <is>
          <t>AtkRatio</t>
        </is>
      </c>
      <c r="O218" s="68">
        <f>O217+10000</f>
        <v/>
      </c>
      <c r="P218" s="68" t="inlineStr">
        <is>
          <t>DefRatio</t>
        </is>
      </c>
      <c r="Q218" s="68">
        <f>Q217+10000</f>
        <v/>
      </c>
      <c r="R218" s="0">
        <f>_xlfn.XLOOKUP($B218, 'Detail&lt;Child&gt;'!$A:$A, 'Detail&lt;Child&gt;'!$L:$L)</f>
        <v/>
      </c>
    </row>
    <row r="219">
      <c r="A219" s="68">
        <f>B219*100+H219</f>
        <v/>
      </c>
      <c r="B219" s="68" t="n">
        <v>10000525</v>
      </c>
      <c r="C219" s="68">
        <f>_xlfn.XLOOKUP(B219,'Detail&lt;Child&gt;'!A:A,'Detail&lt;Child&gt;'!B:B)</f>
        <v/>
      </c>
      <c r="D219" s="68">
        <f>"character_gradeup_"&amp;$B219&amp;"_"&amp;$H219</f>
        <v/>
      </c>
      <c r="E219" s="68" t="inlineStr">
        <is>
          <t>Item</t>
        </is>
      </c>
      <c r="F219" s="68">
        <f>INT(3003&amp;RIGHT(B219,4))</f>
        <v/>
      </c>
      <c r="G219" s="68">
        <f>VLOOKUP($R219, '#등급업 재료 개수'!$A$2:$K$5, MATCH(GradeUp!H219, '#등급업 재료 개수'!$A$2:$K$2, 0), FALSE)</f>
        <v/>
      </c>
      <c r="H219" s="68" t="n">
        <v>6</v>
      </c>
      <c r="I219" s="68" t="n">
        <v>60</v>
      </c>
      <c r="J219" s="68" t="n">
        <v>0</v>
      </c>
      <c r="K219" s="68" t="n">
        <v>0</v>
      </c>
      <c r="L219" s="68" t="inlineStr">
        <is>
          <t>HpRatio</t>
        </is>
      </c>
      <c r="M219" s="68">
        <f>M218+10000</f>
        <v/>
      </c>
      <c r="N219" s="68" t="inlineStr">
        <is>
          <t>AtkRatio</t>
        </is>
      </c>
      <c r="O219" s="68">
        <f>O218+10000</f>
        <v/>
      </c>
      <c r="P219" s="68" t="inlineStr">
        <is>
          <t>DefRatio</t>
        </is>
      </c>
      <c r="Q219" s="68">
        <f>Q218+10000</f>
        <v/>
      </c>
      <c r="R219" s="0">
        <f>_xlfn.XLOOKUP($B219, 'Detail&lt;Child&gt;'!$A:$A, 'Detail&lt;Child&gt;'!$L:$L)</f>
        <v/>
      </c>
    </row>
    <row r="220">
      <c r="A220" s="68">
        <f>B220*100+H220</f>
        <v/>
      </c>
      <c r="B220" s="68" t="n">
        <v>10000525</v>
      </c>
      <c r="C220" s="68">
        <f>_xlfn.XLOOKUP(B220,'Detail&lt;Child&gt;'!A:A,'Detail&lt;Child&gt;'!B:B)</f>
        <v/>
      </c>
      <c r="D220" s="68">
        <f>"character_gradeup_"&amp;$B220&amp;"_"&amp;$H220</f>
        <v/>
      </c>
      <c r="E220" s="68" t="inlineStr">
        <is>
          <t>Item</t>
        </is>
      </c>
      <c r="F220" s="68">
        <f>INT(3003&amp;RIGHT(B220,4))</f>
        <v/>
      </c>
      <c r="G220" s="68">
        <f>VLOOKUP($R220, '#등급업 재료 개수'!$A$2:$K$5, MATCH(GradeUp!H220, '#등급업 재료 개수'!$A$2:$K$2, 0), FALSE)</f>
        <v/>
      </c>
      <c r="H220" s="68" t="n">
        <v>7</v>
      </c>
      <c r="I220" s="68" t="n">
        <v>70</v>
      </c>
      <c r="J220" s="68" t="inlineStr">
        <is>
          <t>Passive</t>
        </is>
      </c>
      <c r="K220" s="68">
        <f>_xlfn.IFNA(VLOOKUP($B220, 'Detail&lt;Child&gt;'!$A:$AW, MATCH(J220, 'Detail&lt;Child&gt;'!$3:$3,0 ), FALSE)+INT($H220/12), 0)+1</f>
        <v/>
      </c>
      <c r="L220" s="68" t="inlineStr">
        <is>
          <t>HpRatio</t>
        </is>
      </c>
      <c r="M220" s="68">
        <f>M219+10000</f>
        <v/>
      </c>
      <c r="N220" s="68" t="inlineStr">
        <is>
          <t>AtkRatio</t>
        </is>
      </c>
      <c r="O220" s="68">
        <f>O219+10000</f>
        <v/>
      </c>
      <c r="P220" s="68" t="inlineStr">
        <is>
          <t>DefRatio</t>
        </is>
      </c>
      <c r="Q220" s="68">
        <f>Q219+10000</f>
        <v/>
      </c>
      <c r="R220" s="0">
        <f>_xlfn.XLOOKUP($B220, 'Detail&lt;Child&gt;'!$A:$A, 'Detail&lt;Child&gt;'!$L:$L)</f>
        <v/>
      </c>
    </row>
    <row r="221">
      <c r="A221" s="68">
        <f>B221*100+H221</f>
        <v/>
      </c>
      <c r="B221" s="68" t="n">
        <v>10000525</v>
      </c>
      <c r="C221" s="68">
        <f>_xlfn.XLOOKUP(B221,'Detail&lt;Child&gt;'!A:A,'Detail&lt;Child&gt;'!B:B)</f>
        <v/>
      </c>
      <c r="D221" s="68">
        <f>"character_gradeup_"&amp;$B221&amp;"_"&amp;$H221</f>
        <v/>
      </c>
      <c r="E221" s="68" t="inlineStr">
        <is>
          <t>Item</t>
        </is>
      </c>
      <c r="F221" s="68">
        <f>INT(3003&amp;RIGHT(B221,4))</f>
        <v/>
      </c>
      <c r="G221" s="68">
        <f>VLOOKUP($R221, '#등급업 재료 개수'!$A$2:$K$5, MATCH(GradeUp!H221, '#등급업 재료 개수'!$A$2:$K$2, 0), FALSE)</f>
        <v/>
      </c>
      <c r="H221" s="68" t="n">
        <v>8</v>
      </c>
      <c r="I221" s="68" t="n">
        <v>80</v>
      </c>
      <c r="J221" s="68" t="n">
        <v>0</v>
      </c>
      <c r="K221" s="68" t="n">
        <v>0</v>
      </c>
      <c r="L221" s="68" t="inlineStr">
        <is>
          <t>HpRatio</t>
        </is>
      </c>
      <c r="M221" s="68">
        <f>M220+10000</f>
        <v/>
      </c>
      <c r="N221" s="68" t="inlineStr">
        <is>
          <t>AtkRatio</t>
        </is>
      </c>
      <c r="O221" s="68">
        <f>O220+10000</f>
        <v/>
      </c>
      <c r="P221" s="68" t="inlineStr">
        <is>
          <t>DefRatio</t>
        </is>
      </c>
      <c r="Q221" s="68">
        <f>Q220+10000</f>
        <v/>
      </c>
      <c r="R221" s="0">
        <f>_xlfn.XLOOKUP($B221, 'Detail&lt;Child&gt;'!$A:$A, 'Detail&lt;Child&gt;'!$L:$L)</f>
        <v/>
      </c>
    </row>
    <row r="222">
      <c r="A222" s="68">
        <f>B222*100+H222</f>
        <v/>
      </c>
      <c r="B222" s="68" t="n">
        <v>10000525</v>
      </c>
      <c r="C222" s="68">
        <f>_xlfn.XLOOKUP(B222,'Detail&lt;Child&gt;'!A:A,'Detail&lt;Child&gt;'!B:B)</f>
        <v/>
      </c>
      <c r="D222" s="68">
        <f>"character_gradeup_"&amp;$B222&amp;"_"&amp;$H222</f>
        <v/>
      </c>
      <c r="E222" s="68" t="inlineStr">
        <is>
          <t>Item</t>
        </is>
      </c>
      <c r="F222" s="68">
        <f>INT(3003&amp;RIGHT(B222,4))</f>
        <v/>
      </c>
      <c r="G222" s="68">
        <f>VLOOKUP($R222, '#등급업 재료 개수'!$A$2:$K$5, MATCH(GradeUp!H222, '#등급업 재료 개수'!$A$2:$K$2, 0), FALSE)</f>
        <v/>
      </c>
      <c r="H222" s="68" t="n">
        <v>9</v>
      </c>
      <c r="I222" s="68" t="n">
        <v>90</v>
      </c>
      <c r="J222" s="68" t="inlineStr">
        <is>
          <t>Ultimate</t>
        </is>
      </c>
      <c r="K222" s="68">
        <f>_xlfn.IFNA(VLOOKUP($B222, 'Detail&lt;Child&gt;'!$A:$AW, MATCH(J222, 'Detail&lt;Child&gt;'!$3:$3,0 ), FALSE)+INT($H222/12), 0)+1</f>
        <v/>
      </c>
      <c r="L222" s="68" t="inlineStr">
        <is>
          <t>HpRatio</t>
        </is>
      </c>
      <c r="M222" s="68">
        <f>M221+10000</f>
        <v/>
      </c>
      <c r="N222" s="68" t="inlineStr">
        <is>
          <t>AtkRatio</t>
        </is>
      </c>
      <c r="O222" s="68">
        <f>O221+10000</f>
        <v/>
      </c>
      <c r="P222" s="68" t="inlineStr">
        <is>
          <t>DefRatio</t>
        </is>
      </c>
      <c r="Q222" s="68">
        <f>Q221+10000</f>
        <v/>
      </c>
      <c r="R222" s="0">
        <f>_xlfn.XLOOKUP($B222, 'Detail&lt;Child&gt;'!$A:$A, 'Detail&lt;Child&gt;'!$L:$L)</f>
        <v/>
      </c>
    </row>
    <row r="223">
      <c r="A223" s="68">
        <f>B223*100+H223</f>
        <v/>
      </c>
      <c r="B223" s="68" t="n">
        <v>10000525</v>
      </c>
      <c r="C223" s="68">
        <f>_xlfn.XLOOKUP(B223,'Detail&lt;Child&gt;'!A:A,'Detail&lt;Child&gt;'!B:B)</f>
        <v/>
      </c>
      <c r="D223" s="68">
        <f>"character_gradeup_"&amp;$B223&amp;"_"&amp;$H223</f>
        <v/>
      </c>
      <c r="E223" s="68" t="inlineStr">
        <is>
          <t>Item</t>
        </is>
      </c>
      <c r="F223" s="68">
        <f>INT(3003&amp;RIGHT(B223,4))</f>
        <v/>
      </c>
      <c r="G223" s="68">
        <f>VLOOKUP($R223, '#등급업 재료 개수'!$A$2:$K$5, MATCH(GradeUp!H223, '#등급업 재료 개수'!$A$2:$K$2, 0), FALSE)</f>
        <v/>
      </c>
      <c r="H223" s="68" t="n">
        <v>10</v>
      </c>
      <c r="I223" s="68" t="n">
        <v>100</v>
      </c>
      <c r="J223" s="68" t="n">
        <v>0</v>
      </c>
      <c r="K223" s="68" t="n">
        <v>0</v>
      </c>
      <c r="L223" s="68" t="inlineStr">
        <is>
          <t>HpRatio</t>
        </is>
      </c>
      <c r="M223" s="68">
        <f>M222+10000</f>
        <v/>
      </c>
      <c r="N223" s="68" t="inlineStr">
        <is>
          <t>AtkRatio</t>
        </is>
      </c>
      <c r="O223" s="68">
        <f>O222+10000</f>
        <v/>
      </c>
      <c r="P223" s="68" t="inlineStr">
        <is>
          <t>DefRatio</t>
        </is>
      </c>
      <c r="Q223" s="68">
        <f>Q222+10000</f>
        <v/>
      </c>
      <c r="R223" s="0">
        <f>_xlfn.XLOOKUP($B223, 'Detail&lt;Child&gt;'!$A:$A, 'Detail&lt;Child&gt;'!$L:$L)</f>
        <v/>
      </c>
    </row>
    <row r="224">
      <c r="A224" s="68">
        <f>B224*100+H224</f>
        <v/>
      </c>
      <c r="B224" s="68" t="n">
        <v>10000442</v>
      </c>
      <c r="C224" s="68">
        <f>_xlfn.XLOOKUP(B224,'Detail&lt;Child&gt;'!A:A,'Detail&lt;Child&gt;'!B:B)</f>
        <v/>
      </c>
      <c r="D224" s="68">
        <f>"character_gradeup_"&amp;$B224&amp;"_"&amp;$H224</f>
        <v/>
      </c>
      <c r="E224" s="68" t="inlineStr">
        <is>
          <t>Item</t>
        </is>
      </c>
      <c r="F224" s="68">
        <f>INT(3003&amp;RIGHT(B224,4))</f>
        <v/>
      </c>
      <c r="G224" s="68">
        <f>VLOOKUP($R224, '#등급업 재료 개수'!$A$2:$K$5, MATCH(GradeUp!H224, '#등급업 재료 개수'!$A$2:$K$2, 0), FALSE)</f>
        <v/>
      </c>
      <c r="H224" s="68" t="n">
        <v>1</v>
      </c>
      <c r="I224" s="68" t="n">
        <v>10</v>
      </c>
      <c r="J224" s="68" t="n">
        <v>0</v>
      </c>
      <c r="K224" s="68" t="n">
        <v>0</v>
      </c>
      <c r="L224" s="68" t="inlineStr">
        <is>
          <t>HpRatio</t>
        </is>
      </c>
      <c r="M224" s="68" t="n">
        <v>0</v>
      </c>
      <c r="N224" s="68" t="inlineStr">
        <is>
          <t>AtkRatio</t>
        </is>
      </c>
      <c r="O224" s="68" t="n">
        <v>0</v>
      </c>
      <c r="P224" s="68" t="inlineStr">
        <is>
          <t>DefRatio</t>
        </is>
      </c>
      <c r="Q224" s="68" t="n">
        <v>0</v>
      </c>
      <c r="R224" s="0">
        <f>_xlfn.XLOOKUP($B224, 'Detail&lt;Child&gt;'!$A:$A, 'Detail&lt;Child&gt;'!$L:$L)</f>
        <v/>
      </c>
    </row>
    <row r="225">
      <c r="A225" s="68">
        <f>B225*100+H225</f>
        <v/>
      </c>
      <c r="B225" s="68" t="n">
        <v>10000442</v>
      </c>
      <c r="C225" s="68">
        <f>_xlfn.XLOOKUP(B225,'Detail&lt;Child&gt;'!A:A,'Detail&lt;Child&gt;'!B:B)</f>
        <v/>
      </c>
      <c r="D225" s="68">
        <f>"character_gradeup_"&amp;$B225&amp;"_"&amp;$H225</f>
        <v/>
      </c>
      <c r="E225" s="68" t="inlineStr">
        <is>
          <t>Item</t>
        </is>
      </c>
      <c r="F225" s="68">
        <f>INT(3003&amp;RIGHT(B225,4))</f>
        <v/>
      </c>
      <c r="G225" s="68">
        <f>VLOOKUP($R225, '#등급업 재료 개수'!$A$2:$K$5, MATCH(GradeUp!H225, '#등급업 재료 개수'!$A$2:$K$2, 0), FALSE)</f>
        <v/>
      </c>
      <c r="H225" s="68" t="n">
        <v>2</v>
      </c>
      <c r="I225" s="68" t="n">
        <v>20</v>
      </c>
      <c r="J225" s="68" t="inlineStr">
        <is>
          <t>Active</t>
        </is>
      </c>
      <c r="K225" s="68">
        <f>_xlfn.IFNA(VLOOKUP($B225, 'Detail&lt;Child&gt;'!$A:$AW, MATCH(J225, 'Detail&lt;Child&gt;'!$3:$3,0 ), FALSE)+INT($H225/12), 0)</f>
        <v/>
      </c>
      <c r="L225" s="68" t="inlineStr">
        <is>
          <t>HpRatio</t>
        </is>
      </c>
      <c r="M225" s="68" t="n">
        <v>0</v>
      </c>
      <c r="N225" s="68" t="inlineStr">
        <is>
          <t>AtkRatio</t>
        </is>
      </c>
      <c r="O225" s="68" t="n">
        <v>0</v>
      </c>
      <c r="P225" s="68" t="inlineStr">
        <is>
          <t>DefRatio</t>
        </is>
      </c>
      <c r="Q225" s="68" t="n">
        <v>0</v>
      </c>
      <c r="R225" s="0">
        <f>_xlfn.XLOOKUP($B225, 'Detail&lt;Child&gt;'!$A:$A, 'Detail&lt;Child&gt;'!$L:$L)</f>
        <v/>
      </c>
    </row>
    <row r="226">
      <c r="A226" s="68">
        <f>B226*100+H226</f>
        <v/>
      </c>
      <c r="B226" s="68" t="n">
        <v>10000442</v>
      </c>
      <c r="C226" s="68">
        <f>_xlfn.XLOOKUP(B226,'Detail&lt;Child&gt;'!A:A,'Detail&lt;Child&gt;'!B:B)</f>
        <v/>
      </c>
      <c r="D226" s="68">
        <f>"character_gradeup_"&amp;$B226&amp;"_"&amp;$H226</f>
        <v/>
      </c>
      <c r="E226" s="68" t="inlineStr">
        <is>
          <t>Item</t>
        </is>
      </c>
      <c r="F226" s="68">
        <f>INT(3003&amp;RIGHT(B226,4))</f>
        <v/>
      </c>
      <c r="G226" s="68">
        <f>VLOOKUP($R226, '#등급업 재료 개수'!$A$2:$K$5, MATCH(GradeUp!H226, '#등급업 재료 개수'!$A$2:$K$2, 0), FALSE)</f>
        <v/>
      </c>
      <c r="H226" s="68" t="n">
        <v>3</v>
      </c>
      <c r="I226" s="68" t="n">
        <v>30</v>
      </c>
      <c r="J226" s="68" t="n">
        <v>0</v>
      </c>
      <c r="K226" s="68" t="n">
        <v>0</v>
      </c>
      <c r="L226" s="68" t="inlineStr">
        <is>
          <t>HpRatio</t>
        </is>
      </c>
      <c r="M226" s="68" t="n">
        <v>0</v>
      </c>
      <c r="N226" s="68" t="inlineStr">
        <is>
          <t>AtkRatio</t>
        </is>
      </c>
      <c r="O226" s="68" t="n">
        <v>0</v>
      </c>
      <c r="P226" s="68" t="inlineStr">
        <is>
          <t>DefRatio</t>
        </is>
      </c>
      <c r="Q226" s="68" t="n">
        <v>0</v>
      </c>
      <c r="R226" s="0">
        <f>_xlfn.XLOOKUP($B226, 'Detail&lt;Child&gt;'!$A:$A, 'Detail&lt;Child&gt;'!$L:$L)</f>
        <v/>
      </c>
    </row>
    <row r="227">
      <c r="A227" s="68">
        <f>B227*100+H227</f>
        <v/>
      </c>
      <c r="B227" s="68" t="n">
        <v>10000442</v>
      </c>
      <c r="C227" s="68">
        <f>_xlfn.XLOOKUP(B227,'Detail&lt;Child&gt;'!A:A,'Detail&lt;Child&gt;'!B:B)</f>
        <v/>
      </c>
      <c r="D227" s="68">
        <f>"character_gradeup_"&amp;$B227&amp;"_"&amp;$H227</f>
        <v/>
      </c>
      <c r="E227" s="68" t="inlineStr">
        <is>
          <t>Item</t>
        </is>
      </c>
      <c r="F227" s="68">
        <f>INT(3003&amp;RIGHT(B227,4))</f>
        <v/>
      </c>
      <c r="G227" s="68">
        <f>VLOOKUP($R227, '#등급업 재료 개수'!$A$2:$K$5, MATCH(GradeUp!H227, '#등급업 재료 개수'!$A$2:$K$2, 0), FALSE)</f>
        <v/>
      </c>
      <c r="H227" s="68" t="n">
        <v>4</v>
      </c>
      <c r="I227" s="68" t="n">
        <v>40</v>
      </c>
      <c r="J227" s="68" t="inlineStr">
        <is>
          <t>Passive</t>
        </is>
      </c>
      <c r="K227" s="68">
        <f>_xlfn.IFNA(VLOOKUP($B227, 'Detail&lt;Child&gt;'!$A:$AW, MATCH(J227, 'Detail&lt;Child&gt;'!$3:$3,0 ), FALSE)+INT($H227/12), 0)</f>
        <v/>
      </c>
      <c r="L227" s="68" t="inlineStr">
        <is>
          <t>HpRatio</t>
        </is>
      </c>
      <c r="M227" s="68" t="n">
        <v>10000</v>
      </c>
      <c r="N227" s="68" t="inlineStr">
        <is>
          <t>AtkRatio</t>
        </is>
      </c>
      <c r="O227" s="68" t="n">
        <v>10000</v>
      </c>
      <c r="P227" s="68" t="inlineStr">
        <is>
          <t>DefRatio</t>
        </is>
      </c>
      <c r="Q227" s="68" t="n">
        <v>10000</v>
      </c>
      <c r="R227" s="0">
        <f>_xlfn.XLOOKUP($B227, 'Detail&lt;Child&gt;'!$A:$A, 'Detail&lt;Child&gt;'!$L:$L)</f>
        <v/>
      </c>
    </row>
    <row r="228">
      <c r="A228" s="68">
        <f>B228*100+H228</f>
        <v/>
      </c>
      <c r="B228" s="68" t="n">
        <v>10000442</v>
      </c>
      <c r="C228" s="68">
        <f>_xlfn.XLOOKUP(B228,'Detail&lt;Child&gt;'!A:A,'Detail&lt;Child&gt;'!B:B)</f>
        <v/>
      </c>
      <c r="D228" s="68">
        <f>"character_gradeup_"&amp;$B228&amp;"_"&amp;$H228</f>
        <v/>
      </c>
      <c r="E228" s="68" t="inlineStr">
        <is>
          <t>Item</t>
        </is>
      </c>
      <c r="F228" s="68">
        <f>INT(3003&amp;RIGHT(B228,4))</f>
        <v/>
      </c>
      <c r="G228" s="68">
        <f>VLOOKUP($R228, '#등급업 재료 개수'!$A$2:$K$5, MATCH(GradeUp!H228, '#등급업 재료 개수'!$A$2:$K$2, 0), FALSE)</f>
        <v/>
      </c>
      <c r="H228" s="68" t="n">
        <v>5</v>
      </c>
      <c r="I228" s="68" t="n">
        <v>50</v>
      </c>
      <c r="J228" s="68" t="inlineStr">
        <is>
          <t>Active</t>
        </is>
      </c>
      <c r="K228" s="68">
        <f>_xlfn.IFNA(VLOOKUP($B228, 'Detail&lt;Child&gt;'!$A:$AW, MATCH(J228, 'Detail&lt;Child&gt;'!$3:$3,0 ), FALSE)+INT($H228/12), 0)+1</f>
        <v/>
      </c>
      <c r="L228" s="68" t="inlineStr">
        <is>
          <t>HpRatio</t>
        </is>
      </c>
      <c r="M228" s="68">
        <f>M227+10000</f>
        <v/>
      </c>
      <c r="N228" s="68" t="inlineStr">
        <is>
          <t>AtkRatio</t>
        </is>
      </c>
      <c r="O228" s="68">
        <f>O227+10000</f>
        <v/>
      </c>
      <c r="P228" s="68" t="inlineStr">
        <is>
          <t>DefRatio</t>
        </is>
      </c>
      <c r="Q228" s="68">
        <f>Q227+10000</f>
        <v/>
      </c>
      <c r="R228" s="0">
        <f>_xlfn.XLOOKUP($B228, 'Detail&lt;Child&gt;'!$A:$A, 'Detail&lt;Child&gt;'!$L:$L)</f>
        <v/>
      </c>
    </row>
    <row r="229">
      <c r="A229" s="68">
        <f>B229*100+H229</f>
        <v/>
      </c>
      <c r="B229" s="68" t="n">
        <v>10000442</v>
      </c>
      <c r="C229" s="68">
        <f>_xlfn.XLOOKUP(B229,'Detail&lt;Child&gt;'!A:A,'Detail&lt;Child&gt;'!B:B)</f>
        <v/>
      </c>
      <c r="D229" s="68">
        <f>"character_gradeup_"&amp;$B229&amp;"_"&amp;$H229</f>
        <v/>
      </c>
      <c r="E229" s="68" t="inlineStr">
        <is>
          <t>Item</t>
        </is>
      </c>
      <c r="F229" s="68">
        <f>INT(3003&amp;RIGHT(B229,4))</f>
        <v/>
      </c>
      <c r="G229" s="68">
        <f>VLOOKUP($R229, '#등급업 재료 개수'!$A$2:$K$5, MATCH(GradeUp!H229, '#등급업 재료 개수'!$A$2:$K$2, 0), FALSE)</f>
        <v/>
      </c>
      <c r="H229" s="68" t="n">
        <v>6</v>
      </c>
      <c r="I229" s="68" t="n">
        <v>60</v>
      </c>
      <c r="J229" s="68" t="n">
        <v>0</v>
      </c>
      <c r="K229" s="68" t="n">
        <v>0</v>
      </c>
      <c r="L229" s="68" t="inlineStr">
        <is>
          <t>HpRatio</t>
        </is>
      </c>
      <c r="M229" s="68">
        <f>M228+10000</f>
        <v/>
      </c>
      <c r="N229" s="68" t="inlineStr">
        <is>
          <t>AtkRatio</t>
        </is>
      </c>
      <c r="O229" s="68">
        <f>O228+10000</f>
        <v/>
      </c>
      <c r="P229" s="68" t="inlineStr">
        <is>
          <t>DefRatio</t>
        </is>
      </c>
      <c r="Q229" s="68">
        <f>Q228+10000</f>
        <v/>
      </c>
      <c r="R229" s="0">
        <f>_xlfn.XLOOKUP($B229, 'Detail&lt;Child&gt;'!$A:$A, 'Detail&lt;Child&gt;'!$L:$L)</f>
        <v/>
      </c>
    </row>
    <row r="230">
      <c r="A230" s="68">
        <f>B230*100+H230</f>
        <v/>
      </c>
      <c r="B230" s="68" t="n">
        <v>10000442</v>
      </c>
      <c r="C230" s="68">
        <f>_xlfn.XLOOKUP(B230,'Detail&lt;Child&gt;'!A:A,'Detail&lt;Child&gt;'!B:B)</f>
        <v/>
      </c>
      <c r="D230" s="68">
        <f>"character_gradeup_"&amp;$B230&amp;"_"&amp;$H230</f>
        <v/>
      </c>
      <c r="E230" s="68" t="inlineStr">
        <is>
          <t>Item</t>
        </is>
      </c>
      <c r="F230" s="68">
        <f>INT(3003&amp;RIGHT(B230,4))</f>
        <v/>
      </c>
      <c r="G230" s="68">
        <f>VLOOKUP($R230, '#등급업 재료 개수'!$A$2:$K$5, MATCH(GradeUp!H230, '#등급업 재료 개수'!$A$2:$K$2, 0), FALSE)</f>
        <v/>
      </c>
      <c r="H230" s="68" t="n">
        <v>7</v>
      </c>
      <c r="I230" s="68" t="n">
        <v>70</v>
      </c>
      <c r="J230" s="68" t="inlineStr">
        <is>
          <t>Passive</t>
        </is>
      </c>
      <c r="K230" s="68">
        <f>_xlfn.IFNA(VLOOKUP($B230, 'Detail&lt;Child&gt;'!$A:$AW, MATCH(J230, 'Detail&lt;Child&gt;'!$3:$3,0 ), FALSE)+INT($H230/12), 0)+1</f>
        <v/>
      </c>
      <c r="L230" s="68" t="inlineStr">
        <is>
          <t>HpRatio</t>
        </is>
      </c>
      <c r="M230" s="68">
        <f>M229+10000</f>
        <v/>
      </c>
      <c r="N230" s="68" t="inlineStr">
        <is>
          <t>AtkRatio</t>
        </is>
      </c>
      <c r="O230" s="68">
        <f>O229+10000</f>
        <v/>
      </c>
      <c r="P230" s="68" t="inlineStr">
        <is>
          <t>DefRatio</t>
        </is>
      </c>
      <c r="Q230" s="68">
        <f>Q229+10000</f>
        <v/>
      </c>
      <c r="R230" s="0">
        <f>_xlfn.XLOOKUP($B230, 'Detail&lt;Child&gt;'!$A:$A, 'Detail&lt;Child&gt;'!$L:$L)</f>
        <v/>
      </c>
    </row>
    <row r="231">
      <c r="A231" s="68">
        <f>B231*100+H231</f>
        <v/>
      </c>
      <c r="B231" s="68" t="n">
        <v>10000442</v>
      </c>
      <c r="C231" s="68">
        <f>_xlfn.XLOOKUP(B231,'Detail&lt;Child&gt;'!A:A,'Detail&lt;Child&gt;'!B:B)</f>
        <v/>
      </c>
      <c r="D231" s="68">
        <f>"character_gradeup_"&amp;$B231&amp;"_"&amp;$H231</f>
        <v/>
      </c>
      <c r="E231" s="68" t="inlineStr">
        <is>
          <t>Item</t>
        </is>
      </c>
      <c r="F231" s="68">
        <f>INT(3003&amp;RIGHT(B231,4))</f>
        <v/>
      </c>
      <c r="G231" s="68">
        <f>VLOOKUP($R231, '#등급업 재료 개수'!$A$2:$K$5, MATCH(GradeUp!H231, '#등급업 재료 개수'!$A$2:$K$2, 0), FALSE)</f>
        <v/>
      </c>
      <c r="H231" s="68" t="n">
        <v>8</v>
      </c>
      <c r="I231" s="68" t="n">
        <v>80</v>
      </c>
      <c r="J231" s="68" t="n">
        <v>0</v>
      </c>
      <c r="K231" s="68" t="n">
        <v>0</v>
      </c>
      <c r="L231" s="68" t="inlineStr">
        <is>
          <t>HpRatio</t>
        </is>
      </c>
      <c r="M231" s="68">
        <f>M230+10000</f>
        <v/>
      </c>
      <c r="N231" s="68" t="inlineStr">
        <is>
          <t>AtkRatio</t>
        </is>
      </c>
      <c r="O231" s="68">
        <f>O230+10000</f>
        <v/>
      </c>
      <c r="P231" s="68" t="inlineStr">
        <is>
          <t>DefRatio</t>
        </is>
      </c>
      <c r="Q231" s="68">
        <f>Q230+10000</f>
        <v/>
      </c>
      <c r="R231" s="0">
        <f>_xlfn.XLOOKUP($B231, 'Detail&lt;Child&gt;'!$A:$A, 'Detail&lt;Child&gt;'!$L:$L)</f>
        <v/>
      </c>
    </row>
    <row r="232">
      <c r="A232" s="68">
        <f>B232*100+H232</f>
        <v/>
      </c>
      <c r="B232" s="68" t="n">
        <v>10000442</v>
      </c>
      <c r="C232" s="68">
        <f>_xlfn.XLOOKUP(B232,'Detail&lt;Child&gt;'!A:A,'Detail&lt;Child&gt;'!B:B)</f>
        <v/>
      </c>
      <c r="D232" s="68">
        <f>"character_gradeup_"&amp;$B232&amp;"_"&amp;$H232</f>
        <v/>
      </c>
      <c r="E232" s="68" t="inlineStr">
        <is>
          <t>Item</t>
        </is>
      </c>
      <c r="F232" s="68">
        <f>INT(3003&amp;RIGHT(B232,4))</f>
        <v/>
      </c>
      <c r="G232" s="68">
        <f>VLOOKUP($R232, '#등급업 재료 개수'!$A$2:$K$5, MATCH(GradeUp!H232, '#등급업 재료 개수'!$A$2:$K$2, 0), FALSE)</f>
        <v/>
      </c>
      <c r="H232" s="68" t="n">
        <v>9</v>
      </c>
      <c r="I232" s="68" t="n">
        <v>90</v>
      </c>
      <c r="J232" s="68" t="inlineStr">
        <is>
          <t>Ultimate</t>
        </is>
      </c>
      <c r="K232" s="68">
        <f>_xlfn.IFNA(VLOOKUP($B232, 'Detail&lt;Child&gt;'!$A:$AW, MATCH(J232, 'Detail&lt;Child&gt;'!$3:$3,0 ), FALSE)+INT($H232/12), 0)+1</f>
        <v/>
      </c>
      <c r="L232" s="68" t="inlineStr">
        <is>
          <t>HpRatio</t>
        </is>
      </c>
      <c r="M232" s="68">
        <f>M231+10000</f>
        <v/>
      </c>
      <c r="N232" s="68" t="inlineStr">
        <is>
          <t>AtkRatio</t>
        </is>
      </c>
      <c r="O232" s="68">
        <f>O231+10000</f>
        <v/>
      </c>
      <c r="P232" s="68" t="inlineStr">
        <is>
          <t>DefRatio</t>
        </is>
      </c>
      <c r="Q232" s="68">
        <f>Q231+10000</f>
        <v/>
      </c>
      <c r="R232" s="0">
        <f>_xlfn.XLOOKUP($B232, 'Detail&lt;Child&gt;'!$A:$A, 'Detail&lt;Child&gt;'!$L:$L)</f>
        <v/>
      </c>
    </row>
    <row r="233">
      <c r="A233" s="68">
        <f>B233*100+H233</f>
        <v/>
      </c>
      <c r="B233" s="68" t="n">
        <v>10000442</v>
      </c>
      <c r="C233" s="68">
        <f>_xlfn.XLOOKUP(B233,'Detail&lt;Child&gt;'!A:A,'Detail&lt;Child&gt;'!B:B)</f>
        <v/>
      </c>
      <c r="D233" s="68">
        <f>"character_gradeup_"&amp;$B233&amp;"_"&amp;$H233</f>
        <v/>
      </c>
      <c r="E233" s="68" t="inlineStr">
        <is>
          <t>Item</t>
        </is>
      </c>
      <c r="F233" s="68">
        <f>INT(3003&amp;RIGHT(B233,4))</f>
        <v/>
      </c>
      <c r="G233" s="68">
        <f>VLOOKUP($R233, '#등급업 재료 개수'!$A$2:$K$5, MATCH(GradeUp!H233, '#등급업 재료 개수'!$A$2:$K$2, 0), FALSE)</f>
        <v/>
      </c>
      <c r="H233" s="68" t="n">
        <v>10</v>
      </c>
      <c r="I233" s="68" t="n">
        <v>100</v>
      </c>
      <c r="J233" s="68" t="n">
        <v>0</v>
      </c>
      <c r="K233" s="68" t="n">
        <v>0</v>
      </c>
      <c r="L233" s="68" t="inlineStr">
        <is>
          <t>HpRatio</t>
        </is>
      </c>
      <c r="M233" s="68">
        <f>M232+10000</f>
        <v/>
      </c>
      <c r="N233" s="68" t="inlineStr">
        <is>
          <t>AtkRatio</t>
        </is>
      </c>
      <c r="O233" s="68">
        <f>O232+10000</f>
        <v/>
      </c>
      <c r="P233" s="68" t="inlineStr">
        <is>
          <t>DefRatio</t>
        </is>
      </c>
      <c r="Q233" s="68">
        <f>Q232+10000</f>
        <v/>
      </c>
      <c r="R233" s="0">
        <f>_xlfn.XLOOKUP($B233, 'Detail&lt;Child&gt;'!$A:$A, 'Detail&lt;Child&gt;'!$L:$L)</f>
        <v/>
      </c>
    </row>
    <row r="234">
      <c r="A234" s="68">
        <f>B234*100+H234</f>
        <v/>
      </c>
      <c r="B234" s="68" t="n">
        <v>10000194</v>
      </c>
      <c r="C234" s="68">
        <f>_xlfn.XLOOKUP(B234,'Detail&lt;Child&gt;'!A:A,'Detail&lt;Child&gt;'!B:B)</f>
        <v/>
      </c>
      <c r="D234" s="68">
        <f>"character_gradeup_"&amp;$B234&amp;"_"&amp;$H234</f>
        <v/>
      </c>
      <c r="E234" s="68" t="inlineStr">
        <is>
          <t>Item</t>
        </is>
      </c>
      <c r="F234" s="68">
        <f>INT(3003&amp;RIGHT(B234,4))</f>
        <v/>
      </c>
      <c r="G234" s="68">
        <f>VLOOKUP($R234, '#등급업 재료 개수'!$A$2:$K$5, MATCH(GradeUp!H234, '#등급업 재료 개수'!$A$2:$K$2, 0), FALSE)</f>
        <v/>
      </c>
      <c r="H234" s="68" t="n">
        <v>1</v>
      </c>
      <c r="I234" s="68" t="n">
        <v>10</v>
      </c>
      <c r="J234" s="68" t="n">
        <v>0</v>
      </c>
      <c r="K234" s="68" t="n">
        <v>0</v>
      </c>
      <c r="L234" s="68" t="inlineStr">
        <is>
          <t>HpRatio</t>
        </is>
      </c>
      <c r="M234" s="68" t="n">
        <v>0</v>
      </c>
      <c r="N234" s="68" t="inlineStr">
        <is>
          <t>AtkRatio</t>
        </is>
      </c>
      <c r="O234" s="68" t="n">
        <v>0</v>
      </c>
      <c r="P234" s="68" t="inlineStr">
        <is>
          <t>DefRatio</t>
        </is>
      </c>
      <c r="Q234" s="68" t="n">
        <v>0</v>
      </c>
      <c r="R234" s="0">
        <f>_xlfn.XLOOKUP($B234, 'Detail&lt;Child&gt;'!$A:$A, 'Detail&lt;Child&gt;'!$L:$L)</f>
        <v/>
      </c>
    </row>
    <row r="235">
      <c r="A235" s="68">
        <f>B235*100+H235</f>
        <v/>
      </c>
      <c r="B235" s="68" t="n">
        <v>10000194</v>
      </c>
      <c r="C235" s="68">
        <f>_xlfn.XLOOKUP(B235,'Detail&lt;Child&gt;'!A:A,'Detail&lt;Child&gt;'!B:B)</f>
        <v/>
      </c>
      <c r="D235" s="68">
        <f>"character_gradeup_"&amp;$B235&amp;"_"&amp;$H235</f>
        <v/>
      </c>
      <c r="E235" s="68" t="inlineStr">
        <is>
          <t>Item</t>
        </is>
      </c>
      <c r="F235" s="68">
        <f>INT(3003&amp;RIGHT(B235,4))</f>
        <v/>
      </c>
      <c r="G235" s="68">
        <f>VLOOKUP($R235, '#등급업 재료 개수'!$A$2:$K$5, MATCH(GradeUp!H235, '#등급업 재료 개수'!$A$2:$K$2, 0), FALSE)</f>
        <v/>
      </c>
      <c r="H235" s="68" t="n">
        <v>2</v>
      </c>
      <c r="I235" s="68" t="n">
        <v>20</v>
      </c>
      <c r="J235" s="68" t="inlineStr">
        <is>
          <t>Active</t>
        </is>
      </c>
      <c r="K235" s="68">
        <f>_xlfn.IFNA(VLOOKUP($B235, 'Detail&lt;Child&gt;'!$A:$AW, MATCH(J235, 'Detail&lt;Child&gt;'!$3:$3,0 ), FALSE)+INT($H235/12), 0)</f>
        <v/>
      </c>
      <c r="L235" s="68" t="inlineStr">
        <is>
          <t>HpRatio</t>
        </is>
      </c>
      <c r="M235" s="68" t="n">
        <v>10000</v>
      </c>
      <c r="N235" s="68" t="inlineStr">
        <is>
          <t>AtkRatio</t>
        </is>
      </c>
      <c r="O235" s="68" t="n">
        <v>10000</v>
      </c>
      <c r="P235" s="68" t="inlineStr">
        <is>
          <t>DefRatio</t>
        </is>
      </c>
      <c r="Q235" s="68" t="n">
        <v>10000</v>
      </c>
      <c r="R235" s="0">
        <f>_xlfn.XLOOKUP($B235, 'Detail&lt;Child&gt;'!$A:$A, 'Detail&lt;Child&gt;'!$L:$L)</f>
        <v/>
      </c>
    </row>
    <row r="236">
      <c r="A236" s="68">
        <f>B236*100+H236</f>
        <v/>
      </c>
      <c r="B236" s="68" t="n">
        <v>10000194</v>
      </c>
      <c r="C236" s="68">
        <f>_xlfn.XLOOKUP(B236,'Detail&lt;Child&gt;'!A:A,'Detail&lt;Child&gt;'!B:B)</f>
        <v/>
      </c>
      <c r="D236" s="68">
        <f>"character_gradeup_"&amp;$B236&amp;"_"&amp;$H236</f>
        <v/>
      </c>
      <c r="E236" s="68" t="inlineStr">
        <is>
          <t>Item</t>
        </is>
      </c>
      <c r="F236" s="68">
        <f>INT(3003&amp;RIGHT(B236,4))</f>
        <v/>
      </c>
      <c r="G236" s="68">
        <f>VLOOKUP($R236, '#등급업 재료 개수'!$A$2:$K$5, MATCH(GradeUp!H236, '#등급업 재료 개수'!$A$2:$K$2, 0), FALSE)</f>
        <v/>
      </c>
      <c r="H236" s="68" t="n">
        <v>3</v>
      </c>
      <c r="I236" s="68" t="n">
        <v>30</v>
      </c>
      <c r="J236" s="68" t="n">
        <v>0</v>
      </c>
      <c r="K236" s="68" t="n">
        <v>0</v>
      </c>
      <c r="L236" s="68" t="inlineStr">
        <is>
          <t>HpRatio</t>
        </is>
      </c>
      <c r="M236" s="68">
        <f>M235+10000</f>
        <v/>
      </c>
      <c r="N236" s="68" t="inlineStr">
        <is>
          <t>AtkRatio</t>
        </is>
      </c>
      <c r="O236" s="68">
        <f>O235+10000</f>
        <v/>
      </c>
      <c r="P236" s="68" t="inlineStr">
        <is>
          <t>DefRatio</t>
        </is>
      </c>
      <c r="Q236" s="68">
        <f>Q235+10000</f>
        <v/>
      </c>
      <c r="R236" s="0">
        <f>_xlfn.XLOOKUP($B236, 'Detail&lt;Child&gt;'!$A:$A, 'Detail&lt;Child&gt;'!$L:$L)</f>
        <v/>
      </c>
    </row>
    <row r="237">
      <c r="A237" s="68">
        <f>B237*100+H237</f>
        <v/>
      </c>
      <c r="B237" s="68" t="n">
        <v>10000194</v>
      </c>
      <c r="C237" s="68">
        <f>_xlfn.XLOOKUP(B237,'Detail&lt;Child&gt;'!A:A,'Detail&lt;Child&gt;'!B:B)</f>
        <v/>
      </c>
      <c r="D237" s="68">
        <f>"character_gradeup_"&amp;$B237&amp;"_"&amp;$H237</f>
        <v/>
      </c>
      <c r="E237" s="68" t="inlineStr">
        <is>
          <t>Item</t>
        </is>
      </c>
      <c r="F237" s="68">
        <f>INT(3003&amp;RIGHT(B237,4))</f>
        <v/>
      </c>
      <c r="G237" s="68">
        <f>VLOOKUP($R237, '#등급업 재료 개수'!$A$2:$K$5, MATCH(GradeUp!H237, '#등급업 재료 개수'!$A$2:$K$2, 0), FALSE)</f>
        <v/>
      </c>
      <c r="H237" s="68" t="n">
        <v>4</v>
      </c>
      <c r="I237" s="68" t="n">
        <v>40</v>
      </c>
      <c r="J237" s="68" t="inlineStr">
        <is>
          <t>Passive</t>
        </is>
      </c>
      <c r="K237" s="68">
        <f>_xlfn.IFNA(VLOOKUP($B237, 'Detail&lt;Child&gt;'!$A:$AW, MATCH(J237, 'Detail&lt;Child&gt;'!$3:$3,0 ), FALSE)+INT($H237/12), 0)</f>
        <v/>
      </c>
      <c r="L237" s="68" t="inlineStr">
        <is>
          <t>HpRatio</t>
        </is>
      </c>
      <c r="M237" s="68">
        <f>M236+10000</f>
        <v/>
      </c>
      <c r="N237" s="68" t="inlineStr">
        <is>
          <t>AtkRatio</t>
        </is>
      </c>
      <c r="O237" s="68">
        <f>O236+10000</f>
        <v/>
      </c>
      <c r="P237" s="68" t="inlineStr">
        <is>
          <t>DefRatio</t>
        </is>
      </c>
      <c r="Q237" s="68">
        <f>Q236+10000</f>
        <v/>
      </c>
      <c r="R237" s="0">
        <f>_xlfn.XLOOKUP($B237, 'Detail&lt;Child&gt;'!$A:$A, 'Detail&lt;Child&gt;'!$L:$L)</f>
        <v/>
      </c>
    </row>
    <row r="238">
      <c r="A238" s="68">
        <f>B238*100+H238</f>
        <v/>
      </c>
      <c r="B238" s="68" t="n">
        <v>10000194</v>
      </c>
      <c r="C238" s="68">
        <f>_xlfn.XLOOKUP(B238,'Detail&lt;Child&gt;'!A:A,'Detail&lt;Child&gt;'!B:B)</f>
        <v/>
      </c>
      <c r="D238" s="68">
        <f>"character_gradeup_"&amp;$B238&amp;"_"&amp;$H238</f>
        <v/>
      </c>
      <c r="E238" s="68" t="inlineStr">
        <is>
          <t>Item</t>
        </is>
      </c>
      <c r="F238" s="68">
        <f>INT(3003&amp;RIGHT(B238,4))</f>
        <v/>
      </c>
      <c r="G238" s="68">
        <f>VLOOKUP($R238, '#등급업 재료 개수'!$A$2:$K$5, MATCH(GradeUp!H238, '#등급업 재료 개수'!$A$2:$K$2, 0), FALSE)</f>
        <v/>
      </c>
      <c r="H238" s="68" t="n">
        <v>5</v>
      </c>
      <c r="I238" s="68" t="n">
        <v>50</v>
      </c>
      <c r="J238" s="68" t="inlineStr">
        <is>
          <t>Active</t>
        </is>
      </c>
      <c r="K238" s="68">
        <f>_xlfn.IFNA(VLOOKUP($B238, 'Detail&lt;Child&gt;'!$A:$AW, MATCH(J238, 'Detail&lt;Child&gt;'!$3:$3,0 ), FALSE)+INT($H238/12), 0)+1</f>
        <v/>
      </c>
      <c r="L238" s="68" t="inlineStr">
        <is>
          <t>HpRatio</t>
        </is>
      </c>
      <c r="M238" s="68">
        <f>M237+10000</f>
        <v/>
      </c>
      <c r="N238" s="68" t="inlineStr">
        <is>
          <t>AtkRatio</t>
        </is>
      </c>
      <c r="O238" s="68">
        <f>O237+10000</f>
        <v/>
      </c>
      <c r="P238" s="68" t="inlineStr">
        <is>
          <t>DefRatio</t>
        </is>
      </c>
      <c r="Q238" s="68">
        <f>Q237+10000</f>
        <v/>
      </c>
      <c r="R238" s="0">
        <f>_xlfn.XLOOKUP($B238, 'Detail&lt;Child&gt;'!$A:$A, 'Detail&lt;Child&gt;'!$L:$L)</f>
        <v/>
      </c>
    </row>
    <row r="239">
      <c r="A239" s="68">
        <f>B239*100+H239</f>
        <v/>
      </c>
      <c r="B239" s="68" t="n">
        <v>10000194</v>
      </c>
      <c r="C239" s="68">
        <f>_xlfn.XLOOKUP(B239,'Detail&lt;Child&gt;'!A:A,'Detail&lt;Child&gt;'!B:B)</f>
        <v/>
      </c>
      <c r="D239" s="68">
        <f>"character_gradeup_"&amp;$B239&amp;"_"&amp;$H239</f>
        <v/>
      </c>
      <c r="E239" s="68" t="inlineStr">
        <is>
          <t>Item</t>
        </is>
      </c>
      <c r="F239" s="68">
        <f>INT(3003&amp;RIGHT(B239,4))</f>
        <v/>
      </c>
      <c r="G239" s="68">
        <f>VLOOKUP($R239, '#등급업 재료 개수'!$A$2:$K$5, MATCH(GradeUp!H239, '#등급업 재료 개수'!$A$2:$K$2, 0), FALSE)</f>
        <v/>
      </c>
      <c r="H239" s="68" t="n">
        <v>6</v>
      </c>
      <c r="I239" s="68" t="n">
        <v>60</v>
      </c>
      <c r="J239" s="68" t="n">
        <v>0</v>
      </c>
      <c r="K239" s="68" t="n">
        <v>0</v>
      </c>
      <c r="L239" s="68" t="inlineStr">
        <is>
          <t>HpRatio</t>
        </is>
      </c>
      <c r="M239" s="68">
        <f>M238+10000</f>
        <v/>
      </c>
      <c r="N239" s="68" t="inlineStr">
        <is>
          <t>AtkRatio</t>
        </is>
      </c>
      <c r="O239" s="68">
        <f>O238+10000</f>
        <v/>
      </c>
      <c r="P239" s="68" t="inlineStr">
        <is>
          <t>DefRatio</t>
        </is>
      </c>
      <c r="Q239" s="68">
        <f>Q238+10000</f>
        <v/>
      </c>
      <c r="R239" s="0">
        <f>_xlfn.XLOOKUP($B239, 'Detail&lt;Child&gt;'!$A:$A, 'Detail&lt;Child&gt;'!$L:$L)</f>
        <v/>
      </c>
    </row>
    <row r="240">
      <c r="A240" s="68">
        <f>B240*100+H240</f>
        <v/>
      </c>
      <c r="B240" s="68" t="n">
        <v>10000194</v>
      </c>
      <c r="C240" s="68">
        <f>_xlfn.XLOOKUP(B240,'Detail&lt;Child&gt;'!A:A,'Detail&lt;Child&gt;'!B:B)</f>
        <v/>
      </c>
      <c r="D240" s="68">
        <f>"character_gradeup_"&amp;$B240&amp;"_"&amp;$H240</f>
        <v/>
      </c>
      <c r="E240" s="68" t="inlineStr">
        <is>
          <t>Item</t>
        </is>
      </c>
      <c r="F240" s="68">
        <f>INT(3003&amp;RIGHT(B240,4))</f>
        <v/>
      </c>
      <c r="G240" s="68">
        <f>VLOOKUP($R240, '#등급업 재료 개수'!$A$2:$K$5, MATCH(GradeUp!H240, '#등급업 재료 개수'!$A$2:$K$2, 0), FALSE)</f>
        <v/>
      </c>
      <c r="H240" s="68" t="n">
        <v>7</v>
      </c>
      <c r="I240" s="68" t="n">
        <v>70</v>
      </c>
      <c r="J240" s="68" t="inlineStr">
        <is>
          <t>Passive</t>
        </is>
      </c>
      <c r="K240" s="68">
        <f>_xlfn.IFNA(VLOOKUP($B240, 'Detail&lt;Child&gt;'!$A:$AW, MATCH(J240, 'Detail&lt;Child&gt;'!$3:$3,0 ), FALSE)+INT($H240/12), 0)+1</f>
        <v/>
      </c>
      <c r="L240" s="68" t="inlineStr">
        <is>
          <t>HpRatio</t>
        </is>
      </c>
      <c r="M240" s="68">
        <f>M239+10000</f>
        <v/>
      </c>
      <c r="N240" s="68" t="inlineStr">
        <is>
          <t>AtkRatio</t>
        </is>
      </c>
      <c r="O240" s="68">
        <f>O239+10000</f>
        <v/>
      </c>
      <c r="P240" s="68" t="inlineStr">
        <is>
          <t>DefRatio</t>
        </is>
      </c>
      <c r="Q240" s="68">
        <f>Q239+10000</f>
        <v/>
      </c>
      <c r="R240" s="0">
        <f>_xlfn.XLOOKUP($B240, 'Detail&lt;Child&gt;'!$A:$A, 'Detail&lt;Child&gt;'!$L:$L)</f>
        <v/>
      </c>
    </row>
    <row r="241">
      <c r="A241" s="68">
        <f>B241*100+H241</f>
        <v/>
      </c>
      <c r="B241" s="68" t="n">
        <v>10000194</v>
      </c>
      <c r="C241" s="68">
        <f>_xlfn.XLOOKUP(B241,'Detail&lt;Child&gt;'!A:A,'Detail&lt;Child&gt;'!B:B)</f>
        <v/>
      </c>
      <c r="D241" s="68">
        <f>"character_gradeup_"&amp;$B241&amp;"_"&amp;$H241</f>
        <v/>
      </c>
      <c r="E241" s="68" t="inlineStr">
        <is>
          <t>Item</t>
        </is>
      </c>
      <c r="F241" s="68">
        <f>INT(3003&amp;RIGHT(B241,4))</f>
        <v/>
      </c>
      <c r="G241" s="68">
        <f>VLOOKUP($R241, '#등급업 재료 개수'!$A$2:$K$5, MATCH(GradeUp!H241, '#등급업 재료 개수'!$A$2:$K$2, 0), FALSE)</f>
        <v/>
      </c>
      <c r="H241" s="68" t="n">
        <v>8</v>
      </c>
      <c r="I241" s="68" t="n">
        <v>80</v>
      </c>
      <c r="J241" s="68" t="n">
        <v>0</v>
      </c>
      <c r="K241" s="68" t="n">
        <v>0</v>
      </c>
      <c r="L241" s="68" t="inlineStr">
        <is>
          <t>HpRatio</t>
        </is>
      </c>
      <c r="M241" s="68">
        <f>M240+10000</f>
        <v/>
      </c>
      <c r="N241" s="68" t="inlineStr">
        <is>
          <t>AtkRatio</t>
        </is>
      </c>
      <c r="O241" s="68">
        <f>O240+10000</f>
        <v/>
      </c>
      <c r="P241" s="68" t="inlineStr">
        <is>
          <t>DefRatio</t>
        </is>
      </c>
      <c r="Q241" s="68">
        <f>Q240+10000</f>
        <v/>
      </c>
      <c r="R241" s="0">
        <f>_xlfn.XLOOKUP($B241, 'Detail&lt;Child&gt;'!$A:$A, 'Detail&lt;Child&gt;'!$L:$L)</f>
        <v/>
      </c>
    </row>
    <row r="242">
      <c r="A242" s="68">
        <f>B242*100+H242</f>
        <v/>
      </c>
      <c r="B242" s="68" t="n">
        <v>10000194</v>
      </c>
      <c r="C242" s="68">
        <f>_xlfn.XLOOKUP(B242,'Detail&lt;Child&gt;'!A:A,'Detail&lt;Child&gt;'!B:B)</f>
        <v/>
      </c>
      <c r="D242" s="68">
        <f>"character_gradeup_"&amp;$B242&amp;"_"&amp;$H242</f>
        <v/>
      </c>
      <c r="E242" s="68" t="inlineStr">
        <is>
          <t>Item</t>
        </is>
      </c>
      <c r="F242" s="68">
        <f>INT(3003&amp;RIGHT(B242,4))</f>
        <v/>
      </c>
      <c r="G242" s="68">
        <f>VLOOKUP($R242, '#등급업 재료 개수'!$A$2:$K$5, MATCH(GradeUp!H242, '#등급업 재료 개수'!$A$2:$K$2, 0), FALSE)</f>
        <v/>
      </c>
      <c r="H242" s="68" t="n">
        <v>9</v>
      </c>
      <c r="I242" s="68" t="n">
        <v>90</v>
      </c>
      <c r="J242" s="68" t="inlineStr">
        <is>
          <t>Ultimate</t>
        </is>
      </c>
      <c r="K242" s="68">
        <f>_xlfn.IFNA(VLOOKUP($B242, 'Detail&lt;Child&gt;'!$A:$AW, MATCH(J242, 'Detail&lt;Child&gt;'!$3:$3,0 ), FALSE)+INT($H242/12), 0)+1</f>
        <v/>
      </c>
      <c r="L242" s="68" t="inlineStr">
        <is>
          <t>HpRatio</t>
        </is>
      </c>
      <c r="M242" s="68">
        <f>M241+10000</f>
        <v/>
      </c>
      <c r="N242" s="68" t="inlineStr">
        <is>
          <t>AtkRatio</t>
        </is>
      </c>
      <c r="O242" s="68">
        <f>O241+10000</f>
        <v/>
      </c>
      <c r="P242" s="68" t="inlineStr">
        <is>
          <t>DefRatio</t>
        </is>
      </c>
      <c r="Q242" s="68">
        <f>Q241+10000</f>
        <v/>
      </c>
      <c r="R242" s="0">
        <f>_xlfn.XLOOKUP($B242, 'Detail&lt;Child&gt;'!$A:$A, 'Detail&lt;Child&gt;'!$L:$L)</f>
        <v/>
      </c>
    </row>
    <row r="243">
      <c r="A243" s="68">
        <f>B243*100+H243</f>
        <v/>
      </c>
      <c r="B243" s="68" t="n">
        <v>10000194</v>
      </c>
      <c r="C243" s="68">
        <f>_xlfn.XLOOKUP(B243,'Detail&lt;Child&gt;'!A:A,'Detail&lt;Child&gt;'!B:B)</f>
        <v/>
      </c>
      <c r="D243" s="68">
        <f>"character_gradeup_"&amp;$B243&amp;"_"&amp;$H243</f>
        <v/>
      </c>
      <c r="E243" s="68" t="inlineStr">
        <is>
          <t>Item</t>
        </is>
      </c>
      <c r="F243" s="68">
        <f>INT(3003&amp;RIGHT(B243,4))</f>
        <v/>
      </c>
      <c r="G243" s="68">
        <f>VLOOKUP($R243, '#등급업 재료 개수'!$A$2:$K$5, MATCH(GradeUp!H243, '#등급업 재료 개수'!$A$2:$K$2, 0), FALSE)</f>
        <v/>
      </c>
      <c r="H243" s="68" t="n">
        <v>10</v>
      </c>
      <c r="I243" s="68" t="n">
        <v>100</v>
      </c>
      <c r="J243" s="68" t="n">
        <v>0</v>
      </c>
      <c r="K243" s="68" t="n">
        <v>0</v>
      </c>
      <c r="L243" s="68" t="inlineStr">
        <is>
          <t>HpRatio</t>
        </is>
      </c>
      <c r="M243" s="68">
        <f>M242+10000</f>
        <v/>
      </c>
      <c r="N243" s="68" t="inlineStr">
        <is>
          <t>AtkRatio</t>
        </is>
      </c>
      <c r="O243" s="68">
        <f>O242+10000</f>
        <v/>
      </c>
      <c r="P243" s="68" t="inlineStr">
        <is>
          <t>DefRatio</t>
        </is>
      </c>
      <c r="Q243" s="68">
        <f>Q242+10000</f>
        <v/>
      </c>
      <c r="R243" s="0">
        <f>_xlfn.XLOOKUP($B243, 'Detail&lt;Child&gt;'!$A:$A, 'Detail&lt;Child&gt;'!$L:$L)</f>
        <v/>
      </c>
    </row>
    <row r="244">
      <c r="A244" s="68">
        <f>B244*100+H244</f>
        <v/>
      </c>
      <c r="B244" s="68" t="n">
        <v>10000124</v>
      </c>
      <c r="C244" s="68">
        <f>_xlfn.XLOOKUP(B244,'Detail&lt;Child&gt;'!A:A,'Detail&lt;Child&gt;'!B:B)</f>
        <v/>
      </c>
      <c r="D244" s="68">
        <f>"character_gradeup_"&amp;$B244&amp;"_"&amp;$H244</f>
        <v/>
      </c>
      <c r="E244" s="68" t="inlineStr">
        <is>
          <t>Item</t>
        </is>
      </c>
      <c r="F244" s="68">
        <f>INT(3003&amp;RIGHT(B244,4))</f>
        <v/>
      </c>
      <c r="G244" s="68">
        <f>VLOOKUP($R244, '#등급업 재료 개수'!$A$2:$K$5, MATCH(GradeUp!H244, '#등급업 재료 개수'!$A$2:$K$2, 0), FALSE)</f>
        <v/>
      </c>
      <c r="H244" s="68" t="n">
        <v>1</v>
      </c>
      <c r="I244" s="68" t="n">
        <v>10</v>
      </c>
      <c r="J244" s="68" t="n">
        <v>0</v>
      </c>
      <c r="K244" s="68" t="n">
        <v>0</v>
      </c>
      <c r="L244" s="68" t="inlineStr">
        <is>
          <t>HpRatio</t>
        </is>
      </c>
      <c r="M244" s="68" t="n">
        <v>0</v>
      </c>
      <c r="N244" s="68" t="inlineStr">
        <is>
          <t>AtkRatio</t>
        </is>
      </c>
      <c r="O244" s="68" t="n">
        <v>0</v>
      </c>
      <c r="P244" s="68" t="inlineStr">
        <is>
          <t>DefRatio</t>
        </is>
      </c>
      <c r="Q244" s="68" t="n">
        <v>0</v>
      </c>
      <c r="R244" s="0">
        <f>_xlfn.XLOOKUP($B244, 'Detail&lt;Child&gt;'!$A:$A, 'Detail&lt;Child&gt;'!$L:$L)</f>
        <v/>
      </c>
    </row>
    <row r="245">
      <c r="A245" s="68">
        <f>B245*100+H245</f>
        <v/>
      </c>
      <c r="B245" s="68" t="n">
        <v>10000124</v>
      </c>
      <c r="C245" s="68">
        <f>_xlfn.XLOOKUP(B245,'Detail&lt;Child&gt;'!A:A,'Detail&lt;Child&gt;'!B:B)</f>
        <v/>
      </c>
      <c r="D245" s="68">
        <f>"character_gradeup_"&amp;$B245&amp;"_"&amp;$H245</f>
        <v/>
      </c>
      <c r="E245" s="68" t="inlineStr">
        <is>
          <t>Item</t>
        </is>
      </c>
      <c r="F245" s="68">
        <f>INT(3003&amp;RIGHT(B245,4))</f>
        <v/>
      </c>
      <c r="G245" s="68">
        <f>VLOOKUP($R245, '#등급업 재료 개수'!$A$2:$K$5, MATCH(GradeUp!H245, '#등급업 재료 개수'!$A$2:$K$2, 0), FALSE)</f>
        <v/>
      </c>
      <c r="H245" s="68" t="n">
        <v>2</v>
      </c>
      <c r="I245" s="68" t="n">
        <v>20</v>
      </c>
      <c r="J245" s="68" t="inlineStr">
        <is>
          <t>Active</t>
        </is>
      </c>
      <c r="K245" s="68">
        <f>_xlfn.IFNA(VLOOKUP($B245, 'Detail&lt;Child&gt;'!$A:$AW, MATCH(J245, 'Detail&lt;Child&gt;'!$3:$3,0 ), FALSE)+INT($H245/12), 0)</f>
        <v/>
      </c>
      <c r="L245" s="68" t="inlineStr">
        <is>
          <t>HpRatio</t>
        </is>
      </c>
      <c r="M245" s="68" t="n">
        <v>0</v>
      </c>
      <c r="N245" s="68" t="inlineStr">
        <is>
          <t>AtkRatio</t>
        </is>
      </c>
      <c r="O245" s="68" t="n">
        <v>0</v>
      </c>
      <c r="P245" s="68" t="inlineStr">
        <is>
          <t>DefRatio</t>
        </is>
      </c>
      <c r="Q245" s="68" t="n">
        <v>0</v>
      </c>
      <c r="R245" s="0">
        <f>_xlfn.XLOOKUP($B245, 'Detail&lt;Child&gt;'!$A:$A, 'Detail&lt;Child&gt;'!$L:$L)</f>
        <v/>
      </c>
    </row>
    <row r="246">
      <c r="A246" s="68">
        <f>B246*100+H246</f>
        <v/>
      </c>
      <c r="B246" s="68" t="n">
        <v>10000124</v>
      </c>
      <c r="C246" s="68">
        <f>_xlfn.XLOOKUP(B246,'Detail&lt;Child&gt;'!A:A,'Detail&lt;Child&gt;'!B:B)</f>
        <v/>
      </c>
      <c r="D246" s="68">
        <f>"character_gradeup_"&amp;$B246&amp;"_"&amp;$H246</f>
        <v/>
      </c>
      <c r="E246" s="68" t="inlineStr">
        <is>
          <t>Item</t>
        </is>
      </c>
      <c r="F246" s="68">
        <f>INT(3003&amp;RIGHT(B246,4))</f>
        <v/>
      </c>
      <c r="G246" s="68">
        <f>VLOOKUP($R246, '#등급업 재료 개수'!$A$2:$K$5, MATCH(GradeUp!H246, '#등급업 재료 개수'!$A$2:$K$2, 0), FALSE)</f>
        <v/>
      </c>
      <c r="H246" s="68" t="n">
        <v>3</v>
      </c>
      <c r="I246" s="68" t="n">
        <v>30</v>
      </c>
      <c r="J246" s="68" t="n">
        <v>0</v>
      </c>
      <c r="K246" s="68" t="n">
        <v>0</v>
      </c>
      <c r="L246" s="68" t="inlineStr">
        <is>
          <t>HpRatio</t>
        </is>
      </c>
      <c r="M246" s="68" t="n">
        <v>10000</v>
      </c>
      <c r="N246" s="68" t="inlineStr">
        <is>
          <t>AtkRatio</t>
        </is>
      </c>
      <c r="O246" s="68" t="n">
        <v>10000</v>
      </c>
      <c r="P246" s="68" t="inlineStr">
        <is>
          <t>DefRatio</t>
        </is>
      </c>
      <c r="Q246" s="68" t="n">
        <v>10000</v>
      </c>
      <c r="R246" s="0">
        <f>_xlfn.XLOOKUP($B246, 'Detail&lt;Child&gt;'!$A:$A, 'Detail&lt;Child&gt;'!$L:$L)</f>
        <v/>
      </c>
    </row>
    <row r="247">
      <c r="A247" s="68">
        <f>B247*100+H247</f>
        <v/>
      </c>
      <c r="B247" s="68" t="n">
        <v>10000124</v>
      </c>
      <c r="C247" s="68">
        <f>_xlfn.XLOOKUP(B247,'Detail&lt;Child&gt;'!A:A,'Detail&lt;Child&gt;'!B:B)</f>
        <v/>
      </c>
      <c r="D247" s="68">
        <f>"character_gradeup_"&amp;$B247&amp;"_"&amp;$H247</f>
        <v/>
      </c>
      <c r="E247" s="68" t="inlineStr">
        <is>
          <t>Item</t>
        </is>
      </c>
      <c r="F247" s="68">
        <f>INT(3003&amp;RIGHT(B247,4))</f>
        <v/>
      </c>
      <c r="G247" s="68">
        <f>VLOOKUP($R247, '#등급업 재료 개수'!$A$2:$K$5, MATCH(GradeUp!H247, '#등급업 재료 개수'!$A$2:$K$2, 0), FALSE)</f>
        <v/>
      </c>
      <c r="H247" s="68" t="n">
        <v>4</v>
      </c>
      <c r="I247" s="68" t="n">
        <v>40</v>
      </c>
      <c r="J247" s="68" t="inlineStr">
        <is>
          <t>Passive</t>
        </is>
      </c>
      <c r="K247" s="68">
        <f>_xlfn.IFNA(VLOOKUP($B247, 'Detail&lt;Child&gt;'!$A:$AW, MATCH(J247, 'Detail&lt;Child&gt;'!$3:$3,0 ), FALSE)+INT($H247/12), 0)</f>
        <v/>
      </c>
      <c r="L247" s="68" t="inlineStr">
        <is>
          <t>HpRatio</t>
        </is>
      </c>
      <c r="M247" s="68">
        <f>M246+10000</f>
        <v/>
      </c>
      <c r="N247" s="68" t="inlineStr">
        <is>
          <t>AtkRatio</t>
        </is>
      </c>
      <c r="O247" s="68">
        <f>O246+10000</f>
        <v/>
      </c>
      <c r="P247" s="68" t="inlineStr">
        <is>
          <t>DefRatio</t>
        </is>
      </c>
      <c r="Q247" s="68">
        <f>Q246+10000</f>
        <v/>
      </c>
      <c r="R247" s="0">
        <f>_xlfn.XLOOKUP($B247, 'Detail&lt;Child&gt;'!$A:$A, 'Detail&lt;Child&gt;'!$L:$L)</f>
        <v/>
      </c>
    </row>
    <row r="248">
      <c r="A248" s="68">
        <f>B248*100+H248</f>
        <v/>
      </c>
      <c r="B248" s="68" t="n">
        <v>10000124</v>
      </c>
      <c r="C248" s="68">
        <f>_xlfn.XLOOKUP(B248,'Detail&lt;Child&gt;'!A:A,'Detail&lt;Child&gt;'!B:B)</f>
        <v/>
      </c>
      <c r="D248" s="68">
        <f>"character_gradeup_"&amp;$B248&amp;"_"&amp;$H248</f>
        <v/>
      </c>
      <c r="E248" s="68" t="inlineStr">
        <is>
          <t>Item</t>
        </is>
      </c>
      <c r="F248" s="68">
        <f>INT(3003&amp;RIGHT(B248,4))</f>
        <v/>
      </c>
      <c r="G248" s="68">
        <f>VLOOKUP($R248, '#등급업 재료 개수'!$A$2:$K$5, MATCH(GradeUp!H248, '#등급업 재료 개수'!$A$2:$K$2, 0), FALSE)</f>
        <v/>
      </c>
      <c r="H248" s="68" t="n">
        <v>5</v>
      </c>
      <c r="I248" s="68" t="n">
        <v>50</v>
      </c>
      <c r="J248" s="68" t="inlineStr">
        <is>
          <t>Active</t>
        </is>
      </c>
      <c r="K248" s="68">
        <f>_xlfn.IFNA(VLOOKUP($B248, 'Detail&lt;Child&gt;'!$A:$AW, MATCH(J248, 'Detail&lt;Child&gt;'!$3:$3,0 ), FALSE)+INT($H248/12), 0)+1</f>
        <v/>
      </c>
      <c r="L248" s="68" t="inlineStr">
        <is>
          <t>HpRatio</t>
        </is>
      </c>
      <c r="M248" s="68">
        <f>M247+10000</f>
        <v/>
      </c>
      <c r="N248" s="68" t="inlineStr">
        <is>
          <t>AtkRatio</t>
        </is>
      </c>
      <c r="O248" s="68">
        <f>O247+10000</f>
        <v/>
      </c>
      <c r="P248" s="68" t="inlineStr">
        <is>
          <t>DefRatio</t>
        </is>
      </c>
      <c r="Q248" s="68">
        <f>Q247+10000</f>
        <v/>
      </c>
      <c r="R248" s="0">
        <f>_xlfn.XLOOKUP($B248, 'Detail&lt;Child&gt;'!$A:$A, 'Detail&lt;Child&gt;'!$L:$L)</f>
        <v/>
      </c>
    </row>
    <row r="249">
      <c r="A249" s="68">
        <f>B249*100+H249</f>
        <v/>
      </c>
      <c r="B249" s="68" t="n">
        <v>10000124</v>
      </c>
      <c r="C249" s="68">
        <f>_xlfn.XLOOKUP(B249,'Detail&lt;Child&gt;'!A:A,'Detail&lt;Child&gt;'!B:B)</f>
        <v/>
      </c>
      <c r="D249" s="68">
        <f>"character_gradeup_"&amp;$B249&amp;"_"&amp;$H249</f>
        <v/>
      </c>
      <c r="E249" s="68" t="inlineStr">
        <is>
          <t>Item</t>
        </is>
      </c>
      <c r="F249" s="68">
        <f>INT(3003&amp;RIGHT(B249,4))</f>
        <v/>
      </c>
      <c r="G249" s="68">
        <f>VLOOKUP($R249, '#등급업 재료 개수'!$A$2:$K$5, MATCH(GradeUp!H249, '#등급업 재료 개수'!$A$2:$K$2, 0), FALSE)</f>
        <v/>
      </c>
      <c r="H249" s="68" t="n">
        <v>6</v>
      </c>
      <c r="I249" s="68" t="n">
        <v>60</v>
      </c>
      <c r="J249" s="68" t="n">
        <v>0</v>
      </c>
      <c r="K249" s="68" t="n">
        <v>0</v>
      </c>
      <c r="L249" s="68" t="inlineStr">
        <is>
          <t>HpRatio</t>
        </is>
      </c>
      <c r="M249" s="68">
        <f>M248+10000</f>
        <v/>
      </c>
      <c r="N249" s="68" t="inlineStr">
        <is>
          <t>AtkRatio</t>
        </is>
      </c>
      <c r="O249" s="68">
        <f>O248+10000</f>
        <v/>
      </c>
      <c r="P249" s="68" t="inlineStr">
        <is>
          <t>DefRatio</t>
        </is>
      </c>
      <c r="Q249" s="68">
        <f>Q248+10000</f>
        <v/>
      </c>
      <c r="R249" s="0">
        <f>_xlfn.XLOOKUP($B249, 'Detail&lt;Child&gt;'!$A:$A, 'Detail&lt;Child&gt;'!$L:$L)</f>
        <v/>
      </c>
    </row>
    <row r="250">
      <c r="A250" s="68">
        <f>B250*100+H250</f>
        <v/>
      </c>
      <c r="B250" s="68" t="n">
        <v>10000124</v>
      </c>
      <c r="C250" s="68">
        <f>_xlfn.XLOOKUP(B250,'Detail&lt;Child&gt;'!A:A,'Detail&lt;Child&gt;'!B:B)</f>
        <v/>
      </c>
      <c r="D250" s="68">
        <f>"character_gradeup_"&amp;$B250&amp;"_"&amp;$H250</f>
        <v/>
      </c>
      <c r="E250" s="68" t="inlineStr">
        <is>
          <t>Item</t>
        </is>
      </c>
      <c r="F250" s="68">
        <f>INT(3003&amp;RIGHT(B250,4))</f>
        <v/>
      </c>
      <c r="G250" s="68">
        <f>VLOOKUP($R250, '#등급업 재료 개수'!$A$2:$K$5, MATCH(GradeUp!H250, '#등급업 재료 개수'!$A$2:$K$2, 0), FALSE)</f>
        <v/>
      </c>
      <c r="H250" s="68" t="n">
        <v>7</v>
      </c>
      <c r="I250" s="68" t="n">
        <v>70</v>
      </c>
      <c r="J250" s="68" t="inlineStr">
        <is>
          <t>Passive</t>
        </is>
      </c>
      <c r="K250" s="68">
        <f>_xlfn.IFNA(VLOOKUP($B250, 'Detail&lt;Child&gt;'!$A:$AW, MATCH(J250, 'Detail&lt;Child&gt;'!$3:$3,0 ), FALSE)+INT($H250/12), 0)+1</f>
        <v/>
      </c>
      <c r="L250" s="68" t="inlineStr">
        <is>
          <t>HpRatio</t>
        </is>
      </c>
      <c r="M250" s="68">
        <f>M249+10000</f>
        <v/>
      </c>
      <c r="N250" s="68" t="inlineStr">
        <is>
          <t>AtkRatio</t>
        </is>
      </c>
      <c r="O250" s="68">
        <f>O249+10000</f>
        <v/>
      </c>
      <c r="P250" s="68" t="inlineStr">
        <is>
          <t>DefRatio</t>
        </is>
      </c>
      <c r="Q250" s="68">
        <f>Q249+10000</f>
        <v/>
      </c>
      <c r="R250" s="0">
        <f>_xlfn.XLOOKUP($B250, 'Detail&lt;Child&gt;'!$A:$A, 'Detail&lt;Child&gt;'!$L:$L)</f>
        <v/>
      </c>
    </row>
    <row r="251">
      <c r="A251" s="68">
        <f>B251*100+H251</f>
        <v/>
      </c>
      <c r="B251" s="68" t="n">
        <v>10000124</v>
      </c>
      <c r="C251" s="68">
        <f>_xlfn.XLOOKUP(B251,'Detail&lt;Child&gt;'!A:A,'Detail&lt;Child&gt;'!B:B)</f>
        <v/>
      </c>
      <c r="D251" s="68">
        <f>"character_gradeup_"&amp;$B251&amp;"_"&amp;$H251</f>
        <v/>
      </c>
      <c r="E251" s="68" t="inlineStr">
        <is>
          <t>Item</t>
        </is>
      </c>
      <c r="F251" s="68">
        <f>INT(3003&amp;RIGHT(B251,4))</f>
        <v/>
      </c>
      <c r="G251" s="68">
        <f>VLOOKUP($R251, '#등급업 재료 개수'!$A$2:$K$5, MATCH(GradeUp!H251, '#등급업 재료 개수'!$A$2:$K$2, 0), FALSE)</f>
        <v/>
      </c>
      <c r="H251" s="68" t="n">
        <v>8</v>
      </c>
      <c r="I251" s="68" t="n">
        <v>80</v>
      </c>
      <c r="J251" s="68" t="n">
        <v>0</v>
      </c>
      <c r="K251" s="68" t="n">
        <v>0</v>
      </c>
      <c r="L251" s="68" t="inlineStr">
        <is>
          <t>HpRatio</t>
        </is>
      </c>
      <c r="M251" s="68">
        <f>M250+10000</f>
        <v/>
      </c>
      <c r="N251" s="68" t="inlineStr">
        <is>
          <t>AtkRatio</t>
        </is>
      </c>
      <c r="O251" s="68">
        <f>O250+10000</f>
        <v/>
      </c>
      <c r="P251" s="68" t="inlineStr">
        <is>
          <t>DefRatio</t>
        </is>
      </c>
      <c r="Q251" s="68">
        <f>Q250+10000</f>
        <v/>
      </c>
      <c r="R251" s="0">
        <f>_xlfn.XLOOKUP($B251, 'Detail&lt;Child&gt;'!$A:$A, 'Detail&lt;Child&gt;'!$L:$L)</f>
        <v/>
      </c>
    </row>
    <row r="252">
      <c r="A252" s="68">
        <f>B252*100+H252</f>
        <v/>
      </c>
      <c r="B252" s="68" t="n">
        <v>10000124</v>
      </c>
      <c r="C252" s="68">
        <f>_xlfn.XLOOKUP(B252,'Detail&lt;Child&gt;'!A:A,'Detail&lt;Child&gt;'!B:B)</f>
        <v/>
      </c>
      <c r="D252" s="68">
        <f>"character_gradeup_"&amp;$B252&amp;"_"&amp;$H252</f>
        <v/>
      </c>
      <c r="E252" s="68" t="inlineStr">
        <is>
          <t>Item</t>
        </is>
      </c>
      <c r="F252" s="68">
        <f>INT(3003&amp;RIGHT(B252,4))</f>
        <v/>
      </c>
      <c r="G252" s="68">
        <f>VLOOKUP($R252, '#등급업 재료 개수'!$A$2:$K$5, MATCH(GradeUp!H252, '#등급업 재료 개수'!$A$2:$K$2, 0), FALSE)</f>
        <v/>
      </c>
      <c r="H252" s="68" t="n">
        <v>9</v>
      </c>
      <c r="I252" s="68" t="n">
        <v>90</v>
      </c>
      <c r="J252" s="68" t="inlineStr">
        <is>
          <t>Ultimate</t>
        </is>
      </c>
      <c r="K252" s="68">
        <f>_xlfn.IFNA(VLOOKUP($B252, 'Detail&lt;Child&gt;'!$A:$AW, MATCH(J252, 'Detail&lt;Child&gt;'!$3:$3,0 ), FALSE)+INT($H252/12), 0)+1</f>
        <v/>
      </c>
      <c r="L252" s="68" t="inlineStr">
        <is>
          <t>HpRatio</t>
        </is>
      </c>
      <c r="M252" s="68">
        <f>M251+10000</f>
        <v/>
      </c>
      <c r="N252" s="68" t="inlineStr">
        <is>
          <t>AtkRatio</t>
        </is>
      </c>
      <c r="O252" s="68">
        <f>O251+10000</f>
        <v/>
      </c>
      <c r="P252" s="68" t="inlineStr">
        <is>
          <t>DefRatio</t>
        </is>
      </c>
      <c r="Q252" s="68">
        <f>Q251+10000</f>
        <v/>
      </c>
      <c r="R252" s="0">
        <f>_xlfn.XLOOKUP($B252, 'Detail&lt;Child&gt;'!$A:$A, 'Detail&lt;Child&gt;'!$L:$L)</f>
        <v/>
      </c>
    </row>
    <row r="253">
      <c r="A253" s="68">
        <f>B253*100+H253</f>
        <v/>
      </c>
      <c r="B253" s="68" t="n">
        <v>10000124</v>
      </c>
      <c r="C253" s="68">
        <f>_xlfn.XLOOKUP(B253,'Detail&lt;Child&gt;'!A:A,'Detail&lt;Child&gt;'!B:B)</f>
        <v/>
      </c>
      <c r="D253" s="68">
        <f>"character_gradeup_"&amp;$B253&amp;"_"&amp;$H253</f>
        <v/>
      </c>
      <c r="E253" s="68" t="inlineStr">
        <is>
          <t>Item</t>
        </is>
      </c>
      <c r="F253" s="68">
        <f>INT(3003&amp;RIGHT(B253,4))</f>
        <v/>
      </c>
      <c r="G253" s="68">
        <f>VLOOKUP($R253, '#등급업 재료 개수'!$A$2:$K$5, MATCH(GradeUp!H253, '#등급업 재료 개수'!$A$2:$K$2, 0), FALSE)</f>
        <v/>
      </c>
      <c r="H253" s="68" t="n">
        <v>10</v>
      </c>
      <c r="I253" s="68" t="n">
        <v>100</v>
      </c>
      <c r="J253" s="68" t="n">
        <v>0</v>
      </c>
      <c r="K253" s="68" t="n">
        <v>0</v>
      </c>
      <c r="L253" s="68" t="inlineStr">
        <is>
          <t>HpRatio</t>
        </is>
      </c>
      <c r="M253" s="68">
        <f>M252+10000</f>
        <v/>
      </c>
      <c r="N253" s="68" t="inlineStr">
        <is>
          <t>AtkRatio</t>
        </is>
      </c>
      <c r="O253" s="68">
        <f>O252+10000</f>
        <v/>
      </c>
      <c r="P253" s="68" t="inlineStr">
        <is>
          <t>DefRatio</t>
        </is>
      </c>
      <c r="Q253" s="68">
        <f>Q252+10000</f>
        <v/>
      </c>
      <c r="R253" s="0">
        <f>_xlfn.XLOOKUP($B253, 'Detail&lt;Child&gt;'!$A:$A, 'Detail&lt;Child&gt;'!$L:$L)</f>
        <v/>
      </c>
    </row>
    <row r="254">
      <c r="A254" s="68">
        <f>B254*100+H254</f>
        <v/>
      </c>
      <c r="B254" s="68" t="n">
        <v>10000336</v>
      </c>
      <c r="C254" s="68">
        <f>_xlfn.XLOOKUP(B254,'Detail&lt;Child&gt;'!A:A,'Detail&lt;Child&gt;'!B:B)</f>
        <v/>
      </c>
      <c r="D254" s="68">
        <f>"character_gradeup_"&amp;$B254&amp;"_"&amp;$H254</f>
        <v/>
      </c>
      <c r="E254" s="68" t="inlineStr">
        <is>
          <t>Item</t>
        </is>
      </c>
      <c r="F254" s="68">
        <f>INT(3003&amp;RIGHT(B254,4))</f>
        <v/>
      </c>
      <c r="G254" s="68">
        <f>VLOOKUP($R254, '#등급업 재료 개수'!$A$2:$K$5, MATCH(GradeUp!H254, '#등급업 재료 개수'!$A$2:$K$2, 0), FALSE)</f>
        <v/>
      </c>
      <c r="H254" s="68" t="n">
        <v>1</v>
      </c>
      <c r="I254" s="68" t="n">
        <v>10</v>
      </c>
      <c r="J254" s="68" t="n">
        <v>0</v>
      </c>
      <c r="K254" s="68" t="n">
        <v>0</v>
      </c>
      <c r="L254" s="68" t="inlineStr">
        <is>
          <t>HpRatio</t>
        </is>
      </c>
      <c r="M254" s="68" t="n">
        <v>0</v>
      </c>
      <c r="N254" s="68" t="inlineStr">
        <is>
          <t>AtkRatio</t>
        </is>
      </c>
      <c r="O254" s="68" t="n">
        <v>0</v>
      </c>
      <c r="P254" s="68" t="inlineStr">
        <is>
          <t>DefRatio</t>
        </is>
      </c>
      <c r="Q254" s="68" t="n">
        <v>0</v>
      </c>
      <c r="R254" s="0">
        <f>_xlfn.XLOOKUP($B254, 'Detail&lt;Child&gt;'!$A:$A, 'Detail&lt;Child&gt;'!$L:$L)</f>
        <v/>
      </c>
    </row>
    <row r="255">
      <c r="A255" s="68">
        <f>B255*100+H255</f>
        <v/>
      </c>
      <c r="B255" s="68" t="n">
        <v>10000336</v>
      </c>
      <c r="C255" s="68">
        <f>_xlfn.XLOOKUP(B255,'Detail&lt;Child&gt;'!A:A,'Detail&lt;Child&gt;'!B:B)</f>
        <v/>
      </c>
      <c r="D255" s="68">
        <f>"character_gradeup_"&amp;$B255&amp;"_"&amp;$H255</f>
        <v/>
      </c>
      <c r="E255" s="68" t="inlineStr">
        <is>
          <t>Item</t>
        </is>
      </c>
      <c r="F255" s="68">
        <f>INT(3003&amp;RIGHT(B255,4))</f>
        <v/>
      </c>
      <c r="G255" s="68">
        <f>VLOOKUP($R255, '#등급업 재료 개수'!$A$2:$K$5, MATCH(GradeUp!H255, '#등급업 재료 개수'!$A$2:$K$2, 0), FALSE)</f>
        <v/>
      </c>
      <c r="H255" s="68" t="n">
        <v>2</v>
      </c>
      <c r="I255" s="68" t="n">
        <v>20</v>
      </c>
      <c r="J255" s="68" t="inlineStr">
        <is>
          <t>Active</t>
        </is>
      </c>
      <c r="K255" s="68">
        <f>_xlfn.IFNA(VLOOKUP($B255, 'Detail&lt;Child&gt;'!$A:$AW, MATCH(J255, 'Detail&lt;Child&gt;'!$3:$3,0 ), FALSE)+INT($H255/12), 0)</f>
        <v/>
      </c>
      <c r="L255" s="68" t="inlineStr">
        <is>
          <t>HpRatio</t>
        </is>
      </c>
      <c r="M255" s="68" t="n">
        <v>0</v>
      </c>
      <c r="N255" s="68" t="inlineStr">
        <is>
          <t>AtkRatio</t>
        </is>
      </c>
      <c r="O255" s="68" t="n">
        <v>0</v>
      </c>
      <c r="P255" s="68" t="inlineStr">
        <is>
          <t>DefRatio</t>
        </is>
      </c>
      <c r="Q255" s="68" t="n">
        <v>0</v>
      </c>
      <c r="R255" s="0">
        <f>_xlfn.XLOOKUP($B255, 'Detail&lt;Child&gt;'!$A:$A, 'Detail&lt;Child&gt;'!$L:$L)</f>
        <v/>
      </c>
    </row>
    <row r="256">
      <c r="A256" s="68">
        <f>B256*100+H256</f>
        <v/>
      </c>
      <c r="B256" s="68" t="n">
        <v>10000336</v>
      </c>
      <c r="C256" s="68">
        <f>_xlfn.XLOOKUP(B256,'Detail&lt;Child&gt;'!A:A,'Detail&lt;Child&gt;'!B:B)</f>
        <v/>
      </c>
      <c r="D256" s="68">
        <f>"character_gradeup_"&amp;$B256&amp;"_"&amp;$H256</f>
        <v/>
      </c>
      <c r="E256" s="68" t="inlineStr">
        <is>
          <t>Item</t>
        </is>
      </c>
      <c r="F256" s="68">
        <f>INT(3003&amp;RIGHT(B256,4))</f>
        <v/>
      </c>
      <c r="G256" s="68">
        <f>VLOOKUP($R256, '#등급업 재료 개수'!$A$2:$K$5, MATCH(GradeUp!H256, '#등급업 재료 개수'!$A$2:$K$2, 0), FALSE)</f>
        <v/>
      </c>
      <c r="H256" s="68" t="n">
        <v>3</v>
      </c>
      <c r="I256" s="68" t="n">
        <v>30</v>
      </c>
      <c r="J256" s="68" t="n">
        <v>0</v>
      </c>
      <c r="K256" s="68" t="n">
        <v>0</v>
      </c>
      <c r="L256" s="68" t="inlineStr">
        <is>
          <t>HpRatio</t>
        </is>
      </c>
      <c r="M256" s="68" t="n">
        <v>10000</v>
      </c>
      <c r="N256" s="68" t="inlineStr">
        <is>
          <t>AtkRatio</t>
        </is>
      </c>
      <c r="O256" s="68" t="n">
        <v>10000</v>
      </c>
      <c r="P256" s="68" t="inlineStr">
        <is>
          <t>DefRatio</t>
        </is>
      </c>
      <c r="Q256" s="68" t="n">
        <v>10000</v>
      </c>
      <c r="R256" s="0">
        <f>_xlfn.XLOOKUP($B256, 'Detail&lt;Child&gt;'!$A:$A, 'Detail&lt;Child&gt;'!$L:$L)</f>
        <v/>
      </c>
    </row>
    <row r="257">
      <c r="A257" s="68">
        <f>B257*100+H257</f>
        <v/>
      </c>
      <c r="B257" s="68" t="n">
        <v>10000336</v>
      </c>
      <c r="C257" s="68">
        <f>_xlfn.XLOOKUP(B257,'Detail&lt;Child&gt;'!A:A,'Detail&lt;Child&gt;'!B:B)</f>
        <v/>
      </c>
      <c r="D257" s="68">
        <f>"character_gradeup_"&amp;$B257&amp;"_"&amp;$H257</f>
        <v/>
      </c>
      <c r="E257" s="68" t="inlineStr">
        <is>
          <t>Item</t>
        </is>
      </c>
      <c r="F257" s="68">
        <f>INT(3003&amp;RIGHT(B257,4))</f>
        <v/>
      </c>
      <c r="G257" s="68">
        <f>VLOOKUP($R257, '#등급업 재료 개수'!$A$2:$K$5, MATCH(GradeUp!H257, '#등급업 재료 개수'!$A$2:$K$2, 0), FALSE)</f>
        <v/>
      </c>
      <c r="H257" s="68" t="n">
        <v>4</v>
      </c>
      <c r="I257" s="68" t="n">
        <v>40</v>
      </c>
      <c r="J257" s="68" t="inlineStr">
        <is>
          <t>Passive</t>
        </is>
      </c>
      <c r="K257" s="68">
        <f>_xlfn.IFNA(VLOOKUP($B257, 'Detail&lt;Child&gt;'!$A:$AW, MATCH(J257, 'Detail&lt;Child&gt;'!$3:$3,0 ), FALSE)+INT($H257/12), 0)</f>
        <v/>
      </c>
      <c r="L257" s="68" t="inlineStr">
        <is>
          <t>HpRatio</t>
        </is>
      </c>
      <c r="M257" s="68">
        <f>M256+10000</f>
        <v/>
      </c>
      <c r="N257" s="68" t="inlineStr">
        <is>
          <t>AtkRatio</t>
        </is>
      </c>
      <c r="O257" s="68">
        <f>O256+10000</f>
        <v/>
      </c>
      <c r="P257" s="68" t="inlineStr">
        <is>
          <t>DefRatio</t>
        </is>
      </c>
      <c r="Q257" s="68">
        <f>Q256+10000</f>
        <v/>
      </c>
      <c r="R257" s="0">
        <f>_xlfn.XLOOKUP($B257, 'Detail&lt;Child&gt;'!$A:$A, 'Detail&lt;Child&gt;'!$L:$L)</f>
        <v/>
      </c>
    </row>
    <row r="258">
      <c r="A258" s="68">
        <f>B258*100+H258</f>
        <v/>
      </c>
      <c r="B258" s="68" t="n">
        <v>10000336</v>
      </c>
      <c r="C258" s="68">
        <f>_xlfn.XLOOKUP(B258,'Detail&lt;Child&gt;'!A:A,'Detail&lt;Child&gt;'!B:B)</f>
        <v/>
      </c>
      <c r="D258" s="68">
        <f>"character_gradeup_"&amp;$B258&amp;"_"&amp;$H258</f>
        <v/>
      </c>
      <c r="E258" s="68" t="inlineStr">
        <is>
          <t>Item</t>
        </is>
      </c>
      <c r="F258" s="68">
        <f>INT(3003&amp;RIGHT(B258,4))</f>
        <v/>
      </c>
      <c r="G258" s="68">
        <f>VLOOKUP($R258, '#등급업 재료 개수'!$A$2:$K$5, MATCH(GradeUp!H258, '#등급업 재료 개수'!$A$2:$K$2, 0), FALSE)</f>
        <v/>
      </c>
      <c r="H258" s="68" t="n">
        <v>5</v>
      </c>
      <c r="I258" s="68" t="n">
        <v>50</v>
      </c>
      <c r="J258" s="68" t="inlineStr">
        <is>
          <t>Active</t>
        </is>
      </c>
      <c r="K258" s="68">
        <f>_xlfn.IFNA(VLOOKUP($B258, 'Detail&lt;Child&gt;'!$A:$AW, MATCH(J258, 'Detail&lt;Child&gt;'!$3:$3,0 ), FALSE)+INT($H258/12), 0)+1</f>
        <v/>
      </c>
      <c r="L258" s="68" t="inlineStr">
        <is>
          <t>HpRatio</t>
        </is>
      </c>
      <c r="M258" s="68">
        <f>M257+10000</f>
        <v/>
      </c>
      <c r="N258" s="68" t="inlineStr">
        <is>
          <t>AtkRatio</t>
        </is>
      </c>
      <c r="O258" s="68">
        <f>O257+10000</f>
        <v/>
      </c>
      <c r="P258" s="68" t="inlineStr">
        <is>
          <t>DefRatio</t>
        </is>
      </c>
      <c r="Q258" s="68">
        <f>Q257+10000</f>
        <v/>
      </c>
      <c r="R258" s="0">
        <f>_xlfn.XLOOKUP($B258, 'Detail&lt;Child&gt;'!$A:$A, 'Detail&lt;Child&gt;'!$L:$L)</f>
        <v/>
      </c>
    </row>
    <row r="259">
      <c r="A259" s="68">
        <f>B259*100+H259</f>
        <v/>
      </c>
      <c r="B259" s="68" t="n">
        <v>10000336</v>
      </c>
      <c r="C259" s="68">
        <f>_xlfn.XLOOKUP(B259,'Detail&lt;Child&gt;'!A:A,'Detail&lt;Child&gt;'!B:B)</f>
        <v/>
      </c>
      <c r="D259" s="68">
        <f>"character_gradeup_"&amp;$B259&amp;"_"&amp;$H259</f>
        <v/>
      </c>
      <c r="E259" s="68" t="inlineStr">
        <is>
          <t>Item</t>
        </is>
      </c>
      <c r="F259" s="68">
        <f>INT(3003&amp;RIGHT(B259,4))</f>
        <v/>
      </c>
      <c r="G259" s="68">
        <f>VLOOKUP($R259, '#등급업 재료 개수'!$A$2:$K$5, MATCH(GradeUp!H259, '#등급업 재료 개수'!$A$2:$K$2, 0), FALSE)</f>
        <v/>
      </c>
      <c r="H259" s="68" t="n">
        <v>6</v>
      </c>
      <c r="I259" s="68" t="n">
        <v>60</v>
      </c>
      <c r="J259" s="68" t="n">
        <v>0</v>
      </c>
      <c r="K259" s="68" t="n">
        <v>0</v>
      </c>
      <c r="L259" s="68" t="inlineStr">
        <is>
          <t>HpRatio</t>
        </is>
      </c>
      <c r="M259" s="68">
        <f>M258+10000</f>
        <v/>
      </c>
      <c r="N259" s="68" t="inlineStr">
        <is>
          <t>AtkRatio</t>
        </is>
      </c>
      <c r="O259" s="68">
        <f>O258+10000</f>
        <v/>
      </c>
      <c r="P259" s="68" t="inlineStr">
        <is>
          <t>DefRatio</t>
        </is>
      </c>
      <c r="Q259" s="68">
        <f>Q258+10000</f>
        <v/>
      </c>
      <c r="R259" s="0">
        <f>_xlfn.XLOOKUP($B259, 'Detail&lt;Child&gt;'!$A:$A, 'Detail&lt;Child&gt;'!$L:$L)</f>
        <v/>
      </c>
    </row>
    <row r="260">
      <c r="A260" s="68">
        <f>B260*100+H260</f>
        <v/>
      </c>
      <c r="B260" s="68" t="n">
        <v>10000336</v>
      </c>
      <c r="C260" s="68">
        <f>_xlfn.XLOOKUP(B260,'Detail&lt;Child&gt;'!A:A,'Detail&lt;Child&gt;'!B:B)</f>
        <v/>
      </c>
      <c r="D260" s="68">
        <f>"character_gradeup_"&amp;$B260&amp;"_"&amp;$H260</f>
        <v/>
      </c>
      <c r="E260" s="68" t="inlineStr">
        <is>
          <t>Item</t>
        </is>
      </c>
      <c r="F260" s="68">
        <f>INT(3003&amp;RIGHT(B260,4))</f>
        <v/>
      </c>
      <c r="G260" s="68">
        <f>VLOOKUP($R260, '#등급업 재료 개수'!$A$2:$K$5, MATCH(GradeUp!H260, '#등급업 재료 개수'!$A$2:$K$2, 0), FALSE)</f>
        <v/>
      </c>
      <c r="H260" s="68" t="n">
        <v>7</v>
      </c>
      <c r="I260" s="68" t="n">
        <v>70</v>
      </c>
      <c r="J260" s="68" t="inlineStr">
        <is>
          <t>Passive</t>
        </is>
      </c>
      <c r="K260" s="68">
        <f>_xlfn.IFNA(VLOOKUP($B260, 'Detail&lt;Child&gt;'!$A:$AW, MATCH(J260, 'Detail&lt;Child&gt;'!$3:$3,0 ), FALSE)+INT($H260/12), 0)+1</f>
        <v/>
      </c>
      <c r="L260" s="68" t="inlineStr">
        <is>
          <t>HpRatio</t>
        </is>
      </c>
      <c r="M260" s="68">
        <f>M259+10000</f>
        <v/>
      </c>
      <c r="N260" s="68" t="inlineStr">
        <is>
          <t>AtkRatio</t>
        </is>
      </c>
      <c r="O260" s="68">
        <f>O259+10000</f>
        <v/>
      </c>
      <c r="P260" s="68" t="inlineStr">
        <is>
          <t>DefRatio</t>
        </is>
      </c>
      <c r="Q260" s="68">
        <f>Q259+10000</f>
        <v/>
      </c>
      <c r="R260" s="0">
        <f>_xlfn.XLOOKUP($B260, 'Detail&lt;Child&gt;'!$A:$A, 'Detail&lt;Child&gt;'!$L:$L)</f>
        <v/>
      </c>
    </row>
    <row r="261">
      <c r="A261" s="68">
        <f>B261*100+H261</f>
        <v/>
      </c>
      <c r="B261" s="68" t="n">
        <v>10000336</v>
      </c>
      <c r="C261" s="68">
        <f>_xlfn.XLOOKUP(B261,'Detail&lt;Child&gt;'!A:A,'Detail&lt;Child&gt;'!B:B)</f>
        <v/>
      </c>
      <c r="D261" s="68">
        <f>"character_gradeup_"&amp;$B261&amp;"_"&amp;$H261</f>
        <v/>
      </c>
      <c r="E261" s="68" t="inlineStr">
        <is>
          <t>Item</t>
        </is>
      </c>
      <c r="F261" s="68">
        <f>INT(3003&amp;RIGHT(B261,4))</f>
        <v/>
      </c>
      <c r="G261" s="68">
        <f>VLOOKUP($R261, '#등급업 재료 개수'!$A$2:$K$5, MATCH(GradeUp!H261, '#등급업 재료 개수'!$A$2:$K$2, 0), FALSE)</f>
        <v/>
      </c>
      <c r="H261" s="68" t="n">
        <v>8</v>
      </c>
      <c r="I261" s="68" t="n">
        <v>80</v>
      </c>
      <c r="J261" s="68" t="n">
        <v>0</v>
      </c>
      <c r="K261" s="68" t="n">
        <v>0</v>
      </c>
      <c r="L261" s="68" t="inlineStr">
        <is>
          <t>HpRatio</t>
        </is>
      </c>
      <c r="M261" s="68">
        <f>M260+10000</f>
        <v/>
      </c>
      <c r="N261" s="68" t="inlineStr">
        <is>
          <t>AtkRatio</t>
        </is>
      </c>
      <c r="O261" s="68">
        <f>O260+10000</f>
        <v/>
      </c>
      <c r="P261" s="68" t="inlineStr">
        <is>
          <t>DefRatio</t>
        </is>
      </c>
      <c r="Q261" s="68">
        <f>Q260+10000</f>
        <v/>
      </c>
      <c r="R261" s="0">
        <f>_xlfn.XLOOKUP($B261, 'Detail&lt;Child&gt;'!$A:$A, 'Detail&lt;Child&gt;'!$L:$L)</f>
        <v/>
      </c>
    </row>
    <row r="262">
      <c r="A262" s="68">
        <f>B262*100+H262</f>
        <v/>
      </c>
      <c r="B262" s="68" t="n">
        <v>10000336</v>
      </c>
      <c r="C262" s="68">
        <f>_xlfn.XLOOKUP(B262,'Detail&lt;Child&gt;'!A:A,'Detail&lt;Child&gt;'!B:B)</f>
        <v/>
      </c>
      <c r="D262" s="68">
        <f>"character_gradeup_"&amp;$B262&amp;"_"&amp;$H262</f>
        <v/>
      </c>
      <c r="E262" s="68" t="inlineStr">
        <is>
          <t>Item</t>
        </is>
      </c>
      <c r="F262" s="68">
        <f>INT(3003&amp;RIGHT(B262,4))</f>
        <v/>
      </c>
      <c r="G262" s="68">
        <f>VLOOKUP($R262, '#등급업 재료 개수'!$A$2:$K$5, MATCH(GradeUp!H262, '#등급업 재료 개수'!$A$2:$K$2, 0), FALSE)</f>
        <v/>
      </c>
      <c r="H262" s="68" t="n">
        <v>9</v>
      </c>
      <c r="I262" s="68" t="n">
        <v>90</v>
      </c>
      <c r="J262" s="68" t="inlineStr">
        <is>
          <t>Ultimate</t>
        </is>
      </c>
      <c r="K262" s="68">
        <f>_xlfn.IFNA(VLOOKUP($B262, 'Detail&lt;Child&gt;'!$A:$AW, MATCH(J262, 'Detail&lt;Child&gt;'!$3:$3,0 ), FALSE)+INT($H262/12), 0)+1</f>
        <v/>
      </c>
      <c r="L262" s="68" t="inlineStr">
        <is>
          <t>HpRatio</t>
        </is>
      </c>
      <c r="M262" s="68">
        <f>M261+10000</f>
        <v/>
      </c>
      <c r="N262" s="68" t="inlineStr">
        <is>
          <t>AtkRatio</t>
        </is>
      </c>
      <c r="O262" s="68">
        <f>O261+10000</f>
        <v/>
      </c>
      <c r="P262" s="68" t="inlineStr">
        <is>
          <t>DefRatio</t>
        </is>
      </c>
      <c r="Q262" s="68">
        <f>Q261+10000</f>
        <v/>
      </c>
      <c r="R262" s="0">
        <f>_xlfn.XLOOKUP($B262, 'Detail&lt;Child&gt;'!$A:$A, 'Detail&lt;Child&gt;'!$L:$L)</f>
        <v/>
      </c>
    </row>
    <row r="263">
      <c r="A263" s="68">
        <f>B263*100+H263</f>
        <v/>
      </c>
      <c r="B263" s="68" t="n">
        <v>10000336</v>
      </c>
      <c r="C263" s="68">
        <f>_xlfn.XLOOKUP(B263,'Detail&lt;Child&gt;'!A:A,'Detail&lt;Child&gt;'!B:B)</f>
        <v/>
      </c>
      <c r="D263" s="68">
        <f>"character_gradeup_"&amp;$B263&amp;"_"&amp;$H263</f>
        <v/>
      </c>
      <c r="E263" s="68" t="inlineStr">
        <is>
          <t>Item</t>
        </is>
      </c>
      <c r="F263" s="68">
        <f>INT(3003&amp;RIGHT(B263,4))</f>
        <v/>
      </c>
      <c r="G263" s="68">
        <f>VLOOKUP($R263, '#등급업 재료 개수'!$A$2:$K$5, MATCH(GradeUp!H263, '#등급업 재료 개수'!$A$2:$K$2, 0), FALSE)</f>
        <v/>
      </c>
      <c r="H263" s="68" t="n">
        <v>10</v>
      </c>
      <c r="I263" s="68" t="n">
        <v>100</v>
      </c>
      <c r="J263" s="68" t="n">
        <v>0</v>
      </c>
      <c r="K263" s="68" t="n">
        <v>0</v>
      </c>
      <c r="L263" s="68" t="inlineStr">
        <is>
          <t>HpRatio</t>
        </is>
      </c>
      <c r="M263" s="68">
        <f>M262+10000</f>
        <v/>
      </c>
      <c r="N263" s="68" t="inlineStr">
        <is>
          <t>AtkRatio</t>
        </is>
      </c>
      <c r="O263" s="68">
        <f>O262+10000</f>
        <v/>
      </c>
      <c r="P263" s="68" t="inlineStr">
        <is>
          <t>DefRatio</t>
        </is>
      </c>
      <c r="Q263" s="68">
        <f>Q262+10000</f>
        <v/>
      </c>
      <c r="R263" s="0">
        <f>_xlfn.XLOOKUP($B263, 'Detail&lt;Child&gt;'!$A:$A, 'Detail&lt;Child&gt;'!$L:$L)</f>
        <v/>
      </c>
    </row>
    <row r="264">
      <c r="A264" s="68">
        <f>B264*100+H264</f>
        <v/>
      </c>
      <c r="B264" s="68" t="n">
        <v>10000445</v>
      </c>
      <c r="C264" s="68">
        <f>_xlfn.XLOOKUP(B264,'Detail&lt;Child&gt;'!A:A,'Detail&lt;Child&gt;'!B:B)</f>
        <v/>
      </c>
      <c r="D264" s="68">
        <f>"character_gradeup_"&amp;$B264&amp;"_"&amp;$H264</f>
        <v/>
      </c>
      <c r="E264" s="68" t="inlineStr">
        <is>
          <t>Item</t>
        </is>
      </c>
      <c r="F264" s="68">
        <f>INT(3003&amp;RIGHT(B264,4))</f>
        <v/>
      </c>
      <c r="G264" s="68">
        <f>VLOOKUP($R264, '#등급업 재료 개수'!$A$2:$K$5, MATCH(GradeUp!H264, '#등급업 재료 개수'!$A$2:$K$2, 0), FALSE)</f>
        <v/>
      </c>
      <c r="H264" s="68" t="n">
        <v>1</v>
      </c>
      <c r="I264" s="68" t="n">
        <v>10</v>
      </c>
      <c r="J264" s="68" t="n">
        <v>0</v>
      </c>
      <c r="K264" s="68" t="n">
        <v>0</v>
      </c>
      <c r="L264" s="68" t="inlineStr">
        <is>
          <t>HpRatio</t>
        </is>
      </c>
      <c r="M264" s="68" t="n">
        <v>0</v>
      </c>
      <c r="N264" s="68" t="inlineStr">
        <is>
          <t>AtkRatio</t>
        </is>
      </c>
      <c r="O264" s="68" t="n">
        <v>0</v>
      </c>
      <c r="P264" s="68" t="inlineStr">
        <is>
          <t>DefRatio</t>
        </is>
      </c>
      <c r="Q264" s="68" t="n">
        <v>0</v>
      </c>
      <c r="R264" s="0">
        <f>_xlfn.XLOOKUP($B264, 'Detail&lt;Child&gt;'!$A:$A, 'Detail&lt;Child&gt;'!$L:$L)</f>
        <v/>
      </c>
    </row>
    <row r="265">
      <c r="A265" s="68">
        <f>B265*100+H265</f>
        <v/>
      </c>
      <c r="B265" s="68" t="n">
        <v>10000445</v>
      </c>
      <c r="C265" s="68">
        <f>_xlfn.XLOOKUP(B265,'Detail&lt;Child&gt;'!A:A,'Detail&lt;Child&gt;'!B:B)</f>
        <v/>
      </c>
      <c r="D265" s="68">
        <f>"character_gradeup_"&amp;$B265&amp;"_"&amp;$H265</f>
        <v/>
      </c>
      <c r="E265" s="68" t="inlineStr">
        <is>
          <t>Item</t>
        </is>
      </c>
      <c r="F265" s="68">
        <f>INT(3003&amp;RIGHT(B265,4))</f>
        <v/>
      </c>
      <c r="G265" s="68">
        <f>VLOOKUP($R265, '#등급업 재료 개수'!$A$2:$K$5, MATCH(GradeUp!H265, '#등급업 재료 개수'!$A$2:$K$2, 0), FALSE)</f>
        <v/>
      </c>
      <c r="H265" s="68" t="n">
        <v>2</v>
      </c>
      <c r="I265" s="68" t="n">
        <v>20</v>
      </c>
      <c r="J265" s="68" t="inlineStr">
        <is>
          <t>Active</t>
        </is>
      </c>
      <c r="K265" s="68">
        <f>_xlfn.IFNA(VLOOKUP($B265, 'Detail&lt;Child&gt;'!$A:$AW, MATCH(J265, 'Detail&lt;Child&gt;'!$3:$3,0 ), FALSE)+INT($H265/12), 0)</f>
        <v/>
      </c>
      <c r="L265" s="68" t="inlineStr">
        <is>
          <t>HpRatio</t>
        </is>
      </c>
      <c r="M265" s="68" t="n">
        <v>0</v>
      </c>
      <c r="N265" s="68" t="inlineStr">
        <is>
          <t>AtkRatio</t>
        </is>
      </c>
      <c r="O265" s="68" t="n">
        <v>0</v>
      </c>
      <c r="P265" s="68" t="inlineStr">
        <is>
          <t>DefRatio</t>
        </is>
      </c>
      <c r="Q265" s="68" t="n">
        <v>0</v>
      </c>
      <c r="R265" s="0">
        <f>_xlfn.XLOOKUP($B265, 'Detail&lt;Child&gt;'!$A:$A, 'Detail&lt;Child&gt;'!$L:$L)</f>
        <v/>
      </c>
    </row>
    <row r="266">
      <c r="A266" s="68">
        <f>B266*100+H266</f>
        <v/>
      </c>
      <c r="B266" s="68" t="n">
        <v>10000445</v>
      </c>
      <c r="C266" s="68">
        <f>_xlfn.XLOOKUP(B266,'Detail&lt;Child&gt;'!A:A,'Detail&lt;Child&gt;'!B:B)</f>
        <v/>
      </c>
      <c r="D266" s="68">
        <f>"character_gradeup_"&amp;$B266&amp;"_"&amp;$H266</f>
        <v/>
      </c>
      <c r="E266" s="68" t="inlineStr">
        <is>
          <t>Item</t>
        </is>
      </c>
      <c r="F266" s="68">
        <f>INT(3003&amp;RIGHT(B266,4))</f>
        <v/>
      </c>
      <c r="G266" s="68">
        <f>VLOOKUP($R266, '#등급업 재료 개수'!$A$2:$K$5, MATCH(GradeUp!H266, '#등급업 재료 개수'!$A$2:$K$2, 0), FALSE)</f>
        <v/>
      </c>
      <c r="H266" s="68" t="n">
        <v>3</v>
      </c>
      <c r="I266" s="68" t="n">
        <v>30</v>
      </c>
      <c r="J266" s="68" t="n">
        <v>0</v>
      </c>
      <c r="K266" s="68" t="n">
        <v>0</v>
      </c>
      <c r="L266" s="68" t="inlineStr">
        <is>
          <t>HpRatio</t>
        </is>
      </c>
      <c r="M266" s="68" t="n">
        <v>10000</v>
      </c>
      <c r="N266" s="68" t="inlineStr">
        <is>
          <t>AtkRatio</t>
        </is>
      </c>
      <c r="O266" s="68" t="n">
        <v>10000</v>
      </c>
      <c r="P266" s="68" t="inlineStr">
        <is>
          <t>DefRatio</t>
        </is>
      </c>
      <c r="Q266" s="68" t="n">
        <v>10000</v>
      </c>
      <c r="R266" s="0">
        <f>_xlfn.XLOOKUP($B266, 'Detail&lt;Child&gt;'!$A:$A, 'Detail&lt;Child&gt;'!$L:$L)</f>
        <v/>
      </c>
    </row>
    <row r="267">
      <c r="A267" s="68">
        <f>B267*100+H267</f>
        <v/>
      </c>
      <c r="B267" s="68" t="n">
        <v>10000445</v>
      </c>
      <c r="C267" s="68">
        <f>_xlfn.XLOOKUP(B267,'Detail&lt;Child&gt;'!A:A,'Detail&lt;Child&gt;'!B:B)</f>
        <v/>
      </c>
      <c r="D267" s="68">
        <f>"character_gradeup_"&amp;$B267&amp;"_"&amp;$H267</f>
        <v/>
      </c>
      <c r="E267" s="68" t="inlineStr">
        <is>
          <t>Item</t>
        </is>
      </c>
      <c r="F267" s="68">
        <f>INT(3003&amp;RIGHT(B267,4))</f>
        <v/>
      </c>
      <c r="G267" s="68">
        <f>VLOOKUP($R267, '#등급업 재료 개수'!$A$2:$K$5, MATCH(GradeUp!H267, '#등급업 재료 개수'!$A$2:$K$2, 0), FALSE)</f>
        <v/>
      </c>
      <c r="H267" s="68" t="n">
        <v>4</v>
      </c>
      <c r="I267" s="68" t="n">
        <v>40</v>
      </c>
      <c r="J267" s="68" t="inlineStr">
        <is>
          <t>Passive</t>
        </is>
      </c>
      <c r="K267" s="68">
        <f>_xlfn.IFNA(VLOOKUP($B267, 'Detail&lt;Child&gt;'!$A:$AW, MATCH(J267, 'Detail&lt;Child&gt;'!$3:$3,0 ), FALSE)+INT($H267/12), 0)</f>
        <v/>
      </c>
      <c r="L267" s="68" t="inlineStr">
        <is>
          <t>HpRatio</t>
        </is>
      </c>
      <c r="M267" s="68">
        <f>M266+10000</f>
        <v/>
      </c>
      <c r="N267" s="68" t="inlineStr">
        <is>
          <t>AtkRatio</t>
        </is>
      </c>
      <c r="O267" s="68">
        <f>O266+10000</f>
        <v/>
      </c>
      <c r="P267" s="68" t="inlineStr">
        <is>
          <t>DefRatio</t>
        </is>
      </c>
      <c r="Q267" s="68">
        <f>Q266+10000</f>
        <v/>
      </c>
      <c r="R267" s="0">
        <f>_xlfn.XLOOKUP($B267, 'Detail&lt;Child&gt;'!$A:$A, 'Detail&lt;Child&gt;'!$L:$L)</f>
        <v/>
      </c>
    </row>
    <row r="268">
      <c r="A268" s="68">
        <f>B268*100+H268</f>
        <v/>
      </c>
      <c r="B268" s="68" t="n">
        <v>10000445</v>
      </c>
      <c r="C268" s="68">
        <f>_xlfn.XLOOKUP(B268,'Detail&lt;Child&gt;'!A:A,'Detail&lt;Child&gt;'!B:B)</f>
        <v/>
      </c>
      <c r="D268" s="68">
        <f>"character_gradeup_"&amp;$B268&amp;"_"&amp;$H268</f>
        <v/>
      </c>
      <c r="E268" s="68" t="inlineStr">
        <is>
          <t>Item</t>
        </is>
      </c>
      <c r="F268" s="68">
        <f>INT(3003&amp;RIGHT(B268,4))</f>
        <v/>
      </c>
      <c r="G268" s="68">
        <f>VLOOKUP($R268, '#등급업 재료 개수'!$A$2:$K$5, MATCH(GradeUp!H268, '#등급업 재료 개수'!$A$2:$K$2, 0), FALSE)</f>
        <v/>
      </c>
      <c r="H268" s="68" t="n">
        <v>5</v>
      </c>
      <c r="I268" s="68" t="n">
        <v>50</v>
      </c>
      <c r="J268" s="68" t="inlineStr">
        <is>
          <t>Active</t>
        </is>
      </c>
      <c r="K268" s="68">
        <f>_xlfn.IFNA(VLOOKUP($B268, 'Detail&lt;Child&gt;'!$A:$AW, MATCH(J268, 'Detail&lt;Child&gt;'!$3:$3,0 ), FALSE)+INT($H268/12), 0)+1</f>
        <v/>
      </c>
      <c r="L268" s="68" t="inlineStr">
        <is>
          <t>HpRatio</t>
        </is>
      </c>
      <c r="M268" s="68">
        <f>M267+10000</f>
        <v/>
      </c>
      <c r="N268" s="68" t="inlineStr">
        <is>
          <t>AtkRatio</t>
        </is>
      </c>
      <c r="O268" s="68">
        <f>O267+10000</f>
        <v/>
      </c>
      <c r="P268" s="68" t="inlineStr">
        <is>
          <t>DefRatio</t>
        </is>
      </c>
      <c r="Q268" s="68">
        <f>Q267+10000</f>
        <v/>
      </c>
      <c r="R268" s="0">
        <f>_xlfn.XLOOKUP($B268, 'Detail&lt;Child&gt;'!$A:$A, 'Detail&lt;Child&gt;'!$L:$L)</f>
        <v/>
      </c>
    </row>
    <row r="269">
      <c r="A269" s="68">
        <f>B269*100+H269</f>
        <v/>
      </c>
      <c r="B269" s="68" t="n">
        <v>10000445</v>
      </c>
      <c r="C269" s="68">
        <f>_xlfn.XLOOKUP(B269,'Detail&lt;Child&gt;'!A:A,'Detail&lt;Child&gt;'!B:B)</f>
        <v/>
      </c>
      <c r="D269" s="68">
        <f>"character_gradeup_"&amp;$B269&amp;"_"&amp;$H269</f>
        <v/>
      </c>
      <c r="E269" s="68" t="inlineStr">
        <is>
          <t>Item</t>
        </is>
      </c>
      <c r="F269" s="68">
        <f>INT(3003&amp;RIGHT(B269,4))</f>
        <v/>
      </c>
      <c r="G269" s="68">
        <f>VLOOKUP($R269, '#등급업 재료 개수'!$A$2:$K$5, MATCH(GradeUp!H269, '#등급업 재료 개수'!$A$2:$K$2, 0), FALSE)</f>
        <v/>
      </c>
      <c r="H269" s="68" t="n">
        <v>6</v>
      </c>
      <c r="I269" s="68" t="n">
        <v>60</v>
      </c>
      <c r="J269" s="68" t="n">
        <v>0</v>
      </c>
      <c r="K269" s="68" t="n">
        <v>0</v>
      </c>
      <c r="L269" s="68" t="inlineStr">
        <is>
          <t>HpRatio</t>
        </is>
      </c>
      <c r="M269" s="68">
        <f>M268+10000</f>
        <v/>
      </c>
      <c r="N269" s="68" t="inlineStr">
        <is>
          <t>AtkRatio</t>
        </is>
      </c>
      <c r="O269" s="68">
        <f>O268+10000</f>
        <v/>
      </c>
      <c r="P269" s="68" t="inlineStr">
        <is>
          <t>DefRatio</t>
        </is>
      </c>
      <c r="Q269" s="68">
        <f>Q268+10000</f>
        <v/>
      </c>
      <c r="R269" s="0">
        <f>_xlfn.XLOOKUP($B269, 'Detail&lt;Child&gt;'!$A:$A, 'Detail&lt;Child&gt;'!$L:$L)</f>
        <v/>
      </c>
    </row>
    <row r="270">
      <c r="A270" s="68">
        <f>B270*100+H270</f>
        <v/>
      </c>
      <c r="B270" s="68" t="n">
        <v>10000445</v>
      </c>
      <c r="C270" s="68">
        <f>_xlfn.XLOOKUP(B270,'Detail&lt;Child&gt;'!A:A,'Detail&lt;Child&gt;'!B:B)</f>
        <v/>
      </c>
      <c r="D270" s="68">
        <f>"character_gradeup_"&amp;$B270&amp;"_"&amp;$H270</f>
        <v/>
      </c>
      <c r="E270" s="68" t="inlineStr">
        <is>
          <t>Item</t>
        </is>
      </c>
      <c r="F270" s="68">
        <f>INT(3003&amp;RIGHT(B270,4))</f>
        <v/>
      </c>
      <c r="G270" s="68">
        <f>VLOOKUP($R270, '#등급업 재료 개수'!$A$2:$K$5, MATCH(GradeUp!H270, '#등급업 재료 개수'!$A$2:$K$2, 0), FALSE)</f>
        <v/>
      </c>
      <c r="H270" s="68" t="n">
        <v>7</v>
      </c>
      <c r="I270" s="68" t="n">
        <v>70</v>
      </c>
      <c r="J270" s="68" t="inlineStr">
        <is>
          <t>Passive</t>
        </is>
      </c>
      <c r="K270" s="68">
        <f>_xlfn.IFNA(VLOOKUP($B270, 'Detail&lt;Child&gt;'!$A:$AW, MATCH(J270, 'Detail&lt;Child&gt;'!$3:$3,0 ), FALSE)+INT($H270/12), 0)+1</f>
        <v/>
      </c>
      <c r="L270" s="68" t="inlineStr">
        <is>
          <t>HpRatio</t>
        </is>
      </c>
      <c r="M270" s="68">
        <f>M269+10000</f>
        <v/>
      </c>
      <c r="N270" s="68" t="inlineStr">
        <is>
          <t>AtkRatio</t>
        </is>
      </c>
      <c r="O270" s="68">
        <f>O269+10000</f>
        <v/>
      </c>
      <c r="P270" s="68" t="inlineStr">
        <is>
          <t>DefRatio</t>
        </is>
      </c>
      <c r="Q270" s="68">
        <f>Q269+10000</f>
        <v/>
      </c>
      <c r="R270" s="0">
        <f>_xlfn.XLOOKUP($B270, 'Detail&lt;Child&gt;'!$A:$A, 'Detail&lt;Child&gt;'!$L:$L)</f>
        <v/>
      </c>
    </row>
    <row r="271">
      <c r="A271" s="68">
        <f>B271*100+H271</f>
        <v/>
      </c>
      <c r="B271" s="68" t="n">
        <v>10000445</v>
      </c>
      <c r="C271" s="68">
        <f>_xlfn.XLOOKUP(B271,'Detail&lt;Child&gt;'!A:A,'Detail&lt;Child&gt;'!B:B)</f>
        <v/>
      </c>
      <c r="D271" s="68">
        <f>"character_gradeup_"&amp;$B271&amp;"_"&amp;$H271</f>
        <v/>
      </c>
      <c r="E271" s="68" t="inlineStr">
        <is>
          <t>Item</t>
        </is>
      </c>
      <c r="F271" s="68">
        <f>INT(3003&amp;RIGHT(B271,4))</f>
        <v/>
      </c>
      <c r="G271" s="68">
        <f>VLOOKUP($R271, '#등급업 재료 개수'!$A$2:$K$5, MATCH(GradeUp!H271, '#등급업 재료 개수'!$A$2:$K$2, 0), FALSE)</f>
        <v/>
      </c>
      <c r="H271" s="68" t="n">
        <v>8</v>
      </c>
      <c r="I271" s="68" t="n">
        <v>80</v>
      </c>
      <c r="J271" s="68" t="n">
        <v>0</v>
      </c>
      <c r="K271" s="68" t="n">
        <v>0</v>
      </c>
      <c r="L271" s="68" t="inlineStr">
        <is>
          <t>HpRatio</t>
        </is>
      </c>
      <c r="M271" s="68">
        <f>M270+10000</f>
        <v/>
      </c>
      <c r="N271" s="68" t="inlineStr">
        <is>
          <t>AtkRatio</t>
        </is>
      </c>
      <c r="O271" s="68">
        <f>O270+10000</f>
        <v/>
      </c>
      <c r="P271" s="68" t="inlineStr">
        <is>
          <t>DefRatio</t>
        </is>
      </c>
      <c r="Q271" s="68">
        <f>Q270+10000</f>
        <v/>
      </c>
      <c r="R271" s="0">
        <f>_xlfn.XLOOKUP($B271, 'Detail&lt;Child&gt;'!$A:$A, 'Detail&lt;Child&gt;'!$L:$L)</f>
        <v/>
      </c>
    </row>
    <row r="272">
      <c r="A272" s="68">
        <f>B272*100+H272</f>
        <v/>
      </c>
      <c r="B272" s="68" t="n">
        <v>10000445</v>
      </c>
      <c r="C272" s="68">
        <f>_xlfn.XLOOKUP(B272,'Detail&lt;Child&gt;'!A:A,'Detail&lt;Child&gt;'!B:B)</f>
        <v/>
      </c>
      <c r="D272" s="68">
        <f>"character_gradeup_"&amp;$B272&amp;"_"&amp;$H272</f>
        <v/>
      </c>
      <c r="E272" s="68" t="inlineStr">
        <is>
          <t>Item</t>
        </is>
      </c>
      <c r="F272" s="68">
        <f>INT(3003&amp;RIGHT(B272,4))</f>
        <v/>
      </c>
      <c r="G272" s="68">
        <f>VLOOKUP($R272, '#등급업 재료 개수'!$A$2:$K$5, MATCH(GradeUp!H272, '#등급업 재료 개수'!$A$2:$K$2, 0), FALSE)</f>
        <v/>
      </c>
      <c r="H272" s="68" t="n">
        <v>9</v>
      </c>
      <c r="I272" s="68" t="n">
        <v>90</v>
      </c>
      <c r="J272" s="68" t="inlineStr">
        <is>
          <t>Ultimate</t>
        </is>
      </c>
      <c r="K272" s="68">
        <f>_xlfn.IFNA(VLOOKUP($B272, 'Detail&lt;Child&gt;'!$A:$AW, MATCH(J272, 'Detail&lt;Child&gt;'!$3:$3,0 ), FALSE)+INT($H272/12), 0)+1</f>
        <v/>
      </c>
      <c r="L272" s="68" t="inlineStr">
        <is>
          <t>HpRatio</t>
        </is>
      </c>
      <c r="M272" s="68">
        <f>M271+10000</f>
        <v/>
      </c>
      <c r="N272" s="68" t="inlineStr">
        <is>
          <t>AtkRatio</t>
        </is>
      </c>
      <c r="O272" s="68">
        <f>O271+10000</f>
        <v/>
      </c>
      <c r="P272" s="68" t="inlineStr">
        <is>
          <t>DefRatio</t>
        </is>
      </c>
      <c r="Q272" s="68">
        <f>Q271+10000</f>
        <v/>
      </c>
      <c r="R272" s="0">
        <f>_xlfn.XLOOKUP($B272, 'Detail&lt;Child&gt;'!$A:$A, 'Detail&lt;Child&gt;'!$L:$L)</f>
        <v/>
      </c>
    </row>
    <row r="273">
      <c r="A273" s="68">
        <f>B273*100+H273</f>
        <v/>
      </c>
      <c r="B273" s="68" t="n">
        <v>10000445</v>
      </c>
      <c r="C273" s="68">
        <f>_xlfn.XLOOKUP(B273,'Detail&lt;Child&gt;'!A:A,'Detail&lt;Child&gt;'!B:B)</f>
        <v/>
      </c>
      <c r="D273" s="68">
        <f>"character_gradeup_"&amp;$B273&amp;"_"&amp;$H273</f>
        <v/>
      </c>
      <c r="E273" s="68" t="inlineStr">
        <is>
          <t>Item</t>
        </is>
      </c>
      <c r="F273" s="68">
        <f>INT(3003&amp;RIGHT(B273,4))</f>
        <v/>
      </c>
      <c r="G273" s="68">
        <f>VLOOKUP($R273, '#등급업 재료 개수'!$A$2:$K$5, MATCH(GradeUp!H273, '#등급업 재료 개수'!$A$2:$K$2, 0), FALSE)</f>
        <v/>
      </c>
      <c r="H273" s="68" t="n">
        <v>10</v>
      </c>
      <c r="I273" s="68" t="n">
        <v>100</v>
      </c>
      <c r="J273" s="68" t="n">
        <v>0</v>
      </c>
      <c r="K273" s="68" t="n">
        <v>0</v>
      </c>
      <c r="L273" s="68" t="inlineStr">
        <is>
          <t>HpRatio</t>
        </is>
      </c>
      <c r="M273" s="68">
        <f>M272+10000</f>
        <v/>
      </c>
      <c r="N273" s="68" t="inlineStr">
        <is>
          <t>AtkRatio</t>
        </is>
      </c>
      <c r="O273" s="68">
        <f>O272+10000</f>
        <v/>
      </c>
      <c r="P273" s="68" t="inlineStr">
        <is>
          <t>DefRatio</t>
        </is>
      </c>
      <c r="Q273" s="68">
        <f>Q272+10000</f>
        <v/>
      </c>
      <c r="R273" s="0">
        <f>_xlfn.XLOOKUP($B273, 'Detail&lt;Child&gt;'!$A:$A, 'Detail&lt;Child&gt;'!$L:$L)</f>
        <v/>
      </c>
    </row>
    <row r="274">
      <c r="A274" s="68">
        <f>B274*100+H274</f>
        <v/>
      </c>
      <c r="B274" s="68" t="n">
        <v>10000461</v>
      </c>
      <c r="C274" s="68">
        <f>_xlfn.XLOOKUP(B274,'Detail&lt;Child&gt;'!A:A,'Detail&lt;Child&gt;'!B:B)</f>
        <v/>
      </c>
      <c r="D274" s="68">
        <f>"character_gradeup_"&amp;$B274&amp;"_"&amp;$H274</f>
        <v/>
      </c>
      <c r="E274" s="68" t="inlineStr">
        <is>
          <t>Item</t>
        </is>
      </c>
      <c r="F274" s="68">
        <f>INT(3003&amp;RIGHT(B274,4))</f>
        <v/>
      </c>
      <c r="G274" s="68">
        <f>VLOOKUP($R274, '#등급업 재료 개수'!$A$2:$K$5, MATCH(GradeUp!H274, '#등급업 재료 개수'!$A$2:$K$2, 0), FALSE)</f>
        <v/>
      </c>
      <c r="H274" s="68" t="n">
        <v>1</v>
      </c>
      <c r="I274" s="68" t="n">
        <v>10</v>
      </c>
      <c r="J274" s="68" t="n">
        <v>0</v>
      </c>
      <c r="K274" s="68" t="n">
        <v>0</v>
      </c>
      <c r="L274" s="68" t="inlineStr">
        <is>
          <t>HpRatio</t>
        </is>
      </c>
      <c r="M274" s="68" t="n">
        <v>0</v>
      </c>
      <c r="N274" s="68" t="inlineStr">
        <is>
          <t>AtkRatio</t>
        </is>
      </c>
      <c r="O274" s="68" t="n">
        <v>0</v>
      </c>
      <c r="P274" s="68" t="inlineStr">
        <is>
          <t>DefRatio</t>
        </is>
      </c>
      <c r="Q274" s="68" t="n">
        <v>0</v>
      </c>
      <c r="R274" s="0">
        <f>_xlfn.XLOOKUP($B274, 'Detail&lt;Child&gt;'!$A:$A, 'Detail&lt;Child&gt;'!$L:$L)</f>
        <v/>
      </c>
    </row>
    <row r="275">
      <c r="A275" s="68">
        <f>B275*100+H275</f>
        <v/>
      </c>
      <c r="B275" s="68" t="n">
        <v>10000461</v>
      </c>
      <c r="C275" s="68">
        <f>_xlfn.XLOOKUP(B275,'Detail&lt;Child&gt;'!A:A,'Detail&lt;Child&gt;'!B:B)</f>
        <v/>
      </c>
      <c r="D275" s="68">
        <f>"character_gradeup_"&amp;$B275&amp;"_"&amp;$H275</f>
        <v/>
      </c>
      <c r="E275" s="68" t="inlineStr">
        <is>
          <t>Item</t>
        </is>
      </c>
      <c r="F275" s="68">
        <f>INT(3003&amp;RIGHT(B275,4))</f>
        <v/>
      </c>
      <c r="G275" s="68">
        <f>VLOOKUP($R275, '#등급업 재료 개수'!$A$2:$K$5, MATCH(GradeUp!H275, '#등급업 재료 개수'!$A$2:$K$2, 0), FALSE)</f>
        <v/>
      </c>
      <c r="H275" s="68" t="n">
        <v>2</v>
      </c>
      <c r="I275" s="68" t="n">
        <v>20</v>
      </c>
      <c r="J275" s="68" t="inlineStr">
        <is>
          <t>Active</t>
        </is>
      </c>
      <c r="K275" s="68">
        <f>_xlfn.IFNA(VLOOKUP($B275, 'Detail&lt;Child&gt;'!$A:$AW, MATCH(J275, 'Detail&lt;Child&gt;'!$3:$3,0 ), FALSE)+INT($H275/12), 0)</f>
        <v/>
      </c>
      <c r="L275" s="68" t="inlineStr">
        <is>
          <t>HpRatio</t>
        </is>
      </c>
      <c r="M275" s="68" t="n">
        <v>0</v>
      </c>
      <c r="N275" s="68" t="inlineStr">
        <is>
          <t>AtkRatio</t>
        </is>
      </c>
      <c r="O275" s="68" t="n">
        <v>0</v>
      </c>
      <c r="P275" s="68" t="inlineStr">
        <is>
          <t>DefRatio</t>
        </is>
      </c>
      <c r="Q275" s="68" t="n">
        <v>0</v>
      </c>
      <c r="R275" s="0">
        <f>_xlfn.XLOOKUP($B275, 'Detail&lt;Child&gt;'!$A:$A, 'Detail&lt;Child&gt;'!$L:$L)</f>
        <v/>
      </c>
    </row>
    <row r="276">
      <c r="A276" s="68">
        <f>B276*100+H276</f>
        <v/>
      </c>
      <c r="B276" s="68" t="n">
        <v>10000461</v>
      </c>
      <c r="C276" s="68">
        <f>_xlfn.XLOOKUP(B276,'Detail&lt;Child&gt;'!A:A,'Detail&lt;Child&gt;'!B:B)</f>
        <v/>
      </c>
      <c r="D276" s="68">
        <f>"character_gradeup_"&amp;$B276&amp;"_"&amp;$H276</f>
        <v/>
      </c>
      <c r="E276" s="68" t="inlineStr">
        <is>
          <t>Item</t>
        </is>
      </c>
      <c r="F276" s="68">
        <f>INT(3003&amp;RIGHT(B276,4))</f>
        <v/>
      </c>
      <c r="G276" s="68">
        <f>VLOOKUP($R276, '#등급업 재료 개수'!$A$2:$K$5, MATCH(GradeUp!H276, '#등급업 재료 개수'!$A$2:$K$2, 0), FALSE)</f>
        <v/>
      </c>
      <c r="H276" s="68" t="n">
        <v>3</v>
      </c>
      <c r="I276" s="68" t="n">
        <v>30</v>
      </c>
      <c r="J276" s="68" t="n">
        <v>0</v>
      </c>
      <c r="K276" s="68" t="n">
        <v>0</v>
      </c>
      <c r="L276" s="68" t="inlineStr">
        <is>
          <t>HpRatio</t>
        </is>
      </c>
      <c r="M276" s="68" t="n">
        <v>10000</v>
      </c>
      <c r="N276" s="68" t="inlineStr">
        <is>
          <t>AtkRatio</t>
        </is>
      </c>
      <c r="O276" s="68" t="n">
        <v>10000</v>
      </c>
      <c r="P276" s="68" t="inlineStr">
        <is>
          <t>DefRatio</t>
        </is>
      </c>
      <c r="Q276" s="68" t="n">
        <v>10000</v>
      </c>
      <c r="R276" s="0">
        <f>_xlfn.XLOOKUP($B276, 'Detail&lt;Child&gt;'!$A:$A, 'Detail&lt;Child&gt;'!$L:$L)</f>
        <v/>
      </c>
    </row>
    <row r="277">
      <c r="A277" s="68">
        <f>B277*100+H277</f>
        <v/>
      </c>
      <c r="B277" s="68" t="n">
        <v>10000461</v>
      </c>
      <c r="C277" s="68">
        <f>_xlfn.XLOOKUP(B277,'Detail&lt;Child&gt;'!A:A,'Detail&lt;Child&gt;'!B:B)</f>
        <v/>
      </c>
      <c r="D277" s="68">
        <f>"character_gradeup_"&amp;$B277&amp;"_"&amp;$H277</f>
        <v/>
      </c>
      <c r="E277" s="68" t="inlineStr">
        <is>
          <t>Item</t>
        </is>
      </c>
      <c r="F277" s="68">
        <f>INT(3003&amp;RIGHT(B277,4))</f>
        <v/>
      </c>
      <c r="G277" s="68">
        <f>VLOOKUP($R277, '#등급업 재료 개수'!$A$2:$K$5, MATCH(GradeUp!H277, '#등급업 재료 개수'!$A$2:$K$2, 0), FALSE)</f>
        <v/>
      </c>
      <c r="H277" s="68" t="n">
        <v>4</v>
      </c>
      <c r="I277" s="68" t="n">
        <v>40</v>
      </c>
      <c r="J277" s="68" t="inlineStr">
        <is>
          <t>Passive</t>
        </is>
      </c>
      <c r="K277" s="68">
        <f>_xlfn.IFNA(VLOOKUP($B277, 'Detail&lt;Child&gt;'!$A:$AW, MATCH(J277, 'Detail&lt;Child&gt;'!$3:$3,0 ), FALSE)+INT($H277/12), 0)</f>
        <v/>
      </c>
      <c r="L277" s="68" t="inlineStr">
        <is>
          <t>HpRatio</t>
        </is>
      </c>
      <c r="M277" s="68">
        <f>M276+10000</f>
        <v/>
      </c>
      <c r="N277" s="68" t="inlineStr">
        <is>
          <t>AtkRatio</t>
        </is>
      </c>
      <c r="O277" s="68">
        <f>O276+10000</f>
        <v/>
      </c>
      <c r="P277" s="68" t="inlineStr">
        <is>
          <t>DefRatio</t>
        </is>
      </c>
      <c r="Q277" s="68">
        <f>Q276+10000</f>
        <v/>
      </c>
      <c r="R277" s="0">
        <f>_xlfn.XLOOKUP($B277, 'Detail&lt;Child&gt;'!$A:$A, 'Detail&lt;Child&gt;'!$L:$L)</f>
        <v/>
      </c>
    </row>
    <row r="278">
      <c r="A278" s="68">
        <f>B278*100+H278</f>
        <v/>
      </c>
      <c r="B278" s="68" t="n">
        <v>10000461</v>
      </c>
      <c r="C278" s="68">
        <f>_xlfn.XLOOKUP(B278,'Detail&lt;Child&gt;'!A:A,'Detail&lt;Child&gt;'!B:B)</f>
        <v/>
      </c>
      <c r="D278" s="68">
        <f>"character_gradeup_"&amp;$B278&amp;"_"&amp;$H278</f>
        <v/>
      </c>
      <c r="E278" s="68" t="inlineStr">
        <is>
          <t>Item</t>
        </is>
      </c>
      <c r="F278" s="68">
        <f>INT(3003&amp;RIGHT(B278,4))</f>
        <v/>
      </c>
      <c r="G278" s="68">
        <f>VLOOKUP($R278, '#등급업 재료 개수'!$A$2:$K$5, MATCH(GradeUp!H278, '#등급업 재료 개수'!$A$2:$K$2, 0), FALSE)</f>
        <v/>
      </c>
      <c r="H278" s="68" t="n">
        <v>5</v>
      </c>
      <c r="I278" s="68" t="n">
        <v>50</v>
      </c>
      <c r="J278" s="68" t="inlineStr">
        <is>
          <t>Active</t>
        </is>
      </c>
      <c r="K278" s="68">
        <f>_xlfn.IFNA(VLOOKUP($B278, 'Detail&lt;Child&gt;'!$A:$AW, MATCH(J278, 'Detail&lt;Child&gt;'!$3:$3,0 ), FALSE)+INT($H278/12), 0)+1</f>
        <v/>
      </c>
      <c r="L278" s="68" t="inlineStr">
        <is>
          <t>HpRatio</t>
        </is>
      </c>
      <c r="M278" s="68">
        <f>M277+10000</f>
        <v/>
      </c>
      <c r="N278" s="68" t="inlineStr">
        <is>
          <t>AtkRatio</t>
        </is>
      </c>
      <c r="O278" s="68">
        <f>O277+10000</f>
        <v/>
      </c>
      <c r="P278" s="68" t="inlineStr">
        <is>
          <t>DefRatio</t>
        </is>
      </c>
      <c r="Q278" s="68">
        <f>Q277+10000</f>
        <v/>
      </c>
      <c r="R278" s="0">
        <f>_xlfn.XLOOKUP($B278, 'Detail&lt;Child&gt;'!$A:$A, 'Detail&lt;Child&gt;'!$L:$L)</f>
        <v/>
      </c>
    </row>
    <row r="279">
      <c r="A279" s="68">
        <f>B279*100+H279</f>
        <v/>
      </c>
      <c r="B279" s="68" t="n">
        <v>10000461</v>
      </c>
      <c r="C279" s="68">
        <f>_xlfn.XLOOKUP(B279,'Detail&lt;Child&gt;'!A:A,'Detail&lt;Child&gt;'!B:B)</f>
        <v/>
      </c>
      <c r="D279" s="68">
        <f>"character_gradeup_"&amp;$B279&amp;"_"&amp;$H279</f>
        <v/>
      </c>
      <c r="E279" s="68" t="inlineStr">
        <is>
          <t>Item</t>
        </is>
      </c>
      <c r="F279" s="68">
        <f>INT(3003&amp;RIGHT(B279,4))</f>
        <v/>
      </c>
      <c r="G279" s="68">
        <f>VLOOKUP($R279, '#등급업 재료 개수'!$A$2:$K$5, MATCH(GradeUp!H279, '#등급업 재료 개수'!$A$2:$K$2, 0), FALSE)</f>
        <v/>
      </c>
      <c r="H279" s="68" t="n">
        <v>6</v>
      </c>
      <c r="I279" s="68" t="n">
        <v>60</v>
      </c>
      <c r="J279" s="68" t="n">
        <v>0</v>
      </c>
      <c r="K279" s="68" t="n">
        <v>0</v>
      </c>
      <c r="L279" s="68" t="inlineStr">
        <is>
          <t>HpRatio</t>
        </is>
      </c>
      <c r="M279" s="68">
        <f>M278+10000</f>
        <v/>
      </c>
      <c r="N279" s="68" t="inlineStr">
        <is>
          <t>AtkRatio</t>
        </is>
      </c>
      <c r="O279" s="68">
        <f>O278+10000</f>
        <v/>
      </c>
      <c r="P279" s="68" t="inlineStr">
        <is>
          <t>DefRatio</t>
        </is>
      </c>
      <c r="Q279" s="68">
        <f>Q278+10000</f>
        <v/>
      </c>
      <c r="R279" s="0">
        <f>_xlfn.XLOOKUP($B279, 'Detail&lt;Child&gt;'!$A:$A, 'Detail&lt;Child&gt;'!$L:$L)</f>
        <v/>
      </c>
    </row>
    <row r="280">
      <c r="A280" s="68">
        <f>B280*100+H280</f>
        <v/>
      </c>
      <c r="B280" s="68" t="n">
        <v>10000461</v>
      </c>
      <c r="C280" s="68">
        <f>_xlfn.XLOOKUP(B280,'Detail&lt;Child&gt;'!A:A,'Detail&lt;Child&gt;'!B:B)</f>
        <v/>
      </c>
      <c r="D280" s="68">
        <f>"character_gradeup_"&amp;$B280&amp;"_"&amp;$H280</f>
        <v/>
      </c>
      <c r="E280" s="68" t="inlineStr">
        <is>
          <t>Item</t>
        </is>
      </c>
      <c r="F280" s="68">
        <f>INT(3003&amp;RIGHT(B280,4))</f>
        <v/>
      </c>
      <c r="G280" s="68">
        <f>VLOOKUP($R280, '#등급업 재료 개수'!$A$2:$K$5, MATCH(GradeUp!H280, '#등급업 재료 개수'!$A$2:$K$2, 0), FALSE)</f>
        <v/>
      </c>
      <c r="H280" s="68" t="n">
        <v>7</v>
      </c>
      <c r="I280" s="68" t="n">
        <v>70</v>
      </c>
      <c r="J280" s="68" t="inlineStr">
        <is>
          <t>Passive</t>
        </is>
      </c>
      <c r="K280" s="68">
        <f>_xlfn.IFNA(VLOOKUP($B280, 'Detail&lt;Child&gt;'!$A:$AW, MATCH(J280, 'Detail&lt;Child&gt;'!$3:$3,0 ), FALSE)+INT($H280/12), 0)+1</f>
        <v/>
      </c>
      <c r="L280" s="68" t="inlineStr">
        <is>
          <t>HpRatio</t>
        </is>
      </c>
      <c r="M280" s="68">
        <f>M279+10000</f>
        <v/>
      </c>
      <c r="N280" s="68" t="inlineStr">
        <is>
          <t>AtkRatio</t>
        </is>
      </c>
      <c r="O280" s="68">
        <f>O279+10000</f>
        <v/>
      </c>
      <c r="P280" s="68" t="inlineStr">
        <is>
          <t>DefRatio</t>
        </is>
      </c>
      <c r="Q280" s="68">
        <f>Q279+10000</f>
        <v/>
      </c>
      <c r="R280" s="0">
        <f>_xlfn.XLOOKUP($B280, 'Detail&lt;Child&gt;'!$A:$A, 'Detail&lt;Child&gt;'!$L:$L)</f>
        <v/>
      </c>
    </row>
    <row r="281">
      <c r="A281" s="68">
        <f>B281*100+H281</f>
        <v/>
      </c>
      <c r="B281" s="68" t="n">
        <v>10000461</v>
      </c>
      <c r="C281" s="68">
        <f>_xlfn.XLOOKUP(B281,'Detail&lt;Child&gt;'!A:A,'Detail&lt;Child&gt;'!B:B)</f>
        <v/>
      </c>
      <c r="D281" s="68">
        <f>"character_gradeup_"&amp;$B281&amp;"_"&amp;$H281</f>
        <v/>
      </c>
      <c r="E281" s="68" t="inlineStr">
        <is>
          <t>Item</t>
        </is>
      </c>
      <c r="F281" s="68">
        <f>INT(3003&amp;RIGHT(B281,4))</f>
        <v/>
      </c>
      <c r="G281" s="68">
        <f>VLOOKUP($R281, '#등급업 재료 개수'!$A$2:$K$5, MATCH(GradeUp!H281, '#등급업 재료 개수'!$A$2:$K$2, 0), FALSE)</f>
        <v/>
      </c>
      <c r="H281" s="68" t="n">
        <v>8</v>
      </c>
      <c r="I281" s="68" t="n">
        <v>80</v>
      </c>
      <c r="J281" s="68" t="n">
        <v>0</v>
      </c>
      <c r="K281" s="68" t="n">
        <v>0</v>
      </c>
      <c r="L281" s="68" t="inlineStr">
        <is>
          <t>HpRatio</t>
        </is>
      </c>
      <c r="M281" s="68">
        <f>M280+10000</f>
        <v/>
      </c>
      <c r="N281" s="68" t="inlineStr">
        <is>
          <t>AtkRatio</t>
        </is>
      </c>
      <c r="O281" s="68">
        <f>O280+10000</f>
        <v/>
      </c>
      <c r="P281" s="68" t="inlineStr">
        <is>
          <t>DefRatio</t>
        </is>
      </c>
      <c r="Q281" s="68">
        <f>Q280+10000</f>
        <v/>
      </c>
      <c r="R281" s="0">
        <f>_xlfn.XLOOKUP($B281, 'Detail&lt;Child&gt;'!$A:$A, 'Detail&lt;Child&gt;'!$L:$L)</f>
        <v/>
      </c>
    </row>
    <row r="282">
      <c r="A282" s="68">
        <f>B282*100+H282</f>
        <v/>
      </c>
      <c r="B282" s="68" t="n">
        <v>10000461</v>
      </c>
      <c r="C282" s="68">
        <f>_xlfn.XLOOKUP(B282,'Detail&lt;Child&gt;'!A:A,'Detail&lt;Child&gt;'!B:B)</f>
        <v/>
      </c>
      <c r="D282" s="68">
        <f>"character_gradeup_"&amp;$B282&amp;"_"&amp;$H282</f>
        <v/>
      </c>
      <c r="E282" s="68" t="inlineStr">
        <is>
          <t>Item</t>
        </is>
      </c>
      <c r="F282" s="68">
        <f>INT(3003&amp;RIGHT(B282,4))</f>
        <v/>
      </c>
      <c r="G282" s="68">
        <f>VLOOKUP($R282, '#등급업 재료 개수'!$A$2:$K$5, MATCH(GradeUp!H282, '#등급업 재료 개수'!$A$2:$K$2, 0), FALSE)</f>
        <v/>
      </c>
      <c r="H282" s="68" t="n">
        <v>9</v>
      </c>
      <c r="I282" s="68" t="n">
        <v>90</v>
      </c>
      <c r="J282" s="68" t="inlineStr">
        <is>
          <t>Ultimate</t>
        </is>
      </c>
      <c r="K282" s="68">
        <f>_xlfn.IFNA(VLOOKUP($B282, 'Detail&lt;Child&gt;'!$A:$AW, MATCH(J282, 'Detail&lt;Child&gt;'!$3:$3,0 ), FALSE)+INT($H282/12), 0)+1</f>
        <v/>
      </c>
      <c r="L282" s="68" t="inlineStr">
        <is>
          <t>HpRatio</t>
        </is>
      </c>
      <c r="M282" s="68">
        <f>M281+10000</f>
        <v/>
      </c>
      <c r="N282" s="68" t="inlineStr">
        <is>
          <t>AtkRatio</t>
        </is>
      </c>
      <c r="O282" s="68">
        <f>O281+10000</f>
        <v/>
      </c>
      <c r="P282" s="68" t="inlineStr">
        <is>
          <t>DefRatio</t>
        </is>
      </c>
      <c r="Q282" s="68">
        <f>Q281+10000</f>
        <v/>
      </c>
      <c r="R282" s="0">
        <f>_xlfn.XLOOKUP($B282, 'Detail&lt;Child&gt;'!$A:$A, 'Detail&lt;Child&gt;'!$L:$L)</f>
        <v/>
      </c>
    </row>
    <row r="283">
      <c r="A283" s="68">
        <f>B283*100+H283</f>
        <v/>
      </c>
      <c r="B283" s="68" t="n">
        <v>10000461</v>
      </c>
      <c r="C283" s="68">
        <f>_xlfn.XLOOKUP(B283,'Detail&lt;Child&gt;'!A:A,'Detail&lt;Child&gt;'!B:B)</f>
        <v/>
      </c>
      <c r="D283" s="68">
        <f>"character_gradeup_"&amp;$B283&amp;"_"&amp;$H283</f>
        <v/>
      </c>
      <c r="E283" s="68" t="inlineStr">
        <is>
          <t>Item</t>
        </is>
      </c>
      <c r="F283" s="68">
        <f>INT(3003&amp;RIGHT(B283,4))</f>
        <v/>
      </c>
      <c r="G283" s="68">
        <f>VLOOKUP($R283, '#등급업 재료 개수'!$A$2:$K$5, MATCH(GradeUp!H283, '#등급업 재료 개수'!$A$2:$K$2, 0), FALSE)</f>
        <v/>
      </c>
      <c r="H283" s="68" t="n">
        <v>10</v>
      </c>
      <c r="I283" s="68" t="n">
        <v>100</v>
      </c>
      <c r="J283" s="68" t="n">
        <v>0</v>
      </c>
      <c r="K283" s="68" t="n">
        <v>0</v>
      </c>
      <c r="L283" s="68" t="inlineStr">
        <is>
          <t>HpRatio</t>
        </is>
      </c>
      <c r="M283" s="68">
        <f>M282+10000</f>
        <v/>
      </c>
      <c r="N283" s="68" t="inlineStr">
        <is>
          <t>AtkRatio</t>
        </is>
      </c>
      <c r="O283" s="68">
        <f>O282+10000</f>
        <v/>
      </c>
      <c r="P283" s="68" t="inlineStr">
        <is>
          <t>DefRatio</t>
        </is>
      </c>
      <c r="Q283" s="68">
        <f>Q282+10000</f>
        <v/>
      </c>
      <c r="R283" s="0">
        <f>_xlfn.XLOOKUP($B283, 'Detail&lt;Child&gt;'!$A:$A, 'Detail&lt;Child&gt;'!$L:$L)</f>
        <v/>
      </c>
    </row>
    <row r="284">
      <c r="A284" s="68">
        <f>B284*100+H284</f>
        <v/>
      </c>
      <c r="B284" s="68" t="n">
        <v>10000283</v>
      </c>
      <c r="C284" s="68">
        <f>_xlfn.XLOOKUP(B284,'Detail&lt;Child&gt;'!A:A,'Detail&lt;Child&gt;'!B:B)</f>
        <v/>
      </c>
      <c r="D284" s="68">
        <f>"character_gradeup_"&amp;$B284&amp;"_"&amp;$H284</f>
        <v/>
      </c>
      <c r="E284" s="68" t="inlineStr">
        <is>
          <t>Item</t>
        </is>
      </c>
      <c r="F284" s="68">
        <f>INT(3003&amp;RIGHT(B284,4))</f>
        <v/>
      </c>
      <c r="G284" s="68">
        <f>VLOOKUP($R284, '#등급업 재료 개수'!$A$2:$K$5, MATCH(GradeUp!H284, '#등급업 재료 개수'!$A$2:$K$2, 0), FALSE)</f>
        <v/>
      </c>
      <c r="H284" s="68" t="n">
        <v>1</v>
      </c>
      <c r="I284" s="68" t="n">
        <v>10</v>
      </c>
      <c r="J284" s="68" t="n">
        <v>0</v>
      </c>
      <c r="K284" s="68" t="n">
        <v>0</v>
      </c>
      <c r="L284" s="68" t="inlineStr">
        <is>
          <t>HpRatio</t>
        </is>
      </c>
      <c r="M284" s="68" t="n">
        <v>0</v>
      </c>
      <c r="N284" s="68" t="inlineStr">
        <is>
          <t>AtkRatio</t>
        </is>
      </c>
      <c r="O284" s="68" t="n">
        <v>0</v>
      </c>
      <c r="P284" s="68" t="inlineStr">
        <is>
          <t>DefRatio</t>
        </is>
      </c>
      <c r="Q284" s="68" t="n">
        <v>0</v>
      </c>
      <c r="R284" s="0">
        <f>_xlfn.XLOOKUP($B284, 'Detail&lt;Child&gt;'!$A:$A, 'Detail&lt;Child&gt;'!$L:$L)</f>
        <v/>
      </c>
    </row>
    <row r="285">
      <c r="A285" s="68">
        <f>B285*100+H285</f>
        <v/>
      </c>
      <c r="B285" s="68" t="n">
        <v>10000283</v>
      </c>
      <c r="C285" s="68">
        <f>_xlfn.XLOOKUP(B285,'Detail&lt;Child&gt;'!A:A,'Detail&lt;Child&gt;'!B:B)</f>
        <v/>
      </c>
      <c r="D285" s="68">
        <f>"character_gradeup_"&amp;$B285&amp;"_"&amp;$H285</f>
        <v/>
      </c>
      <c r="E285" s="68" t="inlineStr">
        <is>
          <t>Item</t>
        </is>
      </c>
      <c r="F285" s="68">
        <f>INT(3003&amp;RIGHT(B285,4))</f>
        <v/>
      </c>
      <c r="G285" s="68">
        <f>VLOOKUP($R285, '#등급업 재료 개수'!$A$2:$K$5, MATCH(GradeUp!H285, '#등급업 재료 개수'!$A$2:$K$2, 0), FALSE)</f>
        <v/>
      </c>
      <c r="H285" s="68" t="n">
        <v>2</v>
      </c>
      <c r="I285" s="68" t="n">
        <v>20</v>
      </c>
      <c r="J285" s="68" t="inlineStr">
        <is>
          <t>Active</t>
        </is>
      </c>
      <c r="K285" s="68">
        <f>_xlfn.IFNA(VLOOKUP($B285, 'Detail&lt;Child&gt;'!$A:$AW, MATCH(J285, 'Detail&lt;Child&gt;'!$3:$3,0 ), FALSE)+INT($H285/12), 0)</f>
        <v/>
      </c>
      <c r="L285" s="68" t="inlineStr">
        <is>
          <t>HpRatio</t>
        </is>
      </c>
      <c r="M285" s="68" t="n">
        <v>0</v>
      </c>
      <c r="N285" s="68" t="inlineStr">
        <is>
          <t>AtkRatio</t>
        </is>
      </c>
      <c r="O285" s="68" t="n">
        <v>0</v>
      </c>
      <c r="P285" s="68" t="inlineStr">
        <is>
          <t>DefRatio</t>
        </is>
      </c>
      <c r="Q285" s="68" t="n">
        <v>0</v>
      </c>
      <c r="R285" s="0">
        <f>_xlfn.XLOOKUP($B285, 'Detail&lt;Child&gt;'!$A:$A, 'Detail&lt;Child&gt;'!$L:$L)</f>
        <v/>
      </c>
    </row>
    <row r="286">
      <c r="A286" s="68">
        <f>B286*100+H286</f>
        <v/>
      </c>
      <c r="B286" s="68" t="n">
        <v>10000283</v>
      </c>
      <c r="C286" s="68">
        <f>_xlfn.XLOOKUP(B286,'Detail&lt;Child&gt;'!A:A,'Detail&lt;Child&gt;'!B:B)</f>
        <v/>
      </c>
      <c r="D286" s="68">
        <f>"character_gradeup_"&amp;$B286&amp;"_"&amp;$H286</f>
        <v/>
      </c>
      <c r="E286" s="68" t="inlineStr">
        <is>
          <t>Item</t>
        </is>
      </c>
      <c r="F286" s="68">
        <f>INT(3003&amp;RIGHT(B286,4))</f>
        <v/>
      </c>
      <c r="G286" s="68">
        <f>VLOOKUP($R286, '#등급업 재료 개수'!$A$2:$K$5, MATCH(GradeUp!H286, '#등급업 재료 개수'!$A$2:$K$2, 0), FALSE)</f>
        <v/>
      </c>
      <c r="H286" s="68" t="n">
        <v>3</v>
      </c>
      <c r="I286" s="68" t="n">
        <v>30</v>
      </c>
      <c r="J286" s="68" t="n">
        <v>0</v>
      </c>
      <c r="K286" s="68" t="n">
        <v>0</v>
      </c>
      <c r="L286" s="68" t="inlineStr">
        <is>
          <t>HpRatio</t>
        </is>
      </c>
      <c r="M286" s="68" t="n">
        <v>10000</v>
      </c>
      <c r="N286" s="68" t="inlineStr">
        <is>
          <t>AtkRatio</t>
        </is>
      </c>
      <c r="O286" s="68" t="n">
        <v>10000</v>
      </c>
      <c r="P286" s="68" t="inlineStr">
        <is>
          <t>DefRatio</t>
        </is>
      </c>
      <c r="Q286" s="68" t="n">
        <v>10000</v>
      </c>
      <c r="R286" s="0">
        <f>_xlfn.XLOOKUP($B286, 'Detail&lt;Child&gt;'!$A:$A, 'Detail&lt;Child&gt;'!$L:$L)</f>
        <v/>
      </c>
    </row>
    <row r="287">
      <c r="A287" s="68">
        <f>B287*100+H287</f>
        <v/>
      </c>
      <c r="B287" s="68" t="n">
        <v>10000283</v>
      </c>
      <c r="C287" s="68">
        <f>_xlfn.XLOOKUP(B287,'Detail&lt;Child&gt;'!A:A,'Detail&lt;Child&gt;'!B:B)</f>
        <v/>
      </c>
      <c r="D287" s="68">
        <f>"character_gradeup_"&amp;$B287&amp;"_"&amp;$H287</f>
        <v/>
      </c>
      <c r="E287" s="68" t="inlineStr">
        <is>
          <t>Item</t>
        </is>
      </c>
      <c r="F287" s="68">
        <f>INT(3003&amp;RIGHT(B287,4))</f>
        <v/>
      </c>
      <c r="G287" s="68">
        <f>VLOOKUP($R287, '#등급업 재료 개수'!$A$2:$K$5, MATCH(GradeUp!H287, '#등급업 재료 개수'!$A$2:$K$2, 0), FALSE)</f>
        <v/>
      </c>
      <c r="H287" s="68" t="n">
        <v>4</v>
      </c>
      <c r="I287" s="68" t="n">
        <v>40</v>
      </c>
      <c r="J287" s="68" t="inlineStr">
        <is>
          <t>Passive</t>
        </is>
      </c>
      <c r="K287" s="68">
        <f>_xlfn.IFNA(VLOOKUP($B287, 'Detail&lt;Child&gt;'!$A:$AW, MATCH(J287, 'Detail&lt;Child&gt;'!$3:$3,0 ), FALSE)+INT($H287/12), 0)</f>
        <v/>
      </c>
      <c r="L287" s="68" t="inlineStr">
        <is>
          <t>HpRatio</t>
        </is>
      </c>
      <c r="M287" s="68">
        <f>M286+10000</f>
        <v/>
      </c>
      <c r="N287" s="68" t="inlineStr">
        <is>
          <t>AtkRatio</t>
        </is>
      </c>
      <c r="O287" s="68">
        <f>O286+10000</f>
        <v/>
      </c>
      <c r="P287" s="68" t="inlineStr">
        <is>
          <t>DefRatio</t>
        </is>
      </c>
      <c r="Q287" s="68">
        <f>Q286+10000</f>
        <v/>
      </c>
      <c r="R287" s="0">
        <f>_xlfn.XLOOKUP($B287, 'Detail&lt;Child&gt;'!$A:$A, 'Detail&lt;Child&gt;'!$L:$L)</f>
        <v/>
      </c>
    </row>
    <row r="288">
      <c r="A288" s="68">
        <f>B288*100+H288</f>
        <v/>
      </c>
      <c r="B288" s="68" t="n">
        <v>10000283</v>
      </c>
      <c r="C288" s="68">
        <f>_xlfn.XLOOKUP(B288,'Detail&lt;Child&gt;'!A:A,'Detail&lt;Child&gt;'!B:B)</f>
        <v/>
      </c>
      <c r="D288" s="68">
        <f>"character_gradeup_"&amp;$B288&amp;"_"&amp;$H288</f>
        <v/>
      </c>
      <c r="E288" s="68" t="inlineStr">
        <is>
          <t>Item</t>
        </is>
      </c>
      <c r="F288" s="68">
        <f>INT(3003&amp;RIGHT(B288,4))</f>
        <v/>
      </c>
      <c r="G288" s="68">
        <f>VLOOKUP($R288, '#등급업 재료 개수'!$A$2:$K$5, MATCH(GradeUp!H288, '#등급업 재료 개수'!$A$2:$K$2, 0), FALSE)</f>
        <v/>
      </c>
      <c r="H288" s="68" t="n">
        <v>5</v>
      </c>
      <c r="I288" s="68" t="n">
        <v>50</v>
      </c>
      <c r="J288" s="68" t="inlineStr">
        <is>
          <t>Active</t>
        </is>
      </c>
      <c r="K288" s="68">
        <f>_xlfn.IFNA(VLOOKUP($B288, 'Detail&lt;Child&gt;'!$A:$AW, MATCH(J288, 'Detail&lt;Child&gt;'!$3:$3,0 ), FALSE)+INT($H288/12), 0)+1</f>
        <v/>
      </c>
      <c r="L288" s="68" t="inlineStr">
        <is>
          <t>HpRatio</t>
        </is>
      </c>
      <c r="M288" s="68">
        <f>M287+10000</f>
        <v/>
      </c>
      <c r="N288" s="68" t="inlineStr">
        <is>
          <t>AtkRatio</t>
        </is>
      </c>
      <c r="O288" s="68">
        <f>O287+10000</f>
        <v/>
      </c>
      <c r="P288" s="68" t="inlineStr">
        <is>
          <t>DefRatio</t>
        </is>
      </c>
      <c r="Q288" s="68">
        <f>Q287+10000</f>
        <v/>
      </c>
      <c r="R288" s="0">
        <f>_xlfn.XLOOKUP($B288, 'Detail&lt;Child&gt;'!$A:$A, 'Detail&lt;Child&gt;'!$L:$L)</f>
        <v/>
      </c>
    </row>
    <row r="289">
      <c r="A289" s="68">
        <f>B289*100+H289</f>
        <v/>
      </c>
      <c r="B289" s="68" t="n">
        <v>10000283</v>
      </c>
      <c r="C289" s="68">
        <f>_xlfn.XLOOKUP(B289,'Detail&lt;Child&gt;'!A:A,'Detail&lt;Child&gt;'!B:B)</f>
        <v/>
      </c>
      <c r="D289" s="68">
        <f>"character_gradeup_"&amp;$B289&amp;"_"&amp;$H289</f>
        <v/>
      </c>
      <c r="E289" s="68" t="inlineStr">
        <is>
          <t>Item</t>
        </is>
      </c>
      <c r="F289" s="68">
        <f>INT(3003&amp;RIGHT(B289,4))</f>
        <v/>
      </c>
      <c r="G289" s="68">
        <f>VLOOKUP($R289, '#등급업 재료 개수'!$A$2:$K$5, MATCH(GradeUp!H289, '#등급업 재료 개수'!$A$2:$K$2, 0), FALSE)</f>
        <v/>
      </c>
      <c r="H289" s="68" t="n">
        <v>6</v>
      </c>
      <c r="I289" s="68" t="n">
        <v>60</v>
      </c>
      <c r="J289" s="68" t="n">
        <v>0</v>
      </c>
      <c r="K289" s="68" t="n">
        <v>0</v>
      </c>
      <c r="L289" s="68" t="inlineStr">
        <is>
          <t>HpRatio</t>
        </is>
      </c>
      <c r="M289" s="68">
        <f>M288+10000</f>
        <v/>
      </c>
      <c r="N289" s="68" t="inlineStr">
        <is>
          <t>AtkRatio</t>
        </is>
      </c>
      <c r="O289" s="68">
        <f>O288+10000</f>
        <v/>
      </c>
      <c r="P289" s="68" t="inlineStr">
        <is>
          <t>DefRatio</t>
        </is>
      </c>
      <c r="Q289" s="68">
        <f>Q288+10000</f>
        <v/>
      </c>
      <c r="R289" s="0">
        <f>_xlfn.XLOOKUP($B289, 'Detail&lt;Child&gt;'!$A:$A, 'Detail&lt;Child&gt;'!$L:$L)</f>
        <v/>
      </c>
    </row>
    <row r="290">
      <c r="A290" s="68">
        <f>B290*100+H290</f>
        <v/>
      </c>
      <c r="B290" s="68" t="n">
        <v>10000283</v>
      </c>
      <c r="C290" s="68">
        <f>_xlfn.XLOOKUP(B290,'Detail&lt;Child&gt;'!A:A,'Detail&lt;Child&gt;'!B:B)</f>
        <v/>
      </c>
      <c r="D290" s="68">
        <f>"character_gradeup_"&amp;$B290&amp;"_"&amp;$H290</f>
        <v/>
      </c>
      <c r="E290" s="68" t="inlineStr">
        <is>
          <t>Item</t>
        </is>
      </c>
      <c r="F290" s="68">
        <f>INT(3003&amp;RIGHT(B290,4))</f>
        <v/>
      </c>
      <c r="G290" s="68">
        <f>VLOOKUP($R290, '#등급업 재료 개수'!$A$2:$K$5, MATCH(GradeUp!H290, '#등급업 재료 개수'!$A$2:$K$2, 0), FALSE)</f>
        <v/>
      </c>
      <c r="H290" s="68" t="n">
        <v>7</v>
      </c>
      <c r="I290" s="68" t="n">
        <v>70</v>
      </c>
      <c r="J290" s="68" t="inlineStr">
        <is>
          <t>Passive</t>
        </is>
      </c>
      <c r="K290" s="68">
        <f>_xlfn.IFNA(VLOOKUP($B290, 'Detail&lt;Child&gt;'!$A:$AW, MATCH(J290, 'Detail&lt;Child&gt;'!$3:$3,0 ), FALSE)+INT($H290/12), 0)+1</f>
        <v/>
      </c>
      <c r="L290" s="68" t="inlineStr">
        <is>
          <t>HpRatio</t>
        </is>
      </c>
      <c r="M290" s="68">
        <f>M289+10000</f>
        <v/>
      </c>
      <c r="N290" s="68" t="inlineStr">
        <is>
          <t>AtkRatio</t>
        </is>
      </c>
      <c r="O290" s="68">
        <f>O289+10000</f>
        <v/>
      </c>
      <c r="P290" s="68" t="inlineStr">
        <is>
          <t>DefRatio</t>
        </is>
      </c>
      <c r="Q290" s="68">
        <f>Q289+10000</f>
        <v/>
      </c>
      <c r="R290" s="0">
        <f>_xlfn.XLOOKUP($B290, 'Detail&lt;Child&gt;'!$A:$A, 'Detail&lt;Child&gt;'!$L:$L)</f>
        <v/>
      </c>
    </row>
    <row r="291">
      <c r="A291" s="68">
        <f>B291*100+H291</f>
        <v/>
      </c>
      <c r="B291" s="68" t="n">
        <v>10000283</v>
      </c>
      <c r="C291" s="68">
        <f>_xlfn.XLOOKUP(B291,'Detail&lt;Child&gt;'!A:A,'Detail&lt;Child&gt;'!B:B)</f>
        <v/>
      </c>
      <c r="D291" s="68">
        <f>"character_gradeup_"&amp;$B291&amp;"_"&amp;$H291</f>
        <v/>
      </c>
      <c r="E291" s="68" t="inlineStr">
        <is>
          <t>Item</t>
        </is>
      </c>
      <c r="F291" s="68">
        <f>INT(3003&amp;RIGHT(B291,4))</f>
        <v/>
      </c>
      <c r="G291" s="68">
        <f>VLOOKUP($R291, '#등급업 재료 개수'!$A$2:$K$5, MATCH(GradeUp!H291, '#등급업 재료 개수'!$A$2:$K$2, 0), FALSE)</f>
        <v/>
      </c>
      <c r="H291" s="68" t="n">
        <v>8</v>
      </c>
      <c r="I291" s="68" t="n">
        <v>80</v>
      </c>
      <c r="J291" s="68" t="n">
        <v>0</v>
      </c>
      <c r="K291" s="68" t="n">
        <v>0</v>
      </c>
      <c r="L291" s="68" t="inlineStr">
        <is>
          <t>HpRatio</t>
        </is>
      </c>
      <c r="M291" s="68">
        <f>M290+10000</f>
        <v/>
      </c>
      <c r="N291" s="68" t="inlineStr">
        <is>
          <t>AtkRatio</t>
        </is>
      </c>
      <c r="O291" s="68">
        <f>O290+10000</f>
        <v/>
      </c>
      <c r="P291" s="68" t="inlineStr">
        <is>
          <t>DefRatio</t>
        </is>
      </c>
      <c r="Q291" s="68">
        <f>Q290+10000</f>
        <v/>
      </c>
      <c r="R291" s="0">
        <f>_xlfn.XLOOKUP($B291, 'Detail&lt;Child&gt;'!$A:$A, 'Detail&lt;Child&gt;'!$L:$L)</f>
        <v/>
      </c>
    </row>
    <row r="292">
      <c r="A292" s="68">
        <f>B292*100+H292</f>
        <v/>
      </c>
      <c r="B292" s="68" t="n">
        <v>10000283</v>
      </c>
      <c r="C292" s="68">
        <f>_xlfn.XLOOKUP(B292,'Detail&lt;Child&gt;'!A:A,'Detail&lt;Child&gt;'!B:B)</f>
        <v/>
      </c>
      <c r="D292" s="68">
        <f>"character_gradeup_"&amp;$B292&amp;"_"&amp;$H292</f>
        <v/>
      </c>
      <c r="E292" s="68" t="inlineStr">
        <is>
          <t>Item</t>
        </is>
      </c>
      <c r="F292" s="68">
        <f>INT(3003&amp;RIGHT(B292,4))</f>
        <v/>
      </c>
      <c r="G292" s="68">
        <f>VLOOKUP($R292, '#등급업 재료 개수'!$A$2:$K$5, MATCH(GradeUp!H292, '#등급업 재료 개수'!$A$2:$K$2, 0), FALSE)</f>
        <v/>
      </c>
      <c r="H292" s="68" t="n">
        <v>9</v>
      </c>
      <c r="I292" s="68" t="n">
        <v>90</v>
      </c>
      <c r="J292" s="68" t="inlineStr">
        <is>
          <t>Ultimate</t>
        </is>
      </c>
      <c r="K292" s="68">
        <f>_xlfn.IFNA(VLOOKUP($B292, 'Detail&lt;Child&gt;'!$A:$AW, MATCH(J292, 'Detail&lt;Child&gt;'!$3:$3,0 ), FALSE)+INT($H292/12), 0)+1</f>
        <v/>
      </c>
      <c r="L292" s="68" t="inlineStr">
        <is>
          <t>HpRatio</t>
        </is>
      </c>
      <c r="M292" s="68">
        <f>M291+10000</f>
        <v/>
      </c>
      <c r="N292" s="68" t="inlineStr">
        <is>
          <t>AtkRatio</t>
        </is>
      </c>
      <c r="O292" s="68">
        <f>O291+10000</f>
        <v/>
      </c>
      <c r="P292" s="68" t="inlineStr">
        <is>
          <t>DefRatio</t>
        </is>
      </c>
      <c r="Q292" s="68">
        <f>Q291+10000</f>
        <v/>
      </c>
      <c r="R292" s="0">
        <f>_xlfn.XLOOKUP($B292, 'Detail&lt;Child&gt;'!$A:$A, 'Detail&lt;Child&gt;'!$L:$L)</f>
        <v/>
      </c>
    </row>
    <row r="293">
      <c r="A293" s="68">
        <f>B293*100+H293</f>
        <v/>
      </c>
      <c r="B293" s="68" t="n">
        <v>10000283</v>
      </c>
      <c r="C293" s="68">
        <f>_xlfn.XLOOKUP(B293,'Detail&lt;Child&gt;'!A:A,'Detail&lt;Child&gt;'!B:B)</f>
        <v/>
      </c>
      <c r="D293" s="68">
        <f>"character_gradeup_"&amp;$B293&amp;"_"&amp;$H293</f>
        <v/>
      </c>
      <c r="E293" s="68" t="inlineStr">
        <is>
          <t>Item</t>
        </is>
      </c>
      <c r="F293" s="68">
        <f>INT(3003&amp;RIGHT(B293,4))</f>
        <v/>
      </c>
      <c r="G293" s="68">
        <f>VLOOKUP($R293, '#등급업 재료 개수'!$A$2:$K$5, MATCH(GradeUp!H293, '#등급업 재료 개수'!$A$2:$K$2, 0), FALSE)</f>
        <v/>
      </c>
      <c r="H293" s="68" t="n">
        <v>10</v>
      </c>
      <c r="I293" s="68" t="n">
        <v>100</v>
      </c>
      <c r="J293" s="68" t="n">
        <v>0</v>
      </c>
      <c r="K293" s="68" t="n">
        <v>0</v>
      </c>
      <c r="L293" s="68" t="inlineStr">
        <is>
          <t>HpRatio</t>
        </is>
      </c>
      <c r="M293" s="68">
        <f>M292+10000</f>
        <v/>
      </c>
      <c r="N293" s="68" t="inlineStr">
        <is>
          <t>AtkRatio</t>
        </is>
      </c>
      <c r="O293" s="68">
        <f>O292+10000</f>
        <v/>
      </c>
      <c r="P293" s="68" t="inlineStr">
        <is>
          <t>DefRatio</t>
        </is>
      </c>
      <c r="Q293" s="68">
        <f>Q292+10000</f>
        <v/>
      </c>
      <c r="R293" s="0">
        <f>_xlfn.XLOOKUP($B293, 'Detail&lt;Child&gt;'!$A:$A, 'Detail&lt;Child&gt;'!$L:$L)</f>
        <v/>
      </c>
    </row>
    <row r="294">
      <c r="A294" s="68">
        <f>B294*100+H294</f>
        <v/>
      </c>
      <c r="B294" s="68" t="n">
        <v>10000400</v>
      </c>
      <c r="C294" s="68">
        <f>_xlfn.XLOOKUP(B294,'Detail&lt;Child&gt;'!A:A,'Detail&lt;Child&gt;'!B:B)</f>
        <v/>
      </c>
      <c r="D294" s="68">
        <f>"character_gradeup_"&amp;$B294&amp;"_"&amp;$H294</f>
        <v/>
      </c>
      <c r="E294" s="68" t="inlineStr">
        <is>
          <t>Item</t>
        </is>
      </c>
      <c r="F294" s="68">
        <f>INT(3003&amp;RIGHT(B294,4))</f>
        <v/>
      </c>
      <c r="G294" s="68">
        <f>VLOOKUP($R294, '#등급업 재료 개수'!$A$2:$K$5, MATCH(GradeUp!H294, '#등급업 재료 개수'!$A$2:$K$2, 0), FALSE)</f>
        <v/>
      </c>
      <c r="H294" s="68" t="n">
        <v>1</v>
      </c>
      <c r="I294" s="68" t="n">
        <v>10</v>
      </c>
      <c r="J294" s="68" t="n">
        <v>0</v>
      </c>
      <c r="K294" s="68" t="n">
        <v>0</v>
      </c>
      <c r="L294" s="68" t="inlineStr">
        <is>
          <t>HpRatio</t>
        </is>
      </c>
      <c r="M294" s="68" t="n">
        <v>0</v>
      </c>
      <c r="N294" s="68" t="inlineStr">
        <is>
          <t>AtkRatio</t>
        </is>
      </c>
      <c r="O294" s="68" t="n">
        <v>0</v>
      </c>
      <c r="P294" s="68" t="inlineStr">
        <is>
          <t>DefRatio</t>
        </is>
      </c>
      <c r="Q294" s="68" t="n">
        <v>0</v>
      </c>
      <c r="R294" s="0">
        <f>_xlfn.XLOOKUP($B294, 'Detail&lt;Child&gt;'!$A:$A, 'Detail&lt;Child&gt;'!$L:$L)</f>
        <v/>
      </c>
    </row>
    <row r="295">
      <c r="A295" s="68">
        <f>B295*100+H295</f>
        <v/>
      </c>
      <c r="B295" s="68" t="n">
        <v>10000400</v>
      </c>
      <c r="C295" s="68">
        <f>_xlfn.XLOOKUP(B295,'Detail&lt;Child&gt;'!A:A,'Detail&lt;Child&gt;'!B:B)</f>
        <v/>
      </c>
      <c r="D295" s="68">
        <f>"character_gradeup_"&amp;$B295&amp;"_"&amp;$H295</f>
        <v/>
      </c>
      <c r="E295" s="68" t="inlineStr">
        <is>
          <t>Item</t>
        </is>
      </c>
      <c r="F295" s="68">
        <f>INT(3003&amp;RIGHT(B295,4))</f>
        <v/>
      </c>
      <c r="G295" s="68">
        <f>VLOOKUP($R295, '#등급업 재료 개수'!$A$2:$K$5, MATCH(GradeUp!H295, '#등급업 재료 개수'!$A$2:$K$2, 0), FALSE)</f>
        <v/>
      </c>
      <c r="H295" s="68" t="n">
        <v>2</v>
      </c>
      <c r="I295" s="68" t="n">
        <v>20</v>
      </c>
      <c r="J295" s="68" t="inlineStr">
        <is>
          <t>Active</t>
        </is>
      </c>
      <c r="K295" s="68">
        <f>_xlfn.IFNA(VLOOKUP($B295, 'Detail&lt;Child&gt;'!$A:$AW, MATCH(J295, 'Detail&lt;Child&gt;'!$3:$3,0 ), FALSE)+INT($H295/12), 0)</f>
        <v/>
      </c>
      <c r="L295" s="68" t="inlineStr">
        <is>
          <t>HpRatio</t>
        </is>
      </c>
      <c r="M295" s="68" t="n">
        <v>0</v>
      </c>
      <c r="N295" s="68" t="inlineStr">
        <is>
          <t>AtkRatio</t>
        </is>
      </c>
      <c r="O295" s="68" t="n">
        <v>0</v>
      </c>
      <c r="P295" s="68" t="inlineStr">
        <is>
          <t>DefRatio</t>
        </is>
      </c>
      <c r="Q295" s="68" t="n">
        <v>0</v>
      </c>
      <c r="R295" s="0">
        <f>_xlfn.XLOOKUP($B295, 'Detail&lt;Child&gt;'!$A:$A, 'Detail&lt;Child&gt;'!$L:$L)</f>
        <v/>
      </c>
    </row>
    <row r="296">
      <c r="A296" s="68">
        <f>B296*100+H296</f>
        <v/>
      </c>
      <c r="B296" s="68" t="n">
        <v>10000400</v>
      </c>
      <c r="C296" s="68">
        <f>_xlfn.XLOOKUP(B296,'Detail&lt;Child&gt;'!A:A,'Detail&lt;Child&gt;'!B:B)</f>
        <v/>
      </c>
      <c r="D296" s="68">
        <f>"character_gradeup_"&amp;$B296&amp;"_"&amp;$H296</f>
        <v/>
      </c>
      <c r="E296" s="68" t="inlineStr">
        <is>
          <t>Item</t>
        </is>
      </c>
      <c r="F296" s="68">
        <f>INT(3003&amp;RIGHT(B296,4))</f>
        <v/>
      </c>
      <c r="G296" s="68">
        <f>VLOOKUP($R296, '#등급업 재료 개수'!$A$2:$K$5, MATCH(GradeUp!H296, '#등급업 재료 개수'!$A$2:$K$2, 0), FALSE)</f>
        <v/>
      </c>
      <c r="H296" s="68" t="n">
        <v>3</v>
      </c>
      <c r="I296" s="68" t="n">
        <v>30</v>
      </c>
      <c r="J296" s="68" t="n">
        <v>0</v>
      </c>
      <c r="K296" s="68" t="n">
        <v>0</v>
      </c>
      <c r="L296" s="68" t="inlineStr">
        <is>
          <t>HpRatio</t>
        </is>
      </c>
      <c r="M296" s="68" t="n">
        <v>10000</v>
      </c>
      <c r="N296" s="68" t="inlineStr">
        <is>
          <t>AtkRatio</t>
        </is>
      </c>
      <c r="O296" s="68" t="n">
        <v>10000</v>
      </c>
      <c r="P296" s="68" t="inlineStr">
        <is>
          <t>DefRatio</t>
        </is>
      </c>
      <c r="Q296" s="68" t="n">
        <v>10000</v>
      </c>
      <c r="R296" s="0">
        <f>_xlfn.XLOOKUP($B296, 'Detail&lt;Child&gt;'!$A:$A, 'Detail&lt;Child&gt;'!$L:$L)</f>
        <v/>
      </c>
    </row>
    <row r="297">
      <c r="A297" s="68">
        <f>B297*100+H297</f>
        <v/>
      </c>
      <c r="B297" s="68" t="n">
        <v>10000400</v>
      </c>
      <c r="C297" s="68">
        <f>_xlfn.XLOOKUP(B297,'Detail&lt;Child&gt;'!A:A,'Detail&lt;Child&gt;'!B:B)</f>
        <v/>
      </c>
      <c r="D297" s="68">
        <f>"character_gradeup_"&amp;$B297&amp;"_"&amp;$H297</f>
        <v/>
      </c>
      <c r="E297" s="68" t="inlineStr">
        <is>
          <t>Item</t>
        </is>
      </c>
      <c r="F297" s="68">
        <f>INT(3003&amp;RIGHT(B297,4))</f>
        <v/>
      </c>
      <c r="G297" s="68">
        <f>VLOOKUP($R297, '#등급업 재료 개수'!$A$2:$K$5, MATCH(GradeUp!H297, '#등급업 재료 개수'!$A$2:$K$2, 0), FALSE)</f>
        <v/>
      </c>
      <c r="H297" s="68" t="n">
        <v>4</v>
      </c>
      <c r="I297" s="68" t="n">
        <v>40</v>
      </c>
      <c r="J297" s="68" t="inlineStr">
        <is>
          <t>Passive</t>
        </is>
      </c>
      <c r="K297" s="68">
        <f>_xlfn.IFNA(VLOOKUP($B297, 'Detail&lt;Child&gt;'!$A:$AW, MATCH(J297, 'Detail&lt;Child&gt;'!$3:$3,0 ), FALSE)+INT($H297/12), 0)</f>
        <v/>
      </c>
      <c r="L297" s="68" t="inlineStr">
        <is>
          <t>HpRatio</t>
        </is>
      </c>
      <c r="M297" s="68">
        <f>M296+10000</f>
        <v/>
      </c>
      <c r="N297" s="68" t="inlineStr">
        <is>
          <t>AtkRatio</t>
        </is>
      </c>
      <c r="O297" s="68">
        <f>O296+10000</f>
        <v/>
      </c>
      <c r="P297" s="68" t="inlineStr">
        <is>
          <t>DefRatio</t>
        </is>
      </c>
      <c r="Q297" s="68">
        <f>Q296+10000</f>
        <v/>
      </c>
      <c r="R297" s="0">
        <f>_xlfn.XLOOKUP($B297, 'Detail&lt;Child&gt;'!$A:$A, 'Detail&lt;Child&gt;'!$L:$L)</f>
        <v/>
      </c>
    </row>
    <row r="298">
      <c r="A298" s="68">
        <f>B298*100+H298</f>
        <v/>
      </c>
      <c r="B298" s="68" t="n">
        <v>10000400</v>
      </c>
      <c r="C298" s="68">
        <f>_xlfn.XLOOKUP(B298,'Detail&lt;Child&gt;'!A:A,'Detail&lt;Child&gt;'!B:B)</f>
        <v/>
      </c>
      <c r="D298" s="68">
        <f>"character_gradeup_"&amp;$B298&amp;"_"&amp;$H298</f>
        <v/>
      </c>
      <c r="E298" s="68" t="inlineStr">
        <is>
          <t>Item</t>
        </is>
      </c>
      <c r="F298" s="68">
        <f>INT(3003&amp;RIGHT(B298,4))</f>
        <v/>
      </c>
      <c r="G298" s="68">
        <f>VLOOKUP($R298, '#등급업 재료 개수'!$A$2:$K$5, MATCH(GradeUp!H298, '#등급업 재료 개수'!$A$2:$K$2, 0), FALSE)</f>
        <v/>
      </c>
      <c r="H298" s="68" t="n">
        <v>5</v>
      </c>
      <c r="I298" s="68" t="n">
        <v>50</v>
      </c>
      <c r="J298" s="68" t="inlineStr">
        <is>
          <t>Active</t>
        </is>
      </c>
      <c r="K298" s="68">
        <f>_xlfn.IFNA(VLOOKUP($B298, 'Detail&lt;Child&gt;'!$A:$AW, MATCH(J298, 'Detail&lt;Child&gt;'!$3:$3,0 ), FALSE)+INT($H298/12), 0)+1</f>
        <v/>
      </c>
      <c r="L298" s="68" t="inlineStr">
        <is>
          <t>HpRatio</t>
        </is>
      </c>
      <c r="M298" s="68">
        <f>M297+10000</f>
        <v/>
      </c>
      <c r="N298" s="68" t="inlineStr">
        <is>
          <t>AtkRatio</t>
        </is>
      </c>
      <c r="O298" s="68">
        <f>O297+10000</f>
        <v/>
      </c>
      <c r="P298" s="68" t="inlineStr">
        <is>
          <t>DefRatio</t>
        </is>
      </c>
      <c r="Q298" s="68">
        <f>Q297+10000</f>
        <v/>
      </c>
      <c r="R298" s="0">
        <f>_xlfn.XLOOKUP($B298, 'Detail&lt;Child&gt;'!$A:$A, 'Detail&lt;Child&gt;'!$L:$L)</f>
        <v/>
      </c>
    </row>
    <row r="299">
      <c r="A299" s="68">
        <f>B299*100+H299</f>
        <v/>
      </c>
      <c r="B299" s="68" t="n">
        <v>10000400</v>
      </c>
      <c r="C299" s="68">
        <f>_xlfn.XLOOKUP(B299,'Detail&lt;Child&gt;'!A:A,'Detail&lt;Child&gt;'!B:B)</f>
        <v/>
      </c>
      <c r="D299" s="68">
        <f>"character_gradeup_"&amp;$B299&amp;"_"&amp;$H299</f>
        <v/>
      </c>
      <c r="E299" s="68" t="inlineStr">
        <is>
          <t>Item</t>
        </is>
      </c>
      <c r="F299" s="68">
        <f>INT(3003&amp;RIGHT(B299,4))</f>
        <v/>
      </c>
      <c r="G299" s="68">
        <f>VLOOKUP($R299, '#등급업 재료 개수'!$A$2:$K$5, MATCH(GradeUp!H299, '#등급업 재료 개수'!$A$2:$K$2, 0), FALSE)</f>
        <v/>
      </c>
      <c r="H299" s="68" t="n">
        <v>6</v>
      </c>
      <c r="I299" s="68" t="n">
        <v>60</v>
      </c>
      <c r="J299" s="68" t="n">
        <v>0</v>
      </c>
      <c r="K299" s="68" t="n">
        <v>0</v>
      </c>
      <c r="L299" s="68" t="inlineStr">
        <is>
          <t>HpRatio</t>
        </is>
      </c>
      <c r="M299" s="68">
        <f>M298+10000</f>
        <v/>
      </c>
      <c r="N299" s="68" t="inlineStr">
        <is>
          <t>AtkRatio</t>
        </is>
      </c>
      <c r="O299" s="68">
        <f>O298+10000</f>
        <v/>
      </c>
      <c r="P299" s="68" t="inlineStr">
        <is>
          <t>DefRatio</t>
        </is>
      </c>
      <c r="Q299" s="68">
        <f>Q298+10000</f>
        <v/>
      </c>
      <c r="R299" s="0">
        <f>_xlfn.XLOOKUP($B299, 'Detail&lt;Child&gt;'!$A:$A, 'Detail&lt;Child&gt;'!$L:$L)</f>
        <v/>
      </c>
    </row>
    <row r="300">
      <c r="A300" s="68">
        <f>B300*100+H300</f>
        <v/>
      </c>
      <c r="B300" s="68" t="n">
        <v>10000400</v>
      </c>
      <c r="C300" s="68">
        <f>_xlfn.XLOOKUP(B300,'Detail&lt;Child&gt;'!A:A,'Detail&lt;Child&gt;'!B:B)</f>
        <v/>
      </c>
      <c r="D300" s="68">
        <f>"character_gradeup_"&amp;$B300&amp;"_"&amp;$H300</f>
        <v/>
      </c>
      <c r="E300" s="68" t="inlineStr">
        <is>
          <t>Item</t>
        </is>
      </c>
      <c r="F300" s="68">
        <f>INT(3003&amp;RIGHT(B300,4))</f>
        <v/>
      </c>
      <c r="G300" s="68">
        <f>VLOOKUP($R300, '#등급업 재료 개수'!$A$2:$K$5, MATCH(GradeUp!H300, '#등급업 재료 개수'!$A$2:$K$2, 0), FALSE)</f>
        <v/>
      </c>
      <c r="H300" s="68" t="n">
        <v>7</v>
      </c>
      <c r="I300" s="68" t="n">
        <v>70</v>
      </c>
      <c r="J300" s="68" t="inlineStr">
        <is>
          <t>Passive</t>
        </is>
      </c>
      <c r="K300" s="68">
        <f>_xlfn.IFNA(VLOOKUP($B300, 'Detail&lt;Child&gt;'!$A:$AW, MATCH(J300, 'Detail&lt;Child&gt;'!$3:$3,0 ), FALSE)+INT($H300/12), 0)+1</f>
        <v/>
      </c>
      <c r="L300" s="68" t="inlineStr">
        <is>
          <t>HpRatio</t>
        </is>
      </c>
      <c r="M300" s="68">
        <f>M299+10000</f>
        <v/>
      </c>
      <c r="N300" s="68" t="inlineStr">
        <is>
          <t>AtkRatio</t>
        </is>
      </c>
      <c r="O300" s="68">
        <f>O299+10000</f>
        <v/>
      </c>
      <c r="P300" s="68" t="inlineStr">
        <is>
          <t>DefRatio</t>
        </is>
      </c>
      <c r="Q300" s="68">
        <f>Q299+10000</f>
        <v/>
      </c>
      <c r="R300" s="0">
        <f>_xlfn.XLOOKUP($B300, 'Detail&lt;Child&gt;'!$A:$A, 'Detail&lt;Child&gt;'!$L:$L)</f>
        <v/>
      </c>
    </row>
    <row r="301">
      <c r="A301" s="68">
        <f>B301*100+H301</f>
        <v/>
      </c>
      <c r="B301" s="68" t="n">
        <v>10000400</v>
      </c>
      <c r="C301" s="68">
        <f>_xlfn.XLOOKUP(B301,'Detail&lt;Child&gt;'!A:A,'Detail&lt;Child&gt;'!B:B)</f>
        <v/>
      </c>
      <c r="D301" s="68">
        <f>"character_gradeup_"&amp;$B301&amp;"_"&amp;$H301</f>
        <v/>
      </c>
      <c r="E301" s="68" t="inlineStr">
        <is>
          <t>Item</t>
        </is>
      </c>
      <c r="F301" s="68">
        <f>INT(3003&amp;RIGHT(B301,4))</f>
        <v/>
      </c>
      <c r="G301" s="68">
        <f>VLOOKUP($R301, '#등급업 재료 개수'!$A$2:$K$5, MATCH(GradeUp!H301, '#등급업 재료 개수'!$A$2:$K$2, 0), FALSE)</f>
        <v/>
      </c>
      <c r="H301" s="68" t="n">
        <v>8</v>
      </c>
      <c r="I301" s="68" t="n">
        <v>80</v>
      </c>
      <c r="J301" s="68" t="n">
        <v>0</v>
      </c>
      <c r="K301" s="68" t="n">
        <v>0</v>
      </c>
      <c r="L301" s="68" t="inlineStr">
        <is>
          <t>HpRatio</t>
        </is>
      </c>
      <c r="M301" s="68">
        <f>M300+10000</f>
        <v/>
      </c>
      <c r="N301" s="68" t="inlineStr">
        <is>
          <t>AtkRatio</t>
        </is>
      </c>
      <c r="O301" s="68">
        <f>O300+10000</f>
        <v/>
      </c>
      <c r="P301" s="68" t="inlineStr">
        <is>
          <t>DefRatio</t>
        </is>
      </c>
      <c r="Q301" s="68">
        <f>Q300+10000</f>
        <v/>
      </c>
      <c r="R301" s="0">
        <f>_xlfn.XLOOKUP($B301, 'Detail&lt;Child&gt;'!$A:$A, 'Detail&lt;Child&gt;'!$L:$L)</f>
        <v/>
      </c>
    </row>
    <row r="302">
      <c r="A302" s="68">
        <f>B302*100+H302</f>
        <v/>
      </c>
      <c r="B302" s="68" t="n">
        <v>10000400</v>
      </c>
      <c r="C302" s="68">
        <f>_xlfn.XLOOKUP(B302,'Detail&lt;Child&gt;'!A:A,'Detail&lt;Child&gt;'!B:B)</f>
        <v/>
      </c>
      <c r="D302" s="68">
        <f>"character_gradeup_"&amp;$B302&amp;"_"&amp;$H302</f>
        <v/>
      </c>
      <c r="E302" s="68" t="inlineStr">
        <is>
          <t>Item</t>
        </is>
      </c>
      <c r="F302" s="68">
        <f>INT(3003&amp;RIGHT(B302,4))</f>
        <v/>
      </c>
      <c r="G302" s="68">
        <f>VLOOKUP($R302, '#등급업 재료 개수'!$A$2:$K$5, MATCH(GradeUp!H302, '#등급업 재료 개수'!$A$2:$K$2, 0), FALSE)</f>
        <v/>
      </c>
      <c r="H302" s="68" t="n">
        <v>9</v>
      </c>
      <c r="I302" s="68" t="n">
        <v>90</v>
      </c>
      <c r="J302" s="68" t="inlineStr">
        <is>
          <t>Ultimate</t>
        </is>
      </c>
      <c r="K302" s="68">
        <f>_xlfn.IFNA(VLOOKUP($B302, 'Detail&lt;Child&gt;'!$A:$AW, MATCH(J302, 'Detail&lt;Child&gt;'!$3:$3,0 ), FALSE)+INT($H302/12), 0)+1</f>
        <v/>
      </c>
      <c r="L302" s="68" t="inlineStr">
        <is>
          <t>HpRatio</t>
        </is>
      </c>
      <c r="M302" s="68">
        <f>M301+10000</f>
        <v/>
      </c>
      <c r="N302" s="68" t="inlineStr">
        <is>
          <t>AtkRatio</t>
        </is>
      </c>
      <c r="O302" s="68">
        <f>O301+10000</f>
        <v/>
      </c>
      <c r="P302" s="68" t="inlineStr">
        <is>
          <t>DefRatio</t>
        </is>
      </c>
      <c r="Q302" s="68">
        <f>Q301+10000</f>
        <v/>
      </c>
      <c r="R302" s="0">
        <f>_xlfn.XLOOKUP($B302, 'Detail&lt;Child&gt;'!$A:$A, 'Detail&lt;Child&gt;'!$L:$L)</f>
        <v/>
      </c>
    </row>
    <row r="303">
      <c r="A303" s="68">
        <f>B303*100+H303</f>
        <v/>
      </c>
      <c r="B303" s="68" t="n">
        <v>10000400</v>
      </c>
      <c r="C303" s="68">
        <f>_xlfn.XLOOKUP(B303,'Detail&lt;Child&gt;'!A:A,'Detail&lt;Child&gt;'!B:B)</f>
        <v/>
      </c>
      <c r="D303" s="68">
        <f>"character_gradeup_"&amp;$B303&amp;"_"&amp;$H303</f>
        <v/>
      </c>
      <c r="E303" s="68" t="inlineStr">
        <is>
          <t>Item</t>
        </is>
      </c>
      <c r="F303" s="68">
        <f>INT(3003&amp;RIGHT(B303,4))</f>
        <v/>
      </c>
      <c r="G303" s="68">
        <f>VLOOKUP($R303, '#등급업 재료 개수'!$A$2:$K$5, MATCH(GradeUp!H303, '#등급업 재료 개수'!$A$2:$K$2, 0), FALSE)</f>
        <v/>
      </c>
      <c r="H303" s="68" t="n">
        <v>10</v>
      </c>
      <c r="I303" s="68" t="n">
        <v>100</v>
      </c>
      <c r="J303" s="68" t="n">
        <v>0</v>
      </c>
      <c r="K303" s="68" t="n">
        <v>0</v>
      </c>
      <c r="L303" s="68" t="inlineStr">
        <is>
          <t>HpRatio</t>
        </is>
      </c>
      <c r="M303" s="68">
        <f>M302+10000</f>
        <v/>
      </c>
      <c r="N303" s="68" t="inlineStr">
        <is>
          <t>AtkRatio</t>
        </is>
      </c>
      <c r="O303" s="68">
        <f>O302+10000</f>
        <v/>
      </c>
      <c r="P303" s="68" t="inlineStr">
        <is>
          <t>DefRatio</t>
        </is>
      </c>
      <c r="Q303" s="68">
        <f>Q302+10000</f>
        <v/>
      </c>
      <c r="R303" s="0">
        <f>_xlfn.XLOOKUP($B303, 'Detail&lt;Child&gt;'!$A:$A, 'Detail&lt;Child&gt;'!$L:$L)</f>
        <v/>
      </c>
    </row>
    <row r="304">
      <c r="A304" s="68">
        <f>B304*100+H304</f>
        <v/>
      </c>
      <c r="B304" s="68" t="n">
        <v>10000447</v>
      </c>
      <c r="C304" s="68">
        <f>_xlfn.XLOOKUP(B304,'Detail&lt;Child&gt;'!A:A,'Detail&lt;Child&gt;'!B:B)</f>
        <v/>
      </c>
      <c r="D304" s="68">
        <f>"character_gradeup_"&amp;$B304&amp;"_"&amp;$H304</f>
        <v/>
      </c>
      <c r="E304" s="68" t="inlineStr">
        <is>
          <t>Item</t>
        </is>
      </c>
      <c r="F304" s="68">
        <f>INT(3003&amp;RIGHT(B304,4))</f>
        <v/>
      </c>
      <c r="G304" s="68">
        <f>VLOOKUP($R304, '#등급업 재료 개수'!$A$2:$K$5, MATCH(GradeUp!H304, '#등급업 재료 개수'!$A$2:$K$2, 0), FALSE)</f>
        <v/>
      </c>
      <c r="H304" s="68" t="n">
        <v>1</v>
      </c>
      <c r="I304" s="68" t="n">
        <v>10</v>
      </c>
      <c r="J304" s="68" t="n">
        <v>0</v>
      </c>
      <c r="K304" s="68" t="n">
        <v>0</v>
      </c>
      <c r="L304" s="68" t="inlineStr">
        <is>
          <t>HpRatio</t>
        </is>
      </c>
      <c r="M304" s="68" t="n">
        <v>0</v>
      </c>
      <c r="N304" s="68" t="inlineStr">
        <is>
          <t>AtkRatio</t>
        </is>
      </c>
      <c r="O304" s="68" t="n">
        <v>0</v>
      </c>
      <c r="P304" s="68" t="inlineStr">
        <is>
          <t>DefRatio</t>
        </is>
      </c>
      <c r="Q304" s="68" t="n">
        <v>0</v>
      </c>
      <c r="R304" s="0">
        <f>_xlfn.XLOOKUP($B304, 'Detail&lt;Child&gt;'!$A:$A, 'Detail&lt;Child&gt;'!$L:$L)</f>
        <v/>
      </c>
    </row>
    <row r="305">
      <c r="A305" s="68">
        <f>B305*100+H305</f>
        <v/>
      </c>
      <c r="B305" s="68" t="n">
        <v>10000447</v>
      </c>
      <c r="C305" s="68">
        <f>_xlfn.XLOOKUP(B305,'Detail&lt;Child&gt;'!A:A,'Detail&lt;Child&gt;'!B:B)</f>
        <v/>
      </c>
      <c r="D305" s="68">
        <f>"character_gradeup_"&amp;$B305&amp;"_"&amp;$H305</f>
        <v/>
      </c>
      <c r="E305" s="68" t="inlineStr">
        <is>
          <t>Item</t>
        </is>
      </c>
      <c r="F305" s="68">
        <f>INT(3003&amp;RIGHT(B305,4))</f>
        <v/>
      </c>
      <c r="G305" s="68">
        <f>VLOOKUP($R305, '#등급업 재료 개수'!$A$2:$K$5, MATCH(GradeUp!H305, '#등급업 재료 개수'!$A$2:$K$2, 0), FALSE)</f>
        <v/>
      </c>
      <c r="H305" s="68" t="n">
        <v>2</v>
      </c>
      <c r="I305" s="68" t="n">
        <v>20</v>
      </c>
      <c r="J305" s="68" t="inlineStr">
        <is>
          <t>Active</t>
        </is>
      </c>
      <c r="K305" s="68">
        <f>_xlfn.IFNA(VLOOKUP($B305, 'Detail&lt;Child&gt;'!$A:$AW, MATCH(J305, 'Detail&lt;Child&gt;'!$3:$3,0 ), FALSE)+INT($H305/12), 0)</f>
        <v/>
      </c>
      <c r="L305" s="68" t="inlineStr">
        <is>
          <t>HpRatio</t>
        </is>
      </c>
      <c r="M305" s="68" t="n">
        <v>0</v>
      </c>
      <c r="N305" s="68" t="inlineStr">
        <is>
          <t>AtkRatio</t>
        </is>
      </c>
      <c r="O305" s="68" t="n">
        <v>0</v>
      </c>
      <c r="P305" s="68" t="inlineStr">
        <is>
          <t>DefRatio</t>
        </is>
      </c>
      <c r="Q305" s="68" t="n">
        <v>0</v>
      </c>
      <c r="R305" s="0">
        <f>_xlfn.XLOOKUP($B305, 'Detail&lt;Child&gt;'!$A:$A, 'Detail&lt;Child&gt;'!$L:$L)</f>
        <v/>
      </c>
    </row>
    <row r="306">
      <c r="A306" s="68">
        <f>B306*100+H306</f>
        <v/>
      </c>
      <c r="B306" s="68" t="n">
        <v>10000447</v>
      </c>
      <c r="C306" s="68">
        <f>_xlfn.XLOOKUP(B306,'Detail&lt;Child&gt;'!A:A,'Detail&lt;Child&gt;'!B:B)</f>
        <v/>
      </c>
      <c r="D306" s="68">
        <f>"character_gradeup_"&amp;$B306&amp;"_"&amp;$H306</f>
        <v/>
      </c>
      <c r="E306" s="68" t="inlineStr">
        <is>
          <t>Item</t>
        </is>
      </c>
      <c r="F306" s="68">
        <f>INT(3003&amp;RIGHT(B306,4))</f>
        <v/>
      </c>
      <c r="G306" s="68">
        <f>VLOOKUP($R306, '#등급업 재료 개수'!$A$2:$K$5, MATCH(GradeUp!H306, '#등급업 재료 개수'!$A$2:$K$2, 0), FALSE)</f>
        <v/>
      </c>
      <c r="H306" s="68" t="n">
        <v>3</v>
      </c>
      <c r="I306" s="68" t="n">
        <v>30</v>
      </c>
      <c r="J306" s="68" t="n">
        <v>0</v>
      </c>
      <c r="K306" s="68" t="n">
        <v>0</v>
      </c>
      <c r="L306" s="68" t="inlineStr">
        <is>
          <t>HpRatio</t>
        </is>
      </c>
      <c r="M306" s="68" t="n">
        <v>10000</v>
      </c>
      <c r="N306" s="68" t="inlineStr">
        <is>
          <t>AtkRatio</t>
        </is>
      </c>
      <c r="O306" s="68" t="n">
        <v>10000</v>
      </c>
      <c r="P306" s="68" t="inlineStr">
        <is>
          <t>DefRatio</t>
        </is>
      </c>
      <c r="Q306" s="68" t="n">
        <v>10000</v>
      </c>
      <c r="R306" s="0">
        <f>_xlfn.XLOOKUP($B306, 'Detail&lt;Child&gt;'!$A:$A, 'Detail&lt;Child&gt;'!$L:$L)</f>
        <v/>
      </c>
    </row>
    <row r="307">
      <c r="A307" s="68">
        <f>B307*100+H307</f>
        <v/>
      </c>
      <c r="B307" s="68" t="n">
        <v>10000447</v>
      </c>
      <c r="C307" s="68">
        <f>_xlfn.XLOOKUP(B307,'Detail&lt;Child&gt;'!A:A,'Detail&lt;Child&gt;'!B:B)</f>
        <v/>
      </c>
      <c r="D307" s="68">
        <f>"character_gradeup_"&amp;$B307&amp;"_"&amp;$H307</f>
        <v/>
      </c>
      <c r="E307" s="68" t="inlineStr">
        <is>
          <t>Item</t>
        </is>
      </c>
      <c r="F307" s="68">
        <f>INT(3003&amp;RIGHT(B307,4))</f>
        <v/>
      </c>
      <c r="G307" s="68">
        <f>VLOOKUP($R307, '#등급업 재료 개수'!$A$2:$K$5, MATCH(GradeUp!H307, '#등급업 재료 개수'!$A$2:$K$2, 0), FALSE)</f>
        <v/>
      </c>
      <c r="H307" s="68" t="n">
        <v>4</v>
      </c>
      <c r="I307" s="68" t="n">
        <v>40</v>
      </c>
      <c r="J307" s="68" t="inlineStr">
        <is>
          <t>Passive</t>
        </is>
      </c>
      <c r="K307" s="68">
        <f>_xlfn.IFNA(VLOOKUP($B307, 'Detail&lt;Child&gt;'!$A:$AW, MATCH(J307, 'Detail&lt;Child&gt;'!$3:$3,0 ), FALSE)+INT($H307/12), 0)</f>
        <v/>
      </c>
      <c r="L307" s="68" t="inlineStr">
        <is>
          <t>HpRatio</t>
        </is>
      </c>
      <c r="M307" s="68">
        <f>M306+10000</f>
        <v/>
      </c>
      <c r="N307" s="68" t="inlineStr">
        <is>
          <t>AtkRatio</t>
        </is>
      </c>
      <c r="O307" s="68">
        <f>O306+10000</f>
        <v/>
      </c>
      <c r="P307" s="68" t="inlineStr">
        <is>
          <t>DefRatio</t>
        </is>
      </c>
      <c r="Q307" s="68">
        <f>Q306+10000</f>
        <v/>
      </c>
      <c r="R307" s="0">
        <f>_xlfn.XLOOKUP($B307, 'Detail&lt;Child&gt;'!$A:$A, 'Detail&lt;Child&gt;'!$L:$L)</f>
        <v/>
      </c>
    </row>
    <row r="308">
      <c r="A308" s="68">
        <f>B308*100+H308</f>
        <v/>
      </c>
      <c r="B308" s="68" t="n">
        <v>10000447</v>
      </c>
      <c r="C308" s="68">
        <f>_xlfn.XLOOKUP(B308,'Detail&lt;Child&gt;'!A:A,'Detail&lt;Child&gt;'!B:B)</f>
        <v/>
      </c>
      <c r="D308" s="68">
        <f>"character_gradeup_"&amp;$B308&amp;"_"&amp;$H308</f>
        <v/>
      </c>
      <c r="E308" s="68" t="inlineStr">
        <is>
          <t>Item</t>
        </is>
      </c>
      <c r="F308" s="68">
        <f>INT(3003&amp;RIGHT(B308,4))</f>
        <v/>
      </c>
      <c r="G308" s="68">
        <f>VLOOKUP($R308, '#등급업 재료 개수'!$A$2:$K$5, MATCH(GradeUp!H308, '#등급업 재료 개수'!$A$2:$K$2, 0), FALSE)</f>
        <v/>
      </c>
      <c r="H308" s="68" t="n">
        <v>5</v>
      </c>
      <c r="I308" s="68" t="n">
        <v>50</v>
      </c>
      <c r="J308" s="68" t="inlineStr">
        <is>
          <t>Active</t>
        </is>
      </c>
      <c r="K308" s="68">
        <f>_xlfn.IFNA(VLOOKUP($B308, 'Detail&lt;Child&gt;'!$A:$AW, MATCH(J308, 'Detail&lt;Child&gt;'!$3:$3,0 ), FALSE)+INT($H308/12), 0)+1</f>
        <v/>
      </c>
      <c r="L308" s="68" t="inlineStr">
        <is>
          <t>HpRatio</t>
        </is>
      </c>
      <c r="M308" s="68">
        <f>M307+10000</f>
        <v/>
      </c>
      <c r="N308" s="68" t="inlineStr">
        <is>
          <t>AtkRatio</t>
        </is>
      </c>
      <c r="O308" s="68">
        <f>O307+10000</f>
        <v/>
      </c>
      <c r="P308" s="68" t="inlineStr">
        <is>
          <t>DefRatio</t>
        </is>
      </c>
      <c r="Q308" s="68">
        <f>Q307+10000</f>
        <v/>
      </c>
      <c r="R308" s="0">
        <f>_xlfn.XLOOKUP($B308, 'Detail&lt;Child&gt;'!$A:$A, 'Detail&lt;Child&gt;'!$L:$L)</f>
        <v/>
      </c>
    </row>
    <row r="309">
      <c r="A309" s="68">
        <f>B309*100+H309</f>
        <v/>
      </c>
      <c r="B309" s="68" t="n">
        <v>10000447</v>
      </c>
      <c r="C309" s="68">
        <f>_xlfn.XLOOKUP(B309,'Detail&lt;Child&gt;'!A:A,'Detail&lt;Child&gt;'!B:B)</f>
        <v/>
      </c>
      <c r="D309" s="68">
        <f>"character_gradeup_"&amp;$B309&amp;"_"&amp;$H309</f>
        <v/>
      </c>
      <c r="E309" s="68" t="inlineStr">
        <is>
          <t>Item</t>
        </is>
      </c>
      <c r="F309" s="68">
        <f>INT(3003&amp;RIGHT(B309,4))</f>
        <v/>
      </c>
      <c r="G309" s="68">
        <f>VLOOKUP($R309, '#등급업 재료 개수'!$A$2:$K$5, MATCH(GradeUp!H309, '#등급업 재료 개수'!$A$2:$K$2, 0), FALSE)</f>
        <v/>
      </c>
      <c r="H309" s="68" t="n">
        <v>6</v>
      </c>
      <c r="I309" s="68" t="n">
        <v>60</v>
      </c>
      <c r="J309" s="68" t="n">
        <v>0</v>
      </c>
      <c r="K309" s="68" t="n">
        <v>0</v>
      </c>
      <c r="L309" s="68" t="inlineStr">
        <is>
          <t>HpRatio</t>
        </is>
      </c>
      <c r="M309" s="68">
        <f>M308+10000</f>
        <v/>
      </c>
      <c r="N309" s="68" t="inlineStr">
        <is>
          <t>AtkRatio</t>
        </is>
      </c>
      <c r="O309" s="68">
        <f>O308+10000</f>
        <v/>
      </c>
      <c r="P309" s="68" t="inlineStr">
        <is>
          <t>DefRatio</t>
        </is>
      </c>
      <c r="Q309" s="68">
        <f>Q308+10000</f>
        <v/>
      </c>
      <c r="R309" s="0">
        <f>_xlfn.XLOOKUP($B309, 'Detail&lt;Child&gt;'!$A:$A, 'Detail&lt;Child&gt;'!$L:$L)</f>
        <v/>
      </c>
    </row>
    <row r="310">
      <c r="A310" s="68">
        <f>B310*100+H310</f>
        <v/>
      </c>
      <c r="B310" s="68" t="n">
        <v>10000447</v>
      </c>
      <c r="C310" s="68">
        <f>_xlfn.XLOOKUP(B310,'Detail&lt;Child&gt;'!A:A,'Detail&lt;Child&gt;'!B:B)</f>
        <v/>
      </c>
      <c r="D310" s="68">
        <f>"character_gradeup_"&amp;$B310&amp;"_"&amp;$H310</f>
        <v/>
      </c>
      <c r="E310" s="68" t="inlineStr">
        <is>
          <t>Item</t>
        </is>
      </c>
      <c r="F310" s="68">
        <f>INT(3003&amp;RIGHT(B310,4))</f>
        <v/>
      </c>
      <c r="G310" s="68">
        <f>VLOOKUP($R310, '#등급업 재료 개수'!$A$2:$K$5, MATCH(GradeUp!H310, '#등급업 재료 개수'!$A$2:$K$2, 0), FALSE)</f>
        <v/>
      </c>
      <c r="H310" s="68" t="n">
        <v>7</v>
      </c>
      <c r="I310" s="68" t="n">
        <v>70</v>
      </c>
      <c r="J310" s="68" t="inlineStr">
        <is>
          <t>Passive</t>
        </is>
      </c>
      <c r="K310" s="68">
        <f>_xlfn.IFNA(VLOOKUP($B310, 'Detail&lt;Child&gt;'!$A:$AW, MATCH(J310, 'Detail&lt;Child&gt;'!$3:$3,0 ), FALSE)+INT($H310/12), 0)+1</f>
        <v/>
      </c>
      <c r="L310" s="68" t="inlineStr">
        <is>
          <t>HpRatio</t>
        </is>
      </c>
      <c r="M310" s="68">
        <f>M309+10000</f>
        <v/>
      </c>
      <c r="N310" s="68" t="inlineStr">
        <is>
          <t>AtkRatio</t>
        </is>
      </c>
      <c r="O310" s="68">
        <f>O309+10000</f>
        <v/>
      </c>
      <c r="P310" s="68" t="inlineStr">
        <is>
          <t>DefRatio</t>
        </is>
      </c>
      <c r="Q310" s="68">
        <f>Q309+10000</f>
        <v/>
      </c>
      <c r="R310" s="0">
        <f>_xlfn.XLOOKUP($B310, 'Detail&lt;Child&gt;'!$A:$A, 'Detail&lt;Child&gt;'!$L:$L)</f>
        <v/>
      </c>
    </row>
    <row r="311">
      <c r="A311" s="68">
        <f>B311*100+H311</f>
        <v/>
      </c>
      <c r="B311" s="68" t="n">
        <v>10000447</v>
      </c>
      <c r="C311" s="68">
        <f>_xlfn.XLOOKUP(B311,'Detail&lt;Child&gt;'!A:A,'Detail&lt;Child&gt;'!B:B)</f>
        <v/>
      </c>
      <c r="D311" s="68">
        <f>"character_gradeup_"&amp;$B311&amp;"_"&amp;$H311</f>
        <v/>
      </c>
      <c r="E311" s="68" t="inlineStr">
        <is>
          <t>Item</t>
        </is>
      </c>
      <c r="F311" s="68">
        <f>INT(3003&amp;RIGHT(B311,4))</f>
        <v/>
      </c>
      <c r="G311" s="68">
        <f>VLOOKUP($R311, '#등급업 재료 개수'!$A$2:$K$5, MATCH(GradeUp!H311, '#등급업 재료 개수'!$A$2:$K$2, 0), FALSE)</f>
        <v/>
      </c>
      <c r="H311" s="68" t="n">
        <v>8</v>
      </c>
      <c r="I311" s="68" t="n">
        <v>80</v>
      </c>
      <c r="J311" s="68" t="n">
        <v>0</v>
      </c>
      <c r="K311" s="68" t="n">
        <v>0</v>
      </c>
      <c r="L311" s="68" t="inlineStr">
        <is>
          <t>HpRatio</t>
        </is>
      </c>
      <c r="M311" s="68">
        <f>M310+10000</f>
        <v/>
      </c>
      <c r="N311" s="68" t="inlineStr">
        <is>
          <t>AtkRatio</t>
        </is>
      </c>
      <c r="O311" s="68">
        <f>O310+10000</f>
        <v/>
      </c>
      <c r="P311" s="68" t="inlineStr">
        <is>
          <t>DefRatio</t>
        </is>
      </c>
      <c r="Q311" s="68">
        <f>Q310+10000</f>
        <v/>
      </c>
      <c r="R311" s="0">
        <f>_xlfn.XLOOKUP($B311, 'Detail&lt;Child&gt;'!$A:$A, 'Detail&lt;Child&gt;'!$L:$L)</f>
        <v/>
      </c>
    </row>
    <row r="312">
      <c r="A312" s="68">
        <f>B312*100+H312</f>
        <v/>
      </c>
      <c r="B312" s="68" t="n">
        <v>10000447</v>
      </c>
      <c r="C312" s="68">
        <f>_xlfn.XLOOKUP(B312,'Detail&lt;Child&gt;'!A:A,'Detail&lt;Child&gt;'!B:B)</f>
        <v/>
      </c>
      <c r="D312" s="68">
        <f>"character_gradeup_"&amp;$B312&amp;"_"&amp;$H312</f>
        <v/>
      </c>
      <c r="E312" s="68" t="inlineStr">
        <is>
          <t>Item</t>
        </is>
      </c>
      <c r="F312" s="68">
        <f>INT(3003&amp;RIGHT(B312,4))</f>
        <v/>
      </c>
      <c r="G312" s="68">
        <f>VLOOKUP($R312, '#등급업 재료 개수'!$A$2:$K$5, MATCH(GradeUp!H312, '#등급업 재료 개수'!$A$2:$K$2, 0), FALSE)</f>
        <v/>
      </c>
      <c r="H312" s="68" t="n">
        <v>9</v>
      </c>
      <c r="I312" s="68" t="n">
        <v>90</v>
      </c>
      <c r="J312" s="68" t="inlineStr">
        <is>
          <t>Ultimate</t>
        </is>
      </c>
      <c r="K312" s="68">
        <f>_xlfn.IFNA(VLOOKUP($B312, 'Detail&lt;Child&gt;'!$A:$AW, MATCH(J312, 'Detail&lt;Child&gt;'!$3:$3,0 ), FALSE)+INT($H312/12), 0)+1</f>
        <v/>
      </c>
      <c r="L312" s="68" t="inlineStr">
        <is>
          <t>HpRatio</t>
        </is>
      </c>
      <c r="M312" s="68">
        <f>M311+10000</f>
        <v/>
      </c>
      <c r="N312" s="68" t="inlineStr">
        <is>
          <t>AtkRatio</t>
        </is>
      </c>
      <c r="O312" s="68">
        <f>O311+10000</f>
        <v/>
      </c>
      <c r="P312" s="68" t="inlineStr">
        <is>
          <t>DefRatio</t>
        </is>
      </c>
      <c r="Q312" s="68">
        <f>Q311+10000</f>
        <v/>
      </c>
      <c r="R312" s="0">
        <f>_xlfn.XLOOKUP($B312, 'Detail&lt;Child&gt;'!$A:$A, 'Detail&lt;Child&gt;'!$L:$L)</f>
        <v/>
      </c>
    </row>
    <row r="313">
      <c r="A313" s="68">
        <f>B313*100+H313</f>
        <v/>
      </c>
      <c r="B313" s="68" t="n">
        <v>10000447</v>
      </c>
      <c r="C313" s="68">
        <f>_xlfn.XLOOKUP(B313,'Detail&lt;Child&gt;'!A:A,'Detail&lt;Child&gt;'!B:B)</f>
        <v/>
      </c>
      <c r="D313" s="68">
        <f>"character_gradeup_"&amp;$B313&amp;"_"&amp;$H313</f>
        <v/>
      </c>
      <c r="E313" s="68" t="inlineStr">
        <is>
          <t>Item</t>
        </is>
      </c>
      <c r="F313" s="68">
        <f>INT(3003&amp;RIGHT(B313,4))</f>
        <v/>
      </c>
      <c r="G313" s="68">
        <f>VLOOKUP($R313, '#등급업 재료 개수'!$A$2:$K$5, MATCH(GradeUp!H313, '#등급업 재료 개수'!$A$2:$K$2, 0), FALSE)</f>
        <v/>
      </c>
      <c r="H313" s="68" t="n">
        <v>10</v>
      </c>
      <c r="I313" s="68" t="n">
        <v>100</v>
      </c>
      <c r="J313" s="68" t="n">
        <v>0</v>
      </c>
      <c r="K313" s="68" t="n">
        <v>0</v>
      </c>
      <c r="L313" s="68" t="inlineStr">
        <is>
          <t>HpRatio</t>
        </is>
      </c>
      <c r="M313" s="68">
        <f>M312+10000</f>
        <v/>
      </c>
      <c r="N313" s="68" t="inlineStr">
        <is>
          <t>AtkRatio</t>
        </is>
      </c>
      <c r="O313" s="68">
        <f>O312+10000</f>
        <v/>
      </c>
      <c r="P313" s="68" t="inlineStr">
        <is>
          <t>DefRatio</t>
        </is>
      </c>
      <c r="Q313" s="68">
        <f>Q312+10000</f>
        <v/>
      </c>
      <c r="R313" s="0">
        <f>_xlfn.XLOOKUP($B313, 'Detail&lt;Child&gt;'!$A:$A, 'Detail&lt;Child&gt;'!$L:$L)</f>
        <v/>
      </c>
    </row>
    <row r="314">
      <c r="A314" s="68">
        <f>B314*100+H314</f>
        <v/>
      </c>
      <c r="B314" s="68" t="n">
        <v>10000462</v>
      </c>
      <c r="C314" s="68">
        <f>_xlfn.XLOOKUP(B314,'Detail&lt;Child&gt;'!A:A,'Detail&lt;Child&gt;'!B:B)</f>
        <v/>
      </c>
      <c r="D314" s="68">
        <f>"character_gradeup_"&amp;$B314&amp;"_"&amp;$H314</f>
        <v/>
      </c>
      <c r="E314" s="68" t="inlineStr">
        <is>
          <t>Item</t>
        </is>
      </c>
      <c r="F314" s="68">
        <f>INT(3003&amp;RIGHT(B314,4))</f>
        <v/>
      </c>
      <c r="G314" s="68">
        <f>VLOOKUP($R314, '#등급업 재료 개수'!$A$2:$K$5, MATCH(GradeUp!H314, '#등급업 재료 개수'!$A$2:$K$2, 0), FALSE)</f>
        <v/>
      </c>
      <c r="H314" s="68" t="n">
        <v>1</v>
      </c>
      <c r="I314" s="68" t="n">
        <v>10</v>
      </c>
      <c r="J314" s="68" t="n">
        <v>0</v>
      </c>
      <c r="K314" s="68" t="n">
        <v>0</v>
      </c>
      <c r="L314" s="68" t="inlineStr">
        <is>
          <t>HpRatio</t>
        </is>
      </c>
      <c r="M314" s="68" t="n">
        <v>0</v>
      </c>
      <c r="N314" s="68" t="inlineStr">
        <is>
          <t>AtkRatio</t>
        </is>
      </c>
      <c r="O314" s="68" t="n">
        <v>0</v>
      </c>
      <c r="P314" s="68" t="inlineStr">
        <is>
          <t>DefRatio</t>
        </is>
      </c>
      <c r="Q314" s="68" t="n">
        <v>0</v>
      </c>
      <c r="R314" s="0">
        <f>_xlfn.XLOOKUP($B314, 'Detail&lt;Child&gt;'!$A:$A, 'Detail&lt;Child&gt;'!$L:$L)</f>
        <v/>
      </c>
    </row>
    <row r="315">
      <c r="A315" s="68">
        <f>B315*100+H315</f>
        <v/>
      </c>
      <c r="B315" s="68" t="n">
        <v>10000462</v>
      </c>
      <c r="C315" s="68">
        <f>_xlfn.XLOOKUP(B315,'Detail&lt;Child&gt;'!A:A,'Detail&lt;Child&gt;'!B:B)</f>
        <v/>
      </c>
      <c r="D315" s="68">
        <f>"character_gradeup_"&amp;$B315&amp;"_"&amp;$H315</f>
        <v/>
      </c>
      <c r="E315" s="68" t="inlineStr">
        <is>
          <t>Item</t>
        </is>
      </c>
      <c r="F315" s="68">
        <f>INT(3003&amp;RIGHT(B315,4))</f>
        <v/>
      </c>
      <c r="G315" s="68">
        <f>VLOOKUP($R315, '#등급업 재료 개수'!$A$2:$K$5, MATCH(GradeUp!H315, '#등급업 재료 개수'!$A$2:$K$2, 0), FALSE)</f>
        <v/>
      </c>
      <c r="H315" s="68" t="n">
        <v>2</v>
      </c>
      <c r="I315" s="68" t="n">
        <v>20</v>
      </c>
      <c r="J315" s="68" t="inlineStr">
        <is>
          <t>Active</t>
        </is>
      </c>
      <c r="K315" s="68">
        <f>_xlfn.IFNA(VLOOKUP($B315, 'Detail&lt;Child&gt;'!$A:$AW, MATCH(J315, 'Detail&lt;Child&gt;'!$3:$3,0 ), FALSE)+INT($H315/12), 0)</f>
        <v/>
      </c>
      <c r="L315" s="68" t="inlineStr">
        <is>
          <t>HpRatio</t>
        </is>
      </c>
      <c r="M315" s="68" t="n">
        <v>0</v>
      </c>
      <c r="N315" s="68" t="inlineStr">
        <is>
          <t>AtkRatio</t>
        </is>
      </c>
      <c r="O315" s="68" t="n">
        <v>0</v>
      </c>
      <c r="P315" s="68" t="inlineStr">
        <is>
          <t>DefRatio</t>
        </is>
      </c>
      <c r="Q315" s="68" t="n">
        <v>0</v>
      </c>
      <c r="R315" s="0">
        <f>_xlfn.XLOOKUP($B315, 'Detail&lt;Child&gt;'!$A:$A, 'Detail&lt;Child&gt;'!$L:$L)</f>
        <v/>
      </c>
    </row>
    <row r="316">
      <c r="A316" s="68">
        <f>B316*100+H316</f>
        <v/>
      </c>
      <c r="B316" s="68" t="n">
        <v>10000462</v>
      </c>
      <c r="C316" s="68">
        <f>_xlfn.XLOOKUP(B316,'Detail&lt;Child&gt;'!A:A,'Detail&lt;Child&gt;'!B:B)</f>
        <v/>
      </c>
      <c r="D316" s="68">
        <f>"character_gradeup_"&amp;$B316&amp;"_"&amp;$H316</f>
        <v/>
      </c>
      <c r="E316" s="68" t="inlineStr">
        <is>
          <t>Item</t>
        </is>
      </c>
      <c r="F316" s="68">
        <f>INT(3003&amp;RIGHT(B316,4))</f>
        <v/>
      </c>
      <c r="G316" s="68">
        <f>VLOOKUP($R316, '#등급업 재료 개수'!$A$2:$K$5, MATCH(GradeUp!H316, '#등급업 재료 개수'!$A$2:$K$2, 0), FALSE)</f>
        <v/>
      </c>
      <c r="H316" s="68" t="n">
        <v>3</v>
      </c>
      <c r="I316" s="68" t="n">
        <v>30</v>
      </c>
      <c r="J316" s="68" t="n">
        <v>0</v>
      </c>
      <c r="K316" s="68" t="n">
        <v>0</v>
      </c>
      <c r="L316" s="68" t="inlineStr">
        <is>
          <t>HpRatio</t>
        </is>
      </c>
      <c r="M316" s="68" t="n">
        <v>10000</v>
      </c>
      <c r="N316" s="68" t="inlineStr">
        <is>
          <t>AtkRatio</t>
        </is>
      </c>
      <c r="O316" s="68" t="n">
        <v>10000</v>
      </c>
      <c r="P316" s="68" t="inlineStr">
        <is>
          <t>DefRatio</t>
        </is>
      </c>
      <c r="Q316" s="68" t="n">
        <v>10000</v>
      </c>
      <c r="R316" s="0">
        <f>_xlfn.XLOOKUP($B316, 'Detail&lt;Child&gt;'!$A:$A, 'Detail&lt;Child&gt;'!$L:$L)</f>
        <v/>
      </c>
    </row>
    <row r="317">
      <c r="A317" s="68">
        <f>B317*100+H317</f>
        <v/>
      </c>
      <c r="B317" s="68" t="n">
        <v>10000462</v>
      </c>
      <c r="C317" s="68">
        <f>_xlfn.XLOOKUP(B317,'Detail&lt;Child&gt;'!A:A,'Detail&lt;Child&gt;'!B:B)</f>
        <v/>
      </c>
      <c r="D317" s="68">
        <f>"character_gradeup_"&amp;$B317&amp;"_"&amp;$H317</f>
        <v/>
      </c>
      <c r="E317" s="68" t="inlineStr">
        <is>
          <t>Item</t>
        </is>
      </c>
      <c r="F317" s="68">
        <f>INT(3003&amp;RIGHT(B317,4))</f>
        <v/>
      </c>
      <c r="G317" s="68">
        <f>VLOOKUP($R317, '#등급업 재료 개수'!$A$2:$K$5, MATCH(GradeUp!H317, '#등급업 재료 개수'!$A$2:$K$2, 0), FALSE)</f>
        <v/>
      </c>
      <c r="H317" s="68" t="n">
        <v>4</v>
      </c>
      <c r="I317" s="68" t="n">
        <v>40</v>
      </c>
      <c r="J317" s="68" t="inlineStr">
        <is>
          <t>Passive</t>
        </is>
      </c>
      <c r="K317" s="68">
        <f>_xlfn.IFNA(VLOOKUP($B317, 'Detail&lt;Child&gt;'!$A:$AW, MATCH(J317, 'Detail&lt;Child&gt;'!$3:$3,0 ), FALSE)+INT($H317/12), 0)</f>
        <v/>
      </c>
      <c r="L317" s="68" t="inlineStr">
        <is>
          <t>HpRatio</t>
        </is>
      </c>
      <c r="M317" s="68">
        <f>M316+10000</f>
        <v/>
      </c>
      <c r="N317" s="68" t="inlineStr">
        <is>
          <t>AtkRatio</t>
        </is>
      </c>
      <c r="O317" s="68">
        <f>O316+10000</f>
        <v/>
      </c>
      <c r="P317" s="68" t="inlineStr">
        <is>
          <t>DefRatio</t>
        </is>
      </c>
      <c r="Q317" s="68">
        <f>Q316+10000</f>
        <v/>
      </c>
      <c r="R317" s="0">
        <f>_xlfn.XLOOKUP($B317, 'Detail&lt;Child&gt;'!$A:$A, 'Detail&lt;Child&gt;'!$L:$L)</f>
        <v/>
      </c>
    </row>
    <row r="318">
      <c r="A318" s="68">
        <f>B318*100+H318</f>
        <v/>
      </c>
      <c r="B318" s="68" t="n">
        <v>10000462</v>
      </c>
      <c r="C318" s="68">
        <f>_xlfn.XLOOKUP(B318,'Detail&lt;Child&gt;'!A:A,'Detail&lt;Child&gt;'!B:B)</f>
        <v/>
      </c>
      <c r="D318" s="68">
        <f>"character_gradeup_"&amp;$B318&amp;"_"&amp;$H318</f>
        <v/>
      </c>
      <c r="E318" s="68" t="inlineStr">
        <is>
          <t>Item</t>
        </is>
      </c>
      <c r="F318" s="68">
        <f>INT(3003&amp;RIGHT(B318,4))</f>
        <v/>
      </c>
      <c r="G318" s="68">
        <f>VLOOKUP($R318, '#등급업 재료 개수'!$A$2:$K$5, MATCH(GradeUp!H318, '#등급업 재료 개수'!$A$2:$K$2, 0), FALSE)</f>
        <v/>
      </c>
      <c r="H318" s="68" t="n">
        <v>5</v>
      </c>
      <c r="I318" s="68" t="n">
        <v>50</v>
      </c>
      <c r="J318" s="68" t="inlineStr">
        <is>
          <t>Active</t>
        </is>
      </c>
      <c r="K318" s="68">
        <f>_xlfn.IFNA(VLOOKUP($B318, 'Detail&lt;Child&gt;'!$A:$AW, MATCH(J318, 'Detail&lt;Child&gt;'!$3:$3,0 ), FALSE)+INT($H318/12), 0)+1</f>
        <v/>
      </c>
      <c r="L318" s="68" t="inlineStr">
        <is>
          <t>HpRatio</t>
        </is>
      </c>
      <c r="M318" s="68">
        <f>M317+10000</f>
        <v/>
      </c>
      <c r="N318" s="68" t="inlineStr">
        <is>
          <t>AtkRatio</t>
        </is>
      </c>
      <c r="O318" s="68">
        <f>O317+10000</f>
        <v/>
      </c>
      <c r="P318" s="68" t="inlineStr">
        <is>
          <t>DefRatio</t>
        </is>
      </c>
      <c r="Q318" s="68">
        <f>Q317+10000</f>
        <v/>
      </c>
      <c r="R318" s="0">
        <f>_xlfn.XLOOKUP($B318, 'Detail&lt;Child&gt;'!$A:$A, 'Detail&lt;Child&gt;'!$L:$L)</f>
        <v/>
      </c>
    </row>
    <row r="319">
      <c r="A319" s="68">
        <f>B319*100+H319</f>
        <v/>
      </c>
      <c r="B319" s="68" t="n">
        <v>10000462</v>
      </c>
      <c r="C319" s="68">
        <f>_xlfn.XLOOKUP(B319,'Detail&lt;Child&gt;'!A:A,'Detail&lt;Child&gt;'!B:B)</f>
        <v/>
      </c>
      <c r="D319" s="68">
        <f>"character_gradeup_"&amp;$B319&amp;"_"&amp;$H319</f>
        <v/>
      </c>
      <c r="E319" s="68" t="inlineStr">
        <is>
          <t>Item</t>
        </is>
      </c>
      <c r="F319" s="68">
        <f>INT(3003&amp;RIGHT(B319,4))</f>
        <v/>
      </c>
      <c r="G319" s="68">
        <f>VLOOKUP($R319, '#등급업 재료 개수'!$A$2:$K$5, MATCH(GradeUp!H319, '#등급업 재료 개수'!$A$2:$K$2, 0), FALSE)</f>
        <v/>
      </c>
      <c r="H319" s="68" t="n">
        <v>6</v>
      </c>
      <c r="I319" s="68" t="n">
        <v>60</v>
      </c>
      <c r="J319" s="68" t="n">
        <v>0</v>
      </c>
      <c r="K319" s="68" t="n">
        <v>0</v>
      </c>
      <c r="L319" s="68" t="inlineStr">
        <is>
          <t>HpRatio</t>
        </is>
      </c>
      <c r="M319" s="68">
        <f>M318+10000</f>
        <v/>
      </c>
      <c r="N319" s="68" t="inlineStr">
        <is>
          <t>AtkRatio</t>
        </is>
      </c>
      <c r="O319" s="68">
        <f>O318+10000</f>
        <v/>
      </c>
      <c r="P319" s="68" t="inlineStr">
        <is>
          <t>DefRatio</t>
        </is>
      </c>
      <c r="Q319" s="68">
        <f>Q318+10000</f>
        <v/>
      </c>
      <c r="R319" s="0">
        <f>_xlfn.XLOOKUP($B319, 'Detail&lt;Child&gt;'!$A:$A, 'Detail&lt;Child&gt;'!$L:$L)</f>
        <v/>
      </c>
    </row>
    <row r="320">
      <c r="A320" s="68">
        <f>B320*100+H320</f>
        <v/>
      </c>
      <c r="B320" s="68" t="n">
        <v>10000462</v>
      </c>
      <c r="C320" s="68">
        <f>_xlfn.XLOOKUP(B320,'Detail&lt;Child&gt;'!A:A,'Detail&lt;Child&gt;'!B:B)</f>
        <v/>
      </c>
      <c r="D320" s="68">
        <f>"character_gradeup_"&amp;$B320&amp;"_"&amp;$H320</f>
        <v/>
      </c>
      <c r="E320" s="68" t="inlineStr">
        <is>
          <t>Item</t>
        </is>
      </c>
      <c r="F320" s="68">
        <f>INT(3003&amp;RIGHT(B320,4))</f>
        <v/>
      </c>
      <c r="G320" s="68">
        <f>VLOOKUP($R320, '#등급업 재료 개수'!$A$2:$K$5, MATCH(GradeUp!H320, '#등급업 재료 개수'!$A$2:$K$2, 0), FALSE)</f>
        <v/>
      </c>
      <c r="H320" s="68" t="n">
        <v>7</v>
      </c>
      <c r="I320" s="68" t="n">
        <v>70</v>
      </c>
      <c r="J320" s="68" t="inlineStr">
        <is>
          <t>Passive</t>
        </is>
      </c>
      <c r="K320" s="68">
        <f>_xlfn.IFNA(VLOOKUP($B320, 'Detail&lt;Child&gt;'!$A:$AW, MATCH(J320, 'Detail&lt;Child&gt;'!$3:$3,0 ), FALSE)+INT($H320/12), 0)+1</f>
        <v/>
      </c>
      <c r="L320" s="68" t="inlineStr">
        <is>
          <t>HpRatio</t>
        </is>
      </c>
      <c r="M320" s="68">
        <f>M319+10000</f>
        <v/>
      </c>
      <c r="N320" s="68" t="inlineStr">
        <is>
          <t>AtkRatio</t>
        </is>
      </c>
      <c r="O320" s="68">
        <f>O319+10000</f>
        <v/>
      </c>
      <c r="P320" s="68" t="inlineStr">
        <is>
          <t>DefRatio</t>
        </is>
      </c>
      <c r="Q320" s="68">
        <f>Q319+10000</f>
        <v/>
      </c>
      <c r="R320" s="0">
        <f>_xlfn.XLOOKUP($B320, 'Detail&lt;Child&gt;'!$A:$A, 'Detail&lt;Child&gt;'!$L:$L)</f>
        <v/>
      </c>
    </row>
    <row r="321">
      <c r="A321" s="68">
        <f>B321*100+H321</f>
        <v/>
      </c>
      <c r="B321" s="68" t="n">
        <v>10000462</v>
      </c>
      <c r="C321" s="68">
        <f>_xlfn.XLOOKUP(B321,'Detail&lt;Child&gt;'!A:A,'Detail&lt;Child&gt;'!B:B)</f>
        <v/>
      </c>
      <c r="D321" s="68">
        <f>"character_gradeup_"&amp;$B321&amp;"_"&amp;$H321</f>
        <v/>
      </c>
      <c r="E321" s="68" t="inlineStr">
        <is>
          <t>Item</t>
        </is>
      </c>
      <c r="F321" s="68">
        <f>INT(3003&amp;RIGHT(B321,4))</f>
        <v/>
      </c>
      <c r="G321" s="68">
        <f>VLOOKUP($R321, '#등급업 재료 개수'!$A$2:$K$5, MATCH(GradeUp!H321, '#등급업 재료 개수'!$A$2:$K$2, 0), FALSE)</f>
        <v/>
      </c>
      <c r="H321" s="68" t="n">
        <v>8</v>
      </c>
      <c r="I321" s="68" t="n">
        <v>80</v>
      </c>
      <c r="J321" s="68" t="n">
        <v>0</v>
      </c>
      <c r="K321" s="68" t="n">
        <v>0</v>
      </c>
      <c r="L321" s="68" t="inlineStr">
        <is>
          <t>HpRatio</t>
        </is>
      </c>
      <c r="M321" s="68">
        <f>M320+10000</f>
        <v/>
      </c>
      <c r="N321" s="68" t="inlineStr">
        <is>
          <t>AtkRatio</t>
        </is>
      </c>
      <c r="O321" s="68">
        <f>O320+10000</f>
        <v/>
      </c>
      <c r="P321" s="68" t="inlineStr">
        <is>
          <t>DefRatio</t>
        </is>
      </c>
      <c r="Q321" s="68">
        <f>Q320+10000</f>
        <v/>
      </c>
      <c r="R321" s="0">
        <f>_xlfn.XLOOKUP($B321, 'Detail&lt;Child&gt;'!$A:$A, 'Detail&lt;Child&gt;'!$L:$L)</f>
        <v/>
      </c>
    </row>
    <row r="322">
      <c r="A322" s="68">
        <f>B322*100+H322</f>
        <v/>
      </c>
      <c r="B322" s="68" t="n">
        <v>10000462</v>
      </c>
      <c r="C322" s="68">
        <f>_xlfn.XLOOKUP(B322,'Detail&lt;Child&gt;'!A:A,'Detail&lt;Child&gt;'!B:B)</f>
        <v/>
      </c>
      <c r="D322" s="68">
        <f>"character_gradeup_"&amp;$B322&amp;"_"&amp;$H322</f>
        <v/>
      </c>
      <c r="E322" s="68" t="inlineStr">
        <is>
          <t>Item</t>
        </is>
      </c>
      <c r="F322" s="68">
        <f>INT(3003&amp;RIGHT(B322,4))</f>
        <v/>
      </c>
      <c r="G322" s="68">
        <f>VLOOKUP($R322, '#등급업 재료 개수'!$A$2:$K$5, MATCH(GradeUp!H322, '#등급업 재료 개수'!$A$2:$K$2, 0), FALSE)</f>
        <v/>
      </c>
      <c r="H322" s="68" t="n">
        <v>9</v>
      </c>
      <c r="I322" s="68" t="n">
        <v>90</v>
      </c>
      <c r="J322" s="68" t="inlineStr">
        <is>
          <t>Ultimate</t>
        </is>
      </c>
      <c r="K322" s="68">
        <f>_xlfn.IFNA(VLOOKUP($B322, 'Detail&lt;Child&gt;'!$A:$AW, MATCH(J322, 'Detail&lt;Child&gt;'!$3:$3,0 ), FALSE)+INT($H322/12), 0)+1</f>
        <v/>
      </c>
      <c r="L322" s="68" t="inlineStr">
        <is>
          <t>HpRatio</t>
        </is>
      </c>
      <c r="M322" s="68">
        <f>M321+10000</f>
        <v/>
      </c>
      <c r="N322" s="68" t="inlineStr">
        <is>
          <t>AtkRatio</t>
        </is>
      </c>
      <c r="O322" s="68">
        <f>O321+10000</f>
        <v/>
      </c>
      <c r="P322" s="68" t="inlineStr">
        <is>
          <t>DefRatio</t>
        </is>
      </c>
      <c r="Q322" s="68">
        <f>Q321+10000</f>
        <v/>
      </c>
      <c r="R322" s="0">
        <f>_xlfn.XLOOKUP($B322, 'Detail&lt;Child&gt;'!$A:$A, 'Detail&lt;Child&gt;'!$L:$L)</f>
        <v/>
      </c>
    </row>
    <row r="323">
      <c r="A323" s="68">
        <f>B323*100+H323</f>
        <v/>
      </c>
      <c r="B323" s="68" t="n">
        <v>10000462</v>
      </c>
      <c r="C323" s="68">
        <f>_xlfn.XLOOKUP(B323,'Detail&lt;Child&gt;'!A:A,'Detail&lt;Child&gt;'!B:B)</f>
        <v/>
      </c>
      <c r="D323" s="68">
        <f>"character_gradeup_"&amp;$B323&amp;"_"&amp;$H323</f>
        <v/>
      </c>
      <c r="E323" s="68" t="inlineStr">
        <is>
          <t>Item</t>
        </is>
      </c>
      <c r="F323" s="68">
        <f>INT(3003&amp;RIGHT(B323,4))</f>
        <v/>
      </c>
      <c r="G323" s="68">
        <f>VLOOKUP($R323, '#등급업 재료 개수'!$A$2:$K$5, MATCH(GradeUp!H323, '#등급업 재료 개수'!$A$2:$K$2, 0), FALSE)</f>
        <v/>
      </c>
      <c r="H323" s="68" t="n">
        <v>10</v>
      </c>
      <c r="I323" s="68" t="n">
        <v>100</v>
      </c>
      <c r="J323" s="68" t="n">
        <v>0</v>
      </c>
      <c r="K323" s="68" t="n">
        <v>0</v>
      </c>
      <c r="L323" s="68" t="inlineStr">
        <is>
          <t>HpRatio</t>
        </is>
      </c>
      <c r="M323" s="68">
        <f>M322+10000</f>
        <v/>
      </c>
      <c r="N323" s="68" t="inlineStr">
        <is>
          <t>AtkRatio</t>
        </is>
      </c>
      <c r="O323" s="68">
        <f>O322+10000</f>
        <v/>
      </c>
      <c r="P323" s="68" t="inlineStr">
        <is>
          <t>DefRatio</t>
        </is>
      </c>
      <c r="Q323" s="68">
        <f>Q322+10000</f>
        <v/>
      </c>
      <c r="R323" s="0">
        <f>_xlfn.XLOOKUP($B323, 'Detail&lt;Child&gt;'!$A:$A, 'Detail&lt;Child&gt;'!$L:$L)</f>
        <v/>
      </c>
    </row>
    <row r="324">
      <c r="A324" s="68">
        <f>B324*100+H324</f>
        <v/>
      </c>
      <c r="B324" s="68" t="n">
        <v>10000281</v>
      </c>
      <c r="C324" s="68">
        <f>_xlfn.XLOOKUP(B324,'Detail&lt;Child&gt;'!A:A,'Detail&lt;Child&gt;'!B:B)</f>
        <v/>
      </c>
      <c r="D324" s="68">
        <f>"character_gradeup_"&amp;$B324&amp;"_"&amp;$H324</f>
        <v/>
      </c>
      <c r="E324" s="68" t="inlineStr">
        <is>
          <t>Item</t>
        </is>
      </c>
      <c r="F324" s="68">
        <f>INT(3003&amp;RIGHT(B324,4))</f>
        <v/>
      </c>
      <c r="G324" s="68">
        <f>VLOOKUP($R324, '#등급업 재료 개수'!$A$2:$K$5, MATCH(GradeUp!H324, '#등급업 재료 개수'!$A$2:$K$2, 0), FALSE)</f>
        <v/>
      </c>
      <c r="H324" s="68" t="n">
        <v>1</v>
      </c>
      <c r="I324" s="68" t="n">
        <v>10</v>
      </c>
      <c r="J324" s="68" t="n">
        <v>0</v>
      </c>
      <c r="K324" s="68" t="n">
        <v>0</v>
      </c>
      <c r="L324" s="68" t="inlineStr">
        <is>
          <t>HpRatio</t>
        </is>
      </c>
      <c r="M324" s="68" t="n">
        <v>0</v>
      </c>
      <c r="N324" s="68" t="inlineStr">
        <is>
          <t>AtkRatio</t>
        </is>
      </c>
      <c r="O324" s="68" t="n">
        <v>0</v>
      </c>
      <c r="P324" s="68" t="inlineStr">
        <is>
          <t>DefRatio</t>
        </is>
      </c>
      <c r="Q324" s="68" t="n">
        <v>0</v>
      </c>
      <c r="R324" s="0">
        <f>_xlfn.XLOOKUP($B324, 'Detail&lt;Child&gt;'!$A:$A, 'Detail&lt;Child&gt;'!$L:$L)</f>
        <v/>
      </c>
    </row>
    <row r="325">
      <c r="A325" s="68">
        <f>B325*100+H325</f>
        <v/>
      </c>
      <c r="B325" s="68" t="n">
        <v>10000281</v>
      </c>
      <c r="C325" s="68">
        <f>_xlfn.XLOOKUP(B325,'Detail&lt;Child&gt;'!A:A,'Detail&lt;Child&gt;'!B:B)</f>
        <v/>
      </c>
      <c r="D325" s="68">
        <f>"character_gradeup_"&amp;$B325&amp;"_"&amp;$H325</f>
        <v/>
      </c>
      <c r="E325" s="68" t="inlineStr">
        <is>
          <t>Item</t>
        </is>
      </c>
      <c r="F325" s="68">
        <f>INT(3003&amp;RIGHT(B325,4))</f>
        <v/>
      </c>
      <c r="G325" s="68">
        <f>VLOOKUP($R325, '#등급업 재료 개수'!$A$2:$K$5, MATCH(GradeUp!H325, '#등급업 재료 개수'!$A$2:$K$2, 0), FALSE)</f>
        <v/>
      </c>
      <c r="H325" s="68" t="n">
        <v>2</v>
      </c>
      <c r="I325" s="68" t="n">
        <v>20</v>
      </c>
      <c r="J325" s="68" t="inlineStr">
        <is>
          <t>Active</t>
        </is>
      </c>
      <c r="K325" s="68">
        <f>_xlfn.IFNA(VLOOKUP($B325, 'Detail&lt;Child&gt;'!$A:$AW, MATCH(J325, 'Detail&lt;Child&gt;'!$3:$3,0 ), FALSE)+INT($H325/12), 0)</f>
        <v/>
      </c>
      <c r="L325" s="68" t="inlineStr">
        <is>
          <t>HpRatio</t>
        </is>
      </c>
      <c r="M325" s="68" t="n">
        <v>0</v>
      </c>
      <c r="N325" s="68" t="inlineStr">
        <is>
          <t>AtkRatio</t>
        </is>
      </c>
      <c r="O325" s="68" t="n">
        <v>0</v>
      </c>
      <c r="P325" s="68" t="inlineStr">
        <is>
          <t>DefRatio</t>
        </is>
      </c>
      <c r="Q325" s="68" t="n">
        <v>0</v>
      </c>
      <c r="R325" s="0">
        <f>_xlfn.XLOOKUP($B325, 'Detail&lt;Child&gt;'!$A:$A, 'Detail&lt;Child&gt;'!$L:$L)</f>
        <v/>
      </c>
    </row>
    <row r="326">
      <c r="A326" s="68">
        <f>B326*100+H326</f>
        <v/>
      </c>
      <c r="B326" s="68" t="n">
        <v>10000281</v>
      </c>
      <c r="C326" s="68">
        <f>_xlfn.XLOOKUP(B326,'Detail&lt;Child&gt;'!A:A,'Detail&lt;Child&gt;'!B:B)</f>
        <v/>
      </c>
      <c r="D326" s="68">
        <f>"character_gradeup_"&amp;$B326&amp;"_"&amp;$H326</f>
        <v/>
      </c>
      <c r="E326" s="68" t="inlineStr">
        <is>
          <t>Item</t>
        </is>
      </c>
      <c r="F326" s="68">
        <f>INT(3003&amp;RIGHT(B326,4))</f>
        <v/>
      </c>
      <c r="G326" s="68">
        <f>VLOOKUP($R326, '#등급업 재료 개수'!$A$2:$K$5, MATCH(GradeUp!H326, '#등급업 재료 개수'!$A$2:$K$2, 0), FALSE)</f>
        <v/>
      </c>
      <c r="H326" s="68" t="n">
        <v>3</v>
      </c>
      <c r="I326" s="68" t="n">
        <v>30</v>
      </c>
      <c r="J326" s="68" t="n">
        <v>0</v>
      </c>
      <c r="K326" s="68" t="n">
        <v>0</v>
      </c>
      <c r="L326" s="68" t="inlineStr">
        <is>
          <t>HpRatio</t>
        </is>
      </c>
      <c r="M326" s="68" t="n">
        <v>10000</v>
      </c>
      <c r="N326" s="68" t="inlineStr">
        <is>
          <t>AtkRatio</t>
        </is>
      </c>
      <c r="O326" s="68" t="n">
        <v>10000</v>
      </c>
      <c r="P326" s="68" t="inlineStr">
        <is>
          <t>DefRatio</t>
        </is>
      </c>
      <c r="Q326" s="68" t="n">
        <v>10000</v>
      </c>
      <c r="R326" s="0">
        <f>_xlfn.XLOOKUP($B326, 'Detail&lt;Child&gt;'!$A:$A, 'Detail&lt;Child&gt;'!$L:$L)</f>
        <v/>
      </c>
    </row>
    <row r="327">
      <c r="A327" s="68">
        <f>B327*100+H327</f>
        <v/>
      </c>
      <c r="B327" s="68" t="n">
        <v>10000281</v>
      </c>
      <c r="C327" s="68">
        <f>_xlfn.XLOOKUP(B327,'Detail&lt;Child&gt;'!A:A,'Detail&lt;Child&gt;'!B:B)</f>
        <v/>
      </c>
      <c r="D327" s="68">
        <f>"character_gradeup_"&amp;$B327&amp;"_"&amp;$H327</f>
        <v/>
      </c>
      <c r="E327" s="68" t="inlineStr">
        <is>
          <t>Item</t>
        </is>
      </c>
      <c r="F327" s="68">
        <f>INT(3003&amp;RIGHT(B327,4))</f>
        <v/>
      </c>
      <c r="G327" s="68">
        <f>VLOOKUP($R327, '#등급업 재료 개수'!$A$2:$K$5, MATCH(GradeUp!H327, '#등급업 재료 개수'!$A$2:$K$2, 0), FALSE)</f>
        <v/>
      </c>
      <c r="H327" s="68" t="n">
        <v>4</v>
      </c>
      <c r="I327" s="68" t="n">
        <v>40</v>
      </c>
      <c r="J327" s="68" t="inlineStr">
        <is>
          <t>Passive</t>
        </is>
      </c>
      <c r="K327" s="68">
        <f>_xlfn.IFNA(VLOOKUP($B327, 'Detail&lt;Child&gt;'!$A:$AW, MATCH(J327, 'Detail&lt;Child&gt;'!$3:$3,0 ), FALSE)+INT($H327/12), 0)</f>
        <v/>
      </c>
      <c r="L327" s="68" t="inlineStr">
        <is>
          <t>HpRatio</t>
        </is>
      </c>
      <c r="M327" s="68">
        <f>M326+10000</f>
        <v/>
      </c>
      <c r="N327" s="68" t="inlineStr">
        <is>
          <t>AtkRatio</t>
        </is>
      </c>
      <c r="O327" s="68">
        <f>O326+10000</f>
        <v/>
      </c>
      <c r="P327" s="68" t="inlineStr">
        <is>
          <t>DefRatio</t>
        </is>
      </c>
      <c r="Q327" s="68">
        <f>Q326+10000</f>
        <v/>
      </c>
      <c r="R327" s="0">
        <f>_xlfn.XLOOKUP($B327, 'Detail&lt;Child&gt;'!$A:$A, 'Detail&lt;Child&gt;'!$L:$L)</f>
        <v/>
      </c>
    </row>
    <row r="328">
      <c r="A328" s="68">
        <f>B328*100+H328</f>
        <v/>
      </c>
      <c r="B328" s="68" t="n">
        <v>10000281</v>
      </c>
      <c r="C328" s="68">
        <f>_xlfn.XLOOKUP(B328,'Detail&lt;Child&gt;'!A:A,'Detail&lt;Child&gt;'!B:B)</f>
        <v/>
      </c>
      <c r="D328" s="68">
        <f>"character_gradeup_"&amp;$B328&amp;"_"&amp;$H328</f>
        <v/>
      </c>
      <c r="E328" s="68" t="inlineStr">
        <is>
          <t>Item</t>
        </is>
      </c>
      <c r="F328" s="68">
        <f>INT(3003&amp;RIGHT(B328,4))</f>
        <v/>
      </c>
      <c r="G328" s="68">
        <f>VLOOKUP($R328, '#등급업 재료 개수'!$A$2:$K$5, MATCH(GradeUp!H328, '#등급업 재료 개수'!$A$2:$K$2, 0), FALSE)</f>
        <v/>
      </c>
      <c r="H328" s="68" t="n">
        <v>5</v>
      </c>
      <c r="I328" s="68" t="n">
        <v>50</v>
      </c>
      <c r="J328" s="68" t="inlineStr">
        <is>
          <t>Active</t>
        </is>
      </c>
      <c r="K328" s="68">
        <f>_xlfn.IFNA(VLOOKUP($B328, 'Detail&lt;Child&gt;'!$A:$AW, MATCH(J328, 'Detail&lt;Child&gt;'!$3:$3,0 ), FALSE)+INT($H328/12), 0)+1</f>
        <v/>
      </c>
      <c r="L328" s="68" t="inlineStr">
        <is>
          <t>HpRatio</t>
        </is>
      </c>
      <c r="M328" s="68">
        <f>M327+10000</f>
        <v/>
      </c>
      <c r="N328" s="68" t="inlineStr">
        <is>
          <t>AtkRatio</t>
        </is>
      </c>
      <c r="O328" s="68">
        <f>O327+10000</f>
        <v/>
      </c>
      <c r="P328" s="68" t="inlineStr">
        <is>
          <t>DefRatio</t>
        </is>
      </c>
      <c r="Q328" s="68">
        <f>Q327+10000</f>
        <v/>
      </c>
      <c r="R328" s="0">
        <f>_xlfn.XLOOKUP($B328, 'Detail&lt;Child&gt;'!$A:$A, 'Detail&lt;Child&gt;'!$L:$L)</f>
        <v/>
      </c>
    </row>
    <row r="329">
      <c r="A329" s="68">
        <f>B329*100+H329</f>
        <v/>
      </c>
      <c r="B329" s="68" t="n">
        <v>10000281</v>
      </c>
      <c r="C329" s="68">
        <f>_xlfn.XLOOKUP(B329,'Detail&lt;Child&gt;'!A:A,'Detail&lt;Child&gt;'!B:B)</f>
        <v/>
      </c>
      <c r="D329" s="68">
        <f>"character_gradeup_"&amp;$B329&amp;"_"&amp;$H329</f>
        <v/>
      </c>
      <c r="E329" s="68" t="inlineStr">
        <is>
          <t>Item</t>
        </is>
      </c>
      <c r="F329" s="68">
        <f>INT(3003&amp;RIGHT(B329,4))</f>
        <v/>
      </c>
      <c r="G329" s="68">
        <f>VLOOKUP($R329, '#등급업 재료 개수'!$A$2:$K$5, MATCH(GradeUp!H329, '#등급업 재료 개수'!$A$2:$K$2, 0), FALSE)</f>
        <v/>
      </c>
      <c r="H329" s="68" t="n">
        <v>6</v>
      </c>
      <c r="I329" s="68" t="n">
        <v>60</v>
      </c>
      <c r="J329" s="68" t="n">
        <v>0</v>
      </c>
      <c r="K329" s="68" t="n">
        <v>0</v>
      </c>
      <c r="L329" s="68" t="inlineStr">
        <is>
          <t>HpRatio</t>
        </is>
      </c>
      <c r="M329" s="68">
        <f>M328+10000</f>
        <v/>
      </c>
      <c r="N329" s="68" t="inlineStr">
        <is>
          <t>AtkRatio</t>
        </is>
      </c>
      <c r="O329" s="68">
        <f>O328+10000</f>
        <v/>
      </c>
      <c r="P329" s="68" t="inlineStr">
        <is>
          <t>DefRatio</t>
        </is>
      </c>
      <c r="Q329" s="68">
        <f>Q328+10000</f>
        <v/>
      </c>
      <c r="R329" s="0">
        <f>_xlfn.XLOOKUP($B329, 'Detail&lt;Child&gt;'!$A:$A, 'Detail&lt;Child&gt;'!$L:$L)</f>
        <v/>
      </c>
    </row>
    <row r="330">
      <c r="A330" s="68">
        <f>B330*100+H330</f>
        <v/>
      </c>
      <c r="B330" s="68" t="n">
        <v>10000281</v>
      </c>
      <c r="C330" s="68">
        <f>_xlfn.XLOOKUP(B330,'Detail&lt;Child&gt;'!A:A,'Detail&lt;Child&gt;'!B:B)</f>
        <v/>
      </c>
      <c r="D330" s="68">
        <f>"character_gradeup_"&amp;$B330&amp;"_"&amp;$H330</f>
        <v/>
      </c>
      <c r="E330" s="68" t="inlineStr">
        <is>
          <t>Item</t>
        </is>
      </c>
      <c r="F330" s="68">
        <f>INT(3003&amp;RIGHT(B330,4))</f>
        <v/>
      </c>
      <c r="G330" s="68">
        <f>VLOOKUP($R330, '#등급업 재료 개수'!$A$2:$K$5, MATCH(GradeUp!H330, '#등급업 재료 개수'!$A$2:$K$2, 0), FALSE)</f>
        <v/>
      </c>
      <c r="H330" s="68" t="n">
        <v>7</v>
      </c>
      <c r="I330" s="68" t="n">
        <v>70</v>
      </c>
      <c r="J330" s="68" t="inlineStr">
        <is>
          <t>Passive</t>
        </is>
      </c>
      <c r="K330" s="68">
        <f>_xlfn.IFNA(VLOOKUP($B330, 'Detail&lt;Child&gt;'!$A:$AW, MATCH(J330, 'Detail&lt;Child&gt;'!$3:$3,0 ), FALSE)+INT($H330/12), 0)+1</f>
        <v/>
      </c>
      <c r="L330" s="68" t="inlineStr">
        <is>
          <t>HpRatio</t>
        </is>
      </c>
      <c r="M330" s="68">
        <f>M329+10000</f>
        <v/>
      </c>
      <c r="N330" s="68" t="inlineStr">
        <is>
          <t>AtkRatio</t>
        </is>
      </c>
      <c r="O330" s="68">
        <f>O329+10000</f>
        <v/>
      </c>
      <c r="P330" s="68" t="inlineStr">
        <is>
          <t>DefRatio</t>
        </is>
      </c>
      <c r="Q330" s="68">
        <f>Q329+10000</f>
        <v/>
      </c>
      <c r="R330" s="0">
        <f>_xlfn.XLOOKUP($B330, 'Detail&lt;Child&gt;'!$A:$A, 'Detail&lt;Child&gt;'!$L:$L)</f>
        <v/>
      </c>
    </row>
    <row r="331">
      <c r="A331" s="68">
        <f>B331*100+H331</f>
        <v/>
      </c>
      <c r="B331" s="68" t="n">
        <v>10000281</v>
      </c>
      <c r="C331" s="68">
        <f>_xlfn.XLOOKUP(B331,'Detail&lt;Child&gt;'!A:A,'Detail&lt;Child&gt;'!B:B)</f>
        <v/>
      </c>
      <c r="D331" s="68">
        <f>"character_gradeup_"&amp;$B331&amp;"_"&amp;$H331</f>
        <v/>
      </c>
      <c r="E331" s="68" t="inlineStr">
        <is>
          <t>Item</t>
        </is>
      </c>
      <c r="F331" s="68">
        <f>INT(3003&amp;RIGHT(B331,4))</f>
        <v/>
      </c>
      <c r="G331" s="68">
        <f>VLOOKUP($R331, '#등급업 재료 개수'!$A$2:$K$5, MATCH(GradeUp!H331, '#등급업 재료 개수'!$A$2:$K$2, 0), FALSE)</f>
        <v/>
      </c>
      <c r="H331" s="68" t="n">
        <v>8</v>
      </c>
      <c r="I331" s="68" t="n">
        <v>80</v>
      </c>
      <c r="J331" s="68" t="n">
        <v>0</v>
      </c>
      <c r="K331" s="68" t="n">
        <v>0</v>
      </c>
      <c r="L331" s="68" t="inlineStr">
        <is>
          <t>HpRatio</t>
        </is>
      </c>
      <c r="M331" s="68">
        <f>M330+10000</f>
        <v/>
      </c>
      <c r="N331" s="68" t="inlineStr">
        <is>
          <t>AtkRatio</t>
        </is>
      </c>
      <c r="O331" s="68">
        <f>O330+10000</f>
        <v/>
      </c>
      <c r="P331" s="68" t="inlineStr">
        <is>
          <t>DefRatio</t>
        </is>
      </c>
      <c r="Q331" s="68">
        <f>Q330+10000</f>
        <v/>
      </c>
      <c r="R331" s="0">
        <f>_xlfn.XLOOKUP($B331, 'Detail&lt;Child&gt;'!$A:$A, 'Detail&lt;Child&gt;'!$L:$L)</f>
        <v/>
      </c>
    </row>
    <row r="332">
      <c r="A332" s="68">
        <f>B332*100+H332</f>
        <v/>
      </c>
      <c r="B332" s="68" t="n">
        <v>10000281</v>
      </c>
      <c r="C332" s="68">
        <f>_xlfn.XLOOKUP(B332,'Detail&lt;Child&gt;'!A:A,'Detail&lt;Child&gt;'!B:B)</f>
        <v/>
      </c>
      <c r="D332" s="68">
        <f>"character_gradeup_"&amp;$B332&amp;"_"&amp;$H332</f>
        <v/>
      </c>
      <c r="E332" s="68" t="inlineStr">
        <is>
          <t>Item</t>
        </is>
      </c>
      <c r="F332" s="68">
        <f>INT(3003&amp;RIGHT(B332,4))</f>
        <v/>
      </c>
      <c r="G332" s="68">
        <f>VLOOKUP($R332, '#등급업 재료 개수'!$A$2:$K$5, MATCH(GradeUp!H332, '#등급업 재료 개수'!$A$2:$K$2, 0), FALSE)</f>
        <v/>
      </c>
      <c r="H332" s="68" t="n">
        <v>9</v>
      </c>
      <c r="I332" s="68" t="n">
        <v>90</v>
      </c>
      <c r="J332" s="68" t="inlineStr">
        <is>
          <t>Ultimate</t>
        </is>
      </c>
      <c r="K332" s="68">
        <f>_xlfn.IFNA(VLOOKUP($B332, 'Detail&lt;Child&gt;'!$A:$AW, MATCH(J332, 'Detail&lt;Child&gt;'!$3:$3,0 ), FALSE)+INT($H332/12), 0)+1</f>
        <v/>
      </c>
      <c r="L332" s="68" t="inlineStr">
        <is>
          <t>HpRatio</t>
        </is>
      </c>
      <c r="M332" s="68">
        <f>M331+10000</f>
        <v/>
      </c>
      <c r="N332" s="68" t="inlineStr">
        <is>
          <t>AtkRatio</t>
        </is>
      </c>
      <c r="O332" s="68">
        <f>O331+10000</f>
        <v/>
      </c>
      <c r="P332" s="68" t="inlineStr">
        <is>
          <t>DefRatio</t>
        </is>
      </c>
      <c r="Q332" s="68">
        <f>Q331+10000</f>
        <v/>
      </c>
      <c r="R332" s="0">
        <f>_xlfn.XLOOKUP($B332, 'Detail&lt;Child&gt;'!$A:$A, 'Detail&lt;Child&gt;'!$L:$L)</f>
        <v/>
      </c>
    </row>
    <row r="333">
      <c r="A333" s="68">
        <f>B333*100+H333</f>
        <v/>
      </c>
      <c r="B333" s="68" t="n">
        <v>10000281</v>
      </c>
      <c r="C333" s="68">
        <f>_xlfn.XLOOKUP(B333,'Detail&lt;Child&gt;'!A:A,'Detail&lt;Child&gt;'!B:B)</f>
        <v/>
      </c>
      <c r="D333" s="68">
        <f>"character_gradeup_"&amp;$B333&amp;"_"&amp;$H333</f>
        <v/>
      </c>
      <c r="E333" s="68" t="inlineStr">
        <is>
          <t>Item</t>
        </is>
      </c>
      <c r="F333" s="68">
        <f>INT(3003&amp;RIGHT(B333,4))</f>
        <v/>
      </c>
      <c r="G333" s="68">
        <f>VLOOKUP($R333, '#등급업 재료 개수'!$A$2:$K$5, MATCH(GradeUp!H333, '#등급업 재료 개수'!$A$2:$K$2, 0), FALSE)</f>
        <v/>
      </c>
      <c r="H333" s="68" t="n">
        <v>10</v>
      </c>
      <c r="I333" s="68" t="n">
        <v>100</v>
      </c>
      <c r="J333" s="68" t="n">
        <v>0</v>
      </c>
      <c r="K333" s="68" t="n">
        <v>0</v>
      </c>
      <c r="L333" s="68" t="inlineStr">
        <is>
          <t>HpRatio</t>
        </is>
      </c>
      <c r="M333" s="68">
        <f>M332+10000</f>
        <v/>
      </c>
      <c r="N333" s="68" t="inlineStr">
        <is>
          <t>AtkRatio</t>
        </is>
      </c>
      <c r="O333" s="68">
        <f>O332+10000</f>
        <v/>
      </c>
      <c r="P333" s="68" t="inlineStr">
        <is>
          <t>DefRatio</t>
        </is>
      </c>
      <c r="Q333" s="68">
        <f>Q332+10000</f>
        <v/>
      </c>
      <c r="R333" s="0">
        <f>_xlfn.XLOOKUP($B333, 'Detail&lt;Child&gt;'!$A:$A, 'Detail&lt;Child&gt;'!$L:$L)</f>
        <v/>
      </c>
    </row>
    <row r="334">
      <c r="A334" s="68">
        <f>B334*100+H334</f>
        <v/>
      </c>
      <c r="B334" s="68" t="n">
        <v>10000514</v>
      </c>
      <c r="C334" s="68">
        <f>_xlfn.XLOOKUP(B334,'Detail&lt;Child&gt;'!A:A,'Detail&lt;Child&gt;'!B:B)</f>
        <v/>
      </c>
      <c r="D334" s="68">
        <f>"character_gradeup_"&amp;$B334&amp;"_"&amp;$H334</f>
        <v/>
      </c>
      <c r="E334" s="68" t="inlineStr">
        <is>
          <t>Item</t>
        </is>
      </c>
      <c r="F334" s="68">
        <f>INT(3003&amp;RIGHT(B334,4))</f>
        <v/>
      </c>
      <c r="G334" s="68">
        <f>VLOOKUP($R334, '#등급업 재료 개수'!$A$2:$K$5, MATCH(GradeUp!H334, '#등급업 재료 개수'!$A$2:$K$2, 0), FALSE)</f>
        <v/>
      </c>
      <c r="H334" s="68" t="n">
        <v>1</v>
      </c>
      <c r="I334" s="68" t="n">
        <v>10</v>
      </c>
      <c r="J334" s="68" t="n">
        <v>0</v>
      </c>
      <c r="K334" s="68" t="n">
        <v>0</v>
      </c>
      <c r="L334" s="68" t="inlineStr">
        <is>
          <t>HpRatio</t>
        </is>
      </c>
      <c r="M334" s="68" t="n">
        <v>0</v>
      </c>
      <c r="N334" s="68" t="inlineStr">
        <is>
          <t>AtkRatio</t>
        </is>
      </c>
      <c r="O334" s="68" t="n">
        <v>0</v>
      </c>
      <c r="P334" s="68" t="inlineStr">
        <is>
          <t>DefRatio</t>
        </is>
      </c>
      <c r="Q334" s="68" t="n">
        <v>0</v>
      </c>
      <c r="R334" s="0">
        <f>_xlfn.XLOOKUP($B334, 'Detail&lt;Child&gt;'!$A:$A, 'Detail&lt;Child&gt;'!$L:$L)</f>
        <v/>
      </c>
    </row>
    <row r="335">
      <c r="A335" s="68">
        <f>B335*100+H335</f>
        <v/>
      </c>
      <c r="B335" s="68" t="n">
        <v>10000514</v>
      </c>
      <c r="C335" s="68">
        <f>_xlfn.XLOOKUP(B335,'Detail&lt;Child&gt;'!A:A,'Detail&lt;Child&gt;'!B:B)</f>
        <v/>
      </c>
      <c r="D335" s="68">
        <f>"character_gradeup_"&amp;$B335&amp;"_"&amp;$H335</f>
        <v/>
      </c>
      <c r="E335" s="68" t="inlineStr">
        <is>
          <t>Item</t>
        </is>
      </c>
      <c r="F335" s="68">
        <f>INT(3003&amp;RIGHT(B335,4))</f>
        <v/>
      </c>
      <c r="G335" s="68">
        <f>VLOOKUP($R335, '#등급업 재료 개수'!$A$2:$K$5, MATCH(GradeUp!H335, '#등급업 재료 개수'!$A$2:$K$2, 0), FALSE)</f>
        <v/>
      </c>
      <c r="H335" s="68" t="n">
        <v>2</v>
      </c>
      <c r="I335" s="68" t="n">
        <v>20</v>
      </c>
      <c r="J335" s="68" t="inlineStr">
        <is>
          <t>Active</t>
        </is>
      </c>
      <c r="K335" s="68">
        <f>_xlfn.IFNA(VLOOKUP($B335, 'Detail&lt;Child&gt;'!$A:$AW, MATCH(J335, 'Detail&lt;Child&gt;'!$3:$3,0 ), FALSE)+INT($H335/12), 0)</f>
        <v/>
      </c>
      <c r="L335" s="68" t="inlineStr">
        <is>
          <t>HpRatio</t>
        </is>
      </c>
      <c r="M335" s="68" t="n">
        <v>0</v>
      </c>
      <c r="N335" s="68" t="inlineStr">
        <is>
          <t>AtkRatio</t>
        </is>
      </c>
      <c r="O335" s="68" t="n">
        <v>0</v>
      </c>
      <c r="P335" s="68" t="inlineStr">
        <is>
          <t>DefRatio</t>
        </is>
      </c>
      <c r="Q335" s="68" t="n">
        <v>0</v>
      </c>
      <c r="R335" s="0">
        <f>_xlfn.XLOOKUP($B335, 'Detail&lt;Child&gt;'!$A:$A, 'Detail&lt;Child&gt;'!$L:$L)</f>
        <v/>
      </c>
    </row>
    <row r="336">
      <c r="A336" s="68">
        <f>B336*100+H336</f>
        <v/>
      </c>
      <c r="B336" s="68" t="n">
        <v>10000514</v>
      </c>
      <c r="C336" s="68">
        <f>_xlfn.XLOOKUP(B336,'Detail&lt;Child&gt;'!A:A,'Detail&lt;Child&gt;'!B:B)</f>
        <v/>
      </c>
      <c r="D336" s="68">
        <f>"character_gradeup_"&amp;$B336&amp;"_"&amp;$H336</f>
        <v/>
      </c>
      <c r="E336" s="68" t="inlineStr">
        <is>
          <t>Item</t>
        </is>
      </c>
      <c r="F336" s="68">
        <f>INT(3003&amp;RIGHT(B336,4))</f>
        <v/>
      </c>
      <c r="G336" s="68">
        <f>VLOOKUP($R336, '#등급업 재료 개수'!$A$2:$K$5, MATCH(GradeUp!H336, '#등급업 재료 개수'!$A$2:$K$2, 0), FALSE)</f>
        <v/>
      </c>
      <c r="H336" s="68" t="n">
        <v>3</v>
      </c>
      <c r="I336" s="68" t="n">
        <v>30</v>
      </c>
      <c r="J336" s="68" t="n">
        <v>0</v>
      </c>
      <c r="K336" s="68" t="n">
        <v>0</v>
      </c>
      <c r="L336" s="68" t="inlineStr">
        <is>
          <t>HpRatio</t>
        </is>
      </c>
      <c r="M336" s="68" t="n">
        <v>10000</v>
      </c>
      <c r="N336" s="68" t="inlineStr">
        <is>
          <t>AtkRatio</t>
        </is>
      </c>
      <c r="O336" s="68" t="n">
        <v>10000</v>
      </c>
      <c r="P336" s="68" t="inlineStr">
        <is>
          <t>DefRatio</t>
        </is>
      </c>
      <c r="Q336" s="68" t="n">
        <v>10000</v>
      </c>
      <c r="R336" s="0">
        <f>_xlfn.XLOOKUP($B336, 'Detail&lt;Child&gt;'!$A:$A, 'Detail&lt;Child&gt;'!$L:$L)</f>
        <v/>
      </c>
    </row>
    <row r="337">
      <c r="A337" s="68">
        <f>B337*100+H337</f>
        <v/>
      </c>
      <c r="B337" s="68" t="n">
        <v>10000514</v>
      </c>
      <c r="C337" s="68">
        <f>_xlfn.XLOOKUP(B337,'Detail&lt;Child&gt;'!A:A,'Detail&lt;Child&gt;'!B:B)</f>
        <v/>
      </c>
      <c r="D337" s="68">
        <f>"character_gradeup_"&amp;$B337&amp;"_"&amp;$H337</f>
        <v/>
      </c>
      <c r="E337" s="68" t="inlineStr">
        <is>
          <t>Item</t>
        </is>
      </c>
      <c r="F337" s="68">
        <f>INT(3003&amp;RIGHT(B337,4))</f>
        <v/>
      </c>
      <c r="G337" s="68">
        <f>VLOOKUP($R337, '#등급업 재료 개수'!$A$2:$K$5, MATCH(GradeUp!H337, '#등급업 재료 개수'!$A$2:$K$2, 0), FALSE)</f>
        <v/>
      </c>
      <c r="H337" s="68" t="n">
        <v>4</v>
      </c>
      <c r="I337" s="68" t="n">
        <v>40</v>
      </c>
      <c r="J337" s="68" t="inlineStr">
        <is>
          <t>Passive</t>
        </is>
      </c>
      <c r="K337" s="68">
        <f>_xlfn.IFNA(VLOOKUP($B337, 'Detail&lt;Child&gt;'!$A:$AW, MATCH(J337, 'Detail&lt;Child&gt;'!$3:$3,0 ), FALSE)+INT($H337/12), 0)</f>
        <v/>
      </c>
      <c r="L337" s="68" t="inlineStr">
        <is>
          <t>HpRatio</t>
        </is>
      </c>
      <c r="M337" s="68">
        <f>M336+10000</f>
        <v/>
      </c>
      <c r="N337" s="68" t="inlineStr">
        <is>
          <t>AtkRatio</t>
        </is>
      </c>
      <c r="O337" s="68">
        <f>O336+10000</f>
        <v/>
      </c>
      <c r="P337" s="68" t="inlineStr">
        <is>
          <t>DefRatio</t>
        </is>
      </c>
      <c r="Q337" s="68">
        <f>Q336+10000</f>
        <v/>
      </c>
      <c r="R337" s="0">
        <f>_xlfn.XLOOKUP($B337, 'Detail&lt;Child&gt;'!$A:$A, 'Detail&lt;Child&gt;'!$L:$L)</f>
        <v/>
      </c>
    </row>
    <row r="338">
      <c r="A338" s="68">
        <f>B338*100+H338</f>
        <v/>
      </c>
      <c r="B338" s="68" t="n">
        <v>10000514</v>
      </c>
      <c r="C338" s="68">
        <f>_xlfn.XLOOKUP(B338,'Detail&lt;Child&gt;'!A:A,'Detail&lt;Child&gt;'!B:B)</f>
        <v/>
      </c>
      <c r="D338" s="68">
        <f>"character_gradeup_"&amp;$B338&amp;"_"&amp;$H338</f>
        <v/>
      </c>
      <c r="E338" s="68" t="inlineStr">
        <is>
          <t>Item</t>
        </is>
      </c>
      <c r="F338" s="68">
        <f>INT(3003&amp;RIGHT(B338,4))</f>
        <v/>
      </c>
      <c r="G338" s="68">
        <f>VLOOKUP($R338, '#등급업 재료 개수'!$A$2:$K$5, MATCH(GradeUp!H338, '#등급업 재료 개수'!$A$2:$K$2, 0), FALSE)</f>
        <v/>
      </c>
      <c r="H338" s="68" t="n">
        <v>5</v>
      </c>
      <c r="I338" s="68" t="n">
        <v>50</v>
      </c>
      <c r="J338" s="68" t="inlineStr">
        <is>
          <t>Active</t>
        </is>
      </c>
      <c r="K338" s="68">
        <f>_xlfn.IFNA(VLOOKUP($B338, 'Detail&lt;Child&gt;'!$A:$AW, MATCH(J338, 'Detail&lt;Child&gt;'!$3:$3,0 ), FALSE)+INT($H338/12), 0)+1</f>
        <v/>
      </c>
      <c r="L338" s="68" t="inlineStr">
        <is>
          <t>HpRatio</t>
        </is>
      </c>
      <c r="M338" s="68">
        <f>M337+10000</f>
        <v/>
      </c>
      <c r="N338" s="68" t="inlineStr">
        <is>
          <t>AtkRatio</t>
        </is>
      </c>
      <c r="O338" s="68">
        <f>O337+10000</f>
        <v/>
      </c>
      <c r="P338" s="68" t="inlineStr">
        <is>
          <t>DefRatio</t>
        </is>
      </c>
      <c r="Q338" s="68">
        <f>Q337+10000</f>
        <v/>
      </c>
      <c r="R338" s="0">
        <f>_xlfn.XLOOKUP($B338, 'Detail&lt;Child&gt;'!$A:$A, 'Detail&lt;Child&gt;'!$L:$L)</f>
        <v/>
      </c>
    </row>
    <row r="339">
      <c r="A339" s="68">
        <f>B339*100+H339</f>
        <v/>
      </c>
      <c r="B339" s="68" t="n">
        <v>10000514</v>
      </c>
      <c r="C339" s="68">
        <f>_xlfn.XLOOKUP(B339,'Detail&lt;Child&gt;'!A:A,'Detail&lt;Child&gt;'!B:B)</f>
        <v/>
      </c>
      <c r="D339" s="68">
        <f>"character_gradeup_"&amp;$B339&amp;"_"&amp;$H339</f>
        <v/>
      </c>
      <c r="E339" s="68" t="inlineStr">
        <is>
          <t>Item</t>
        </is>
      </c>
      <c r="F339" s="68">
        <f>INT(3003&amp;RIGHT(B339,4))</f>
        <v/>
      </c>
      <c r="G339" s="68">
        <f>VLOOKUP($R339, '#등급업 재료 개수'!$A$2:$K$5, MATCH(GradeUp!H339, '#등급업 재료 개수'!$A$2:$K$2, 0), FALSE)</f>
        <v/>
      </c>
      <c r="H339" s="68" t="n">
        <v>6</v>
      </c>
      <c r="I339" s="68" t="n">
        <v>60</v>
      </c>
      <c r="J339" s="68" t="n">
        <v>0</v>
      </c>
      <c r="K339" s="68" t="n">
        <v>0</v>
      </c>
      <c r="L339" s="68" t="inlineStr">
        <is>
          <t>HpRatio</t>
        </is>
      </c>
      <c r="M339" s="68">
        <f>M338+10000</f>
        <v/>
      </c>
      <c r="N339" s="68" t="inlineStr">
        <is>
          <t>AtkRatio</t>
        </is>
      </c>
      <c r="O339" s="68">
        <f>O338+10000</f>
        <v/>
      </c>
      <c r="P339" s="68" t="inlineStr">
        <is>
          <t>DefRatio</t>
        </is>
      </c>
      <c r="Q339" s="68">
        <f>Q338+10000</f>
        <v/>
      </c>
      <c r="R339" s="0">
        <f>_xlfn.XLOOKUP($B339, 'Detail&lt;Child&gt;'!$A:$A, 'Detail&lt;Child&gt;'!$L:$L)</f>
        <v/>
      </c>
    </row>
    <row r="340">
      <c r="A340" s="68">
        <f>B340*100+H340</f>
        <v/>
      </c>
      <c r="B340" s="68" t="n">
        <v>10000514</v>
      </c>
      <c r="C340" s="68">
        <f>_xlfn.XLOOKUP(B340,'Detail&lt;Child&gt;'!A:A,'Detail&lt;Child&gt;'!B:B)</f>
        <v/>
      </c>
      <c r="D340" s="68">
        <f>"character_gradeup_"&amp;$B340&amp;"_"&amp;$H340</f>
        <v/>
      </c>
      <c r="E340" s="68" t="inlineStr">
        <is>
          <t>Item</t>
        </is>
      </c>
      <c r="F340" s="68">
        <f>INT(3003&amp;RIGHT(B340,4))</f>
        <v/>
      </c>
      <c r="G340" s="68">
        <f>VLOOKUP($R340, '#등급업 재료 개수'!$A$2:$K$5, MATCH(GradeUp!H340, '#등급업 재료 개수'!$A$2:$K$2, 0), FALSE)</f>
        <v/>
      </c>
      <c r="H340" s="68" t="n">
        <v>7</v>
      </c>
      <c r="I340" s="68" t="n">
        <v>70</v>
      </c>
      <c r="J340" s="68" t="inlineStr">
        <is>
          <t>Passive</t>
        </is>
      </c>
      <c r="K340" s="68">
        <f>_xlfn.IFNA(VLOOKUP($B340, 'Detail&lt;Child&gt;'!$A:$AW, MATCH(J340, 'Detail&lt;Child&gt;'!$3:$3,0 ), FALSE)+INT($H340/12), 0)+1</f>
        <v/>
      </c>
      <c r="L340" s="68" t="inlineStr">
        <is>
          <t>HpRatio</t>
        </is>
      </c>
      <c r="M340" s="68">
        <f>M339+10000</f>
        <v/>
      </c>
      <c r="N340" s="68" t="inlineStr">
        <is>
          <t>AtkRatio</t>
        </is>
      </c>
      <c r="O340" s="68">
        <f>O339+10000</f>
        <v/>
      </c>
      <c r="P340" s="68" t="inlineStr">
        <is>
          <t>DefRatio</t>
        </is>
      </c>
      <c r="Q340" s="68">
        <f>Q339+10000</f>
        <v/>
      </c>
      <c r="R340" s="0">
        <f>_xlfn.XLOOKUP($B340, 'Detail&lt;Child&gt;'!$A:$A, 'Detail&lt;Child&gt;'!$L:$L)</f>
        <v/>
      </c>
    </row>
    <row r="341">
      <c r="A341" s="68">
        <f>B341*100+H341</f>
        <v/>
      </c>
      <c r="B341" s="68" t="n">
        <v>10000514</v>
      </c>
      <c r="C341" s="68">
        <f>_xlfn.XLOOKUP(B341,'Detail&lt;Child&gt;'!A:A,'Detail&lt;Child&gt;'!B:B)</f>
        <v/>
      </c>
      <c r="D341" s="68">
        <f>"character_gradeup_"&amp;$B341&amp;"_"&amp;$H341</f>
        <v/>
      </c>
      <c r="E341" s="68" t="inlineStr">
        <is>
          <t>Item</t>
        </is>
      </c>
      <c r="F341" s="68">
        <f>INT(3003&amp;RIGHT(B341,4))</f>
        <v/>
      </c>
      <c r="G341" s="68">
        <f>VLOOKUP($R341, '#등급업 재료 개수'!$A$2:$K$5, MATCH(GradeUp!H341, '#등급업 재료 개수'!$A$2:$K$2, 0), FALSE)</f>
        <v/>
      </c>
      <c r="H341" s="68" t="n">
        <v>8</v>
      </c>
      <c r="I341" s="68" t="n">
        <v>80</v>
      </c>
      <c r="J341" s="68" t="n">
        <v>0</v>
      </c>
      <c r="K341" s="68" t="n">
        <v>0</v>
      </c>
      <c r="L341" s="68" t="inlineStr">
        <is>
          <t>HpRatio</t>
        </is>
      </c>
      <c r="M341" s="68">
        <f>M340+10000</f>
        <v/>
      </c>
      <c r="N341" s="68" t="inlineStr">
        <is>
          <t>AtkRatio</t>
        </is>
      </c>
      <c r="O341" s="68">
        <f>O340+10000</f>
        <v/>
      </c>
      <c r="P341" s="68" t="inlineStr">
        <is>
          <t>DefRatio</t>
        </is>
      </c>
      <c r="Q341" s="68">
        <f>Q340+10000</f>
        <v/>
      </c>
      <c r="R341" s="0">
        <f>_xlfn.XLOOKUP($B341, 'Detail&lt;Child&gt;'!$A:$A, 'Detail&lt;Child&gt;'!$L:$L)</f>
        <v/>
      </c>
    </row>
    <row r="342">
      <c r="A342" s="68">
        <f>B342*100+H342</f>
        <v/>
      </c>
      <c r="B342" s="68" t="n">
        <v>10000514</v>
      </c>
      <c r="C342" s="68">
        <f>_xlfn.XLOOKUP(B342,'Detail&lt;Child&gt;'!A:A,'Detail&lt;Child&gt;'!B:B)</f>
        <v/>
      </c>
      <c r="D342" s="68">
        <f>"character_gradeup_"&amp;$B342&amp;"_"&amp;$H342</f>
        <v/>
      </c>
      <c r="E342" s="68" t="inlineStr">
        <is>
          <t>Item</t>
        </is>
      </c>
      <c r="F342" s="68">
        <f>INT(3003&amp;RIGHT(B342,4))</f>
        <v/>
      </c>
      <c r="G342" s="68">
        <f>VLOOKUP($R342, '#등급업 재료 개수'!$A$2:$K$5, MATCH(GradeUp!H342, '#등급업 재료 개수'!$A$2:$K$2, 0), FALSE)</f>
        <v/>
      </c>
      <c r="H342" s="68" t="n">
        <v>9</v>
      </c>
      <c r="I342" s="68" t="n">
        <v>90</v>
      </c>
      <c r="J342" s="68" t="inlineStr">
        <is>
          <t>Ultimate</t>
        </is>
      </c>
      <c r="K342" s="68">
        <f>_xlfn.IFNA(VLOOKUP($B342, 'Detail&lt;Child&gt;'!$A:$AW, MATCH(J342, 'Detail&lt;Child&gt;'!$3:$3,0 ), FALSE)+INT($H342/12), 0)+1</f>
        <v/>
      </c>
      <c r="L342" s="68" t="inlineStr">
        <is>
          <t>HpRatio</t>
        </is>
      </c>
      <c r="M342" s="68">
        <f>M341+10000</f>
        <v/>
      </c>
      <c r="N342" s="68" t="inlineStr">
        <is>
          <t>AtkRatio</t>
        </is>
      </c>
      <c r="O342" s="68">
        <f>O341+10000</f>
        <v/>
      </c>
      <c r="P342" s="68" t="inlineStr">
        <is>
          <t>DefRatio</t>
        </is>
      </c>
      <c r="Q342" s="68">
        <f>Q341+10000</f>
        <v/>
      </c>
      <c r="R342" s="0">
        <f>_xlfn.XLOOKUP($B342, 'Detail&lt;Child&gt;'!$A:$A, 'Detail&lt;Child&gt;'!$L:$L)</f>
        <v/>
      </c>
    </row>
    <row r="343">
      <c r="A343" s="68">
        <f>B343*100+H343</f>
        <v/>
      </c>
      <c r="B343" s="68" t="n">
        <v>10000514</v>
      </c>
      <c r="C343" s="68">
        <f>_xlfn.XLOOKUP(B343,'Detail&lt;Child&gt;'!A:A,'Detail&lt;Child&gt;'!B:B)</f>
        <v/>
      </c>
      <c r="D343" s="68">
        <f>"character_gradeup_"&amp;$B343&amp;"_"&amp;$H343</f>
        <v/>
      </c>
      <c r="E343" s="68" t="inlineStr">
        <is>
          <t>Item</t>
        </is>
      </c>
      <c r="F343" s="68">
        <f>INT(3003&amp;RIGHT(B343,4))</f>
        <v/>
      </c>
      <c r="G343" s="68">
        <f>VLOOKUP($R343, '#등급업 재료 개수'!$A$2:$K$5, MATCH(GradeUp!H343, '#등급업 재료 개수'!$A$2:$K$2, 0), FALSE)</f>
        <v/>
      </c>
      <c r="H343" s="68" t="n">
        <v>10</v>
      </c>
      <c r="I343" s="68" t="n">
        <v>100</v>
      </c>
      <c r="J343" s="68" t="n">
        <v>0</v>
      </c>
      <c r="K343" s="68" t="n">
        <v>0</v>
      </c>
      <c r="L343" s="68" t="inlineStr">
        <is>
          <t>HpRatio</t>
        </is>
      </c>
      <c r="M343" s="68">
        <f>M342+10000</f>
        <v/>
      </c>
      <c r="N343" s="68" t="inlineStr">
        <is>
          <t>AtkRatio</t>
        </is>
      </c>
      <c r="O343" s="68">
        <f>O342+10000</f>
        <v/>
      </c>
      <c r="P343" s="68" t="inlineStr">
        <is>
          <t>DefRatio</t>
        </is>
      </c>
      <c r="Q343" s="68">
        <f>Q342+10000</f>
        <v/>
      </c>
      <c r="R343" s="0">
        <f>_xlfn.XLOOKUP($B343, 'Detail&lt;Child&gt;'!$A:$A, 'Detail&lt;Child&gt;'!$L:$L)</f>
        <v/>
      </c>
    </row>
  </sheetData>
  <autoFilter ref="A3:R253"/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B10" sqref="B10:C10"/>
    </sheetView>
  </sheetViews>
  <sheetFormatPr baseColWidth="8" defaultRowHeight="16.5"/>
  <cols>
    <col width="9" customWidth="1" style="1" min="1" max="1"/>
    <col width="16.375" bestFit="1" customWidth="1" style="1" min="2" max="2"/>
    <col width="24.875" bestFit="1" customWidth="1" style="1" min="3" max="3"/>
    <col width="12.875" bestFit="1" customWidth="1" style="1" min="4" max="4"/>
    <col width="21.375" bestFit="1" customWidth="1" style="1" min="5" max="5"/>
    <col width="15" bestFit="1" customWidth="1" style="1" min="6" max="6"/>
    <col width="23.5" bestFit="1" customWidth="1" style="1" min="7" max="7"/>
    <col width="12.75" bestFit="1" customWidth="1" style="1" min="8" max="8"/>
    <col width="21.25" bestFit="1" customWidth="1" style="1" min="9" max="9"/>
    <col width="13.5" bestFit="1" customWidth="1" style="1" min="10" max="10"/>
    <col width="21.875" bestFit="1" customWidth="1" style="1" min="11" max="11"/>
    <col width="12.5" bestFit="1" customWidth="1" style="1" min="12" max="12"/>
    <col width="21" bestFit="1" customWidth="1" style="1" min="13" max="13"/>
    <col width="12.5" bestFit="1" customWidth="1" style="1" min="14" max="14"/>
    <col width="21" bestFit="1" customWidth="1" style="1" min="15" max="15"/>
    <col width="12.5" bestFit="1" customWidth="1" style="1" min="16" max="16"/>
    <col width="21" bestFit="1" customWidth="1" style="1" min="17" max="17"/>
    <col width="12.5" bestFit="1" customWidth="1" style="1" min="18" max="18"/>
    <col width="21" bestFit="1" customWidth="1" style="1" min="19" max="19"/>
    <col width="12.5" bestFit="1" customWidth="1" style="1" min="20" max="20"/>
    <col width="21" bestFit="1" customWidth="1" style="1" min="21" max="21"/>
  </cols>
  <sheetData>
    <row r="1">
      <c r="A1" s="1" t="inlineStr">
        <is>
          <t>Id</t>
        </is>
      </c>
      <c r="B1" s="1" t="inlineStr">
        <is>
          <t>InfoName</t>
        </is>
      </c>
      <c r="C1" s="1" t="inlineStr">
        <is>
          <t>InfoDesc</t>
        </is>
      </c>
      <c r="D1" s="1" t="inlineStr">
        <is>
          <t>InfoName</t>
        </is>
      </c>
      <c r="E1" s="1" t="inlineStr">
        <is>
          <t>InfoDesc</t>
        </is>
      </c>
      <c r="F1" s="1" t="inlineStr">
        <is>
          <t>InfoName</t>
        </is>
      </c>
      <c r="G1" s="1" t="inlineStr">
        <is>
          <t>InfoDesc</t>
        </is>
      </c>
      <c r="H1" s="1" t="inlineStr">
        <is>
          <t>InfoName</t>
        </is>
      </c>
      <c r="I1" s="1" t="inlineStr">
        <is>
          <t>InfoDesc</t>
        </is>
      </c>
      <c r="J1" s="1" t="inlineStr">
        <is>
          <t>InfoName</t>
        </is>
      </c>
      <c r="K1" s="1" t="inlineStr">
        <is>
          <t>InfoDesc</t>
        </is>
      </c>
      <c r="L1" s="1" t="inlineStr">
        <is>
          <t>InfoName</t>
        </is>
      </c>
      <c r="M1" s="1" t="inlineStr">
        <is>
          <t>InfoDesc</t>
        </is>
      </c>
      <c r="N1" s="1" t="inlineStr">
        <is>
          <t>InfoName</t>
        </is>
      </c>
      <c r="O1" s="1" t="inlineStr">
        <is>
          <t>InfoDesc</t>
        </is>
      </c>
      <c r="P1" s="1" t="inlineStr">
        <is>
          <t>InfoName</t>
        </is>
      </c>
      <c r="Q1" s="1" t="inlineStr">
        <is>
          <t>InfoDesc</t>
        </is>
      </c>
      <c r="R1" s="1" t="inlineStr">
        <is>
          <t>InfoName</t>
        </is>
      </c>
      <c r="S1" s="1" t="inlineStr">
        <is>
          <t>InfoDesc</t>
        </is>
      </c>
      <c r="T1" s="1" t="inlineStr">
        <is>
          <t>InfoName</t>
        </is>
      </c>
      <c r="U1" s="1" t="inlineStr">
        <is>
          <t>InfoDesc</t>
        </is>
      </c>
    </row>
    <row r="4">
      <c r="A4" s="68" t="n">
        <v>10000354</v>
      </c>
      <c r="B4" s="1" t="inlineStr">
        <is>
          <t>child_profile_birthday</t>
        </is>
      </c>
      <c r="C4" s="1">
        <f>B4&amp;"_"&amp;$A4</f>
        <v/>
      </c>
      <c r="D4" s="1" t="inlineStr">
        <is>
          <t>child_profile_star</t>
        </is>
      </c>
      <c r="E4" s="1">
        <f>D4&amp;"_"&amp;$A4</f>
        <v/>
      </c>
      <c r="F4" s="1" t="inlineStr">
        <is>
          <t>child_profile_hobby</t>
        </is>
      </c>
      <c r="G4" s="1">
        <f>F4&amp;"_"&amp;$A4</f>
        <v/>
      </c>
      <c r="H4" s="1" t="inlineStr">
        <is>
          <t>child_profile_like</t>
        </is>
      </c>
      <c r="I4" s="1">
        <f>H4&amp;"_"&amp;$A4</f>
        <v/>
      </c>
      <c r="J4" s="1" t="inlineStr">
        <is>
          <t>child_profile_hate</t>
        </is>
      </c>
      <c r="K4" s="1">
        <f>J4&amp;"_"&amp;$A4</f>
        <v/>
      </c>
      <c r="L4" s="1" t="inlineStr">
        <is>
          <t>child_profile_etc</t>
        </is>
      </c>
      <c r="M4" s="1">
        <f>L4&amp;"_"&amp;$A4</f>
        <v/>
      </c>
      <c r="N4" s="1" t="inlineStr">
        <is>
          <t>child_profile_etc</t>
        </is>
      </c>
      <c r="O4" s="1">
        <f>N4&amp;"_"&amp;$A4</f>
        <v/>
      </c>
      <c r="P4" s="1" t="inlineStr">
        <is>
          <t>child_profile_etc</t>
        </is>
      </c>
      <c r="Q4" s="1">
        <f>P4&amp;"_"&amp;$A4</f>
        <v/>
      </c>
      <c r="R4" s="1" t="inlineStr">
        <is>
          <t>child_profile_etc</t>
        </is>
      </c>
      <c r="S4" s="1">
        <f>R4&amp;"_"&amp;$A4</f>
        <v/>
      </c>
      <c r="T4" s="1" t="inlineStr">
        <is>
          <t>child_profile_etc</t>
        </is>
      </c>
      <c r="U4" s="1">
        <f>T4&amp;"_"&amp;$A4</f>
        <v/>
      </c>
    </row>
    <row r="5">
      <c r="A5" s="68" t="n">
        <v>10000296</v>
      </c>
      <c r="B5" s="1" t="inlineStr">
        <is>
          <t>child_profile_birthday</t>
        </is>
      </c>
      <c r="C5" s="1">
        <f>B5&amp;"_"&amp;$A5</f>
        <v/>
      </c>
      <c r="D5" s="1" t="inlineStr">
        <is>
          <t>child_profile_star</t>
        </is>
      </c>
      <c r="E5" s="1">
        <f>D5&amp;"_"&amp;$A5</f>
        <v/>
      </c>
      <c r="F5" s="1" t="inlineStr">
        <is>
          <t>child_profile_hobby</t>
        </is>
      </c>
      <c r="G5" s="1">
        <f>F5&amp;"_"&amp;$A5</f>
        <v/>
      </c>
      <c r="H5" s="1" t="inlineStr">
        <is>
          <t>child_profile_like</t>
        </is>
      </c>
      <c r="I5" s="1">
        <f>H5&amp;"_"&amp;$A5</f>
        <v/>
      </c>
      <c r="J5" s="1" t="inlineStr">
        <is>
          <t>child_profile_hate</t>
        </is>
      </c>
      <c r="K5" s="1">
        <f>J5&amp;"_"&amp;$A5</f>
        <v/>
      </c>
      <c r="L5" s="1" t="inlineStr">
        <is>
          <t>child_profile_etc</t>
        </is>
      </c>
      <c r="M5" s="1">
        <f>L5&amp;"_"&amp;$A5</f>
        <v/>
      </c>
      <c r="N5" s="1" t="inlineStr">
        <is>
          <t>child_profile_etc</t>
        </is>
      </c>
      <c r="O5" s="1">
        <f>N5&amp;"_"&amp;$A5</f>
        <v/>
      </c>
      <c r="P5" s="1" t="inlineStr">
        <is>
          <t>child_profile_etc</t>
        </is>
      </c>
      <c r="Q5" s="1">
        <f>P5&amp;"_"&amp;$A5</f>
        <v/>
      </c>
      <c r="R5" s="1" t="inlineStr">
        <is>
          <t>child_profile_etc</t>
        </is>
      </c>
      <c r="S5" s="1">
        <f>R5&amp;"_"&amp;$A5</f>
        <v/>
      </c>
      <c r="T5" s="1" t="inlineStr">
        <is>
          <t>child_profile_etc</t>
        </is>
      </c>
      <c r="U5" s="1">
        <f>T5&amp;"_"&amp;$A5</f>
        <v/>
      </c>
    </row>
    <row r="6">
      <c r="A6" s="68" t="n">
        <v>10000003</v>
      </c>
      <c r="B6" s="1" t="inlineStr">
        <is>
          <t>child_profile_birthday</t>
        </is>
      </c>
      <c r="C6" s="1">
        <f>B6&amp;"_"&amp;$A6</f>
        <v/>
      </c>
      <c r="D6" s="1" t="inlineStr">
        <is>
          <t>child_profile_star</t>
        </is>
      </c>
      <c r="E6" s="1">
        <f>D6&amp;"_"&amp;$A6</f>
        <v/>
      </c>
      <c r="F6" s="1" t="inlineStr">
        <is>
          <t>child_profile_hobby</t>
        </is>
      </c>
      <c r="G6" s="1">
        <f>F6&amp;"_"&amp;$A6</f>
        <v/>
      </c>
      <c r="H6" s="1" t="inlineStr">
        <is>
          <t>child_profile_like</t>
        </is>
      </c>
      <c r="I6" s="1">
        <f>H6&amp;"_"&amp;$A6</f>
        <v/>
      </c>
      <c r="J6" s="1" t="inlineStr">
        <is>
          <t>child_profile_hate</t>
        </is>
      </c>
      <c r="K6" s="1">
        <f>J6&amp;"_"&amp;$A6</f>
        <v/>
      </c>
      <c r="L6" s="1" t="inlineStr">
        <is>
          <t>child_profile_etc</t>
        </is>
      </c>
      <c r="M6" s="1">
        <f>L6&amp;"_"&amp;$A6</f>
        <v/>
      </c>
      <c r="N6" s="1" t="inlineStr">
        <is>
          <t>child_profile_etc</t>
        </is>
      </c>
      <c r="O6" s="1">
        <f>N6&amp;"_"&amp;$A6</f>
        <v/>
      </c>
      <c r="P6" s="1" t="inlineStr">
        <is>
          <t>child_profile_etc</t>
        </is>
      </c>
      <c r="Q6" s="1">
        <f>P6&amp;"_"&amp;$A6</f>
        <v/>
      </c>
      <c r="R6" s="1" t="inlineStr">
        <is>
          <t>child_profile_etc</t>
        </is>
      </c>
      <c r="S6" s="1">
        <f>R6&amp;"_"&amp;$A6</f>
        <v/>
      </c>
      <c r="T6" s="1" t="inlineStr">
        <is>
          <t>child_profile_etc</t>
        </is>
      </c>
      <c r="U6" s="1">
        <f>T6&amp;"_"&amp;$A6</f>
        <v/>
      </c>
    </row>
    <row r="7">
      <c r="A7" s="68" t="n">
        <v>10000464</v>
      </c>
      <c r="B7" s="1" t="inlineStr">
        <is>
          <t>child_profile_birthday</t>
        </is>
      </c>
      <c r="C7" s="1">
        <f>B7&amp;"_"&amp;$A7</f>
        <v/>
      </c>
      <c r="D7" s="1" t="inlineStr">
        <is>
          <t>child_profile_star</t>
        </is>
      </c>
      <c r="E7" s="1">
        <f>D7&amp;"_"&amp;$A7</f>
        <v/>
      </c>
      <c r="F7" s="1" t="inlineStr">
        <is>
          <t>child_profile_hobby</t>
        </is>
      </c>
      <c r="G7" s="1">
        <f>F7&amp;"_"&amp;$A7</f>
        <v/>
      </c>
      <c r="H7" s="1" t="inlineStr">
        <is>
          <t>child_profile_like</t>
        </is>
      </c>
      <c r="I7" s="1">
        <f>H7&amp;"_"&amp;$A7</f>
        <v/>
      </c>
      <c r="J7" s="1" t="inlineStr">
        <is>
          <t>child_profile_hate</t>
        </is>
      </c>
      <c r="K7" s="1">
        <f>J7&amp;"_"&amp;$A7</f>
        <v/>
      </c>
      <c r="L7" s="1" t="inlineStr">
        <is>
          <t>child_profile_etc</t>
        </is>
      </c>
      <c r="M7" s="1">
        <f>L7&amp;"_"&amp;$A7</f>
        <v/>
      </c>
      <c r="N7" s="1" t="inlineStr">
        <is>
          <t>child_profile_etc</t>
        </is>
      </c>
      <c r="O7" s="1">
        <f>N7&amp;"_"&amp;$A7</f>
        <v/>
      </c>
      <c r="P7" s="1" t="inlineStr">
        <is>
          <t>child_profile_etc</t>
        </is>
      </c>
      <c r="Q7" s="1">
        <f>P7&amp;"_"&amp;$A7</f>
        <v/>
      </c>
      <c r="R7" s="1" t="inlineStr">
        <is>
          <t>child_profile_etc</t>
        </is>
      </c>
      <c r="S7" s="1">
        <f>R7&amp;"_"&amp;$A7</f>
        <v/>
      </c>
      <c r="T7" s="1" t="inlineStr">
        <is>
          <t>child_profile_etc</t>
        </is>
      </c>
      <c r="U7" s="1">
        <f>T7&amp;"_"&amp;$A7</f>
        <v/>
      </c>
    </row>
    <row r="8">
      <c r="A8" s="68" t="n">
        <v>10000353</v>
      </c>
      <c r="B8" s="1" t="inlineStr">
        <is>
          <t>child_profile_birthday</t>
        </is>
      </c>
      <c r="C8" s="1">
        <f>B8&amp;"_"&amp;$A8</f>
        <v/>
      </c>
      <c r="D8" s="1" t="inlineStr">
        <is>
          <t>child_profile_star</t>
        </is>
      </c>
      <c r="E8" s="1">
        <f>D8&amp;"_"&amp;$A8</f>
        <v/>
      </c>
      <c r="F8" s="1" t="inlineStr">
        <is>
          <t>child_profile_hobby</t>
        </is>
      </c>
      <c r="G8" s="1">
        <f>F8&amp;"_"&amp;$A8</f>
        <v/>
      </c>
      <c r="H8" s="1" t="inlineStr">
        <is>
          <t>child_profile_like</t>
        </is>
      </c>
      <c r="I8" s="1">
        <f>H8&amp;"_"&amp;$A8</f>
        <v/>
      </c>
      <c r="J8" s="1" t="inlineStr">
        <is>
          <t>child_profile_hate</t>
        </is>
      </c>
      <c r="K8" s="1">
        <f>J8&amp;"_"&amp;$A8</f>
        <v/>
      </c>
      <c r="L8" s="1" t="inlineStr">
        <is>
          <t>child_profile_etc</t>
        </is>
      </c>
      <c r="M8" s="1">
        <f>L8&amp;"_"&amp;$A8</f>
        <v/>
      </c>
      <c r="N8" s="1" t="inlineStr">
        <is>
          <t>child_profile_etc</t>
        </is>
      </c>
      <c r="O8" s="1">
        <f>N8&amp;"_"&amp;$A8</f>
        <v/>
      </c>
      <c r="P8" s="1" t="inlineStr">
        <is>
          <t>child_profile_etc</t>
        </is>
      </c>
      <c r="Q8" s="1">
        <f>P8&amp;"_"&amp;$A8</f>
        <v/>
      </c>
      <c r="R8" s="1" t="inlineStr">
        <is>
          <t>child_profile_etc</t>
        </is>
      </c>
      <c r="S8" s="1">
        <f>R8&amp;"_"&amp;$A8</f>
        <v/>
      </c>
      <c r="T8" s="1" t="inlineStr">
        <is>
          <t>child_profile_etc</t>
        </is>
      </c>
      <c r="U8" s="1">
        <f>T8&amp;"_"&amp;$A8</f>
        <v/>
      </c>
    </row>
    <row r="9">
      <c r="A9" s="68" t="n">
        <v>10000229</v>
      </c>
      <c r="B9" s="1" t="inlineStr">
        <is>
          <t>child_profile_birthday</t>
        </is>
      </c>
      <c r="C9" s="1">
        <f>B9&amp;"_"&amp;$A9</f>
        <v/>
      </c>
      <c r="D9" s="1" t="inlineStr">
        <is>
          <t>child_profile_star</t>
        </is>
      </c>
      <c r="E9" s="1">
        <f>D9&amp;"_"&amp;$A9</f>
        <v/>
      </c>
      <c r="F9" s="1" t="inlineStr">
        <is>
          <t>child_profile_hobby</t>
        </is>
      </c>
      <c r="G9" s="1">
        <f>F9&amp;"_"&amp;$A9</f>
        <v/>
      </c>
      <c r="H9" s="1" t="inlineStr">
        <is>
          <t>child_profile_like</t>
        </is>
      </c>
      <c r="I9" s="1">
        <f>H9&amp;"_"&amp;$A9</f>
        <v/>
      </c>
      <c r="J9" s="1" t="inlineStr">
        <is>
          <t>child_profile_hate</t>
        </is>
      </c>
      <c r="K9" s="1">
        <f>J9&amp;"_"&amp;$A9</f>
        <v/>
      </c>
      <c r="L9" s="1" t="inlineStr">
        <is>
          <t>child_profile_etc</t>
        </is>
      </c>
      <c r="M9" s="1">
        <f>L9&amp;"_"&amp;$A9</f>
        <v/>
      </c>
      <c r="N9" s="1" t="inlineStr">
        <is>
          <t>child_profile_etc</t>
        </is>
      </c>
      <c r="O9" s="1">
        <f>N9&amp;"_"&amp;$A9</f>
        <v/>
      </c>
      <c r="P9" s="1" t="inlineStr">
        <is>
          <t>child_profile_etc</t>
        </is>
      </c>
      <c r="Q9" s="1">
        <f>P9&amp;"_"&amp;$A9</f>
        <v/>
      </c>
      <c r="R9" s="1" t="inlineStr">
        <is>
          <t>child_profile_etc</t>
        </is>
      </c>
      <c r="S9" s="1">
        <f>R9&amp;"_"&amp;$A9</f>
        <v/>
      </c>
      <c r="T9" s="1" t="inlineStr">
        <is>
          <t>child_profile_etc</t>
        </is>
      </c>
      <c r="U9" s="1">
        <f>T9&amp;"_"&amp;$A9</f>
        <v/>
      </c>
    </row>
    <row r="10">
      <c r="A10" s="68" t="n">
        <v>10000180</v>
      </c>
      <c r="B10" s="1" t="inlineStr">
        <is>
          <t>child_profile_birthday</t>
        </is>
      </c>
      <c r="C10" s="1">
        <f>B10&amp;"_"&amp;$A10</f>
        <v/>
      </c>
      <c r="D10" s="1" t="inlineStr">
        <is>
          <t>child_profile_star</t>
        </is>
      </c>
      <c r="E10" s="1">
        <f>D10&amp;"_"&amp;$A10</f>
        <v/>
      </c>
      <c r="F10" s="1" t="inlineStr">
        <is>
          <t>child_profile_hobby</t>
        </is>
      </c>
      <c r="G10" s="1">
        <f>F10&amp;"_"&amp;$A10</f>
        <v/>
      </c>
      <c r="H10" s="1" t="inlineStr">
        <is>
          <t>child_profile_like</t>
        </is>
      </c>
      <c r="I10" s="1">
        <f>H10&amp;"_"&amp;$A10</f>
        <v/>
      </c>
      <c r="J10" s="1" t="inlineStr">
        <is>
          <t>child_profile_hate</t>
        </is>
      </c>
      <c r="K10" s="1">
        <f>J10&amp;"_"&amp;$A10</f>
        <v/>
      </c>
      <c r="L10" s="1" t="inlineStr">
        <is>
          <t>child_profile_etc</t>
        </is>
      </c>
      <c r="M10" s="1">
        <f>L10&amp;"_"&amp;$A10</f>
        <v/>
      </c>
      <c r="N10" s="1" t="inlineStr">
        <is>
          <t>child_profile_etc</t>
        </is>
      </c>
      <c r="O10" s="1">
        <f>N10&amp;"_"&amp;$A10</f>
        <v/>
      </c>
      <c r="P10" s="1" t="inlineStr">
        <is>
          <t>child_profile_etc</t>
        </is>
      </c>
      <c r="Q10" s="1">
        <f>P10&amp;"_"&amp;$A10</f>
        <v/>
      </c>
      <c r="R10" s="1" t="inlineStr">
        <is>
          <t>child_profile_etc</t>
        </is>
      </c>
      <c r="S10" s="1">
        <f>R10&amp;"_"&amp;$A10</f>
        <v/>
      </c>
      <c r="T10" s="1" t="inlineStr">
        <is>
          <t>child_profile_etc</t>
        </is>
      </c>
      <c r="U10" s="1">
        <f>T10&amp;"_"&amp;$A10</f>
        <v/>
      </c>
    </row>
    <row r="11">
      <c r="A11" s="68" t="n">
        <v>10000183</v>
      </c>
      <c r="B11" s="1" t="inlineStr">
        <is>
          <t>child_profile_birthday</t>
        </is>
      </c>
      <c r="C11" s="1">
        <f>B11&amp;"_"&amp;$A11</f>
        <v/>
      </c>
      <c r="D11" s="1" t="inlineStr">
        <is>
          <t>child_profile_star</t>
        </is>
      </c>
      <c r="E11" s="1">
        <f>D11&amp;"_"&amp;$A11</f>
        <v/>
      </c>
      <c r="F11" s="1" t="inlineStr">
        <is>
          <t>child_profile_hobby</t>
        </is>
      </c>
      <c r="G11" s="1">
        <f>F11&amp;"_"&amp;$A11</f>
        <v/>
      </c>
      <c r="H11" s="1" t="inlineStr">
        <is>
          <t>child_profile_like</t>
        </is>
      </c>
      <c r="I11" s="1">
        <f>H11&amp;"_"&amp;$A11</f>
        <v/>
      </c>
      <c r="J11" s="1" t="inlineStr">
        <is>
          <t>child_profile_hate</t>
        </is>
      </c>
      <c r="K11" s="1">
        <f>J11&amp;"_"&amp;$A11</f>
        <v/>
      </c>
      <c r="L11" s="1" t="inlineStr">
        <is>
          <t>child_profile_etc</t>
        </is>
      </c>
      <c r="M11" s="1">
        <f>L11&amp;"_"&amp;$A11</f>
        <v/>
      </c>
      <c r="N11" s="1" t="inlineStr">
        <is>
          <t>child_profile_etc</t>
        </is>
      </c>
      <c r="O11" s="1">
        <f>N11&amp;"_"&amp;$A11</f>
        <v/>
      </c>
      <c r="P11" s="1" t="inlineStr">
        <is>
          <t>child_profile_etc</t>
        </is>
      </c>
      <c r="Q11" s="1">
        <f>P11&amp;"_"&amp;$A11</f>
        <v/>
      </c>
      <c r="R11" s="1" t="inlineStr">
        <is>
          <t>child_profile_etc</t>
        </is>
      </c>
      <c r="S11" s="1">
        <f>R11&amp;"_"&amp;$A11</f>
        <v/>
      </c>
      <c r="T11" s="1" t="inlineStr">
        <is>
          <t>child_profile_etc</t>
        </is>
      </c>
      <c r="U11" s="1">
        <f>T11&amp;"_"&amp;$A11</f>
        <v/>
      </c>
    </row>
    <row r="12">
      <c r="A12" s="68" t="n">
        <v>10000051</v>
      </c>
      <c r="B12" s="1" t="inlineStr">
        <is>
          <t>child_profile_birthday</t>
        </is>
      </c>
      <c r="C12" s="1">
        <f>B12&amp;"_"&amp;$A12</f>
        <v/>
      </c>
      <c r="D12" s="1" t="inlineStr">
        <is>
          <t>child_profile_star</t>
        </is>
      </c>
      <c r="E12" s="1">
        <f>D12&amp;"_"&amp;$A12</f>
        <v/>
      </c>
      <c r="F12" s="1" t="inlineStr">
        <is>
          <t>child_profile_hobby</t>
        </is>
      </c>
      <c r="G12" s="1">
        <f>F12&amp;"_"&amp;$A12</f>
        <v/>
      </c>
      <c r="H12" s="1" t="inlineStr">
        <is>
          <t>child_profile_like</t>
        </is>
      </c>
      <c r="I12" s="1">
        <f>H12&amp;"_"&amp;$A12</f>
        <v/>
      </c>
      <c r="J12" s="1" t="inlineStr">
        <is>
          <t>child_profile_hate</t>
        </is>
      </c>
      <c r="K12" s="1">
        <f>J12&amp;"_"&amp;$A12</f>
        <v/>
      </c>
      <c r="L12" s="1" t="inlineStr">
        <is>
          <t>child_profile_etc</t>
        </is>
      </c>
      <c r="M12" s="1">
        <f>L12&amp;"_"&amp;$A12</f>
        <v/>
      </c>
      <c r="N12" s="1" t="inlineStr">
        <is>
          <t>child_profile_etc</t>
        </is>
      </c>
      <c r="O12" s="1">
        <f>N12&amp;"_"&amp;$A12</f>
        <v/>
      </c>
      <c r="P12" s="1" t="inlineStr">
        <is>
          <t>child_profile_etc</t>
        </is>
      </c>
      <c r="Q12" s="1">
        <f>P12&amp;"_"&amp;$A12</f>
        <v/>
      </c>
      <c r="R12" s="1" t="inlineStr">
        <is>
          <t>child_profile_etc</t>
        </is>
      </c>
      <c r="S12" s="1">
        <f>R12&amp;"_"&amp;$A12</f>
        <v/>
      </c>
      <c r="T12" s="1" t="inlineStr">
        <is>
          <t>child_profile_etc</t>
        </is>
      </c>
      <c r="U12" s="1">
        <f>T12&amp;"_"&amp;$A12</f>
        <v/>
      </c>
    </row>
    <row r="13">
      <c r="A13" s="68" t="n">
        <v>10000364</v>
      </c>
      <c r="B13" s="1" t="inlineStr">
        <is>
          <t>child_profile_birthday</t>
        </is>
      </c>
      <c r="C13" s="1">
        <f>B13&amp;"_"&amp;$A13</f>
        <v/>
      </c>
      <c r="D13" s="1" t="inlineStr">
        <is>
          <t>child_profile_star</t>
        </is>
      </c>
      <c r="E13" s="1">
        <f>D13&amp;"_"&amp;$A13</f>
        <v/>
      </c>
      <c r="F13" s="1" t="inlineStr">
        <is>
          <t>child_profile_hobby</t>
        </is>
      </c>
      <c r="G13" s="1">
        <f>F13&amp;"_"&amp;$A13</f>
        <v/>
      </c>
      <c r="H13" s="1" t="inlineStr">
        <is>
          <t>child_profile_like</t>
        </is>
      </c>
      <c r="I13" s="1">
        <f>H13&amp;"_"&amp;$A13</f>
        <v/>
      </c>
      <c r="J13" s="1" t="inlineStr">
        <is>
          <t>child_profile_hate</t>
        </is>
      </c>
      <c r="K13" s="1">
        <f>J13&amp;"_"&amp;$A13</f>
        <v/>
      </c>
      <c r="L13" s="1" t="inlineStr">
        <is>
          <t>child_profile_etc</t>
        </is>
      </c>
      <c r="M13" s="1">
        <f>L13&amp;"_"&amp;$A13</f>
        <v/>
      </c>
      <c r="N13" s="1" t="inlineStr">
        <is>
          <t>child_profile_etc</t>
        </is>
      </c>
      <c r="O13" s="1">
        <f>N13&amp;"_"&amp;$A13</f>
        <v/>
      </c>
      <c r="P13" s="1" t="inlineStr">
        <is>
          <t>child_profile_etc</t>
        </is>
      </c>
      <c r="Q13" s="1">
        <f>P13&amp;"_"&amp;$A13</f>
        <v/>
      </c>
      <c r="R13" s="1" t="inlineStr">
        <is>
          <t>child_profile_etc</t>
        </is>
      </c>
      <c r="S13" s="1">
        <f>R13&amp;"_"&amp;$A13</f>
        <v/>
      </c>
      <c r="T13" s="1" t="inlineStr">
        <is>
          <t>child_profile_etc</t>
        </is>
      </c>
      <c r="U13" s="1">
        <f>T13&amp;"_"&amp;$A13</f>
        <v/>
      </c>
    </row>
    <row r="14">
      <c r="A14" s="68" t="n">
        <v>10000002</v>
      </c>
      <c r="B14" s="1" t="inlineStr">
        <is>
          <t>child_profile_birthday</t>
        </is>
      </c>
      <c r="C14" s="1">
        <f>B14&amp;"_"&amp;$A14</f>
        <v/>
      </c>
      <c r="D14" s="1" t="inlineStr">
        <is>
          <t>child_profile_star</t>
        </is>
      </c>
      <c r="E14" s="1">
        <f>D14&amp;"_"&amp;$A14</f>
        <v/>
      </c>
      <c r="F14" s="1" t="inlineStr">
        <is>
          <t>child_profile_hobby</t>
        </is>
      </c>
      <c r="G14" s="1">
        <f>F14&amp;"_"&amp;$A14</f>
        <v/>
      </c>
      <c r="H14" s="1" t="inlineStr">
        <is>
          <t>child_profile_like</t>
        </is>
      </c>
      <c r="I14" s="1">
        <f>H14&amp;"_"&amp;$A14</f>
        <v/>
      </c>
      <c r="J14" s="1" t="inlineStr">
        <is>
          <t>child_profile_hate</t>
        </is>
      </c>
      <c r="K14" s="1">
        <f>J14&amp;"_"&amp;$A14</f>
        <v/>
      </c>
      <c r="L14" s="1" t="inlineStr">
        <is>
          <t>child_profile_etc</t>
        </is>
      </c>
      <c r="M14" s="1">
        <f>L14&amp;"_"&amp;$A14</f>
        <v/>
      </c>
      <c r="N14" s="1" t="inlineStr">
        <is>
          <t>child_profile_etc</t>
        </is>
      </c>
      <c r="O14" s="1">
        <f>N14&amp;"_"&amp;$A14</f>
        <v/>
      </c>
      <c r="P14" s="1" t="inlineStr">
        <is>
          <t>child_profile_etc</t>
        </is>
      </c>
      <c r="Q14" s="1">
        <f>P14&amp;"_"&amp;$A14</f>
        <v/>
      </c>
      <c r="R14" s="1" t="inlineStr">
        <is>
          <t>child_profile_etc</t>
        </is>
      </c>
      <c r="S14" s="1">
        <f>R14&amp;"_"&amp;$A14</f>
        <v/>
      </c>
      <c r="T14" s="1" t="inlineStr">
        <is>
          <t>child_profile_etc</t>
        </is>
      </c>
      <c r="U14" s="1">
        <f>T14&amp;"_"&amp;$A14</f>
        <v/>
      </c>
    </row>
    <row r="15">
      <c r="A15" s="68" t="n">
        <v>10000417</v>
      </c>
      <c r="B15" s="1" t="inlineStr">
        <is>
          <t>child_profile_birthday</t>
        </is>
      </c>
      <c r="C15" s="1">
        <f>B15&amp;"_"&amp;$A15</f>
        <v/>
      </c>
      <c r="D15" s="1" t="inlineStr">
        <is>
          <t>child_profile_star</t>
        </is>
      </c>
      <c r="E15" s="1">
        <f>D15&amp;"_"&amp;$A15</f>
        <v/>
      </c>
      <c r="F15" s="1" t="inlineStr">
        <is>
          <t>child_profile_hobby</t>
        </is>
      </c>
      <c r="G15" s="1">
        <f>F15&amp;"_"&amp;$A15</f>
        <v/>
      </c>
      <c r="H15" s="1" t="inlineStr">
        <is>
          <t>child_profile_like</t>
        </is>
      </c>
      <c r="I15" s="1">
        <f>H15&amp;"_"&amp;$A15</f>
        <v/>
      </c>
      <c r="J15" s="1" t="inlineStr">
        <is>
          <t>child_profile_hate</t>
        </is>
      </c>
      <c r="K15" s="1">
        <f>J15&amp;"_"&amp;$A15</f>
        <v/>
      </c>
      <c r="L15" s="1" t="inlineStr">
        <is>
          <t>child_profile_etc</t>
        </is>
      </c>
      <c r="M15" s="1">
        <f>L15&amp;"_"&amp;$A15</f>
        <v/>
      </c>
      <c r="N15" s="1" t="inlineStr">
        <is>
          <t>child_profile_etc</t>
        </is>
      </c>
      <c r="O15" s="1">
        <f>N15&amp;"_"&amp;$A15</f>
        <v/>
      </c>
      <c r="P15" s="1" t="inlineStr">
        <is>
          <t>child_profile_etc</t>
        </is>
      </c>
      <c r="Q15" s="1">
        <f>P15&amp;"_"&amp;$A15</f>
        <v/>
      </c>
      <c r="R15" s="1" t="inlineStr">
        <is>
          <t>child_profile_etc</t>
        </is>
      </c>
      <c r="S15" s="1">
        <f>R15&amp;"_"&amp;$A15</f>
        <v/>
      </c>
      <c r="T15" s="1" t="inlineStr">
        <is>
          <t>child_profile_etc</t>
        </is>
      </c>
      <c r="U15" s="1">
        <f>T15&amp;"_"&amp;$A15</f>
        <v/>
      </c>
    </row>
    <row r="16">
      <c r="A16" s="68" t="n">
        <v>10000432</v>
      </c>
      <c r="B16" s="1" t="inlineStr">
        <is>
          <t>child_profile_birthday</t>
        </is>
      </c>
      <c r="C16" s="1">
        <f>B16&amp;"_"&amp;$A16</f>
        <v/>
      </c>
      <c r="D16" s="1" t="inlineStr">
        <is>
          <t>child_profile_star</t>
        </is>
      </c>
      <c r="E16" s="1">
        <f>D16&amp;"_"&amp;$A16</f>
        <v/>
      </c>
      <c r="F16" s="1" t="inlineStr">
        <is>
          <t>child_profile_hobby</t>
        </is>
      </c>
      <c r="G16" s="1">
        <f>F16&amp;"_"&amp;$A16</f>
        <v/>
      </c>
      <c r="H16" s="1" t="inlineStr">
        <is>
          <t>child_profile_like</t>
        </is>
      </c>
      <c r="I16" s="1">
        <f>H16&amp;"_"&amp;$A16</f>
        <v/>
      </c>
      <c r="J16" s="1" t="inlineStr">
        <is>
          <t>child_profile_hate</t>
        </is>
      </c>
      <c r="K16" s="1">
        <f>J16&amp;"_"&amp;$A16</f>
        <v/>
      </c>
      <c r="L16" s="1" t="inlineStr">
        <is>
          <t>child_profile_etc</t>
        </is>
      </c>
      <c r="M16" s="1">
        <f>L16&amp;"_"&amp;$A16</f>
        <v/>
      </c>
      <c r="N16" s="1" t="inlineStr">
        <is>
          <t>child_profile_etc</t>
        </is>
      </c>
      <c r="O16" s="1">
        <f>N16&amp;"_"&amp;$A16</f>
        <v/>
      </c>
      <c r="P16" s="1" t="inlineStr">
        <is>
          <t>child_profile_etc</t>
        </is>
      </c>
      <c r="Q16" s="1">
        <f>P16&amp;"_"&amp;$A16</f>
        <v/>
      </c>
      <c r="R16" s="1" t="inlineStr">
        <is>
          <t>child_profile_etc</t>
        </is>
      </c>
      <c r="S16" s="1">
        <f>R16&amp;"_"&amp;$A16</f>
        <v/>
      </c>
      <c r="T16" s="1" t="inlineStr">
        <is>
          <t>child_profile_etc</t>
        </is>
      </c>
      <c r="U16" s="1">
        <f>T16&amp;"_"&amp;$A16</f>
        <v/>
      </c>
    </row>
    <row r="17">
      <c r="A17" s="68" t="n">
        <v>10000486</v>
      </c>
      <c r="B17" s="1" t="inlineStr">
        <is>
          <t>child_profile_birthday</t>
        </is>
      </c>
      <c r="C17" s="1">
        <f>B17&amp;"_"&amp;$A17</f>
        <v/>
      </c>
      <c r="D17" s="1" t="inlineStr">
        <is>
          <t>child_profile_star</t>
        </is>
      </c>
      <c r="E17" s="1">
        <f>D17&amp;"_"&amp;$A17</f>
        <v/>
      </c>
      <c r="F17" s="1" t="inlineStr">
        <is>
          <t>child_profile_hobby</t>
        </is>
      </c>
      <c r="G17" s="1">
        <f>F17&amp;"_"&amp;$A17</f>
        <v/>
      </c>
      <c r="H17" s="1" t="inlineStr">
        <is>
          <t>child_profile_like</t>
        </is>
      </c>
      <c r="I17" s="1">
        <f>H17&amp;"_"&amp;$A17</f>
        <v/>
      </c>
      <c r="J17" s="1" t="inlineStr">
        <is>
          <t>child_profile_hate</t>
        </is>
      </c>
      <c r="K17" s="1">
        <f>J17&amp;"_"&amp;$A17</f>
        <v/>
      </c>
      <c r="L17" s="1" t="inlineStr">
        <is>
          <t>child_profile_etc</t>
        </is>
      </c>
      <c r="M17" s="1">
        <f>L17&amp;"_"&amp;$A17</f>
        <v/>
      </c>
      <c r="N17" s="1" t="inlineStr">
        <is>
          <t>child_profile_etc</t>
        </is>
      </c>
      <c r="O17" s="1">
        <f>N17&amp;"_"&amp;$A17</f>
        <v/>
      </c>
      <c r="P17" s="1" t="inlineStr">
        <is>
          <t>child_profile_etc</t>
        </is>
      </c>
      <c r="Q17" s="1">
        <f>P17&amp;"_"&amp;$A17</f>
        <v/>
      </c>
      <c r="R17" s="1" t="inlineStr">
        <is>
          <t>child_profile_etc</t>
        </is>
      </c>
      <c r="S17" s="1">
        <f>R17&amp;"_"&amp;$A17</f>
        <v/>
      </c>
      <c r="T17" s="1" t="inlineStr">
        <is>
          <t>child_profile_etc</t>
        </is>
      </c>
      <c r="U17" s="1">
        <f>T17&amp;"_"&amp;$A17</f>
        <v/>
      </c>
    </row>
    <row r="18">
      <c r="A18" s="68" t="n">
        <v>10000294</v>
      </c>
      <c r="B18" s="1" t="inlineStr">
        <is>
          <t>child_profile_birthday</t>
        </is>
      </c>
      <c r="C18" s="1">
        <f>B18&amp;"_"&amp;$A18</f>
        <v/>
      </c>
      <c r="D18" s="1" t="inlineStr">
        <is>
          <t>child_profile_star</t>
        </is>
      </c>
      <c r="E18" s="1">
        <f>D18&amp;"_"&amp;$A18</f>
        <v/>
      </c>
      <c r="F18" s="1" t="inlineStr">
        <is>
          <t>child_profile_hobby</t>
        </is>
      </c>
      <c r="G18" s="1">
        <f>F18&amp;"_"&amp;$A18</f>
        <v/>
      </c>
      <c r="H18" s="1" t="inlineStr">
        <is>
          <t>child_profile_like</t>
        </is>
      </c>
      <c r="I18" s="1">
        <f>H18&amp;"_"&amp;$A18</f>
        <v/>
      </c>
      <c r="J18" s="1" t="inlineStr">
        <is>
          <t>child_profile_hate</t>
        </is>
      </c>
      <c r="K18" s="1">
        <f>J18&amp;"_"&amp;$A18</f>
        <v/>
      </c>
      <c r="L18" s="1" t="inlineStr">
        <is>
          <t>child_profile_etc</t>
        </is>
      </c>
      <c r="M18" s="1">
        <f>L18&amp;"_"&amp;$A18</f>
        <v/>
      </c>
      <c r="N18" s="1" t="inlineStr">
        <is>
          <t>child_profile_etc</t>
        </is>
      </c>
      <c r="O18" s="1">
        <f>N18&amp;"_"&amp;$A18</f>
        <v/>
      </c>
      <c r="P18" s="1" t="inlineStr">
        <is>
          <t>child_profile_etc</t>
        </is>
      </c>
      <c r="Q18" s="1">
        <f>P18&amp;"_"&amp;$A18</f>
        <v/>
      </c>
      <c r="R18" s="1" t="inlineStr">
        <is>
          <t>child_profile_etc</t>
        </is>
      </c>
      <c r="S18" s="1">
        <f>R18&amp;"_"&amp;$A18</f>
        <v/>
      </c>
      <c r="T18" s="1" t="inlineStr">
        <is>
          <t>child_profile_etc</t>
        </is>
      </c>
      <c r="U18" s="1">
        <f>T18&amp;"_"&amp;$A18</f>
        <v/>
      </c>
    </row>
    <row r="19">
      <c r="A19" s="68" t="n">
        <v>10000501</v>
      </c>
      <c r="B19" s="1" t="inlineStr">
        <is>
          <t>child_profile_birthday</t>
        </is>
      </c>
      <c r="C19" s="1">
        <f>B19&amp;"_"&amp;$A19</f>
        <v/>
      </c>
      <c r="D19" s="1" t="inlineStr">
        <is>
          <t>child_profile_star</t>
        </is>
      </c>
      <c r="E19" s="1">
        <f>D19&amp;"_"&amp;$A19</f>
        <v/>
      </c>
      <c r="F19" s="1" t="inlineStr">
        <is>
          <t>child_profile_hobby</t>
        </is>
      </c>
      <c r="G19" s="1">
        <f>F19&amp;"_"&amp;$A19</f>
        <v/>
      </c>
      <c r="H19" s="1" t="inlineStr">
        <is>
          <t>child_profile_like</t>
        </is>
      </c>
      <c r="I19" s="1">
        <f>H19&amp;"_"&amp;$A19</f>
        <v/>
      </c>
      <c r="J19" s="1" t="inlineStr">
        <is>
          <t>child_profile_hate</t>
        </is>
      </c>
      <c r="K19" s="1">
        <f>J19&amp;"_"&amp;$A19</f>
        <v/>
      </c>
      <c r="L19" s="1" t="inlineStr">
        <is>
          <t>child_profile_etc</t>
        </is>
      </c>
      <c r="M19" s="1">
        <f>L19&amp;"_"&amp;$A19</f>
        <v/>
      </c>
      <c r="N19" s="1" t="inlineStr">
        <is>
          <t>child_profile_etc</t>
        </is>
      </c>
      <c r="O19" s="1">
        <f>N19&amp;"_"&amp;$A19</f>
        <v/>
      </c>
      <c r="P19" s="1" t="inlineStr">
        <is>
          <t>child_profile_etc</t>
        </is>
      </c>
      <c r="Q19" s="1">
        <f>P19&amp;"_"&amp;$A19</f>
        <v/>
      </c>
      <c r="R19" s="1" t="inlineStr">
        <is>
          <t>child_profile_etc</t>
        </is>
      </c>
      <c r="S19" s="1">
        <f>R19&amp;"_"&amp;$A19</f>
        <v/>
      </c>
      <c r="T19" s="1" t="inlineStr">
        <is>
          <t>child_profile_etc</t>
        </is>
      </c>
      <c r="U19" s="1">
        <f>T19&amp;"_"&amp;$A19</f>
        <v/>
      </c>
    </row>
    <row r="20">
      <c r="A20" s="68" t="n">
        <v>10000001</v>
      </c>
      <c r="B20" s="1" t="inlineStr">
        <is>
          <t>child_profile_birthday</t>
        </is>
      </c>
      <c r="C20" s="1">
        <f>B20&amp;"_"&amp;$A20</f>
        <v/>
      </c>
      <c r="D20" s="1" t="inlineStr">
        <is>
          <t>child_profile_star</t>
        </is>
      </c>
      <c r="E20" s="1">
        <f>D20&amp;"_"&amp;$A20</f>
        <v/>
      </c>
      <c r="F20" s="1" t="inlineStr">
        <is>
          <t>child_profile_hobby</t>
        </is>
      </c>
      <c r="G20" s="1">
        <f>F20&amp;"_"&amp;$A20</f>
        <v/>
      </c>
      <c r="H20" s="1" t="inlineStr">
        <is>
          <t>child_profile_like</t>
        </is>
      </c>
      <c r="I20" s="1">
        <f>H20&amp;"_"&amp;$A20</f>
        <v/>
      </c>
      <c r="J20" s="1" t="inlineStr">
        <is>
          <t>child_profile_hate</t>
        </is>
      </c>
      <c r="K20" s="1">
        <f>J20&amp;"_"&amp;$A20</f>
        <v/>
      </c>
      <c r="L20" s="1" t="inlineStr">
        <is>
          <t>child_profile_etc</t>
        </is>
      </c>
      <c r="M20" s="1">
        <f>L20&amp;"_"&amp;$A20</f>
        <v/>
      </c>
      <c r="N20" s="1" t="inlineStr">
        <is>
          <t>child_profile_etc</t>
        </is>
      </c>
      <c r="O20" s="1">
        <f>N20&amp;"_"&amp;$A20</f>
        <v/>
      </c>
      <c r="P20" s="1" t="inlineStr">
        <is>
          <t>child_profile_etc</t>
        </is>
      </c>
      <c r="Q20" s="1">
        <f>P20&amp;"_"&amp;$A20</f>
        <v/>
      </c>
      <c r="R20" s="1" t="inlineStr">
        <is>
          <t>child_profile_etc</t>
        </is>
      </c>
      <c r="S20" s="1">
        <f>R20&amp;"_"&amp;$A20</f>
        <v/>
      </c>
      <c r="T20" s="1" t="inlineStr">
        <is>
          <t>child_profile_etc</t>
        </is>
      </c>
      <c r="U20" s="1">
        <f>T20&amp;"_"&amp;$A20</f>
        <v/>
      </c>
    </row>
    <row r="21">
      <c r="A21" s="68" t="n">
        <v>10000502</v>
      </c>
      <c r="B21" s="1" t="inlineStr">
        <is>
          <t>child_profile_birthday</t>
        </is>
      </c>
      <c r="C21" s="1">
        <f>B21&amp;"_"&amp;$A21</f>
        <v/>
      </c>
      <c r="D21" s="1" t="inlineStr">
        <is>
          <t>child_profile_star</t>
        </is>
      </c>
      <c r="E21" s="1">
        <f>D21&amp;"_"&amp;$A21</f>
        <v/>
      </c>
      <c r="F21" s="1" t="inlineStr">
        <is>
          <t>child_profile_hobby</t>
        </is>
      </c>
      <c r="G21" s="1">
        <f>F21&amp;"_"&amp;$A21</f>
        <v/>
      </c>
      <c r="H21" s="1" t="inlineStr">
        <is>
          <t>child_profile_like</t>
        </is>
      </c>
      <c r="I21" s="1">
        <f>H21&amp;"_"&amp;$A21</f>
        <v/>
      </c>
      <c r="J21" s="1" t="inlineStr">
        <is>
          <t>child_profile_hate</t>
        </is>
      </c>
      <c r="K21" s="1">
        <f>J21&amp;"_"&amp;$A21</f>
        <v/>
      </c>
      <c r="L21" s="1" t="inlineStr">
        <is>
          <t>child_profile_etc</t>
        </is>
      </c>
      <c r="M21" s="1">
        <f>L21&amp;"_"&amp;$A21</f>
        <v/>
      </c>
      <c r="N21" s="1" t="inlineStr">
        <is>
          <t>child_profile_etc</t>
        </is>
      </c>
      <c r="O21" s="1">
        <f>N21&amp;"_"&amp;$A21</f>
        <v/>
      </c>
      <c r="P21" s="1" t="inlineStr">
        <is>
          <t>child_profile_etc</t>
        </is>
      </c>
      <c r="Q21" s="1">
        <f>P21&amp;"_"&amp;$A21</f>
        <v/>
      </c>
      <c r="R21" s="1" t="inlineStr">
        <is>
          <t>child_profile_etc</t>
        </is>
      </c>
      <c r="S21" s="1">
        <f>R21&amp;"_"&amp;$A21</f>
        <v/>
      </c>
      <c r="T21" s="1" t="inlineStr">
        <is>
          <t>child_profile_etc</t>
        </is>
      </c>
      <c r="U21" s="1">
        <f>T21&amp;"_"&amp;$A21</f>
        <v/>
      </c>
    </row>
    <row r="22">
      <c r="A22" s="68" t="n">
        <v>10000412</v>
      </c>
      <c r="B22" s="1" t="inlineStr">
        <is>
          <t>child_profile_birthday</t>
        </is>
      </c>
      <c r="C22" s="1">
        <f>B22&amp;"_"&amp;$A22</f>
        <v/>
      </c>
      <c r="D22" s="1" t="inlineStr">
        <is>
          <t>child_profile_star</t>
        </is>
      </c>
      <c r="E22" s="1">
        <f>D22&amp;"_"&amp;$A22</f>
        <v/>
      </c>
      <c r="F22" s="1" t="inlineStr">
        <is>
          <t>child_profile_hobby</t>
        </is>
      </c>
      <c r="G22" s="1">
        <f>F22&amp;"_"&amp;$A22</f>
        <v/>
      </c>
      <c r="H22" s="1" t="inlineStr">
        <is>
          <t>child_profile_like</t>
        </is>
      </c>
      <c r="I22" s="1">
        <f>H22&amp;"_"&amp;$A22</f>
        <v/>
      </c>
      <c r="J22" s="1" t="inlineStr">
        <is>
          <t>child_profile_hate</t>
        </is>
      </c>
      <c r="K22" s="1">
        <f>J22&amp;"_"&amp;$A22</f>
        <v/>
      </c>
      <c r="L22" s="1" t="inlineStr">
        <is>
          <t>child_profile_etc</t>
        </is>
      </c>
      <c r="M22" s="1">
        <f>L22&amp;"_"&amp;$A22</f>
        <v/>
      </c>
      <c r="N22" s="1" t="inlineStr">
        <is>
          <t>child_profile_etc</t>
        </is>
      </c>
      <c r="O22" s="1">
        <f>N22&amp;"_"&amp;$A22</f>
        <v/>
      </c>
      <c r="P22" s="1" t="inlineStr">
        <is>
          <t>child_profile_etc</t>
        </is>
      </c>
      <c r="Q22" s="1">
        <f>P22&amp;"_"&amp;$A22</f>
        <v/>
      </c>
      <c r="R22" s="1" t="inlineStr">
        <is>
          <t>child_profile_etc</t>
        </is>
      </c>
      <c r="S22" s="1">
        <f>R22&amp;"_"&amp;$A22</f>
        <v/>
      </c>
      <c r="T22" s="1" t="inlineStr">
        <is>
          <t>child_profile_etc</t>
        </is>
      </c>
      <c r="U22" s="1">
        <f>T22&amp;"_"&amp;$A22</f>
        <v/>
      </c>
    </row>
    <row r="23">
      <c r="A23" s="68" t="n">
        <v>10000156</v>
      </c>
      <c r="B23" s="1" t="inlineStr">
        <is>
          <t>child_profile_birthday</t>
        </is>
      </c>
      <c r="C23" s="1">
        <f>B23&amp;"_"&amp;$A23</f>
        <v/>
      </c>
      <c r="D23" s="1" t="inlineStr">
        <is>
          <t>child_profile_star</t>
        </is>
      </c>
      <c r="E23" s="1">
        <f>D23&amp;"_"&amp;$A23</f>
        <v/>
      </c>
      <c r="F23" s="1" t="inlineStr">
        <is>
          <t>child_profile_hobby</t>
        </is>
      </c>
      <c r="G23" s="1">
        <f>F23&amp;"_"&amp;$A23</f>
        <v/>
      </c>
      <c r="H23" s="1" t="inlineStr">
        <is>
          <t>child_profile_like</t>
        </is>
      </c>
      <c r="I23" s="1">
        <f>H23&amp;"_"&amp;$A23</f>
        <v/>
      </c>
      <c r="J23" s="1" t="inlineStr">
        <is>
          <t>child_profile_hate</t>
        </is>
      </c>
      <c r="K23" s="1">
        <f>J23&amp;"_"&amp;$A23</f>
        <v/>
      </c>
      <c r="L23" s="1" t="inlineStr">
        <is>
          <t>child_profile_etc</t>
        </is>
      </c>
      <c r="M23" s="1">
        <f>L23&amp;"_"&amp;$A23</f>
        <v/>
      </c>
      <c r="N23" s="1" t="inlineStr">
        <is>
          <t>child_profile_etc</t>
        </is>
      </c>
      <c r="O23" s="1">
        <f>N23&amp;"_"&amp;$A23</f>
        <v/>
      </c>
      <c r="P23" s="1" t="inlineStr">
        <is>
          <t>child_profile_etc</t>
        </is>
      </c>
      <c r="Q23" s="1">
        <f>P23&amp;"_"&amp;$A23</f>
        <v/>
      </c>
      <c r="R23" s="1" t="inlineStr">
        <is>
          <t>child_profile_etc</t>
        </is>
      </c>
      <c r="S23" s="1">
        <f>R23&amp;"_"&amp;$A23</f>
        <v/>
      </c>
      <c r="T23" s="1" t="inlineStr">
        <is>
          <t>child_profile_etc</t>
        </is>
      </c>
      <c r="U23" s="1">
        <f>T23&amp;"_"&amp;$A23</f>
        <v/>
      </c>
    </row>
    <row r="24">
      <c r="A24" s="68" t="n">
        <v>10000318</v>
      </c>
      <c r="B24" s="1" t="inlineStr">
        <is>
          <t>child_profile_birthday</t>
        </is>
      </c>
      <c r="C24" s="1">
        <f>B24&amp;"_"&amp;$A24</f>
        <v/>
      </c>
      <c r="D24" s="1" t="inlineStr">
        <is>
          <t>child_profile_star</t>
        </is>
      </c>
      <c r="E24" s="1">
        <f>D24&amp;"_"&amp;$A24</f>
        <v/>
      </c>
      <c r="F24" s="1" t="inlineStr">
        <is>
          <t>child_profile_hobby</t>
        </is>
      </c>
      <c r="G24" s="1">
        <f>F24&amp;"_"&amp;$A24</f>
        <v/>
      </c>
      <c r="H24" s="1" t="inlineStr">
        <is>
          <t>child_profile_like</t>
        </is>
      </c>
      <c r="I24" s="1">
        <f>H24&amp;"_"&amp;$A24</f>
        <v/>
      </c>
      <c r="J24" s="1" t="inlineStr">
        <is>
          <t>child_profile_hate</t>
        </is>
      </c>
      <c r="K24" s="1">
        <f>J24&amp;"_"&amp;$A24</f>
        <v/>
      </c>
      <c r="L24" s="1" t="inlineStr">
        <is>
          <t>child_profile_etc</t>
        </is>
      </c>
      <c r="M24" s="1">
        <f>L24&amp;"_"&amp;$A24</f>
        <v/>
      </c>
      <c r="N24" s="1" t="inlineStr">
        <is>
          <t>child_profile_etc</t>
        </is>
      </c>
      <c r="O24" s="1">
        <f>N24&amp;"_"&amp;$A24</f>
        <v/>
      </c>
      <c r="P24" s="1" t="inlineStr">
        <is>
          <t>child_profile_etc</t>
        </is>
      </c>
      <c r="Q24" s="1">
        <f>P24&amp;"_"&amp;$A24</f>
        <v/>
      </c>
      <c r="R24" s="1" t="inlineStr">
        <is>
          <t>child_profile_etc</t>
        </is>
      </c>
      <c r="S24" s="1">
        <f>R24&amp;"_"&amp;$A24</f>
        <v/>
      </c>
      <c r="T24" s="1" t="inlineStr">
        <is>
          <t>child_profile_etc</t>
        </is>
      </c>
      <c r="U24" s="1">
        <f>T24&amp;"_"&amp;$A24</f>
        <v/>
      </c>
    </row>
    <row r="25">
      <c r="A25" s="68" t="n">
        <v>10000525</v>
      </c>
      <c r="B25" s="1" t="inlineStr">
        <is>
          <t>child_profile_birthday</t>
        </is>
      </c>
      <c r="C25" s="1">
        <f>B25&amp;"_"&amp;$A25</f>
        <v/>
      </c>
      <c r="D25" s="1" t="inlineStr">
        <is>
          <t>child_profile_star</t>
        </is>
      </c>
      <c r="E25" s="1">
        <f>D25&amp;"_"&amp;$A25</f>
        <v/>
      </c>
      <c r="F25" s="1" t="inlineStr">
        <is>
          <t>child_profile_hobby</t>
        </is>
      </c>
      <c r="G25" s="1">
        <f>F25&amp;"_"&amp;$A25</f>
        <v/>
      </c>
      <c r="H25" s="1" t="inlineStr">
        <is>
          <t>child_profile_like</t>
        </is>
      </c>
      <c r="I25" s="1">
        <f>H25&amp;"_"&amp;$A25</f>
        <v/>
      </c>
      <c r="J25" s="1" t="inlineStr">
        <is>
          <t>child_profile_hate</t>
        </is>
      </c>
      <c r="K25" s="1">
        <f>J25&amp;"_"&amp;$A25</f>
        <v/>
      </c>
      <c r="L25" s="1" t="inlineStr">
        <is>
          <t>child_profile_etc</t>
        </is>
      </c>
      <c r="M25" s="1">
        <f>L25&amp;"_"&amp;$A25</f>
        <v/>
      </c>
      <c r="N25" s="1" t="inlineStr">
        <is>
          <t>child_profile_etc</t>
        </is>
      </c>
      <c r="O25" s="1">
        <f>N25&amp;"_"&amp;$A25</f>
        <v/>
      </c>
      <c r="P25" s="1" t="inlineStr">
        <is>
          <t>child_profile_etc</t>
        </is>
      </c>
      <c r="Q25" s="1">
        <f>P25&amp;"_"&amp;$A25</f>
        <v/>
      </c>
      <c r="R25" s="1" t="inlineStr">
        <is>
          <t>child_profile_etc</t>
        </is>
      </c>
      <c r="S25" s="1">
        <f>R25&amp;"_"&amp;$A25</f>
        <v/>
      </c>
      <c r="T25" s="1" t="inlineStr">
        <is>
          <t>child_profile_etc</t>
        </is>
      </c>
      <c r="U25" s="1">
        <f>T25&amp;"_"&amp;$A25</f>
        <v/>
      </c>
    </row>
    <row r="26">
      <c r="A26" s="68" t="n">
        <v>10000442</v>
      </c>
      <c r="B26" s="1" t="inlineStr">
        <is>
          <t>child_profile_birthday</t>
        </is>
      </c>
      <c r="C26" s="1">
        <f>B26&amp;"_"&amp;$A26</f>
        <v/>
      </c>
      <c r="D26" s="1" t="inlineStr">
        <is>
          <t>child_profile_star</t>
        </is>
      </c>
      <c r="E26" s="1">
        <f>D26&amp;"_"&amp;$A26</f>
        <v/>
      </c>
      <c r="F26" s="1" t="inlineStr">
        <is>
          <t>child_profile_hobby</t>
        </is>
      </c>
      <c r="G26" s="1">
        <f>F26&amp;"_"&amp;$A26</f>
        <v/>
      </c>
      <c r="H26" s="1" t="inlineStr">
        <is>
          <t>child_profile_like</t>
        </is>
      </c>
      <c r="I26" s="1">
        <f>H26&amp;"_"&amp;$A26</f>
        <v/>
      </c>
      <c r="J26" s="1" t="inlineStr">
        <is>
          <t>child_profile_hate</t>
        </is>
      </c>
      <c r="K26" s="1">
        <f>J26&amp;"_"&amp;$A26</f>
        <v/>
      </c>
      <c r="L26" s="1" t="inlineStr">
        <is>
          <t>child_profile_etc</t>
        </is>
      </c>
      <c r="M26" s="1">
        <f>L26&amp;"_"&amp;$A26</f>
        <v/>
      </c>
      <c r="N26" s="1" t="inlineStr">
        <is>
          <t>child_profile_etc</t>
        </is>
      </c>
      <c r="O26" s="1">
        <f>N26&amp;"_"&amp;$A26</f>
        <v/>
      </c>
      <c r="P26" s="1" t="inlineStr">
        <is>
          <t>child_profile_etc</t>
        </is>
      </c>
      <c r="Q26" s="1">
        <f>P26&amp;"_"&amp;$A26</f>
        <v/>
      </c>
      <c r="R26" s="1" t="inlineStr">
        <is>
          <t>child_profile_etc</t>
        </is>
      </c>
      <c r="S26" s="1">
        <f>R26&amp;"_"&amp;$A26</f>
        <v/>
      </c>
      <c r="T26" s="1" t="inlineStr">
        <is>
          <t>child_profile_etc</t>
        </is>
      </c>
      <c r="U26" s="1">
        <f>T26&amp;"_"&amp;$A26</f>
        <v/>
      </c>
    </row>
    <row r="27">
      <c r="A27" s="68" t="n">
        <v>10000194</v>
      </c>
      <c r="B27" s="1" t="inlineStr">
        <is>
          <t>child_profile_birthday</t>
        </is>
      </c>
      <c r="C27" s="1">
        <f>B27&amp;"_"&amp;$A27</f>
        <v/>
      </c>
      <c r="D27" s="1" t="inlineStr">
        <is>
          <t>child_profile_star</t>
        </is>
      </c>
      <c r="E27" s="1">
        <f>D27&amp;"_"&amp;$A27</f>
        <v/>
      </c>
      <c r="F27" s="1" t="inlineStr">
        <is>
          <t>child_profile_hobby</t>
        </is>
      </c>
      <c r="G27" s="1">
        <f>F27&amp;"_"&amp;$A27</f>
        <v/>
      </c>
      <c r="H27" s="1" t="inlineStr">
        <is>
          <t>child_profile_like</t>
        </is>
      </c>
      <c r="I27" s="1">
        <f>H27&amp;"_"&amp;$A27</f>
        <v/>
      </c>
      <c r="J27" s="1" t="inlineStr">
        <is>
          <t>child_profile_hate</t>
        </is>
      </c>
      <c r="K27" s="1">
        <f>J27&amp;"_"&amp;$A27</f>
        <v/>
      </c>
      <c r="L27" s="1" t="inlineStr">
        <is>
          <t>child_profile_etc</t>
        </is>
      </c>
      <c r="M27" s="1">
        <f>L27&amp;"_"&amp;$A27</f>
        <v/>
      </c>
      <c r="N27" s="1" t="inlineStr">
        <is>
          <t>child_profile_etc</t>
        </is>
      </c>
      <c r="O27" s="1">
        <f>N27&amp;"_"&amp;$A27</f>
        <v/>
      </c>
      <c r="P27" s="1" t="inlineStr">
        <is>
          <t>child_profile_etc</t>
        </is>
      </c>
      <c r="Q27" s="1">
        <f>P27&amp;"_"&amp;$A27</f>
        <v/>
      </c>
      <c r="R27" s="1" t="inlineStr">
        <is>
          <t>child_profile_etc</t>
        </is>
      </c>
      <c r="S27" s="1">
        <f>R27&amp;"_"&amp;$A27</f>
        <v/>
      </c>
      <c r="T27" s="1" t="inlineStr">
        <is>
          <t>child_profile_etc</t>
        </is>
      </c>
      <c r="U27" s="1">
        <f>T27&amp;"_"&amp;$A27</f>
        <v/>
      </c>
    </row>
    <row r="28">
      <c r="A28" s="68" t="n">
        <v>10000124</v>
      </c>
      <c r="B28" s="1" t="inlineStr">
        <is>
          <t>child_profile_birthday</t>
        </is>
      </c>
      <c r="C28" s="1">
        <f>B28&amp;"_"&amp;$A28</f>
        <v/>
      </c>
      <c r="D28" s="1" t="inlineStr">
        <is>
          <t>child_profile_star</t>
        </is>
      </c>
      <c r="E28" s="1">
        <f>D28&amp;"_"&amp;$A28</f>
        <v/>
      </c>
      <c r="F28" s="1" t="inlineStr">
        <is>
          <t>child_profile_hobby</t>
        </is>
      </c>
      <c r="G28" s="1">
        <f>F28&amp;"_"&amp;$A28</f>
        <v/>
      </c>
      <c r="H28" s="1" t="inlineStr">
        <is>
          <t>child_profile_like</t>
        </is>
      </c>
      <c r="I28" s="1">
        <f>H28&amp;"_"&amp;$A28</f>
        <v/>
      </c>
      <c r="J28" s="1" t="inlineStr">
        <is>
          <t>child_profile_hate</t>
        </is>
      </c>
      <c r="K28" s="1">
        <f>J28&amp;"_"&amp;$A28</f>
        <v/>
      </c>
      <c r="L28" s="1" t="inlineStr">
        <is>
          <t>child_profile_etc</t>
        </is>
      </c>
      <c r="M28" s="1">
        <f>L28&amp;"_"&amp;$A28</f>
        <v/>
      </c>
      <c r="N28" s="1" t="inlineStr">
        <is>
          <t>child_profile_etc</t>
        </is>
      </c>
      <c r="O28" s="1">
        <f>N28&amp;"_"&amp;$A28</f>
        <v/>
      </c>
      <c r="P28" s="1" t="inlineStr">
        <is>
          <t>child_profile_etc</t>
        </is>
      </c>
      <c r="Q28" s="1">
        <f>P28&amp;"_"&amp;$A28</f>
        <v/>
      </c>
      <c r="R28" s="1" t="inlineStr">
        <is>
          <t>child_profile_etc</t>
        </is>
      </c>
      <c r="S28" s="1">
        <f>R28&amp;"_"&amp;$A28</f>
        <v/>
      </c>
      <c r="T28" s="1" t="inlineStr">
        <is>
          <t>child_profile_etc</t>
        </is>
      </c>
      <c r="U28" s="1">
        <f>T28&amp;"_"&amp;$A28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K12" sqref="K12"/>
    </sheetView>
  </sheetViews>
  <sheetFormatPr baseColWidth="8" defaultRowHeight="16.5"/>
  <cols>
    <col width="8.5" bestFit="1" customWidth="1" style="1" min="1" max="1"/>
    <col width="7.5" bestFit="1" customWidth="1" style="1" min="2" max="2"/>
    <col width="8.875" bestFit="1" customWidth="1" style="1" min="3" max="3"/>
    <col width="16" bestFit="1" customWidth="1" style="1" min="4" max="4"/>
    <col width="7" bestFit="1" customWidth="1" style="1" min="5" max="5"/>
  </cols>
  <sheetData>
    <row r="1" customFormat="1" s="7">
      <c r="A1" s="5" t="inlineStr">
        <is>
          <t>Id</t>
        </is>
      </c>
      <c r="B1" s="6" t="inlineStr">
        <is>
          <t>Name</t>
        </is>
      </c>
      <c r="C1" s="6" t="inlineStr">
        <is>
          <t>#BaseSkin</t>
        </is>
      </c>
      <c r="D1" s="6" t="inlineStr">
        <is>
          <t>Spine</t>
        </is>
      </c>
      <c r="E1" s="6" t="inlineStr">
        <is>
          <t>Illust</t>
        </is>
      </c>
      <c r="F1" s="6" t="inlineStr">
        <is>
          <t>Icon</t>
        </is>
      </c>
    </row>
    <row r="2">
      <c r="A2" s="8" t="n"/>
      <c r="B2" s="2" t="n"/>
      <c r="C2" s="2" t="n"/>
      <c r="D2" s="2" t="n"/>
      <c r="E2" s="2" t="n"/>
      <c r="F2" s="2" t="n"/>
    </row>
    <row r="3" customFormat="1" s="11">
      <c r="A3" s="9" t="n"/>
      <c r="B3" s="10" t="n"/>
      <c r="C3" s="10" t="n"/>
      <c r="D3" s="10" t="n"/>
      <c r="E3" s="10" t="n"/>
      <c r="F3" s="10" t="n"/>
    </row>
    <row r="4">
      <c r="A4" s="1" t="n">
        <v>10000001</v>
      </c>
      <c r="B4" s="1" t="inlineStr">
        <is>
          <t>Demeter</t>
        </is>
      </c>
      <c r="C4" s="1" t="n">
        <v>135401</v>
      </c>
      <c r="D4" s="1" t="inlineStr">
        <is>
          <t>demeter.prefab</t>
        </is>
      </c>
    </row>
    <row r="5">
      <c r="A5" s="1" t="n">
        <v>10000002</v>
      </c>
      <c r="B5" s="1" t="inlineStr">
        <is>
          <t>Hildr</t>
        </is>
      </c>
      <c r="C5" s="1" t="n">
        <v>129601</v>
      </c>
      <c r="D5" s="1" t="inlineStr">
        <is>
          <t>hildr.prefab</t>
        </is>
      </c>
    </row>
    <row r="6">
      <c r="A6" s="1" t="n">
        <v>10000003</v>
      </c>
      <c r="B6" s="1" t="inlineStr">
        <is>
          <t>Davi</t>
        </is>
      </c>
      <c r="C6" s="1" t="n">
        <v>100301</v>
      </c>
      <c r="D6" s="1" t="inlineStr">
        <is>
          <t>davi.prefab</t>
        </is>
      </c>
    </row>
    <row r="7">
      <c r="A7" s="1" t="n">
        <v>10000004</v>
      </c>
      <c r="B7" s="1" t="inlineStr">
        <is>
          <t>Arhat</t>
        </is>
      </c>
      <c r="C7" s="1" t="n">
        <v>146401</v>
      </c>
      <c r="D7" s="1" t="inlineStr">
        <is>
          <t>arhat.prefab</t>
        </is>
      </c>
    </row>
    <row r="8">
      <c r="A8" s="1" t="n">
        <v>10000005</v>
      </c>
      <c r="B8" s="1" t="inlineStr">
        <is>
          <t>Charlotte</t>
        </is>
      </c>
      <c r="C8" s="1" t="n">
        <v>135301</v>
      </c>
      <c r="D8" s="1" t="inlineStr">
        <is>
          <t>charlotte.prefab</t>
        </is>
      </c>
    </row>
    <row r="9">
      <c r="A9" s="1" t="n">
        <v>10000006</v>
      </c>
      <c r="B9" s="1" t="inlineStr">
        <is>
          <t>Brownie</t>
        </is>
      </c>
      <c r="C9" s="1" t="n">
        <v>122901</v>
      </c>
      <c r="D9" s="68" t="inlineStr">
        <is>
          <t>brownie.prefab</t>
        </is>
      </c>
    </row>
    <row r="10">
      <c r="A10" s="1" t="n">
        <v>10000007</v>
      </c>
      <c r="B10" s="1" t="inlineStr">
        <is>
          <t>Mommon</t>
        </is>
      </c>
      <c r="C10" s="1" t="n">
        <v>118001</v>
      </c>
      <c r="D10" s="68" t="inlineStr">
        <is>
          <t>c180.prefab</t>
        </is>
      </c>
      <c r="G10" s="1" t="n"/>
    </row>
    <row r="11">
      <c r="A11" s="1" t="n">
        <v>20000001</v>
      </c>
      <c r="B11" s="1" t="inlineStr">
        <is>
          <t>slime</t>
        </is>
      </c>
      <c r="C11" s="1" t="n">
        <v>215501</v>
      </c>
      <c r="D11" s="1" t="inlineStr">
        <is>
          <t>slime_r.prefab</t>
        </is>
      </c>
      <c r="G11" s="1" t="n"/>
    </row>
    <row r="12">
      <c r="A12" s="1" t="n">
        <v>20000002</v>
      </c>
      <c r="B12" s="1" t="inlineStr">
        <is>
          <t>slime</t>
        </is>
      </c>
      <c r="C12" s="1" t="n">
        <v>215502</v>
      </c>
      <c r="D12" s="1" t="inlineStr">
        <is>
          <t>slime_g.prefab</t>
        </is>
      </c>
    </row>
    <row r="13">
      <c r="A13" s="1" t="n">
        <v>20000003</v>
      </c>
      <c r="B13" s="1" t="inlineStr">
        <is>
          <t>slime</t>
        </is>
      </c>
      <c r="C13" s="1" t="n">
        <v>215503</v>
      </c>
      <c r="D13" s="1" t="inlineStr">
        <is>
          <t>slime_b.prefab</t>
        </is>
      </c>
    </row>
    <row r="14">
      <c r="A14" s="1" t="n">
        <v>20000004</v>
      </c>
      <c r="B14" s="1" t="inlineStr">
        <is>
          <t>slime</t>
        </is>
      </c>
      <c r="C14" s="1" t="n">
        <v>215504</v>
      </c>
      <c r="D14" s="1" t="inlineStr">
        <is>
          <t>slime_v.prefab</t>
        </is>
      </c>
    </row>
    <row r="15">
      <c r="A15" s="1" t="n">
        <v>20000011</v>
      </c>
      <c r="B15" s="1" t="inlineStr">
        <is>
          <t>slime</t>
        </is>
      </c>
      <c r="C15" s="1" t="n">
        <v>215501</v>
      </c>
      <c r="D15" s="1" t="inlineStr">
        <is>
          <t>slimeking_r.prefab</t>
        </is>
      </c>
    </row>
    <row r="16">
      <c r="A16" s="1" t="n">
        <v>20000012</v>
      </c>
      <c r="B16" s="1" t="inlineStr">
        <is>
          <t>slime</t>
        </is>
      </c>
      <c r="C16" s="1" t="n">
        <v>215502</v>
      </c>
      <c r="D16" s="1" t="inlineStr">
        <is>
          <t>slimeking_g.prefab</t>
        </is>
      </c>
    </row>
    <row r="17">
      <c r="A17" s="1" t="n">
        <v>20000013</v>
      </c>
      <c r="B17" s="1" t="inlineStr">
        <is>
          <t>slime</t>
        </is>
      </c>
      <c r="C17" s="1" t="n">
        <v>215503</v>
      </c>
      <c r="D17" s="1" t="inlineStr">
        <is>
          <t>slimeking_b.prefab</t>
        </is>
      </c>
    </row>
    <row r="18">
      <c r="A18" s="1" t="n">
        <v>20000014</v>
      </c>
      <c r="B18" s="1" t="inlineStr">
        <is>
          <t>slime</t>
        </is>
      </c>
      <c r="C18" s="1" t="n">
        <v>215504</v>
      </c>
      <c r="D18" s="1" t="inlineStr">
        <is>
          <t>slimeking_v.prefab</t>
        </is>
      </c>
    </row>
    <row r="19">
      <c r="A19" s="1" t="n">
        <v>20000021</v>
      </c>
      <c r="B19" s="1" t="inlineStr">
        <is>
          <t>pixie</t>
        </is>
      </c>
      <c r="C19" s="1" t="n">
        <v>225801</v>
      </c>
      <c r="D19" s="1" t="inlineStr">
        <is>
          <t>pixie_fire.prefab</t>
        </is>
      </c>
    </row>
    <row r="20">
      <c r="A20" s="1" t="n">
        <v>20000022</v>
      </c>
      <c r="B20" s="1" t="inlineStr">
        <is>
          <t>pixie</t>
        </is>
      </c>
      <c r="C20" s="1" t="n">
        <v>225802</v>
      </c>
      <c r="D20" s="1" t="inlineStr">
        <is>
          <t>pixie_water.prefab</t>
        </is>
      </c>
    </row>
    <row r="21">
      <c r="A21" s="1" t="n">
        <v>20000023</v>
      </c>
      <c r="B21" s="1" t="inlineStr">
        <is>
          <t>pixie</t>
        </is>
      </c>
      <c r="C21" s="1" t="n">
        <v>225803</v>
      </c>
      <c r="D21" s="1" t="inlineStr">
        <is>
          <t>pixie_forest.prefab</t>
        </is>
      </c>
    </row>
    <row r="22">
      <c r="A22" s="1" t="n">
        <v>20000024</v>
      </c>
      <c r="B22" s="1" t="inlineStr">
        <is>
          <t>pixie</t>
        </is>
      </c>
      <c r="C22" s="1" t="n">
        <v>225804</v>
      </c>
      <c r="D22" s="1" t="inlineStr">
        <is>
          <t>pixie_light.prefab</t>
        </is>
      </c>
    </row>
    <row r="23">
      <c r="A23" s="1" t="n">
        <v>20000025</v>
      </c>
      <c r="B23" s="1" t="inlineStr">
        <is>
          <t>pixie</t>
        </is>
      </c>
      <c r="C23" s="1" t="n">
        <v>225805</v>
      </c>
      <c r="D23" s="1" t="inlineStr">
        <is>
          <t>pixie_dark.prefab</t>
        </is>
      </c>
    </row>
    <row r="24">
      <c r="A24" s="1" t="n">
        <v>30000001</v>
      </c>
      <c r="B24" s="1" t="inlineStr">
        <is>
          <t>diablo</t>
        </is>
      </c>
      <c r="C24" s="1" t="n">
        <v>203801</v>
      </c>
      <c r="D24" s="1" t="inlineStr">
        <is>
          <t>m038.prefab</t>
        </is>
      </c>
    </row>
    <row r="25">
      <c r="A25" s="1" t="n">
        <v>60000001</v>
      </c>
      <c r="B25" s="1" t="inlineStr">
        <is>
          <t>Devil</t>
        </is>
      </c>
      <c r="D25" s="1" t="inlineStr">
        <is>
          <t>c000.prefab</t>
        </is>
      </c>
    </row>
  </sheetData>
  <autoFilter ref="A3:F3">
    <sortState ref="A4:F17">
      <sortCondition ref="A3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H47" sqref="H47"/>
    </sheetView>
  </sheetViews>
  <sheetFormatPr baseColWidth="8" defaultRowHeight="12"/>
  <cols>
    <col width="10.25" bestFit="1" customWidth="1" style="24" min="1" max="1"/>
    <col width="9" customWidth="1" style="23" min="2" max="2"/>
    <col width="9" customWidth="1" style="25" min="3" max="4"/>
    <col width="12.5" customWidth="1" style="68" min="5" max="5"/>
    <col width="12.5" customWidth="1" style="23" min="6" max="6"/>
    <col width="20.5" bestFit="1" customWidth="1" style="68" min="7" max="7"/>
    <col width="21" bestFit="1" customWidth="1" style="68" min="8" max="8"/>
    <col width="9" customWidth="1" style="68" min="9" max="15"/>
    <col width="10.625" bestFit="1" customWidth="1" style="68" min="16" max="16"/>
    <col width="9" customWidth="1" style="68" min="17" max="21"/>
    <col width="9" customWidth="1" style="68" min="22" max="16384"/>
  </cols>
  <sheetData>
    <row r="1">
      <c r="A1" s="24" t="inlineStr">
        <is>
          <t>Id</t>
        </is>
      </c>
      <c r="B1" s="23" t="inlineStr">
        <is>
          <t>#Vid</t>
        </is>
      </c>
      <c r="C1" s="25" t="inlineStr">
        <is>
          <t>#SkinNumber</t>
        </is>
      </c>
      <c r="D1" s="25" t="inlineStr">
        <is>
          <t>#Skeleton</t>
        </is>
      </c>
      <c r="E1" s="68" t="inlineStr">
        <is>
          <t>ChildId</t>
        </is>
      </c>
      <c r="F1" s="23" t="inlineStr">
        <is>
          <t>#ChildName</t>
        </is>
      </c>
      <c r="G1" s="68" t="inlineStr">
        <is>
          <t>Skeleton</t>
        </is>
      </c>
      <c r="H1" s="68" t="inlineStr">
        <is>
          <t>Skin</t>
        </is>
      </c>
      <c r="I1" s="68" t="inlineStr">
        <is>
          <t>Timeline</t>
        </is>
      </c>
      <c r="J1" s="68" t="inlineStr">
        <is>
          <t>Timeline</t>
        </is>
      </c>
      <c r="K1" s="68" t="inlineStr">
        <is>
          <t>Timeline</t>
        </is>
      </c>
      <c r="L1" s="68" t="inlineStr">
        <is>
          <t>Timeline</t>
        </is>
      </c>
      <c r="M1" s="68" t="inlineStr">
        <is>
          <t>Timeline</t>
        </is>
      </c>
      <c r="N1" s="68" t="inlineStr">
        <is>
          <t>Timeline</t>
        </is>
      </c>
    </row>
    <row r="4">
      <c r="A4" s="24">
        <f>INT(TEXT(IF(LEFT(B4,1)="c",1,2)&amp;MID(B4,2,3),"000")&amp;TEXT(C4,"00"))</f>
        <v/>
      </c>
      <c r="B4" s="23" t="inlineStr">
        <is>
          <t>c000</t>
        </is>
      </c>
      <c r="C4" s="25" t="n">
        <v>1</v>
      </c>
      <c r="D4" s="25" t="inlineStr">
        <is>
          <t>a</t>
        </is>
      </c>
      <c r="E4" s="68" t="n">
        <v>10000000</v>
      </c>
      <c r="F4" s="23" t="inlineStr">
        <is>
          <t>Devil</t>
        </is>
      </c>
      <c r="G4" s="68">
        <f>B4&amp;"_"&amp;D4&amp;".SkeletonData"</f>
        <v/>
      </c>
      <c r="H4" s="68">
        <f>B4&amp;"_"&amp;TEXT(C4,"00")&amp;MID(G4,5,2)</f>
        <v/>
      </c>
      <c r="I4" s="68" t="n">
        <v>0</v>
      </c>
      <c r="J4" s="68" t="n">
        <v>0</v>
      </c>
      <c r="K4" s="68" t="n">
        <v>0</v>
      </c>
      <c r="L4" s="68" t="n">
        <v>0</v>
      </c>
      <c r="M4" s="68" t="n">
        <v>0</v>
      </c>
      <c r="N4" s="68" t="n">
        <v>0</v>
      </c>
    </row>
    <row r="5">
      <c r="A5" s="24">
        <f>INT(TEXT(IF(LEFT(B5,1)="c",1,2)&amp;MID(B5,2,3),"000")&amp;TEXT(C5,"00"))</f>
        <v/>
      </c>
      <c r="B5" s="23" t="inlineStr">
        <is>
          <t>c354</t>
        </is>
      </c>
      <c r="C5" s="25" t="n">
        <v>1</v>
      </c>
      <c r="D5" s="25" t="inlineStr">
        <is>
          <t>a</t>
        </is>
      </c>
      <c r="E5" s="68" t="n">
        <v>10000001</v>
      </c>
      <c r="F5" s="23">
        <f>_xlfn.XLOOKUP(E5,'#Base'!A:A,'#Base'!B:B)</f>
        <v/>
      </c>
      <c r="G5" s="68">
        <f>B5&amp;"_"&amp;D5&amp;".SkeletonData"</f>
        <v/>
      </c>
      <c r="H5" s="68">
        <f>B5&amp;"_"&amp;TEXT(C5,"00")&amp;MID(G5,5,2)</f>
        <v/>
      </c>
      <c r="I5" s="1">
        <f>INT(1&amp;A5)</f>
        <v/>
      </c>
      <c r="J5" s="1">
        <f>INT(2&amp;A5)</f>
        <v/>
      </c>
      <c r="K5" s="1">
        <f>INT(3&amp;A5)</f>
        <v/>
      </c>
      <c r="L5" s="1">
        <f>INT(4&amp;A5)</f>
        <v/>
      </c>
      <c r="M5" s="1">
        <f>INT(5&amp;A5)</f>
        <v/>
      </c>
      <c r="N5" s="1">
        <f>INT(6&amp;A5)</f>
        <v/>
      </c>
    </row>
    <row r="6">
      <c r="A6" s="24">
        <f>INT(TEXT(IF(LEFT(B6,1)="c",1,2)&amp;MID(B6,2,3),"000")&amp;TEXT(C6,"00"))</f>
        <v/>
      </c>
      <c r="B6" s="23" t="inlineStr">
        <is>
          <t>c296</t>
        </is>
      </c>
      <c r="C6" s="25" t="n">
        <v>1</v>
      </c>
      <c r="D6" s="25" t="inlineStr">
        <is>
          <t>a</t>
        </is>
      </c>
      <c r="E6" s="68" t="n">
        <v>10000002</v>
      </c>
      <c r="F6" s="23">
        <f>_xlfn.XLOOKUP(E6,'#Base'!A:A,'#Base'!B:B)</f>
        <v/>
      </c>
      <c r="G6" s="68">
        <f>B6&amp;"_"&amp;D6&amp;".SkeletonData"</f>
        <v/>
      </c>
      <c r="H6" s="68">
        <f>B6&amp;"_"&amp;TEXT(C6,"00")&amp;MID(G6,5,2)</f>
        <v/>
      </c>
      <c r="I6" s="1">
        <f>INT(1&amp;A6)</f>
        <v/>
      </c>
      <c r="J6" s="1">
        <f>INT(2&amp;A6)</f>
        <v/>
      </c>
      <c r="K6" s="1">
        <f>INT(3&amp;A6)</f>
        <v/>
      </c>
      <c r="L6" s="1">
        <f>INT(4&amp;A6)</f>
        <v/>
      </c>
      <c r="M6" s="1">
        <f>INT(5&amp;A6)</f>
        <v/>
      </c>
      <c r="N6" s="1">
        <f>INT(6&amp;A6)</f>
        <v/>
      </c>
    </row>
    <row r="7">
      <c r="A7" s="24">
        <f>INT(TEXT(IF(LEFT(B7,1)="c",1,2)&amp;MID(B7,2,3),"000")&amp;TEXT(C7,"00"))</f>
        <v/>
      </c>
      <c r="B7" s="23" t="inlineStr">
        <is>
          <t>c003</t>
        </is>
      </c>
      <c r="C7" s="25" t="n">
        <v>1</v>
      </c>
      <c r="D7" s="25" t="inlineStr">
        <is>
          <t>a</t>
        </is>
      </c>
      <c r="E7" s="68" t="n">
        <v>10000003</v>
      </c>
      <c r="F7" s="23">
        <f>_xlfn.XLOOKUP(E7,'#Base'!A:A,'#Base'!B:B)</f>
        <v/>
      </c>
      <c r="G7" s="68">
        <f>B7&amp;"_"&amp;D7&amp;".SkeletonData"</f>
        <v/>
      </c>
      <c r="H7" s="68">
        <f>B7&amp;"_"&amp;TEXT(C7,"00")&amp;MID(G7,5,2)</f>
        <v/>
      </c>
      <c r="I7" s="1">
        <f>INT(1&amp;A7)</f>
        <v/>
      </c>
      <c r="J7" s="1">
        <f>INT(2&amp;A7)</f>
        <v/>
      </c>
      <c r="K7" s="1">
        <f>INT(3&amp;A7)</f>
        <v/>
      </c>
      <c r="L7" s="1">
        <f>INT(4&amp;A7)</f>
        <v/>
      </c>
      <c r="M7" s="1">
        <f>INT(5&amp;A7)</f>
        <v/>
      </c>
      <c r="N7" s="1">
        <f>INT(6&amp;A7)</f>
        <v/>
      </c>
    </row>
    <row r="8">
      <c r="A8" s="24">
        <f>INT(TEXT(IF(LEFT(B8,1)="c",1,2)&amp;MID(B8,2,3),"000")&amp;TEXT(C8,"00"))</f>
        <v/>
      </c>
      <c r="B8" s="23" t="inlineStr">
        <is>
          <t>c464</t>
        </is>
      </c>
      <c r="C8" s="25" t="n">
        <v>1</v>
      </c>
      <c r="D8" s="25" t="inlineStr">
        <is>
          <t>a</t>
        </is>
      </c>
      <c r="E8" s="68" t="n">
        <v>10000004</v>
      </c>
      <c r="F8" s="23">
        <f>_xlfn.XLOOKUP(E8,'#Base'!A:A,'#Base'!B:B)</f>
        <v/>
      </c>
      <c r="G8" s="68">
        <f>B8&amp;"_"&amp;D8&amp;".SkeletonData"</f>
        <v/>
      </c>
      <c r="H8" s="68">
        <f>B8&amp;"_"&amp;TEXT(C8,"00")&amp;MID(G8,5,2)</f>
        <v/>
      </c>
      <c r="I8" s="1">
        <f>INT(1&amp;A8)</f>
        <v/>
      </c>
      <c r="J8" s="1">
        <f>INT(2&amp;A8)</f>
        <v/>
      </c>
      <c r="K8" s="1">
        <f>INT(3&amp;A8)</f>
        <v/>
      </c>
      <c r="L8" s="1">
        <f>INT(4&amp;A8)</f>
        <v/>
      </c>
      <c r="M8" s="1">
        <f>INT(5&amp;A8)</f>
        <v/>
      </c>
      <c r="N8" s="1">
        <f>INT(6&amp;A8)</f>
        <v/>
      </c>
    </row>
    <row r="9">
      <c r="A9" s="24">
        <f>INT(TEXT(IF(LEFT(B9,1)="c",1,2)&amp;MID(B9,2,3),"000")&amp;TEXT(C9,"00"))</f>
        <v/>
      </c>
      <c r="B9" s="23" t="inlineStr">
        <is>
          <t>c353</t>
        </is>
      </c>
      <c r="C9" s="25" t="n">
        <v>1</v>
      </c>
      <c r="D9" s="25" t="inlineStr">
        <is>
          <t>a</t>
        </is>
      </c>
      <c r="E9" s="68" t="n">
        <v>10000005</v>
      </c>
      <c r="F9" s="23">
        <f>_xlfn.XLOOKUP(E9,'#Base'!A:A,'#Base'!B:B)</f>
        <v/>
      </c>
      <c r="G9" s="68">
        <f>B9&amp;"_"&amp;D9&amp;".SkeletonData"</f>
        <v/>
      </c>
      <c r="H9" s="68">
        <f>B9&amp;"_"&amp;TEXT(C9,"00")&amp;MID(G9,5,2)</f>
        <v/>
      </c>
      <c r="I9" s="1">
        <f>INT(1&amp;A9)</f>
        <v/>
      </c>
      <c r="J9" s="1">
        <f>INT(2&amp;A9)</f>
        <v/>
      </c>
      <c r="K9" s="1">
        <f>INT(3&amp;A9)</f>
        <v/>
      </c>
      <c r="L9" s="1">
        <f>INT(4&amp;A9)</f>
        <v/>
      </c>
      <c r="M9" s="1">
        <f>INT(5&amp;A9)</f>
        <v/>
      </c>
      <c r="N9" s="1">
        <f>INT(6&amp;A9)</f>
        <v/>
      </c>
    </row>
    <row r="10">
      <c r="A10" s="24">
        <f>INT(TEXT(IF(LEFT(B10,1)="c",1,2)&amp;MID(B10,2,3),"000")&amp;TEXT(C10,"00"))</f>
        <v/>
      </c>
      <c r="B10" s="23" t="inlineStr">
        <is>
          <t>c229</t>
        </is>
      </c>
      <c r="C10" s="25" t="n">
        <v>1</v>
      </c>
      <c r="D10" s="25" t="inlineStr">
        <is>
          <t>a</t>
        </is>
      </c>
      <c r="E10" s="68" t="n">
        <v>10000006</v>
      </c>
      <c r="F10" s="23">
        <f>_xlfn.XLOOKUP(E10,'#Base'!A:A,'#Base'!B:B)</f>
        <v/>
      </c>
      <c r="G10" s="68">
        <f>B10&amp;"_"&amp;D10&amp;".SkeletonData"</f>
        <v/>
      </c>
      <c r="H10" s="68">
        <f>B10&amp;"_"&amp;TEXT(C10,"00")&amp;MID(G10,5,2)</f>
        <v/>
      </c>
      <c r="I10" s="1">
        <f>INT(1&amp;A10)</f>
        <v/>
      </c>
      <c r="J10" s="1">
        <f>INT(2&amp;A10)</f>
        <v/>
      </c>
      <c r="K10" s="1">
        <f>INT(3&amp;A10)</f>
        <v/>
      </c>
      <c r="L10" s="1">
        <f>INT(4&amp;A10)</f>
        <v/>
      </c>
      <c r="M10" s="1">
        <f>INT(5&amp;A10)</f>
        <v/>
      </c>
      <c r="N10" s="1">
        <f>INT(6&amp;A10)</f>
        <v/>
      </c>
    </row>
    <row r="11">
      <c r="A11" s="24">
        <f>INT(TEXT(IF(LEFT(B11,1)="c",1,2)&amp;MID(B11,2,3),"000")&amp;TEXT(C11,"00"))</f>
        <v/>
      </c>
      <c r="B11" s="23" t="inlineStr">
        <is>
          <t>c180</t>
        </is>
      </c>
      <c r="C11" s="25" t="n">
        <v>1</v>
      </c>
      <c r="D11" s="25" t="inlineStr">
        <is>
          <t>a</t>
        </is>
      </c>
      <c r="E11" s="68" t="n">
        <v>10000007</v>
      </c>
      <c r="F11" s="23">
        <f>_xlfn.XLOOKUP(E11,'#Base'!A:A,'#Base'!B:B)</f>
        <v/>
      </c>
      <c r="G11" s="68">
        <f>B11&amp;"_"&amp;D11&amp;".SkeletonData"</f>
        <v/>
      </c>
      <c r="H11" s="68">
        <f>B11&amp;"_"&amp;TEXT(C11,"00")&amp;MID(G11,5,2)</f>
        <v/>
      </c>
      <c r="I11" s="1">
        <f>INT(1&amp;A11)</f>
        <v/>
      </c>
      <c r="J11" s="1">
        <f>INT(2&amp;A11)</f>
        <v/>
      </c>
      <c r="K11" s="1">
        <f>INT(3&amp;A11)</f>
        <v/>
      </c>
      <c r="L11" s="1">
        <f>INT(4&amp;A11)</f>
        <v/>
      </c>
      <c r="M11" s="1">
        <f>INT(5&amp;A11)</f>
        <v/>
      </c>
      <c r="N11" s="1">
        <f>INT(6&amp;A11)</f>
        <v/>
      </c>
    </row>
    <row r="12">
      <c r="A12" s="24">
        <f>INT(TEXT(IF(LEFT(B12,1)="c",1,2)&amp;MID(B12,2,3),"000")&amp;TEXT(C12,"00"))</f>
        <v/>
      </c>
      <c r="B12" s="23" t="inlineStr">
        <is>
          <t>m155</t>
        </is>
      </c>
      <c r="C12" s="25" t="n">
        <v>1</v>
      </c>
      <c r="D12" s="25" t="inlineStr">
        <is>
          <t>a</t>
        </is>
      </c>
      <c r="E12" s="68" t="n">
        <v>20000001</v>
      </c>
      <c r="F12" s="23">
        <f>_xlfn.XLOOKUP(E12,'#Base'!A:A,'#Base'!B:B)</f>
        <v/>
      </c>
      <c r="G12" s="68">
        <f>B12&amp;"_"&amp;D12&amp;".SkeletonData"</f>
        <v/>
      </c>
      <c r="H12" s="68">
        <f>B12&amp;"_"&amp;TEXT(C12,"00")&amp;MID(G12,5,2)</f>
        <v/>
      </c>
      <c r="I12" s="1">
        <f>INT(1&amp;A12)</f>
        <v/>
      </c>
      <c r="J12" s="68" t="n">
        <v>0</v>
      </c>
      <c r="K12" s="68" t="n">
        <v>0</v>
      </c>
      <c r="L12" s="68" t="n">
        <v>0</v>
      </c>
      <c r="M12" s="68" t="n">
        <v>0</v>
      </c>
      <c r="N12" s="68" t="n">
        <v>0</v>
      </c>
    </row>
    <row r="13">
      <c r="A13" s="24">
        <f>INT(TEXT(IF(LEFT(B13,1)="c",1,2)&amp;MID(B13,2,3),"000")&amp;TEXT(C13,"00"))</f>
        <v/>
      </c>
      <c r="B13" s="23" t="inlineStr">
        <is>
          <t>m155</t>
        </is>
      </c>
      <c r="C13" s="25" t="n">
        <v>2</v>
      </c>
      <c r="D13" s="25" t="inlineStr">
        <is>
          <t>a</t>
        </is>
      </c>
      <c r="E13" s="68" t="n">
        <v>20000001</v>
      </c>
      <c r="F13" s="23">
        <f>_xlfn.XLOOKUP(E13,'#Base'!A:A,'#Base'!B:B)</f>
        <v/>
      </c>
      <c r="G13" s="68">
        <f>B13&amp;"_"&amp;D13&amp;".SkeletonData"</f>
        <v/>
      </c>
      <c r="H13" s="68">
        <f>B13&amp;"_"&amp;TEXT(C13,"00")&amp;MID(G13,5,2)</f>
        <v/>
      </c>
      <c r="I13" s="1">
        <f>INT(1&amp;A13)</f>
        <v/>
      </c>
      <c r="J13" s="68" t="n">
        <v>0</v>
      </c>
      <c r="K13" s="68" t="n">
        <v>0</v>
      </c>
      <c r="L13" s="68" t="n">
        <v>0</v>
      </c>
      <c r="M13" s="68" t="n">
        <v>0</v>
      </c>
      <c r="N13" s="68" t="n">
        <v>0</v>
      </c>
    </row>
    <row r="14">
      <c r="A14" s="24">
        <f>INT(TEXT(IF(LEFT(B14,1)="c",1,2)&amp;MID(B14,2,3),"000")&amp;TEXT(C14,"00"))</f>
        <v/>
      </c>
      <c r="B14" s="23" t="inlineStr">
        <is>
          <t>m155</t>
        </is>
      </c>
      <c r="C14" s="25" t="n">
        <v>3</v>
      </c>
      <c r="D14" s="25" t="inlineStr">
        <is>
          <t>a</t>
        </is>
      </c>
      <c r="E14" s="68" t="n">
        <v>20000001</v>
      </c>
      <c r="F14" s="23">
        <f>_xlfn.XLOOKUP(E14,'#Base'!A:A,'#Base'!B:B)</f>
        <v/>
      </c>
      <c r="G14" s="68">
        <f>B14&amp;"_"&amp;D14&amp;".SkeletonData"</f>
        <v/>
      </c>
      <c r="H14" s="68">
        <f>B14&amp;"_"&amp;TEXT(C14,"00")&amp;MID(G14,5,2)</f>
        <v/>
      </c>
      <c r="I14" s="1">
        <f>INT(1&amp;A14)</f>
        <v/>
      </c>
      <c r="J14" s="68" t="n">
        <v>0</v>
      </c>
      <c r="K14" s="68" t="n">
        <v>0</v>
      </c>
      <c r="L14" s="68" t="n">
        <v>0</v>
      </c>
      <c r="M14" s="68" t="n">
        <v>0</v>
      </c>
      <c r="N14" s="68" t="n">
        <v>0</v>
      </c>
    </row>
    <row r="15">
      <c r="A15" s="24">
        <f>INT(TEXT(IF(LEFT(B15,1)="c",1,2)&amp;MID(B15,2,3),"000")&amp;TEXT(C15,"00"))</f>
        <v/>
      </c>
      <c r="B15" s="23" t="inlineStr">
        <is>
          <t>m155</t>
        </is>
      </c>
      <c r="C15" s="25" t="n">
        <v>4</v>
      </c>
      <c r="D15" s="25" t="inlineStr">
        <is>
          <t>a</t>
        </is>
      </c>
      <c r="E15" s="68" t="n">
        <v>20000001</v>
      </c>
      <c r="F15" s="23">
        <f>_xlfn.XLOOKUP(E15,'#Base'!A:A,'#Base'!B:B)</f>
        <v/>
      </c>
      <c r="G15" s="68">
        <f>B15&amp;"_"&amp;D15&amp;".SkeletonData"</f>
        <v/>
      </c>
      <c r="H15" s="68">
        <f>B15&amp;"_"&amp;TEXT(C15,"00")&amp;MID(G15,5,2)</f>
        <v/>
      </c>
      <c r="I15" s="1">
        <f>INT(1&amp;A15)</f>
        <v/>
      </c>
      <c r="J15" s="68" t="n">
        <v>0</v>
      </c>
      <c r="K15" s="68" t="n">
        <v>0</v>
      </c>
      <c r="L15" s="68" t="n">
        <v>0</v>
      </c>
      <c r="M15" s="68" t="n">
        <v>0</v>
      </c>
      <c r="N15" s="68" t="n">
        <v>0</v>
      </c>
    </row>
    <row r="16">
      <c r="A16" s="24">
        <f>INT(TEXT(IF(LEFT(B16,1)="c",1,2)&amp;MID(B16,2,3),"000")&amp;TEXT(C16,"00"))</f>
        <v/>
      </c>
      <c r="B16" s="23" t="inlineStr">
        <is>
          <t>m155</t>
        </is>
      </c>
      <c r="C16" s="25" t="n">
        <v>5</v>
      </c>
      <c r="D16" s="25" t="inlineStr">
        <is>
          <t>a</t>
        </is>
      </c>
      <c r="E16" s="68" t="n">
        <v>20000001</v>
      </c>
      <c r="F16" s="23">
        <f>_xlfn.XLOOKUP(E16,'#Base'!A:A,'#Base'!B:B)</f>
        <v/>
      </c>
      <c r="G16" s="68">
        <f>B16&amp;"_"&amp;D16&amp;".SkeletonData"</f>
        <v/>
      </c>
      <c r="H16" s="68">
        <f>B16&amp;"_"&amp;TEXT(C16,"00")&amp;MID(G16,5,2)</f>
        <v/>
      </c>
      <c r="I16" s="1">
        <f>INT(1&amp;A16)</f>
        <v/>
      </c>
      <c r="J16" s="68" t="n">
        <v>0</v>
      </c>
      <c r="K16" s="68" t="n">
        <v>0</v>
      </c>
      <c r="L16" s="68" t="n">
        <v>0</v>
      </c>
      <c r="M16" s="68" t="n">
        <v>0</v>
      </c>
      <c r="N16" s="68" t="n">
        <v>0</v>
      </c>
    </row>
    <row r="17">
      <c r="A17" s="24">
        <f>INT(TEXT(IF(LEFT(B17,1)="c",1,2)&amp;MID(B17,2,3),"000")&amp;TEXT(C17,"00"))</f>
        <v/>
      </c>
      <c r="B17" s="23" t="inlineStr">
        <is>
          <t>m258</t>
        </is>
      </c>
      <c r="C17" s="25" t="n">
        <v>1</v>
      </c>
      <c r="D17" s="25" t="inlineStr">
        <is>
          <t>a</t>
        </is>
      </c>
      <c r="E17" s="1" t="n">
        <v>20000021</v>
      </c>
      <c r="F17" s="23">
        <f>_xlfn.XLOOKUP(E17,'#Base'!A:A,'#Base'!B:B)</f>
        <v/>
      </c>
      <c r="G17" s="68">
        <f>B17&amp;"_"&amp;D17&amp;".SkeletonData"</f>
        <v/>
      </c>
      <c r="H17" s="68">
        <f>B17&amp;"_"&amp;TEXT(C17,"00")&amp;MID(G17,5,2)</f>
        <v/>
      </c>
      <c r="I17" s="1">
        <f>INT(1&amp;A17)</f>
        <v/>
      </c>
      <c r="J17" s="68" t="n">
        <v>0</v>
      </c>
      <c r="K17" s="1">
        <f>INT(3&amp;A17)</f>
        <v/>
      </c>
      <c r="L17" s="68" t="n">
        <v>0</v>
      </c>
      <c r="M17" s="68" t="n">
        <v>0</v>
      </c>
      <c r="N17" s="68" t="n">
        <v>0</v>
      </c>
    </row>
    <row r="18">
      <c r="A18" s="24">
        <f>INT(TEXT(IF(LEFT(B18,1)="c",1,2)&amp;MID(B18,2,3),"000")&amp;TEXT(C18,"00"))</f>
        <v/>
      </c>
      <c r="B18" s="23" t="inlineStr">
        <is>
          <t>m258</t>
        </is>
      </c>
      <c r="C18" s="25" t="n">
        <v>2</v>
      </c>
      <c r="D18" s="25" t="inlineStr">
        <is>
          <t>a</t>
        </is>
      </c>
      <c r="E18" s="1" t="n">
        <v>20000021</v>
      </c>
      <c r="F18" s="23">
        <f>_xlfn.XLOOKUP(E18,'#Base'!A:A,'#Base'!B:B)</f>
        <v/>
      </c>
      <c r="G18" s="68">
        <f>B18&amp;"_"&amp;D18&amp;".SkeletonData"</f>
        <v/>
      </c>
      <c r="H18" s="68">
        <f>B18&amp;"_"&amp;TEXT(C18,"00")&amp;MID(G18,5,2)</f>
        <v/>
      </c>
      <c r="I18" s="1">
        <f>INT(1&amp;A18)</f>
        <v/>
      </c>
      <c r="J18" s="68" t="n">
        <v>0</v>
      </c>
      <c r="K18" s="1">
        <f>INT(3&amp;A18)</f>
        <v/>
      </c>
      <c r="L18" s="68" t="n">
        <v>0</v>
      </c>
      <c r="M18" s="68" t="n">
        <v>0</v>
      </c>
      <c r="N18" s="68" t="n">
        <v>0</v>
      </c>
    </row>
    <row r="19">
      <c r="A19" s="24">
        <f>INT(TEXT(IF(LEFT(B19,1)="c",1,2)&amp;MID(B19,2,3),"000")&amp;TEXT(C19,"00"))</f>
        <v/>
      </c>
      <c r="B19" s="23" t="inlineStr">
        <is>
          <t>m258</t>
        </is>
      </c>
      <c r="C19" s="25" t="n">
        <v>3</v>
      </c>
      <c r="D19" s="25" t="inlineStr">
        <is>
          <t>a</t>
        </is>
      </c>
      <c r="E19" s="1" t="n">
        <v>20000021</v>
      </c>
      <c r="F19" s="23">
        <f>_xlfn.XLOOKUP(E19,'#Base'!A:A,'#Base'!B:B)</f>
        <v/>
      </c>
      <c r="G19" s="68">
        <f>B19&amp;"_"&amp;D19&amp;".SkeletonData"</f>
        <v/>
      </c>
      <c r="H19" s="68">
        <f>B19&amp;"_"&amp;TEXT(C19,"00")&amp;MID(G19,5,2)</f>
        <v/>
      </c>
      <c r="I19" s="1">
        <f>INT(1&amp;A19)</f>
        <v/>
      </c>
      <c r="J19" s="68" t="n">
        <v>0</v>
      </c>
      <c r="K19" s="1">
        <f>INT(3&amp;A19)</f>
        <v/>
      </c>
      <c r="L19" s="68" t="n">
        <v>0</v>
      </c>
      <c r="M19" s="68" t="n">
        <v>0</v>
      </c>
      <c r="N19" s="68" t="n">
        <v>0</v>
      </c>
    </row>
    <row r="20">
      <c r="A20" s="24">
        <f>INT(TEXT(IF(LEFT(B20,1)="c",1,2)&amp;MID(B20,2,3),"000")&amp;TEXT(C20,"00"))</f>
        <v/>
      </c>
      <c r="B20" s="23" t="inlineStr">
        <is>
          <t>m258</t>
        </is>
      </c>
      <c r="C20" s="25" t="n">
        <v>4</v>
      </c>
      <c r="D20" s="25" t="inlineStr">
        <is>
          <t>a</t>
        </is>
      </c>
      <c r="E20" s="1" t="n">
        <v>20000021</v>
      </c>
      <c r="F20" s="23">
        <f>_xlfn.XLOOKUP(E20,'#Base'!A:A,'#Base'!B:B)</f>
        <v/>
      </c>
      <c r="G20" s="68">
        <f>B20&amp;"_"&amp;D20&amp;".SkeletonData"</f>
        <v/>
      </c>
      <c r="H20" s="68">
        <f>B20&amp;"_"&amp;TEXT(C20,"00")&amp;MID(G20,5,2)</f>
        <v/>
      </c>
      <c r="I20" s="1">
        <f>INT(1&amp;A20)</f>
        <v/>
      </c>
      <c r="J20" s="68" t="n">
        <v>0</v>
      </c>
      <c r="K20" s="1">
        <f>INT(3&amp;A20)</f>
        <v/>
      </c>
      <c r="L20" s="68" t="n">
        <v>0</v>
      </c>
      <c r="M20" s="68" t="n">
        <v>0</v>
      </c>
      <c r="N20" s="68" t="n">
        <v>0</v>
      </c>
    </row>
    <row r="21">
      <c r="A21" s="24">
        <f>INT(TEXT(IF(LEFT(B21,1)="c",1,2)&amp;MID(B21,2,3),"000")&amp;TEXT(C21,"00"))</f>
        <v/>
      </c>
      <c r="B21" s="23" t="inlineStr">
        <is>
          <t>m258</t>
        </is>
      </c>
      <c r="C21" s="25" t="n">
        <v>5</v>
      </c>
      <c r="D21" s="25" t="inlineStr">
        <is>
          <t>a</t>
        </is>
      </c>
      <c r="E21" s="1" t="n">
        <v>20000021</v>
      </c>
      <c r="F21" s="23">
        <f>_xlfn.XLOOKUP(E21,'#Base'!A:A,'#Base'!B:B)</f>
        <v/>
      </c>
      <c r="G21" s="68">
        <f>B21&amp;"_"&amp;D21&amp;".SkeletonData"</f>
        <v/>
      </c>
      <c r="H21" s="68">
        <f>B21&amp;"_"&amp;TEXT(C21,"00")&amp;MID(G21,5,2)</f>
        <v/>
      </c>
      <c r="I21" s="1">
        <f>INT(1&amp;A21)</f>
        <v/>
      </c>
      <c r="J21" s="68" t="n">
        <v>0</v>
      </c>
      <c r="K21" s="1">
        <f>INT(3&amp;A21)</f>
        <v/>
      </c>
      <c r="L21" s="68" t="n">
        <v>0</v>
      </c>
      <c r="M21" s="68" t="n">
        <v>0</v>
      </c>
      <c r="N21" s="68" t="n">
        <v>0</v>
      </c>
      <c r="O21" s="1" t="n"/>
      <c r="Q21" s="1" t="n"/>
      <c r="R21" s="1" t="n"/>
      <c r="S21" s="1" t="n"/>
      <c r="T21" s="1" t="n"/>
      <c r="U21" s="1" t="n"/>
      <c r="V21" s="1" t="n"/>
      <c r="W21" s="1" t="n"/>
      <c r="X21" s="1" t="n"/>
    </row>
    <row r="22">
      <c r="A22" s="24">
        <f>INT(TEXT(IF(LEFT(B22,1)="c",1,2)&amp;MID(B22,2,3),"000")&amp;TEXT(C22,"00"))</f>
        <v/>
      </c>
      <c r="B22" s="23" t="inlineStr">
        <is>
          <t>m038</t>
        </is>
      </c>
      <c r="C22" s="25" t="n">
        <v>1</v>
      </c>
      <c r="D22" s="25" t="inlineStr">
        <is>
          <t>a</t>
        </is>
      </c>
      <c r="E22" s="1" t="n">
        <v>30000001</v>
      </c>
      <c r="F22" s="23">
        <f>_xlfn.XLOOKUP(E22,'#Base'!A:A,'#Base'!B:B)</f>
        <v/>
      </c>
      <c r="G22" s="68">
        <f>B22&amp;"_"&amp;D22&amp;".SkeletonData"</f>
        <v/>
      </c>
      <c r="H22" s="68">
        <f>B22&amp;"_"&amp;TEXT(C22,"00")&amp;MID(G22,5,2)</f>
        <v/>
      </c>
      <c r="I22" s="1">
        <f>INT(1&amp;A22)</f>
        <v/>
      </c>
      <c r="J22" s="68" t="n">
        <v>0</v>
      </c>
      <c r="K22" s="1">
        <f>INT(3&amp;A22)</f>
        <v/>
      </c>
      <c r="L22" s="68" t="n">
        <v>0</v>
      </c>
      <c r="M22" s="68" t="n">
        <v>0</v>
      </c>
      <c r="N22" s="68" t="n">
        <v>0</v>
      </c>
    </row>
  </sheetData>
  <autoFilter ref="A3:N3"/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J18" sqref="J18"/>
    </sheetView>
  </sheetViews>
  <sheetFormatPr baseColWidth="8" defaultRowHeight="16.5"/>
  <sheetData>
    <row r="1">
      <c r="A1" s="68" t="inlineStr">
        <is>
          <t>차일드 등급 별 진급에 필요한 조각 개수</t>
        </is>
      </c>
      <c r="B1" s="68" t="n"/>
      <c r="C1" s="68" t="n"/>
      <c r="D1" s="68" t="n"/>
      <c r="E1" s="68" t="n"/>
      <c r="F1" s="68" t="n"/>
      <c r="G1" s="68" t="n"/>
      <c r="H1" s="68" t="n"/>
      <c r="I1" s="68" t="n"/>
    </row>
    <row r="2">
      <c r="A2" s="68" t="inlineStr">
        <is>
          <t>등급</t>
        </is>
      </c>
      <c r="B2" s="68" t="n">
        <v>1</v>
      </c>
      <c r="C2" s="68" t="n">
        <v>2</v>
      </c>
      <c r="D2" s="68" t="n">
        <v>3</v>
      </c>
      <c r="E2" s="68" t="n">
        <v>4</v>
      </c>
      <c r="F2" s="68" t="n">
        <v>5</v>
      </c>
      <c r="G2" s="68" t="n">
        <v>6</v>
      </c>
      <c r="H2" s="68" t="n">
        <v>7</v>
      </c>
      <c r="I2" s="68" t="n">
        <v>8</v>
      </c>
      <c r="J2" s="68" t="n">
        <v>9</v>
      </c>
      <c r="K2" s="68" t="n">
        <v>10</v>
      </c>
    </row>
    <row r="3">
      <c r="A3" s="68" t="n">
        <v>1</v>
      </c>
      <c r="B3" s="68" t="n">
        <v>3</v>
      </c>
      <c r="C3" s="68">
        <f>B3+$B$3</f>
        <v/>
      </c>
      <c r="D3" s="68" t="n">
        <v>12</v>
      </c>
      <c r="E3" s="68" t="n">
        <v>24</v>
      </c>
      <c r="F3" s="68" t="n">
        <v>36</v>
      </c>
      <c r="G3" s="68" t="n">
        <v>48</v>
      </c>
      <c r="H3" s="68" t="n">
        <v>60</v>
      </c>
      <c r="I3" s="68" t="n">
        <v>72</v>
      </c>
      <c r="J3" s="68" t="n">
        <v>84</v>
      </c>
      <c r="K3" s="68" t="n">
        <v>999</v>
      </c>
    </row>
    <row r="4">
      <c r="A4" s="68" t="n">
        <v>2</v>
      </c>
      <c r="B4" s="68" t="n">
        <v>1</v>
      </c>
      <c r="C4" s="68" t="n">
        <v>2</v>
      </c>
      <c r="D4" s="68">
        <f>C4+$C$4</f>
        <v/>
      </c>
      <c r="E4" s="68" t="n">
        <v>8</v>
      </c>
      <c r="F4" s="68" t="n">
        <v>12</v>
      </c>
      <c r="G4" s="68" t="n">
        <v>16</v>
      </c>
      <c r="H4" s="68" t="n">
        <v>20</v>
      </c>
      <c r="I4" s="68" t="n">
        <v>24</v>
      </c>
      <c r="J4" s="68" t="n">
        <v>28</v>
      </c>
      <c r="K4" s="68" t="n">
        <v>999</v>
      </c>
    </row>
    <row r="5">
      <c r="A5" s="68" t="n">
        <v>3</v>
      </c>
      <c r="B5" s="68" t="n">
        <v>1</v>
      </c>
      <c r="C5" s="68" t="n">
        <v>1</v>
      </c>
      <c r="D5" s="68" t="n">
        <v>1</v>
      </c>
      <c r="E5" s="68" t="n">
        <v>2</v>
      </c>
      <c r="F5" s="68">
        <f>E5+2</f>
        <v/>
      </c>
      <c r="G5" s="68">
        <f>F5+2</f>
        <v/>
      </c>
      <c r="H5" s="68">
        <f>G5+2</f>
        <v/>
      </c>
      <c r="I5" s="68">
        <f>H5+2</f>
        <v/>
      </c>
      <c r="J5" s="68">
        <f>I5+2</f>
        <v/>
      </c>
      <c r="K5" s="68" t="n">
        <v>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003"/>
  <sheetViews>
    <sheetView workbookViewId="0">
      <pane ySplit="3" topLeftCell="A4" activePane="bottomLeft" state="frozen"/>
      <selection pane="bottomLeft" activeCell="S19" sqref="S19"/>
    </sheetView>
  </sheetViews>
  <sheetFormatPr baseColWidth="8" defaultRowHeight="16.5"/>
  <sheetData>
    <row r="1">
      <c r="A1" s="51" t="inlineStr">
        <is>
          <t>차일드 스탯 영점</t>
        </is>
      </c>
      <c r="B1" s="52" t="n"/>
      <c r="C1" s="52" t="n"/>
      <c r="D1" s="53" t="inlineStr">
        <is>
          <t xml:space="preserve">*진급 당 공/방(관)/체 10%씩 증가 </t>
        </is>
      </c>
      <c r="H1" s="53" t="inlineStr">
        <is>
          <t>*차일드 호감도 레벨업 당 공/방(관)/체 5%씩 증가</t>
        </is>
      </c>
    </row>
    <row r="2">
      <c r="D2" s="53" t="n"/>
      <c r="G2" s="53" t="n"/>
    </row>
    <row r="3">
      <c r="A3" s="54" t="n"/>
      <c r="B3" s="54" t="n"/>
      <c r="C3" s="54" t="n"/>
      <c r="D3" s="54" t="n"/>
      <c r="E3" s="54" t="n"/>
      <c r="F3" s="54" t="n"/>
      <c r="H3" s="54" t="n"/>
      <c r="I3" s="55" t="n">
        <v>1.7</v>
      </c>
      <c r="J3" s="55" t="n">
        <v>1.2</v>
      </c>
      <c r="K3" s="55" t="n">
        <v>1.4</v>
      </c>
      <c r="L3" s="54" t="n"/>
      <c r="N3" s="54" t="n"/>
      <c r="O3" s="56" t="n">
        <v>1.3</v>
      </c>
      <c r="P3" s="56" t="n">
        <v>1.2</v>
      </c>
      <c r="Q3" s="56" t="n">
        <v>1.3</v>
      </c>
    </row>
    <row r="4">
      <c r="A4" s="54" t="inlineStr">
        <is>
          <t>R</t>
        </is>
      </c>
      <c r="B4" s="57" t="inlineStr">
        <is>
          <t>레벨</t>
        </is>
      </c>
      <c r="C4" s="57" t="inlineStr">
        <is>
          <t>공</t>
        </is>
      </c>
      <c r="D4" s="57" t="inlineStr">
        <is>
          <t>방/관</t>
        </is>
      </c>
      <c r="E4" s="57" t="inlineStr">
        <is>
          <t>체</t>
        </is>
      </c>
      <c r="F4" s="54" t="n"/>
      <c r="G4" s="54" t="inlineStr">
        <is>
          <t>SR</t>
        </is>
      </c>
      <c r="H4" s="57" t="inlineStr">
        <is>
          <t>레벨</t>
        </is>
      </c>
      <c r="I4" s="57" t="inlineStr">
        <is>
          <t>공</t>
        </is>
      </c>
      <c r="J4" s="57" t="inlineStr">
        <is>
          <t>방/관</t>
        </is>
      </c>
      <c r="K4" s="57" t="inlineStr">
        <is>
          <t>체</t>
        </is>
      </c>
      <c r="L4" s="54" t="n"/>
      <c r="M4" s="54" t="inlineStr">
        <is>
          <t>SSR</t>
        </is>
      </c>
      <c r="N4" s="57" t="inlineStr">
        <is>
          <t>레벨</t>
        </is>
      </c>
      <c r="O4" s="57" t="inlineStr">
        <is>
          <t>공</t>
        </is>
      </c>
      <c r="P4" s="57" t="inlineStr">
        <is>
          <t>방/관</t>
        </is>
      </c>
      <c r="Q4" s="57" t="inlineStr">
        <is>
          <t>체</t>
        </is>
      </c>
    </row>
    <row r="5">
      <c r="A5" s="55" t="n">
        <v>1.035</v>
      </c>
      <c r="B5" s="58" t="n">
        <v>1</v>
      </c>
      <c r="C5" s="59" t="n">
        <v>130</v>
      </c>
      <c r="D5" s="59" t="n">
        <v>130</v>
      </c>
      <c r="E5" s="59" t="n">
        <v>1700</v>
      </c>
      <c r="F5" s="54" t="n"/>
      <c r="G5" s="55" t="n">
        <v>1.04</v>
      </c>
      <c r="H5" s="58" t="n">
        <v>1</v>
      </c>
      <c r="I5" s="58">
        <f>C5*I$3</f>
        <v/>
      </c>
      <c r="J5" s="58">
        <f>D5*J$3</f>
        <v/>
      </c>
      <c r="K5" s="58">
        <f>E5*K$3</f>
        <v/>
      </c>
      <c r="L5" s="54" t="n"/>
      <c r="M5" s="60" t="n">
        <v>1.045</v>
      </c>
      <c r="N5" s="58" t="n">
        <v>1</v>
      </c>
      <c r="O5" s="61">
        <f>I5*O$3</f>
        <v/>
      </c>
      <c r="P5" s="61">
        <f>J5*P$3</f>
        <v/>
      </c>
      <c r="Q5" s="61">
        <f>K5*Q$3</f>
        <v/>
      </c>
    </row>
    <row r="6">
      <c r="A6" s="54" t="n"/>
      <c r="B6" s="58" t="n">
        <v>2</v>
      </c>
      <c r="C6" s="61">
        <f>C5*$A$5</f>
        <v/>
      </c>
      <c r="D6" s="61">
        <f>D5*$A$5</f>
        <v/>
      </c>
      <c r="E6" s="61">
        <f>E5*$A$5</f>
        <v/>
      </c>
      <c r="F6" s="0">
        <f>ROUND((C6/C$5-1)*100000, 0)</f>
        <v/>
      </c>
      <c r="H6" s="58" t="n">
        <v>2</v>
      </c>
      <c r="I6" s="61">
        <f>I5*$G$5</f>
        <v/>
      </c>
      <c r="J6" s="61">
        <f>J5*$G$5</f>
        <v/>
      </c>
      <c r="K6" s="61">
        <f>K5*$G$5</f>
        <v/>
      </c>
      <c r="L6" s="0">
        <f>ROUND((I6/I$5-1)*100000, 0)</f>
        <v/>
      </c>
      <c r="N6" s="58" t="n">
        <v>2</v>
      </c>
      <c r="O6" s="61">
        <f>O5*$M$5</f>
        <v/>
      </c>
      <c r="P6" s="61">
        <f>P5*$M$5</f>
        <v/>
      </c>
      <c r="Q6" s="61">
        <f>Q5*$M$5</f>
        <v/>
      </c>
      <c r="R6" s="0">
        <f>ROUND((O6/O$5-1)*100000, 0)</f>
        <v/>
      </c>
      <c r="S6" s="0">
        <f>$O$5*(1+R6/100000)</f>
        <v/>
      </c>
    </row>
    <row r="7">
      <c r="A7" s="54" t="n"/>
      <c r="B7" s="58" t="n">
        <v>3</v>
      </c>
      <c r="C7" s="61">
        <f>C6*$A$5</f>
        <v/>
      </c>
      <c r="D7" s="61">
        <f>D6*$A$5</f>
        <v/>
      </c>
      <c r="E7" s="61">
        <f>E6*$A$5</f>
        <v/>
      </c>
      <c r="F7" s="0">
        <f>ROUND((C7/C$5-1)*100000, 0)</f>
        <v/>
      </c>
      <c r="H7" s="58" t="n">
        <v>3</v>
      </c>
      <c r="I7" s="61">
        <f>I6*$G$5</f>
        <v/>
      </c>
      <c r="J7" s="61">
        <f>J6*$G$5</f>
        <v/>
      </c>
      <c r="K7" s="61">
        <f>K6*$G$5</f>
        <v/>
      </c>
      <c r="L7" s="0">
        <f>ROUND((I7/I$5-1)*100000, 0)</f>
        <v/>
      </c>
      <c r="N7" s="58" t="n">
        <v>3</v>
      </c>
      <c r="O7" s="61">
        <f>O6*$M$5</f>
        <v/>
      </c>
      <c r="P7" s="61">
        <f>P6*$M$5</f>
        <v/>
      </c>
      <c r="Q7" s="61">
        <f>Q6*$M$5</f>
        <v/>
      </c>
      <c r="R7" s="0">
        <f>ROUND((O7/O$5-1)*100000, 0)</f>
        <v/>
      </c>
      <c r="S7" s="0">
        <f>$O$5*(1+R7/100000)</f>
        <v/>
      </c>
    </row>
    <row r="8">
      <c r="A8" s="54" t="n"/>
      <c r="B8" s="58" t="n">
        <v>4</v>
      </c>
      <c r="C8" s="61">
        <f>C7*$A$5</f>
        <v/>
      </c>
      <c r="D8" s="61">
        <f>D7*$A$5</f>
        <v/>
      </c>
      <c r="E8" s="61">
        <f>E7*$A$5</f>
        <v/>
      </c>
      <c r="F8" s="0">
        <f>ROUND((C8/C$5-1)*100000, 0)</f>
        <v/>
      </c>
      <c r="H8" s="58" t="n">
        <v>4</v>
      </c>
      <c r="I8" s="61">
        <f>I7*$G$5</f>
        <v/>
      </c>
      <c r="J8" s="61">
        <f>J7*$G$5</f>
        <v/>
      </c>
      <c r="K8" s="61">
        <f>K7*$G$5</f>
        <v/>
      </c>
      <c r="L8" s="0">
        <f>ROUND((I8/I$5-1)*100000, 0)</f>
        <v/>
      </c>
      <c r="N8" s="58" t="n">
        <v>4</v>
      </c>
      <c r="O8" s="61">
        <f>O7*$M$5</f>
        <v/>
      </c>
      <c r="P8" s="61">
        <f>P7*$M$5</f>
        <v/>
      </c>
      <c r="Q8" s="61">
        <f>Q7*$M$5</f>
        <v/>
      </c>
      <c r="R8" s="0">
        <f>ROUND((O8/O$5-1)*100000, 0)</f>
        <v/>
      </c>
      <c r="S8" s="0">
        <f>$O$5*(1+R8/100000)</f>
        <v/>
      </c>
    </row>
    <row r="9">
      <c r="A9" s="54" t="n"/>
      <c r="B9" s="58" t="n">
        <v>5</v>
      </c>
      <c r="C9" s="61">
        <f>C8*$A$5</f>
        <v/>
      </c>
      <c r="D9" s="61">
        <f>D8*$A$5</f>
        <v/>
      </c>
      <c r="E9" s="61">
        <f>E8*$A$5</f>
        <v/>
      </c>
      <c r="F9" s="0">
        <f>ROUND((C9/C$5-1)*100000, 0)</f>
        <v/>
      </c>
      <c r="H9" s="58" t="n">
        <v>5</v>
      </c>
      <c r="I9" s="61">
        <f>I8*$G$5</f>
        <v/>
      </c>
      <c r="J9" s="61">
        <f>J8*$G$5</f>
        <v/>
      </c>
      <c r="K9" s="61">
        <f>K8*$G$5</f>
        <v/>
      </c>
      <c r="L9" s="0">
        <f>ROUND((I9/I$5-1)*100000, 0)</f>
        <v/>
      </c>
      <c r="N9" s="58" t="n">
        <v>5</v>
      </c>
      <c r="O9" s="61">
        <f>O8*$M$5</f>
        <v/>
      </c>
      <c r="P9" s="61">
        <f>P8*$M$5</f>
        <v/>
      </c>
      <c r="Q9" s="61">
        <f>Q8*$M$5</f>
        <v/>
      </c>
      <c r="R9" s="0">
        <f>ROUND((O9/O$5-1)*100000, 0)</f>
        <v/>
      </c>
      <c r="S9" s="0">
        <f>$O$5*(1+R9/100000)</f>
        <v/>
      </c>
    </row>
    <row r="10">
      <c r="A10" s="54" t="n"/>
      <c r="B10" s="58" t="n">
        <v>6</v>
      </c>
      <c r="C10" s="61">
        <f>C9*$A$5</f>
        <v/>
      </c>
      <c r="D10" s="61">
        <f>D9*$A$5</f>
        <v/>
      </c>
      <c r="E10" s="61">
        <f>E9*$A$5</f>
        <v/>
      </c>
      <c r="F10" s="0">
        <f>ROUND((C10/C$5-1)*100000, 0)</f>
        <v/>
      </c>
      <c r="H10" s="58" t="n">
        <v>6</v>
      </c>
      <c r="I10" s="61">
        <f>I9*$G$5</f>
        <v/>
      </c>
      <c r="J10" s="61">
        <f>J9*$G$5</f>
        <v/>
      </c>
      <c r="K10" s="61">
        <f>K9*$G$5</f>
        <v/>
      </c>
      <c r="L10" s="0">
        <f>ROUND((I10/I$5-1)*100000, 0)</f>
        <v/>
      </c>
      <c r="N10" s="58" t="n">
        <v>6</v>
      </c>
      <c r="O10" s="61">
        <f>O9*$M$5</f>
        <v/>
      </c>
      <c r="P10" s="61">
        <f>P9*$M$5</f>
        <v/>
      </c>
      <c r="Q10" s="61">
        <f>Q9*$M$5</f>
        <v/>
      </c>
      <c r="R10" s="0">
        <f>ROUND((O10/O$5-1)*100000, 0)</f>
        <v/>
      </c>
      <c r="S10" s="0">
        <f>$O$5*(1+R10/100000)</f>
        <v/>
      </c>
    </row>
    <row r="11">
      <c r="A11" s="54" t="n"/>
      <c r="B11" s="58" t="n">
        <v>7</v>
      </c>
      <c r="C11" s="61">
        <f>C10*$A$5</f>
        <v/>
      </c>
      <c r="D11" s="61">
        <f>D10*$A$5</f>
        <v/>
      </c>
      <c r="E11" s="61">
        <f>E10*$A$5</f>
        <v/>
      </c>
      <c r="F11" s="0">
        <f>ROUND((C11/C$5-1)*100000, 0)</f>
        <v/>
      </c>
      <c r="H11" s="58" t="n">
        <v>7</v>
      </c>
      <c r="I11" s="61">
        <f>I10*$G$5</f>
        <v/>
      </c>
      <c r="J11" s="61">
        <f>J10*$G$5</f>
        <v/>
      </c>
      <c r="K11" s="61">
        <f>K10*$G$5</f>
        <v/>
      </c>
      <c r="L11" s="0">
        <f>ROUND((I11/I$5-1)*100000, 0)</f>
        <v/>
      </c>
      <c r="N11" s="58" t="n">
        <v>7</v>
      </c>
      <c r="O11" s="61">
        <f>O10*$M$5</f>
        <v/>
      </c>
      <c r="P11" s="61">
        <f>P10*$M$5</f>
        <v/>
      </c>
      <c r="Q11" s="61">
        <f>Q10*$M$5</f>
        <v/>
      </c>
      <c r="R11" s="0">
        <f>ROUND((O11/O$5-1)*100000, 0)</f>
        <v/>
      </c>
      <c r="S11" s="0">
        <f>$O$5*(1+R11/100000)</f>
        <v/>
      </c>
    </row>
    <row r="12">
      <c r="A12" s="54" t="n"/>
      <c r="B12" s="58" t="n">
        <v>8</v>
      </c>
      <c r="C12" s="61">
        <f>C11*$A$5</f>
        <v/>
      </c>
      <c r="D12" s="61">
        <f>D11*$A$5</f>
        <v/>
      </c>
      <c r="E12" s="61">
        <f>E11*$A$5</f>
        <v/>
      </c>
      <c r="F12" s="0">
        <f>ROUND((C12/C$5-1)*100000, 0)</f>
        <v/>
      </c>
      <c r="H12" s="58" t="n">
        <v>8</v>
      </c>
      <c r="I12" s="61">
        <f>I11*$G$5</f>
        <v/>
      </c>
      <c r="J12" s="61">
        <f>J11*$G$5</f>
        <v/>
      </c>
      <c r="K12" s="61">
        <f>K11*$G$5</f>
        <v/>
      </c>
      <c r="L12" s="0">
        <f>ROUND((I12/I$5-1)*100000, 0)</f>
        <v/>
      </c>
      <c r="N12" s="58" t="n">
        <v>8</v>
      </c>
      <c r="O12" s="61">
        <f>O11*$M$5</f>
        <v/>
      </c>
      <c r="P12" s="61">
        <f>P11*$M$5</f>
        <v/>
      </c>
      <c r="Q12" s="61">
        <f>Q11*$M$5</f>
        <v/>
      </c>
      <c r="R12" s="0">
        <f>ROUND((O12/O$5-1)*100000, 0)</f>
        <v/>
      </c>
      <c r="S12" s="0">
        <f>$O$5*(1+R12/100000)</f>
        <v/>
      </c>
    </row>
    <row r="13">
      <c r="A13" s="54" t="n"/>
      <c r="B13" s="58" t="n">
        <v>9</v>
      </c>
      <c r="C13" s="61">
        <f>C12*$A$5</f>
        <v/>
      </c>
      <c r="D13" s="61">
        <f>D12*$A$5</f>
        <v/>
      </c>
      <c r="E13" s="61">
        <f>E12*$A$5</f>
        <v/>
      </c>
      <c r="F13" s="0">
        <f>ROUND((C13/C$5-1)*100000, 0)</f>
        <v/>
      </c>
      <c r="H13" s="58" t="n">
        <v>9</v>
      </c>
      <c r="I13" s="61">
        <f>I12*$G$5</f>
        <v/>
      </c>
      <c r="J13" s="61">
        <f>J12*$G$5</f>
        <v/>
      </c>
      <c r="K13" s="61">
        <f>K12*$G$5</f>
        <v/>
      </c>
      <c r="L13" s="0">
        <f>ROUND((I13/I$5-1)*100000, 0)</f>
        <v/>
      </c>
      <c r="N13" s="58" t="n">
        <v>9</v>
      </c>
      <c r="O13" s="61">
        <f>O12*$M$5</f>
        <v/>
      </c>
      <c r="P13" s="61">
        <f>P12*$M$5</f>
        <v/>
      </c>
      <c r="Q13" s="61">
        <f>Q12*$M$5</f>
        <v/>
      </c>
      <c r="R13" s="0">
        <f>ROUND((O13/O$5-1)*100000, 0)</f>
        <v/>
      </c>
      <c r="S13" s="0">
        <f>$O$5*(1+R13/100000)</f>
        <v/>
      </c>
    </row>
    <row r="14">
      <c r="A14" s="54" t="n"/>
      <c r="B14" s="58" t="n">
        <v>10</v>
      </c>
      <c r="C14" s="61">
        <f>C13*$A$5</f>
        <v/>
      </c>
      <c r="D14" s="61">
        <f>D13*$A$5</f>
        <v/>
      </c>
      <c r="E14" s="61">
        <f>E13*$A$5</f>
        <v/>
      </c>
      <c r="F14" s="0">
        <f>ROUND((C14/C$5-1)*100000, 0)</f>
        <v/>
      </c>
      <c r="H14" s="58" t="n">
        <v>10</v>
      </c>
      <c r="I14" s="61">
        <f>I13*$G$5</f>
        <v/>
      </c>
      <c r="J14" s="61">
        <f>J13*$G$5</f>
        <v/>
      </c>
      <c r="K14" s="61">
        <f>K13*$G$5</f>
        <v/>
      </c>
      <c r="L14" s="0">
        <f>ROUND((I14/I$5-1)*100000, 0)</f>
        <v/>
      </c>
      <c r="N14" s="58" t="n">
        <v>10</v>
      </c>
      <c r="O14" s="61">
        <f>O13*$M$5</f>
        <v/>
      </c>
      <c r="P14" s="61">
        <f>P13*$M$5</f>
        <v/>
      </c>
      <c r="Q14" s="61">
        <f>Q13*$M$5</f>
        <v/>
      </c>
      <c r="R14" s="0">
        <f>ROUND((O14/O$5-1)*100000, 0)</f>
        <v/>
      </c>
      <c r="S14" s="0">
        <f>$O$5*(1+R14/100000)</f>
        <v/>
      </c>
    </row>
    <row r="15">
      <c r="A15" s="54" t="n"/>
      <c r="B15" s="58" t="n">
        <v>11</v>
      </c>
      <c r="C15" s="61">
        <f>C14*$A$5</f>
        <v/>
      </c>
      <c r="D15" s="61">
        <f>D14*$A$5</f>
        <v/>
      </c>
      <c r="E15" s="61">
        <f>E14*$A$5</f>
        <v/>
      </c>
      <c r="F15" s="0">
        <f>ROUND((C15/C$5-1)*100000, 0)</f>
        <v/>
      </c>
      <c r="H15" s="58" t="n">
        <v>11</v>
      </c>
      <c r="I15" s="61">
        <f>I14*$G$5</f>
        <v/>
      </c>
      <c r="J15" s="61">
        <f>J14*$G$5</f>
        <v/>
      </c>
      <c r="K15" s="61">
        <f>K14*$G$5</f>
        <v/>
      </c>
      <c r="L15" s="0">
        <f>ROUND((I15/I$5-1)*100000, 0)</f>
        <v/>
      </c>
      <c r="N15" s="58" t="n">
        <v>11</v>
      </c>
      <c r="O15" s="61">
        <f>O14*$M$5</f>
        <v/>
      </c>
      <c r="P15" s="61">
        <f>P14*$M$5</f>
        <v/>
      </c>
      <c r="Q15" s="61">
        <f>Q14*$M$5</f>
        <v/>
      </c>
      <c r="R15" s="0">
        <f>ROUND((O15/O$5-1)*100000, 0)</f>
        <v/>
      </c>
      <c r="S15" s="0">
        <f>$O$5*(1+R15/100000)</f>
        <v/>
      </c>
    </row>
    <row r="16">
      <c r="A16" s="54" t="n"/>
      <c r="B16" s="58" t="n">
        <v>12</v>
      </c>
      <c r="C16" s="61">
        <f>C15*$A$5</f>
        <v/>
      </c>
      <c r="D16" s="61">
        <f>D15*$A$5</f>
        <v/>
      </c>
      <c r="E16" s="61">
        <f>E15*$A$5</f>
        <v/>
      </c>
      <c r="F16" s="0">
        <f>ROUND((C16/C$5-1)*100000, 0)</f>
        <v/>
      </c>
      <c r="H16" s="58" t="n">
        <v>12</v>
      </c>
      <c r="I16" s="61">
        <f>I15*$G$5</f>
        <v/>
      </c>
      <c r="J16" s="61">
        <f>J15*$G$5</f>
        <v/>
      </c>
      <c r="K16" s="61">
        <f>K15*$G$5</f>
        <v/>
      </c>
      <c r="L16" s="0">
        <f>ROUND((I16/I$5-1)*100000, 0)</f>
        <v/>
      </c>
      <c r="N16" s="58" t="n">
        <v>12</v>
      </c>
      <c r="O16" s="61">
        <f>O15*$M$5</f>
        <v/>
      </c>
      <c r="P16" s="61">
        <f>P15*$M$5</f>
        <v/>
      </c>
      <c r="Q16" s="61">
        <f>Q15*$M$5</f>
        <v/>
      </c>
      <c r="R16" s="0">
        <f>ROUND((O16/O$5-1)*100000, 0)</f>
        <v/>
      </c>
      <c r="S16" s="0">
        <f>$O$5*(1+R16/100000)</f>
        <v/>
      </c>
    </row>
    <row r="17">
      <c r="A17" s="54" t="n"/>
      <c r="B17" s="58" t="n">
        <v>13</v>
      </c>
      <c r="C17" s="61">
        <f>C16*$A$5</f>
        <v/>
      </c>
      <c r="D17" s="61">
        <f>D16*$A$5</f>
        <v/>
      </c>
      <c r="E17" s="61">
        <f>E16*$A$5</f>
        <v/>
      </c>
      <c r="F17" s="0">
        <f>ROUND((C17/C$5-1)*100000, 0)</f>
        <v/>
      </c>
      <c r="H17" s="58" t="n">
        <v>13</v>
      </c>
      <c r="I17" s="61">
        <f>I16*$G$5</f>
        <v/>
      </c>
      <c r="J17" s="61">
        <f>J16*$G$5</f>
        <v/>
      </c>
      <c r="K17" s="61">
        <f>K16*$G$5</f>
        <v/>
      </c>
      <c r="L17" s="0">
        <f>ROUND((I17/I$5-1)*100000, 0)</f>
        <v/>
      </c>
      <c r="N17" s="58" t="n">
        <v>13</v>
      </c>
      <c r="O17" s="61">
        <f>O16*$M$5</f>
        <v/>
      </c>
      <c r="P17" s="61">
        <f>P16*$M$5</f>
        <v/>
      </c>
      <c r="Q17" s="61">
        <f>Q16*$M$5</f>
        <v/>
      </c>
      <c r="R17" s="0">
        <f>ROUND((O17/O$5-1)*100000, 0)</f>
        <v/>
      </c>
      <c r="S17" s="0">
        <f>$O$5*(1+R17/100000)</f>
        <v/>
      </c>
    </row>
    <row r="18">
      <c r="A18" s="54" t="n"/>
      <c r="B18" s="58" t="n">
        <v>14</v>
      </c>
      <c r="C18" s="61">
        <f>C17*$A$5</f>
        <v/>
      </c>
      <c r="D18" s="61">
        <f>D17*$A$5</f>
        <v/>
      </c>
      <c r="E18" s="61">
        <f>E17*$A$5</f>
        <v/>
      </c>
      <c r="F18" s="0">
        <f>ROUND((C18/C$5-1)*100000, 0)</f>
        <v/>
      </c>
      <c r="H18" s="58" t="n">
        <v>14</v>
      </c>
      <c r="I18" s="61">
        <f>I17*$G$5</f>
        <v/>
      </c>
      <c r="J18" s="61">
        <f>J17*$G$5</f>
        <v/>
      </c>
      <c r="K18" s="61">
        <f>K17*$G$5</f>
        <v/>
      </c>
      <c r="L18" s="0">
        <f>ROUND((I18/I$5-1)*100000, 0)</f>
        <v/>
      </c>
      <c r="N18" s="58" t="n">
        <v>14</v>
      </c>
      <c r="O18" s="61">
        <f>O17*$M$5</f>
        <v/>
      </c>
      <c r="P18" s="61">
        <f>P17*$M$5</f>
        <v/>
      </c>
      <c r="Q18" s="61">
        <f>Q17*$M$5</f>
        <v/>
      </c>
      <c r="R18" s="0">
        <f>ROUND((O18/O$5-1)*100000, 0)</f>
        <v/>
      </c>
      <c r="S18" s="0">
        <f>$O$5*(1+R18/100000)</f>
        <v/>
      </c>
    </row>
    <row r="19">
      <c r="A19" s="54" t="n"/>
      <c r="B19" s="58" t="n">
        <v>15</v>
      </c>
      <c r="C19" s="61">
        <f>C18*$A$5</f>
        <v/>
      </c>
      <c r="D19" s="61">
        <f>D18*$A$5</f>
        <v/>
      </c>
      <c r="E19" s="61">
        <f>E18*$A$5</f>
        <v/>
      </c>
      <c r="F19" s="0">
        <f>ROUND((C19/C$5-1)*100000, 0)</f>
        <v/>
      </c>
      <c r="H19" s="58" t="n">
        <v>15</v>
      </c>
      <c r="I19" s="61">
        <f>I18*$G$5</f>
        <v/>
      </c>
      <c r="J19" s="61">
        <f>J18*$G$5</f>
        <v/>
      </c>
      <c r="K19" s="61">
        <f>K18*$G$5</f>
        <v/>
      </c>
      <c r="L19" s="0">
        <f>ROUND((I19/I$5-1)*100000, 0)</f>
        <v/>
      </c>
      <c r="N19" s="58" t="n">
        <v>15</v>
      </c>
      <c r="O19" s="61">
        <f>O18*$M$5</f>
        <v/>
      </c>
      <c r="P19" s="61">
        <f>P18*$M$5</f>
        <v/>
      </c>
      <c r="Q19" s="61">
        <f>Q18*$M$5</f>
        <v/>
      </c>
      <c r="R19" s="0">
        <f>ROUND((O19/O$5-1)*100000, 0)</f>
        <v/>
      </c>
      <c r="S19" s="0">
        <f>$O$5*(1+R19/100000)</f>
        <v/>
      </c>
    </row>
    <row r="20">
      <c r="A20" s="54" t="n"/>
      <c r="B20" s="58" t="n">
        <v>16</v>
      </c>
      <c r="C20" s="61">
        <f>C19*$A$5</f>
        <v/>
      </c>
      <c r="D20" s="61">
        <f>D19*$A$5</f>
        <v/>
      </c>
      <c r="E20" s="61">
        <f>E19*$A$5</f>
        <v/>
      </c>
      <c r="F20" s="0">
        <f>ROUND((C20/C$5-1)*100000, 0)</f>
        <v/>
      </c>
      <c r="H20" s="58" t="n">
        <v>16</v>
      </c>
      <c r="I20" s="61">
        <f>I19*$G$5</f>
        <v/>
      </c>
      <c r="J20" s="61">
        <f>J19*$G$5</f>
        <v/>
      </c>
      <c r="K20" s="61">
        <f>K19*$G$5</f>
        <v/>
      </c>
      <c r="L20" s="0">
        <f>ROUND((I20/I$5-1)*100000, 0)</f>
        <v/>
      </c>
      <c r="N20" s="58" t="n">
        <v>16</v>
      </c>
      <c r="O20" s="61">
        <f>O19*$M$5</f>
        <v/>
      </c>
      <c r="P20" s="61">
        <f>P19*$M$5</f>
        <v/>
      </c>
      <c r="Q20" s="61">
        <f>Q19*$M$5</f>
        <v/>
      </c>
      <c r="R20" s="0">
        <f>ROUND((O20/O$5-1)*100000, 0)</f>
        <v/>
      </c>
      <c r="S20" s="0">
        <f>$O$5*(1+R20/100000)</f>
        <v/>
      </c>
    </row>
    <row r="21">
      <c r="A21" s="54" t="n"/>
      <c r="B21" s="58" t="n">
        <v>17</v>
      </c>
      <c r="C21" s="61">
        <f>C20*$A$5</f>
        <v/>
      </c>
      <c r="D21" s="61">
        <f>D20*$A$5</f>
        <v/>
      </c>
      <c r="E21" s="61">
        <f>E20*$A$5</f>
        <v/>
      </c>
      <c r="F21" s="0">
        <f>ROUND((C21/C$5-1)*100000, 0)</f>
        <v/>
      </c>
      <c r="H21" s="58" t="n">
        <v>17</v>
      </c>
      <c r="I21" s="61">
        <f>I20*$G$5</f>
        <v/>
      </c>
      <c r="J21" s="61">
        <f>J20*$G$5</f>
        <v/>
      </c>
      <c r="K21" s="61">
        <f>K20*$G$5</f>
        <v/>
      </c>
      <c r="L21" s="0">
        <f>ROUND((I21/I$5-1)*100000, 0)</f>
        <v/>
      </c>
      <c r="N21" s="58" t="n">
        <v>17</v>
      </c>
      <c r="O21" s="61">
        <f>O20*$M$5</f>
        <v/>
      </c>
      <c r="P21" s="61">
        <f>P20*$M$5</f>
        <v/>
      </c>
      <c r="Q21" s="61">
        <f>Q20*$M$5</f>
        <v/>
      </c>
      <c r="R21" s="0">
        <f>ROUND((O21/O$5-1)*100000, 0)</f>
        <v/>
      </c>
      <c r="S21" s="0">
        <f>$O$5*(1+R21/100000)</f>
        <v/>
      </c>
    </row>
    <row r="22">
      <c r="A22" s="54" t="n"/>
      <c r="B22" s="58" t="n">
        <v>18</v>
      </c>
      <c r="C22" s="61">
        <f>C21*$A$5</f>
        <v/>
      </c>
      <c r="D22" s="61">
        <f>D21*$A$5</f>
        <v/>
      </c>
      <c r="E22" s="61">
        <f>E21*$A$5</f>
        <v/>
      </c>
      <c r="F22" s="0">
        <f>ROUND((C22/C$5-1)*100000, 0)</f>
        <v/>
      </c>
      <c r="H22" s="58" t="n">
        <v>18</v>
      </c>
      <c r="I22" s="61">
        <f>I21*$G$5</f>
        <v/>
      </c>
      <c r="J22" s="61">
        <f>J21*$G$5</f>
        <v/>
      </c>
      <c r="K22" s="61">
        <f>K21*$G$5</f>
        <v/>
      </c>
      <c r="L22" s="0">
        <f>ROUND((I22/I$5-1)*100000, 0)</f>
        <v/>
      </c>
      <c r="N22" s="58" t="n">
        <v>18</v>
      </c>
      <c r="O22" s="61">
        <f>O21*$M$5</f>
        <v/>
      </c>
      <c r="P22" s="61">
        <f>P21*$M$5</f>
        <v/>
      </c>
      <c r="Q22" s="61">
        <f>Q21*$M$5</f>
        <v/>
      </c>
      <c r="R22" s="0">
        <f>ROUND((O22/O$5-1)*100000, 0)</f>
        <v/>
      </c>
      <c r="S22" s="0">
        <f>$O$5*(1+R22/100000)</f>
        <v/>
      </c>
    </row>
    <row r="23">
      <c r="A23" s="54" t="n"/>
      <c r="B23" s="58" t="n">
        <v>19</v>
      </c>
      <c r="C23" s="61">
        <f>C22*$A$5</f>
        <v/>
      </c>
      <c r="D23" s="61">
        <f>D22*$A$5</f>
        <v/>
      </c>
      <c r="E23" s="61">
        <f>E22*$A$5</f>
        <v/>
      </c>
      <c r="F23" s="0">
        <f>ROUND((C23/C$5-1)*100000, 0)</f>
        <v/>
      </c>
      <c r="H23" s="58" t="n">
        <v>19</v>
      </c>
      <c r="I23" s="61">
        <f>I22*$G$5</f>
        <v/>
      </c>
      <c r="J23" s="61">
        <f>J22*$G$5</f>
        <v/>
      </c>
      <c r="K23" s="61">
        <f>K22*$G$5</f>
        <v/>
      </c>
      <c r="L23" s="0">
        <f>ROUND((I23/I$5-1)*100000, 0)</f>
        <v/>
      </c>
      <c r="N23" s="58" t="n">
        <v>19</v>
      </c>
      <c r="O23" s="61">
        <f>O22*$M$5</f>
        <v/>
      </c>
      <c r="P23" s="61">
        <f>P22*$M$5</f>
        <v/>
      </c>
      <c r="Q23" s="61">
        <f>Q22*$M$5</f>
        <v/>
      </c>
      <c r="R23" s="0">
        <f>ROUND((O23/O$5-1)*100000, 0)</f>
        <v/>
      </c>
      <c r="S23" s="0">
        <f>$O$5*(1+R23/100000)</f>
        <v/>
      </c>
    </row>
    <row r="24">
      <c r="A24" s="54" t="n"/>
      <c r="B24" s="58" t="n">
        <v>20</v>
      </c>
      <c r="C24" s="61">
        <f>C23*$A$5</f>
        <v/>
      </c>
      <c r="D24" s="61">
        <f>D23*$A$5</f>
        <v/>
      </c>
      <c r="E24" s="61">
        <f>E23*$A$5</f>
        <v/>
      </c>
      <c r="F24" s="0">
        <f>ROUND((C24/C$5-1)*100000, 0)</f>
        <v/>
      </c>
      <c r="H24" s="58" t="n">
        <v>20</v>
      </c>
      <c r="I24" s="61">
        <f>I23*$G$5</f>
        <v/>
      </c>
      <c r="J24" s="61">
        <f>J23*$G$5</f>
        <v/>
      </c>
      <c r="K24" s="61">
        <f>K23*$G$5</f>
        <v/>
      </c>
      <c r="L24" s="0">
        <f>ROUND((I24/I$5-1)*100000, 0)</f>
        <v/>
      </c>
      <c r="N24" s="58" t="n">
        <v>20</v>
      </c>
      <c r="O24" s="61">
        <f>O23*$M$5</f>
        <v/>
      </c>
      <c r="P24" s="61">
        <f>P23*$M$5</f>
        <v/>
      </c>
      <c r="Q24" s="61">
        <f>Q23*$M$5</f>
        <v/>
      </c>
      <c r="R24" s="0">
        <f>ROUND((O24/O$5-1)*100000, 0)</f>
        <v/>
      </c>
      <c r="S24" s="0">
        <f>$O$5*(1+R24/100000)</f>
        <v/>
      </c>
    </row>
    <row r="25">
      <c r="A25" s="54" t="n"/>
      <c r="B25" s="58" t="n">
        <v>21</v>
      </c>
      <c r="C25" s="61">
        <f>C24*$A$5</f>
        <v/>
      </c>
      <c r="D25" s="61">
        <f>D24*$A$5</f>
        <v/>
      </c>
      <c r="E25" s="61">
        <f>E24*$A$5</f>
        <v/>
      </c>
      <c r="F25" s="0">
        <f>ROUND((C25/C$5-1)*100000, 0)</f>
        <v/>
      </c>
      <c r="H25" s="58" t="n">
        <v>21</v>
      </c>
      <c r="I25" s="61">
        <f>I24*$G$5</f>
        <v/>
      </c>
      <c r="J25" s="61">
        <f>J24*$G$5</f>
        <v/>
      </c>
      <c r="K25" s="61">
        <f>K24*$G$5</f>
        <v/>
      </c>
      <c r="L25" s="0">
        <f>ROUND((I25/I$5-1)*100000, 0)</f>
        <v/>
      </c>
      <c r="N25" s="58" t="n">
        <v>21</v>
      </c>
      <c r="O25" s="61">
        <f>O24*$M$5</f>
        <v/>
      </c>
      <c r="P25" s="61">
        <f>P24*$M$5</f>
        <v/>
      </c>
      <c r="Q25" s="61">
        <f>Q24*$M$5</f>
        <v/>
      </c>
      <c r="R25" s="0">
        <f>ROUND((O25/O$5-1)*100000, 0)</f>
        <v/>
      </c>
      <c r="S25" s="0">
        <f>$O$5*(1+R25/100000)</f>
        <v/>
      </c>
    </row>
    <row r="26">
      <c r="A26" s="54" t="n"/>
      <c r="B26" s="58" t="n">
        <v>22</v>
      </c>
      <c r="C26" s="61">
        <f>C25*$A$5</f>
        <v/>
      </c>
      <c r="D26" s="61">
        <f>D25*$A$5</f>
        <v/>
      </c>
      <c r="E26" s="61">
        <f>E25*$A$5</f>
        <v/>
      </c>
      <c r="F26" s="0">
        <f>ROUND((C26/C$5-1)*100000, 0)</f>
        <v/>
      </c>
      <c r="H26" s="58" t="n">
        <v>22</v>
      </c>
      <c r="I26" s="61">
        <f>I25*$G$5</f>
        <v/>
      </c>
      <c r="J26" s="61">
        <f>J25*$G$5</f>
        <v/>
      </c>
      <c r="K26" s="61">
        <f>K25*$G$5</f>
        <v/>
      </c>
      <c r="L26" s="0">
        <f>ROUND((I26/I$5-1)*100000, 0)</f>
        <v/>
      </c>
      <c r="N26" s="58" t="n">
        <v>22</v>
      </c>
      <c r="O26" s="61">
        <f>O25*$M$5</f>
        <v/>
      </c>
      <c r="P26" s="61">
        <f>P25*$M$5</f>
        <v/>
      </c>
      <c r="Q26" s="61">
        <f>Q25*$M$5</f>
        <v/>
      </c>
      <c r="R26" s="0">
        <f>ROUND((O26/O$5-1)*100000, 0)</f>
        <v/>
      </c>
      <c r="S26" s="0">
        <f>$O$5*(1+R26/100000)</f>
        <v/>
      </c>
    </row>
    <row r="27">
      <c r="A27" s="54" t="n"/>
      <c r="B27" s="58" t="n">
        <v>23</v>
      </c>
      <c r="C27" s="61">
        <f>C26*$A$5</f>
        <v/>
      </c>
      <c r="D27" s="61">
        <f>D26*$A$5</f>
        <v/>
      </c>
      <c r="E27" s="61">
        <f>E26*$A$5</f>
        <v/>
      </c>
      <c r="F27" s="0">
        <f>ROUND((C27/C$5-1)*100000, 0)</f>
        <v/>
      </c>
      <c r="H27" s="58" t="n">
        <v>23</v>
      </c>
      <c r="I27" s="61">
        <f>I26*$G$5</f>
        <v/>
      </c>
      <c r="J27" s="61">
        <f>J26*$G$5</f>
        <v/>
      </c>
      <c r="K27" s="61">
        <f>K26*$G$5</f>
        <v/>
      </c>
      <c r="L27" s="0">
        <f>ROUND((I27/I$5-1)*100000, 0)</f>
        <v/>
      </c>
      <c r="N27" s="58" t="n">
        <v>23</v>
      </c>
      <c r="O27" s="61">
        <f>O26*$M$5</f>
        <v/>
      </c>
      <c r="P27" s="61">
        <f>P26*$M$5</f>
        <v/>
      </c>
      <c r="Q27" s="61">
        <f>Q26*$M$5</f>
        <v/>
      </c>
      <c r="R27" s="0">
        <f>ROUND((O27/O$5-1)*100000, 0)</f>
        <v/>
      </c>
      <c r="S27" s="0">
        <f>$O$5*(1+R27/100000)</f>
        <v/>
      </c>
    </row>
    <row r="28">
      <c r="A28" s="54" t="n"/>
      <c r="B28" s="58" t="n">
        <v>24</v>
      </c>
      <c r="C28" s="61">
        <f>C27*$A$5</f>
        <v/>
      </c>
      <c r="D28" s="61">
        <f>D27*$A$5</f>
        <v/>
      </c>
      <c r="E28" s="61">
        <f>E27*$A$5</f>
        <v/>
      </c>
      <c r="F28" s="0">
        <f>ROUND((C28/C$5-1)*100000, 0)</f>
        <v/>
      </c>
      <c r="H28" s="58" t="n">
        <v>24</v>
      </c>
      <c r="I28" s="61">
        <f>I27*$G$5</f>
        <v/>
      </c>
      <c r="J28" s="61">
        <f>J27*$G$5</f>
        <v/>
      </c>
      <c r="K28" s="61">
        <f>K27*$G$5</f>
        <v/>
      </c>
      <c r="L28" s="0">
        <f>ROUND((I28/I$5-1)*100000, 0)</f>
        <v/>
      </c>
      <c r="N28" s="58" t="n">
        <v>24</v>
      </c>
      <c r="O28" s="61">
        <f>O27*$M$5</f>
        <v/>
      </c>
      <c r="P28" s="61">
        <f>P27*$M$5</f>
        <v/>
      </c>
      <c r="Q28" s="61">
        <f>Q27*$M$5</f>
        <v/>
      </c>
      <c r="R28" s="0">
        <f>ROUND((O28/O$5-1)*100000, 0)</f>
        <v/>
      </c>
      <c r="S28" s="0">
        <f>$O$5*(1+R28/100000)</f>
        <v/>
      </c>
    </row>
    <row r="29">
      <c r="A29" s="54" t="n"/>
      <c r="B29" s="58" t="n">
        <v>25</v>
      </c>
      <c r="C29" s="61">
        <f>C28*$A$5</f>
        <v/>
      </c>
      <c r="D29" s="61">
        <f>D28*$A$5</f>
        <v/>
      </c>
      <c r="E29" s="61">
        <f>E28*$A$5</f>
        <v/>
      </c>
      <c r="F29" s="0">
        <f>ROUND((C29/C$5-1)*100000, 0)</f>
        <v/>
      </c>
      <c r="H29" s="58" t="n">
        <v>25</v>
      </c>
      <c r="I29" s="61">
        <f>I28*$G$5</f>
        <v/>
      </c>
      <c r="J29" s="61">
        <f>J28*$G$5</f>
        <v/>
      </c>
      <c r="K29" s="61">
        <f>K28*$G$5</f>
        <v/>
      </c>
      <c r="L29" s="0">
        <f>ROUND((I29/I$5-1)*100000, 0)</f>
        <v/>
      </c>
      <c r="N29" s="58" t="n">
        <v>25</v>
      </c>
      <c r="O29" s="61">
        <f>O28*$M$5</f>
        <v/>
      </c>
      <c r="P29" s="61">
        <f>P28*$M$5</f>
        <v/>
      </c>
      <c r="Q29" s="61">
        <f>Q28*$M$5</f>
        <v/>
      </c>
      <c r="R29" s="0">
        <f>ROUND((O29/O$5-1)*100000, 0)</f>
        <v/>
      </c>
      <c r="S29" s="0">
        <f>$O$5*(1+R29/100000)</f>
        <v/>
      </c>
    </row>
    <row r="30">
      <c r="A30" s="54" t="n"/>
      <c r="B30" s="58" t="n">
        <v>26</v>
      </c>
      <c r="C30" s="61">
        <f>C29*$A$5</f>
        <v/>
      </c>
      <c r="D30" s="61">
        <f>D29*$A$5</f>
        <v/>
      </c>
      <c r="E30" s="61">
        <f>E29*$A$5</f>
        <v/>
      </c>
      <c r="F30" s="0">
        <f>ROUND((C30/C$5-1)*100000, 0)</f>
        <v/>
      </c>
      <c r="H30" s="58" t="n">
        <v>26</v>
      </c>
      <c r="I30" s="61">
        <f>I29*$G$5</f>
        <v/>
      </c>
      <c r="J30" s="61">
        <f>J29*$G$5</f>
        <v/>
      </c>
      <c r="K30" s="61">
        <f>K29*$G$5</f>
        <v/>
      </c>
      <c r="L30" s="0">
        <f>ROUND((I30/I$5-1)*100000, 0)</f>
        <v/>
      </c>
      <c r="N30" s="58" t="n">
        <v>26</v>
      </c>
      <c r="O30" s="61">
        <f>O29*$M$5</f>
        <v/>
      </c>
      <c r="P30" s="61">
        <f>P29*$M$5</f>
        <v/>
      </c>
      <c r="Q30" s="61">
        <f>Q29*$M$5</f>
        <v/>
      </c>
      <c r="R30" s="0">
        <f>ROUND((O30/O$5-1)*100000, 0)</f>
        <v/>
      </c>
      <c r="S30" s="0">
        <f>$O$5*(1+R30/100000)</f>
        <v/>
      </c>
    </row>
    <row r="31">
      <c r="B31" s="58" t="n">
        <v>27</v>
      </c>
      <c r="C31" s="61">
        <f>C30*$A$5</f>
        <v/>
      </c>
      <c r="D31" s="61">
        <f>D30*$A$5</f>
        <v/>
      </c>
      <c r="E31" s="61">
        <f>E30*$A$5</f>
        <v/>
      </c>
      <c r="F31" s="0">
        <f>ROUND((C31/C$5-1)*100000, 0)</f>
        <v/>
      </c>
      <c r="H31" s="58" t="n">
        <v>27</v>
      </c>
      <c r="I31" s="61">
        <f>I30*$G$5</f>
        <v/>
      </c>
      <c r="J31" s="61">
        <f>J30*$G$5</f>
        <v/>
      </c>
      <c r="K31" s="61">
        <f>K30*$G$5</f>
        <v/>
      </c>
      <c r="L31" s="0">
        <f>ROUND((I31/I$5-1)*100000, 0)</f>
        <v/>
      </c>
      <c r="N31" s="58" t="n">
        <v>27</v>
      </c>
      <c r="O31" s="61">
        <f>O30*$M$5</f>
        <v/>
      </c>
      <c r="P31" s="61">
        <f>P30*$M$5</f>
        <v/>
      </c>
      <c r="Q31" s="61">
        <f>Q30*$M$5</f>
        <v/>
      </c>
      <c r="R31" s="0">
        <f>ROUND((O31/O$5-1)*100000, 0)</f>
        <v/>
      </c>
      <c r="S31" s="0">
        <f>$O$5*(1+R31/100000)</f>
        <v/>
      </c>
    </row>
    <row r="32">
      <c r="B32" s="58" t="n">
        <v>28</v>
      </c>
      <c r="C32" s="61">
        <f>C31*$A$5</f>
        <v/>
      </c>
      <c r="D32" s="61">
        <f>D31*$A$5</f>
        <v/>
      </c>
      <c r="E32" s="61">
        <f>E31*$A$5</f>
        <v/>
      </c>
      <c r="F32" s="0">
        <f>ROUND((C32/C$5-1)*100000, 0)</f>
        <v/>
      </c>
      <c r="H32" s="58" t="n">
        <v>28</v>
      </c>
      <c r="I32" s="61">
        <f>I31*$G$5</f>
        <v/>
      </c>
      <c r="J32" s="61">
        <f>J31*$G$5</f>
        <v/>
      </c>
      <c r="K32" s="61">
        <f>K31*$G$5</f>
        <v/>
      </c>
      <c r="L32" s="0">
        <f>ROUND((I32/I$5-1)*100000, 0)</f>
        <v/>
      </c>
      <c r="N32" s="58" t="n">
        <v>28</v>
      </c>
      <c r="O32" s="61">
        <f>O31*$M$5</f>
        <v/>
      </c>
      <c r="P32" s="61">
        <f>P31*$M$5</f>
        <v/>
      </c>
      <c r="Q32" s="61">
        <f>Q31*$M$5</f>
        <v/>
      </c>
      <c r="R32" s="0">
        <f>ROUND((O32/O$5-1)*100000, 0)</f>
        <v/>
      </c>
      <c r="S32" s="0">
        <f>$O$5*(1+R32/100000)</f>
        <v/>
      </c>
    </row>
    <row r="33">
      <c r="B33" s="58" t="n">
        <v>29</v>
      </c>
      <c r="C33" s="61">
        <f>C32*$A$5</f>
        <v/>
      </c>
      <c r="D33" s="61">
        <f>D32*$A$5</f>
        <v/>
      </c>
      <c r="E33" s="61">
        <f>E32*$A$5</f>
        <v/>
      </c>
      <c r="F33" s="0">
        <f>ROUND((C33/C$5-1)*100000, 0)</f>
        <v/>
      </c>
      <c r="H33" s="58" t="n">
        <v>29</v>
      </c>
      <c r="I33" s="61">
        <f>I32*$G$5</f>
        <v/>
      </c>
      <c r="J33" s="61">
        <f>J32*$G$5</f>
        <v/>
      </c>
      <c r="K33" s="61">
        <f>K32*$G$5</f>
        <v/>
      </c>
      <c r="L33" s="0">
        <f>ROUND((I33/I$5-1)*100000, 0)</f>
        <v/>
      </c>
      <c r="N33" s="58" t="n">
        <v>29</v>
      </c>
      <c r="O33" s="61">
        <f>O32*$M$5</f>
        <v/>
      </c>
      <c r="P33" s="61">
        <f>P32*$M$5</f>
        <v/>
      </c>
      <c r="Q33" s="61">
        <f>Q32*$M$5</f>
        <v/>
      </c>
      <c r="R33" s="0">
        <f>ROUND((O33/O$5-1)*100000, 0)</f>
        <v/>
      </c>
      <c r="S33" s="0">
        <f>$O$5*(1+R33/100000)</f>
        <v/>
      </c>
    </row>
    <row r="34">
      <c r="B34" s="58" t="n">
        <v>30</v>
      </c>
      <c r="C34" s="61">
        <f>C33*$A$5</f>
        <v/>
      </c>
      <c r="D34" s="61">
        <f>D33*$A$5</f>
        <v/>
      </c>
      <c r="E34" s="61">
        <f>E33*$A$5</f>
        <v/>
      </c>
      <c r="F34" s="0">
        <f>ROUND((C34/C$5-1)*100000, 0)</f>
        <v/>
      </c>
      <c r="H34" s="58" t="n">
        <v>30</v>
      </c>
      <c r="I34" s="61">
        <f>I33*$G$5</f>
        <v/>
      </c>
      <c r="J34" s="61">
        <f>J33*$G$5</f>
        <v/>
      </c>
      <c r="K34" s="61">
        <f>K33*$G$5</f>
        <v/>
      </c>
      <c r="L34" s="0">
        <f>ROUND((I34/I$5-1)*100000, 0)</f>
        <v/>
      </c>
      <c r="N34" s="58" t="n">
        <v>30</v>
      </c>
      <c r="O34" s="61">
        <f>O33*$M$5</f>
        <v/>
      </c>
      <c r="P34" s="61">
        <f>P33*$M$5</f>
        <v/>
      </c>
      <c r="Q34" s="61">
        <f>Q33*$M$5</f>
        <v/>
      </c>
      <c r="R34" s="0">
        <f>ROUND((O34/O$5-1)*100000, 0)</f>
        <v/>
      </c>
      <c r="S34" s="0">
        <f>$O$5*(1+R34/100000)</f>
        <v/>
      </c>
    </row>
    <row r="35">
      <c r="B35" s="58" t="n">
        <v>31</v>
      </c>
      <c r="C35" s="61">
        <f>C34*$A$5</f>
        <v/>
      </c>
      <c r="D35" s="61">
        <f>D34*$A$5</f>
        <v/>
      </c>
      <c r="E35" s="61">
        <f>E34*$A$5</f>
        <v/>
      </c>
      <c r="F35" s="0">
        <f>ROUND((C35/C$5-1)*100000, 0)</f>
        <v/>
      </c>
      <c r="H35" s="58" t="n">
        <v>31</v>
      </c>
      <c r="I35" s="61">
        <f>I34*$G$5</f>
        <v/>
      </c>
      <c r="J35" s="61">
        <f>J34*$G$5</f>
        <v/>
      </c>
      <c r="K35" s="61">
        <f>K34*$G$5</f>
        <v/>
      </c>
      <c r="L35" s="0">
        <f>ROUND((I35/I$5-1)*100000, 0)</f>
        <v/>
      </c>
      <c r="N35" s="58" t="n">
        <v>31</v>
      </c>
      <c r="O35" s="61">
        <f>O34*$M$5</f>
        <v/>
      </c>
      <c r="P35" s="61">
        <f>P34*$M$5</f>
        <v/>
      </c>
      <c r="Q35" s="61">
        <f>Q34*$M$5</f>
        <v/>
      </c>
      <c r="R35" s="0">
        <f>ROUND((O35/O$5-1)*100000, 0)</f>
        <v/>
      </c>
      <c r="S35" s="0">
        <f>$O$5*(1+R35/100000)</f>
        <v/>
      </c>
    </row>
    <row r="36">
      <c r="B36" s="58" t="n">
        <v>32</v>
      </c>
      <c r="C36" s="61">
        <f>C35*$A$5</f>
        <v/>
      </c>
      <c r="D36" s="61">
        <f>D35*$A$5</f>
        <v/>
      </c>
      <c r="E36" s="61">
        <f>E35*$A$5</f>
        <v/>
      </c>
      <c r="F36" s="0">
        <f>ROUND((C36/C$5-1)*100000, 0)</f>
        <v/>
      </c>
      <c r="H36" s="58" t="n">
        <v>32</v>
      </c>
      <c r="I36" s="61">
        <f>I35*$G$5</f>
        <v/>
      </c>
      <c r="J36" s="61">
        <f>J35*$G$5</f>
        <v/>
      </c>
      <c r="K36" s="61">
        <f>K35*$G$5</f>
        <v/>
      </c>
      <c r="L36" s="0">
        <f>ROUND((I36/I$5-1)*100000, 0)</f>
        <v/>
      </c>
      <c r="N36" s="58" t="n">
        <v>32</v>
      </c>
      <c r="O36" s="61">
        <f>O35*$M$5</f>
        <v/>
      </c>
      <c r="P36" s="61">
        <f>P35*$M$5</f>
        <v/>
      </c>
      <c r="Q36" s="61">
        <f>Q35*$M$5</f>
        <v/>
      </c>
      <c r="R36" s="0">
        <f>ROUND((O36/O$5-1)*100000, 0)</f>
        <v/>
      </c>
      <c r="S36" s="0">
        <f>$O$5*(1+R36/100000)</f>
        <v/>
      </c>
    </row>
    <row r="37">
      <c r="B37" s="58" t="n">
        <v>33</v>
      </c>
      <c r="C37" s="61">
        <f>C36*$A$5</f>
        <v/>
      </c>
      <c r="D37" s="61">
        <f>D36*$A$5</f>
        <v/>
      </c>
      <c r="E37" s="61">
        <f>E36*$A$5</f>
        <v/>
      </c>
      <c r="F37" s="0">
        <f>ROUND((C37/C$5-1)*100000, 0)</f>
        <v/>
      </c>
      <c r="H37" s="58" t="n">
        <v>33</v>
      </c>
      <c r="I37" s="61">
        <f>I36*$G$5</f>
        <v/>
      </c>
      <c r="J37" s="61">
        <f>J36*$G$5</f>
        <v/>
      </c>
      <c r="K37" s="61">
        <f>K36*$G$5</f>
        <v/>
      </c>
      <c r="L37" s="0">
        <f>ROUND((I37/I$5-1)*100000, 0)</f>
        <v/>
      </c>
      <c r="N37" s="58" t="n">
        <v>33</v>
      </c>
      <c r="O37" s="61">
        <f>O36*$M$5</f>
        <v/>
      </c>
      <c r="P37" s="61">
        <f>P36*$M$5</f>
        <v/>
      </c>
      <c r="Q37" s="61">
        <f>Q36*$M$5</f>
        <v/>
      </c>
      <c r="R37" s="0">
        <f>ROUND((O37/O$5-1)*100000, 0)</f>
        <v/>
      </c>
      <c r="S37" s="0">
        <f>$O$5*(1+R37/100000)</f>
        <v/>
      </c>
    </row>
    <row r="38">
      <c r="B38" s="58" t="n">
        <v>34</v>
      </c>
      <c r="C38" s="61">
        <f>C37*$A$5</f>
        <v/>
      </c>
      <c r="D38" s="61">
        <f>D37*$A$5</f>
        <v/>
      </c>
      <c r="E38" s="61">
        <f>E37*$A$5</f>
        <v/>
      </c>
      <c r="F38" s="0">
        <f>ROUND((C38/C$5-1)*100000, 0)</f>
        <v/>
      </c>
      <c r="H38" s="58" t="n">
        <v>34</v>
      </c>
      <c r="I38" s="61">
        <f>I37*$G$5</f>
        <v/>
      </c>
      <c r="J38" s="61">
        <f>J37*$G$5</f>
        <v/>
      </c>
      <c r="K38" s="61">
        <f>K37*$G$5</f>
        <v/>
      </c>
      <c r="L38" s="0">
        <f>ROUND((I38/I$5-1)*100000, 0)</f>
        <v/>
      </c>
      <c r="N38" s="58" t="n">
        <v>34</v>
      </c>
      <c r="O38" s="61">
        <f>O37*$M$5</f>
        <v/>
      </c>
      <c r="P38" s="61">
        <f>P37*$M$5</f>
        <v/>
      </c>
      <c r="Q38" s="61">
        <f>Q37*$M$5</f>
        <v/>
      </c>
      <c r="R38" s="0">
        <f>ROUND((O38/O$5-1)*100000, 0)</f>
        <v/>
      </c>
      <c r="S38" s="0">
        <f>$O$5*(1+R38/100000)</f>
        <v/>
      </c>
    </row>
    <row r="39">
      <c r="B39" s="58" t="n">
        <v>35</v>
      </c>
      <c r="C39" s="61">
        <f>C38*$A$5</f>
        <v/>
      </c>
      <c r="D39" s="61">
        <f>D38*$A$5</f>
        <v/>
      </c>
      <c r="E39" s="61">
        <f>E38*$A$5</f>
        <v/>
      </c>
      <c r="F39" s="0">
        <f>ROUND((C39/C$5-1)*100000, 0)</f>
        <v/>
      </c>
      <c r="H39" s="58" t="n">
        <v>35</v>
      </c>
      <c r="I39" s="61">
        <f>I38*$G$5</f>
        <v/>
      </c>
      <c r="J39" s="61">
        <f>J38*$G$5</f>
        <v/>
      </c>
      <c r="K39" s="61">
        <f>K38*$G$5</f>
        <v/>
      </c>
      <c r="L39" s="0">
        <f>ROUND((I39/I$5-1)*100000, 0)</f>
        <v/>
      </c>
      <c r="N39" s="58" t="n">
        <v>35</v>
      </c>
      <c r="O39" s="61">
        <f>O38*$M$5</f>
        <v/>
      </c>
      <c r="P39" s="61">
        <f>P38*$M$5</f>
        <v/>
      </c>
      <c r="Q39" s="61">
        <f>Q38*$M$5</f>
        <v/>
      </c>
      <c r="R39" s="0">
        <f>ROUND((O39/O$5-1)*100000, 0)</f>
        <v/>
      </c>
      <c r="S39" s="0">
        <f>$O$5*(1+R39/100000)</f>
        <v/>
      </c>
    </row>
    <row r="40">
      <c r="B40" s="58" t="n">
        <v>36</v>
      </c>
      <c r="C40" s="61">
        <f>C39*$A$5</f>
        <v/>
      </c>
      <c r="D40" s="61">
        <f>D39*$A$5</f>
        <v/>
      </c>
      <c r="E40" s="61">
        <f>E39*$A$5</f>
        <v/>
      </c>
      <c r="F40" s="0">
        <f>ROUND((C40/C$5-1)*100000, 0)</f>
        <v/>
      </c>
      <c r="H40" s="58" t="n">
        <v>36</v>
      </c>
      <c r="I40" s="61">
        <f>I39*$G$5</f>
        <v/>
      </c>
      <c r="J40" s="61">
        <f>J39*$G$5</f>
        <v/>
      </c>
      <c r="K40" s="61">
        <f>K39*$G$5</f>
        <v/>
      </c>
      <c r="L40" s="0">
        <f>ROUND((I40/I$5-1)*100000, 0)</f>
        <v/>
      </c>
      <c r="N40" s="58" t="n">
        <v>36</v>
      </c>
      <c r="O40" s="61">
        <f>O39*$M$5</f>
        <v/>
      </c>
      <c r="P40" s="61">
        <f>P39*$M$5</f>
        <v/>
      </c>
      <c r="Q40" s="61">
        <f>Q39*$M$5</f>
        <v/>
      </c>
      <c r="R40" s="0">
        <f>ROUND((O40/O$5-1)*100000, 0)</f>
        <v/>
      </c>
      <c r="S40" s="0">
        <f>$O$5*(1+R40/100000)</f>
        <v/>
      </c>
    </row>
    <row r="41">
      <c r="B41" s="58" t="n">
        <v>37</v>
      </c>
      <c r="C41" s="61">
        <f>C40*$A$5</f>
        <v/>
      </c>
      <c r="D41" s="61">
        <f>D40*$A$5</f>
        <v/>
      </c>
      <c r="E41" s="61">
        <f>E40*$A$5</f>
        <v/>
      </c>
      <c r="F41" s="0">
        <f>ROUND((C41/C$5-1)*100000, 0)</f>
        <v/>
      </c>
      <c r="H41" s="58" t="n">
        <v>37</v>
      </c>
      <c r="I41" s="61">
        <f>I40*$G$5</f>
        <v/>
      </c>
      <c r="J41" s="61">
        <f>J40*$G$5</f>
        <v/>
      </c>
      <c r="K41" s="61">
        <f>K40*$G$5</f>
        <v/>
      </c>
      <c r="L41" s="0">
        <f>ROUND((I41/I$5-1)*100000, 0)</f>
        <v/>
      </c>
      <c r="N41" s="58" t="n">
        <v>37</v>
      </c>
      <c r="O41" s="61">
        <f>O40*$M$5</f>
        <v/>
      </c>
      <c r="P41" s="61">
        <f>P40*$M$5</f>
        <v/>
      </c>
      <c r="Q41" s="61">
        <f>Q40*$M$5</f>
        <v/>
      </c>
      <c r="R41" s="0">
        <f>ROUND((O41/O$5-1)*100000, 0)</f>
        <v/>
      </c>
      <c r="S41" s="0">
        <f>$O$5*(1+R41/100000)</f>
        <v/>
      </c>
    </row>
    <row r="42">
      <c r="B42" s="58" t="n">
        <v>38</v>
      </c>
      <c r="C42" s="61">
        <f>C41*$A$5</f>
        <v/>
      </c>
      <c r="D42" s="61">
        <f>D41*$A$5</f>
        <v/>
      </c>
      <c r="E42" s="61">
        <f>E41*$A$5</f>
        <v/>
      </c>
      <c r="F42" s="0">
        <f>ROUND((C42/C$5-1)*100000, 0)</f>
        <v/>
      </c>
      <c r="H42" s="58" t="n">
        <v>38</v>
      </c>
      <c r="I42" s="61">
        <f>I41*$G$5</f>
        <v/>
      </c>
      <c r="J42" s="61">
        <f>J41*$G$5</f>
        <v/>
      </c>
      <c r="K42" s="61">
        <f>K41*$G$5</f>
        <v/>
      </c>
      <c r="L42" s="0">
        <f>ROUND((I42/I$5-1)*100000, 0)</f>
        <v/>
      </c>
      <c r="N42" s="58" t="n">
        <v>38</v>
      </c>
      <c r="O42" s="61">
        <f>O41*$M$5</f>
        <v/>
      </c>
      <c r="P42" s="61">
        <f>P41*$M$5</f>
        <v/>
      </c>
      <c r="Q42" s="61">
        <f>Q41*$M$5</f>
        <v/>
      </c>
      <c r="R42" s="0">
        <f>ROUND((O42/O$5-1)*100000, 0)</f>
        <v/>
      </c>
      <c r="S42" s="0">
        <f>$O$5*(1+R42/100000)</f>
        <v/>
      </c>
    </row>
    <row r="43">
      <c r="B43" s="58" t="n">
        <v>39</v>
      </c>
      <c r="C43" s="61">
        <f>C42*$A$5</f>
        <v/>
      </c>
      <c r="D43" s="61">
        <f>D42*$A$5</f>
        <v/>
      </c>
      <c r="E43" s="61">
        <f>E42*$A$5</f>
        <v/>
      </c>
      <c r="F43" s="0">
        <f>ROUND((C43/C$5-1)*100000, 0)</f>
        <v/>
      </c>
      <c r="H43" s="58" t="n">
        <v>39</v>
      </c>
      <c r="I43" s="61">
        <f>I42*$G$5</f>
        <v/>
      </c>
      <c r="J43" s="61">
        <f>J42*$G$5</f>
        <v/>
      </c>
      <c r="K43" s="61">
        <f>K42*$G$5</f>
        <v/>
      </c>
      <c r="L43" s="0">
        <f>ROUND((I43/I$5-1)*100000, 0)</f>
        <v/>
      </c>
      <c r="N43" s="58" t="n">
        <v>39</v>
      </c>
      <c r="O43" s="61">
        <f>O42*$M$5</f>
        <v/>
      </c>
      <c r="P43" s="61">
        <f>P42*$M$5</f>
        <v/>
      </c>
      <c r="Q43" s="61">
        <f>Q42*$M$5</f>
        <v/>
      </c>
      <c r="R43" s="0">
        <f>ROUND((O43/O$5-1)*100000, 0)</f>
        <v/>
      </c>
      <c r="S43" s="0">
        <f>$O$5*(1+R43/100000)</f>
        <v/>
      </c>
    </row>
    <row r="44">
      <c r="B44" s="58" t="n">
        <v>40</v>
      </c>
      <c r="C44" s="61">
        <f>C43*$A$5</f>
        <v/>
      </c>
      <c r="D44" s="61">
        <f>D43*$A$5</f>
        <v/>
      </c>
      <c r="E44" s="61">
        <f>E43*$A$5</f>
        <v/>
      </c>
      <c r="F44" s="0">
        <f>ROUND((C44/C$5-1)*100000, 0)</f>
        <v/>
      </c>
      <c r="H44" s="58" t="n">
        <v>40</v>
      </c>
      <c r="I44" s="61">
        <f>I43*$G$5</f>
        <v/>
      </c>
      <c r="J44" s="61">
        <f>J43*$G$5</f>
        <v/>
      </c>
      <c r="K44" s="61">
        <f>K43*$G$5</f>
        <v/>
      </c>
      <c r="L44" s="0">
        <f>ROUND((I44/I$5-1)*100000, 0)</f>
        <v/>
      </c>
      <c r="N44" s="58" t="n">
        <v>40</v>
      </c>
      <c r="O44" s="61">
        <f>O43*$M$5</f>
        <v/>
      </c>
      <c r="P44" s="61">
        <f>P43*$M$5</f>
        <v/>
      </c>
      <c r="Q44" s="61">
        <f>Q43*$M$5</f>
        <v/>
      </c>
      <c r="R44" s="0">
        <f>ROUND((O44/O$5-1)*100000, 0)</f>
        <v/>
      </c>
      <c r="S44" s="0">
        <f>$O$5*(1+R44/100000)</f>
        <v/>
      </c>
    </row>
    <row r="45">
      <c r="B45" s="58" t="n">
        <v>41</v>
      </c>
      <c r="C45" s="61">
        <f>C44*$A$5</f>
        <v/>
      </c>
      <c r="D45" s="61">
        <f>D44*$A$5</f>
        <v/>
      </c>
      <c r="E45" s="61">
        <f>E44*$A$5</f>
        <v/>
      </c>
      <c r="F45" s="0">
        <f>ROUND((C45/C$5-1)*100000, 0)</f>
        <v/>
      </c>
      <c r="H45" s="58" t="n">
        <v>41</v>
      </c>
      <c r="I45" s="61">
        <f>I44*$G$5</f>
        <v/>
      </c>
      <c r="J45" s="61">
        <f>J44*$G$5</f>
        <v/>
      </c>
      <c r="K45" s="61">
        <f>K44*$G$5</f>
        <v/>
      </c>
      <c r="L45" s="0">
        <f>ROUND((I45/I$5-1)*100000, 0)</f>
        <v/>
      </c>
      <c r="N45" s="58" t="n">
        <v>41</v>
      </c>
      <c r="O45" s="61">
        <f>O44*$M$5</f>
        <v/>
      </c>
      <c r="P45" s="61">
        <f>P44*$M$5</f>
        <v/>
      </c>
      <c r="Q45" s="61">
        <f>Q44*$M$5</f>
        <v/>
      </c>
      <c r="R45" s="0">
        <f>ROUND((O45/O$5-1)*100000, 0)</f>
        <v/>
      </c>
      <c r="S45" s="0">
        <f>$O$5*(1+R45/100000)</f>
        <v/>
      </c>
    </row>
    <row r="46">
      <c r="B46" s="58" t="n">
        <v>42</v>
      </c>
      <c r="C46" s="61">
        <f>C45*$A$5</f>
        <v/>
      </c>
      <c r="D46" s="61">
        <f>D45*$A$5</f>
        <v/>
      </c>
      <c r="E46" s="61">
        <f>E45*$A$5</f>
        <v/>
      </c>
      <c r="F46" s="0">
        <f>ROUND((C46/C$5-1)*100000, 0)</f>
        <v/>
      </c>
      <c r="H46" s="58" t="n">
        <v>42</v>
      </c>
      <c r="I46" s="61">
        <f>I45*$G$5</f>
        <v/>
      </c>
      <c r="J46" s="61">
        <f>J45*$G$5</f>
        <v/>
      </c>
      <c r="K46" s="61">
        <f>K45*$G$5</f>
        <v/>
      </c>
      <c r="L46" s="0">
        <f>ROUND((I46/I$5-1)*100000, 0)</f>
        <v/>
      </c>
      <c r="N46" s="58" t="n">
        <v>42</v>
      </c>
      <c r="O46" s="61">
        <f>O45*$M$5</f>
        <v/>
      </c>
      <c r="P46" s="61">
        <f>P45*$M$5</f>
        <v/>
      </c>
      <c r="Q46" s="61">
        <f>Q45*$M$5</f>
        <v/>
      </c>
      <c r="R46" s="0">
        <f>ROUND((O46/O$5-1)*100000, 0)</f>
        <v/>
      </c>
      <c r="S46" s="0">
        <f>$O$5*(1+R46/100000)</f>
        <v/>
      </c>
    </row>
    <row r="47">
      <c r="B47" s="58" t="n">
        <v>43</v>
      </c>
      <c r="C47" s="61">
        <f>C46*$A$5</f>
        <v/>
      </c>
      <c r="D47" s="61">
        <f>D46*$A$5</f>
        <v/>
      </c>
      <c r="E47" s="61">
        <f>E46*$A$5</f>
        <v/>
      </c>
      <c r="F47" s="0">
        <f>ROUND((C47/C$5-1)*100000, 0)</f>
        <v/>
      </c>
      <c r="H47" s="58" t="n">
        <v>43</v>
      </c>
      <c r="I47" s="61">
        <f>I46*$G$5</f>
        <v/>
      </c>
      <c r="J47" s="61">
        <f>J46*$G$5</f>
        <v/>
      </c>
      <c r="K47" s="61">
        <f>K46*$G$5</f>
        <v/>
      </c>
      <c r="L47" s="0">
        <f>ROUND((I47/I$5-1)*100000, 0)</f>
        <v/>
      </c>
      <c r="N47" s="58" t="n">
        <v>43</v>
      </c>
      <c r="O47" s="61">
        <f>O46*$M$5</f>
        <v/>
      </c>
      <c r="P47" s="61">
        <f>P46*$M$5</f>
        <v/>
      </c>
      <c r="Q47" s="61">
        <f>Q46*$M$5</f>
        <v/>
      </c>
      <c r="R47" s="0">
        <f>ROUND((O47/O$5-1)*100000, 0)</f>
        <v/>
      </c>
      <c r="S47" s="0">
        <f>$O$5*(1+R47/100000)</f>
        <v/>
      </c>
    </row>
    <row r="48">
      <c r="B48" s="58" t="n">
        <v>44</v>
      </c>
      <c r="C48" s="61">
        <f>C47*$A$5</f>
        <v/>
      </c>
      <c r="D48" s="61">
        <f>D47*$A$5</f>
        <v/>
      </c>
      <c r="E48" s="61">
        <f>E47*$A$5</f>
        <v/>
      </c>
      <c r="F48" s="0">
        <f>ROUND((C48/C$5-1)*100000, 0)</f>
        <v/>
      </c>
      <c r="H48" s="58" t="n">
        <v>44</v>
      </c>
      <c r="I48" s="61">
        <f>I47*$G$5</f>
        <v/>
      </c>
      <c r="J48" s="61">
        <f>J47*$G$5</f>
        <v/>
      </c>
      <c r="K48" s="61">
        <f>K47*$G$5</f>
        <v/>
      </c>
      <c r="L48" s="0">
        <f>ROUND((I48/I$5-1)*100000, 0)</f>
        <v/>
      </c>
      <c r="N48" s="58" t="n">
        <v>44</v>
      </c>
      <c r="O48" s="61">
        <f>O47*$M$5</f>
        <v/>
      </c>
      <c r="P48" s="61">
        <f>P47*$M$5</f>
        <v/>
      </c>
      <c r="Q48" s="61">
        <f>Q47*$M$5</f>
        <v/>
      </c>
      <c r="R48" s="0">
        <f>ROUND((O48/O$5-1)*100000, 0)</f>
        <v/>
      </c>
      <c r="S48" s="0">
        <f>$O$5*(1+R48/100000)</f>
        <v/>
      </c>
    </row>
    <row r="49">
      <c r="B49" s="58" t="n">
        <v>45</v>
      </c>
      <c r="C49" s="61">
        <f>C48*$A$5</f>
        <v/>
      </c>
      <c r="D49" s="61">
        <f>D48*$A$5</f>
        <v/>
      </c>
      <c r="E49" s="61">
        <f>E48*$A$5</f>
        <v/>
      </c>
      <c r="F49" s="0">
        <f>ROUND((C49/C$5-1)*100000, 0)</f>
        <v/>
      </c>
      <c r="H49" s="58" t="n">
        <v>45</v>
      </c>
      <c r="I49" s="61">
        <f>I48*$G$5</f>
        <v/>
      </c>
      <c r="J49" s="61">
        <f>J48*$G$5</f>
        <v/>
      </c>
      <c r="K49" s="61">
        <f>K48*$G$5</f>
        <v/>
      </c>
      <c r="L49" s="0">
        <f>ROUND((I49/I$5-1)*100000, 0)</f>
        <v/>
      </c>
      <c r="N49" s="58" t="n">
        <v>45</v>
      </c>
      <c r="O49" s="61">
        <f>O48*$M$5</f>
        <v/>
      </c>
      <c r="P49" s="61">
        <f>P48*$M$5</f>
        <v/>
      </c>
      <c r="Q49" s="61">
        <f>Q48*$M$5</f>
        <v/>
      </c>
      <c r="R49" s="0">
        <f>ROUND((O49/O$5-1)*100000, 0)</f>
        <v/>
      </c>
      <c r="S49" s="0">
        <f>$O$5*(1+R49/100000)</f>
        <v/>
      </c>
    </row>
    <row r="50">
      <c r="B50" s="58" t="n">
        <v>46</v>
      </c>
      <c r="C50" s="61">
        <f>C49*$A$5</f>
        <v/>
      </c>
      <c r="D50" s="61">
        <f>D49*$A$5</f>
        <v/>
      </c>
      <c r="E50" s="61">
        <f>E49*$A$5</f>
        <v/>
      </c>
      <c r="F50" s="0">
        <f>ROUND((C50/C$5-1)*100000, 0)</f>
        <v/>
      </c>
      <c r="H50" s="58" t="n">
        <v>46</v>
      </c>
      <c r="I50" s="61">
        <f>I49*$G$5</f>
        <v/>
      </c>
      <c r="J50" s="61">
        <f>J49*$G$5</f>
        <v/>
      </c>
      <c r="K50" s="61">
        <f>K49*$G$5</f>
        <v/>
      </c>
      <c r="L50" s="0">
        <f>ROUND((I50/I$5-1)*100000, 0)</f>
        <v/>
      </c>
      <c r="N50" s="58" t="n">
        <v>46</v>
      </c>
      <c r="O50" s="61">
        <f>O49*$M$5</f>
        <v/>
      </c>
      <c r="P50" s="61">
        <f>P49*$M$5</f>
        <v/>
      </c>
      <c r="Q50" s="61">
        <f>Q49*$M$5</f>
        <v/>
      </c>
      <c r="R50" s="0">
        <f>ROUND((O50/O$5-1)*100000, 0)</f>
        <v/>
      </c>
      <c r="S50" s="0">
        <f>$O$5*(1+R50/100000)</f>
        <v/>
      </c>
    </row>
    <row r="51">
      <c r="B51" s="58" t="n">
        <v>47</v>
      </c>
      <c r="C51" s="61">
        <f>C50*$A$5</f>
        <v/>
      </c>
      <c r="D51" s="61">
        <f>D50*$A$5</f>
        <v/>
      </c>
      <c r="E51" s="61">
        <f>E50*$A$5</f>
        <v/>
      </c>
      <c r="F51" s="0">
        <f>ROUND((C51/C$5-1)*100000, 0)</f>
        <v/>
      </c>
      <c r="H51" s="58" t="n">
        <v>47</v>
      </c>
      <c r="I51" s="61">
        <f>I50*$G$5</f>
        <v/>
      </c>
      <c r="J51" s="61">
        <f>J50*$G$5</f>
        <v/>
      </c>
      <c r="K51" s="61">
        <f>K50*$G$5</f>
        <v/>
      </c>
      <c r="L51" s="0">
        <f>ROUND((I51/I$5-1)*100000, 0)</f>
        <v/>
      </c>
      <c r="N51" s="58" t="n">
        <v>47</v>
      </c>
      <c r="O51" s="61">
        <f>O50*$M$5</f>
        <v/>
      </c>
      <c r="P51" s="61">
        <f>P50*$M$5</f>
        <v/>
      </c>
      <c r="Q51" s="61">
        <f>Q50*$M$5</f>
        <v/>
      </c>
      <c r="R51" s="0">
        <f>ROUND((O51/O$5-1)*100000, 0)</f>
        <v/>
      </c>
      <c r="S51" s="0">
        <f>$O$5*(1+R51/100000)</f>
        <v/>
      </c>
    </row>
    <row r="52">
      <c r="B52" s="58" t="n">
        <v>48</v>
      </c>
      <c r="C52" s="61">
        <f>C51*$A$5</f>
        <v/>
      </c>
      <c r="D52" s="61">
        <f>D51*$A$5</f>
        <v/>
      </c>
      <c r="E52" s="61">
        <f>E51*$A$5</f>
        <v/>
      </c>
      <c r="F52" s="0">
        <f>ROUND((C52/C$5-1)*100000, 0)</f>
        <v/>
      </c>
      <c r="H52" s="58" t="n">
        <v>48</v>
      </c>
      <c r="I52" s="61">
        <f>I51*$G$5</f>
        <v/>
      </c>
      <c r="J52" s="61">
        <f>J51*$G$5</f>
        <v/>
      </c>
      <c r="K52" s="61">
        <f>K51*$G$5</f>
        <v/>
      </c>
      <c r="L52" s="0">
        <f>ROUND((I52/I$5-1)*100000, 0)</f>
        <v/>
      </c>
      <c r="N52" s="58" t="n">
        <v>48</v>
      </c>
      <c r="O52" s="61">
        <f>O51*$M$5</f>
        <v/>
      </c>
      <c r="P52" s="61">
        <f>P51*$M$5</f>
        <v/>
      </c>
      <c r="Q52" s="61">
        <f>Q51*$M$5</f>
        <v/>
      </c>
      <c r="R52" s="0">
        <f>ROUND((O52/O$5-1)*100000, 0)</f>
        <v/>
      </c>
      <c r="S52" s="0">
        <f>$O$5*(1+R52/100000)</f>
        <v/>
      </c>
    </row>
    <row r="53">
      <c r="B53" s="58" t="n">
        <v>49</v>
      </c>
      <c r="C53" s="61">
        <f>C52*$A$5</f>
        <v/>
      </c>
      <c r="D53" s="61">
        <f>D52*$A$5</f>
        <v/>
      </c>
      <c r="E53" s="61">
        <f>E52*$A$5</f>
        <v/>
      </c>
      <c r="F53" s="0">
        <f>ROUND((C53/C$5-1)*100000, 0)</f>
        <v/>
      </c>
      <c r="H53" s="58" t="n">
        <v>49</v>
      </c>
      <c r="I53" s="61">
        <f>I52*$G$5</f>
        <v/>
      </c>
      <c r="J53" s="61">
        <f>J52*$G$5</f>
        <v/>
      </c>
      <c r="K53" s="61">
        <f>K52*$G$5</f>
        <v/>
      </c>
      <c r="L53" s="0">
        <f>ROUND((I53/I$5-1)*100000, 0)</f>
        <v/>
      </c>
      <c r="N53" s="58" t="n">
        <v>49</v>
      </c>
      <c r="O53" s="61">
        <f>O52*$M$5</f>
        <v/>
      </c>
      <c r="P53" s="61">
        <f>P52*$M$5</f>
        <v/>
      </c>
      <c r="Q53" s="61">
        <f>Q52*$M$5</f>
        <v/>
      </c>
      <c r="R53" s="0">
        <f>ROUND((O53/O$5-1)*100000, 0)</f>
        <v/>
      </c>
      <c r="S53" s="0">
        <f>$O$5*(1+R53/100000)</f>
        <v/>
      </c>
    </row>
    <row r="54">
      <c r="B54" s="58" t="n">
        <v>50</v>
      </c>
      <c r="C54" s="61">
        <f>C53*$A$5</f>
        <v/>
      </c>
      <c r="D54" s="61">
        <f>D53*$A$5</f>
        <v/>
      </c>
      <c r="E54" s="61">
        <f>E53*$A$5</f>
        <v/>
      </c>
      <c r="F54" s="0">
        <f>ROUND((C54/C$5-1)*100000, 0)</f>
        <v/>
      </c>
      <c r="H54" s="58" t="n">
        <v>50</v>
      </c>
      <c r="I54" s="61">
        <f>I53*$G$5</f>
        <v/>
      </c>
      <c r="J54" s="61">
        <f>J53*$G$5</f>
        <v/>
      </c>
      <c r="K54" s="61">
        <f>K53*$G$5</f>
        <v/>
      </c>
      <c r="L54" s="0">
        <f>ROUND((I54/I$5-1)*100000, 0)</f>
        <v/>
      </c>
      <c r="N54" s="58" t="n">
        <v>50</v>
      </c>
      <c r="O54" s="61">
        <f>O53*$M$5</f>
        <v/>
      </c>
      <c r="P54" s="61">
        <f>P53*$M$5</f>
        <v/>
      </c>
      <c r="Q54" s="61">
        <f>Q53*$M$5</f>
        <v/>
      </c>
      <c r="R54" s="0">
        <f>ROUND((O54/O$5-1)*100000, 0)</f>
        <v/>
      </c>
      <c r="S54" s="0">
        <f>$O$5*(1+R54/100000)</f>
        <v/>
      </c>
    </row>
    <row r="55">
      <c r="B55" s="58" t="n">
        <v>51</v>
      </c>
      <c r="C55" s="61">
        <f>C54*$A$5</f>
        <v/>
      </c>
      <c r="D55" s="61">
        <f>D54*$A$5</f>
        <v/>
      </c>
      <c r="E55" s="61">
        <f>E54*$A$5</f>
        <v/>
      </c>
      <c r="F55" s="0">
        <f>ROUND((C55/C$5-1)*100000, 0)</f>
        <v/>
      </c>
      <c r="H55" s="58" t="n">
        <v>51</v>
      </c>
      <c r="I55" s="61">
        <f>I54*$G$5</f>
        <v/>
      </c>
      <c r="J55" s="61">
        <f>J54*$G$5</f>
        <v/>
      </c>
      <c r="K55" s="61">
        <f>K54*$G$5</f>
        <v/>
      </c>
      <c r="L55" s="0">
        <f>ROUND((I55/I$5-1)*100000, 0)</f>
        <v/>
      </c>
      <c r="N55" s="58" t="n">
        <v>51</v>
      </c>
      <c r="O55" s="61">
        <f>O54*$M$5</f>
        <v/>
      </c>
      <c r="P55" s="61">
        <f>P54*$M$5</f>
        <v/>
      </c>
      <c r="Q55" s="61">
        <f>Q54*$M$5</f>
        <v/>
      </c>
      <c r="R55" s="0">
        <f>ROUND((O55/O$5-1)*100000, 0)</f>
        <v/>
      </c>
      <c r="S55" s="0">
        <f>$O$5*(1+R55/100000)</f>
        <v/>
      </c>
    </row>
    <row r="56">
      <c r="B56" s="58" t="n">
        <v>52</v>
      </c>
      <c r="C56" s="61">
        <f>C55*$A$5</f>
        <v/>
      </c>
      <c r="D56" s="61">
        <f>D55*$A$5</f>
        <v/>
      </c>
      <c r="E56" s="61">
        <f>E55*$A$5</f>
        <v/>
      </c>
      <c r="F56" s="0">
        <f>ROUND((C56/C$5-1)*100000, 0)</f>
        <v/>
      </c>
      <c r="H56" s="58" t="n">
        <v>52</v>
      </c>
      <c r="I56" s="61">
        <f>I55*$G$5</f>
        <v/>
      </c>
      <c r="J56" s="61">
        <f>J55*$G$5</f>
        <v/>
      </c>
      <c r="K56" s="61">
        <f>K55*$G$5</f>
        <v/>
      </c>
      <c r="L56" s="0">
        <f>ROUND((I56/I$5-1)*100000, 0)</f>
        <v/>
      </c>
      <c r="N56" s="58" t="n">
        <v>52</v>
      </c>
      <c r="O56" s="61">
        <f>O55*$M$5</f>
        <v/>
      </c>
      <c r="P56" s="61">
        <f>P55*$M$5</f>
        <v/>
      </c>
      <c r="Q56" s="61">
        <f>Q55*$M$5</f>
        <v/>
      </c>
      <c r="R56" s="0">
        <f>ROUND((O56/O$5-1)*100000, 0)</f>
        <v/>
      </c>
      <c r="S56" s="0">
        <f>$O$5*(1+R56/100000)</f>
        <v/>
      </c>
    </row>
    <row r="57">
      <c r="B57" s="58" t="n">
        <v>53</v>
      </c>
      <c r="C57" s="61">
        <f>C56*$A$5</f>
        <v/>
      </c>
      <c r="D57" s="61">
        <f>D56*$A$5</f>
        <v/>
      </c>
      <c r="E57" s="61">
        <f>E56*$A$5</f>
        <v/>
      </c>
      <c r="F57" s="0">
        <f>ROUND((C57/C$5-1)*100000, 0)</f>
        <v/>
      </c>
      <c r="H57" s="58" t="n">
        <v>53</v>
      </c>
      <c r="I57" s="61">
        <f>I56*$G$5</f>
        <v/>
      </c>
      <c r="J57" s="61">
        <f>J56*$G$5</f>
        <v/>
      </c>
      <c r="K57" s="61">
        <f>K56*$G$5</f>
        <v/>
      </c>
      <c r="L57" s="0">
        <f>ROUND((I57/I$5-1)*100000, 0)</f>
        <v/>
      </c>
      <c r="N57" s="58" t="n">
        <v>53</v>
      </c>
      <c r="O57" s="61">
        <f>O56*$M$5</f>
        <v/>
      </c>
      <c r="P57" s="61">
        <f>P56*$M$5</f>
        <v/>
      </c>
      <c r="Q57" s="61">
        <f>Q56*$M$5</f>
        <v/>
      </c>
      <c r="R57" s="0">
        <f>ROUND((O57/O$5-1)*100000, 0)</f>
        <v/>
      </c>
      <c r="S57" s="0">
        <f>$O$5*(1+R57/100000)</f>
        <v/>
      </c>
    </row>
    <row r="58">
      <c r="B58" s="58" t="n">
        <v>54</v>
      </c>
      <c r="C58" s="61">
        <f>C57*$A$5</f>
        <v/>
      </c>
      <c r="D58" s="61">
        <f>D57*$A$5</f>
        <v/>
      </c>
      <c r="E58" s="61">
        <f>E57*$A$5</f>
        <v/>
      </c>
      <c r="F58" s="0">
        <f>ROUND((C58/C$5-1)*100000, 0)</f>
        <v/>
      </c>
      <c r="H58" s="58" t="n">
        <v>54</v>
      </c>
      <c r="I58" s="61">
        <f>I57*$G$5</f>
        <v/>
      </c>
      <c r="J58" s="61">
        <f>J57*$G$5</f>
        <v/>
      </c>
      <c r="K58" s="61">
        <f>K57*$G$5</f>
        <v/>
      </c>
      <c r="L58" s="0">
        <f>ROUND((I58/I$5-1)*100000, 0)</f>
        <v/>
      </c>
      <c r="N58" s="58" t="n">
        <v>54</v>
      </c>
      <c r="O58" s="61">
        <f>O57*$M$5</f>
        <v/>
      </c>
      <c r="P58" s="61">
        <f>P57*$M$5</f>
        <v/>
      </c>
      <c r="Q58" s="61">
        <f>Q57*$M$5</f>
        <v/>
      </c>
      <c r="R58" s="0">
        <f>ROUND((O58/O$5-1)*100000, 0)</f>
        <v/>
      </c>
      <c r="S58" s="0">
        <f>$O$5*(1+R58/100000)</f>
        <v/>
      </c>
    </row>
    <row r="59">
      <c r="B59" s="58" t="n">
        <v>55</v>
      </c>
      <c r="C59" s="61">
        <f>C58*$A$5</f>
        <v/>
      </c>
      <c r="D59" s="61">
        <f>D58*$A$5</f>
        <v/>
      </c>
      <c r="E59" s="61">
        <f>E58*$A$5</f>
        <v/>
      </c>
      <c r="F59" s="0">
        <f>ROUND((C59/C$5-1)*100000, 0)</f>
        <v/>
      </c>
      <c r="H59" s="58" t="n">
        <v>55</v>
      </c>
      <c r="I59" s="61">
        <f>I58*$G$5</f>
        <v/>
      </c>
      <c r="J59" s="61">
        <f>J58*$G$5</f>
        <v/>
      </c>
      <c r="K59" s="61">
        <f>K58*$G$5</f>
        <v/>
      </c>
      <c r="L59" s="0">
        <f>ROUND((I59/I$5-1)*100000, 0)</f>
        <v/>
      </c>
      <c r="N59" s="58" t="n">
        <v>55</v>
      </c>
      <c r="O59" s="61">
        <f>O58*$M$5</f>
        <v/>
      </c>
      <c r="P59" s="61">
        <f>P58*$M$5</f>
        <v/>
      </c>
      <c r="Q59" s="61">
        <f>Q58*$M$5</f>
        <v/>
      </c>
      <c r="R59" s="0">
        <f>ROUND((O59/O$5-1)*100000, 0)</f>
        <v/>
      </c>
      <c r="S59" s="0">
        <f>$O$5*(1+R59/100000)</f>
        <v/>
      </c>
    </row>
    <row r="60">
      <c r="B60" s="58" t="n">
        <v>56</v>
      </c>
      <c r="C60" s="61">
        <f>C59*$A$5</f>
        <v/>
      </c>
      <c r="D60" s="61">
        <f>D59*$A$5</f>
        <v/>
      </c>
      <c r="E60" s="61">
        <f>E59*$A$5</f>
        <v/>
      </c>
      <c r="F60" s="0">
        <f>ROUND((C60/C$5-1)*100000, 0)</f>
        <v/>
      </c>
      <c r="H60" s="58" t="n">
        <v>56</v>
      </c>
      <c r="I60" s="61">
        <f>I59*$G$5</f>
        <v/>
      </c>
      <c r="J60" s="61">
        <f>J59*$G$5</f>
        <v/>
      </c>
      <c r="K60" s="61">
        <f>K59*$G$5</f>
        <v/>
      </c>
      <c r="L60" s="0">
        <f>ROUND((I60/I$5-1)*100000, 0)</f>
        <v/>
      </c>
      <c r="N60" s="58" t="n">
        <v>56</v>
      </c>
      <c r="O60" s="61">
        <f>O59*$M$5</f>
        <v/>
      </c>
      <c r="P60" s="61">
        <f>P59*$M$5</f>
        <v/>
      </c>
      <c r="Q60" s="61">
        <f>Q59*$M$5</f>
        <v/>
      </c>
      <c r="R60" s="0">
        <f>ROUND((O60/O$5-1)*100000, 0)</f>
        <v/>
      </c>
      <c r="S60" s="0">
        <f>$O$5*(1+R60/100000)</f>
        <v/>
      </c>
    </row>
    <row r="61">
      <c r="B61" s="58" t="n">
        <v>57</v>
      </c>
      <c r="C61" s="61">
        <f>C60*$A$5</f>
        <v/>
      </c>
      <c r="D61" s="61">
        <f>D60*$A$5</f>
        <v/>
      </c>
      <c r="E61" s="61">
        <f>E60*$A$5</f>
        <v/>
      </c>
      <c r="F61" s="0">
        <f>ROUND((C61/C$5-1)*100000, 0)</f>
        <v/>
      </c>
      <c r="H61" s="58" t="n">
        <v>57</v>
      </c>
      <c r="I61" s="61">
        <f>I60*$G$5</f>
        <v/>
      </c>
      <c r="J61" s="61">
        <f>J60*$G$5</f>
        <v/>
      </c>
      <c r="K61" s="61">
        <f>K60*$G$5</f>
        <v/>
      </c>
      <c r="L61" s="0">
        <f>ROUND((I61/I$5-1)*100000, 0)</f>
        <v/>
      </c>
      <c r="N61" s="58" t="n">
        <v>57</v>
      </c>
      <c r="O61" s="61">
        <f>O60*$M$5</f>
        <v/>
      </c>
      <c r="P61" s="61">
        <f>P60*$M$5</f>
        <v/>
      </c>
      <c r="Q61" s="61">
        <f>Q60*$M$5</f>
        <v/>
      </c>
      <c r="R61" s="0">
        <f>ROUND((O61/O$5-1)*100000, 0)</f>
        <v/>
      </c>
      <c r="S61" s="0">
        <f>$O$5*(1+R61/100000)</f>
        <v/>
      </c>
    </row>
    <row r="62">
      <c r="B62" s="58" t="n">
        <v>58</v>
      </c>
      <c r="C62" s="61">
        <f>C61*$A$5</f>
        <v/>
      </c>
      <c r="D62" s="61">
        <f>D61*$A$5</f>
        <v/>
      </c>
      <c r="E62" s="61">
        <f>E61*$A$5</f>
        <v/>
      </c>
      <c r="F62" s="0">
        <f>ROUND((C62/C$5-1)*100000, 0)</f>
        <v/>
      </c>
      <c r="H62" s="58" t="n">
        <v>58</v>
      </c>
      <c r="I62" s="61">
        <f>I61*$G$5</f>
        <v/>
      </c>
      <c r="J62" s="61">
        <f>J61*$G$5</f>
        <v/>
      </c>
      <c r="K62" s="61">
        <f>K61*$G$5</f>
        <v/>
      </c>
      <c r="L62" s="0">
        <f>ROUND((I62/I$5-1)*100000, 0)</f>
        <v/>
      </c>
      <c r="N62" s="58" t="n">
        <v>58</v>
      </c>
      <c r="O62" s="61">
        <f>O61*$M$5</f>
        <v/>
      </c>
      <c r="P62" s="61">
        <f>P61*$M$5</f>
        <v/>
      </c>
      <c r="Q62" s="61">
        <f>Q61*$M$5</f>
        <v/>
      </c>
      <c r="R62" s="0">
        <f>ROUND((O62/O$5-1)*100000, 0)</f>
        <v/>
      </c>
      <c r="S62" s="0">
        <f>$O$5*(1+R62/100000)</f>
        <v/>
      </c>
    </row>
    <row r="63">
      <c r="B63" s="58" t="n">
        <v>59</v>
      </c>
      <c r="C63" s="61">
        <f>C62*$A$5</f>
        <v/>
      </c>
      <c r="D63" s="61">
        <f>D62*$A$5</f>
        <v/>
      </c>
      <c r="E63" s="61">
        <f>E62*$A$5</f>
        <v/>
      </c>
      <c r="F63" s="0">
        <f>ROUND((C63/C$5-1)*100000, 0)</f>
        <v/>
      </c>
      <c r="H63" s="58" t="n">
        <v>59</v>
      </c>
      <c r="I63" s="61">
        <f>I62*$G$5</f>
        <v/>
      </c>
      <c r="J63" s="61">
        <f>J62*$G$5</f>
        <v/>
      </c>
      <c r="K63" s="61">
        <f>K62*$G$5</f>
        <v/>
      </c>
      <c r="L63" s="0">
        <f>ROUND((I63/I$5-1)*100000, 0)</f>
        <v/>
      </c>
      <c r="N63" s="58" t="n">
        <v>59</v>
      </c>
      <c r="O63" s="61">
        <f>O62*$M$5</f>
        <v/>
      </c>
      <c r="P63" s="61">
        <f>P62*$M$5</f>
        <v/>
      </c>
      <c r="Q63" s="61">
        <f>Q62*$M$5</f>
        <v/>
      </c>
      <c r="R63" s="0">
        <f>ROUND((O63/O$5-1)*100000, 0)</f>
        <v/>
      </c>
      <c r="S63" s="0">
        <f>$O$5*(1+R63/100000)</f>
        <v/>
      </c>
    </row>
    <row r="64">
      <c r="B64" s="58" t="n">
        <v>60</v>
      </c>
      <c r="C64" s="61">
        <f>C63*$A$5</f>
        <v/>
      </c>
      <c r="D64" s="61">
        <f>D63*$A$5</f>
        <v/>
      </c>
      <c r="E64" s="61">
        <f>E63*$A$5</f>
        <v/>
      </c>
      <c r="F64" s="0">
        <f>ROUND((C64/C$5-1)*100000, 0)</f>
        <v/>
      </c>
      <c r="H64" s="58" t="n">
        <v>60</v>
      </c>
      <c r="I64" s="61">
        <f>I63*$G$5</f>
        <v/>
      </c>
      <c r="J64" s="61">
        <f>J63*$G$5</f>
        <v/>
      </c>
      <c r="K64" s="61">
        <f>K63*$G$5</f>
        <v/>
      </c>
      <c r="L64" s="0">
        <f>ROUND((I64/I$5-1)*100000, 0)</f>
        <v/>
      </c>
      <c r="N64" s="58" t="n">
        <v>60</v>
      </c>
      <c r="O64" s="61">
        <f>O63*$M$5</f>
        <v/>
      </c>
      <c r="P64" s="61">
        <f>P63*$M$5</f>
        <v/>
      </c>
      <c r="Q64" s="61">
        <f>Q63*$M$5</f>
        <v/>
      </c>
      <c r="R64" s="0">
        <f>ROUND((O64/O$5-1)*100000, 0)</f>
        <v/>
      </c>
      <c r="S64" s="0">
        <f>$O$5*(1+R64/100000)</f>
        <v/>
      </c>
    </row>
    <row r="65">
      <c r="B65" s="58" t="n">
        <v>61</v>
      </c>
      <c r="C65" s="61">
        <f>C64*$A$5</f>
        <v/>
      </c>
      <c r="D65" s="61">
        <f>D64*$A$5</f>
        <v/>
      </c>
      <c r="E65" s="61">
        <f>E64*$A$5</f>
        <v/>
      </c>
      <c r="F65" s="0">
        <f>ROUND((C65/C$5-1)*100000, 0)</f>
        <v/>
      </c>
      <c r="H65" s="58" t="n">
        <v>61</v>
      </c>
      <c r="I65" s="61">
        <f>I64*$G$5</f>
        <v/>
      </c>
      <c r="J65" s="61">
        <f>J64*$G$5</f>
        <v/>
      </c>
      <c r="K65" s="61">
        <f>K64*$G$5</f>
        <v/>
      </c>
      <c r="L65" s="0">
        <f>ROUND((I65/I$5-1)*100000, 0)</f>
        <v/>
      </c>
      <c r="N65" s="58" t="n">
        <v>61</v>
      </c>
      <c r="O65" s="61">
        <f>O64*$M$5</f>
        <v/>
      </c>
      <c r="P65" s="61">
        <f>P64*$M$5</f>
        <v/>
      </c>
      <c r="Q65" s="61">
        <f>Q64*$M$5</f>
        <v/>
      </c>
      <c r="R65" s="0">
        <f>ROUND((O65/O$5-1)*100000, 0)</f>
        <v/>
      </c>
      <c r="S65" s="0">
        <f>$O$5*(1+R65/100000)</f>
        <v/>
      </c>
    </row>
    <row r="66">
      <c r="B66" s="58" t="n">
        <v>62</v>
      </c>
      <c r="C66" s="61">
        <f>C65*$A$5</f>
        <v/>
      </c>
      <c r="D66" s="61">
        <f>D65*$A$5</f>
        <v/>
      </c>
      <c r="E66" s="61">
        <f>E65*$A$5</f>
        <v/>
      </c>
      <c r="F66" s="0">
        <f>ROUND((C66/C$5-1)*100000, 0)</f>
        <v/>
      </c>
      <c r="H66" s="58" t="n">
        <v>62</v>
      </c>
      <c r="I66" s="61">
        <f>I65*$G$5</f>
        <v/>
      </c>
      <c r="J66" s="61">
        <f>J65*$G$5</f>
        <v/>
      </c>
      <c r="K66" s="61">
        <f>K65*$G$5</f>
        <v/>
      </c>
      <c r="L66" s="0">
        <f>ROUND((I66/I$5-1)*100000, 0)</f>
        <v/>
      </c>
      <c r="N66" s="58" t="n">
        <v>62</v>
      </c>
      <c r="O66" s="61">
        <f>O65*$M$5</f>
        <v/>
      </c>
      <c r="P66" s="61">
        <f>P65*$M$5</f>
        <v/>
      </c>
      <c r="Q66" s="61">
        <f>Q65*$M$5</f>
        <v/>
      </c>
      <c r="R66" s="0">
        <f>ROUND((O66/O$5-1)*100000, 0)</f>
        <v/>
      </c>
      <c r="S66" s="0">
        <f>$O$5*(1+R66/100000)</f>
        <v/>
      </c>
    </row>
    <row r="67">
      <c r="B67" s="58" t="n">
        <v>63</v>
      </c>
      <c r="C67" s="61">
        <f>C66*$A$5</f>
        <v/>
      </c>
      <c r="D67" s="61">
        <f>D66*$A$5</f>
        <v/>
      </c>
      <c r="E67" s="61">
        <f>E66*$A$5</f>
        <v/>
      </c>
      <c r="F67" s="0">
        <f>ROUND((C67/C$5-1)*100000, 0)</f>
        <v/>
      </c>
      <c r="H67" s="58" t="n">
        <v>63</v>
      </c>
      <c r="I67" s="61">
        <f>I66*$G$5</f>
        <v/>
      </c>
      <c r="J67" s="61">
        <f>J66*$G$5</f>
        <v/>
      </c>
      <c r="K67" s="61">
        <f>K66*$G$5</f>
        <v/>
      </c>
      <c r="L67" s="0">
        <f>ROUND((I67/I$5-1)*100000, 0)</f>
        <v/>
      </c>
      <c r="N67" s="58" t="n">
        <v>63</v>
      </c>
      <c r="O67" s="61">
        <f>O66*$M$5</f>
        <v/>
      </c>
      <c r="P67" s="61">
        <f>P66*$M$5</f>
        <v/>
      </c>
      <c r="Q67" s="61">
        <f>Q66*$M$5</f>
        <v/>
      </c>
      <c r="R67" s="0">
        <f>ROUND((O67/O$5-1)*100000, 0)</f>
        <v/>
      </c>
      <c r="S67" s="0">
        <f>$O$5*(1+R67/100000)</f>
        <v/>
      </c>
    </row>
    <row r="68">
      <c r="B68" s="58" t="n">
        <v>64</v>
      </c>
      <c r="C68" s="61">
        <f>C67*$A$5</f>
        <v/>
      </c>
      <c r="D68" s="61">
        <f>D67*$A$5</f>
        <v/>
      </c>
      <c r="E68" s="61">
        <f>E67*$A$5</f>
        <v/>
      </c>
      <c r="F68" s="0">
        <f>ROUND((C68/C$5-1)*100000, 0)</f>
        <v/>
      </c>
      <c r="H68" s="58" t="n">
        <v>64</v>
      </c>
      <c r="I68" s="61">
        <f>I67*$G$5</f>
        <v/>
      </c>
      <c r="J68" s="61">
        <f>J67*$G$5</f>
        <v/>
      </c>
      <c r="K68" s="61">
        <f>K67*$G$5</f>
        <v/>
      </c>
      <c r="L68" s="0">
        <f>ROUND((I68/I$5-1)*100000, 0)</f>
        <v/>
      </c>
      <c r="N68" s="58" t="n">
        <v>64</v>
      </c>
      <c r="O68" s="61">
        <f>O67*$M$5</f>
        <v/>
      </c>
      <c r="P68" s="61">
        <f>P67*$M$5</f>
        <v/>
      </c>
      <c r="Q68" s="61">
        <f>Q67*$M$5</f>
        <v/>
      </c>
      <c r="R68" s="0">
        <f>ROUND((O68/O$5-1)*100000, 0)</f>
        <v/>
      </c>
      <c r="S68" s="0">
        <f>$O$5*(1+R68/100000)</f>
        <v/>
      </c>
    </row>
    <row r="69">
      <c r="B69" s="58" t="n">
        <v>65</v>
      </c>
      <c r="C69" s="61">
        <f>C68*$A$5</f>
        <v/>
      </c>
      <c r="D69" s="61">
        <f>D68*$A$5</f>
        <v/>
      </c>
      <c r="E69" s="61">
        <f>E68*$A$5</f>
        <v/>
      </c>
      <c r="F69" s="0">
        <f>ROUND((C69/C$5-1)*100000, 0)</f>
        <v/>
      </c>
      <c r="H69" s="58" t="n">
        <v>65</v>
      </c>
      <c r="I69" s="61">
        <f>I68*$G$5</f>
        <v/>
      </c>
      <c r="J69" s="61">
        <f>J68*$G$5</f>
        <v/>
      </c>
      <c r="K69" s="61">
        <f>K68*$G$5</f>
        <v/>
      </c>
      <c r="L69" s="0">
        <f>ROUND((I69/I$5-1)*100000, 0)</f>
        <v/>
      </c>
      <c r="N69" s="58" t="n">
        <v>65</v>
      </c>
      <c r="O69" s="61">
        <f>O68*$M$5</f>
        <v/>
      </c>
      <c r="P69" s="61">
        <f>P68*$M$5</f>
        <v/>
      </c>
      <c r="Q69" s="61">
        <f>Q68*$M$5</f>
        <v/>
      </c>
      <c r="R69" s="0">
        <f>ROUND((O69/O$5-1)*100000, 0)</f>
        <v/>
      </c>
      <c r="S69" s="0">
        <f>$O$5*(1+R69/100000)</f>
        <v/>
      </c>
    </row>
    <row r="70">
      <c r="B70" s="58" t="n">
        <v>66</v>
      </c>
      <c r="C70" s="61">
        <f>C69*$A$5</f>
        <v/>
      </c>
      <c r="D70" s="61">
        <f>D69*$A$5</f>
        <v/>
      </c>
      <c r="E70" s="61">
        <f>E69*$A$5</f>
        <v/>
      </c>
      <c r="F70" s="0">
        <f>ROUND((C70/C$5-1)*100000, 0)</f>
        <v/>
      </c>
      <c r="H70" s="58" t="n">
        <v>66</v>
      </c>
      <c r="I70" s="61">
        <f>I69*$G$5</f>
        <v/>
      </c>
      <c r="J70" s="61">
        <f>J69*$G$5</f>
        <v/>
      </c>
      <c r="K70" s="61">
        <f>K69*$G$5</f>
        <v/>
      </c>
      <c r="L70" s="0">
        <f>ROUND((I70/I$5-1)*100000, 0)</f>
        <v/>
      </c>
      <c r="N70" s="58" t="n">
        <v>66</v>
      </c>
      <c r="O70" s="61">
        <f>O69*$M$5</f>
        <v/>
      </c>
      <c r="P70" s="61">
        <f>P69*$M$5</f>
        <v/>
      </c>
      <c r="Q70" s="61">
        <f>Q69*$M$5</f>
        <v/>
      </c>
      <c r="R70" s="0">
        <f>ROUND((O70/O$5-1)*100000, 0)</f>
        <v/>
      </c>
      <c r="S70" s="0">
        <f>$O$5*(1+R70/100000)</f>
        <v/>
      </c>
    </row>
    <row r="71">
      <c r="B71" s="58" t="n">
        <v>67</v>
      </c>
      <c r="C71" s="61">
        <f>C70*$A$5</f>
        <v/>
      </c>
      <c r="D71" s="61">
        <f>D70*$A$5</f>
        <v/>
      </c>
      <c r="E71" s="61">
        <f>E70*$A$5</f>
        <v/>
      </c>
      <c r="F71" s="0">
        <f>ROUND((C71/C$5-1)*100000, 0)</f>
        <v/>
      </c>
      <c r="H71" s="58" t="n">
        <v>67</v>
      </c>
      <c r="I71" s="61">
        <f>I70*$G$5</f>
        <v/>
      </c>
      <c r="J71" s="61">
        <f>J70*$G$5</f>
        <v/>
      </c>
      <c r="K71" s="61">
        <f>K70*$G$5</f>
        <v/>
      </c>
      <c r="L71" s="0">
        <f>ROUND((I71/I$5-1)*100000, 0)</f>
        <v/>
      </c>
      <c r="N71" s="58" t="n">
        <v>67</v>
      </c>
      <c r="O71" s="61">
        <f>O70*$M$5</f>
        <v/>
      </c>
      <c r="P71" s="61">
        <f>P70*$M$5</f>
        <v/>
      </c>
      <c r="Q71" s="61">
        <f>Q70*$M$5</f>
        <v/>
      </c>
      <c r="R71" s="0">
        <f>ROUND((O71/O$5-1)*100000, 0)</f>
        <v/>
      </c>
      <c r="S71" s="0">
        <f>$O$5*(1+R71/100000)</f>
        <v/>
      </c>
    </row>
    <row r="72">
      <c r="B72" s="58" t="n">
        <v>68</v>
      </c>
      <c r="C72" s="61">
        <f>C71*$A$5</f>
        <v/>
      </c>
      <c r="D72" s="61">
        <f>D71*$A$5</f>
        <v/>
      </c>
      <c r="E72" s="61">
        <f>E71*$A$5</f>
        <v/>
      </c>
      <c r="F72" s="0">
        <f>ROUND((C72/C$5-1)*100000, 0)</f>
        <v/>
      </c>
      <c r="H72" s="58" t="n">
        <v>68</v>
      </c>
      <c r="I72" s="61">
        <f>I71*$G$5</f>
        <v/>
      </c>
      <c r="J72" s="61">
        <f>J71*$G$5</f>
        <v/>
      </c>
      <c r="K72" s="61">
        <f>K71*$G$5</f>
        <v/>
      </c>
      <c r="L72" s="0">
        <f>ROUND((I72/I$5-1)*100000, 0)</f>
        <v/>
      </c>
      <c r="N72" s="58" t="n">
        <v>68</v>
      </c>
      <c r="O72" s="61">
        <f>O71*$M$5</f>
        <v/>
      </c>
      <c r="P72" s="61">
        <f>P71*$M$5</f>
        <v/>
      </c>
      <c r="Q72" s="61">
        <f>Q71*$M$5</f>
        <v/>
      </c>
      <c r="R72" s="0">
        <f>ROUND((O72/O$5-1)*100000, 0)</f>
        <v/>
      </c>
      <c r="S72" s="0">
        <f>$O$5*(1+R72/100000)</f>
        <v/>
      </c>
    </row>
    <row r="73">
      <c r="B73" s="58" t="n">
        <v>69</v>
      </c>
      <c r="C73" s="61">
        <f>C72*$A$5</f>
        <v/>
      </c>
      <c r="D73" s="61">
        <f>D72*$A$5</f>
        <v/>
      </c>
      <c r="E73" s="61">
        <f>E72*$A$5</f>
        <v/>
      </c>
      <c r="F73" s="0">
        <f>ROUND((C73/C$5-1)*100000, 0)</f>
        <v/>
      </c>
      <c r="H73" s="58" t="n">
        <v>69</v>
      </c>
      <c r="I73" s="61">
        <f>I72*$G$5</f>
        <v/>
      </c>
      <c r="J73" s="61">
        <f>J72*$G$5</f>
        <v/>
      </c>
      <c r="K73" s="61">
        <f>K72*$G$5</f>
        <v/>
      </c>
      <c r="L73" s="0">
        <f>ROUND((I73/I$5-1)*100000, 0)</f>
        <v/>
      </c>
      <c r="N73" s="58" t="n">
        <v>69</v>
      </c>
      <c r="O73" s="61">
        <f>O72*$M$5</f>
        <v/>
      </c>
      <c r="P73" s="61">
        <f>P72*$M$5</f>
        <v/>
      </c>
      <c r="Q73" s="61">
        <f>Q72*$M$5</f>
        <v/>
      </c>
      <c r="R73" s="0">
        <f>ROUND((O73/O$5-1)*100000, 0)</f>
        <v/>
      </c>
      <c r="S73" s="0">
        <f>$O$5*(1+R73/100000)</f>
        <v/>
      </c>
    </row>
    <row r="74">
      <c r="B74" s="58" t="n">
        <v>70</v>
      </c>
      <c r="C74" s="61">
        <f>C73*$A$5</f>
        <v/>
      </c>
      <c r="D74" s="61">
        <f>D73*$A$5</f>
        <v/>
      </c>
      <c r="E74" s="61">
        <f>E73*$A$5</f>
        <v/>
      </c>
      <c r="F74" s="0">
        <f>ROUND((C74/C$5-1)*100000, 0)</f>
        <v/>
      </c>
      <c r="H74" s="58" t="n">
        <v>70</v>
      </c>
      <c r="I74" s="61">
        <f>I73*$G$5</f>
        <v/>
      </c>
      <c r="J74" s="61">
        <f>J73*$G$5</f>
        <v/>
      </c>
      <c r="K74" s="61">
        <f>K73*$G$5</f>
        <v/>
      </c>
      <c r="L74" s="0">
        <f>ROUND((I74/I$5-1)*100000, 0)</f>
        <v/>
      </c>
      <c r="N74" s="58" t="n">
        <v>70</v>
      </c>
      <c r="O74" s="61">
        <f>O73*$M$5</f>
        <v/>
      </c>
      <c r="P74" s="61">
        <f>P73*$M$5</f>
        <v/>
      </c>
      <c r="Q74" s="61">
        <f>Q73*$M$5</f>
        <v/>
      </c>
      <c r="R74" s="0">
        <f>ROUND((O74/O$5-1)*100000, 0)</f>
        <v/>
      </c>
      <c r="S74" s="0">
        <f>$O$5*(1+R74/100000)</f>
        <v/>
      </c>
    </row>
    <row r="75">
      <c r="B75" s="58" t="n">
        <v>71</v>
      </c>
      <c r="C75" s="61">
        <f>C74*$A$5</f>
        <v/>
      </c>
      <c r="D75" s="61">
        <f>D74*$A$5</f>
        <v/>
      </c>
      <c r="E75" s="61">
        <f>E74*$A$5</f>
        <v/>
      </c>
      <c r="F75" s="0">
        <f>ROUND((C75/C$5-1)*100000, 0)</f>
        <v/>
      </c>
      <c r="H75" s="58" t="n">
        <v>71</v>
      </c>
      <c r="I75" s="61">
        <f>I74*$G$5</f>
        <v/>
      </c>
      <c r="J75" s="61">
        <f>J74*$G$5</f>
        <v/>
      </c>
      <c r="K75" s="61">
        <f>K74*$G$5</f>
        <v/>
      </c>
      <c r="L75" s="0">
        <f>ROUND((I75/I$5-1)*100000, 0)</f>
        <v/>
      </c>
      <c r="N75" s="58" t="n">
        <v>71</v>
      </c>
      <c r="O75" s="61">
        <f>O74*$M$5</f>
        <v/>
      </c>
      <c r="P75" s="61">
        <f>P74*$M$5</f>
        <v/>
      </c>
      <c r="Q75" s="61">
        <f>Q74*$M$5</f>
        <v/>
      </c>
      <c r="R75" s="0">
        <f>ROUND((O75/O$5-1)*100000, 0)</f>
        <v/>
      </c>
      <c r="S75" s="0">
        <f>$O$5*(1+R75/100000)</f>
        <v/>
      </c>
    </row>
    <row r="76">
      <c r="B76" s="58" t="n">
        <v>72</v>
      </c>
      <c r="C76" s="61">
        <f>C75*$A$5</f>
        <v/>
      </c>
      <c r="D76" s="61">
        <f>D75*$A$5</f>
        <v/>
      </c>
      <c r="E76" s="61">
        <f>E75*$A$5</f>
        <v/>
      </c>
      <c r="F76" s="0">
        <f>ROUND((C76/C$5-1)*100000, 0)</f>
        <v/>
      </c>
      <c r="H76" s="58" t="n">
        <v>72</v>
      </c>
      <c r="I76" s="61">
        <f>I75*$G$5</f>
        <v/>
      </c>
      <c r="J76" s="61">
        <f>J75*$G$5</f>
        <v/>
      </c>
      <c r="K76" s="61">
        <f>K75*$G$5</f>
        <v/>
      </c>
      <c r="L76" s="0">
        <f>ROUND((I76/I$5-1)*100000, 0)</f>
        <v/>
      </c>
      <c r="N76" s="58" t="n">
        <v>72</v>
      </c>
      <c r="O76" s="61">
        <f>O75*$M$5</f>
        <v/>
      </c>
      <c r="P76" s="61">
        <f>P75*$M$5</f>
        <v/>
      </c>
      <c r="Q76" s="61">
        <f>Q75*$M$5</f>
        <v/>
      </c>
      <c r="R76" s="0">
        <f>ROUND((O76/O$5-1)*100000, 0)</f>
        <v/>
      </c>
      <c r="S76" s="0">
        <f>$O$5*(1+R76/100000)</f>
        <v/>
      </c>
    </row>
    <row r="77">
      <c r="B77" s="58" t="n">
        <v>73</v>
      </c>
      <c r="C77" s="61">
        <f>C76*$A$5</f>
        <v/>
      </c>
      <c r="D77" s="61">
        <f>D76*$A$5</f>
        <v/>
      </c>
      <c r="E77" s="61">
        <f>E76*$A$5</f>
        <v/>
      </c>
      <c r="F77" s="0">
        <f>ROUND((C77/C$5-1)*100000, 0)</f>
        <v/>
      </c>
      <c r="H77" s="58" t="n">
        <v>73</v>
      </c>
      <c r="I77" s="61">
        <f>I76*$G$5</f>
        <v/>
      </c>
      <c r="J77" s="61">
        <f>J76*$G$5</f>
        <v/>
      </c>
      <c r="K77" s="61">
        <f>K76*$G$5</f>
        <v/>
      </c>
      <c r="L77" s="0">
        <f>ROUND((I77/I$5-1)*100000, 0)</f>
        <v/>
      </c>
      <c r="N77" s="58" t="n">
        <v>73</v>
      </c>
      <c r="O77" s="61">
        <f>O76*$M$5</f>
        <v/>
      </c>
      <c r="P77" s="61">
        <f>P76*$M$5</f>
        <v/>
      </c>
      <c r="Q77" s="61">
        <f>Q76*$M$5</f>
        <v/>
      </c>
      <c r="R77" s="0">
        <f>ROUND((O77/O$5-1)*100000, 0)</f>
        <v/>
      </c>
      <c r="S77" s="0">
        <f>$O$5*(1+R77/100000)</f>
        <v/>
      </c>
    </row>
    <row r="78">
      <c r="B78" s="58" t="n">
        <v>74</v>
      </c>
      <c r="C78" s="61">
        <f>C77*$A$5</f>
        <v/>
      </c>
      <c r="D78" s="61">
        <f>D77*$A$5</f>
        <v/>
      </c>
      <c r="E78" s="61">
        <f>E77*$A$5</f>
        <v/>
      </c>
      <c r="F78" s="0">
        <f>ROUND((C78/C$5-1)*100000, 0)</f>
        <v/>
      </c>
      <c r="H78" s="58" t="n">
        <v>74</v>
      </c>
      <c r="I78" s="61">
        <f>I77*$G$5</f>
        <v/>
      </c>
      <c r="J78" s="61">
        <f>J77*$G$5</f>
        <v/>
      </c>
      <c r="K78" s="61">
        <f>K77*$G$5</f>
        <v/>
      </c>
      <c r="L78" s="0">
        <f>ROUND((I78/I$5-1)*100000, 0)</f>
        <v/>
      </c>
      <c r="N78" s="58" t="n">
        <v>74</v>
      </c>
      <c r="O78" s="61">
        <f>O77*$M$5</f>
        <v/>
      </c>
      <c r="P78" s="61">
        <f>P77*$M$5</f>
        <v/>
      </c>
      <c r="Q78" s="61">
        <f>Q77*$M$5</f>
        <v/>
      </c>
      <c r="R78" s="0">
        <f>ROUND((O78/O$5-1)*100000, 0)</f>
        <v/>
      </c>
      <c r="S78" s="0">
        <f>$O$5*(1+R78/100000)</f>
        <v/>
      </c>
    </row>
    <row r="79">
      <c r="B79" s="58" t="n">
        <v>75</v>
      </c>
      <c r="C79" s="61">
        <f>C78*$A$5</f>
        <v/>
      </c>
      <c r="D79" s="61">
        <f>D78*$A$5</f>
        <v/>
      </c>
      <c r="E79" s="61">
        <f>E78*$A$5</f>
        <v/>
      </c>
      <c r="F79" s="0">
        <f>ROUND((C79/C$5-1)*100000, 0)</f>
        <v/>
      </c>
      <c r="H79" s="58" t="n">
        <v>75</v>
      </c>
      <c r="I79" s="61">
        <f>I78*$G$5</f>
        <v/>
      </c>
      <c r="J79" s="61">
        <f>J78*$G$5</f>
        <v/>
      </c>
      <c r="K79" s="61">
        <f>K78*$G$5</f>
        <v/>
      </c>
      <c r="L79" s="0">
        <f>ROUND((I79/I$5-1)*100000, 0)</f>
        <v/>
      </c>
      <c r="N79" s="58" t="n">
        <v>75</v>
      </c>
      <c r="O79" s="61">
        <f>O78*$M$5</f>
        <v/>
      </c>
      <c r="P79" s="61">
        <f>P78*$M$5</f>
        <v/>
      </c>
      <c r="Q79" s="61">
        <f>Q78*$M$5</f>
        <v/>
      </c>
      <c r="R79" s="0">
        <f>ROUND((O79/O$5-1)*100000, 0)</f>
        <v/>
      </c>
      <c r="S79" s="0">
        <f>$O$5*(1+R79/100000)</f>
        <v/>
      </c>
    </row>
    <row r="80">
      <c r="B80" s="58" t="n">
        <v>76</v>
      </c>
      <c r="C80" s="61">
        <f>C79*$A$5</f>
        <v/>
      </c>
      <c r="D80" s="61">
        <f>D79*$A$5</f>
        <v/>
      </c>
      <c r="E80" s="61">
        <f>E79*$A$5</f>
        <v/>
      </c>
      <c r="F80" s="0">
        <f>ROUND((C80/C$5-1)*100000, 0)</f>
        <v/>
      </c>
      <c r="H80" s="58" t="n">
        <v>76</v>
      </c>
      <c r="I80" s="61">
        <f>I79*$G$5</f>
        <v/>
      </c>
      <c r="J80" s="61">
        <f>J79*$G$5</f>
        <v/>
      </c>
      <c r="K80" s="61">
        <f>K79*$G$5</f>
        <v/>
      </c>
      <c r="L80" s="0">
        <f>ROUND((I80/I$5-1)*100000, 0)</f>
        <v/>
      </c>
      <c r="N80" s="58" t="n">
        <v>76</v>
      </c>
      <c r="O80" s="61">
        <f>O79*$M$5</f>
        <v/>
      </c>
      <c r="P80" s="61">
        <f>P79*$M$5</f>
        <v/>
      </c>
      <c r="Q80" s="61">
        <f>Q79*$M$5</f>
        <v/>
      </c>
      <c r="R80" s="0">
        <f>ROUND((O80/O$5-1)*100000, 0)</f>
        <v/>
      </c>
      <c r="S80" s="0">
        <f>$O$5*(1+R80/100000)</f>
        <v/>
      </c>
    </row>
    <row r="81">
      <c r="B81" s="58" t="n">
        <v>77</v>
      </c>
      <c r="C81" s="61">
        <f>C80*$A$5</f>
        <v/>
      </c>
      <c r="D81" s="61">
        <f>D80*$A$5</f>
        <v/>
      </c>
      <c r="E81" s="61">
        <f>E80*$A$5</f>
        <v/>
      </c>
      <c r="F81" s="0">
        <f>ROUND((C81/C$5-1)*100000, 0)</f>
        <v/>
      </c>
      <c r="H81" s="58" t="n">
        <v>77</v>
      </c>
      <c r="I81" s="61">
        <f>I80*$G$5</f>
        <v/>
      </c>
      <c r="J81" s="61">
        <f>J80*$G$5</f>
        <v/>
      </c>
      <c r="K81" s="61">
        <f>K80*$G$5</f>
        <v/>
      </c>
      <c r="L81" s="0">
        <f>ROUND((I81/I$5-1)*100000, 0)</f>
        <v/>
      </c>
      <c r="N81" s="58" t="n">
        <v>77</v>
      </c>
      <c r="O81" s="61">
        <f>O80*$M$5</f>
        <v/>
      </c>
      <c r="P81" s="61">
        <f>P80*$M$5</f>
        <v/>
      </c>
      <c r="Q81" s="61">
        <f>Q80*$M$5</f>
        <v/>
      </c>
      <c r="R81" s="0">
        <f>ROUND((O81/O$5-1)*100000, 0)</f>
        <v/>
      </c>
      <c r="S81" s="0">
        <f>$O$5*(1+R81/100000)</f>
        <v/>
      </c>
    </row>
    <row r="82">
      <c r="B82" s="58" t="n">
        <v>78</v>
      </c>
      <c r="C82" s="61">
        <f>C81*$A$5</f>
        <v/>
      </c>
      <c r="D82" s="61">
        <f>D81*$A$5</f>
        <v/>
      </c>
      <c r="E82" s="61">
        <f>E81*$A$5</f>
        <v/>
      </c>
      <c r="F82" s="0">
        <f>ROUND((C82/C$5-1)*100000, 0)</f>
        <v/>
      </c>
      <c r="H82" s="58" t="n">
        <v>78</v>
      </c>
      <c r="I82" s="61">
        <f>I81*$G$5</f>
        <v/>
      </c>
      <c r="J82" s="61">
        <f>J81*$G$5</f>
        <v/>
      </c>
      <c r="K82" s="61">
        <f>K81*$G$5</f>
        <v/>
      </c>
      <c r="L82" s="0">
        <f>ROUND((I82/I$5-1)*100000, 0)</f>
        <v/>
      </c>
      <c r="N82" s="58" t="n">
        <v>78</v>
      </c>
      <c r="O82" s="61">
        <f>O81*$M$5</f>
        <v/>
      </c>
      <c r="P82" s="61">
        <f>P81*$M$5</f>
        <v/>
      </c>
      <c r="Q82" s="61">
        <f>Q81*$M$5</f>
        <v/>
      </c>
      <c r="R82" s="0">
        <f>ROUND((O82/O$5-1)*100000, 0)</f>
        <v/>
      </c>
      <c r="S82" s="0">
        <f>$O$5*(1+R82/100000)</f>
        <v/>
      </c>
    </row>
    <row r="83">
      <c r="B83" s="58" t="n">
        <v>79</v>
      </c>
      <c r="C83" s="61">
        <f>C82*$A$5</f>
        <v/>
      </c>
      <c r="D83" s="61">
        <f>D82*$A$5</f>
        <v/>
      </c>
      <c r="E83" s="61">
        <f>E82*$A$5</f>
        <v/>
      </c>
      <c r="F83" s="0">
        <f>ROUND((C83/C$5-1)*100000, 0)</f>
        <v/>
      </c>
      <c r="H83" s="58" t="n">
        <v>79</v>
      </c>
      <c r="I83" s="61">
        <f>I82*$G$5</f>
        <v/>
      </c>
      <c r="J83" s="61">
        <f>J82*$G$5</f>
        <v/>
      </c>
      <c r="K83" s="61">
        <f>K82*$G$5</f>
        <v/>
      </c>
      <c r="L83" s="0">
        <f>ROUND((I83/I$5-1)*100000, 0)</f>
        <v/>
      </c>
      <c r="N83" s="58" t="n">
        <v>79</v>
      </c>
      <c r="O83" s="61">
        <f>O82*$M$5</f>
        <v/>
      </c>
      <c r="P83" s="61">
        <f>P82*$M$5</f>
        <v/>
      </c>
      <c r="Q83" s="61">
        <f>Q82*$M$5</f>
        <v/>
      </c>
      <c r="R83" s="0">
        <f>ROUND((O83/O$5-1)*100000, 0)</f>
        <v/>
      </c>
      <c r="S83" s="0">
        <f>$O$5*(1+R83/100000)</f>
        <v/>
      </c>
    </row>
    <row r="84">
      <c r="B84" s="58" t="n">
        <v>80</v>
      </c>
      <c r="C84" s="61">
        <f>C83*$A$5</f>
        <v/>
      </c>
      <c r="D84" s="61">
        <f>D83*$A$5</f>
        <v/>
      </c>
      <c r="E84" s="61">
        <f>E83*$A$5</f>
        <v/>
      </c>
      <c r="F84" s="0">
        <f>ROUND((C84/C$5-1)*100000, 0)</f>
        <v/>
      </c>
      <c r="H84" s="58" t="n">
        <v>80</v>
      </c>
      <c r="I84" s="61">
        <f>I83*$G$5</f>
        <v/>
      </c>
      <c r="J84" s="61">
        <f>J83*$G$5</f>
        <v/>
      </c>
      <c r="K84" s="61">
        <f>K83*$G$5</f>
        <v/>
      </c>
      <c r="L84" s="0">
        <f>ROUND((I84/I$5-1)*100000, 0)</f>
        <v/>
      </c>
      <c r="N84" s="58" t="n">
        <v>80</v>
      </c>
      <c r="O84" s="61">
        <f>O83*$M$5</f>
        <v/>
      </c>
      <c r="P84" s="61">
        <f>P83*$M$5</f>
        <v/>
      </c>
      <c r="Q84" s="61">
        <f>Q83*$M$5</f>
        <v/>
      </c>
      <c r="R84" s="0">
        <f>ROUND((O84/O$5-1)*100000, 0)</f>
        <v/>
      </c>
      <c r="S84" s="0">
        <f>$O$5*(1+R84/100000)</f>
        <v/>
      </c>
    </row>
    <row r="85">
      <c r="B85" s="58" t="n">
        <v>81</v>
      </c>
      <c r="C85" s="61">
        <f>C84*$A$5</f>
        <v/>
      </c>
      <c r="D85" s="61">
        <f>D84*$A$5</f>
        <v/>
      </c>
      <c r="E85" s="61">
        <f>E84*$A$5</f>
        <v/>
      </c>
      <c r="F85" s="0">
        <f>ROUND((C85/C$5-1)*100000, 0)</f>
        <v/>
      </c>
      <c r="H85" s="58" t="n">
        <v>81</v>
      </c>
      <c r="I85" s="61">
        <f>I84*$G$5</f>
        <v/>
      </c>
      <c r="J85" s="61">
        <f>J84*$G$5</f>
        <v/>
      </c>
      <c r="K85" s="61">
        <f>K84*$G$5</f>
        <v/>
      </c>
      <c r="L85" s="0">
        <f>ROUND((I85/I$5-1)*100000, 0)</f>
        <v/>
      </c>
      <c r="N85" s="58" t="n">
        <v>81</v>
      </c>
      <c r="O85" s="61">
        <f>O84*$M$5</f>
        <v/>
      </c>
      <c r="P85" s="61">
        <f>P84*$M$5</f>
        <v/>
      </c>
      <c r="Q85" s="61">
        <f>Q84*$M$5</f>
        <v/>
      </c>
      <c r="R85" s="0">
        <f>ROUND((O85/O$5-1)*100000, 0)</f>
        <v/>
      </c>
      <c r="S85" s="0">
        <f>$O$5*(1+R85/100000)</f>
        <v/>
      </c>
    </row>
    <row r="86">
      <c r="B86" s="58" t="n">
        <v>82</v>
      </c>
      <c r="C86" s="61">
        <f>C85*$A$5</f>
        <v/>
      </c>
      <c r="D86" s="61">
        <f>D85*$A$5</f>
        <v/>
      </c>
      <c r="E86" s="61">
        <f>E85*$A$5</f>
        <v/>
      </c>
      <c r="F86" s="0">
        <f>ROUND((C86/C$5-1)*100000, 0)</f>
        <v/>
      </c>
      <c r="H86" s="58" t="n">
        <v>82</v>
      </c>
      <c r="I86" s="61">
        <f>I85*$G$5</f>
        <v/>
      </c>
      <c r="J86" s="61">
        <f>J85*$G$5</f>
        <v/>
      </c>
      <c r="K86" s="61">
        <f>K85*$G$5</f>
        <v/>
      </c>
      <c r="L86" s="0">
        <f>ROUND((I86/I$5-1)*100000, 0)</f>
        <v/>
      </c>
      <c r="N86" s="58" t="n">
        <v>82</v>
      </c>
      <c r="O86" s="61">
        <f>O85*$M$5</f>
        <v/>
      </c>
      <c r="P86" s="61">
        <f>P85*$M$5</f>
        <v/>
      </c>
      <c r="Q86" s="61">
        <f>Q85*$M$5</f>
        <v/>
      </c>
      <c r="R86" s="0">
        <f>ROUND((O86/O$5-1)*100000, 0)</f>
        <v/>
      </c>
      <c r="S86" s="0">
        <f>$O$5*(1+R86/100000)</f>
        <v/>
      </c>
    </row>
    <row r="87">
      <c r="B87" s="58" t="n">
        <v>83</v>
      </c>
      <c r="C87" s="61">
        <f>C86*$A$5</f>
        <v/>
      </c>
      <c r="D87" s="61">
        <f>D86*$A$5</f>
        <v/>
      </c>
      <c r="E87" s="61">
        <f>E86*$A$5</f>
        <v/>
      </c>
      <c r="F87" s="0">
        <f>ROUND((C87/C$5-1)*100000, 0)</f>
        <v/>
      </c>
      <c r="H87" s="58" t="n">
        <v>83</v>
      </c>
      <c r="I87" s="61">
        <f>I86*$G$5</f>
        <v/>
      </c>
      <c r="J87" s="61">
        <f>J86*$G$5</f>
        <v/>
      </c>
      <c r="K87" s="61">
        <f>K86*$G$5</f>
        <v/>
      </c>
      <c r="L87" s="0">
        <f>ROUND((I87/I$5-1)*100000, 0)</f>
        <v/>
      </c>
      <c r="N87" s="58" t="n">
        <v>83</v>
      </c>
      <c r="O87" s="61">
        <f>O86*$M$5</f>
        <v/>
      </c>
      <c r="P87" s="61">
        <f>P86*$M$5</f>
        <v/>
      </c>
      <c r="Q87" s="61">
        <f>Q86*$M$5</f>
        <v/>
      </c>
      <c r="R87" s="0">
        <f>ROUND((O87/O$5-1)*100000, 0)</f>
        <v/>
      </c>
      <c r="S87" s="0">
        <f>$O$5*(1+R87/100000)</f>
        <v/>
      </c>
    </row>
    <row r="88">
      <c r="B88" s="58" t="n">
        <v>84</v>
      </c>
      <c r="C88" s="61">
        <f>C87*$A$5</f>
        <v/>
      </c>
      <c r="D88" s="61">
        <f>D87*$A$5</f>
        <v/>
      </c>
      <c r="E88" s="61">
        <f>E87*$A$5</f>
        <v/>
      </c>
      <c r="F88" s="0">
        <f>ROUND((C88/C$5-1)*100000, 0)</f>
        <v/>
      </c>
      <c r="H88" s="58" t="n">
        <v>84</v>
      </c>
      <c r="I88" s="61">
        <f>I87*$G$5</f>
        <v/>
      </c>
      <c r="J88" s="61">
        <f>J87*$G$5</f>
        <v/>
      </c>
      <c r="K88" s="61">
        <f>K87*$G$5</f>
        <v/>
      </c>
      <c r="L88" s="0">
        <f>ROUND((I88/I$5-1)*100000, 0)</f>
        <v/>
      </c>
      <c r="N88" s="58" t="n">
        <v>84</v>
      </c>
      <c r="O88" s="61">
        <f>O87*$M$5</f>
        <v/>
      </c>
      <c r="P88" s="61">
        <f>P87*$M$5</f>
        <v/>
      </c>
      <c r="Q88" s="61">
        <f>Q87*$M$5</f>
        <v/>
      </c>
      <c r="R88" s="0">
        <f>ROUND((O88/O$5-1)*100000, 0)</f>
        <v/>
      </c>
      <c r="S88" s="0">
        <f>$O$5*(1+R88/100000)</f>
        <v/>
      </c>
    </row>
    <row r="89">
      <c r="B89" s="58" t="n">
        <v>85</v>
      </c>
      <c r="C89" s="61">
        <f>C88*$A$5</f>
        <v/>
      </c>
      <c r="D89" s="61">
        <f>D88*$A$5</f>
        <v/>
      </c>
      <c r="E89" s="61">
        <f>E88*$A$5</f>
        <v/>
      </c>
      <c r="F89" s="0">
        <f>ROUND((C89/C$5-1)*100000, 0)</f>
        <v/>
      </c>
      <c r="H89" s="58" t="n">
        <v>85</v>
      </c>
      <c r="I89" s="61">
        <f>I88*$G$5</f>
        <v/>
      </c>
      <c r="J89" s="61">
        <f>J88*$G$5</f>
        <v/>
      </c>
      <c r="K89" s="61">
        <f>K88*$G$5</f>
        <v/>
      </c>
      <c r="L89" s="0">
        <f>ROUND((I89/I$5-1)*100000, 0)</f>
        <v/>
      </c>
      <c r="N89" s="58" t="n">
        <v>85</v>
      </c>
      <c r="O89" s="61">
        <f>O88*$M$5</f>
        <v/>
      </c>
      <c r="P89" s="61">
        <f>P88*$M$5</f>
        <v/>
      </c>
      <c r="Q89" s="61">
        <f>Q88*$M$5</f>
        <v/>
      </c>
      <c r="R89" s="0">
        <f>ROUND((O89/O$5-1)*100000, 0)</f>
        <v/>
      </c>
      <c r="S89" s="0">
        <f>$O$5*(1+R89/100000)</f>
        <v/>
      </c>
    </row>
    <row r="90">
      <c r="B90" s="58" t="n">
        <v>86</v>
      </c>
      <c r="C90" s="61">
        <f>C89*$A$5</f>
        <v/>
      </c>
      <c r="D90" s="61">
        <f>D89*$A$5</f>
        <v/>
      </c>
      <c r="E90" s="61">
        <f>E89*$A$5</f>
        <v/>
      </c>
      <c r="F90" s="0">
        <f>ROUND((C90/C$5-1)*100000, 0)</f>
        <v/>
      </c>
      <c r="H90" s="58" t="n">
        <v>86</v>
      </c>
      <c r="I90" s="61">
        <f>I89*$G$5</f>
        <v/>
      </c>
      <c r="J90" s="61">
        <f>J89*$G$5</f>
        <v/>
      </c>
      <c r="K90" s="61">
        <f>K89*$G$5</f>
        <v/>
      </c>
      <c r="L90" s="0">
        <f>ROUND((I90/I$5-1)*100000, 0)</f>
        <v/>
      </c>
      <c r="N90" s="58" t="n">
        <v>86</v>
      </c>
      <c r="O90" s="61">
        <f>O89*$M$5</f>
        <v/>
      </c>
      <c r="P90" s="61">
        <f>P89*$M$5</f>
        <v/>
      </c>
      <c r="Q90" s="61">
        <f>Q89*$M$5</f>
        <v/>
      </c>
      <c r="R90" s="0">
        <f>ROUND((O90/O$5-1)*100000, 0)</f>
        <v/>
      </c>
      <c r="S90" s="0">
        <f>$O$5*(1+R90/100000)</f>
        <v/>
      </c>
    </row>
    <row r="91">
      <c r="B91" s="58" t="n">
        <v>87</v>
      </c>
      <c r="C91" s="61">
        <f>C90*$A$5</f>
        <v/>
      </c>
      <c r="D91" s="61">
        <f>D90*$A$5</f>
        <v/>
      </c>
      <c r="E91" s="61">
        <f>E90*$A$5</f>
        <v/>
      </c>
      <c r="F91" s="0">
        <f>ROUND((C91/C$5-1)*100000, 0)</f>
        <v/>
      </c>
      <c r="H91" s="58" t="n">
        <v>87</v>
      </c>
      <c r="I91" s="61">
        <f>I90*$G$5</f>
        <v/>
      </c>
      <c r="J91" s="61">
        <f>J90*$G$5</f>
        <v/>
      </c>
      <c r="K91" s="61">
        <f>K90*$G$5</f>
        <v/>
      </c>
      <c r="L91" s="0">
        <f>ROUND((I91/I$5-1)*100000, 0)</f>
        <v/>
      </c>
      <c r="N91" s="58" t="n">
        <v>87</v>
      </c>
      <c r="O91" s="61">
        <f>O90*$M$5</f>
        <v/>
      </c>
      <c r="P91" s="61">
        <f>P90*$M$5</f>
        <v/>
      </c>
      <c r="Q91" s="61">
        <f>Q90*$M$5</f>
        <v/>
      </c>
      <c r="R91" s="0">
        <f>ROUND((O91/O$5-1)*100000, 0)</f>
        <v/>
      </c>
      <c r="S91" s="0">
        <f>$O$5*(1+R91/100000)</f>
        <v/>
      </c>
    </row>
    <row r="92">
      <c r="B92" s="58" t="n">
        <v>88</v>
      </c>
      <c r="C92" s="61">
        <f>C91*$A$5</f>
        <v/>
      </c>
      <c r="D92" s="61">
        <f>D91*$A$5</f>
        <v/>
      </c>
      <c r="E92" s="61">
        <f>E91*$A$5</f>
        <v/>
      </c>
      <c r="F92" s="0">
        <f>ROUND((C92/C$5-1)*100000, 0)</f>
        <v/>
      </c>
      <c r="H92" s="58" t="n">
        <v>88</v>
      </c>
      <c r="I92" s="61">
        <f>I91*$G$5</f>
        <v/>
      </c>
      <c r="J92" s="61">
        <f>J91*$G$5</f>
        <v/>
      </c>
      <c r="K92" s="61">
        <f>K91*$G$5</f>
        <v/>
      </c>
      <c r="L92" s="0">
        <f>ROUND((I92/I$5-1)*100000, 0)</f>
        <v/>
      </c>
      <c r="N92" s="58" t="n">
        <v>88</v>
      </c>
      <c r="O92" s="61">
        <f>O91*$M$5</f>
        <v/>
      </c>
      <c r="P92" s="61">
        <f>P91*$M$5</f>
        <v/>
      </c>
      <c r="Q92" s="61">
        <f>Q91*$M$5</f>
        <v/>
      </c>
      <c r="R92" s="0">
        <f>ROUND((O92/O$5-1)*100000, 0)</f>
        <v/>
      </c>
      <c r="S92" s="0">
        <f>$O$5*(1+R92/100000)</f>
        <v/>
      </c>
    </row>
    <row r="93">
      <c r="B93" s="58" t="n">
        <v>89</v>
      </c>
      <c r="C93" s="61">
        <f>C92*$A$5</f>
        <v/>
      </c>
      <c r="D93" s="61">
        <f>D92*$A$5</f>
        <v/>
      </c>
      <c r="E93" s="61">
        <f>E92*$A$5</f>
        <v/>
      </c>
      <c r="F93" s="0">
        <f>ROUND((C93/C$5-1)*100000, 0)</f>
        <v/>
      </c>
      <c r="H93" s="58" t="n">
        <v>89</v>
      </c>
      <c r="I93" s="61">
        <f>I92*$G$5</f>
        <v/>
      </c>
      <c r="J93" s="61">
        <f>J92*$G$5</f>
        <v/>
      </c>
      <c r="K93" s="61">
        <f>K92*$G$5</f>
        <v/>
      </c>
      <c r="L93" s="0">
        <f>ROUND((I93/I$5-1)*100000, 0)</f>
        <v/>
      </c>
      <c r="N93" s="58" t="n">
        <v>89</v>
      </c>
      <c r="O93" s="61">
        <f>O92*$M$5</f>
        <v/>
      </c>
      <c r="P93" s="61">
        <f>P92*$M$5</f>
        <v/>
      </c>
      <c r="Q93" s="61">
        <f>Q92*$M$5</f>
        <v/>
      </c>
      <c r="R93" s="0">
        <f>ROUND((O93/O$5-1)*100000, 0)</f>
        <v/>
      </c>
      <c r="S93" s="0">
        <f>$O$5*(1+R93/100000)</f>
        <v/>
      </c>
    </row>
    <row r="94">
      <c r="B94" s="58" t="n">
        <v>90</v>
      </c>
      <c r="C94" s="61">
        <f>C93*$A$5</f>
        <v/>
      </c>
      <c r="D94" s="61">
        <f>D93*$A$5</f>
        <v/>
      </c>
      <c r="E94" s="61">
        <f>E93*$A$5</f>
        <v/>
      </c>
      <c r="F94" s="0">
        <f>ROUND((C94/C$5-1)*100000, 0)</f>
        <v/>
      </c>
      <c r="H94" s="58" t="n">
        <v>90</v>
      </c>
      <c r="I94" s="61">
        <f>I93*$G$5</f>
        <v/>
      </c>
      <c r="J94" s="61">
        <f>J93*$G$5</f>
        <v/>
      </c>
      <c r="K94" s="61">
        <f>K93*$G$5</f>
        <v/>
      </c>
      <c r="L94" s="0">
        <f>ROUND((I94/I$5-1)*100000, 0)</f>
        <v/>
      </c>
      <c r="N94" s="58" t="n">
        <v>90</v>
      </c>
      <c r="O94" s="61">
        <f>O93*$M$5</f>
        <v/>
      </c>
      <c r="P94" s="61">
        <f>P93*$M$5</f>
        <v/>
      </c>
      <c r="Q94" s="61">
        <f>Q93*$M$5</f>
        <v/>
      </c>
      <c r="R94" s="0">
        <f>ROUND((O94/O$5-1)*100000, 0)</f>
        <v/>
      </c>
      <c r="S94" s="0">
        <f>$O$5*(1+R94/100000)</f>
        <v/>
      </c>
    </row>
    <row r="95">
      <c r="B95" s="58" t="n">
        <v>91</v>
      </c>
      <c r="C95" s="61">
        <f>C94*$A$5</f>
        <v/>
      </c>
      <c r="D95" s="61">
        <f>D94*$A$5</f>
        <v/>
      </c>
      <c r="E95" s="61">
        <f>E94*$A$5</f>
        <v/>
      </c>
      <c r="F95" s="0">
        <f>ROUND((C95/C$5-1)*100000, 0)</f>
        <v/>
      </c>
      <c r="H95" s="58" t="n">
        <v>91</v>
      </c>
      <c r="I95" s="61">
        <f>I94*$G$5</f>
        <v/>
      </c>
      <c r="J95" s="61">
        <f>J94*$G$5</f>
        <v/>
      </c>
      <c r="K95" s="61">
        <f>K94*$G$5</f>
        <v/>
      </c>
      <c r="L95" s="0">
        <f>ROUND((I95/I$5-1)*100000, 0)</f>
        <v/>
      </c>
      <c r="N95" s="58" t="n">
        <v>91</v>
      </c>
      <c r="O95" s="61">
        <f>O94*$M$5</f>
        <v/>
      </c>
      <c r="P95" s="61">
        <f>P94*$M$5</f>
        <v/>
      </c>
      <c r="Q95" s="61">
        <f>Q94*$M$5</f>
        <v/>
      </c>
      <c r="R95" s="0">
        <f>ROUND((O95/O$5-1)*100000, 0)</f>
        <v/>
      </c>
      <c r="S95" s="0">
        <f>$O$5*(1+R95/100000)</f>
        <v/>
      </c>
    </row>
    <row r="96">
      <c r="B96" s="58" t="n">
        <v>92</v>
      </c>
      <c r="C96" s="61">
        <f>C95*$A$5</f>
        <v/>
      </c>
      <c r="D96" s="61">
        <f>D95*$A$5</f>
        <v/>
      </c>
      <c r="E96" s="61">
        <f>E95*$A$5</f>
        <v/>
      </c>
      <c r="F96" s="0">
        <f>ROUND((C96/C$5-1)*100000, 0)</f>
        <v/>
      </c>
      <c r="H96" s="58" t="n">
        <v>92</v>
      </c>
      <c r="I96" s="61">
        <f>I95*$G$5</f>
        <v/>
      </c>
      <c r="J96" s="61">
        <f>J95*$G$5</f>
        <v/>
      </c>
      <c r="K96" s="61">
        <f>K95*$G$5</f>
        <v/>
      </c>
      <c r="L96" s="0">
        <f>ROUND((I96/I$5-1)*100000, 0)</f>
        <v/>
      </c>
      <c r="N96" s="58" t="n">
        <v>92</v>
      </c>
      <c r="O96" s="61">
        <f>O95*$M$5</f>
        <v/>
      </c>
      <c r="P96" s="61">
        <f>P95*$M$5</f>
        <v/>
      </c>
      <c r="Q96" s="61">
        <f>Q95*$M$5</f>
        <v/>
      </c>
      <c r="R96" s="0">
        <f>ROUND((O96/O$5-1)*100000, 0)</f>
        <v/>
      </c>
      <c r="S96" s="0">
        <f>$O$5*(1+R96/100000)</f>
        <v/>
      </c>
    </row>
    <row r="97">
      <c r="B97" s="58" t="n">
        <v>93</v>
      </c>
      <c r="C97" s="61">
        <f>C96*$A$5</f>
        <v/>
      </c>
      <c r="D97" s="61">
        <f>D96*$A$5</f>
        <v/>
      </c>
      <c r="E97" s="61">
        <f>E96*$A$5</f>
        <v/>
      </c>
      <c r="F97" s="0">
        <f>ROUND((C97/C$5-1)*100000, 0)</f>
        <v/>
      </c>
      <c r="H97" s="58" t="n">
        <v>93</v>
      </c>
      <c r="I97" s="61">
        <f>I96*$G$5</f>
        <v/>
      </c>
      <c r="J97" s="61">
        <f>J96*$G$5</f>
        <v/>
      </c>
      <c r="K97" s="61">
        <f>K96*$G$5</f>
        <v/>
      </c>
      <c r="L97" s="0">
        <f>ROUND((I97/I$5-1)*100000, 0)</f>
        <v/>
      </c>
      <c r="N97" s="58" t="n">
        <v>93</v>
      </c>
      <c r="O97" s="61">
        <f>O96*$M$5</f>
        <v/>
      </c>
      <c r="P97" s="61">
        <f>P96*$M$5</f>
        <v/>
      </c>
      <c r="Q97" s="61">
        <f>Q96*$M$5</f>
        <v/>
      </c>
      <c r="R97" s="0">
        <f>ROUND((O97/O$5-1)*100000, 0)</f>
        <v/>
      </c>
      <c r="S97" s="0">
        <f>$O$5*(1+R97/100000)</f>
        <v/>
      </c>
    </row>
    <row r="98">
      <c r="B98" s="58" t="n">
        <v>94</v>
      </c>
      <c r="C98" s="61">
        <f>C97*$A$5</f>
        <v/>
      </c>
      <c r="D98" s="61">
        <f>D97*$A$5</f>
        <v/>
      </c>
      <c r="E98" s="61">
        <f>E97*$A$5</f>
        <v/>
      </c>
      <c r="F98" s="0">
        <f>ROUND((C98/C$5-1)*100000, 0)</f>
        <v/>
      </c>
      <c r="H98" s="58" t="n">
        <v>94</v>
      </c>
      <c r="I98" s="61">
        <f>I97*$G$5</f>
        <v/>
      </c>
      <c r="J98" s="61">
        <f>J97*$G$5</f>
        <v/>
      </c>
      <c r="K98" s="61">
        <f>K97*$G$5</f>
        <v/>
      </c>
      <c r="L98" s="0">
        <f>ROUND((I98/I$5-1)*100000, 0)</f>
        <v/>
      </c>
      <c r="N98" s="58" t="n">
        <v>94</v>
      </c>
      <c r="O98" s="61">
        <f>O97*$M$5</f>
        <v/>
      </c>
      <c r="P98" s="61">
        <f>P97*$M$5</f>
        <v/>
      </c>
      <c r="Q98" s="61">
        <f>Q97*$M$5</f>
        <v/>
      </c>
      <c r="R98" s="0">
        <f>ROUND((O98/O$5-1)*100000, 0)</f>
        <v/>
      </c>
      <c r="S98" s="0">
        <f>$O$5*(1+R98/100000)</f>
        <v/>
      </c>
    </row>
    <row r="99">
      <c r="B99" s="58" t="n">
        <v>95</v>
      </c>
      <c r="C99" s="61">
        <f>C98*$A$5</f>
        <v/>
      </c>
      <c r="D99" s="61">
        <f>D98*$A$5</f>
        <v/>
      </c>
      <c r="E99" s="61">
        <f>E98*$A$5</f>
        <v/>
      </c>
      <c r="F99" s="0">
        <f>ROUND((C99/C$5-1)*100000, 0)</f>
        <v/>
      </c>
      <c r="H99" s="58" t="n">
        <v>95</v>
      </c>
      <c r="I99" s="61">
        <f>I98*$G$5</f>
        <v/>
      </c>
      <c r="J99" s="61">
        <f>J98*$G$5</f>
        <v/>
      </c>
      <c r="K99" s="61">
        <f>K98*$G$5</f>
        <v/>
      </c>
      <c r="L99" s="0">
        <f>ROUND((I99/I$5-1)*100000, 0)</f>
        <v/>
      </c>
      <c r="N99" s="58" t="n">
        <v>95</v>
      </c>
      <c r="O99" s="61">
        <f>O98*$M$5</f>
        <v/>
      </c>
      <c r="P99" s="61">
        <f>P98*$M$5</f>
        <v/>
      </c>
      <c r="Q99" s="61">
        <f>Q98*$M$5</f>
        <v/>
      </c>
      <c r="R99" s="0">
        <f>ROUND((O99/O$5-1)*100000, 0)</f>
        <v/>
      </c>
      <c r="S99" s="0">
        <f>$O$5*(1+R99/100000)</f>
        <v/>
      </c>
    </row>
    <row r="100">
      <c r="B100" s="58" t="n">
        <v>96</v>
      </c>
      <c r="C100" s="61">
        <f>C99*$A$5</f>
        <v/>
      </c>
      <c r="D100" s="61">
        <f>D99*$A$5</f>
        <v/>
      </c>
      <c r="E100" s="61">
        <f>E99*$A$5</f>
        <v/>
      </c>
      <c r="F100" s="0">
        <f>ROUND((C100/C$5-1)*100000, 0)</f>
        <v/>
      </c>
      <c r="H100" s="58" t="n">
        <v>96</v>
      </c>
      <c r="I100" s="61">
        <f>I99*$G$5</f>
        <v/>
      </c>
      <c r="J100" s="61">
        <f>J99*$G$5</f>
        <v/>
      </c>
      <c r="K100" s="61">
        <f>K99*$G$5</f>
        <v/>
      </c>
      <c r="L100" s="0">
        <f>ROUND((I100/I$5-1)*100000, 0)</f>
        <v/>
      </c>
      <c r="N100" s="58" t="n">
        <v>96</v>
      </c>
      <c r="O100" s="61">
        <f>O99*$M$5</f>
        <v/>
      </c>
      <c r="P100" s="61">
        <f>P99*$M$5</f>
        <v/>
      </c>
      <c r="Q100" s="61">
        <f>Q99*$M$5</f>
        <v/>
      </c>
      <c r="R100" s="0">
        <f>ROUND((O100/O$5-1)*100000, 0)</f>
        <v/>
      </c>
      <c r="S100" s="0">
        <f>$O$5*(1+R100/100000)</f>
        <v/>
      </c>
    </row>
    <row r="101">
      <c r="B101" s="58" t="n">
        <v>97</v>
      </c>
      <c r="C101" s="61">
        <f>C100*$A$5</f>
        <v/>
      </c>
      <c r="D101" s="61">
        <f>D100*$A$5</f>
        <v/>
      </c>
      <c r="E101" s="61">
        <f>E100*$A$5</f>
        <v/>
      </c>
      <c r="F101" s="0">
        <f>ROUND((C101/C$5-1)*100000, 0)</f>
        <v/>
      </c>
      <c r="H101" s="58" t="n">
        <v>97</v>
      </c>
      <c r="I101" s="61">
        <f>I100*$G$5</f>
        <v/>
      </c>
      <c r="J101" s="61">
        <f>J100*$G$5</f>
        <v/>
      </c>
      <c r="K101" s="61">
        <f>K100*$G$5</f>
        <v/>
      </c>
      <c r="L101" s="0">
        <f>ROUND((I101/I$5-1)*100000, 0)</f>
        <v/>
      </c>
      <c r="N101" s="58" t="n">
        <v>97</v>
      </c>
      <c r="O101" s="61">
        <f>O100*$M$5</f>
        <v/>
      </c>
      <c r="P101" s="61">
        <f>P100*$M$5</f>
        <v/>
      </c>
      <c r="Q101" s="61">
        <f>Q100*$M$5</f>
        <v/>
      </c>
      <c r="R101" s="0">
        <f>ROUND((O101/O$5-1)*100000, 0)</f>
        <v/>
      </c>
      <c r="S101" s="0">
        <f>$O$5*(1+R101/100000)</f>
        <v/>
      </c>
    </row>
    <row r="102">
      <c r="B102" s="58" t="n">
        <v>98</v>
      </c>
      <c r="C102" s="61">
        <f>C101*$A$5</f>
        <v/>
      </c>
      <c r="D102" s="61">
        <f>D101*$A$5</f>
        <v/>
      </c>
      <c r="E102" s="61">
        <f>E101*$A$5</f>
        <v/>
      </c>
      <c r="F102" s="0">
        <f>ROUND((C102/C$5-1)*100000, 0)</f>
        <v/>
      </c>
      <c r="H102" s="58" t="n">
        <v>98</v>
      </c>
      <c r="I102" s="61">
        <f>I101*$G$5</f>
        <v/>
      </c>
      <c r="J102" s="61">
        <f>J101*$G$5</f>
        <v/>
      </c>
      <c r="K102" s="61">
        <f>K101*$G$5</f>
        <v/>
      </c>
      <c r="L102" s="0">
        <f>ROUND((I102/I$5-1)*100000, 0)</f>
        <v/>
      </c>
      <c r="N102" s="58" t="n">
        <v>98</v>
      </c>
      <c r="O102" s="61">
        <f>O101*$M$5</f>
        <v/>
      </c>
      <c r="P102" s="61">
        <f>P101*$M$5</f>
        <v/>
      </c>
      <c r="Q102" s="61">
        <f>Q101*$M$5</f>
        <v/>
      </c>
      <c r="R102" s="0">
        <f>ROUND((O102/O$5-1)*100000, 0)</f>
        <v/>
      </c>
      <c r="S102" s="0">
        <f>$O$5*(1+R102/100000)</f>
        <v/>
      </c>
    </row>
    <row r="103">
      <c r="B103" s="58" t="n">
        <v>99</v>
      </c>
      <c r="C103" s="61">
        <f>C102*$A$5</f>
        <v/>
      </c>
      <c r="D103" s="61">
        <f>D102*$A$5</f>
        <v/>
      </c>
      <c r="E103" s="61">
        <f>E102*$A$5</f>
        <v/>
      </c>
      <c r="F103" s="0">
        <f>ROUND((C103/C$5-1)*100000, 0)</f>
        <v/>
      </c>
      <c r="H103" s="58" t="n">
        <v>99</v>
      </c>
      <c r="I103" s="61">
        <f>I102*$G$5</f>
        <v/>
      </c>
      <c r="J103" s="61">
        <f>J102*$G$5</f>
        <v/>
      </c>
      <c r="K103" s="61">
        <f>K102*$G$5</f>
        <v/>
      </c>
      <c r="L103" s="0">
        <f>ROUND((I103/I$5-1)*100000, 0)</f>
        <v/>
      </c>
      <c r="N103" s="58" t="n">
        <v>99</v>
      </c>
      <c r="O103" s="61">
        <f>O102*$M$5</f>
        <v/>
      </c>
      <c r="P103" s="61">
        <f>P102*$M$5</f>
        <v/>
      </c>
      <c r="Q103" s="61">
        <f>Q102*$M$5</f>
        <v/>
      </c>
      <c r="R103" s="0">
        <f>ROUND((O103/O$5-1)*100000, 0)</f>
        <v/>
      </c>
      <c r="S103" s="0">
        <f>$O$5*(1+R103/100000)</f>
        <v/>
      </c>
    </row>
    <row r="104">
      <c r="B104" s="58" t="n">
        <v>100</v>
      </c>
      <c r="C104" s="61">
        <f>C103*$A$5</f>
        <v/>
      </c>
      <c r="D104" s="61">
        <f>D103*$A$5</f>
        <v/>
      </c>
      <c r="E104" s="61">
        <f>E103*$A$5</f>
        <v/>
      </c>
      <c r="F104" s="0">
        <f>ROUND((C104/C$5-1)*100000, 0)</f>
        <v/>
      </c>
      <c r="H104" s="58" t="n">
        <v>100</v>
      </c>
      <c r="I104" s="61">
        <f>I103*$G$5</f>
        <v/>
      </c>
      <c r="J104" s="61">
        <f>J103*$G$5</f>
        <v/>
      </c>
      <c r="K104" s="61">
        <f>K103*$G$5</f>
        <v/>
      </c>
      <c r="L104" s="0">
        <f>ROUND((I104/I$5-1)*100000, 0)</f>
        <v/>
      </c>
      <c r="N104" s="58" t="n">
        <v>100</v>
      </c>
      <c r="O104" s="61">
        <f>O103*$M$5</f>
        <v/>
      </c>
      <c r="P104" s="61">
        <f>P103*$M$5</f>
        <v/>
      </c>
      <c r="Q104" s="61">
        <f>Q103*$M$5</f>
        <v/>
      </c>
      <c r="R104" s="0">
        <f>ROUND((O104/O$5-1)*100000, 0)</f>
        <v/>
      </c>
      <c r="S104" s="0">
        <f>$O$5*(1+R104/100000)</f>
        <v/>
      </c>
    </row>
    <row r="105">
      <c r="B105" s="58" t="n">
        <v>101</v>
      </c>
      <c r="C105" s="61">
        <f>C104*$A$5</f>
        <v/>
      </c>
      <c r="D105" s="61">
        <f>D104*$A$5</f>
        <v/>
      </c>
      <c r="E105" s="61">
        <f>E104*$A$5</f>
        <v/>
      </c>
      <c r="F105" s="0">
        <f>ROUND((C105/C$5-1)*100000, 0)</f>
        <v/>
      </c>
      <c r="H105" s="58" t="n">
        <v>101</v>
      </c>
      <c r="I105" s="61">
        <f>I104*$G$5</f>
        <v/>
      </c>
      <c r="J105" s="61">
        <f>J104*$G$5</f>
        <v/>
      </c>
      <c r="K105" s="61">
        <f>K104*$G$5</f>
        <v/>
      </c>
      <c r="L105" s="0">
        <f>ROUND((I105/I$5-1)*100000, 0)</f>
        <v/>
      </c>
      <c r="N105" s="58" t="n">
        <v>101</v>
      </c>
      <c r="O105" s="61">
        <f>O104*$M$5</f>
        <v/>
      </c>
      <c r="P105" s="61">
        <f>P104*$M$5</f>
        <v/>
      </c>
      <c r="Q105" s="61">
        <f>Q104*$M$5</f>
        <v/>
      </c>
      <c r="R105" s="0">
        <f>ROUND((O105/O$5-1)*100000, 0)</f>
        <v/>
      </c>
      <c r="S105" s="0">
        <f>$O$5*(1+R105/100000)</f>
        <v/>
      </c>
    </row>
    <row r="106">
      <c r="B106" s="58" t="n">
        <v>102</v>
      </c>
      <c r="C106" s="61">
        <f>C105*$A$5</f>
        <v/>
      </c>
      <c r="D106" s="61">
        <f>D105*$A$5</f>
        <v/>
      </c>
      <c r="E106" s="61">
        <f>E105*$A$5</f>
        <v/>
      </c>
      <c r="F106" s="0">
        <f>ROUND((C106/C$5-1)*100000, 0)</f>
        <v/>
      </c>
      <c r="H106" s="58" t="n">
        <v>102</v>
      </c>
      <c r="I106" s="61">
        <f>I105*$G$5</f>
        <v/>
      </c>
      <c r="J106" s="61">
        <f>J105*$G$5</f>
        <v/>
      </c>
      <c r="K106" s="61">
        <f>K105*$G$5</f>
        <v/>
      </c>
      <c r="L106" s="0">
        <f>ROUND((I106/I$5-1)*100000, 0)</f>
        <v/>
      </c>
      <c r="N106" s="58" t="n">
        <v>102</v>
      </c>
      <c r="O106" s="61">
        <f>O105*$M$5</f>
        <v/>
      </c>
      <c r="P106" s="61">
        <f>P105*$M$5</f>
        <v/>
      </c>
      <c r="Q106" s="61">
        <f>Q105*$M$5</f>
        <v/>
      </c>
      <c r="R106" s="0">
        <f>ROUND((O106/O$5-1)*100000, 0)</f>
        <v/>
      </c>
      <c r="S106" s="0">
        <f>$O$5*(1+R106/100000)</f>
        <v/>
      </c>
    </row>
    <row r="107">
      <c r="B107" s="58" t="n">
        <v>103</v>
      </c>
      <c r="C107" s="61">
        <f>C106*$A$5</f>
        <v/>
      </c>
      <c r="D107" s="61">
        <f>D106*$A$5</f>
        <v/>
      </c>
      <c r="E107" s="61">
        <f>E106*$A$5</f>
        <v/>
      </c>
      <c r="F107" s="0">
        <f>ROUND((C107/C$5-1)*100000, 0)</f>
        <v/>
      </c>
      <c r="H107" s="58" t="n">
        <v>103</v>
      </c>
      <c r="I107" s="61">
        <f>I106*$G$5</f>
        <v/>
      </c>
      <c r="J107" s="61">
        <f>J106*$G$5</f>
        <v/>
      </c>
      <c r="K107" s="61">
        <f>K106*$G$5</f>
        <v/>
      </c>
      <c r="L107" s="0">
        <f>ROUND((I107/I$5-1)*100000, 0)</f>
        <v/>
      </c>
      <c r="N107" s="58" t="n">
        <v>103</v>
      </c>
      <c r="O107" s="61">
        <f>O106*$M$5</f>
        <v/>
      </c>
      <c r="P107" s="61">
        <f>P106*$M$5</f>
        <v/>
      </c>
      <c r="Q107" s="61">
        <f>Q106*$M$5</f>
        <v/>
      </c>
      <c r="R107" s="0">
        <f>ROUND((O107/O$5-1)*100000, 0)</f>
        <v/>
      </c>
      <c r="S107" s="0">
        <f>$O$5*(1+R107/100000)</f>
        <v/>
      </c>
    </row>
    <row r="108">
      <c r="B108" s="58" t="n">
        <v>104</v>
      </c>
      <c r="C108" s="61">
        <f>C107*$A$5</f>
        <v/>
      </c>
      <c r="D108" s="61">
        <f>D107*$A$5</f>
        <v/>
      </c>
      <c r="E108" s="61">
        <f>E107*$A$5</f>
        <v/>
      </c>
      <c r="F108" s="0">
        <f>ROUND((C108/C$5-1)*100000, 0)</f>
        <v/>
      </c>
      <c r="H108" s="58" t="n">
        <v>104</v>
      </c>
      <c r="I108" s="61">
        <f>I107*$G$5</f>
        <v/>
      </c>
      <c r="J108" s="61">
        <f>J107*$G$5</f>
        <v/>
      </c>
      <c r="K108" s="61">
        <f>K107*$G$5</f>
        <v/>
      </c>
      <c r="L108" s="0">
        <f>ROUND((I108/I$5-1)*100000, 0)</f>
        <v/>
      </c>
      <c r="N108" s="58" t="n">
        <v>104</v>
      </c>
      <c r="O108" s="61">
        <f>O107*$M$5</f>
        <v/>
      </c>
      <c r="P108" s="61">
        <f>P107*$M$5</f>
        <v/>
      </c>
      <c r="Q108" s="61">
        <f>Q107*$M$5</f>
        <v/>
      </c>
      <c r="R108" s="0">
        <f>ROUND((O108/O$5-1)*100000, 0)</f>
        <v/>
      </c>
      <c r="S108" s="0">
        <f>$O$5*(1+R108/100000)</f>
        <v/>
      </c>
    </row>
    <row r="109">
      <c r="B109" s="58" t="n">
        <v>105</v>
      </c>
      <c r="C109" s="61">
        <f>C108*$A$5</f>
        <v/>
      </c>
      <c r="D109" s="61">
        <f>D108*$A$5</f>
        <v/>
      </c>
      <c r="E109" s="61">
        <f>E108*$A$5</f>
        <v/>
      </c>
      <c r="F109" s="0">
        <f>ROUND((C109/C$5-1)*100000, 0)</f>
        <v/>
      </c>
      <c r="H109" s="58" t="n">
        <v>105</v>
      </c>
      <c r="I109" s="61">
        <f>I108*$G$5</f>
        <v/>
      </c>
      <c r="J109" s="61">
        <f>J108*$G$5</f>
        <v/>
      </c>
      <c r="K109" s="61">
        <f>K108*$G$5</f>
        <v/>
      </c>
      <c r="L109" s="0">
        <f>ROUND((I109/I$5-1)*100000, 0)</f>
        <v/>
      </c>
      <c r="N109" s="58" t="n">
        <v>105</v>
      </c>
      <c r="O109" s="61">
        <f>O108*$M$5</f>
        <v/>
      </c>
      <c r="P109" s="61">
        <f>P108*$M$5</f>
        <v/>
      </c>
      <c r="Q109" s="61">
        <f>Q108*$M$5</f>
        <v/>
      </c>
      <c r="R109" s="0">
        <f>ROUND((O109/O$5-1)*100000, 0)</f>
        <v/>
      </c>
      <c r="S109" s="0">
        <f>$O$5*(1+R109/100000)</f>
        <v/>
      </c>
    </row>
    <row r="110">
      <c r="B110" s="58" t="n">
        <v>106</v>
      </c>
      <c r="C110" s="61">
        <f>C109*$A$5</f>
        <v/>
      </c>
      <c r="D110" s="61">
        <f>D109*$A$5</f>
        <v/>
      </c>
      <c r="E110" s="61">
        <f>E109*$A$5</f>
        <v/>
      </c>
      <c r="F110" s="0">
        <f>ROUND((C110/C$5-1)*100000, 0)</f>
        <v/>
      </c>
      <c r="H110" s="58" t="n">
        <v>106</v>
      </c>
      <c r="I110" s="61">
        <f>I109*$G$5</f>
        <v/>
      </c>
      <c r="J110" s="61">
        <f>J109*$G$5</f>
        <v/>
      </c>
      <c r="K110" s="61">
        <f>K109*$G$5</f>
        <v/>
      </c>
      <c r="L110" s="0">
        <f>ROUND((I110/I$5-1)*100000, 0)</f>
        <v/>
      </c>
      <c r="N110" s="58" t="n">
        <v>106</v>
      </c>
      <c r="O110" s="61">
        <f>O109*$M$5</f>
        <v/>
      </c>
      <c r="P110" s="61">
        <f>P109*$M$5</f>
        <v/>
      </c>
      <c r="Q110" s="61">
        <f>Q109*$M$5</f>
        <v/>
      </c>
      <c r="R110" s="0">
        <f>ROUND((O110/O$5-1)*100000, 0)</f>
        <v/>
      </c>
      <c r="S110" s="0">
        <f>$O$5*(1+R110/100000)</f>
        <v/>
      </c>
    </row>
    <row r="111">
      <c r="B111" s="58" t="n">
        <v>107</v>
      </c>
      <c r="C111" s="61">
        <f>C110*$A$5</f>
        <v/>
      </c>
      <c r="D111" s="61">
        <f>D110*$A$5</f>
        <v/>
      </c>
      <c r="E111" s="61">
        <f>E110*$A$5</f>
        <v/>
      </c>
      <c r="F111" s="0">
        <f>ROUND((C111/C$5-1)*100000, 0)</f>
        <v/>
      </c>
      <c r="H111" s="58" t="n">
        <v>107</v>
      </c>
      <c r="I111" s="61">
        <f>I110*$G$5</f>
        <v/>
      </c>
      <c r="J111" s="61">
        <f>J110*$G$5</f>
        <v/>
      </c>
      <c r="K111" s="61">
        <f>K110*$G$5</f>
        <v/>
      </c>
      <c r="L111" s="0">
        <f>ROUND((I111/I$5-1)*100000, 0)</f>
        <v/>
      </c>
      <c r="N111" s="58" t="n">
        <v>107</v>
      </c>
      <c r="O111" s="61">
        <f>O110*$M$5</f>
        <v/>
      </c>
      <c r="P111" s="61">
        <f>P110*$M$5</f>
        <v/>
      </c>
      <c r="Q111" s="61">
        <f>Q110*$M$5</f>
        <v/>
      </c>
      <c r="R111" s="0">
        <f>ROUND((O111/O$5-1)*100000, 0)</f>
        <v/>
      </c>
      <c r="S111" s="0">
        <f>$O$5*(1+R111/100000)</f>
        <v/>
      </c>
    </row>
    <row r="112">
      <c r="B112" s="58" t="n">
        <v>108</v>
      </c>
      <c r="C112" s="61">
        <f>C111*$A$5</f>
        <v/>
      </c>
      <c r="D112" s="61">
        <f>D111*$A$5</f>
        <v/>
      </c>
      <c r="E112" s="61">
        <f>E111*$A$5</f>
        <v/>
      </c>
      <c r="F112" s="0">
        <f>ROUND((C112/C$5-1)*100000, 0)</f>
        <v/>
      </c>
      <c r="H112" s="58" t="n">
        <v>108</v>
      </c>
      <c r="I112" s="61">
        <f>I111*$G$5</f>
        <v/>
      </c>
      <c r="J112" s="61">
        <f>J111*$G$5</f>
        <v/>
      </c>
      <c r="K112" s="61">
        <f>K111*$G$5</f>
        <v/>
      </c>
      <c r="L112" s="0">
        <f>ROUND((I112/I$5-1)*100000, 0)</f>
        <v/>
      </c>
      <c r="N112" s="58" t="n">
        <v>108</v>
      </c>
      <c r="O112" s="61">
        <f>O111*$M$5</f>
        <v/>
      </c>
      <c r="P112" s="61">
        <f>P111*$M$5</f>
        <v/>
      </c>
      <c r="Q112" s="61">
        <f>Q111*$M$5</f>
        <v/>
      </c>
      <c r="R112" s="0">
        <f>ROUND((O112/O$5-1)*100000, 0)</f>
        <v/>
      </c>
      <c r="S112" s="0">
        <f>$O$5*(1+R112/100000)</f>
        <v/>
      </c>
    </row>
    <row r="113">
      <c r="B113" s="58" t="n">
        <v>109</v>
      </c>
      <c r="C113" s="61">
        <f>C112*$A$5</f>
        <v/>
      </c>
      <c r="D113" s="61">
        <f>D112*$A$5</f>
        <v/>
      </c>
      <c r="E113" s="61">
        <f>E112*$A$5</f>
        <v/>
      </c>
      <c r="F113" s="0">
        <f>ROUND((C113/C$5-1)*100000, 0)</f>
        <v/>
      </c>
      <c r="H113" s="58" t="n">
        <v>109</v>
      </c>
      <c r="I113" s="61">
        <f>I112*$G$5</f>
        <v/>
      </c>
      <c r="J113" s="61">
        <f>J112*$G$5</f>
        <v/>
      </c>
      <c r="K113" s="61">
        <f>K112*$G$5</f>
        <v/>
      </c>
      <c r="L113" s="0">
        <f>ROUND((I113/I$5-1)*100000, 0)</f>
        <v/>
      </c>
      <c r="N113" s="58" t="n">
        <v>109</v>
      </c>
      <c r="O113" s="61">
        <f>O112*$M$5</f>
        <v/>
      </c>
      <c r="P113" s="61">
        <f>P112*$M$5</f>
        <v/>
      </c>
      <c r="Q113" s="61">
        <f>Q112*$M$5</f>
        <v/>
      </c>
      <c r="R113" s="0">
        <f>ROUND((O113/O$5-1)*100000, 0)</f>
        <v/>
      </c>
      <c r="S113" s="0">
        <f>$O$5*(1+R113/100000)</f>
        <v/>
      </c>
    </row>
    <row r="114">
      <c r="B114" s="58" t="n">
        <v>110</v>
      </c>
      <c r="C114" s="61">
        <f>C113*$A$5</f>
        <v/>
      </c>
      <c r="D114" s="61">
        <f>D113*$A$5</f>
        <v/>
      </c>
      <c r="E114" s="61">
        <f>E113*$A$5</f>
        <v/>
      </c>
      <c r="F114" s="0">
        <f>ROUND((C114/C$5-1)*100000, 0)</f>
        <v/>
      </c>
      <c r="H114" s="58" t="n">
        <v>110</v>
      </c>
      <c r="I114" s="61">
        <f>I113*$G$5</f>
        <v/>
      </c>
      <c r="J114" s="61">
        <f>J113*$G$5</f>
        <v/>
      </c>
      <c r="K114" s="61">
        <f>K113*$G$5</f>
        <v/>
      </c>
      <c r="L114" s="0">
        <f>ROUND((I114/I$5-1)*100000, 0)</f>
        <v/>
      </c>
      <c r="N114" s="58" t="n">
        <v>110</v>
      </c>
      <c r="O114" s="61">
        <f>O113*$M$5</f>
        <v/>
      </c>
      <c r="P114" s="61">
        <f>P113*$M$5</f>
        <v/>
      </c>
      <c r="Q114" s="61">
        <f>Q113*$M$5</f>
        <v/>
      </c>
      <c r="R114" s="0">
        <f>ROUND((O114/O$5-1)*100000, 0)</f>
        <v/>
      </c>
      <c r="S114" s="0">
        <f>$O$5*(1+R114/100000)</f>
        <v/>
      </c>
    </row>
    <row r="115">
      <c r="B115" s="58" t="n">
        <v>111</v>
      </c>
      <c r="C115" s="61">
        <f>C114*$A$5</f>
        <v/>
      </c>
      <c r="D115" s="61">
        <f>D114*$A$5</f>
        <v/>
      </c>
      <c r="E115" s="61">
        <f>E114*$A$5</f>
        <v/>
      </c>
      <c r="F115" s="0">
        <f>ROUND((C115/C$5-1)*100000, 0)</f>
        <v/>
      </c>
      <c r="H115" s="58" t="n">
        <v>111</v>
      </c>
      <c r="I115" s="61">
        <f>I114*$G$5</f>
        <v/>
      </c>
      <c r="J115" s="61">
        <f>J114*$G$5</f>
        <v/>
      </c>
      <c r="K115" s="61">
        <f>K114*$G$5</f>
        <v/>
      </c>
      <c r="L115" s="0">
        <f>ROUND((I115/I$5-1)*100000, 0)</f>
        <v/>
      </c>
      <c r="N115" s="58" t="n">
        <v>111</v>
      </c>
      <c r="O115" s="61">
        <f>O114*$M$5</f>
        <v/>
      </c>
      <c r="P115" s="61">
        <f>P114*$M$5</f>
        <v/>
      </c>
      <c r="Q115" s="61">
        <f>Q114*$M$5</f>
        <v/>
      </c>
      <c r="R115" s="0">
        <f>ROUND((O115/O$5-1)*100000, 0)</f>
        <v/>
      </c>
      <c r="S115" s="0">
        <f>$O$5*(1+R115/100000)</f>
        <v/>
      </c>
    </row>
    <row r="116">
      <c r="B116" s="58" t="n">
        <v>112</v>
      </c>
      <c r="C116" s="61">
        <f>C115*$A$5</f>
        <v/>
      </c>
      <c r="D116" s="61">
        <f>D115*$A$5</f>
        <v/>
      </c>
      <c r="E116" s="61">
        <f>E115*$A$5</f>
        <v/>
      </c>
      <c r="F116" s="0">
        <f>ROUND((C116/C$5-1)*100000, 0)</f>
        <v/>
      </c>
      <c r="H116" s="58" t="n">
        <v>112</v>
      </c>
      <c r="I116" s="61">
        <f>I115*$G$5</f>
        <v/>
      </c>
      <c r="J116" s="61">
        <f>J115*$G$5</f>
        <v/>
      </c>
      <c r="K116" s="61">
        <f>K115*$G$5</f>
        <v/>
      </c>
      <c r="L116" s="0">
        <f>ROUND((I116/I$5-1)*100000, 0)</f>
        <v/>
      </c>
      <c r="N116" s="58" t="n">
        <v>112</v>
      </c>
      <c r="O116" s="61">
        <f>O115*$M$5</f>
        <v/>
      </c>
      <c r="P116" s="61">
        <f>P115*$M$5</f>
        <v/>
      </c>
      <c r="Q116" s="61">
        <f>Q115*$M$5</f>
        <v/>
      </c>
      <c r="R116" s="0">
        <f>ROUND((O116/O$5-1)*100000, 0)</f>
        <v/>
      </c>
      <c r="S116" s="0">
        <f>$O$5*(1+R116/100000)</f>
        <v/>
      </c>
    </row>
    <row r="117">
      <c r="B117" s="58" t="n">
        <v>113</v>
      </c>
      <c r="C117" s="61">
        <f>C116*$A$5</f>
        <v/>
      </c>
      <c r="D117" s="61">
        <f>D116*$A$5</f>
        <v/>
      </c>
      <c r="E117" s="61">
        <f>E116*$A$5</f>
        <v/>
      </c>
      <c r="F117" s="0">
        <f>ROUND((C117/C$5-1)*100000, 0)</f>
        <v/>
      </c>
      <c r="H117" s="58" t="n">
        <v>113</v>
      </c>
      <c r="I117" s="61">
        <f>I116*$G$5</f>
        <v/>
      </c>
      <c r="J117" s="61">
        <f>J116*$G$5</f>
        <v/>
      </c>
      <c r="K117" s="61">
        <f>K116*$G$5</f>
        <v/>
      </c>
      <c r="L117" s="0">
        <f>ROUND((I117/I$5-1)*100000, 0)</f>
        <v/>
      </c>
      <c r="N117" s="58" t="n">
        <v>113</v>
      </c>
      <c r="O117" s="61">
        <f>O116*$M$5</f>
        <v/>
      </c>
      <c r="P117" s="61">
        <f>P116*$M$5</f>
        <v/>
      </c>
      <c r="Q117" s="61">
        <f>Q116*$M$5</f>
        <v/>
      </c>
      <c r="R117" s="0">
        <f>ROUND((O117/O$5-1)*100000, 0)</f>
        <v/>
      </c>
      <c r="S117" s="0">
        <f>$O$5*(1+R117/100000)</f>
        <v/>
      </c>
    </row>
    <row r="118">
      <c r="B118" s="58" t="n">
        <v>114</v>
      </c>
      <c r="C118" s="61">
        <f>C117*$A$5</f>
        <v/>
      </c>
      <c r="D118" s="61">
        <f>D117*$A$5</f>
        <v/>
      </c>
      <c r="E118" s="61">
        <f>E117*$A$5</f>
        <v/>
      </c>
      <c r="F118" s="0">
        <f>ROUND((C118/C$5-1)*100000, 0)</f>
        <v/>
      </c>
      <c r="H118" s="58" t="n">
        <v>114</v>
      </c>
      <c r="I118" s="61">
        <f>I117*$G$5</f>
        <v/>
      </c>
      <c r="J118" s="61">
        <f>J117*$G$5</f>
        <v/>
      </c>
      <c r="K118" s="61">
        <f>K117*$G$5</f>
        <v/>
      </c>
      <c r="L118" s="0">
        <f>ROUND((I118/I$5-1)*100000, 0)</f>
        <v/>
      </c>
      <c r="N118" s="58" t="n">
        <v>114</v>
      </c>
      <c r="O118" s="61">
        <f>O117*$M$5</f>
        <v/>
      </c>
      <c r="P118" s="61">
        <f>P117*$M$5</f>
        <v/>
      </c>
      <c r="Q118" s="61">
        <f>Q117*$M$5</f>
        <v/>
      </c>
      <c r="R118" s="0">
        <f>ROUND((O118/O$5-1)*100000, 0)</f>
        <v/>
      </c>
      <c r="S118" s="0">
        <f>$O$5*(1+R118/100000)</f>
        <v/>
      </c>
    </row>
    <row r="119">
      <c r="B119" s="58" t="n">
        <v>115</v>
      </c>
      <c r="C119" s="61">
        <f>C118*$A$5</f>
        <v/>
      </c>
      <c r="D119" s="61">
        <f>D118*$A$5</f>
        <v/>
      </c>
      <c r="E119" s="61">
        <f>E118*$A$5</f>
        <v/>
      </c>
      <c r="F119" s="0">
        <f>ROUND((C119/C$5-1)*100000, 0)</f>
        <v/>
      </c>
      <c r="H119" s="58" t="n">
        <v>115</v>
      </c>
      <c r="I119" s="61">
        <f>I118*$G$5</f>
        <v/>
      </c>
      <c r="J119" s="61">
        <f>J118*$G$5</f>
        <v/>
      </c>
      <c r="K119" s="61">
        <f>K118*$G$5</f>
        <v/>
      </c>
      <c r="L119" s="0">
        <f>ROUND((I119/I$5-1)*100000, 0)</f>
        <v/>
      </c>
      <c r="N119" s="58" t="n">
        <v>115</v>
      </c>
      <c r="O119" s="61">
        <f>O118*$M$5</f>
        <v/>
      </c>
      <c r="P119" s="61">
        <f>P118*$M$5</f>
        <v/>
      </c>
      <c r="Q119" s="61">
        <f>Q118*$M$5</f>
        <v/>
      </c>
      <c r="R119" s="0">
        <f>ROUND((O119/O$5-1)*100000, 0)</f>
        <v/>
      </c>
      <c r="S119" s="0">
        <f>$O$5*(1+R119/100000)</f>
        <v/>
      </c>
    </row>
    <row r="120">
      <c r="B120" s="58" t="n">
        <v>116</v>
      </c>
      <c r="C120" s="61">
        <f>C119*$A$5</f>
        <v/>
      </c>
      <c r="D120" s="61">
        <f>D119*$A$5</f>
        <v/>
      </c>
      <c r="E120" s="61">
        <f>E119*$A$5</f>
        <v/>
      </c>
      <c r="F120" s="0">
        <f>ROUND((C120/C$5-1)*100000, 0)</f>
        <v/>
      </c>
      <c r="H120" s="58" t="n">
        <v>116</v>
      </c>
      <c r="I120" s="61">
        <f>I119*$G$5</f>
        <v/>
      </c>
      <c r="J120" s="61">
        <f>J119*$G$5</f>
        <v/>
      </c>
      <c r="K120" s="61">
        <f>K119*$G$5</f>
        <v/>
      </c>
      <c r="L120" s="0">
        <f>ROUND((I120/I$5-1)*100000, 0)</f>
        <v/>
      </c>
      <c r="N120" s="58" t="n">
        <v>116</v>
      </c>
      <c r="O120" s="61">
        <f>O119*$M$5</f>
        <v/>
      </c>
      <c r="P120" s="61">
        <f>P119*$M$5</f>
        <v/>
      </c>
      <c r="Q120" s="61">
        <f>Q119*$M$5</f>
        <v/>
      </c>
      <c r="R120" s="0">
        <f>ROUND((O120/O$5-1)*100000, 0)</f>
        <v/>
      </c>
      <c r="S120" s="0">
        <f>$O$5*(1+R120/100000)</f>
        <v/>
      </c>
    </row>
    <row r="121">
      <c r="B121" s="58" t="n">
        <v>117</v>
      </c>
      <c r="C121" s="61">
        <f>C120*$A$5</f>
        <v/>
      </c>
      <c r="D121" s="61">
        <f>D120*$A$5</f>
        <v/>
      </c>
      <c r="E121" s="61">
        <f>E120*$A$5</f>
        <v/>
      </c>
      <c r="F121" s="0">
        <f>ROUND((C121/C$5-1)*100000, 0)</f>
        <v/>
      </c>
      <c r="H121" s="58" t="n">
        <v>117</v>
      </c>
      <c r="I121" s="61">
        <f>I120*$G$5</f>
        <v/>
      </c>
      <c r="J121" s="61">
        <f>J120*$G$5</f>
        <v/>
      </c>
      <c r="K121" s="61">
        <f>K120*$G$5</f>
        <v/>
      </c>
      <c r="L121" s="0">
        <f>ROUND((I121/I$5-1)*100000, 0)</f>
        <v/>
      </c>
      <c r="N121" s="58" t="n">
        <v>117</v>
      </c>
      <c r="O121" s="61">
        <f>O120*$M$5</f>
        <v/>
      </c>
      <c r="P121" s="61">
        <f>P120*$M$5</f>
        <v/>
      </c>
      <c r="Q121" s="61">
        <f>Q120*$M$5</f>
        <v/>
      </c>
      <c r="R121" s="0">
        <f>ROUND((O121/O$5-1)*100000, 0)</f>
        <v/>
      </c>
      <c r="S121" s="0">
        <f>$O$5*(1+R121/100000)</f>
        <v/>
      </c>
    </row>
    <row r="122">
      <c r="B122" s="58" t="n">
        <v>118</v>
      </c>
      <c r="C122" s="61">
        <f>C121*$A$5</f>
        <v/>
      </c>
      <c r="D122" s="61">
        <f>D121*$A$5</f>
        <v/>
      </c>
      <c r="E122" s="61">
        <f>E121*$A$5</f>
        <v/>
      </c>
      <c r="F122" s="0">
        <f>ROUND((C122/C$5-1)*100000, 0)</f>
        <v/>
      </c>
      <c r="H122" s="58" t="n">
        <v>118</v>
      </c>
      <c r="I122" s="61">
        <f>I121*$G$5</f>
        <v/>
      </c>
      <c r="J122" s="61">
        <f>J121*$G$5</f>
        <v/>
      </c>
      <c r="K122" s="61">
        <f>K121*$G$5</f>
        <v/>
      </c>
      <c r="L122" s="0">
        <f>ROUND((I122/I$5-1)*100000, 0)</f>
        <v/>
      </c>
      <c r="N122" s="58" t="n">
        <v>118</v>
      </c>
      <c r="O122" s="61">
        <f>O121*$M$5</f>
        <v/>
      </c>
      <c r="P122" s="61">
        <f>P121*$M$5</f>
        <v/>
      </c>
      <c r="Q122" s="61">
        <f>Q121*$M$5</f>
        <v/>
      </c>
      <c r="R122" s="0">
        <f>ROUND((O122/O$5-1)*100000, 0)</f>
        <v/>
      </c>
      <c r="S122" s="0">
        <f>$O$5*(1+R122/100000)</f>
        <v/>
      </c>
    </row>
    <row r="123">
      <c r="B123" s="58" t="n">
        <v>119</v>
      </c>
      <c r="C123" s="61">
        <f>C122*$A$5</f>
        <v/>
      </c>
      <c r="D123" s="61">
        <f>D122*$A$5</f>
        <v/>
      </c>
      <c r="E123" s="61">
        <f>E122*$A$5</f>
        <v/>
      </c>
      <c r="F123" s="0">
        <f>ROUND((C123/C$5-1)*100000, 0)</f>
        <v/>
      </c>
      <c r="H123" s="58" t="n">
        <v>119</v>
      </c>
      <c r="I123" s="61">
        <f>I122*$G$5</f>
        <v/>
      </c>
      <c r="J123" s="61">
        <f>J122*$G$5</f>
        <v/>
      </c>
      <c r="K123" s="61">
        <f>K122*$G$5</f>
        <v/>
      </c>
      <c r="L123" s="0">
        <f>ROUND((I123/I$5-1)*100000, 0)</f>
        <v/>
      </c>
      <c r="N123" s="58" t="n">
        <v>119</v>
      </c>
      <c r="O123" s="61">
        <f>O122*$M$5</f>
        <v/>
      </c>
      <c r="P123" s="61">
        <f>P122*$M$5</f>
        <v/>
      </c>
      <c r="Q123" s="61">
        <f>Q122*$M$5</f>
        <v/>
      </c>
      <c r="R123" s="0">
        <f>ROUND((O123/O$5-1)*100000, 0)</f>
        <v/>
      </c>
      <c r="S123" s="0">
        <f>$O$5*(1+R123/100000)</f>
        <v/>
      </c>
    </row>
    <row r="124">
      <c r="B124" s="58" t="n">
        <v>120</v>
      </c>
      <c r="C124" s="61">
        <f>C123*$A$5</f>
        <v/>
      </c>
      <c r="D124" s="61">
        <f>D123*$A$5</f>
        <v/>
      </c>
      <c r="E124" s="61">
        <f>E123*$A$5</f>
        <v/>
      </c>
      <c r="F124" s="0">
        <f>ROUND((C124/C$5-1)*100000, 0)</f>
        <v/>
      </c>
      <c r="H124" s="58" t="n">
        <v>120</v>
      </c>
      <c r="I124" s="61">
        <f>I123*$G$5</f>
        <v/>
      </c>
      <c r="J124" s="61">
        <f>J123*$G$5</f>
        <v/>
      </c>
      <c r="K124" s="61">
        <f>K123*$G$5</f>
        <v/>
      </c>
      <c r="L124" s="0">
        <f>ROUND((I124/I$5-1)*100000, 0)</f>
        <v/>
      </c>
      <c r="N124" s="58" t="n">
        <v>120</v>
      </c>
      <c r="O124" s="61">
        <f>O123*$M$5</f>
        <v/>
      </c>
      <c r="P124" s="61">
        <f>P123*$M$5</f>
        <v/>
      </c>
      <c r="Q124" s="61">
        <f>Q123*$M$5</f>
        <v/>
      </c>
      <c r="R124" s="0">
        <f>ROUND((O124/O$5-1)*100000, 0)</f>
        <v/>
      </c>
      <c r="S124" s="0">
        <f>$O$5*(1+R124/100000)</f>
        <v/>
      </c>
    </row>
    <row r="125">
      <c r="B125" s="58" t="n">
        <v>121</v>
      </c>
      <c r="C125" s="61">
        <f>C124*$A$5</f>
        <v/>
      </c>
      <c r="D125" s="61">
        <f>D124*$A$5</f>
        <v/>
      </c>
      <c r="E125" s="61">
        <f>E124*$A$5</f>
        <v/>
      </c>
      <c r="F125" s="0">
        <f>ROUND((C125/C$5-1)*100000, 0)</f>
        <v/>
      </c>
      <c r="H125" s="58" t="n">
        <v>121</v>
      </c>
      <c r="I125" s="61">
        <f>I124*$G$5</f>
        <v/>
      </c>
      <c r="J125" s="61">
        <f>J124*$G$5</f>
        <v/>
      </c>
      <c r="K125" s="61">
        <f>K124*$G$5</f>
        <v/>
      </c>
      <c r="L125" s="0">
        <f>ROUND((I125/I$5-1)*100000, 0)</f>
        <v/>
      </c>
      <c r="N125" s="58" t="n">
        <v>121</v>
      </c>
      <c r="O125" s="61">
        <f>O124*$M$5</f>
        <v/>
      </c>
      <c r="P125" s="61">
        <f>P124*$M$5</f>
        <v/>
      </c>
      <c r="Q125" s="61">
        <f>Q124*$M$5</f>
        <v/>
      </c>
      <c r="R125" s="0">
        <f>ROUND((O125/O$5-1)*100000, 0)</f>
        <v/>
      </c>
      <c r="S125" s="0">
        <f>$O$5*(1+R125/100000)</f>
        <v/>
      </c>
    </row>
    <row r="126">
      <c r="B126" s="58" t="n">
        <v>122</v>
      </c>
      <c r="C126" s="61">
        <f>C125*$A$5</f>
        <v/>
      </c>
      <c r="D126" s="61">
        <f>D125*$A$5</f>
        <v/>
      </c>
      <c r="E126" s="61">
        <f>E125*$A$5</f>
        <v/>
      </c>
      <c r="F126" s="0">
        <f>ROUND((C126/C$5-1)*100000, 0)</f>
        <v/>
      </c>
      <c r="H126" s="58" t="n">
        <v>122</v>
      </c>
      <c r="I126" s="61">
        <f>I125*$G$5</f>
        <v/>
      </c>
      <c r="J126" s="61">
        <f>J125*$G$5</f>
        <v/>
      </c>
      <c r="K126" s="61">
        <f>K125*$G$5</f>
        <v/>
      </c>
      <c r="L126" s="0">
        <f>ROUND((I126/I$5-1)*100000, 0)</f>
        <v/>
      </c>
      <c r="N126" s="58" t="n">
        <v>122</v>
      </c>
      <c r="O126" s="61">
        <f>O125*$M$5</f>
        <v/>
      </c>
      <c r="P126" s="61">
        <f>P125*$M$5</f>
        <v/>
      </c>
      <c r="Q126" s="61">
        <f>Q125*$M$5</f>
        <v/>
      </c>
      <c r="R126" s="0">
        <f>ROUND((O126/O$5-1)*100000, 0)</f>
        <v/>
      </c>
      <c r="S126" s="0">
        <f>$O$5*(1+R126/100000)</f>
        <v/>
      </c>
    </row>
    <row r="127">
      <c r="B127" s="58" t="n">
        <v>123</v>
      </c>
      <c r="C127" s="61">
        <f>C126*$A$5</f>
        <v/>
      </c>
      <c r="D127" s="61">
        <f>D126*$A$5</f>
        <v/>
      </c>
      <c r="E127" s="61">
        <f>E126*$A$5</f>
        <v/>
      </c>
      <c r="F127" s="0">
        <f>ROUND((C127/C$5-1)*100000, 0)</f>
        <v/>
      </c>
      <c r="H127" s="58" t="n">
        <v>123</v>
      </c>
      <c r="I127" s="61">
        <f>I126*$G$5</f>
        <v/>
      </c>
      <c r="J127" s="61">
        <f>J126*$G$5</f>
        <v/>
      </c>
      <c r="K127" s="61">
        <f>K126*$G$5</f>
        <v/>
      </c>
      <c r="L127" s="0">
        <f>ROUND((I127/I$5-1)*100000, 0)</f>
        <v/>
      </c>
      <c r="N127" s="58" t="n">
        <v>123</v>
      </c>
      <c r="O127" s="61">
        <f>O126*$M$5</f>
        <v/>
      </c>
      <c r="P127" s="61">
        <f>P126*$M$5</f>
        <v/>
      </c>
      <c r="Q127" s="61">
        <f>Q126*$M$5</f>
        <v/>
      </c>
      <c r="R127" s="0">
        <f>ROUND((O127/O$5-1)*100000, 0)</f>
        <v/>
      </c>
      <c r="S127" s="0">
        <f>$O$5*(1+R127/100000)</f>
        <v/>
      </c>
    </row>
    <row r="128">
      <c r="B128" s="58" t="n">
        <v>124</v>
      </c>
      <c r="C128" s="61">
        <f>C127*$A$5</f>
        <v/>
      </c>
      <c r="D128" s="61">
        <f>D127*$A$5</f>
        <v/>
      </c>
      <c r="E128" s="61">
        <f>E127*$A$5</f>
        <v/>
      </c>
      <c r="F128" s="0">
        <f>ROUND((C128/C$5-1)*100000, 0)</f>
        <v/>
      </c>
      <c r="H128" s="58" t="n">
        <v>124</v>
      </c>
      <c r="I128" s="61">
        <f>I127*$G$5</f>
        <v/>
      </c>
      <c r="J128" s="61">
        <f>J127*$G$5</f>
        <v/>
      </c>
      <c r="K128" s="61">
        <f>K127*$G$5</f>
        <v/>
      </c>
      <c r="L128" s="0">
        <f>ROUND((I128/I$5-1)*100000, 0)</f>
        <v/>
      </c>
      <c r="N128" s="58" t="n">
        <v>124</v>
      </c>
      <c r="O128" s="61">
        <f>O127*$M$5</f>
        <v/>
      </c>
      <c r="P128" s="61">
        <f>P127*$M$5</f>
        <v/>
      </c>
      <c r="Q128" s="61">
        <f>Q127*$M$5</f>
        <v/>
      </c>
      <c r="R128" s="0">
        <f>ROUND((O128/O$5-1)*100000, 0)</f>
        <v/>
      </c>
      <c r="S128" s="0">
        <f>$O$5*(1+R128/100000)</f>
        <v/>
      </c>
    </row>
    <row r="129">
      <c r="B129" s="58" t="n">
        <v>125</v>
      </c>
      <c r="C129" s="61">
        <f>C128*$A$5</f>
        <v/>
      </c>
      <c r="D129" s="61">
        <f>D128*$A$5</f>
        <v/>
      </c>
      <c r="E129" s="61">
        <f>E128*$A$5</f>
        <v/>
      </c>
      <c r="F129" s="0">
        <f>ROUND((C129/C$5-1)*100000, 0)</f>
        <v/>
      </c>
      <c r="H129" s="58" t="n">
        <v>125</v>
      </c>
      <c r="I129" s="61">
        <f>I128*$G$5</f>
        <v/>
      </c>
      <c r="J129" s="61">
        <f>J128*$G$5</f>
        <v/>
      </c>
      <c r="K129" s="61">
        <f>K128*$G$5</f>
        <v/>
      </c>
      <c r="L129" s="0">
        <f>ROUND((I129/I$5-1)*100000, 0)</f>
        <v/>
      </c>
      <c r="N129" s="58" t="n">
        <v>125</v>
      </c>
      <c r="O129" s="61">
        <f>O128*$M$5</f>
        <v/>
      </c>
      <c r="P129" s="61">
        <f>P128*$M$5</f>
        <v/>
      </c>
      <c r="Q129" s="61">
        <f>Q128*$M$5</f>
        <v/>
      </c>
      <c r="R129" s="0">
        <f>ROUND((O129/O$5-1)*100000, 0)</f>
        <v/>
      </c>
      <c r="S129" s="0">
        <f>$O$5*(1+R129/100000)</f>
        <v/>
      </c>
    </row>
    <row r="130">
      <c r="B130" s="58" t="n">
        <v>126</v>
      </c>
      <c r="C130" s="61">
        <f>C129*$A$5</f>
        <v/>
      </c>
      <c r="D130" s="61">
        <f>D129*$A$5</f>
        <v/>
      </c>
      <c r="E130" s="61">
        <f>E129*$A$5</f>
        <v/>
      </c>
      <c r="F130" s="0">
        <f>ROUND((C130/C$5-1)*100000, 0)</f>
        <v/>
      </c>
      <c r="H130" s="58" t="n">
        <v>126</v>
      </c>
      <c r="I130" s="61">
        <f>I129*$G$5</f>
        <v/>
      </c>
      <c r="J130" s="61">
        <f>J129*$G$5</f>
        <v/>
      </c>
      <c r="K130" s="61">
        <f>K129*$G$5</f>
        <v/>
      </c>
      <c r="L130" s="0">
        <f>ROUND((I130/I$5-1)*100000, 0)</f>
        <v/>
      </c>
      <c r="N130" s="58" t="n">
        <v>126</v>
      </c>
      <c r="O130" s="61">
        <f>O129*$M$5</f>
        <v/>
      </c>
      <c r="P130" s="61">
        <f>P129*$M$5</f>
        <v/>
      </c>
      <c r="Q130" s="61">
        <f>Q129*$M$5</f>
        <v/>
      </c>
      <c r="R130" s="0">
        <f>ROUND((O130/O$5-1)*100000, 0)</f>
        <v/>
      </c>
      <c r="S130" s="0">
        <f>$O$5*(1+R130/100000)</f>
        <v/>
      </c>
    </row>
    <row r="131">
      <c r="B131" s="58" t="n">
        <v>127</v>
      </c>
      <c r="C131" s="61">
        <f>C130*$A$5</f>
        <v/>
      </c>
      <c r="D131" s="61">
        <f>D130*$A$5</f>
        <v/>
      </c>
      <c r="E131" s="61">
        <f>E130*$A$5</f>
        <v/>
      </c>
      <c r="F131" s="0">
        <f>ROUND((C131/C$5-1)*100000, 0)</f>
        <v/>
      </c>
      <c r="H131" s="58" t="n">
        <v>127</v>
      </c>
      <c r="I131" s="61">
        <f>I130*$G$5</f>
        <v/>
      </c>
      <c r="J131" s="61">
        <f>J130*$G$5</f>
        <v/>
      </c>
      <c r="K131" s="61">
        <f>K130*$G$5</f>
        <v/>
      </c>
      <c r="L131" s="0">
        <f>ROUND((I131/I$5-1)*100000, 0)</f>
        <v/>
      </c>
      <c r="N131" s="58" t="n">
        <v>127</v>
      </c>
      <c r="O131" s="61">
        <f>O130*$M$5</f>
        <v/>
      </c>
      <c r="P131" s="61">
        <f>P130*$M$5</f>
        <v/>
      </c>
      <c r="Q131" s="61">
        <f>Q130*$M$5</f>
        <v/>
      </c>
      <c r="R131" s="0">
        <f>ROUND((O131/O$5-1)*100000, 0)</f>
        <v/>
      </c>
      <c r="S131" s="0">
        <f>$O$5*(1+R131/100000)</f>
        <v/>
      </c>
    </row>
    <row r="132">
      <c r="B132" s="58" t="n">
        <v>128</v>
      </c>
      <c r="C132" s="61">
        <f>C131*$A$5</f>
        <v/>
      </c>
      <c r="D132" s="61">
        <f>D131*$A$5</f>
        <v/>
      </c>
      <c r="E132" s="61">
        <f>E131*$A$5</f>
        <v/>
      </c>
      <c r="F132" s="0">
        <f>ROUND((C132/C$5-1)*100000, 0)</f>
        <v/>
      </c>
      <c r="H132" s="58" t="n">
        <v>128</v>
      </c>
      <c r="I132" s="61">
        <f>I131*$G$5</f>
        <v/>
      </c>
      <c r="J132" s="61">
        <f>J131*$G$5</f>
        <v/>
      </c>
      <c r="K132" s="61">
        <f>K131*$G$5</f>
        <v/>
      </c>
      <c r="L132" s="0">
        <f>ROUND((I132/I$5-1)*100000, 0)</f>
        <v/>
      </c>
      <c r="N132" s="58" t="n">
        <v>128</v>
      </c>
      <c r="O132" s="61">
        <f>O131*$M$5</f>
        <v/>
      </c>
      <c r="P132" s="61">
        <f>P131*$M$5</f>
        <v/>
      </c>
      <c r="Q132" s="61">
        <f>Q131*$M$5</f>
        <v/>
      </c>
      <c r="R132" s="0">
        <f>ROUND((O132/O$5-1)*100000, 0)</f>
        <v/>
      </c>
      <c r="S132" s="0">
        <f>$O$5*(1+R132/100000)</f>
        <v/>
      </c>
    </row>
    <row r="133">
      <c r="B133" s="58" t="n">
        <v>129</v>
      </c>
      <c r="C133" s="61">
        <f>C132*$A$5</f>
        <v/>
      </c>
      <c r="D133" s="61">
        <f>D132*$A$5</f>
        <v/>
      </c>
      <c r="E133" s="61">
        <f>E132*$A$5</f>
        <v/>
      </c>
      <c r="F133" s="0">
        <f>ROUND((C133/C$5-1)*100000, 0)</f>
        <v/>
      </c>
      <c r="H133" s="58" t="n">
        <v>129</v>
      </c>
      <c r="I133" s="61">
        <f>I132*$G$5</f>
        <v/>
      </c>
      <c r="J133" s="61">
        <f>J132*$G$5</f>
        <v/>
      </c>
      <c r="K133" s="61">
        <f>K132*$G$5</f>
        <v/>
      </c>
      <c r="L133" s="0">
        <f>ROUND((I133/I$5-1)*100000, 0)</f>
        <v/>
      </c>
      <c r="N133" s="58" t="n">
        <v>129</v>
      </c>
      <c r="O133" s="61">
        <f>O132*$M$5</f>
        <v/>
      </c>
      <c r="P133" s="61">
        <f>P132*$M$5</f>
        <v/>
      </c>
      <c r="Q133" s="61">
        <f>Q132*$M$5</f>
        <v/>
      </c>
      <c r="R133" s="0">
        <f>ROUND((O133/O$5-1)*100000, 0)</f>
        <v/>
      </c>
      <c r="S133" s="0">
        <f>$O$5*(1+R133/100000)</f>
        <v/>
      </c>
    </row>
    <row r="134">
      <c r="B134" s="58" t="n">
        <v>130</v>
      </c>
      <c r="C134" s="61">
        <f>C133*$A$5</f>
        <v/>
      </c>
      <c r="D134" s="61">
        <f>D133*$A$5</f>
        <v/>
      </c>
      <c r="E134" s="61">
        <f>E133*$A$5</f>
        <v/>
      </c>
      <c r="F134" s="0">
        <f>ROUND((C134/C$5-1)*100000, 0)</f>
        <v/>
      </c>
      <c r="H134" s="58" t="n">
        <v>130</v>
      </c>
      <c r="I134" s="61">
        <f>I133*$G$5</f>
        <v/>
      </c>
      <c r="J134" s="61">
        <f>J133*$G$5</f>
        <v/>
      </c>
      <c r="K134" s="61">
        <f>K133*$G$5</f>
        <v/>
      </c>
      <c r="L134" s="0">
        <f>ROUND((I134/I$5-1)*100000, 0)</f>
        <v/>
      </c>
      <c r="N134" s="58" t="n">
        <v>130</v>
      </c>
      <c r="O134" s="61">
        <f>O133*$M$5</f>
        <v/>
      </c>
      <c r="P134" s="61">
        <f>P133*$M$5</f>
        <v/>
      </c>
      <c r="Q134" s="61">
        <f>Q133*$M$5</f>
        <v/>
      </c>
      <c r="R134" s="0">
        <f>ROUND((O134/O$5-1)*100000, 0)</f>
        <v/>
      </c>
      <c r="S134" s="0">
        <f>$O$5*(1+R134/100000)</f>
        <v/>
      </c>
    </row>
    <row r="135">
      <c r="B135" s="58" t="n">
        <v>131</v>
      </c>
      <c r="C135" s="61">
        <f>C134*$A$5</f>
        <v/>
      </c>
      <c r="D135" s="61">
        <f>D134*$A$5</f>
        <v/>
      </c>
      <c r="E135" s="61">
        <f>E134*$A$5</f>
        <v/>
      </c>
      <c r="F135" s="0">
        <f>ROUND((C135/C$5-1)*100000, 0)</f>
        <v/>
      </c>
      <c r="H135" s="58" t="n">
        <v>131</v>
      </c>
      <c r="I135" s="61">
        <f>I134*$G$5</f>
        <v/>
      </c>
      <c r="J135" s="61">
        <f>J134*$G$5</f>
        <v/>
      </c>
      <c r="K135" s="61">
        <f>K134*$G$5</f>
        <v/>
      </c>
      <c r="L135" s="0">
        <f>ROUND((I135/I$5-1)*100000, 0)</f>
        <v/>
      </c>
      <c r="N135" s="58" t="n">
        <v>131</v>
      </c>
      <c r="O135" s="61">
        <f>O134*$M$5</f>
        <v/>
      </c>
      <c r="P135" s="61">
        <f>P134*$M$5</f>
        <v/>
      </c>
      <c r="Q135" s="61">
        <f>Q134*$M$5</f>
        <v/>
      </c>
      <c r="R135" s="0">
        <f>ROUND((O135/O$5-1)*100000, 0)</f>
        <v/>
      </c>
      <c r="S135" s="0">
        <f>$O$5*(1+R135/100000)</f>
        <v/>
      </c>
    </row>
    <row r="136">
      <c r="B136" s="58" t="n">
        <v>132</v>
      </c>
      <c r="C136" s="61">
        <f>C135*$A$5</f>
        <v/>
      </c>
      <c r="D136" s="61">
        <f>D135*$A$5</f>
        <v/>
      </c>
      <c r="E136" s="61">
        <f>E135*$A$5</f>
        <v/>
      </c>
      <c r="F136" s="0">
        <f>ROUND((C136/C$5-1)*100000, 0)</f>
        <v/>
      </c>
      <c r="H136" s="58" t="n">
        <v>132</v>
      </c>
      <c r="I136" s="61">
        <f>I135*$G$5</f>
        <v/>
      </c>
      <c r="J136" s="61">
        <f>J135*$G$5</f>
        <v/>
      </c>
      <c r="K136" s="61">
        <f>K135*$G$5</f>
        <v/>
      </c>
      <c r="L136" s="0">
        <f>ROUND((I136/I$5-1)*100000, 0)</f>
        <v/>
      </c>
      <c r="N136" s="58" t="n">
        <v>132</v>
      </c>
      <c r="O136" s="61">
        <f>O135*$M$5</f>
        <v/>
      </c>
      <c r="P136" s="61">
        <f>P135*$M$5</f>
        <v/>
      </c>
      <c r="Q136" s="61">
        <f>Q135*$M$5</f>
        <v/>
      </c>
      <c r="R136" s="0">
        <f>ROUND((O136/O$5-1)*100000, 0)</f>
        <v/>
      </c>
      <c r="S136" s="0">
        <f>$O$5*(1+R136/100000)</f>
        <v/>
      </c>
    </row>
    <row r="137">
      <c r="B137" s="58" t="n">
        <v>133</v>
      </c>
      <c r="C137" s="61">
        <f>C136*$A$5</f>
        <v/>
      </c>
      <c r="D137" s="61">
        <f>D136*$A$5</f>
        <v/>
      </c>
      <c r="E137" s="61">
        <f>E136*$A$5</f>
        <v/>
      </c>
      <c r="F137" s="0">
        <f>ROUND((C137/C$5-1)*100000, 0)</f>
        <v/>
      </c>
      <c r="H137" s="58" t="n">
        <v>133</v>
      </c>
      <c r="I137" s="61">
        <f>I136*$G$5</f>
        <v/>
      </c>
      <c r="J137" s="61">
        <f>J136*$G$5</f>
        <v/>
      </c>
      <c r="K137" s="61">
        <f>K136*$G$5</f>
        <v/>
      </c>
      <c r="L137" s="0">
        <f>ROUND((I137/I$5-1)*100000, 0)</f>
        <v/>
      </c>
      <c r="N137" s="58" t="n">
        <v>133</v>
      </c>
      <c r="O137" s="61">
        <f>O136*$M$5</f>
        <v/>
      </c>
      <c r="P137" s="61">
        <f>P136*$M$5</f>
        <v/>
      </c>
      <c r="Q137" s="61">
        <f>Q136*$M$5</f>
        <v/>
      </c>
      <c r="R137" s="0">
        <f>ROUND((O137/O$5-1)*100000, 0)</f>
        <v/>
      </c>
      <c r="S137" s="0">
        <f>$O$5*(1+R137/100000)</f>
        <v/>
      </c>
    </row>
    <row r="138">
      <c r="B138" s="58" t="n">
        <v>134</v>
      </c>
      <c r="C138" s="61">
        <f>C137*$A$5</f>
        <v/>
      </c>
      <c r="D138" s="61">
        <f>D137*$A$5</f>
        <v/>
      </c>
      <c r="E138" s="61">
        <f>E137*$A$5</f>
        <v/>
      </c>
      <c r="F138" s="0">
        <f>ROUND((C138/C$5-1)*100000, 0)</f>
        <v/>
      </c>
      <c r="H138" s="58" t="n">
        <v>134</v>
      </c>
      <c r="I138" s="61">
        <f>I137*$G$5</f>
        <v/>
      </c>
      <c r="J138" s="61">
        <f>J137*$G$5</f>
        <v/>
      </c>
      <c r="K138" s="61">
        <f>K137*$G$5</f>
        <v/>
      </c>
      <c r="L138" s="0">
        <f>ROUND((I138/I$5-1)*100000, 0)</f>
        <v/>
      </c>
      <c r="N138" s="58" t="n">
        <v>134</v>
      </c>
      <c r="O138" s="61">
        <f>O137*$M$5</f>
        <v/>
      </c>
      <c r="P138" s="61">
        <f>P137*$M$5</f>
        <v/>
      </c>
      <c r="Q138" s="61">
        <f>Q137*$M$5</f>
        <v/>
      </c>
      <c r="R138" s="0">
        <f>ROUND((O138/O$5-1)*100000, 0)</f>
        <v/>
      </c>
      <c r="S138" s="0">
        <f>$O$5*(1+R138/100000)</f>
        <v/>
      </c>
    </row>
    <row r="139">
      <c r="B139" s="58" t="n">
        <v>135</v>
      </c>
      <c r="C139" s="61">
        <f>C138*$A$5</f>
        <v/>
      </c>
      <c r="D139" s="61">
        <f>D138*$A$5</f>
        <v/>
      </c>
      <c r="E139" s="61">
        <f>E138*$A$5</f>
        <v/>
      </c>
      <c r="F139" s="0">
        <f>ROUND((C139/C$5-1)*100000, 0)</f>
        <v/>
      </c>
      <c r="H139" s="58" t="n">
        <v>135</v>
      </c>
      <c r="I139" s="61">
        <f>I138*$G$5</f>
        <v/>
      </c>
      <c r="J139" s="61">
        <f>J138*$G$5</f>
        <v/>
      </c>
      <c r="K139" s="61">
        <f>K138*$G$5</f>
        <v/>
      </c>
      <c r="L139" s="0">
        <f>ROUND((I139/I$5-1)*100000, 0)</f>
        <v/>
      </c>
      <c r="N139" s="58" t="n">
        <v>135</v>
      </c>
      <c r="O139" s="61">
        <f>O138*$M$5</f>
        <v/>
      </c>
      <c r="P139" s="61">
        <f>P138*$M$5</f>
        <v/>
      </c>
      <c r="Q139" s="61">
        <f>Q138*$M$5</f>
        <v/>
      </c>
      <c r="R139" s="0">
        <f>ROUND((O139/O$5-1)*100000, 0)</f>
        <v/>
      </c>
      <c r="S139" s="0">
        <f>$O$5*(1+R139/100000)</f>
        <v/>
      </c>
    </row>
    <row r="140">
      <c r="B140" s="58" t="n">
        <v>136</v>
      </c>
      <c r="C140" s="61">
        <f>C139*$A$5</f>
        <v/>
      </c>
      <c r="D140" s="61">
        <f>D139*$A$5</f>
        <v/>
      </c>
      <c r="E140" s="61">
        <f>E139*$A$5</f>
        <v/>
      </c>
      <c r="F140" s="0">
        <f>ROUND((C140/C$5-1)*100000, 0)</f>
        <v/>
      </c>
      <c r="H140" s="58" t="n">
        <v>136</v>
      </c>
      <c r="I140" s="61">
        <f>I139*$G$5</f>
        <v/>
      </c>
      <c r="J140" s="61">
        <f>J139*$G$5</f>
        <v/>
      </c>
      <c r="K140" s="61">
        <f>K139*$G$5</f>
        <v/>
      </c>
      <c r="L140" s="0">
        <f>ROUND((I140/I$5-1)*100000, 0)</f>
        <v/>
      </c>
      <c r="N140" s="58" t="n">
        <v>136</v>
      </c>
      <c r="O140" s="61">
        <f>O139*$M$5</f>
        <v/>
      </c>
      <c r="P140" s="61">
        <f>P139*$M$5</f>
        <v/>
      </c>
      <c r="Q140" s="61">
        <f>Q139*$M$5</f>
        <v/>
      </c>
      <c r="R140" s="0">
        <f>ROUND((O140/O$5-1)*100000, 0)</f>
        <v/>
      </c>
      <c r="S140" s="0">
        <f>$O$5*(1+R140/100000)</f>
        <v/>
      </c>
    </row>
    <row r="141">
      <c r="B141" s="58" t="n">
        <v>137</v>
      </c>
      <c r="C141" s="61">
        <f>C140*$A$5</f>
        <v/>
      </c>
      <c r="D141" s="61">
        <f>D140*$A$5</f>
        <v/>
      </c>
      <c r="E141" s="61">
        <f>E140*$A$5</f>
        <v/>
      </c>
      <c r="F141" s="0">
        <f>ROUND((C141/C$5-1)*100000, 0)</f>
        <v/>
      </c>
      <c r="H141" s="58" t="n">
        <v>137</v>
      </c>
      <c r="I141" s="61">
        <f>I140*$G$5</f>
        <v/>
      </c>
      <c r="J141" s="61">
        <f>J140*$G$5</f>
        <v/>
      </c>
      <c r="K141" s="61">
        <f>K140*$G$5</f>
        <v/>
      </c>
      <c r="L141" s="0">
        <f>ROUND((I141/I$5-1)*100000, 0)</f>
        <v/>
      </c>
      <c r="N141" s="58" t="n">
        <v>137</v>
      </c>
      <c r="O141" s="61">
        <f>O140*$M$5</f>
        <v/>
      </c>
      <c r="P141" s="61">
        <f>P140*$M$5</f>
        <v/>
      </c>
      <c r="Q141" s="61">
        <f>Q140*$M$5</f>
        <v/>
      </c>
      <c r="R141" s="0">
        <f>ROUND((O141/O$5-1)*100000, 0)</f>
        <v/>
      </c>
      <c r="S141" s="0">
        <f>$O$5*(1+R141/100000)</f>
        <v/>
      </c>
    </row>
    <row r="142">
      <c r="B142" s="58" t="n">
        <v>138</v>
      </c>
      <c r="C142" s="61">
        <f>C141*$A$5</f>
        <v/>
      </c>
      <c r="D142" s="61">
        <f>D141*$A$5</f>
        <v/>
      </c>
      <c r="E142" s="61">
        <f>E141*$A$5</f>
        <v/>
      </c>
      <c r="F142" s="0">
        <f>ROUND((C142/C$5-1)*100000, 0)</f>
        <v/>
      </c>
      <c r="H142" s="58" t="n">
        <v>138</v>
      </c>
      <c r="I142" s="61">
        <f>I141*$G$5</f>
        <v/>
      </c>
      <c r="J142" s="61">
        <f>J141*$G$5</f>
        <v/>
      </c>
      <c r="K142" s="61">
        <f>K141*$G$5</f>
        <v/>
      </c>
      <c r="L142" s="0">
        <f>ROUND((I142/I$5-1)*100000, 0)</f>
        <v/>
      </c>
      <c r="N142" s="58" t="n">
        <v>138</v>
      </c>
      <c r="O142" s="61">
        <f>O141*$M$5</f>
        <v/>
      </c>
      <c r="P142" s="61">
        <f>P141*$M$5</f>
        <v/>
      </c>
      <c r="Q142" s="61">
        <f>Q141*$M$5</f>
        <v/>
      </c>
      <c r="R142" s="0">
        <f>ROUND((O142/O$5-1)*100000, 0)</f>
        <v/>
      </c>
      <c r="S142" s="0">
        <f>$O$5*(1+R142/100000)</f>
        <v/>
      </c>
    </row>
    <row r="143">
      <c r="B143" s="58" t="n">
        <v>139</v>
      </c>
      <c r="C143" s="61">
        <f>C142*$A$5</f>
        <v/>
      </c>
      <c r="D143" s="61">
        <f>D142*$A$5</f>
        <v/>
      </c>
      <c r="E143" s="61">
        <f>E142*$A$5</f>
        <v/>
      </c>
      <c r="F143" s="0">
        <f>ROUND((C143/C$5-1)*100000, 0)</f>
        <v/>
      </c>
      <c r="H143" s="58" t="n">
        <v>139</v>
      </c>
      <c r="I143" s="61">
        <f>I142*$G$5</f>
        <v/>
      </c>
      <c r="J143" s="61">
        <f>J142*$G$5</f>
        <v/>
      </c>
      <c r="K143" s="61">
        <f>K142*$G$5</f>
        <v/>
      </c>
      <c r="L143" s="0">
        <f>ROUND((I143/I$5-1)*100000, 0)</f>
        <v/>
      </c>
      <c r="N143" s="58" t="n">
        <v>139</v>
      </c>
      <c r="O143" s="61">
        <f>O142*$M$5</f>
        <v/>
      </c>
      <c r="P143" s="61">
        <f>P142*$M$5</f>
        <v/>
      </c>
      <c r="Q143" s="61">
        <f>Q142*$M$5</f>
        <v/>
      </c>
      <c r="R143" s="0">
        <f>ROUND((O143/O$5-1)*100000, 0)</f>
        <v/>
      </c>
      <c r="S143" s="0">
        <f>$O$5*(1+R143/100000)</f>
        <v/>
      </c>
    </row>
    <row r="144">
      <c r="B144" s="58" t="n">
        <v>140</v>
      </c>
      <c r="C144" s="61">
        <f>C143*$A$5</f>
        <v/>
      </c>
      <c r="D144" s="61">
        <f>D143*$A$5</f>
        <v/>
      </c>
      <c r="E144" s="61">
        <f>E143*$A$5</f>
        <v/>
      </c>
      <c r="F144" s="0">
        <f>ROUND((C144/C$5-1)*100000, 0)</f>
        <v/>
      </c>
      <c r="H144" s="58" t="n">
        <v>140</v>
      </c>
      <c r="I144" s="61">
        <f>I143*$G$5</f>
        <v/>
      </c>
      <c r="J144" s="61">
        <f>J143*$G$5</f>
        <v/>
      </c>
      <c r="K144" s="61">
        <f>K143*$G$5</f>
        <v/>
      </c>
      <c r="L144" s="0">
        <f>ROUND((I144/I$5-1)*100000, 0)</f>
        <v/>
      </c>
      <c r="N144" s="58" t="n">
        <v>140</v>
      </c>
      <c r="O144" s="61">
        <f>O143*$M$5</f>
        <v/>
      </c>
      <c r="P144" s="61">
        <f>P143*$M$5</f>
        <v/>
      </c>
      <c r="Q144" s="61">
        <f>Q143*$M$5</f>
        <v/>
      </c>
      <c r="R144" s="0">
        <f>ROUND((O144/O$5-1)*100000, 0)</f>
        <v/>
      </c>
      <c r="S144" s="0">
        <f>$O$5*(1+R144/100000)</f>
        <v/>
      </c>
    </row>
    <row r="145">
      <c r="B145" s="58" t="n">
        <v>141</v>
      </c>
      <c r="C145" s="61">
        <f>C144*$A$5</f>
        <v/>
      </c>
      <c r="D145" s="61">
        <f>D144*$A$5</f>
        <v/>
      </c>
      <c r="E145" s="61">
        <f>E144*$A$5</f>
        <v/>
      </c>
      <c r="F145" s="0">
        <f>ROUND((C145/C$5-1)*100000, 0)</f>
        <v/>
      </c>
      <c r="H145" s="58" t="n">
        <v>141</v>
      </c>
      <c r="I145" s="61">
        <f>I144*$G$5</f>
        <v/>
      </c>
      <c r="J145" s="61">
        <f>J144*$G$5</f>
        <v/>
      </c>
      <c r="K145" s="61">
        <f>K144*$G$5</f>
        <v/>
      </c>
      <c r="L145" s="0">
        <f>ROUND((I145/I$5-1)*100000, 0)</f>
        <v/>
      </c>
      <c r="N145" s="58" t="n">
        <v>141</v>
      </c>
      <c r="O145" s="61">
        <f>O144*$M$5</f>
        <v/>
      </c>
      <c r="P145" s="61">
        <f>P144*$M$5</f>
        <v/>
      </c>
      <c r="Q145" s="61">
        <f>Q144*$M$5</f>
        <v/>
      </c>
      <c r="R145" s="0">
        <f>ROUND((O145/O$5-1)*100000, 0)</f>
        <v/>
      </c>
      <c r="S145" s="0">
        <f>$O$5*(1+R145/100000)</f>
        <v/>
      </c>
    </row>
    <row r="146">
      <c r="B146" s="58" t="n">
        <v>142</v>
      </c>
      <c r="C146" s="61">
        <f>C145*$A$5</f>
        <v/>
      </c>
      <c r="D146" s="61">
        <f>D145*$A$5</f>
        <v/>
      </c>
      <c r="E146" s="61">
        <f>E145*$A$5</f>
        <v/>
      </c>
      <c r="F146" s="0">
        <f>ROUND((C146/C$5-1)*100000, 0)</f>
        <v/>
      </c>
      <c r="H146" s="58" t="n">
        <v>142</v>
      </c>
      <c r="I146" s="61">
        <f>I145*$G$5</f>
        <v/>
      </c>
      <c r="J146" s="61">
        <f>J145*$G$5</f>
        <v/>
      </c>
      <c r="K146" s="61">
        <f>K145*$G$5</f>
        <v/>
      </c>
      <c r="L146" s="0">
        <f>ROUND((I146/I$5-1)*100000, 0)</f>
        <v/>
      </c>
      <c r="N146" s="58" t="n">
        <v>142</v>
      </c>
      <c r="O146" s="61">
        <f>O145*$M$5</f>
        <v/>
      </c>
      <c r="P146" s="61">
        <f>P145*$M$5</f>
        <v/>
      </c>
      <c r="Q146" s="61">
        <f>Q145*$M$5</f>
        <v/>
      </c>
      <c r="R146" s="0">
        <f>ROUND((O146/O$5-1)*100000, 0)</f>
        <v/>
      </c>
      <c r="S146" s="0">
        <f>$O$5*(1+R146/100000)</f>
        <v/>
      </c>
    </row>
    <row r="147">
      <c r="B147" s="58" t="n">
        <v>143</v>
      </c>
      <c r="C147" s="61">
        <f>C146*$A$5</f>
        <v/>
      </c>
      <c r="D147" s="61">
        <f>D146*$A$5</f>
        <v/>
      </c>
      <c r="E147" s="61">
        <f>E146*$A$5</f>
        <v/>
      </c>
      <c r="F147" s="0">
        <f>ROUND((C147/C$5-1)*100000, 0)</f>
        <v/>
      </c>
      <c r="H147" s="58" t="n">
        <v>143</v>
      </c>
      <c r="I147" s="61">
        <f>I146*$G$5</f>
        <v/>
      </c>
      <c r="J147" s="61">
        <f>J146*$G$5</f>
        <v/>
      </c>
      <c r="K147" s="61">
        <f>K146*$G$5</f>
        <v/>
      </c>
      <c r="L147" s="0">
        <f>ROUND((I147/I$5-1)*100000, 0)</f>
        <v/>
      </c>
      <c r="N147" s="58" t="n">
        <v>143</v>
      </c>
      <c r="O147" s="61">
        <f>O146*$M$5</f>
        <v/>
      </c>
      <c r="P147" s="61">
        <f>P146*$M$5</f>
        <v/>
      </c>
      <c r="Q147" s="61">
        <f>Q146*$M$5</f>
        <v/>
      </c>
      <c r="R147" s="0">
        <f>ROUND((O147/O$5-1)*100000, 0)</f>
        <v/>
      </c>
      <c r="S147" s="0">
        <f>$O$5*(1+R147/100000)</f>
        <v/>
      </c>
    </row>
    <row r="148">
      <c r="B148" s="58" t="n">
        <v>144</v>
      </c>
      <c r="C148" s="61">
        <f>C147*$A$5</f>
        <v/>
      </c>
      <c r="D148" s="61">
        <f>D147*$A$5</f>
        <v/>
      </c>
      <c r="E148" s="61">
        <f>E147*$A$5</f>
        <v/>
      </c>
      <c r="F148" s="0">
        <f>ROUND((C148/C$5-1)*100000, 0)</f>
        <v/>
      </c>
      <c r="H148" s="58" t="n">
        <v>144</v>
      </c>
      <c r="I148" s="61">
        <f>I147*$G$5</f>
        <v/>
      </c>
      <c r="J148" s="61">
        <f>J147*$G$5</f>
        <v/>
      </c>
      <c r="K148" s="61">
        <f>K147*$G$5</f>
        <v/>
      </c>
      <c r="L148" s="0">
        <f>ROUND((I148/I$5-1)*100000, 0)</f>
        <v/>
      </c>
      <c r="N148" s="58" t="n">
        <v>144</v>
      </c>
      <c r="O148" s="61">
        <f>O147*$M$5</f>
        <v/>
      </c>
      <c r="P148" s="61">
        <f>P147*$M$5</f>
        <v/>
      </c>
      <c r="Q148" s="61">
        <f>Q147*$M$5</f>
        <v/>
      </c>
      <c r="R148" s="0">
        <f>ROUND((O148/O$5-1)*100000, 0)</f>
        <v/>
      </c>
      <c r="S148" s="0">
        <f>$O$5*(1+R148/100000)</f>
        <v/>
      </c>
    </row>
    <row r="149">
      <c r="B149" s="58" t="n">
        <v>145</v>
      </c>
      <c r="C149" s="61">
        <f>C148*$A$5</f>
        <v/>
      </c>
      <c r="D149" s="61">
        <f>D148*$A$5</f>
        <v/>
      </c>
      <c r="E149" s="61">
        <f>E148*$A$5</f>
        <v/>
      </c>
      <c r="F149" s="0">
        <f>ROUND((C149/C$5-1)*100000, 0)</f>
        <v/>
      </c>
      <c r="H149" s="58" t="n">
        <v>145</v>
      </c>
      <c r="I149" s="61">
        <f>I148*$G$5</f>
        <v/>
      </c>
      <c r="J149" s="61">
        <f>J148*$G$5</f>
        <v/>
      </c>
      <c r="K149" s="61">
        <f>K148*$G$5</f>
        <v/>
      </c>
      <c r="L149" s="0">
        <f>ROUND((I149/I$5-1)*100000, 0)</f>
        <v/>
      </c>
      <c r="N149" s="58" t="n">
        <v>145</v>
      </c>
      <c r="O149" s="61">
        <f>O148*$M$5</f>
        <v/>
      </c>
      <c r="P149" s="61">
        <f>P148*$M$5</f>
        <v/>
      </c>
      <c r="Q149" s="61">
        <f>Q148*$M$5</f>
        <v/>
      </c>
      <c r="R149" s="0">
        <f>ROUND((O149/O$5-1)*100000, 0)</f>
        <v/>
      </c>
      <c r="S149" s="0">
        <f>$O$5*(1+R149/100000)</f>
        <v/>
      </c>
    </row>
    <row r="150">
      <c r="B150" s="58" t="n">
        <v>146</v>
      </c>
      <c r="C150" s="61">
        <f>C149*$A$5</f>
        <v/>
      </c>
      <c r="D150" s="61">
        <f>D149*$A$5</f>
        <v/>
      </c>
      <c r="E150" s="61">
        <f>E149*$A$5</f>
        <v/>
      </c>
      <c r="F150" s="0">
        <f>ROUND((C150/C$5-1)*100000, 0)</f>
        <v/>
      </c>
      <c r="H150" s="58" t="n">
        <v>146</v>
      </c>
      <c r="I150" s="61">
        <f>I149*$G$5</f>
        <v/>
      </c>
      <c r="J150" s="61">
        <f>J149*$G$5</f>
        <v/>
      </c>
      <c r="K150" s="61">
        <f>K149*$G$5</f>
        <v/>
      </c>
      <c r="L150" s="0">
        <f>ROUND((I150/I$5-1)*100000, 0)</f>
        <v/>
      </c>
      <c r="N150" s="58" t="n">
        <v>146</v>
      </c>
      <c r="O150" s="61">
        <f>O149*$M$5</f>
        <v/>
      </c>
      <c r="P150" s="61">
        <f>P149*$M$5</f>
        <v/>
      </c>
      <c r="Q150" s="61">
        <f>Q149*$M$5</f>
        <v/>
      </c>
      <c r="R150" s="0">
        <f>ROUND((O150/O$5-1)*100000, 0)</f>
        <v/>
      </c>
      <c r="S150" s="0">
        <f>$O$5*(1+R150/100000)</f>
        <v/>
      </c>
    </row>
    <row r="151">
      <c r="B151" s="58" t="n">
        <v>147</v>
      </c>
      <c r="C151" s="61">
        <f>C150*$A$5</f>
        <v/>
      </c>
      <c r="D151" s="61">
        <f>D150*$A$5</f>
        <v/>
      </c>
      <c r="E151" s="61">
        <f>E150*$A$5</f>
        <v/>
      </c>
      <c r="F151" s="0">
        <f>ROUND((C151/C$5-1)*100000, 0)</f>
        <v/>
      </c>
      <c r="H151" s="58" t="n">
        <v>147</v>
      </c>
      <c r="I151" s="61">
        <f>I150*$G$5</f>
        <v/>
      </c>
      <c r="J151" s="61">
        <f>J150*$G$5</f>
        <v/>
      </c>
      <c r="K151" s="61">
        <f>K150*$G$5</f>
        <v/>
      </c>
      <c r="L151" s="0">
        <f>ROUND((I151/I$5-1)*100000, 0)</f>
        <v/>
      </c>
      <c r="N151" s="58" t="n">
        <v>147</v>
      </c>
      <c r="O151" s="61">
        <f>O150*$M$5</f>
        <v/>
      </c>
      <c r="P151" s="61">
        <f>P150*$M$5</f>
        <v/>
      </c>
      <c r="Q151" s="61">
        <f>Q150*$M$5</f>
        <v/>
      </c>
      <c r="R151" s="0">
        <f>ROUND((O151/O$5-1)*100000, 0)</f>
        <v/>
      </c>
      <c r="S151" s="0">
        <f>$O$5*(1+R151/100000)</f>
        <v/>
      </c>
    </row>
    <row r="152">
      <c r="B152" s="58" t="n">
        <v>148</v>
      </c>
      <c r="C152" s="61">
        <f>C151*$A$5</f>
        <v/>
      </c>
      <c r="D152" s="61">
        <f>D151*$A$5</f>
        <v/>
      </c>
      <c r="E152" s="61">
        <f>E151*$A$5</f>
        <v/>
      </c>
      <c r="F152" s="0">
        <f>ROUND((C152/C$5-1)*100000, 0)</f>
        <v/>
      </c>
      <c r="H152" s="58" t="n">
        <v>148</v>
      </c>
      <c r="I152" s="61">
        <f>I151*$G$5</f>
        <v/>
      </c>
      <c r="J152" s="61">
        <f>J151*$G$5</f>
        <v/>
      </c>
      <c r="K152" s="61">
        <f>K151*$G$5</f>
        <v/>
      </c>
      <c r="L152" s="0">
        <f>ROUND((I152/I$5-1)*100000, 0)</f>
        <v/>
      </c>
      <c r="N152" s="58" t="n">
        <v>148</v>
      </c>
      <c r="O152" s="61">
        <f>O151*$M$5</f>
        <v/>
      </c>
      <c r="P152" s="61">
        <f>P151*$M$5</f>
        <v/>
      </c>
      <c r="Q152" s="61">
        <f>Q151*$M$5</f>
        <v/>
      </c>
      <c r="R152" s="0">
        <f>ROUND((O152/O$5-1)*100000, 0)</f>
        <v/>
      </c>
      <c r="S152" s="0">
        <f>$O$5*(1+R152/100000)</f>
        <v/>
      </c>
    </row>
    <row r="153">
      <c r="B153" s="58" t="n">
        <v>149</v>
      </c>
      <c r="C153" s="61">
        <f>C152*$A$5</f>
        <v/>
      </c>
      <c r="D153" s="61">
        <f>D152*$A$5</f>
        <v/>
      </c>
      <c r="E153" s="61">
        <f>E152*$A$5</f>
        <v/>
      </c>
      <c r="F153" s="0">
        <f>ROUND((C153/C$5-1)*100000, 0)</f>
        <v/>
      </c>
      <c r="H153" s="58" t="n">
        <v>149</v>
      </c>
      <c r="I153" s="61">
        <f>I152*$G$5</f>
        <v/>
      </c>
      <c r="J153" s="61">
        <f>J152*$G$5</f>
        <v/>
      </c>
      <c r="K153" s="61">
        <f>K152*$G$5</f>
        <v/>
      </c>
      <c r="L153" s="0">
        <f>ROUND((I153/I$5-1)*100000, 0)</f>
        <v/>
      </c>
      <c r="N153" s="58" t="n">
        <v>149</v>
      </c>
      <c r="O153" s="61">
        <f>O152*$M$5</f>
        <v/>
      </c>
      <c r="P153" s="61">
        <f>P152*$M$5</f>
        <v/>
      </c>
      <c r="Q153" s="61">
        <f>Q152*$M$5</f>
        <v/>
      </c>
      <c r="R153" s="0">
        <f>ROUND((O153/O$5-1)*100000, 0)</f>
        <v/>
      </c>
      <c r="S153" s="0">
        <f>$O$5*(1+R153/100000)</f>
        <v/>
      </c>
    </row>
    <row r="154">
      <c r="B154" s="58" t="n">
        <v>150</v>
      </c>
      <c r="C154" s="61">
        <f>C153*$A$5</f>
        <v/>
      </c>
      <c r="D154" s="61">
        <f>D153*$A$5</f>
        <v/>
      </c>
      <c r="E154" s="61">
        <f>E153*$A$5</f>
        <v/>
      </c>
      <c r="F154" s="0">
        <f>ROUND((C154/C$5-1)*100000, 0)</f>
        <v/>
      </c>
      <c r="H154" s="58" t="n">
        <v>150</v>
      </c>
      <c r="I154" s="61">
        <f>I153*$G$5</f>
        <v/>
      </c>
      <c r="J154" s="61">
        <f>J153*$G$5</f>
        <v/>
      </c>
      <c r="K154" s="61">
        <f>K153*$G$5</f>
        <v/>
      </c>
      <c r="L154" s="0">
        <f>ROUND((I154/I$5-1)*100000, 0)</f>
        <v/>
      </c>
      <c r="N154" s="58" t="n">
        <v>150</v>
      </c>
      <c r="O154" s="61">
        <f>O153*$M$5</f>
        <v/>
      </c>
      <c r="P154" s="61">
        <f>P153*$M$5</f>
        <v/>
      </c>
      <c r="Q154" s="61">
        <f>Q153*$M$5</f>
        <v/>
      </c>
      <c r="R154" s="0">
        <f>ROUND((O154/O$5-1)*100000, 0)</f>
        <v/>
      </c>
      <c r="S154" s="0">
        <f>$O$5*(1+R154/100000)</f>
        <v/>
      </c>
    </row>
    <row r="155">
      <c r="B155" s="58" t="n">
        <v>151</v>
      </c>
      <c r="C155" s="61">
        <f>C154*$A$5</f>
        <v/>
      </c>
      <c r="D155" s="61">
        <f>D154*$A$5</f>
        <v/>
      </c>
      <c r="E155" s="61">
        <f>E154*$A$5</f>
        <v/>
      </c>
      <c r="F155" s="0">
        <f>ROUND((C155/C$5-1)*100000, 0)</f>
        <v/>
      </c>
      <c r="H155" s="58" t="n">
        <v>151</v>
      </c>
      <c r="I155" s="61">
        <f>I154*$G$5</f>
        <v/>
      </c>
      <c r="J155" s="61">
        <f>J154*$G$5</f>
        <v/>
      </c>
      <c r="K155" s="61">
        <f>K154*$G$5</f>
        <v/>
      </c>
      <c r="L155" s="0">
        <f>ROUND((I155/I$5-1)*100000, 0)</f>
        <v/>
      </c>
      <c r="N155" s="58" t="n">
        <v>151</v>
      </c>
      <c r="O155" s="61">
        <f>O154*$M$5</f>
        <v/>
      </c>
      <c r="P155" s="61">
        <f>P154*$M$5</f>
        <v/>
      </c>
      <c r="Q155" s="61">
        <f>Q154*$M$5</f>
        <v/>
      </c>
      <c r="R155" s="0">
        <f>ROUND((O155/O$5-1)*100000, 0)</f>
        <v/>
      </c>
      <c r="S155" s="0">
        <f>$O$5*(1+R155/100000)</f>
        <v/>
      </c>
    </row>
    <row r="156">
      <c r="B156" s="58" t="n">
        <v>152</v>
      </c>
      <c r="C156" s="61">
        <f>C155*$A$5</f>
        <v/>
      </c>
      <c r="D156" s="61">
        <f>D155*$A$5</f>
        <v/>
      </c>
      <c r="E156" s="61">
        <f>E155*$A$5</f>
        <v/>
      </c>
      <c r="F156" s="0">
        <f>ROUND((C156/C$5-1)*100000, 0)</f>
        <v/>
      </c>
      <c r="H156" s="58" t="n">
        <v>152</v>
      </c>
      <c r="I156" s="61">
        <f>I155*$G$5</f>
        <v/>
      </c>
      <c r="J156" s="61">
        <f>J155*$G$5</f>
        <v/>
      </c>
      <c r="K156" s="61">
        <f>K155*$G$5</f>
        <v/>
      </c>
      <c r="L156" s="0">
        <f>ROUND((I156/I$5-1)*100000, 0)</f>
        <v/>
      </c>
      <c r="N156" s="58" t="n">
        <v>152</v>
      </c>
      <c r="O156" s="61">
        <f>O155*$M$5</f>
        <v/>
      </c>
      <c r="P156" s="61">
        <f>P155*$M$5</f>
        <v/>
      </c>
      <c r="Q156" s="61">
        <f>Q155*$M$5</f>
        <v/>
      </c>
      <c r="R156" s="0">
        <f>ROUND((O156/O$5-1)*100000, 0)</f>
        <v/>
      </c>
      <c r="S156" s="0">
        <f>$O$5*(1+R156/100000)</f>
        <v/>
      </c>
    </row>
    <row r="157">
      <c r="B157" s="58" t="n">
        <v>153</v>
      </c>
      <c r="C157" s="61">
        <f>C156*$A$5</f>
        <v/>
      </c>
      <c r="D157" s="61">
        <f>D156*$A$5</f>
        <v/>
      </c>
      <c r="E157" s="61">
        <f>E156*$A$5</f>
        <v/>
      </c>
      <c r="F157" s="0">
        <f>ROUND((C157/C$5-1)*100000, 0)</f>
        <v/>
      </c>
      <c r="H157" s="58" t="n">
        <v>153</v>
      </c>
      <c r="I157" s="61">
        <f>I156*$G$5</f>
        <v/>
      </c>
      <c r="J157" s="61">
        <f>J156*$G$5</f>
        <v/>
      </c>
      <c r="K157" s="61">
        <f>K156*$G$5</f>
        <v/>
      </c>
      <c r="L157" s="0">
        <f>ROUND((I157/I$5-1)*100000, 0)</f>
        <v/>
      </c>
      <c r="N157" s="58" t="n">
        <v>153</v>
      </c>
      <c r="O157" s="61">
        <f>O156*$M$5</f>
        <v/>
      </c>
      <c r="P157" s="61">
        <f>P156*$M$5</f>
        <v/>
      </c>
      <c r="Q157" s="61">
        <f>Q156*$M$5</f>
        <v/>
      </c>
      <c r="R157" s="0">
        <f>ROUND((O157/O$5-1)*100000, 0)</f>
        <v/>
      </c>
      <c r="S157" s="0">
        <f>$O$5*(1+R157/100000)</f>
        <v/>
      </c>
    </row>
    <row r="158">
      <c r="B158" s="58" t="n">
        <v>154</v>
      </c>
      <c r="C158" s="61">
        <f>C157*$A$5</f>
        <v/>
      </c>
      <c r="D158" s="61">
        <f>D157*$A$5</f>
        <v/>
      </c>
      <c r="E158" s="61">
        <f>E157*$A$5</f>
        <v/>
      </c>
      <c r="F158" s="0">
        <f>ROUND((C158/C$5-1)*100000, 0)</f>
        <v/>
      </c>
      <c r="H158" s="58" t="n">
        <v>154</v>
      </c>
      <c r="I158" s="61">
        <f>I157*$G$5</f>
        <v/>
      </c>
      <c r="J158" s="61">
        <f>J157*$G$5</f>
        <v/>
      </c>
      <c r="K158" s="61">
        <f>K157*$G$5</f>
        <v/>
      </c>
      <c r="L158" s="0">
        <f>ROUND((I158/I$5-1)*100000, 0)</f>
        <v/>
      </c>
      <c r="N158" s="58" t="n">
        <v>154</v>
      </c>
      <c r="O158" s="61">
        <f>O157*$M$5</f>
        <v/>
      </c>
      <c r="P158" s="61">
        <f>P157*$M$5</f>
        <v/>
      </c>
      <c r="Q158" s="61">
        <f>Q157*$M$5</f>
        <v/>
      </c>
      <c r="R158" s="0">
        <f>ROUND((O158/O$5-1)*100000, 0)</f>
        <v/>
      </c>
      <c r="S158" s="0">
        <f>$O$5*(1+R158/100000)</f>
        <v/>
      </c>
    </row>
    <row r="159">
      <c r="B159" s="58" t="n">
        <v>155</v>
      </c>
      <c r="C159" s="61">
        <f>C158*$A$5</f>
        <v/>
      </c>
      <c r="D159" s="61">
        <f>D158*$A$5</f>
        <v/>
      </c>
      <c r="E159" s="61">
        <f>E158*$A$5</f>
        <v/>
      </c>
      <c r="F159" s="0">
        <f>ROUND((C159/C$5-1)*100000, 0)</f>
        <v/>
      </c>
      <c r="H159" s="58" t="n">
        <v>155</v>
      </c>
      <c r="I159" s="61">
        <f>I158*$G$5</f>
        <v/>
      </c>
      <c r="J159" s="61">
        <f>J158*$G$5</f>
        <v/>
      </c>
      <c r="K159" s="61">
        <f>K158*$G$5</f>
        <v/>
      </c>
      <c r="L159" s="0">
        <f>ROUND((I159/I$5-1)*100000, 0)</f>
        <v/>
      </c>
      <c r="N159" s="58" t="n">
        <v>155</v>
      </c>
      <c r="O159" s="61">
        <f>O158*$M$5</f>
        <v/>
      </c>
      <c r="P159" s="61">
        <f>P158*$M$5</f>
        <v/>
      </c>
      <c r="Q159" s="61">
        <f>Q158*$M$5</f>
        <v/>
      </c>
      <c r="R159" s="0">
        <f>ROUND((O159/O$5-1)*100000, 0)</f>
        <v/>
      </c>
      <c r="S159" s="0">
        <f>$O$5*(1+R159/100000)</f>
        <v/>
      </c>
    </row>
    <row r="160">
      <c r="B160" s="58" t="n">
        <v>156</v>
      </c>
      <c r="C160" s="61">
        <f>C159*$A$5</f>
        <v/>
      </c>
      <c r="D160" s="61">
        <f>D159*$A$5</f>
        <v/>
      </c>
      <c r="E160" s="61">
        <f>E159*$A$5</f>
        <v/>
      </c>
      <c r="F160" s="0">
        <f>ROUND((C160/C$5-1)*100000, 0)</f>
        <v/>
      </c>
      <c r="H160" s="58" t="n">
        <v>156</v>
      </c>
      <c r="I160" s="61">
        <f>I159*$G$5</f>
        <v/>
      </c>
      <c r="J160" s="61">
        <f>J159*$G$5</f>
        <v/>
      </c>
      <c r="K160" s="61">
        <f>K159*$G$5</f>
        <v/>
      </c>
      <c r="L160" s="0">
        <f>ROUND((I160/I$5-1)*100000, 0)</f>
        <v/>
      </c>
      <c r="N160" s="58" t="n">
        <v>156</v>
      </c>
      <c r="O160" s="61">
        <f>O159*$M$5</f>
        <v/>
      </c>
      <c r="P160" s="61">
        <f>P159*$M$5</f>
        <v/>
      </c>
      <c r="Q160" s="61">
        <f>Q159*$M$5</f>
        <v/>
      </c>
      <c r="R160" s="0">
        <f>ROUND((O160/O$5-1)*100000, 0)</f>
        <v/>
      </c>
      <c r="S160" s="0">
        <f>$O$5*(1+R160/100000)</f>
        <v/>
      </c>
    </row>
    <row r="161">
      <c r="B161" s="58" t="n">
        <v>157</v>
      </c>
      <c r="C161" s="61">
        <f>C160*$A$5</f>
        <v/>
      </c>
      <c r="D161" s="61">
        <f>D160*$A$5</f>
        <v/>
      </c>
      <c r="E161" s="61">
        <f>E160*$A$5</f>
        <v/>
      </c>
      <c r="F161" s="0">
        <f>ROUND((C161/C$5-1)*100000, 0)</f>
        <v/>
      </c>
      <c r="H161" s="58" t="n">
        <v>157</v>
      </c>
      <c r="I161" s="61">
        <f>I160*$G$5</f>
        <v/>
      </c>
      <c r="J161" s="61">
        <f>J160*$G$5</f>
        <v/>
      </c>
      <c r="K161" s="61">
        <f>K160*$G$5</f>
        <v/>
      </c>
      <c r="L161" s="0">
        <f>ROUND((I161/I$5-1)*100000, 0)</f>
        <v/>
      </c>
      <c r="N161" s="58" t="n">
        <v>157</v>
      </c>
      <c r="O161" s="61">
        <f>O160*$M$5</f>
        <v/>
      </c>
      <c r="P161" s="61">
        <f>P160*$M$5</f>
        <v/>
      </c>
      <c r="Q161" s="61">
        <f>Q160*$M$5</f>
        <v/>
      </c>
      <c r="R161" s="0">
        <f>ROUND((O161/O$5-1)*100000, 0)</f>
        <v/>
      </c>
      <c r="S161" s="0">
        <f>$O$5*(1+R161/100000)</f>
        <v/>
      </c>
    </row>
    <row r="162">
      <c r="B162" s="58" t="n">
        <v>158</v>
      </c>
      <c r="C162" s="61">
        <f>C161*$A$5</f>
        <v/>
      </c>
      <c r="D162" s="61">
        <f>D161*$A$5</f>
        <v/>
      </c>
      <c r="E162" s="61">
        <f>E161*$A$5</f>
        <v/>
      </c>
      <c r="F162" s="0">
        <f>ROUND((C162/C$5-1)*100000, 0)</f>
        <v/>
      </c>
      <c r="H162" s="58" t="n">
        <v>158</v>
      </c>
      <c r="I162" s="61">
        <f>I161*$G$5</f>
        <v/>
      </c>
      <c r="J162" s="61">
        <f>J161*$G$5</f>
        <v/>
      </c>
      <c r="K162" s="61">
        <f>K161*$G$5</f>
        <v/>
      </c>
      <c r="L162" s="0">
        <f>ROUND((I162/I$5-1)*100000, 0)</f>
        <v/>
      </c>
      <c r="N162" s="58" t="n">
        <v>158</v>
      </c>
      <c r="O162" s="61">
        <f>O161*$M$5</f>
        <v/>
      </c>
      <c r="P162" s="61">
        <f>P161*$M$5</f>
        <v/>
      </c>
      <c r="Q162" s="61">
        <f>Q161*$M$5</f>
        <v/>
      </c>
      <c r="R162" s="0">
        <f>ROUND((O162/O$5-1)*100000, 0)</f>
        <v/>
      </c>
      <c r="S162" s="0">
        <f>$O$5*(1+R162/100000)</f>
        <v/>
      </c>
    </row>
    <row r="163">
      <c r="B163" s="58" t="n">
        <v>159</v>
      </c>
      <c r="C163" s="61">
        <f>C162*$A$5</f>
        <v/>
      </c>
      <c r="D163" s="61">
        <f>D162*$A$5</f>
        <v/>
      </c>
      <c r="E163" s="61">
        <f>E162*$A$5</f>
        <v/>
      </c>
      <c r="F163" s="0">
        <f>ROUND((C163/C$5-1)*100000, 0)</f>
        <v/>
      </c>
      <c r="H163" s="58" t="n">
        <v>159</v>
      </c>
      <c r="I163" s="61">
        <f>I162*$G$5</f>
        <v/>
      </c>
      <c r="J163" s="61">
        <f>J162*$G$5</f>
        <v/>
      </c>
      <c r="K163" s="61">
        <f>K162*$G$5</f>
        <v/>
      </c>
      <c r="L163" s="0">
        <f>ROUND((I163/I$5-1)*100000, 0)</f>
        <v/>
      </c>
      <c r="N163" s="58" t="n">
        <v>159</v>
      </c>
      <c r="O163" s="61">
        <f>O162*$M$5</f>
        <v/>
      </c>
      <c r="P163" s="61">
        <f>P162*$M$5</f>
        <v/>
      </c>
      <c r="Q163" s="61">
        <f>Q162*$M$5</f>
        <v/>
      </c>
      <c r="R163" s="0">
        <f>ROUND((O163/O$5-1)*100000, 0)</f>
        <v/>
      </c>
      <c r="S163" s="0">
        <f>$O$5*(1+R163/100000)</f>
        <v/>
      </c>
    </row>
    <row r="164">
      <c r="B164" s="58" t="n">
        <v>160</v>
      </c>
      <c r="C164" s="61">
        <f>C163*$A$5</f>
        <v/>
      </c>
      <c r="D164" s="61">
        <f>D163*$A$5</f>
        <v/>
      </c>
      <c r="E164" s="61">
        <f>E163*$A$5</f>
        <v/>
      </c>
      <c r="F164" s="0">
        <f>ROUND((C164/C$5-1)*100000, 0)</f>
        <v/>
      </c>
      <c r="H164" s="58" t="n">
        <v>160</v>
      </c>
      <c r="I164" s="61">
        <f>I163*$G$5</f>
        <v/>
      </c>
      <c r="J164" s="61">
        <f>J163*$G$5</f>
        <v/>
      </c>
      <c r="K164" s="61">
        <f>K163*$G$5</f>
        <v/>
      </c>
      <c r="L164" s="0">
        <f>ROUND((I164/I$5-1)*100000, 0)</f>
        <v/>
      </c>
      <c r="N164" s="58" t="n">
        <v>160</v>
      </c>
      <c r="O164" s="61">
        <f>O163*$M$5</f>
        <v/>
      </c>
      <c r="P164" s="61">
        <f>P163*$M$5</f>
        <v/>
      </c>
      <c r="Q164" s="61">
        <f>Q163*$M$5</f>
        <v/>
      </c>
      <c r="R164" s="0">
        <f>ROUND((O164/O$5-1)*100000, 0)</f>
        <v/>
      </c>
      <c r="S164" s="0">
        <f>$O$5*(1+R164/100000)</f>
        <v/>
      </c>
    </row>
    <row r="165">
      <c r="B165" s="58" t="n">
        <v>161</v>
      </c>
      <c r="C165" s="61">
        <f>C164*$A$5</f>
        <v/>
      </c>
      <c r="D165" s="61">
        <f>D164*$A$5</f>
        <v/>
      </c>
      <c r="E165" s="61">
        <f>E164*$A$5</f>
        <v/>
      </c>
      <c r="F165" s="0">
        <f>ROUND((C165/C$5-1)*100000, 0)</f>
        <v/>
      </c>
      <c r="H165" s="58" t="n">
        <v>161</v>
      </c>
      <c r="I165" s="61">
        <f>I164*$G$5</f>
        <v/>
      </c>
      <c r="J165" s="61">
        <f>J164*$G$5</f>
        <v/>
      </c>
      <c r="K165" s="61">
        <f>K164*$G$5</f>
        <v/>
      </c>
      <c r="L165" s="0">
        <f>ROUND((I165/I$5-1)*100000, 0)</f>
        <v/>
      </c>
      <c r="N165" s="58" t="n">
        <v>161</v>
      </c>
      <c r="O165" s="61">
        <f>O164*$M$5</f>
        <v/>
      </c>
      <c r="P165" s="61">
        <f>P164*$M$5</f>
        <v/>
      </c>
      <c r="Q165" s="61">
        <f>Q164*$M$5</f>
        <v/>
      </c>
      <c r="R165" s="0">
        <f>ROUND((O165/O$5-1)*100000, 0)</f>
        <v/>
      </c>
      <c r="S165" s="0">
        <f>$O$5*(1+R165/100000)</f>
        <v/>
      </c>
    </row>
    <row r="166">
      <c r="B166" s="58" t="n">
        <v>162</v>
      </c>
      <c r="C166" s="61">
        <f>C165*$A$5</f>
        <v/>
      </c>
      <c r="D166" s="61">
        <f>D165*$A$5</f>
        <v/>
      </c>
      <c r="E166" s="61">
        <f>E165*$A$5</f>
        <v/>
      </c>
      <c r="F166" s="0">
        <f>ROUND((C166/C$5-1)*100000, 0)</f>
        <v/>
      </c>
      <c r="H166" s="58" t="n">
        <v>162</v>
      </c>
      <c r="I166" s="61">
        <f>I165*$G$5</f>
        <v/>
      </c>
      <c r="J166" s="61">
        <f>J165*$G$5</f>
        <v/>
      </c>
      <c r="K166" s="61">
        <f>K165*$G$5</f>
        <v/>
      </c>
      <c r="L166" s="0">
        <f>ROUND((I166/I$5-1)*100000, 0)</f>
        <v/>
      </c>
      <c r="N166" s="58" t="n">
        <v>162</v>
      </c>
      <c r="O166" s="61">
        <f>O165*$M$5</f>
        <v/>
      </c>
      <c r="P166" s="61">
        <f>P165*$M$5</f>
        <v/>
      </c>
      <c r="Q166" s="61">
        <f>Q165*$M$5</f>
        <v/>
      </c>
      <c r="R166" s="0">
        <f>ROUND((O166/O$5-1)*100000, 0)</f>
        <v/>
      </c>
      <c r="S166" s="0">
        <f>$O$5*(1+R166/100000)</f>
        <v/>
      </c>
    </row>
    <row r="167">
      <c r="B167" s="58" t="n">
        <v>163</v>
      </c>
      <c r="C167" s="61">
        <f>C166*$A$5</f>
        <v/>
      </c>
      <c r="D167" s="61">
        <f>D166*$A$5</f>
        <v/>
      </c>
      <c r="E167" s="61">
        <f>E166*$A$5</f>
        <v/>
      </c>
      <c r="F167" s="0">
        <f>ROUND((C167/C$5-1)*100000, 0)</f>
        <v/>
      </c>
      <c r="H167" s="58" t="n">
        <v>163</v>
      </c>
      <c r="I167" s="61">
        <f>I166*$G$5</f>
        <v/>
      </c>
      <c r="J167" s="61">
        <f>J166*$G$5</f>
        <v/>
      </c>
      <c r="K167" s="61">
        <f>K166*$G$5</f>
        <v/>
      </c>
      <c r="L167" s="0">
        <f>ROUND((I167/I$5-1)*100000, 0)</f>
        <v/>
      </c>
      <c r="N167" s="58" t="n">
        <v>163</v>
      </c>
      <c r="O167" s="61">
        <f>O166*$M$5</f>
        <v/>
      </c>
      <c r="P167" s="61">
        <f>P166*$M$5</f>
        <v/>
      </c>
      <c r="Q167" s="61">
        <f>Q166*$M$5</f>
        <v/>
      </c>
      <c r="R167" s="0">
        <f>ROUND((O167/O$5-1)*100000, 0)</f>
        <v/>
      </c>
      <c r="S167" s="0">
        <f>$O$5*(1+R167/100000)</f>
        <v/>
      </c>
    </row>
    <row r="168">
      <c r="B168" s="58" t="n">
        <v>164</v>
      </c>
      <c r="C168" s="61">
        <f>C167*$A$5</f>
        <v/>
      </c>
      <c r="D168" s="61">
        <f>D167*$A$5</f>
        <v/>
      </c>
      <c r="E168" s="61">
        <f>E167*$A$5</f>
        <v/>
      </c>
      <c r="F168" s="0">
        <f>ROUND((C168/C$5-1)*100000, 0)</f>
        <v/>
      </c>
      <c r="H168" s="58" t="n">
        <v>164</v>
      </c>
      <c r="I168" s="61">
        <f>I167*$G$5</f>
        <v/>
      </c>
      <c r="J168" s="61">
        <f>J167*$G$5</f>
        <v/>
      </c>
      <c r="K168" s="61">
        <f>K167*$G$5</f>
        <v/>
      </c>
      <c r="L168" s="0">
        <f>ROUND((I168/I$5-1)*100000, 0)</f>
        <v/>
      </c>
      <c r="N168" s="58" t="n">
        <v>164</v>
      </c>
      <c r="O168" s="61">
        <f>O167*$M$5</f>
        <v/>
      </c>
      <c r="P168" s="61">
        <f>P167*$M$5</f>
        <v/>
      </c>
      <c r="Q168" s="61">
        <f>Q167*$M$5</f>
        <v/>
      </c>
      <c r="R168" s="0">
        <f>ROUND((O168/O$5-1)*100000, 0)</f>
        <v/>
      </c>
      <c r="S168" s="0">
        <f>$O$5*(1+R168/100000)</f>
        <v/>
      </c>
    </row>
    <row r="169">
      <c r="B169" s="58" t="n">
        <v>165</v>
      </c>
      <c r="C169" s="61">
        <f>C168*$A$5</f>
        <v/>
      </c>
      <c r="D169" s="61">
        <f>D168*$A$5</f>
        <v/>
      </c>
      <c r="E169" s="61">
        <f>E168*$A$5</f>
        <v/>
      </c>
      <c r="F169" s="0">
        <f>ROUND((C169/C$5-1)*100000, 0)</f>
        <v/>
      </c>
      <c r="H169" s="58" t="n">
        <v>165</v>
      </c>
      <c r="I169" s="61">
        <f>I168*$G$5</f>
        <v/>
      </c>
      <c r="J169" s="61">
        <f>J168*$G$5</f>
        <v/>
      </c>
      <c r="K169" s="61">
        <f>K168*$G$5</f>
        <v/>
      </c>
      <c r="L169" s="0">
        <f>ROUND((I169/I$5-1)*100000, 0)</f>
        <v/>
      </c>
      <c r="N169" s="58" t="n">
        <v>165</v>
      </c>
      <c r="O169" s="61">
        <f>O168*$M$5</f>
        <v/>
      </c>
      <c r="P169" s="61">
        <f>P168*$M$5</f>
        <v/>
      </c>
      <c r="Q169" s="61">
        <f>Q168*$M$5</f>
        <v/>
      </c>
      <c r="R169" s="0">
        <f>ROUND((O169/O$5-1)*100000, 0)</f>
        <v/>
      </c>
      <c r="S169" s="0">
        <f>$O$5*(1+R169/100000)</f>
        <v/>
      </c>
    </row>
    <row r="170">
      <c r="B170" s="58" t="n">
        <v>166</v>
      </c>
      <c r="C170" s="61">
        <f>C169*$A$5</f>
        <v/>
      </c>
      <c r="D170" s="61">
        <f>D169*$A$5</f>
        <v/>
      </c>
      <c r="E170" s="61">
        <f>E169*$A$5</f>
        <v/>
      </c>
      <c r="F170" s="0">
        <f>ROUND((C170/C$5-1)*100000, 0)</f>
        <v/>
      </c>
      <c r="H170" s="58" t="n">
        <v>166</v>
      </c>
      <c r="I170" s="61">
        <f>I169*$G$5</f>
        <v/>
      </c>
      <c r="J170" s="61">
        <f>J169*$G$5</f>
        <v/>
      </c>
      <c r="K170" s="61">
        <f>K169*$G$5</f>
        <v/>
      </c>
      <c r="L170" s="0">
        <f>ROUND((I170/I$5-1)*100000, 0)</f>
        <v/>
      </c>
      <c r="N170" s="58" t="n">
        <v>166</v>
      </c>
      <c r="O170" s="61">
        <f>O169*$M$5</f>
        <v/>
      </c>
      <c r="P170" s="61">
        <f>P169*$M$5</f>
        <v/>
      </c>
      <c r="Q170" s="61">
        <f>Q169*$M$5</f>
        <v/>
      </c>
      <c r="R170" s="0">
        <f>ROUND((O170/O$5-1)*100000, 0)</f>
        <v/>
      </c>
      <c r="S170" s="0">
        <f>$O$5*(1+R170/100000)</f>
        <v/>
      </c>
    </row>
    <row r="171">
      <c r="B171" s="58" t="n">
        <v>167</v>
      </c>
      <c r="C171" s="61">
        <f>C170*$A$5</f>
        <v/>
      </c>
      <c r="D171" s="61">
        <f>D170*$A$5</f>
        <v/>
      </c>
      <c r="E171" s="61">
        <f>E170*$A$5</f>
        <v/>
      </c>
      <c r="F171" s="0">
        <f>ROUND((C171/C$5-1)*100000, 0)</f>
        <v/>
      </c>
      <c r="H171" s="58" t="n">
        <v>167</v>
      </c>
      <c r="I171" s="61">
        <f>I170*$G$5</f>
        <v/>
      </c>
      <c r="J171" s="61">
        <f>J170*$G$5</f>
        <v/>
      </c>
      <c r="K171" s="61">
        <f>K170*$G$5</f>
        <v/>
      </c>
      <c r="L171" s="0">
        <f>ROUND((I171/I$5-1)*100000, 0)</f>
        <v/>
      </c>
      <c r="N171" s="58" t="n">
        <v>167</v>
      </c>
      <c r="O171" s="61">
        <f>O170*$M$5</f>
        <v/>
      </c>
      <c r="P171" s="61">
        <f>P170*$M$5</f>
        <v/>
      </c>
      <c r="Q171" s="61">
        <f>Q170*$M$5</f>
        <v/>
      </c>
      <c r="R171" s="0">
        <f>ROUND((O171/O$5-1)*100000, 0)</f>
        <v/>
      </c>
      <c r="S171" s="0">
        <f>$O$5*(1+R171/100000)</f>
        <v/>
      </c>
    </row>
    <row r="172">
      <c r="B172" s="58" t="n">
        <v>168</v>
      </c>
      <c r="C172" s="61">
        <f>C171*$A$5</f>
        <v/>
      </c>
      <c r="D172" s="61">
        <f>D171*$A$5</f>
        <v/>
      </c>
      <c r="E172" s="61">
        <f>E171*$A$5</f>
        <v/>
      </c>
      <c r="F172" s="0">
        <f>ROUND((C172/C$5-1)*100000, 0)</f>
        <v/>
      </c>
      <c r="H172" s="58" t="n">
        <v>168</v>
      </c>
      <c r="I172" s="61">
        <f>I171*$G$5</f>
        <v/>
      </c>
      <c r="J172" s="61">
        <f>J171*$G$5</f>
        <v/>
      </c>
      <c r="K172" s="61">
        <f>K171*$G$5</f>
        <v/>
      </c>
      <c r="L172" s="0">
        <f>ROUND((I172/I$5-1)*100000, 0)</f>
        <v/>
      </c>
      <c r="N172" s="58" t="n">
        <v>168</v>
      </c>
      <c r="O172" s="61">
        <f>O171*$M$5</f>
        <v/>
      </c>
      <c r="P172" s="61">
        <f>P171*$M$5</f>
        <v/>
      </c>
      <c r="Q172" s="61">
        <f>Q171*$M$5</f>
        <v/>
      </c>
      <c r="R172" s="0">
        <f>ROUND((O172/O$5-1)*100000, 0)</f>
        <v/>
      </c>
      <c r="S172" s="0">
        <f>$O$5*(1+R172/100000)</f>
        <v/>
      </c>
    </row>
    <row r="173">
      <c r="B173" s="58" t="n">
        <v>169</v>
      </c>
      <c r="C173" s="61">
        <f>C172*$A$5</f>
        <v/>
      </c>
      <c r="D173" s="61">
        <f>D172*$A$5</f>
        <v/>
      </c>
      <c r="E173" s="61">
        <f>E172*$A$5</f>
        <v/>
      </c>
      <c r="F173" s="0">
        <f>ROUND((C173/C$5-1)*100000, 0)</f>
        <v/>
      </c>
      <c r="H173" s="58" t="n">
        <v>169</v>
      </c>
      <c r="I173" s="61">
        <f>I172*$G$5</f>
        <v/>
      </c>
      <c r="J173" s="61">
        <f>J172*$G$5</f>
        <v/>
      </c>
      <c r="K173" s="61">
        <f>K172*$G$5</f>
        <v/>
      </c>
      <c r="L173" s="0">
        <f>ROUND((I173/I$5-1)*100000, 0)</f>
        <v/>
      </c>
      <c r="N173" s="58" t="n">
        <v>169</v>
      </c>
      <c r="O173" s="61">
        <f>O172*$M$5</f>
        <v/>
      </c>
      <c r="P173" s="61">
        <f>P172*$M$5</f>
        <v/>
      </c>
      <c r="Q173" s="61">
        <f>Q172*$M$5</f>
        <v/>
      </c>
      <c r="R173" s="0">
        <f>ROUND((O173/O$5-1)*100000, 0)</f>
        <v/>
      </c>
      <c r="S173" s="0">
        <f>$O$5*(1+R173/100000)</f>
        <v/>
      </c>
    </row>
    <row r="174">
      <c r="B174" s="58" t="n">
        <v>170</v>
      </c>
      <c r="C174" s="61">
        <f>C173*$A$5</f>
        <v/>
      </c>
      <c r="D174" s="61">
        <f>D173*$A$5</f>
        <v/>
      </c>
      <c r="E174" s="61">
        <f>E173*$A$5</f>
        <v/>
      </c>
      <c r="F174" s="0">
        <f>ROUND((C174/C$5-1)*100000, 0)</f>
        <v/>
      </c>
      <c r="H174" s="58" t="n">
        <v>170</v>
      </c>
      <c r="I174" s="61">
        <f>I173*$G$5</f>
        <v/>
      </c>
      <c r="J174" s="61">
        <f>J173*$G$5</f>
        <v/>
      </c>
      <c r="K174" s="61">
        <f>K173*$G$5</f>
        <v/>
      </c>
      <c r="L174" s="0">
        <f>ROUND((I174/I$5-1)*100000, 0)</f>
        <v/>
      </c>
      <c r="N174" s="58" t="n">
        <v>170</v>
      </c>
      <c r="O174" s="61">
        <f>O173*$M$5</f>
        <v/>
      </c>
      <c r="P174" s="61">
        <f>P173*$M$5</f>
        <v/>
      </c>
      <c r="Q174" s="61">
        <f>Q173*$M$5</f>
        <v/>
      </c>
      <c r="R174" s="0">
        <f>ROUND((O174/O$5-1)*100000, 0)</f>
        <v/>
      </c>
      <c r="S174" s="0">
        <f>$O$5*(1+R174/100000)</f>
        <v/>
      </c>
    </row>
    <row r="175">
      <c r="B175" s="58" t="n">
        <v>171</v>
      </c>
      <c r="C175" s="61">
        <f>C174*$A$5</f>
        <v/>
      </c>
      <c r="D175" s="61">
        <f>D174*$A$5</f>
        <v/>
      </c>
      <c r="E175" s="61">
        <f>E174*$A$5</f>
        <v/>
      </c>
      <c r="F175" s="0">
        <f>ROUND((C175/C$5-1)*100000, 0)</f>
        <v/>
      </c>
      <c r="H175" s="58" t="n">
        <v>171</v>
      </c>
      <c r="I175" s="61">
        <f>I174*$G$5</f>
        <v/>
      </c>
      <c r="J175" s="61">
        <f>J174*$G$5</f>
        <v/>
      </c>
      <c r="K175" s="61">
        <f>K174*$G$5</f>
        <v/>
      </c>
      <c r="L175" s="0">
        <f>ROUND((I175/I$5-1)*100000, 0)</f>
        <v/>
      </c>
      <c r="N175" s="58" t="n">
        <v>171</v>
      </c>
      <c r="O175" s="61">
        <f>O174*$M$5</f>
        <v/>
      </c>
      <c r="P175" s="61">
        <f>P174*$M$5</f>
        <v/>
      </c>
      <c r="Q175" s="61">
        <f>Q174*$M$5</f>
        <v/>
      </c>
      <c r="R175" s="0">
        <f>ROUND((O175/O$5-1)*100000, 0)</f>
        <v/>
      </c>
      <c r="S175" s="0">
        <f>$O$5*(1+R175/100000)</f>
        <v/>
      </c>
    </row>
    <row r="176">
      <c r="B176" s="58" t="n">
        <v>172</v>
      </c>
      <c r="C176" s="61">
        <f>C175*$A$5</f>
        <v/>
      </c>
      <c r="D176" s="61">
        <f>D175*$A$5</f>
        <v/>
      </c>
      <c r="E176" s="61">
        <f>E175*$A$5</f>
        <v/>
      </c>
      <c r="F176" s="0">
        <f>ROUND((C176/C$5-1)*100000, 0)</f>
        <v/>
      </c>
      <c r="H176" s="58" t="n">
        <v>172</v>
      </c>
      <c r="I176" s="61">
        <f>I175*$G$5</f>
        <v/>
      </c>
      <c r="J176" s="61">
        <f>J175*$G$5</f>
        <v/>
      </c>
      <c r="K176" s="61">
        <f>K175*$G$5</f>
        <v/>
      </c>
      <c r="L176" s="0">
        <f>ROUND((I176/I$5-1)*100000, 0)</f>
        <v/>
      </c>
      <c r="N176" s="58" t="n">
        <v>172</v>
      </c>
      <c r="O176" s="61">
        <f>O175*$M$5</f>
        <v/>
      </c>
      <c r="P176" s="61">
        <f>P175*$M$5</f>
        <v/>
      </c>
      <c r="Q176" s="61">
        <f>Q175*$M$5</f>
        <v/>
      </c>
      <c r="R176" s="0">
        <f>ROUND((O176/O$5-1)*100000, 0)</f>
        <v/>
      </c>
      <c r="S176" s="0">
        <f>$O$5*(1+R176/100000)</f>
        <v/>
      </c>
    </row>
    <row r="177">
      <c r="B177" s="58" t="n">
        <v>173</v>
      </c>
      <c r="C177" s="61">
        <f>C176*$A$5</f>
        <v/>
      </c>
      <c r="D177" s="61">
        <f>D176*$A$5</f>
        <v/>
      </c>
      <c r="E177" s="61">
        <f>E176*$A$5</f>
        <v/>
      </c>
      <c r="F177" s="0">
        <f>ROUND((C177/C$5-1)*100000, 0)</f>
        <v/>
      </c>
      <c r="H177" s="58" t="n">
        <v>173</v>
      </c>
      <c r="I177" s="61">
        <f>I176*$G$5</f>
        <v/>
      </c>
      <c r="J177" s="61">
        <f>J176*$G$5</f>
        <v/>
      </c>
      <c r="K177" s="61">
        <f>K176*$G$5</f>
        <v/>
      </c>
      <c r="L177" s="0">
        <f>ROUND((I177/I$5-1)*100000, 0)</f>
        <v/>
      </c>
      <c r="N177" s="58" t="n">
        <v>173</v>
      </c>
      <c r="O177" s="61">
        <f>O176*$M$5</f>
        <v/>
      </c>
      <c r="P177" s="61">
        <f>P176*$M$5</f>
        <v/>
      </c>
      <c r="Q177" s="61">
        <f>Q176*$M$5</f>
        <v/>
      </c>
      <c r="R177" s="0">
        <f>ROUND((O177/O$5-1)*100000, 0)</f>
        <v/>
      </c>
      <c r="S177" s="0">
        <f>$O$5*(1+R177/100000)</f>
        <v/>
      </c>
    </row>
    <row r="178">
      <c r="B178" s="58" t="n">
        <v>174</v>
      </c>
      <c r="C178" s="61">
        <f>C177*$A$5</f>
        <v/>
      </c>
      <c r="D178" s="61">
        <f>D177*$A$5</f>
        <v/>
      </c>
      <c r="E178" s="61">
        <f>E177*$A$5</f>
        <v/>
      </c>
      <c r="F178" s="0">
        <f>ROUND((C178/C$5-1)*100000, 0)</f>
        <v/>
      </c>
      <c r="H178" s="58" t="n">
        <v>174</v>
      </c>
      <c r="I178" s="61">
        <f>I177*$G$5</f>
        <v/>
      </c>
      <c r="J178" s="61">
        <f>J177*$G$5</f>
        <v/>
      </c>
      <c r="K178" s="61">
        <f>K177*$G$5</f>
        <v/>
      </c>
      <c r="L178" s="0">
        <f>ROUND((I178/I$5-1)*100000, 0)</f>
        <v/>
      </c>
      <c r="N178" s="58" t="n">
        <v>174</v>
      </c>
      <c r="O178" s="61">
        <f>O177*$M$5</f>
        <v/>
      </c>
      <c r="P178" s="61">
        <f>P177*$M$5</f>
        <v/>
      </c>
      <c r="Q178" s="61">
        <f>Q177*$M$5</f>
        <v/>
      </c>
      <c r="R178" s="0">
        <f>ROUND((O178/O$5-1)*100000, 0)</f>
        <v/>
      </c>
      <c r="S178" s="0">
        <f>$O$5*(1+R178/100000)</f>
        <v/>
      </c>
    </row>
    <row r="179">
      <c r="B179" s="58" t="n">
        <v>175</v>
      </c>
      <c r="C179" s="61">
        <f>C178*$A$5</f>
        <v/>
      </c>
      <c r="D179" s="61">
        <f>D178*$A$5</f>
        <v/>
      </c>
      <c r="E179" s="61">
        <f>E178*$A$5</f>
        <v/>
      </c>
      <c r="F179" s="0">
        <f>ROUND((C179/C$5-1)*100000, 0)</f>
        <v/>
      </c>
      <c r="H179" s="58" t="n">
        <v>175</v>
      </c>
      <c r="I179" s="61">
        <f>I178*$G$5</f>
        <v/>
      </c>
      <c r="J179" s="61">
        <f>J178*$G$5</f>
        <v/>
      </c>
      <c r="K179" s="61">
        <f>K178*$G$5</f>
        <v/>
      </c>
      <c r="L179" s="0">
        <f>ROUND((I179/I$5-1)*100000, 0)</f>
        <v/>
      </c>
      <c r="N179" s="58" t="n">
        <v>175</v>
      </c>
      <c r="O179" s="61">
        <f>O178*$M$5</f>
        <v/>
      </c>
      <c r="P179" s="61">
        <f>P178*$M$5</f>
        <v/>
      </c>
      <c r="Q179" s="61">
        <f>Q178*$M$5</f>
        <v/>
      </c>
      <c r="R179" s="0">
        <f>ROUND((O179/O$5-1)*100000, 0)</f>
        <v/>
      </c>
      <c r="S179" s="0">
        <f>$O$5*(1+R179/100000)</f>
        <v/>
      </c>
    </row>
    <row r="180">
      <c r="B180" s="58" t="n">
        <v>176</v>
      </c>
      <c r="C180" s="61">
        <f>C179*$A$5</f>
        <v/>
      </c>
      <c r="D180" s="61">
        <f>D179*$A$5</f>
        <v/>
      </c>
      <c r="E180" s="61">
        <f>E179*$A$5</f>
        <v/>
      </c>
      <c r="F180" s="0">
        <f>ROUND((C180/C$5-1)*100000, 0)</f>
        <v/>
      </c>
      <c r="H180" s="58" t="n">
        <v>176</v>
      </c>
      <c r="I180" s="61">
        <f>I179*$G$5</f>
        <v/>
      </c>
      <c r="J180" s="61">
        <f>J179*$G$5</f>
        <v/>
      </c>
      <c r="K180" s="61">
        <f>K179*$G$5</f>
        <v/>
      </c>
      <c r="L180" s="0">
        <f>ROUND((I180/I$5-1)*100000, 0)</f>
        <v/>
      </c>
      <c r="N180" s="58" t="n">
        <v>176</v>
      </c>
      <c r="O180" s="61">
        <f>O179*$M$5</f>
        <v/>
      </c>
      <c r="P180" s="61">
        <f>P179*$M$5</f>
        <v/>
      </c>
      <c r="Q180" s="61">
        <f>Q179*$M$5</f>
        <v/>
      </c>
      <c r="R180" s="0">
        <f>ROUND((O180/O$5-1)*100000, 0)</f>
        <v/>
      </c>
      <c r="S180" s="0">
        <f>$O$5*(1+R180/100000)</f>
        <v/>
      </c>
    </row>
    <row r="181">
      <c r="B181" s="58" t="n">
        <v>177</v>
      </c>
      <c r="C181" s="61">
        <f>C180*$A$5</f>
        <v/>
      </c>
      <c r="D181" s="61">
        <f>D180*$A$5</f>
        <v/>
      </c>
      <c r="E181" s="61">
        <f>E180*$A$5</f>
        <v/>
      </c>
      <c r="F181" s="0">
        <f>ROUND((C181/C$5-1)*100000, 0)</f>
        <v/>
      </c>
      <c r="H181" s="58" t="n">
        <v>177</v>
      </c>
      <c r="I181" s="61">
        <f>I180*$G$5</f>
        <v/>
      </c>
      <c r="J181" s="61">
        <f>J180*$G$5</f>
        <v/>
      </c>
      <c r="K181" s="61">
        <f>K180*$G$5</f>
        <v/>
      </c>
      <c r="L181" s="0">
        <f>ROUND((I181/I$5-1)*100000, 0)</f>
        <v/>
      </c>
      <c r="N181" s="58" t="n">
        <v>177</v>
      </c>
      <c r="O181" s="61">
        <f>O180*$M$5</f>
        <v/>
      </c>
      <c r="P181" s="61">
        <f>P180*$M$5</f>
        <v/>
      </c>
      <c r="Q181" s="61">
        <f>Q180*$M$5</f>
        <v/>
      </c>
      <c r="R181" s="0">
        <f>ROUND((O181/O$5-1)*100000, 0)</f>
        <v/>
      </c>
      <c r="S181" s="0">
        <f>$O$5*(1+R181/100000)</f>
        <v/>
      </c>
    </row>
    <row r="182">
      <c r="B182" s="58" t="n">
        <v>178</v>
      </c>
      <c r="C182" s="61">
        <f>C181*$A$5</f>
        <v/>
      </c>
      <c r="D182" s="61">
        <f>D181*$A$5</f>
        <v/>
      </c>
      <c r="E182" s="61">
        <f>E181*$A$5</f>
        <v/>
      </c>
      <c r="F182" s="0">
        <f>ROUND((C182/C$5-1)*100000, 0)</f>
        <v/>
      </c>
      <c r="H182" s="58" t="n">
        <v>178</v>
      </c>
      <c r="I182" s="61">
        <f>I181*$G$5</f>
        <v/>
      </c>
      <c r="J182" s="61">
        <f>J181*$G$5</f>
        <v/>
      </c>
      <c r="K182" s="61">
        <f>K181*$G$5</f>
        <v/>
      </c>
      <c r="L182" s="0">
        <f>ROUND((I182/I$5-1)*100000, 0)</f>
        <v/>
      </c>
      <c r="N182" s="58" t="n">
        <v>178</v>
      </c>
      <c r="O182" s="61">
        <f>O181*$M$5</f>
        <v/>
      </c>
      <c r="P182" s="61">
        <f>P181*$M$5</f>
        <v/>
      </c>
      <c r="Q182" s="61">
        <f>Q181*$M$5</f>
        <v/>
      </c>
      <c r="R182" s="0">
        <f>ROUND((O182/O$5-1)*100000, 0)</f>
        <v/>
      </c>
      <c r="S182" s="0">
        <f>$O$5*(1+R182/100000)</f>
        <v/>
      </c>
    </row>
    <row r="183">
      <c r="B183" s="58" t="n">
        <v>179</v>
      </c>
      <c r="C183" s="61">
        <f>C182*$A$5</f>
        <v/>
      </c>
      <c r="D183" s="61">
        <f>D182*$A$5</f>
        <v/>
      </c>
      <c r="E183" s="61">
        <f>E182*$A$5</f>
        <v/>
      </c>
      <c r="F183" s="0">
        <f>ROUND((C183/C$5-1)*100000, 0)</f>
        <v/>
      </c>
      <c r="H183" s="58" t="n">
        <v>179</v>
      </c>
      <c r="I183" s="61">
        <f>I182*$G$5</f>
        <v/>
      </c>
      <c r="J183" s="61">
        <f>J182*$G$5</f>
        <v/>
      </c>
      <c r="K183" s="61">
        <f>K182*$G$5</f>
        <v/>
      </c>
      <c r="L183" s="0">
        <f>ROUND((I183/I$5-1)*100000, 0)</f>
        <v/>
      </c>
      <c r="N183" s="58" t="n">
        <v>179</v>
      </c>
      <c r="O183" s="61">
        <f>O182*$M$5</f>
        <v/>
      </c>
      <c r="P183" s="61">
        <f>P182*$M$5</f>
        <v/>
      </c>
      <c r="Q183" s="61">
        <f>Q182*$M$5</f>
        <v/>
      </c>
      <c r="R183" s="0">
        <f>ROUND((O183/O$5-1)*100000, 0)</f>
        <v/>
      </c>
      <c r="S183" s="0">
        <f>$O$5*(1+R183/100000)</f>
        <v/>
      </c>
    </row>
    <row r="184">
      <c r="B184" s="58" t="n">
        <v>180</v>
      </c>
      <c r="C184" s="61">
        <f>C183*$A$5</f>
        <v/>
      </c>
      <c r="D184" s="61">
        <f>D183*$A$5</f>
        <v/>
      </c>
      <c r="E184" s="61">
        <f>E183*$A$5</f>
        <v/>
      </c>
      <c r="F184" s="0">
        <f>ROUND((C184/C$5-1)*100000, 0)</f>
        <v/>
      </c>
      <c r="H184" s="58" t="n">
        <v>180</v>
      </c>
      <c r="I184" s="61">
        <f>I183*$G$5</f>
        <v/>
      </c>
      <c r="J184" s="61">
        <f>J183*$G$5</f>
        <v/>
      </c>
      <c r="K184" s="61">
        <f>K183*$G$5</f>
        <v/>
      </c>
      <c r="L184" s="0">
        <f>ROUND((I184/I$5-1)*100000, 0)</f>
        <v/>
      </c>
      <c r="N184" s="58" t="n">
        <v>180</v>
      </c>
      <c r="O184" s="61">
        <f>O183*$M$5</f>
        <v/>
      </c>
      <c r="P184" s="61">
        <f>P183*$M$5</f>
        <v/>
      </c>
      <c r="Q184" s="61">
        <f>Q183*$M$5</f>
        <v/>
      </c>
      <c r="R184" s="0">
        <f>ROUND((O184/O$5-1)*100000, 0)</f>
        <v/>
      </c>
      <c r="S184" s="0">
        <f>$O$5*(1+R184/100000)</f>
        <v/>
      </c>
    </row>
    <row r="185">
      <c r="B185" s="58" t="n">
        <v>181</v>
      </c>
      <c r="C185" s="61">
        <f>C184*$A$5</f>
        <v/>
      </c>
      <c r="D185" s="61">
        <f>D184*$A$5</f>
        <v/>
      </c>
      <c r="E185" s="61">
        <f>E184*$A$5</f>
        <v/>
      </c>
      <c r="F185" s="0">
        <f>ROUND((C185/C$5-1)*100000, 0)</f>
        <v/>
      </c>
      <c r="H185" s="58" t="n">
        <v>181</v>
      </c>
      <c r="I185" s="61">
        <f>I184*$G$5</f>
        <v/>
      </c>
      <c r="J185" s="61">
        <f>J184*$G$5</f>
        <v/>
      </c>
      <c r="K185" s="61">
        <f>K184*$G$5</f>
        <v/>
      </c>
      <c r="L185" s="0">
        <f>ROUND((I185/I$5-1)*100000, 0)</f>
        <v/>
      </c>
      <c r="N185" s="58" t="n">
        <v>181</v>
      </c>
      <c r="O185" s="61">
        <f>O184*$M$5</f>
        <v/>
      </c>
      <c r="P185" s="61">
        <f>P184*$M$5</f>
        <v/>
      </c>
      <c r="Q185" s="61">
        <f>Q184*$M$5</f>
        <v/>
      </c>
      <c r="R185" s="0">
        <f>ROUND((O185/O$5-1)*100000, 0)</f>
        <v/>
      </c>
      <c r="S185" s="0">
        <f>$O$5*(1+R185/100000)</f>
        <v/>
      </c>
    </row>
    <row r="186">
      <c r="B186" s="58" t="n">
        <v>182</v>
      </c>
      <c r="C186" s="61">
        <f>C185*$A$5</f>
        <v/>
      </c>
      <c r="D186" s="61">
        <f>D185*$A$5</f>
        <v/>
      </c>
      <c r="E186" s="61">
        <f>E185*$A$5</f>
        <v/>
      </c>
      <c r="F186" s="0">
        <f>ROUND((C186/C$5-1)*100000, 0)</f>
        <v/>
      </c>
      <c r="H186" s="58" t="n">
        <v>182</v>
      </c>
      <c r="I186" s="61">
        <f>I185*$G$5</f>
        <v/>
      </c>
      <c r="J186" s="61">
        <f>J185*$G$5</f>
        <v/>
      </c>
      <c r="K186" s="61">
        <f>K185*$G$5</f>
        <v/>
      </c>
      <c r="L186" s="0">
        <f>ROUND((I186/I$5-1)*100000, 0)</f>
        <v/>
      </c>
      <c r="N186" s="58" t="n">
        <v>182</v>
      </c>
      <c r="O186" s="61">
        <f>O185*$M$5</f>
        <v/>
      </c>
      <c r="P186" s="61">
        <f>P185*$M$5</f>
        <v/>
      </c>
      <c r="Q186" s="61">
        <f>Q185*$M$5</f>
        <v/>
      </c>
      <c r="R186" s="0">
        <f>ROUND((O186/O$5-1)*100000, 0)</f>
        <v/>
      </c>
      <c r="S186" s="0">
        <f>$O$5*(1+R186/100000)</f>
        <v/>
      </c>
    </row>
    <row r="187">
      <c r="B187" s="58" t="n">
        <v>183</v>
      </c>
      <c r="C187" s="61">
        <f>C186*$A$5</f>
        <v/>
      </c>
      <c r="D187" s="61">
        <f>D186*$A$5</f>
        <v/>
      </c>
      <c r="E187" s="61">
        <f>E186*$A$5</f>
        <v/>
      </c>
      <c r="F187" s="0">
        <f>ROUND((C187/C$5-1)*100000, 0)</f>
        <v/>
      </c>
      <c r="H187" s="58" t="n">
        <v>183</v>
      </c>
      <c r="I187" s="61">
        <f>I186*$G$5</f>
        <v/>
      </c>
      <c r="J187" s="61">
        <f>J186*$G$5</f>
        <v/>
      </c>
      <c r="K187" s="61">
        <f>K186*$G$5</f>
        <v/>
      </c>
      <c r="L187" s="0">
        <f>ROUND((I187/I$5-1)*100000, 0)</f>
        <v/>
      </c>
      <c r="N187" s="58" t="n">
        <v>183</v>
      </c>
      <c r="O187" s="61">
        <f>O186*$M$5</f>
        <v/>
      </c>
      <c r="P187" s="61">
        <f>P186*$M$5</f>
        <v/>
      </c>
      <c r="Q187" s="61">
        <f>Q186*$M$5</f>
        <v/>
      </c>
      <c r="R187" s="0">
        <f>ROUND((O187/O$5-1)*100000, 0)</f>
        <v/>
      </c>
      <c r="S187" s="0">
        <f>$O$5*(1+R187/100000)</f>
        <v/>
      </c>
    </row>
    <row r="188">
      <c r="B188" s="58" t="n">
        <v>184</v>
      </c>
      <c r="C188" s="61">
        <f>C187*$A$5</f>
        <v/>
      </c>
      <c r="D188" s="61">
        <f>D187*$A$5</f>
        <v/>
      </c>
      <c r="E188" s="61">
        <f>E187*$A$5</f>
        <v/>
      </c>
      <c r="F188" s="0">
        <f>ROUND((C188/C$5-1)*100000, 0)</f>
        <v/>
      </c>
      <c r="H188" s="58" t="n">
        <v>184</v>
      </c>
      <c r="I188" s="61">
        <f>I187*$G$5</f>
        <v/>
      </c>
      <c r="J188" s="61">
        <f>J187*$G$5</f>
        <v/>
      </c>
      <c r="K188" s="61">
        <f>K187*$G$5</f>
        <v/>
      </c>
      <c r="L188" s="0">
        <f>ROUND((I188/I$5-1)*100000, 0)</f>
        <v/>
      </c>
      <c r="N188" s="58" t="n">
        <v>184</v>
      </c>
      <c r="O188" s="61">
        <f>O187*$M$5</f>
        <v/>
      </c>
      <c r="P188" s="61">
        <f>P187*$M$5</f>
        <v/>
      </c>
      <c r="Q188" s="61">
        <f>Q187*$M$5</f>
        <v/>
      </c>
      <c r="R188" s="0">
        <f>ROUND((O188/O$5-1)*100000, 0)</f>
        <v/>
      </c>
      <c r="S188" s="0">
        <f>$O$5*(1+R188/100000)</f>
        <v/>
      </c>
    </row>
    <row r="189">
      <c r="B189" s="58" t="n">
        <v>185</v>
      </c>
      <c r="C189" s="61">
        <f>C188*$A$5</f>
        <v/>
      </c>
      <c r="D189" s="61">
        <f>D188*$A$5</f>
        <v/>
      </c>
      <c r="E189" s="61">
        <f>E188*$A$5</f>
        <v/>
      </c>
      <c r="F189" s="0">
        <f>ROUND((C189/C$5-1)*100000, 0)</f>
        <v/>
      </c>
      <c r="H189" s="58" t="n">
        <v>185</v>
      </c>
      <c r="I189" s="61">
        <f>I188*$G$5</f>
        <v/>
      </c>
      <c r="J189" s="61">
        <f>J188*$G$5</f>
        <v/>
      </c>
      <c r="K189" s="61">
        <f>K188*$G$5</f>
        <v/>
      </c>
      <c r="L189" s="0">
        <f>ROUND((I189/I$5-1)*100000, 0)</f>
        <v/>
      </c>
      <c r="N189" s="58" t="n">
        <v>185</v>
      </c>
      <c r="O189" s="61">
        <f>O188*$M$5</f>
        <v/>
      </c>
      <c r="P189" s="61">
        <f>P188*$M$5</f>
        <v/>
      </c>
      <c r="Q189" s="61">
        <f>Q188*$M$5</f>
        <v/>
      </c>
      <c r="R189" s="0">
        <f>ROUND((O189/O$5-1)*100000, 0)</f>
        <v/>
      </c>
      <c r="S189" s="0">
        <f>$O$5*(1+R189/100000)</f>
        <v/>
      </c>
    </row>
    <row r="190">
      <c r="B190" s="58" t="n">
        <v>186</v>
      </c>
      <c r="C190" s="61">
        <f>C189*$A$5</f>
        <v/>
      </c>
      <c r="D190" s="61">
        <f>D189*$A$5</f>
        <v/>
      </c>
      <c r="E190" s="61">
        <f>E189*$A$5</f>
        <v/>
      </c>
      <c r="F190" s="0">
        <f>ROUND((C190/C$5-1)*100000, 0)</f>
        <v/>
      </c>
      <c r="H190" s="58" t="n">
        <v>186</v>
      </c>
      <c r="I190" s="61">
        <f>I189*$G$5</f>
        <v/>
      </c>
      <c r="J190" s="61">
        <f>J189*$G$5</f>
        <v/>
      </c>
      <c r="K190" s="61">
        <f>K189*$G$5</f>
        <v/>
      </c>
      <c r="L190" s="0">
        <f>ROUND((I190/I$5-1)*100000, 0)</f>
        <v/>
      </c>
      <c r="N190" s="58" t="n">
        <v>186</v>
      </c>
      <c r="O190" s="61">
        <f>O189*$M$5</f>
        <v/>
      </c>
      <c r="P190" s="61">
        <f>P189*$M$5</f>
        <v/>
      </c>
      <c r="Q190" s="61">
        <f>Q189*$M$5</f>
        <v/>
      </c>
      <c r="R190" s="0">
        <f>ROUND((O190/O$5-1)*100000, 0)</f>
        <v/>
      </c>
      <c r="S190" s="0">
        <f>$O$5*(1+R190/100000)</f>
        <v/>
      </c>
    </row>
    <row r="191">
      <c r="B191" s="58" t="n">
        <v>187</v>
      </c>
      <c r="C191" s="61">
        <f>C190*$A$5</f>
        <v/>
      </c>
      <c r="D191" s="61">
        <f>D190*$A$5</f>
        <v/>
      </c>
      <c r="E191" s="61">
        <f>E190*$A$5</f>
        <v/>
      </c>
      <c r="F191" s="0">
        <f>ROUND((C191/C$5-1)*100000, 0)</f>
        <v/>
      </c>
      <c r="H191" s="58" t="n">
        <v>187</v>
      </c>
      <c r="I191" s="61">
        <f>I190*$G$5</f>
        <v/>
      </c>
      <c r="J191" s="61">
        <f>J190*$G$5</f>
        <v/>
      </c>
      <c r="K191" s="61">
        <f>K190*$G$5</f>
        <v/>
      </c>
      <c r="L191" s="0">
        <f>ROUND((I191/I$5-1)*100000, 0)</f>
        <v/>
      </c>
      <c r="N191" s="58" t="n">
        <v>187</v>
      </c>
      <c r="O191" s="61">
        <f>O190*$M$5</f>
        <v/>
      </c>
      <c r="P191" s="61">
        <f>P190*$M$5</f>
        <v/>
      </c>
      <c r="Q191" s="61">
        <f>Q190*$M$5</f>
        <v/>
      </c>
      <c r="R191" s="0">
        <f>ROUND((O191/O$5-1)*100000, 0)</f>
        <v/>
      </c>
      <c r="S191" s="0">
        <f>$O$5*(1+R191/100000)</f>
        <v/>
      </c>
    </row>
    <row r="192">
      <c r="B192" s="58" t="n">
        <v>188</v>
      </c>
      <c r="C192" s="61">
        <f>C191*$A$5</f>
        <v/>
      </c>
      <c r="D192" s="61">
        <f>D191*$A$5</f>
        <v/>
      </c>
      <c r="E192" s="61">
        <f>E191*$A$5</f>
        <v/>
      </c>
      <c r="F192" s="0">
        <f>ROUND((C192/C$5-1)*100000, 0)</f>
        <v/>
      </c>
      <c r="H192" s="58" t="n">
        <v>188</v>
      </c>
      <c r="I192" s="61">
        <f>I191*$G$5</f>
        <v/>
      </c>
      <c r="J192" s="61">
        <f>J191*$G$5</f>
        <v/>
      </c>
      <c r="K192" s="61">
        <f>K191*$G$5</f>
        <v/>
      </c>
      <c r="L192" s="0">
        <f>ROUND((I192/I$5-1)*100000, 0)</f>
        <v/>
      </c>
      <c r="N192" s="58" t="n">
        <v>188</v>
      </c>
      <c r="O192" s="61">
        <f>O191*$M$5</f>
        <v/>
      </c>
      <c r="P192" s="61">
        <f>P191*$M$5</f>
        <v/>
      </c>
      <c r="Q192" s="61">
        <f>Q191*$M$5</f>
        <v/>
      </c>
      <c r="R192" s="0">
        <f>ROUND((O192/O$5-1)*100000, 0)</f>
        <v/>
      </c>
      <c r="S192" s="0">
        <f>$O$5*(1+R192/100000)</f>
        <v/>
      </c>
    </row>
    <row r="193">
      <c r="B193" s="58" t="n">
        <v>189</v>
      </c>
      <c r="C193" s="61">
        <f>C192*$A$5</f>
        <v/>
      </c>
      <c r="D193" s="61">
        <f>D192*$A$5</f>
        <v/>
      </c>
      <c r="E193" s="61">
        <f>E192*$A$5</f>
        <v/>
      </c>
      <c r="F193" s="0">
        <f>ROUND((C193/C$5-1)*100000, 0)</f>
        <v/>
      </c>
      <c r="H193" s="58" t="n">
        <v>189</v>
      </c>
      <c r="I193" s="61">
        <f>I192*$G$5</f>
        <v/>
      </c>
      <c r="J193" s="61">
        <f>J192*$G$5</f>
        <v/>
      </c>
      <c r="K193" s="61">
        <f>K192*$G$5</f>
        <v/>
      </c>
      <c r="L193" s="0">
        <f>ROUND((I193/I$5-1)*100000, 0)</f>
        <v/>
      </c>
      <c r="N193" s="58" t="n">
        <v>189</v>
      </c>
      <c r="O193" s="61">
        <f>O192*$M$5</f>
        <v/>
      </c>
      <c r="P193" s="61">
        <f>P192*$M$5</f>
        <v/>
      </c>
      <c r="Q193" s="61">
        <f>Q192*$M$5</f>
        <v/>
      </c>
      <c r="R193" s="0">
        <f>ROUND((O193/O$5-1)*100000, 0)</f>
        <v/>
      </c>
      <c r="S193" s="0">
        <f>$O$5*(1+R193/100000)</f>
        <v/>
      </c>
    </row>
    <row r="194">
      <c r="B194" s="58" t="n">
        <v>190</v>
      </c>
      <c r="C194" s="61">
        <f>C193*$A$5</f>
        <v/>
      </c>
      <c r="D194" s="61">
        <f>D193*$A$5</f>
        <v/>
      </c>
      <c r="E194" s="61">
        <f>E193*$A$5</f>
        <v/>
      </c>
      <c r="F194" s="0">
        <f>ROUND((C194/C$5-1)*100000, 0)</f>
        <v/>
      </c>
      <c r="H194" s="58" t="n">
        <v>190</v>
      </c>
      <c r="I194" s="61">
        <f>I193*$G$5</f>
        <v/>
      </c>
      <c r="J194" s="61">
        <f>J193*$G$5</f>
        <v/>
      </c>
      <c r="K194" s="61">
        <f>K193*$G$5</f>
        <v/>
      </c>
      <c r="L194" s="0">
        <f>ROUND((I194/I$5-1)*100000, 0)</f>
        <v/>
      </c>
      <c r="N194" s="58" t="n">
        <v>190</v>
      </c>
      <c r="O194" s="61">
        <f>O193*$M$5</f>
        <v/>
      </c>
      <c r="P194" s="61">
        <f>P193*$M$5</f>
        <v/>
      </c>
      <c r="Q194" s="61">
        <f>Q193*$M$5</f>
        <v/>
      </c>
      <c r="R194" s="0">
        <f>ROUND((O194/O$5-1)*100000, 0)</f>
        <v/>
      </c>
      <c r="S194" s="0">
        <f>$O$5*(1+R194/100000)</f>
        <v/>
      </c>
    </row>
    <row r="195">
      <c r="B195" s="58" t="n">
        <v>191</v>
      </c>
      <c r="C195" s="61">
        <f>C194*$A$5</f>
        <v/>
      </c>
      <c r="D195" s="61">
        <f>D194*$A$5</f>
        <v/>
      </c>
      <c r="E195" s="61">
        <f>E194*$A$5</f>
        <v/>
      </c>
      <c r="F195" s="0">
        <f>ROUND((C195/C$5-1)*100000, 0)</f>
        <v/>
      </c>
      <c r="H195" s="58" t="n">
        <v>191</v>
      </c>
      <c r="I195" s="61">
        <f>I194*$G$5</f>
        <v/>
      </c>
      <c r="J195" s="61">
        <f>J194*$G$5</f>
        <v/>
      </c>
      <c r="K195" s="61">
        <f>K194*$G$5</f>
        <v/>
      </c>
      <c r="L195" s="0">
        <f>ROUND((I195/I$5-1)*100000, 0)</f>
        <v/>
      </c>
      <c r="N195" s="58" t="n">
        <v>191</v>
      </c>
      <c r="O195" s="61">
        <f>O194*$M$5</f>
        <v/>
      </c>
      <c r="P195" s="61">
        <f>P194*$M$5</f>
        <v/>
      </c>
      <c r="Q195" s="61">
        <f>Q194*$M$5</f>
        <v/>
      </c>
      <c r="R195" s="0">
        <f>ROUND((O195/O$5-1)*100000, 0)</f>
        <v/>
      </c>
      <c r="S195" s="0">
        <f>$O$5*(1+R195/100000)</f>
        <v/>
      </c>
    </row>
    <row r="196">
      <c r="B196" s="58" t="n">
        <v>192</v>
      </c>
      <c r="C196" s="61">
        <f>C195*$A$5</f>
        <v/>
      </c>
      <c r="D196" s="61">
        <f>D195*$A$5</f>
        <v/>
      </c>
      <c r="E196" s="61">
        <f>E195*$A$5</f>
        <v/>
      </c>
      <c r="F196" s="0">
        <f>ROUND((C196/C$5-1)*100000, 0)</f>
        <v/>
      </c>
      <c r="H196" s="58" t="n">
        <v>192</v>
      </c>
      <c r="I196" s="61">
        <f>I195*$G$5</f>
        <v/>
      </c>
      <c r="J196" s="61">
        <f>J195*$G$5</f>
        <v/>
      </c>
      <c r="K196" s="61">
        <f>K195*$G$5</f>
        <v/>
      </c>
      <c r="L196" s="0">
        <f>ROUND((I196/I$5-1)*100000, 0)</f>
        <v/>
      </c>
      <c r="N196" s="58" t="n">
        <v>192</v>
      </c>
      <c r="O196" s="61">
        <f>O195*$M$5</f>
        <v/>
      </c>
      <c r="P196" s="61">
        <f>P195*$M$5</f>
        <v/>
      </c>
      <c r="Q196" s="61">
        <f>Q195*$M$5</f>
        <v/>
      </c>
      <c r="R196" s="0">
        <f>ROUND((O196/O$5-1)*100000, 0)</f>
        <v/>
      </c>
      <c r="S196" s="0">
        <f>$O$5*(1+R196/100000)</f>
        <v/>
      </c>
    </row>
    <row r="197">
      <c r="B197" s="58" t="n">
        <v>193</v>
      </c>
      <c r="C197" s="61">
        <f>C196*$A$5</f>
        <v/>
      </c>
      <c r="D197" s="61">
        <f>D196*$A$5</f>
        <v/>
      </c>
      <c r="E197" s="61">
        <f>E196*$A$5</f>
        <v/>
      </c>
      <c r="F197" s="0">
        <f>ROUND((C197/C$5-1)*100000, 0)</f>
        <v/>
      </c>
      <c r="H197" s="58" t="n">
        <v>193</v>
      </c>
      <c r="I197" s="61">
        <f>I196*$G$5</f>
        <v/>
      </c>
      <c r="J197" s="61">
        <f>J196*$G$5</f>
        <v/>
      </c>
      <c r="K197" s="61">
        <f>K196*$G$5</f>
        <v/>
      </c>
      <c r="L197" s="0">
        <f>ROUND((I197/I$5-1)*100000, 0)</f>
        <v/>
      </c>
      <c r="N197" s="58" t="n">
        <v>193</v>
      </c>
      <c r="O197" s="61">
        <f>O196*$M$5</f>
        <v/>
      </c>
      <c r="P197" s="61">
        <f>P196*$M$5</f>
        <v/>
      </c>
      <c r="Q197" s="61">
        <f>Q196*$M$5</f>
        <v/>
      </c>
      <c r="R197" s="0">
        <f>ROUND((O197/O$5-1)*100000, 0)</f>
        <v/>
      </c>
      <c r="S197" s="0">
        <f>$O$5*(1+R197/100000)</f>
        <v/>
      </c>
    </row>
    <row r="198">
      <c r="B198" s="58" t="n">
        <v>194</v>
      </c>
      <c r="C198" s="61">
        <f>C197*$A$5</f>
        <v/>
      </c>
      <c r="D198" s="61">
        <f>D197*$A$5</f>
        <v/>
      </c>
      <c r="E198" s="61">
        <f>E197*$A$5</f>
        <v/>
      </c>
      <c r="F198" s="0">
        <f>ROUND((C198/C$5-1)*100000, 0)</f>
        <v/>
      </c>
      <c r="H198" s="58" t="n">
        <v>194</v>
      </c>
      <c r="I198" s="61">
        <f>I197*$G$5</f>
        <v/>
      </c>
      <c r="J198" s="61">
        <f>J197*$G$5</f>
        <v/>
      </c>
      <c r="K198" s="61">
        <f>K197*$G$5</f>
        <v/>
      </c>
      <c r="L198" s="0">
        <f>ROUND((I198/I$5-1)*100000, 0)</f>
        <v/>
      </c>
      <c r="N198" s="58" t="n">
        <v>194</v>
      </c>
      <c r="O198" s="61">
        <f>O197*$M$5</f>
        <v/>
      </c>
      <c r="P198" s="61">
        <f>P197*$M$5</f>
        <v/>
      </c>
      <c r="Q198" s="61">
        <f>Q197*$M$5</f>
        <v/>
      </c>
      <c r="R198" s="0">
        <f>ROUND((O198/O$5-1)*100000, 0)</f>
        <v/>
      </c>
      <c r="S198" s="0">
        <f>$O$5*(1+R198/100000)</f>
        <v/>
      </c>
    </row>
    <row r="199">
      <c r="B199" s="58" t="n">
        <v>195</v>
      </c>
      <c r="C199" s="61">
        <f>C198*$A$5</f>
        <v/>
      </c>
      <c r="D199" s="61">
        <f>D198*$A$5</f>
        <v/>
      </c>
      <c r="E199" s="61">
        <f>E198*$A$5</f>
        <v/>
      </c>
      <c r="F199" s="0">
        <f>ROUND((C199/C$5-1)*100000, 0)</f>
        <v/>
      </c>
      <c r="H199" s="58" t="n">
        <v>195</v>
      </c>
      <c r="I199" s="61">
        <f>I198*$G$5</f>
        <v/>
      </c>
      <c r="J199" s="61">
        <f>J198*$G$5</f>
        <v/>
      </c>
      <c r="K199" s="61">
        <f>K198*$G$5</f>
        <v/>
      </c>
      <c r="L199" s="0">
        <f>ROUND((I199/I$5-1)*100000, 0)</f>
        <v/>
      </c>
      <c r="N199" s="58" t="n">
        <v>195</v>
      </c>
      <c r="O199" s="61">
        <f>O198*$M$5</f>
        <v/>
      </c>
      <c r="P199" s="61">
        <f>P198*$M$5</f>
        <v/>
      </c>
      <c r="Q199" s="61">
        <f>Q198*$M$5</f>
        <v/>
      </c>
      <c r="R199" s="0">
        <f>ROUND((O199/O$5-1)*100000, 0)</f>
        <v/>
      </c>
      <c r="S199" s="0">
        <f>$O$5*(1+R199/100000)</f>
        <v/>
      </c>
    </row>
    <row r="200">
      <c r="B200" s="58" t="n">
        <v>196</v>
      </c>
      <c r="C200" s="61">
        <f>C199*$A$5</f>
        <v/>
      </c>
      <c r="D200" s="61">
        <f>D199*$A$5</f>
        <v/>
      </c>
      <c r="E200" s="61">
        <f>E199*$A$5</f>
        <v/>
      </c>
      <c r="F200" s="0">
        <f>ROUND((C200/C$5-1)*100000, 0)</f>
        <v/>
      </c>
      <c r="H200" s="58" t="n">
        <v>196</v>
      </c>
      <c r="I200" s="61">
        <f>I199*$G$5</f>
        <v/>
      </c>
      <c r="J200" s="61">
        <f>J199*$G$5</f>
        <v/>
      </c>
      <c r="K200" s="61">
        <f>K199*$G$5</f>
        <v/>
      </c>
      <c r="L200" s="0">
        <f>ROUND((I200/I$5-1)*100000, 0)</f>
        <v/>
      </c>
      <c r="N200" s="58" t="n">
        <v>196</v>
      </c>
      <c r="O200" s="61">
        <f>O199*$M$5</f>
        <v/>
      </c>
      <c r="P200" s="61">
        <f>P199*$M$5</f>
        <v/>
      </c>
      <c r="Q200" s="61">
        <f>Q199*$M$5</f>
        <v/>
      </c>
      <c r="R200" s="0">
        <f>ROUND((O200/O$5-1)*100000, 0)</f>
        <v/>
      </c>
      <c r="S200" s="0">
        <f>$O$5*(1+R200/100000)</f>
        <v/>
      </c>
    </row>
    <row r="201">
      <c r="B201" s="58" t="n">
        <v>197</v>
      </c>
      <c r="C201" s="61">
        <f>C200*$A$5</f>
        <v/>
      </c>
      <c r="D201" s="61">
        <f>D200*$A$5</f>
        <v/>
      </c>
      <c r="E201" s="61">
        <f>E200*$A$5</f>
        <v/>
      </c>
      <c r="F201" s="0">
        <f>ROUND((C201/C$5-1)*100000, 0)</f>
        <v/>
      </c>
      <c r="H201" s="58" t="n">
        <v>197</v>
      </c>
      <c r="I201" s="61">
        <f>I200*$G$5</f>
        <v/>
      </c>
      <c r="J201" s="61">
        <f>J200*$G$5</f>
        <v/>
      </c>
      <c r="K201" s="61">
        <f>K200*$G$5</f>
        <v/>
      </c>
      <c r="L201" s="0">
        <f>ROUND((I201/I$5-1)*100000, 0)</f>
        <v/>
      </c>
      <c r="N201" s="58" t="n">
        <v>197</v>
      </c>
      <c r="O201" s="61">
        <f>O200*$M$5</f>
        <v/>
      </c>
      <c r="P201" s="61">
        <f>P200*$M$5</f>
        <v/>
      </c>
      <c r="Q201" s="61">
        <f>Q200*$M$5</f>
        <v/>
      </c>
      <c r="R201" s="0">
        <f>ROUND((O201/O$5-1)*100000, 0)</f>
        <v/>
      </c>
      <c r="S201" s="0">
        <f>$O$5*(1+R201/100000)</f>
        <v/>
      </c>
    </row>
    <row r="202">
      <c r="B202" s="58" t="n">
        <v>198</v>
      </c>
      <c r="C202" s="61">
        <f>C201*$A$5</f>
        <v/>
      </c>
      <c r="D202" s="61">
        <f>D201*$A$5</f>
        <v/>
      </c>
      <c r="E202" s="61">
        <f>E201*$A$5</f>
        <v/>
      </c>
      <c r="F202" s="0">
        <f>ROUND((C202/C$5-1)*100000, 0)</f>
        <v/>
      </c>
      <c r="H202" s="58" t="n">
        <v>198</v>
      </c>
      <c r="I202" s="61">
        <f>I201*$G$5</f>
        <v/>
      </c>
      <c r="J202" s="61">
        <f>J201*$G$5</f>
        <v/>
      </c>
      <c r="K202" s="61">
        <f>K201*$G$5</f>
        <v/>
      </c>
      <c r="L202" s="0">
        <f>ROUND((I202/I$5-1)*100000, 0)</f>
        <v/>
      </c>
      <c r="N202" s="58" t="n">
        <v>198</v>
      </c>
      <c r="O202" s="61">
        <f>O201*$M$5</f>
        <v/>
      </c>
      <c r="P202" s="61">
        <f>P201*$M$5</f>
        <v/>
      </c>
      <c r="Q202" s="61">
        <f>Q201*$M$5</f>
        <v/>
      </c>
      <c r="R202" s="0">
        <f>ROUND((O202/O$5-1)*100000, 0)</f>
        <v/>
      </c>
      <c r="S202" s="0">
        <f>$O$5*(1+R202/100000)</f>
        <v/>
      </c>
    </row>
    <row r="203">
      <c r="B203" s="58" t="n">
        <v>199</v>
      </c>
      <c r="C203" s="61">
        <f>C202*$A$5</f>
        <v/>
      </c>
      <c r="D203" s="61">
        <f>D202*$A$5</f>
        <v/>
      </c>
      <c r="E203" s="61">
        <f>E202*$A$5</f>
        <v/>
      </c>
      <c r="F203" s="0">
        <f>ROUND((C203/C$5-1)*100000, 0)</f>
        <v/>
      </c>
      <c r="H203" s="58" t="n">
        <v>199</v>
      </c>
      <c r="I203" s="61">
        <f>I202*$G$5</f>
        <v/>
      </c>
      <c r="J203" s="61">
        <f>J202*$G$5</f>
        <v/>
      </c>
      <c r="K203" s="61">
        <f>K202*$G$5</f>
        <v/>
      </c>
      <c r="L203" s="0">
        <f>ROUND((I203/I$5-1)*100000, 0)</f>
        <v/>
      </c>
      <c r="N203" s="58" t="n">
        <v>199</v>
      </c>
      <c r="O203" s="61">
        <f>O202*$M$5</f>
        <v/>
      </c>
      <c r="P203" s="61">
        <f>P202*$M$5</f>
        <v/>
      </c>
      <c r="Q203" s="61">
        <f>Q202*$M$5</f>
        <v/>
      </c>
      <c r="R203" s="0">
        <f>ROUND((O203/O$5-1)*100000, 0)</f>
        <v/>
      </c>
      <c r="S203" s="0">
        <f>$O$5*(1+R203/100000)</f>
        <v/>
      </c>
    </row>
    <row r="204">
      <c r="B204" s="58" t="n">
        <v>200</v>
      </c>
      <c r="C204" s="61">
        <f>C203*$A$5</f>
        <v/>
      </c>
      <c r="D204" s="61">
        <f>D203*$A$5</f>
        <v/>
      </c>
      <c r="E204" s="61">
        <f>E203*$A$5</f>
        <v/>
      </c>
      <c r="F204" s="0">
        <f>ROUND((C204/C$5-1)*100000, 0)</f>
        <v/>
      </c>
      <c r="H204" s="58" t="n">
        <v>200</v>
      </c>
      <c r="I204" s="61">
        <f>I203*$G$5</f>
        <v/>
      </c>
      <c r="J204" s="61">
        <f>J203*$G$5</f>
        <v/>
      </c>
      <c r="K204" s="61">
        <f>K203*$G$5</f>
        <v/>
      </c>
      <c r="L204" s="0">
        <f>ROUND((I204/I$5-1)*100000, 0)</f>
        <v/>
      </c>
      <c r="N204" s="58" t="n">
        <v>200</v>
      </c>
      <c r="O204" s="61">
        <f>O203*$M$5</f>
        <v/>
      </c>
      <c r="P204" s="61">
        <f>P203*$M$5</f>
        <v/>
      </c>
      <c r="Q204" s="61">
        <f>Q203*$M$5</f>
        <v/>
      </c>
      <c r="R204" s="0">
        <f>ROUND((O204/O$5-1)*100000, 0)</f>
        <v/>
      </c>
      <c r="S204" s="0">
        <f>$O$5*(1+R204/100000)</f>
        <v/>
      </c>
    </row>
    <row r="205">
      <c r="B205" s="58" t="n">
        <v>201</v>
      </c>
      <c r="C205" s="61">
        <f>C204*$A$5</f>
        <v/>
      </c>
      <c r="D205" s="61">
        <f>D204*$A$5</f>
        <v/>
      </c>
      <c r="E205" s="61">
        <f>E204*$A$5</f>
        <v/>
      </c>
      <c r="F205" s="0">
        <f>ROUND((C205/C$5-1)*100000, 0)</f>
        <v/>
      </c>
      <c r="H205" s="58" t="n">
        <v>201</v>
      </c>
      <c r="I205" s="61">
        <f>I204*$G$5</f>
        <v/>
      </c>
      <c r="J205" s="61">
        <f>J204*$G$5</f>
        <v/>
      </c>
      <c r="K205" s="61">
        <f>K204*$G$5</f>
        <v/>
      </c>
      <c r="L205" s="0">
        <f>ROUND((I205/I$5-1)*100000, 0)</f>
        <v/>
      </c>
      <c r="N205" s="58" t="n">
        <v>201</v>
      </c>
      <c r="O205" s="61">
        <f>O204*$M$5</f>
        <v/>
      </c>
      <c r="P205" s="61">
        <f>P204*$M$5</f>
        <v/>
      </c>
      <c r="Q205" s="61">
        <f>Q204*$M$5</f>
        <v/>
      </c>
      <c r="R205" s="0">
        <f>ROUND((O205/O$5-1)*100000, 0)</f>
        <v/>
      </c>
      <c r="S205" s="0">
        <f>$O$5*(1+R205/100000)</f>
        <v/>
      </c>
    </row>
    <row r="206">
      <c r="B206" s="58" t="n">
        <v>202</v>
      </c>
      <c r="C206" s="61">
        <f>C205*$A$5</f>
        <v/>
      </c>
      <c r="D206" s="61">
        <f>D205*$A$5</f>
        <v/>
      </c>
      <c r="E206" s="61">
        <f>E205*$A$5</f>
        <v/>
      </c>
      <c r="F206" s="0">
        <f>ROUND((C206/C$5-1)*100000, 0)</f>
        <v/>
      </c>
      <c r="H206" s="58" t="n">
        <v>202</v>
      </c>
      <c r="I206" s="61">
        <f>I205*$G$5</f>
        <v/>
      </c>
      <c r="J206" s="61">
        <f>J205*$G$5</f>
        <v/>
      </c>
      <c r="K206" s="61">
        <f>K205*$G$5</f>
        <v/>
      </c>
      <c r="L206" s="0">
        <f>ROUND((I206/I$5-1)*100000, 0)</f>
        <v/>
      </c>
      <c r="N206" s="58" t="n">
        <v>202</v>
      </c>
      <c r="O206" s="61">
        <f>O205*$M$5</f>
        <v/>
      </c>
      <c r="P206" s="61">
        <f>P205*$M$5</f>
        <v/>
      </c>
      <c r="Q206" s="61">
        <f>Q205*$M$5</f>
        <v/>
      </c>
      <c r="R206" s="0">
        <f>ROUND((O206/O$5-1)*100000, 0)</f>
        <v/>
      </c>
      <c r="S206" s="0">
        <f>$O$5*(1+R206/100000)</f>
        <v/>
      </c>
    </row>
    <row r="207">
      <c r="B207" s="58" t="n">
        <v>203</v>
      </c>
      <c r="C207" s="61">
        <f>C206*$A$5</f>
        <v/>
      </c>
      <c r="D207" s="61">
        <f>D206*$A$5</f>
        <v/>
      </c>
      <c r="E207" s="61">
        <f>E206*$A$5</f>
        <v/>
      </c>
      <c r="F207" s="0">
        <f>ROUND((C207/C$5-1)*100000, 0)</f>
        <v/>
      </c>
      <c r="H207" s="58" t="n">
        <v>203</v>
      </c>
      <c r="I207" s="61">
        <f>I206*$G$5</f>
        <v/>
      </c>
      <c r="J207" s="61">
        <f>J206*$G$5</f>
        <v/>
      </c>
      <c r="K207" s="61">
        <f>K206*$G$5</f>
        <v/>
      </c>
      <c r="L207" s="0">
        <f>ROUND((I207/I$5-1)*100000, 0)</f>
        <v/>
      </c>
      <c r="N207" s="58" t="n">
        <v>203</v>
      </c>
      <c r="O207" s="61">
        <f>O206*$M$5</f>
        <v/>
      </c>
      <c r="P207" s="61">
        <f>P206*$M$5</f>
        <v/>
      </c>
      <c r="Q207" s="61">
        <f>Q206*$M$5</f>
        <v/>
      </c>
      <c r="R207" s="0">
        <f>ROUND((O207/O$5-1)*100000, 0)</f>
        <v/>
      </c>
      <c r="S207" s="0">
        <f>$O$5*(1+R207/100000)</f>
        <v/>
      </c>
    </row>
    <row r="208">
      <c r="B208" s="58" t="n">
        <v>204</v>
      </c>
      <c r="C208" s="61">
        <f>C207*$A$5</f>
        <v/>
      </c>
      <c r="D208" s="61">
        <f>D207*$A$5</f>
        <v/>
      </c>
      <c r="E208" s="61">
        <f>E207*$A$5</f>
        <v/>
      </c>
      <c r="F208" s="0">
        <f>ROUND((C208/C$5-1)*100000, 0)</f>
        <v/>
      </c>
      <c r="H208" s="58" t="n">
        <v>204</v>
      </c>
      <c r="I208" s="61">
        <f>I207*$G$5</f>
        <v/>
      </c>
      <c r="J208" s="61">
        <f>J207*$G$5</f>
        <v/>
      </c>
      <c r="K208" s="61">
        <f>K207*$G$5</f>
        <v/>
      </c>
      <c r="L208" s="0">
        <f>ROUND((I208/I$5-1)*100000, 0)</f>
        <v/>
      </c>
      <c r="N208" s="58" t="n">
        <v>204</v>
      </c>
      <c r="O208" s="61">
        <f>O207*$M$5</f>
        <v/>
      </c>
      <c r="P208" s="61">
        <f>P207*$M$5</f>
        <v/>
      </c>
      <c r="Q208" s="61">
        <f>Q207*$M$5</f>
        <v/>
      </c>
      <c r="R208" s="0">
        <f>ROUND((O208/O$5-1)*100000, 0)</f>
        <v/>
      </c>
      <c r="S208" s="0">
        <f>$O$5*(1+R208/100000)</f>
        <v/>
      </c>
    </row>
    <row r="209">
      <c r="B209" s="58" t="n">
        <v>205</v>
      </c>
      <c r="C209" s="61">
        <f>C208*$A$5</f>
        <v/>
      </c>
      <c r="D209" s="61">
        <f>D208*$A$5</f>
        <v/>
      </c>
      <c r="E209" s="61">
        <f>E208*$A$5</f>
        <v/>
      </c>
      <c r="F209" s="0">
        <f>ROUND((C209/C$5-1)*100000, 0)</f>
        <v/>
      </c>
      <c r="H209" s="58" t="n">
        <v>205</v>
      </c>
      <c r="I209" s="61">
        <f>I208*$G$5</f>
        <v/>
      </c>
      <c r="J209" s="61">
        <f>J208*$G$5</f>
        <v/>
      </c>
      <c r="K209" s="61">
        <f>K208*$G$5</f>
        <v/>
      </c>
      <c r="L209" s="0">
        <f>ROUND((I209/I$5-1)*100000, 0)</f>
        <v/>
      </c>
      <c r="N209" s="58" t="n">
        <v>205</v>
      </c>
      <c r="O209" s="61">
        <f>O208*$M$5</f>
        <v/>
      </c>
      <c r="P209" s="61">
        <f>P208*$M$5</f>
        <v/>
      </c>
      <c r="Q209" s="61">
        <f>Q208*$M$5</f>
        <v/>
      </c>
      <c r="R209" s="0">
        <f>ROUND((O209/O$5-1)*100000, 0)</f>
        <v/>
      </c>
      <c r="S209" s="0">
        <f>$O$5*(1+R209/100000)</f>
        <v/>
      </c>
    </row>
    <row r="210">
      <c r="B210" s="58" t="n">
        <v>206</v>
      </c>
      <c r="C210" s="61">
        <f>C209*$A$5</f>
        <v/>
      </c>
      <c r="D210" s="61">
        <f>D209*$A$5</f>
        <v/>
      </c>
      <c r="E210" s="61">
        <f>E209*$A$5</f>
        <v/>
      </c>
      <c r="F210" s="0">
        <f>ROUND((C210/C$5-1)*100000, 0)</f>
        <v/>
      </c>
      <c r="H210" s="58" t="n">
        <v>206</v>
      </c>
      <c r="I210" s="61">
        <f>I209*$G$5</f>
        <v/>
      </c>
      <c r="J210" s="61">
        <f>J209*$G$5</f>
        <v/>
      </c>
      <c r="K210" s="61">
        <f>K209*$G$5</f>
        <v/>
      </c>
      <c r="L210" s="0">
        <f>ROUND((I210/I$5-1)*100000, 0)</f>
        <v/>
      </c>
      <c r="N210" s="58" t="n">
        <v>206</v>
      </c>
      <c r="O210" s="61">
        <f>O209*$M$5</f>
        <v/>
      </c>
      <c r="P210" s="61">
        <f>P209*$M$5</f>
        <v/>
      </c>
      <c r="Q210" s="61">
        <f>Q209*$M$5</f>
        <v/>
      </c>
      <c r="R210" s="0">
        <f>ROUND((O210/O$5-1)*100000, 0)</f>
        <v/>
      </c>
      <c r="S210" s="0">
        <f>$O$5*(1+R210/100000)</f>
        <v/>
      </c>
    </row>
    <row r="211">
      <c r="B211" s="58" t="n">
        <v>207</v>
      </c>
      <c r="C211" s="61">
        <f>C210*$A$5</f>
        <v/>
      </c>
      <c r="D211" s="61">
        <f>D210*$A$5</f>
        <v/>
      </c>
      <c r="E211" s="61">
        <f>E210*$A$5</f>
        <v/>
      </c>
      <c r="F211" s="0">
        <f>ROUND((C211/C$5-1)*100000, 0)</f>
        <v/>
      </c>
      <c r="H211" s="58" t="n">
        <v>207</v>
      </c>
      <c r="I211" s="61">
        <f>I210*$G$5</f>
        <v/>
      </c>
      <c r="J211" s="61">
        <f>J210*$G$5</f>
        <v/>
      </c>
      <c r="K211" s="61">
        <f>K210*$G$5</f>
        <v/>
      </c>
      <c r="L211" s="0">
        <f>ROUND((I211/I$5-1)*100000, 0)</f>
        <v/>
      </c>
      <c r="N211" s="58" t="n">
        <v>207</v>
      </c>
      <c r="O211" s="61">
        <f>O210*$M$5</f>
        <v/>
      </c>
      <c r="P211" s="61">
        <f>P210*$M$5</f>
        <v/>
      </c>
      <c r="Q211" s="61">
        <f>Q210*$M$5</f>
        <v/>
      </c>
      <c r="R211" s="0">
        <f>ROUND((O211/O$5-1)*100000, 0)</f>
        <v/>
      </c>
      <c r="S211" s="0">
        <f>$O$5*(1+R211/100000)</f>
        <v/>
      </c>
    </row>
    <row r="212">
      <c r="B212" s="58" t="n">
        <v>208</v>
      </c>
      <c r="C212" s="61">
        <f>C211*$A$5</f>
        <v/>
      </c>
      <c r="D212" s="61">
        <f>D211*$A$5</f>
        <v/>
      </c>
      <c r="E212" s="61">
        <f>E211*$A$5</f>
        <v/>
      </c>
      <c r="F212" s="0">
        <f>ROUND((C212/C$5-1)*100000, 0)</f>
        <v/>
      </c>
      <c r="H212" s="58" t="n">
        <v>208</v>
      </c>
      <c r="I212" s="61">
        <f>I211*$G$5</f>
        <v/>
      </c>
      <c r="J212" s="61">
        <f>J211*$G$5</f>
        <v/>
      </c>
      <c r="K212" s="61">
        <f>K211*$G$5</f>
        <v/>
      </c>
      <c r="L212" s="0">
        <f>ROUND((I212/I$5-1)*100000, 0)</f>
        <v/>
      </c>
      <c r="N212" s="58" t="n">
        <v>208</v>
      </c>
      <c r="O212" s="61">
        <f>O211*$M$5</f>
        <v/>
      </c>
      <c r="P212" s="61">
        <f>P211*$M$5</f>
        <v/>
      </c>
      <c r="Q212" s="61">
        <f>Q211*$M$5</f>
        <v/>
      </c>
      <c r="R212" s="0">
        <f>ROUND((O212/O$5-1)*100000, 0)</f>
        <v/>
      </c>
      <c r="S212" s="0">
        <f>$O$5*(1+R212/100000)</f>
        <v/>
      </c>
    </row>
    <row r="213">
      <c r="B213" s="58" t="n">
        <v>209</v>
      </c>
      <c r="C213" s="61">
        <f>C212*$A$5</f>
        <v/>
      </c>
      <c r="D213" s="61">
        <f>D212*$A$5</f>
        <v/>
      </c>
      <c r="E213" s="61">
        <f>E212*$A$5</f>
        <v/>
      </c>
      <c r="F213" s="0">
        <f>ROUND((C213/C$5-1)*100000, 0)</f>
        <v/>
      </c>
      <c r="H213" s="58" t="n">
        <v>209</v>
      </c>
      <c r="I213" s="61">
        <f>I212*$G$5</f>
        <v/>
      </c>
      <c r="J213" s="61">
        <f>J212*$G$5</f>
        <v/>
      </c>
      <c r="K213" s="61">
        <f>K212*$G$5</f>
        <v/>
      </c>
      <c r="L213" s="0">
        <f>ROUND((I213/I$5-1)*100000, 0)</f>
        <v/>
      </c>
      <c r="N213" s="58" t="n">
        <v>209</v>
      </c>
      <c r="O213" s="61">
        <f>O212*$M$5</f>
        <v/>
      </c>
      <c r="P213" s="61">
        <f>P212*$M$5</f>
        <v/>
      </c>
      <c r="Q213" s="61">
        <f>Q212*$M$5</f>
        <v/>
      </c>
      <c r="R213" s="0">
        <f>ROUND((O213/O$5-1)*100000, 0)</f>
        <v/>
      </c>
      <c r="S213" s="0">
        <f>$O$5*(1+R213/100000)</f>
        <v/>
      </c>
    </row>
    <row r="214">
      <c r="B214" s="58" t="n">
        <v>210</v>
      </c>
      <c r="C214" s="61">
        <f>C213*$A$5</f>
        <v/>
      </c>
      <c r="D214" s="61">
        <f>D213*$A$5</f>
        <v/>
      </c>
      <c r="E214" s="61">
        <f>E213*$A$5</f>
        <v/>
      </c>
      <c r="F214" s="0">
        <f>ROUND((C214/C$5-1)*100000, 0)</f>
        <v/>
      </c>
      <c r="H214" s="58" t="n">
        <v>210</v>
      </c>
      <c r="I214" s="61">
        <f>I213*$G$5</f>
        <v/>
      </c>
      <c r="J214" s="61">
        <f>J213*$G$5</f>
        <v/>
      </c>
      <c r="K214" s="61">
        <f>K213*$G$5</f>
        <v/>
      </c>
      <c r="L214" s="0">
        <f>ROUND((I214/I$5-1)*100000, 0)</f>
        <v/>
      </c>
      <c r="N214" s="58" t="n">
        <v>210</v>
      </c>
      <c r="O214" s="61">
        <f>O213*$M$5</f>
        <v/>
      </c>
      <c r="P214" s="61">
        <f>P213*$M$5</f>
        <v/>
      </c>
      <c r="Q214" s="61">
        <f>Q213*$M$5</f>
        <v/>
      </c>
      <c r="R214" s="0">
        <f>ROUND((O214/O$5-1)*100000, 0)</f>
        <v/>
      </c>
      <c r="S214" s="0">
        <f>$O$5*(1+R214/100000)</f>
        <v/>
      </c>
    </row>
    <row r="215">
      <c r="B215" s="58" t="n">
        <v>211</v>
      </c>
      <c r="C215" s="61">
        <f>C214*$A$5</f>
        <v/>
      </c>
      <c r="D215" s="61">
        <f>D214*$A$5</f>
        <v/>
      </c>
      <c r="E215" s="61">
        <f>E214*$A$5</f>
        <v/>
      </c>
      <c r="F215" s="0">
        <f>ROUND((C215/C$5-1)*100000, 0)</f>
        <v/>
      </c>
      <c r="H215" s="58" t="n">
        <v>211</v>
      </c>
      <c r="I215" s="61">
        <f>I214*$G$5</f>
        <v/>
      </c>
      <c r="J215" s="61">
        <f>J214*$G$5</f>
        <v/>
      </c>
      <c r="K215" s="61">
        <f>K214*$G$5</f>
        <v/>
      </c>
      <c r="L215" s="0">
        <f>ROUND((I215/I$5-1)*100000, 0)</f>
        <v/>
      </c>
      <c r="N215" s="58" t="n">
        <v>211</v>
      </c>
      <c r="O215" s="61">
        <f>O214*$M$5</f>
        <v/>
      </c>
      <c r="P215" s="61">
        <f>P214*$M$5</f>
        <v/>
      </c>
      <c r="Q215" s="61">
        <f>Q214*$M$5</f>
        <v/>
      </c>
      <c r="R215" s="0">
        <f>ROUND((O215/O$5-1)*100000, 0)</f>
        <v/>
      </c>
      <c r="S215" s="0">
        <f>$O$5*(1+R215/100000)</f>
        <v/>
      </c>
    </row>
    <row r="216">
      <c r="B216" s="58" t="n">
        <v>212</v>
      </c>
      <c r="C216" s="61">
        <f>C215*$A$5</f>
        <v/>
      </c>
      <c r="D216" s="61">
        <f>D215*$A$5</f>
        <v/>
      </c>
      <c r="E216" s="61">
        <f>E215*$A$5</f>
        <v/>
      </c>
      <c r="F216" s="0">
        <f>ROUND((C216/C$5-1)*100000, 0)</f>
        <v/>
      </c>
      <c r="H216" s="58" t="n">
        <v>212</v>
      </c>
      <c r="I216" s="61">
        <f>I215*$G$5</f>
        <v/>
      </c>
      <c r="J216" s="61">
        <f>J215*$G$5</f>
        <v/>
      </c>
      <c r="K216" s="61">
        <f>K215*$G$5</f>
        <v/>
      </c>
      <c r="L216" s="0">
        <f>ROUND((I216/I$5-1)*100000, 0)</f>
        <v/>
      </c>
      <c r="N216" s="58" t="n">
        <v>212</v>
      </c>
      <c r="O216" s="61">
        <f>O215*$M$5</f>
        <v/>
      </c>
      <c r="P216" s="61">
        <f>P215*$M$5</f>
        <v/>
      </c>
      <c r="Q216" s="61">
        <f>Q215*$M$5</f>
        <v/>
      </c>
      <c r="R216" s="0">
        <f>ROUND((O216/O$5-1)*100000, 0)</f>
        <v/>
      </c>
      <c r="S216" s="0">
        <f>$O$5*(1+R216/100000)</f>
        <v/>
      </c>
    </row>
    <row r="217">
      <c r="B217" s="58" t="n">
        <v>213</v>
      </c>
      <c r="C217" s="61">
        <f>C216*$A$5</f>
        <v/>
      </c>
      <c r="D217" s="61">
        <f>D216*$A$5</f>
        <v/>
      </c>
      <c r="E217" s="61">
        <f>E216*$A$5</f>
        <v/>
      </c>
      <c r="F217" s="0">
        <f>ROUND((C217/C$5-1)*100000, 0)</f>
        <v/>
      </c>
      <c r="H217" s="58" t="n">
        <v>213</v>
      </c>
      <c r="I217" s="61">
        <f>I216*$G$5</f>
        <v/>
      </c>
      <c r="J217" s="61">
        <f>J216*$G$5</f>
        <v/>
      </c>
      <c r="K217" s="61">
        <f>K216*$G$5</f>
        <v/>
      </c>
      <c r="L217" s="0">
        <f>ROUND((I217/I$5-1)*100000, 0)</f>
        <v/>
      </c>
      <c r="N217" s="58" t="n">
        <v>213</v>
      </c>
      <c r="O217" s="61">
        <f>O216*$M$5</f>
        <v/>
      </c>
      <c r="P217" s="61">
        <f>P216*$M$5</f>
        <v/>
      </c>
      <c r="Q217" s="61">
        <f>Q216*$M$5</f>
        <v/>
      </c>
      <c r="R217" s="0">
        <f>ROUND((O217/O$5-1)*100000, 0)</f>
        <v/>
      </c>
      <c r="S217" s="0">
        <f>$O$5*(1+R217/100000)</f>
        <v/>
      </c>
    </row>
    <row r="218">
      <c r="B218" s="58" t="n">
        <v>214</v>
      </c>
      <c r="C218" s="61">
        <f>C217*$A$5</f>
        <v/>
      </c>
      <c r="D218" s="61">
        <f>D217*$A$5</f>
        <v/>
      </c>
      <c r="E218" s="61">
        <f>E217*$A$5</f>
        <v/>
      </c>
      <c r="F218" s="0">
        <f>ROUND((C218/C$5-1)*100000, 0)</f>
        <v/>
      </c>
      <c r="H218" s="58" t="n">
        <v>214</v>
      </c>
      <c r="I218" s="61">
        <f>I217*$G$5</f>
        <v/>
      </c>
      <c r="J218" s="61">
        <f>J217*$G$5</f>
        <v/>
      </c>
      <c r="K218" s="61">
        <f>K217*$G$5</f>
        <v/>
      </c>
      <c r="L218" s="0">
        <f>ROUND((I218/I$5-1)*100000, 0)</f>
        <v/>
      </c>
      <c r="N218" s="58" t="n">
        <v>214</v>
      </c>
      <c r="O218" s="61">
        <f>O217*$M$5</f>
        <v/>
      </c>
      <c r="P218" s="61">
        <f>P217*$M$5</f>
        <v/>
      </c>
      <c r="Q218" s="61">
        <f>Q217*$M$5</f>
        <v/>
      </c>
      <c r="R218" s="0">
        <f>ROUND((O218/O$5-1)*100000, 0)</f>
        <v/>
      </c>
      <c r="S218" s="0">
        <f>$O$5*(1+R218/100000)</f>
        <v/>
      </c>
    </row>
    <row r="219">
      <c r="B219" s="58" t="n">
        <v>215</v>
      </c>
      <c r="C219" s="61">
        <f>C218*$A$5</f>
        <v/>
      </c>
      <c r="D219" s="61">
        <f>D218*$A$5</f>
        <v/>
      </c>
      <c r="E219" s="61">
        <f>E218*$A$5</f>
        <v/>
      </c>
      <c r="F219" s="0">
        <f>ROUND((C219/C$5-1)*100000, 0)</f>
        <v/>
      </c>
      <c r="H219" s="58" t="n">
        <v>215</v>
      </c>
      <c r="I219" s="61">
        <f>I218*$G$5</f>
        <v/>
      </c>
      <c r="J219" s="61">
        <f>J218*$G$5</f>
        <v/>
      </c>
      <c r="K219" s="61">
        <f>K218*$G$5</f>
        <v/>
      </c>
      <c r="L219" s="0">
        <f>ROUND((I219/I$5-1)*100000, 0)</f>
        <v/>
      </c>
      <c r="N219" s="58" t="n">
        <v>215</v>
      </c>
      <c r="O219" s="61">
        <f>O218*$M$5</f>
        <v/>
      </c>
      <c r="P219" s="61">
        <f>P218*$M$5</f>
        <v/>
      </c>
      <c r="Q219" s="61">
        <f>Q218*$M$5</f>
        <v/>
      </c>
      <c r="R219" s="0">
        <f>ROUND((O219/O$5-1)*100000, 0)</f>
        <v/>
      </c>
      <c r="S219" s="0">
        <f>$O$5*(1+R219/100000)</f>
        <v/>
      </c>
    </row>
    <row r="220">
      <c r="B220" s="58" t="n">
        <v>216</v>
      </c>
      <c r="C220" s="61">
        <f>C219*$A$5</f>
        <v/>
      </c>
      <c r="D220" s="61">
        <f>D219*$A$5</f>
        <v/>
      </c>
      <c r="E220" s="61">
        <f>E219*$A$5</f>
        <v/>
      </c>
      <c r="F220" s="0">
        <f>ROUND((C220/C$5-1)*100000, 0)</f>
        <v/>
      </c>
      <c r="H220" s="58" t="n">
        <v>216</v>
      </c>
      <c r="I220" s="61">
        <f>I219*$G$5</f>
        <v/>
      </c>
      <c r="J220" s="61">
        <f>J219*$G$5</f>
        <v/>
      </c>
      <c r="K220" s="61">
        <f>K219*$G$5</f>
        <v/>
      </c>
      <c r="L220" s="0">
        <f>ROUND((I220/I$5-1)*100000, 0)</f>
        <v/>
      </c>
      <c r="N220" s="58" t="n">
        <v>216</v>
      </c>
      <c r="O220" s="61">
        <f>O219*$M$5</f>
        <v/>
      </c>
      <c r="P220" s="61">
        <f>P219*$M$5</f>
        <v/>
      </c>
      <c r="Q220" s="61">
        <f>Q219*$M$5</f>
        <v/>
      </c>
      <c r="R220" s="0">
        <f>ROUND((O220/O$5-1)*100000, 0)</f>
        <v/>
      </c>
      <c r="S220" s="0">
        <f>$O$5*(1+R220/100000)</f>
        <v/>
      </c>
    </row>
    <row r="221">
      <c r="B221" s="58" t="n">
        <v>217</v>
      </c>
      <c r="C221" s="61">
        <f>C220*$A$5</f>
        <v/>
      </c>
      <c r="D221" s="61">
        <f>D220*$A$5</f>
        <v/>
      </c>
      <c r="E221" s="61">
        <f>E220*$A$5</f>
        <v/>
      </c>
      <c r="F221" s="0">
        <f>ROUND((C221/C$5-1)*100000, 0)</f>
        <v/>
      </c>
      <c r="H221" s="58" t="n">
        <v>217</v>
      </c>
      <c r="I221" s="61">
        <f>I220*$G$5</f>
        <v/>
      </c>
      <c r="J221" s="61">
        <f>J220*$G$5</f>
        <v/>
      </c>
      <c r="K221" s="61">
        <f>K220*$G$5</f>
        <v/>
      </c>
      <c r="L221" s="0">
        <f>ROUND((I221/I$5-1)*100000, 0)</f>
        <v/>
      </c>
      <c r="N221" s="58" t="n">
        <v>217</v>
      </c>
      <c r="O221" s="61">
        <f>O220*$M$5</f>
        <v/>
      </c>
      <c r="P221" s="61">
        <f>P220*$M$5</f>
        <v/>
      </c>
      <c r="Q221" s="61">
        <f>Q220*$M$5</f>
        <v/>
      </c>
      <c r="R221" s="0">
        <f>ROUND((O221/O$5-1)*100000, 0)</f>
        <v/>
      </c>
      <c r="S221" s="0">
        <f>$O$5*(1+R221/100000)</f>
        <v/>
      </c>
    </row>
    <row r="222">
      <c r="B222" s="58" t="n">
        <v>218</v>
      </c>
      <c r="C222" s="61">
        <f>C221*$A$5</f>
        <v/>
      </c>
      <c r="D222" s="61">
        <f>D221*$A$5</f>
        <v/>
      </c>
      <c r="E222" s="61">
        <f>E221*$A$5</f>
        <v/>
      </c>
      <c r="F222" s="0">
        <f>ROUND((C222/C$5-1)*100000, 0)</f>
        <v/>
      </c>
      <c r="H222" s="58" t="n">
        <v>218</v>
      </c>
      <c r="I222" s="61">
        <f>I221*$G$5</f>
        <v/>
      </c>
      <c r="J222" s="61">
        <f>J221*$G$5</f>
        <v/>
      </c>
      <c r="K222" s="61">
        <f>K221*$G$5</f>
        <v/>
      </c>
      <c r="L222" s="0">
        <f>ROUND((I222/I$5-1)*100000, 0)</f>
        <v/>
      </c>
      <c r="N222" s="58" t="n">
        <v>218</v>
      </c>
      <c r="O222" s="61">
        <f>O221*$M$5</f>
        <v/>
      </c>
      <c r="P222" s="61">
        <f>P221*$M$5</f>
        <v/>
      </c>
      <c r="Q222" s="61">
        <f>Q221*$M$5</f>
        <v/>
      </c>
      <c r="R222" s="0">
        <f>ROUND((O222/O$5-1)*100000, 0)</f>
        <v/>
      </c>
      <c r="S222" s="0">
        <f>$O$5*(1+R222/100000)</f>
        <v/>
      </c>
    </row>
    <row r="223">
      <c r="B223" s="58" t="n">
        <v>219</v>
      </c>
      <c r="C223" s="61">
        <f>C222*$A$5</f>
        <v/>
      </c>
      <c r="D223" s="61">
        <f>D222*$A$5</f>
        <v/>
      </c>
      <c r="E223" s="61">
        <f>E222*$A$5</f>
        <v/>
      </c>
      <c r="F223" s="0">
        <f>ROUND((C223/C$5-1)*100000, 0)</f>
        <v/>
      </c>
      <c r="H223" s="58" t="n">
        <v>219</v>
      </c>
      <c r="I223" s="61">
        <f>I222*$G$5</f>
        <v/>
      </c>
      <c r="J223" s="61">
        <f>J222*$G$5</f>
        <v/>
      </c>
      <c r="K223" s="61">
        <f>K222*$G$5</f>
        <v/>
      </c>
      <c r="L223" s="0">
        <f>ROUND((I223/I$5-1)*100000, 0)</f>
        <v/>
      </c>
      <c r="N223" s="58" t="n">
        <v>219</v>
      </c>
      <c r="O223" s="61">
        <f>O222*$M$5</f>
        <v/>
      </c>
      <c r="P223" s="61">
        <f>P222*$M$5</f>
        <v/>
      </c>
      <c r="Q223" s="61">
        <f>Q222*$M$5</f>
        <v/>
      </c>
      <c r="R223" s="0">
        <f>ROUND((O223/O$5-1)*100000, 0)</f>
        <v/>
      </c>
      <c r="S223" s="0">
        <f>$O$5*(1+R223/100000)</f>
        <v/>
      </c>
    </row>
    <row r="224">
      <c r="B224" s="58" t="n">
        <v>220</v>
      </c>
      <c r="C224" s="61">
        <f>C223*$A$5</f>
        <v/>
      </c>
      <c r="D224" s="61">
        <f>D223*$A$5</f>
        <v/>
      </c>
      <c r="E224" s="61">
        <f>E223*$A$5</f>
        <v/>
      </c>
      <c r="F224" s="0">
        <f>ROUND((C224/C$5-1)*100000, 0)</f>
        <v/>
      </c>
      <c r="H224" s="58" t="n">
        <v>220</v>
      </c>
      <c r="I224" s="61">
        <f>I223*$G$5</f>
        <v/>
      </c>
      <c r="J224" s="61">
        <f>J223*$G$5</f>
        <v/>
      </c>
      <c r="K224" s="61">
        <f>K223*$G$5</f>
        <v/>
      </c>
      <c r="L224" s="0">
        <f>ROUND((I224/I$5-1)*100000, 0)</f>
        <v/>
      </c>
      <c r="N224" s="58" t="n">
        <v>220</v>
      </c>
      <c r="O224" s="61">
        <f>O223*$M$5</f>
        <v/>
      </c>
      <c r="P224" s="61">
        <f>P223*$M$5</f>
        <v/>
      </c>
      <c r="Q224" s="61">
        <f>Q223*$M$5</f>
        <v/>
      </c>
      <c r="R224" s="0">
        <f>ROUND((O224/O$5-1)*100000, 0)</f>
        <v/>
      </c>
      <c r="S224" s="0">
        <f>$O$5*(1+R224/100000)</f>
        <v/>
      </c>
    </row>
    <row r="225">
      <c r="B225" s="58" t="n">
        <v>221</v>
      </c>
      <c r="C225" s="61">
        <f>C224*$A$5</f>
        <v/>
      </c>
      <c r="D225" s="61">
        <f>D224*$A$5</f>
        <v/>
      </c>
      <c r="E225" s="61">
        <f>E224*$A$5</f>
        <v/>
      </c>
      <c r="F225" s="0">
        <f>ROUND((C225/C$5-1)*100000, 0)</f>
        <v/>
      </c>
      <c r="H225" s="58" t="n">
        <v>221</v>
      </c>
      <c r="I225" s="61">
        <f>I224*$G$5</f>
        <v/>
      </c>
      <c r="J225" s="61">
        <f>J224*$G$5</f>
        <v/>
      </c>
      <c r="K225" s="61">
        <f>K224*$G$5</f>
        <v/>
      </c>
      <c r="L225" s="0">
        <f>ROUND((I225/I$5-1)*100000, 0)</f>
        <v/>
      </c>
      <c r="N225" s="58" t="n">
        <v>221</v>
      </c>
      <c r="O225" s="61">
        <f>O224*$M$5</f>
        <v/>
      </c>
      <c r="P225" s="61">
        <f>P224*$M$5</f>
        <v/>
      </c>
      <c r="Q225" s="61">
        <f>Q224*$M$5</f>
        <v/>
      </c>
      <c r="R225" s="0">
        <f>ROUND((O225/O$5-1)*100000, 0)</f>
        <v/>
      </c>
      <c r="S225" s="0">
        <f>$O$5*(1+R225/100000)</f>
        <v/>
      </c>
    </row>
    <row r="226">
      <c r="B226" s="58" t="n">
        <v>222</v>
      </c>
      <c r="C226" s="61">
        <f>C225*$A$5</f>
        <v/>
      </c>
      <c r="D226" s="61">
        <f>D225*$A$5</f>
        <v/>
      </c>
      <c r="E226" s="61">
        <f>E225*$A$5</f>
        <v/>
      </c>
      <c r="F226" s="0">
        <f>ROUND((C226/C$5-1)*100000, 0)</f>
        <v/>
      </c>
      <c r="H226" s="58" t="n">
        <v>222</v>
      </c>
      <c r="I226" s="61">
        <f>I225*$G$5</f>
        <v/>
      </c>
      <c r="J226" s="61">
        <f>J225*$G$5</f>
        <v/>
      </c>
      <c r="K226" s="61">
        <f>K225*$G$5</f>
        <v/>
      </c>
      <c r="L226" s="0">
        <f>ROUND((I226/I$5-1)*100000, 0)</f>
        <v/>
      </c>
      <c r="N226" s="58" t="n">
        <v>222</v>
      </c>
      <c r="O226" s="61">
        <f>O225*$M$5</f>
        <v/>
      </c>
      <c r="P226" s="61">
        <f>P225*$M$5</f>
        <v/>
      </c>
      <c r="Q226" s="61">
        <f>Q225*$M$5</f>
        <v/>
      </c>
      <c r="R226" s="0">
        <f>ROUND((O226/O$5-1)*100000, 0)</f>
        <v/>
      </c>
      <c r="S226" s="0">
        <f>$O$5*(1+R226/100000)</f>
        <v/>
      </c>
    </row>
    <row r="227">
      <c r="B227" s="58" t="n">
        <v>223</v>
      </c>
      <c r="C227" s="61">
        <f>C226*$A$5</f>
        <v/>
      </c>
      <c r="D227" s="61">
        <f>D226*$A$5</f>
        <v/>
      </c>
      <c r="E227" s="61">
        <f>E226*$A$5</f>
        <v/>
      </c>
      <c r="F227" s="0">
        <f>ROUND((C227/C$5-1)*100000, 0)</f>
        <v/>
      </c>
      <c r="H227" s="58" t="n">
        <v>223</v>
      </c>
      <c r="I227" s="61">
        <f>I226*$G$5</f>
        <v/>
      </c>
      <c r="J227" s="61">
        <f>J226*$G$5</f>
        <v/>
      </c>
      <c r="K227" s="61">
        <f>K226*$G$5</f>
        <v/>
      </c>
      <c r="L227" s="0">
        <f>ROUND((I227/I$5-1)*100000, 0)</f>
        <v/>
      </c>
      <c r="N227" s="58" t="n">
        <v>223</v>
      </c>
      <c r="O227" s="61">
        <f>O226*$M$5</f>
        <v/>
      </c>
      <c r="P227" s="61">
        <f>P226*$M$5</f>
        <v/>
      </c>
      <c r="Q227" s="61">
        <f>Q226*$M$5</f>
        <v/>
      </c>
      <c r="R227" s="0">
        <f>ROUND((O227/O$5-1)*100000, 0)</f>
        <v/>
      </c>
      <c r="S227" s="0">
        <f>$O$5*(1+R227/100000)</f>
        <v/>
      </c>
    </row>
    <row r="228">
      <c r="B228" s="58" t="n">
        <v>224</v>
      </c>
      <c r="C228" s="61">
        <f>C227*$A$5</f>
        <v/>
      </c>
      <c r="D228" s="61">
        <f>D227*$A$5</f>
        <v/>
      </c>
      <c r="E228" s="61">
        <f>E227*$A$5</f>
        <v/>
      </c>
      <c r="F228" s="0">
        <f>ROUND((C228/C$5-1)*100000, 0)</f>
        <v/>
      </c>
      <c r="H228" s="58" t="n">
        <v>224</v>
      </c>
      <c r="I228" s="61">
        <f>I227*$G$5</f>
        <v/>
      </c>
      <c r="J228" s="61">
        <f>J227*$G$5</f>
        <v/>
      </c>
      <c r="K228" s="61">
        <f>K227*$G$5</f>
        <v/>
      </c>
      <c r="L228" s="0">
        <f>ROUND((I228/I$5-1)*100000, 0)</f>
        <v/>
      </c>
      <c r="N228" s="58" t="n">
        <v>224</v>
      </c>
      <c r="O228" s="61">
        <f>O227*$M$5</f>
        <v/>
      </c>
      <c r="P228" s="61">
        <f>P227*$M$5</f>
        <v/>
      </c>
      <c r="Q228" s="61">
        <f>Q227*$M$5</f>
        <v/>
      </c>
      <c r="R228" s="0">
        <f>ROUND((O228/O$5-1)*100000, 0)</f>
        <v/>
      </c>
      <c r="S228" s="0">
        <f>$O$5*(1+R228/100000)</f>
        <v/>
      </c>
    </row>
    <row r="229">
      <c r="B229" s="58" t="n">
        <v>225</v>
      </c>
      <c r="C229" s="61">
        <f>C228*$A$5</f>
        <v/>
      </c>
      <c r="D229" s="61">
        <f>D228*$A$5</f>
        <v/>
      </c>
      <c r="E229" s="61">
        <f>E228*$A$5</f>
        <v/>
      </c>
      <c r="F229" s="0">
        <f>ROUND((C229/C$5-1)*100000, 0)</f>
        <v/>
      </c>
      <c r="H229" s="58" t="n">
        <v>225</v>
      </c>
      <c r="I229" s="61">
        <f>I228*$G$5</f>
        <v/>
      </c>
      <c r="J229" s="61">
        <f>J228*$G$5</f>
        <v/>
      </c>
      <c r="K229" s="61">
        <f>K228*$G$5</f>
        <v/>
      </c>
      <c r="L229" s="0">
        <f>ROUND((I229/I$5-1)*100000, 0)</f>
        <v/>
      </c>
      <c r="N229" s="58" t="n">
        <v>225</v>
      </c>
      <c r="O229" s="61">
        <f>O228*$M$5</f>
        <v/>
      </c>
      <c r="P229" s="61">
        <f>P228*$M$5</f>
        <v/>
      </c>
      <c r="Q229" s="61">
        <f>Q228*$M$5</f>
        <v/>
      </c>
      <c r="R229" s="0">
        <f>ROUND((O229/O$5-1)*100000, 0)</f>
        <v/>
      </c>
      <c r="S229" s="0">
        <f>$O$5*(1+R229/100000)</f>
        <v/>
      </c>
    </row>
    <row r="230">
      <c r="B230" s="58" t="n">
        <v>226</v>
      </c>
      <c r="C230" s="61">
        <f>C229*$A$5</f>
        <v/>
      </c>
      <c r="D230" s="61">
        <f>D229*$A$5</f>
        <v/>
      </c>
      <c r="E230" s="61">
        <f>E229*$A$5</f>
        <v/>
      </c>
      <c r="F230" s="0">
        <f>ROUND((C230/C$5-1)*100000, 0)</f>
        <v/>
      </c>
      <c r="H230" s="58" t="n">
        <v>226</v>
      </c>
      <c r="I230" s="61">
        <f>I229*$G$5</f>
        <v/>
      </c>
      <c r="J230" s="61">
        <f>J229*$G$5</f>
        <v/>
      </c>
      <c r="K230" s="61">
        <f>K229*$G$5</f>
        <v/>
      </c>
      <c r="L230" s="0">
        <f>ROUND((I230/I$5-1)*100000, 0)</f>
        <v/>
      </c>
      <c r="N230" s="58" t="n">
        <v>226</v>
      </c>
      <c r="O230" s="61">
        <f>O229*$M$5</f>
        <v/>
      </c>
      <c r="P230" s="61">
        <f>P229*$M$5</f>
        <v/>
      </c>
      <c r="Q230" s="61">
        <f>Q229*$M$5</f>
        <v/>
      </c>
      <c r="R230" s="0">
        <f>ROUND((O230/O$5-1)*100000, 0)</f>
        <v/>
      </c>
      <c r="S230" s="0">
        <f>$O$5*(1+R230/100000)</f>
        <v/>
      </c>
    </row>
    <row r="231">
      <c r="B231" s="58" t="n">
        <v>227</v>
      </c>
      <c r="C231" s="61">
        <f>C230*$A$5</f>
        <v/>
      </c>
      <c r="D231" s="61">
        <f>D230*$A$5</f>
        <v/>
      </c>
      <c r="E231" s="61">
        <f>E230*$A$5</f>
        <v/>
      </c>
      <c r="F231" s="0">
        <f>ROUND((C231/C$5-1)*100000, 0)</f>
        <v/>
      </c>
      <c r="H231" s="58" t="n">
        <v>227</v>
      </c>
      <c r="I231" s="61">
        <f>I230*$G$5</f>
        <v/>
      </c>
      <c r="J231" s="61">
        <f>J230*$G$5</f>
        <v/>
      </c>
      <c r="K231" s="61">
        <f>K230*$G$5</f>
        <v/>
      </c>
      <c r="L231" s="0">
        <f>ROUND((I231/I$5-1)*100000, 0)</f>
        <v/>
      </c>
      <c r="N231" s="58" t="n">
        <v>227</v>
      </c>
      <c r="O231" s="61">
        <f>O230*$M$5</f>
        <v/>
      </c>
      <c r="P231" s="61">
        <f>P230*$M$5</f>
        <v/>
      </c>
      <c r="Q231" s="61">
        <f>Q230*$M$5</f>
        <v/>
      </c>
      <c r="R231" s="0">
        <f>ROUND((O231/O$5-1)*100000, 0)</f>
        <v/>
      </c>
      <c r="S231" s="0">
        <f>$O$5*(1+R231/100000)</f>
        <v/>
      </c>
    </row>
    <row r="232">
      <c r="B232" s="58" t="n">
        <v>228</v>
      </c>
      <c r="C232" s="61">
        <f>C231*$A$5</f>
        <v/>
      </c>
      <c r="D232" s="61">
        <f>D231*$A$5</f>
        <v/>
      </c>
      <c r="E232" s="61">
        <f>E231*$A$5</f>
        <v/>
      </c>
      <c r="F232" s="0">
        <f>ROUND((C232/C$5-1)*100000, 0)</f>
        <v/>
      </c>
      <c r="H232" s="58" t="n">
        <v>228</v>
      </c>
      <c r="I232" s="61">
        <f>I231*$G$5</f>
        <v/>
      </c>
      <c r="J232" s="61">
        <f>J231*$G$5</f>
        <v/>
      </c>
      <c r="K232" s="61">
        <f>K231*$G$5</f>
        <v/>
      </c>
      <c r="L232" s="0">
        <f>ROUND((I232/I$5-1)*100000, 0)</f>
        <v/>
      </c>
      <c r="N232" s="58" t="n">
        <v>228</v>
      </c>
      <c r="O232" s="61">
        <f>O231*$M$5</f>
        <v/>
      </c>
      <c r="P232" s="61">
        <f>P231*$M$5</f>
        <v/>
      </c>
      <c r="Q232" s="61">
        <f>Q231*$M$5</f>
        <v/>
      </c>
      <c r="R232" s="0">
        <f>ROUND((O232/O$5-1)*100000, 0)</f>
        <v/>
      </c>
      <c r="S232" s="0">
        <f>$O$5*(1+R232/100000)</f>
        <v/>
      </c>
    </row>
    <row r="233">
      <c r="B233" s="58" t="n">
        <v>229</v>
      </c>
      <c r="C233" s="61">
        <f>C232*$A$5</f>
        <v/>
      </c>
      <c r="D233" s="61">
        <f>D232*$A$5</f>
        <v/>
      </c>
      <c r="E233" s="61">
        <f>E232*$A$5</f>
        <v/>
      </c>
      <c r="F233" s="0">
        <f>ROUND((C233/C$5-1)*100000, 0)</f>
        <v/>
      </c>
      <c r="H233" s="58" t="n">
        <v>229</v>
      </c>
      <c r="I233" s="61">
        <f>I232*$G$5</f>
        <v/>
      </c>
      <c r="J233" s="61">
        <f>J232*$G$5</f>
        <v/>
      </c>
      <c r="K233" s="61">
        <f>K232*$G$5</f>
        <v/>
      </c>
      <c r="L233" s="0">
        <f>ROUND((I233/I$5-1)*100000, 0)</f>
        <v/>
      </c>
      <c r="N233" s="58" t="n">
        <v>229</v>
      </c>
      <c r="O233" s="61">
        <f>O232*$M$5</f>
        <v/>
      </c>
      <c r="P233" s="61">
        <f>P232*$M$5</f>
        <v/>
      </c>
      <c r="Q233" s="61">
        <f>Q232*$M$5</f>
        <v/>
      </c>
      <c r="R233" s="0">
        <f>ROUND((O233/O$5-1)*100000, 0)</f>
        <v/>
      </c>
      <c r="S233" s="0">
        <f>$O$5*(1+R233/100000)</f>
        <v/>
      </c>
    </row>
    <row r="234">
      <c r="B234" s="58" t="n">
        <v>230</v>
      </c>
      <c r="C234" s="61">
        <f>C233*$A$5</f>
        <v/>
      </c>
      <c r="D234" s="61">
        <f>D233*$A$5</f>
        <v/>
      </c>
      <c r="E234" s="61">
        <f>E233*$A$5</f>
        <v/>
      </c>
      <c r="F234" s="0">
        <f>ROUND((C234/C$5-1)*100000, 0)</f>
        <v/>
      </c>
      <c r="H234" s="58" t="n">
        <v>230</v>
      </c>
      <c r="I234" s="61">
        <f>I233*$G$5</f>
        <v/>
      </c>
      <c r="J234" s="61">
        <f>J233*$G$5</f>
        <v/>
      </c>
      <c r="K234" s="61">
        <f>K233*$G$5</f>
        <v/>
      </c>
      <c r="L234" s="0">
        <f>ROUND((I234/I$5-1)*100000, 0)</f>
        <v/>
      </c>
      <c r="N234" s="58" t="n">
        <v>230</v>
      </c>
      <c r="O234" s="61">
        <f>O233*$M$5</f>
        <v/>
      </c>
      <c r="P234" s="61">
        <f>P233*$M$5</f>
        <v/>
      </c>
      <c r="Q234" s="61">
        <f>Q233*$M$5</f>
        <v/>
      </c>
      <c r="R234" s="0">
        <f>ROUND((O234/O$5-1)*100000, 0)</f>
        <v/>
      </c>
      <c r="S234" s="0">
        <f>$O$5*(1+R234/100000)</f>
        <v/>
      </c>
    </row>
    <row r="235">
      <c r="B235" s="58" t="n">
        <v>231</v>
      </c>
      <c r="C235" s="61">
        <f>C234*$A$5</f>
        <v/>
      </c>
      <c r="D235" s="61">
        <f>D234*$A$5</f>
        <v/>
      </c>
      <c r="E235" s="61">
        <f>E234*$A$5</f>
        <v/>
      </c>
      <c r="F235" s="0">
        <f>ROUND((C235/C$5-1)*100000, 0)</f>
        <v/>
      </c>
      <c r="H235" s="58" t="n">
        <v>231</v>
      </c>
      <c r="I235" s="61">
        <f>I234*$G$5</f>
        <v/>
      </c>
      <c r="J235" s="61">
        <f>J234*$G$5</f>
        <v/>
      </c>
      <c r="K235" s="61">
        <f>K234*$G$5</f>
        <v/>
      </c>
      <c r="L235" s="0">
        <f>ROUND((I235/I$5-1)*100000, 0)</f>
        <v/>
      </c>
      <c r="N235" s="58" t="n">
        <v>231</v>
      </c>
      <c r="O235" s="61">
        <f>O234*$M$5</f>
        <v/>
      </c>
      <c r="P235" s="61">
        <f>P234*$M$5</f>
        <v/>
      </c>
      <c r="Q235" s="61">
        <f>Q234*$M$5</f>
        <v/>
      </c>
      <c r="R235" s="0">
        <f>ROUND((O235/O$5-1)*100000, 0)</f>
        <v/>
      </c>
      <c r="S235" s="0">
        <f>$O$5*(1+R235/100000)</f>
        <v/>
      </c>
    </row>
    <row r="236">
      <c r="B236" s="58" t="n">
        <v>232</v>
      </c>
      <c r="C236" s="61">
        <f>C235*$A$5</f>
        <v/>
      </c>
      <c r="D236" s="61">
        <f>D235*$A$5</f>
        <v/>
      </c>
      <c r="E236" s="61">
        <f>E235*$A$5</f>
        <v/>
      </c>
      <c r="F236" s="0">
        <f>ROUND((C236/C$5-1)*100000, 0)</f>
        <v/>
      </c>
      <c r="H236" s="58" t="n">
        <v>232</v>
      </c>
      <c r="I236" s="61">
        <f>I235*$G$5</f>
        <v/>
      </c>
      <c r="J236" s="61">
        <f>J235*$G$5</f>
        <v/>
      </c>
      <c r="K236" s="61">
        <f>K235*$G$5</f>
        <v/>
      </c>
      <c r="L236" s="0">
        <f>ROUND((I236/I$5-1)*100000, 0)</f>
        <v/>
      </c>
      <c r="N236" s="58" t="n">
        <v>232</v>
      </c>
      <c r="O236" s="61">
        <f>O235*$M$5</f>
        <v/>
      </c>
      <c r="P236" s="61">
        <f>P235*$M$5</f>
        <v/>
      </c>
      <c r="Q236" s="61">
        <f>Q235*$M$5</f>
        <v/>
      </c>
      <c r="R236" s="0">
        <f>ROUND((O236/O$5-1)*100000, 0)</f>
        <v/>
      </c>
      <c r="S236" s="0">
        <f>$O$5*(1+R236/100000)</f>
        <v/>
      </c>
    </row>
    <row r="237">
      <c r="B237" s="58" t="n">
        <v>233</v>
      </c>
      <c r="C237" s="61">
        <f>C236*$A$5</f>
        <v/>
      </c>
      <c r="D237" s="61">
        <f>D236*$A$5</f>
        <v/>
      </c>
      <c r="E237" s="61">
        <f>E236*$A$5</f>
        <v/>
      </c>
      <c r="F237" s="0">
        <f>ROUND((C237/C$5-1)*100000, 0)</f>
        <v/>
      </c>
      <c r="H237" s="58" t="n">
        <v>233</v>
      </c>
      <c r="I237" s="61">
        <f>I236*$G$5</f>
        <v/>
      </c>
      <c r="J237" s="61">
        <f>J236*$G$5</f>
        <v/>
      </c>
      <c r="K237" s="61">
        <f>K236*$G$5</f>
        <v/>
      </c>
      <c r="L237" s="0">
        <f>ROUND((I237/I$5-1)*100000, 0)</f>
        <v/>
      </c>
      <c r="N237" s="58" t="n">
        <v>233</v>
      </c>
      <c r="O237" s="61">
        <f>O236*$M$5</f>
        <v/>
      </c>
      <c r="P237" s="61">
        <f>P236*$M$5</f>
        <v/>
      </c>
      <c r="Q237" s="61">
        <f>Q236*$M$5</f>
        <v/>
      </c>
      <c r="R237" s="0">
        <f>ROUND((O237/O$5-1)*100000, 0)</f>
        <v/>
      </c>
      <c r="S237" s="0">
        <f>$O$5*(1+R237/100000)</f>
        <v/>
      </c>
    </row>
    <row r="238">
      <c r="B238" s="58" t="n">
        <v>234</v>
      </c>
      <c r="C238" s="61">
        <f>C237*$A$5</f>
        <v/>
      </c>
      <c r="D238" s="61">
        <f>D237*$A$5</f>
        <v/>
      </c>
      <c r="E238" s="61">
        <f>E237*$A$5</f>
        <v/>
      </c>
      <c r="F238" s="0">
        <f>ROUND((C238/C$5-1)*100000, 0)</f>
        <v/>
      </c>
      <c r="H238" s="58" t="n">
        <v>234</v>
      </c>
      <c r="I238" s="61">
        <f>I237*$G$5</f>
        <v/>
      </c>
      <c r="J238" s="61">
        <f>J237*$G$5</f>
        <v/>
      </c>
      <c r="K238" s="61">
        <f>K237*$G$5</f>
        <v/>
      </c>
      <c r="L238" s="0">
        <f>ROUND((I238/I$5-1)*100000, 0)</f>
        <v/>
      </c>
      <c r="N238" s="58" t="n">
        <v>234</v>
      </c>
      <c r="O238" s="61">
        <f>O237*$M$5</f>
        <v/>
      </c>
      <c r="P238" s="61">
        <f>P237*$M$5</f>
        <v/>
      </c>
      <c r="Q238" s="61">
        <f>Q237*$M$5</f>
        <v/>
      </c>
      <c r="R238" s="0">
        <f>ROUND((O238/O$5-1)*100000, 0)</f>
        <v/>
      </c>
      <c r="S238" s="0">
        <f>$O$5*(1+R238/100000)</f>
        <v/>
      </c>
    </row>
    <row r="239">
      <c r="B239" s="58" t="n">
        <v>235</v>
      </c>
      <c r="C239" s="61">
        <f>C238*$A$5</f>
        <v/>
      </c>
      <c r="D239" s="61">
        <f>D238*$A$5</f>
        <v/>
      </c>
      <c r="E239" s="61">
        <f>E238*$A$5</f>
        <v/>
      </c>
      <c r="F239" s="0">
        <f>ROUND((C239/C$5-1)*100000, 0)</f>
        <v/>
      </c>
      <c r="H239" s="58" t="n">
        <v>235</v>
      </c>
      <c r="I239" s="61">
        <f>I238*$G$5</f>
        <v/>
      </c>
      <c r="J239" s="61">
        <f>J238*$G$5</f>
        <v/>
      </c>
      <c r="K239" s="61">
        <f>K238*$G$5</f>
        <v/>
      </c>
      <c r="L239" s="0">
        <f>ROUND((I239/I$5-1)*100000, 0)</f>
        <v/>
      </c>
      <c r="N239" s="58" t="n">
        <v>235</v>
      </c>
      <c r="O239" s="61">
        <f>O238*$M$5</f>
        <v/>
      </c>
      <c r="P239" s="61">
        <f>P238*$M$5</f>
        <v/>
      </c>
      <c r="Q239" s="61">
        <f>Q238*$M$5</f>
        <v/>
      </c>
      <c r="R239" s="0">
        <f>ROUND((O239/O$5-1)*100000, 0)</f>
        <v/>
      </c>
      <c r="S239" s="0">
        <f>$O$5*(1+R239/100000)</f>
        <v/>
      </c>
    </row>
    <row r="240">
      <c r="B240" s="58" t="n">
        <v>236</v>
      </c>
      <c r="C240" s="61">
        <f>C239*$A$5</f>
        <v/>
      </c>
      <c r="D240" s="61">
        <f>D239*$A$5</f>
        <v/>
      </c>
      <c r="E240" s="61">
        <f>E239*$A$5</f>
        <v/>
      </c>
      <c r="F240" s="0">
        <f>ROUND((C240/C$5-1)*100000, 0)</f>
        <v/>
      </c>
      <c r="H240" s="58" t="n">
        <v>236</v>
      </c>
      <c r="I240" s="61">
        <f>I239*$G$5</f>
        <v/>
      </c>
      <c r="J240" s="61">
        <f>J239*$G$5</f>
        <v/>
      </c>
      <c r="K240" s="61">
        <f>K239*$G$5</f>
        <v/>
      </c>
      <c r="L240" s="0">
        <f>ROUND((I240/I$5-1)*100000, 0)</f>
        <v/>
      </c>
      <c r="N240" s="58" t="n">
        <v>236</v>
      </c>
      <c r="O240" s="61">
        <f>O239*$M$5</f>
        <v/>
      </c>
      <c r="P240" s="61">
        <f>P239*$M$5</f>
        <v/>
      </c>
      <c r="Q240" s="61">
        <f>Q239*$M$5</f>
        <v/>
      </c>
      <c r="R240" s="0">
        <f>ROUND((O240/O$5-1)*100000, 0)</f>
        <v/>
      </c>
      <c r="S240" s="0">
        <f>$O$5*(1+R240/100000)</f>
        <v/>
      </c>
    </row>
    <row r="241">
      <c r="B241" s="58" t="n">
        <v>237</v>
      </c>
      <c r="C241" s="61">
        <f>C240*$A$5</f>
        <v/>
      </c>
      <c r="D241" s="61">
        <f>D240*$A$5</f>
        <v/>
      </c>
      <c r="E241" s="61">
        <f>E240*$A$5</f>
        <v/>
      </c>
      <c r="F241" s="0">
        <f>ROUND((C241/C$5-1)*100000, 0)</f>
        <v/>
      </c>
      <c r="H241" s="58" t="n">
        <v>237</v>
      </c>
      <c r="I241" s="61">
        <f>I240*$G$5</f>
        <v/>
      </c>
      <c r="J241" s="61">
        <f>J240*$G$5</f>
        <v/>
      </c>
      <c r="K241" s="61">
        <f>K240*$G$5</f>
        <v/>
      </c>
      <c r="L241" s="0">
        <f>ROUND((I241/I$5-1)*100000, 0)</f>
        <v/>
      </c>
      <c r="N241" s="58" t="n">
        <v>237</v>
      </c>
      <c r="O241" s="61">
        <f>O240*$M$5</f>
        <v/>
      </c>
      <c r="P241" s="61">
        <f>P240*$M$5</f>
        <v/>
      </c>
      <c r="Q241" s="61">
        <f>Q240*$M$5</f>
        <v/>
      </c>
      <c r="R241" s="0">
        <f>ROUND((O241/O$5-1)*100000, 0)</f>
        <v/>
      </c>
      <c r="S241" s="0">
        <f>$O$5*(1+R241/100000)</f>
        <v/>
      </c>
    </row>
    <row r="242">
      <c r="B242" s="58" t="n">
        <v>238</v>
      </c>
      <c r="C242" s="61">
        <f>C241*$A$5</f>
        <v/>
      </c>
      <c r="D242" s="61">
        <f>D241*$A$5</f>
        <v/>
      </c>
      <c r="E242" s="61">
        <f>E241*$A$5</f>
        <v/>
      </c>
      <c r="F242" s="0">
        <f>ROUND((C242/C$5-1)*100000, 0)</f>
        <v/>
      </c>
      <c r="H242" s="58" t="n">
        <v>238</v>
      </c>
      <c r="I242" s="61">
        <f>I241*$G$5</f>
        <v/>
      </c>
      <c r="J242" s="61">
        <f>J241*$G$5</f>
        <v/>
      </c>
      <c r="K242" s="61">
        <f>K241*$G$5</f>
        <v/>
      </c>
      <c r="L242" s="0">
        <f>ROUND((I242/I$5-1)*100000, 0)</f>
        <v/>
      </c>
      <c r="N242" s="58" t="n">
        <v>238</v>
      </c>
      <c r="O242" s="61">
        <f>O241*$M$5</f>
        <v/>
      </c>
      <c r="P242" s="61">
        <f>P241*$M$5</f>
        <v/>
      </c>
      <c r="Q242" s="61">
        <f>Q241*$M$5</f>
        <v/>
      </c>
      <c r="R242" s="0">
        <f>ROUND((O242/O$5-1)*100000, 0)</f>
        <v/>
      </c>
      <c r="S242" s="0">
        <f>$O$5*(1+R242/100000)</f>
        <v/>
      </c>
    </row>
    <row r="243">
      <c r="B243" s="58" t="n">
        <v>239</v>
      </c>
      <c r="C243" s="61">
        <f>C242*$A$5</f>
        <v/>
      </c>
      <c r="D243" s="61">
        <f>D242*$A$5</f>
        <v/>
      </c>
      <c r="E243" s="61">
        <f>E242*$A$5</f>
        <v/>
      </c>
      <c r="F243" s="0">
        <f>ROUND((C243/C$5-1)*100000, 0)</f>
        <v/>
      </c>
      <c r="H243" s="58" t="n">
        <v>239</v>
      </c>
      <c r="I243" s="61">
        <f>I242*$G$5</f>
        <v/>
      </c>
      <c r="J243" s="61">
        <f>J242*$G$5</f>
        <v/>
      </c>
      <c r="K243" s="61">
        <f>K242*$G$5</f>
        <v/>
      </c>
      <c r="L243" s="0">
        <f>ROUND((I243/I$5-1)*100000, 0)</f>
        <v/>
      </c>
      <c r="N243" s="58" t="n">
        <v>239</v>
      </c>
      <c r="O243" s="61">
        <f>O242*$M$5</f>
        <v/>
      </c>
      <c r="P243" s="61">
        <f>P242*$M$5</f>
        <v/>
      </c>
      <c r="Q243" s="61">
        <f>Q242*$M$5</f>
        <v/>
      </c>
      <c r="R243" s="0">
        <f>ROUND((O243/O$5-1)*100000, 0)</f>
        <v/>
      </c>
      <c r="S243" s="0">
        <f>$O$5*(1+R243/100000)</f>
        <v/>
      </c>
    </row>
    <row r="244">
      <c r="B244" s="58" t="n">
        <v>240</v>
      </c>
      <c r="C244" s="61">
        <f>C243*$A$5</f>
        <v/>
      </c>
      <c r="D244" s="61">
        <f>D243*$A$5</f>
        <v/>
      </c>
      <c r="E244" s="61">
        <f>E243*$A$5</f>
        <v/>
      </c>
      <c r="F244" s="0">
        <f>ROUND((C244/C$5-1)*100000, 0)</f>
        <v/>
      </c>
      <c r="H244" s="58" t="n">
        <v>240</v>
      </c>
      <c r="I244" s="61">
        <f>I243*$G$5</f>
        <v/>
      </c>
      <c r="J244" s="61">
        <f>J243*$G$5</f>
        <v/>
      </c>
      <c r="K244" s="61">
        <f>K243*$G$5</f>
        <v/>
      </c>
      <c r="L244" s="0">
        <f>ROUND((I244/I$5-1)*100000, 0)</f>
        <v/>
      </c>
      <c r="N244" s="58" t="n">
        <v>240</v>
      </c>
      <c r="O244" s="61">
        <f>O243*$M$5</f>
        <v/>
      </c>
      <c r="P244" s="61">
        <f>P243*$M$5</f>
        <v/>
      </c>
      <c r="Q244" s="61">
        <f>Q243*$M$5</f>
        <v/>
      </c>
      <c r="R244" s="0">
        <f>ROUND((O244/O$5-1)*100000, 0)</f>
        <v/>
      </c>
      <c r="S244" s="0">
        <f>$O$5*(1+R244/100000)</f>
        <v/>
      </c>
    </row>
    <row r="245">
      <c r="B245" s="58" t="n">
        <v>241</v>
      </c>
      <c r="C245" s="61">
        <f>C244*$A$5</f>
        <v/>
      </c>
      <c r="D245" s="61">
        <f>D244*$A$5</f>
        <v/>
      </c>
      <c r="E245" s="61">
        <f>E244*$A$5</f>
        <v/>
      </c>
      <c r="F245" s="0">
        <f>ROUND((C245/C$5-1)*100000, 0)</f>
        <v/>
      </c>
      <c r="H245" s="58" t="n">
        <v>241</v>
      </c>
      <c r="I245" s="61">
        <f>I244*$G$5</f>
        <v/>
      </c>
      <c r="J245" s="61">
        <f>J244*$G$5</f>
        <v/>
      </c>
      <c r="K245" s="61">
        <f>K244*$G$5</f>
        <v/>
      </c>
      <c r="L245" s="0">
        <f>ROUND((I245/I$5-1)*100000, 0)</f>
        <v/>
      </c>
      <c r="N245" s="58" t="n">
        <v>241</v>
      </c>
      <c r="O245" s="61">
        <f>O244*$M$5</f>
        <v/>
      </c>
      <c r="P245" s="61">
        <f>P244*$M$5</f>
        <v/>
      </c>
      <c r="Q245" s="61">
        <f>Q244*$M$5</f>
        <v/>
      </c>
      <c r="R245" s="0">
        <f>ROUND((O245/O$5-1)*100000, 0)</f>
        <v/>
      </c>
      <c r="S245" s="0">
        <f>$O$5*(1+R245/100000)</f>
        <v/>
      </c>
    </row>
    <row r="246">
      <c r="B246" s="58" t="n">
        <v>242</v>
      </c>
      <c r="C246" s="61">
        <f>C245*$A$5</f>
        <v/>
      </c>
      <c r="D246" s="61">
        <f>D245*$A$5</f>
        <v/>
      </c>
      <c r="E246" s="61">
        <f>E245*$A$5</f>
        <v/>
      </c>
      <c r="F246" s="0">
        <f>ROUND((C246/C$5-1)*100000, 0)</f>
        <v/>
      </c>
      <c r="H246" s="58" t="n">
        <v>242</v>
      </c>
      <c r="I246" s="61">
        <f>I245*$G$5</f>
        <v/>
      </c>
      <c r="J246" s="61">
        <f>J245*$G$5</f>
        <v/>
      </c>
      <c r="K246" s="61">
        <f>K245*$G$5</f>
        <v/>
      </c>
      <c r="L246" s="0">
        <f>ROUND((I246/I$5-1)*100000, 0)</f>
        <v/>
      </c>
      <c r="N246" s="58" t="n">
        <v>242</v>
      </c>
      <c r="O246" s="61">
        <f>O245*$M$5</f>
        <v/>
      </c>
      <c r="P246" s="61">
        <f>P245*$M$5</f>
        <v/>
      </c>
      <c r="Q246" s="61">
        <f>Q245*$M$5</f>
        <v/>
      </c>
      <c r="R246" s="0">
        <f>ROUND((O246/O$5-1)*100000, 0)</f>
        <v/>
      </c>
      <c r="S246" s="0">
        <f>$O$5*(1+R246/100000)</f>
        <v/>
      </c>
    </row>
    <row r="247">
      <c r="B247" s="58" t="n">
        <v>243</v>
      </c>
      <c r="C247" s="61">
        <f>C246*$A$5</f>
        <v/>
      </c>
      <c r="D247" s="61">
        <f>D246*$A$5</f>
        <v/>
      </c>
      <c r="E247" s="61">
        <f>E246*$A$5</f>
        <v/>
      </c>
      <c r="F247" s="0">
        <f>ROUND((C247/C$5-1)*100000, 0)</f>
        <v/>
      </c>
      <c r="H247" s="58" t="n">
        <v>243</v>
      </c>
      <c r="I247" s="61">
        <f>I246*$G$5</f>
        <v/>
      </c>
      <c r="J247" s="61">
        <f>J246*$G$5</f>
        <v/>
      </c>
      <c r="K247" s="61">
        <f>K246*$G$5</f>
        <v/>
      </c>
      <c r="L247" s="0">
        <f>ROUND((I247/I$5-1)*100000, 0)</f>
        <v/>
      </c>
      <c r="N247" s="58" t="n">
        <v>243</v>
      </c>
      <c r="O247" s="61">
        <f>O246*$M$5</f>
        <v/>
      </c>
      <c r="P247" s="61">
        <f>P246*$M$5</f>
        <v/>
      </c>
      <c r="Q247" s="61">
        <f>Q246*$M$5</f>
        <v/>
      </c>
      <c r="R247" s="0">
        <f>ROUND((O247/O$5-1)*100000, 0)</f>
        <v/>
      </c>
      <c r="S247" s="0">
        <f>$O$5*(1+R247/100000)</f>
        <v/>
      </c>
    </row>
    <row r="248">
      <c r="B248" s="58" t="n">
        <v>244</v>
      </c>
      <c r="C248" s="61">
        <f>C247*$A$5</f>
        <v/>
      </c>
      <c r="D248" s="61">
        <f>D247*$A$5</f>
        <v/>
      </c>
      <c r="E248" s="61">
        <f>E247*$A$5</f>
        <v/>
      </c>
      <c r="F248" s="0">
        <f>ROUND((C248/C$5-1)*100000, 0)</f>
        <v/>
      </c>
      <c r="H248" s="58" t="n">
        <v>244</v>
      </c>
      <c r="I248" s="61">
        <f>I247*$G$5</f>
        <v/>
      </c>
      <c r="J248" s="61">
        <f>J247*$G$5</f>
        <v/>
      </c>
      <c r="K248" s="61">
        <f>K247*$G$5</f>
        <v/>
      </c>
      <c r="L248" s="0">
        <f>ROUND((I248/I$5-1)*100000, 0)</f>
        <v/>
      </c>
      <c r="N248" s="58" t="n">
        <v>244</v>
      </c>
      <c r="O248" s="61">
        <f>O247*$M$5</f>
        <v/>
      </c>
      <c r="P248" s="61">
        <f>P247*$M$5</f>
        <v/>
      </c>
      <c r="Q248" s="61">
        <f>Q247*$M$5</f>
        <v/>
      </c>
      <c r="R248" s="0">
        <f>ROUND((O248/O$5-1)*100000, 0)</f>
        <v/>
      </c>
      <c r="S248" s="0">
        <f>$O$5*(1+R248/100000)</f>
        <v/>
      </c>
    </row>
    <row r="249">
      <c r="B249" s="58" t="n">
        <v>245</v>
      </c>
      <c r="C249" s="61">
        <f>C248*$A$5</f>
        <v/>
      </c>
      <c r="D249" s="61">
        <f>D248*$A$5</f>
        <v/>
      </c>
      <c r="E249" s="61">
        <f>E248*$A$5</f>
        <v/>
      </c>
      <c r="F249" s="0">
        <f>ROUND((C249/C$5-1)*100000, 0)</f>
        <v/>
      </c>
      <c r="H249" s="58" t="n">
        <v>245</v>
      </c>
      <c r="I249" s="61">
        <f>I248*$G$5</f>
        <v/>
      </c>
      <c r="J249" s="61">
        <f>J248*$G$5</f>
        <v/>
      </c>
      <c r="K249" s="61">
        <f>K248*$G$5</f>
        <v/>
      </c>
      <c r="L249" s="0">
        <f>ROUND((I249/I$5-1)*100000, 0)</f>
        <v/>
      </c>
      <c r="N249" s="58" t="n">
        <v>245</v>
      </c>
      <c r="O249" s="61">
        <f>O248*$M$5</f>
        <v/>
      </c>
      <c r="P249" s="61">
        <f>P248*$M$5</f>
        <v/>
      </c>
      <c r="Q249" s="61">
        <f>Q248*$M$5</f>
        <v/>
      </c>
      <c r="R249" s="0">
        <f>ROUND((O249/O$5-1)*100000, 0)</f>
        <v/>
      </c>
      <c r="S249" s="0">
        <f>$O$5*(1+R249/100000)</f>
        <v/>
      </c>
    </row>
    <row r="250">
      <c r="B250" s="58" t="n">
        <v>246</v>
      </c>
      <c r="C250" s="61">
        <f>C249*$A$5</f>
        <v/>
      </c>
      <c r="D250" s="61">
        <f>D249*$A$5</f>
        <v/>
      </c>
      <c r="E250" s="61">
        <f>E249*$A$5</f>
        <v/>
      </c>
      <c r="F250" s="0">
        <f>ROUND((C250/C$5-1)*100000, 0)</f>
        <v/>
      </c>
      <c r="H250" s="58" t="n">
        <v>246</v>
      </c>
      <c r="I250" s="61">
        <f>I249*$G$5</f>
        <v/>
      </c>
      <c r="J250" s="61">
        <f>J249*$G$5</f>
        <v/>
      </c>
      <c r="K250" s="61">
        <f>K249*$G$5</f>
        <v/>
      </c>
      <c r="L250" s="0">
        <f>ROUND((I250/I$5-1)*100000, 0)</f>
        <v/>
      </c>
      <c r="N250" s="58" t="n">
        <v>246</v>
      </c>
      <c r="O250" s="61">
        <f>O249*$M$5</f>
        <v/>
      </c>
      <c r="P250" s="61">
        <f>P249*$M$5</f>
        <v/>
      </c>
      <c r="Q250" s="61">
        <f>Q249*$M$5</f>
        <v/>
      </c>
      <c r="R250" s="0">
        <f>ROUND((O250/O$5-1)*100000, 0)</f>
        <v/>
      </c>
      <c r="S250" s="0">
        <f>$O$5*(1+R250/100000)</f>
        <v/>
      </c>
    </row>
    <row r="251">
      <c r="B251" s="58" t="n">
        <v>247</v>
      </c>
      <c r="C251" s="61">
        <f>C250*$A$5</f>
        <v/>
      </c>
      <c r="D251" s="61">
        <f>D250*$A$5</f>
        <v/>
      </c>
      <c r="E251" s="61">
        <f>E250*$A$5</f>
        <v/>
      </c>
      <c r="F251" s="0">
        <f>ROUND((C251/C$5-1)*100000, 0)</f>
        <v/>
      </c>
      <c r="H251" s="58" t="n">
        <v>247</v>
      </c>
      <c r="I251" s="61">
        <f>I250*$G$5</f>
        <v/>
      </c>
      <c r="J251" s="61">
        <f>J250*$G$5</f>
        <v/>
      </c>
      <c r="K251" s="61">
        <f>K250*$G$5</f>
        <v/>
      </c>
      <c r="L251" s="0">
        <f>ROUND((I251/I$5-1)*100000, 0)</f>
        <v/>
      </c>
      <c r="N251" s="58" t="n">
        <v>247</v>
      </c>
      <c r="O251" s="61">
        <f>O250*$M$5</f>
        <v/>
      </c>
      <c r="P251" s="61">
        <f>P250*$M$5</f>
        <v/>
      </c>
      <c r="Q251" s="61">
        <f>Q250*$M$5</f>
        <v/>
      </c>
      <c r="R251" s="0">
        <f>ROUND((O251/O$5-1)*100000, 0)</f>
        <v/>
      </c>
      <c r="S251" s="0">
        <f>$O$5*(1+R251/100000)</f>
        <v/>
      </c>
    </row>
    <row r="252">
      <c r="B252" s="58" t="n">
        <v>248</v>
      </c>
      <c r="C252" s="61">
        <f>C251*$A$5</f>
        <v/>
      </c>
      <c r="D252" s="61">
        <f>D251*$A$5</f>
        <v/>
      </c>
      <c r="E252" s="61">
        <f>E251*$A$5</f>
        <v/>
      </c>
      <c r="F252" s="0">
        <f>ROUND((C252/C$5-1)*100000, 0)</f>
        <v/>
      </c>
      <c r="H252" s="58" t="n">
        <v>248</v>
      </c>
      <c r="I252" s="61">
        <f>I251*$G$5</f>
        <v/>
      </c>
      <c r="J252" s="61">
        <f>J251*$G$5</f>
        <v/>
      </c>
      <c r="K252" s="61">
        <f>K251*$G$5</f>
        <v/>
      </c>
      <c r="L252" s="0">
        <f>ROUND((I252/I$5-1)*100000, 0)</f>
        <v/>
      </c>
      <c r="N252" s="58" t="n">
        <v>248</v>
      </c>
      <c r="O252" s="61">
        <f>O251*$M$5</f>
        <v/>
      </c>
      <c r="P252" s="61">
        <f>P251*$M$5</f>
        <v/>
      </c>
      <c r="Q252" s="61">
        <f>Q251*$M$5</f>
        <v/>
      </c>
      <c r="R252" s="0">
        <f>ROUND((O252/O$5-1)*100000, 0)</f>
        <v/>
      </c>
      <c r="S252" s="0">
        <f>$O$5*(1+R252/100000)</f>
        <v/>
      </c>
    </row>
    <row r="253">
      <c r="B253" s="58" t="n">
        <v>249</v>
      </c>
      <c r="C253" s="61">
        <f>C252*$A$5</f>
        <v/>
      </c>
      <c r="D253" s="61">
        <f>D252*$A$5</f>
        <v/>
      </c>
      <c r="E253" s="61">
        <f>E252*$A$5</f>
        <v/>
      </c>
      <c r="F253" s="0">
        <f>ROUND((C253/C$5-1)*100000, 0)</f>
        <v/>
      </c>
      <c r="H253" s="58" t="n">
        <v>249</v>
      </c>
      <c r="I253" s="61">
        <f>I252*$G$5</f>
        <v/>
      </c>
      <c r="J253" s="61">
        <f>J252*$G$5</f>
        <v/>
      </c>
      <c r="K253" s="61">
        <f>K252*$G$5</f>
        <v/>
      </c>
      <c r="L253" s="0">
        <f>ROUND((I253/I$5-1)*100000, 0)</f>
        <v/>
      </c>
      <c r="N253" s="58" t="n">
        <v>249</v>
      </c>
      <c r="O253" s="61">
        <f>O252*$M$5</f>
        <v/>
      </c>
      <c r="P253" s="61">
        <f>P252*$M$5</f>
        <v/>
      </c>
      <c r="Q253" s="61">
        <f>Q252*$M$5</f>
        <v/>
      </c>
      <c r="R253" s="0">
        <f>ROUND((O253/O$5-1)*100000, 0)</f>
        <v/>
      </c>
      <c r="S253" s="0">
        <f>$O$5*(1+R253/100000)</f>
        <v/>
      </c>
    </row>
    <row r="254">
      <c r="B254" s="58" t="n">
        <v>250</v>
      </c>
      <c r="C254" s="61">
        <f>C253*$A$5</f>
        <v/>
      </c>
      <c r="D254" s="61">
        <f>D253*$A$5</f>
        <v/>
      </c>
      <c r="E254" s="61">
        <f>E253*$A$5</f>
        <v/>
      </c>
      <c r="F254" s="0">
        <f>ROUND((C254/C$5-1)*100000, 0)</f>
        <v/>
      </c>
      <c r="H254" s="58" t="n">
        <v>250</v>
      </c>
      <c r="I254" s="61">
        <f>I253*$G$5</f>
        <v/>
      </c>
      <c r="J254" s="61">
        <f>J253*$G$5</f>
        <v/>
      </c>
      <c r="K254" s="61">
        <f>K253*$G$5</f>
        <v/>
      </c>
      <c r="L254" s="0">
        <f>ROUND((I254/I$5-1)*100000, 0)</f>
        <v/>
      </c>
      <c r="N254" s="58" t="n">
        <v>250</v>
      </c>
      <c r="O254" s="61">
        <f>O253*$M$5</f>
        <v/>
      </c>
      <c r="P254" s="61">
        <f>P253*$M$5</f>
        <v/>
      </c>
      <c r="Q254" s="61">
        <f>Q253*$M$5</f>
        <v/>
      </c>
      <c r="R254" s="0">
        <f>ROUND((O254/O$5-1)*100000, 0)</f>
        <v/>
      </c>
      <c r="S254" s="0">
        <f>$O$5*(1+R254/100000)</f>
        <v/>
      </c>
    </row>
    <row r="255">
      <c r="B255" s="58" t="n">
        <v>251</v>
      </c>
      <c r="C255" s="61">
        <f>C254*$A$5</f>
        <v/>
      </c>
      <c r="D255" s="61">
        <f>D254*$A$5</f>
        <v/>
      </c>
      <c r="E255" s="61">
        <f>E254*$A$5</f>
        <v/>
      </c>
      <c r="F255" s="0">
        <f>ROUND((C255/C$5-1)*100000, 0)</f>
        <v/>
      </c>
      <c r="H255" s="58" t="n">
        <v>251</v>
      </c>
      <c r="I255" s="61">
        <f>I254*$G$5</f>
        <v/>
      </c>
      <c r="J255" s="61">
        <f>J254*$G$5</f>
        <v/>
      </c>
      <c r="K255" s="61">
        <f>K254*$G$5</f>
        <v/>
      </c>
      <c r="L255" s="0">
        <f>ROUND((I255/I$5-1)*100000, 0)</f>
        <v/>
      </c>
      <c r="N255" s="58" t="n">
        <v>251</v>
      </c>
      <c r="O255" s="61">
        <f>O254*$M$5</f>
        <v/>
      </c>
      <c r="P255" s="61">
        <f>P254*$M$5</f>
        <v/>
      </c>
      <c r="Q255" s="61">
        <f>Q254*$M$5</f>
        <v/>
      </c>
      <c r="R255" s="0">
        <f>ROUND((O255/O$5-1)*100000, 0)</f>
        <v/>
      </c>
      <c r="S255" s="0">
        <f>$O$5*(1+R255/100000)</f>
        <v/>
      </c>
    </row>
    <row r="256">
      <c r="B256" s="58" t="n">
        <v>252</v>
      </c>
      <c r="C256" s="61">
        <f>C255*$A$5</f>
        <v/>
      </c>
      <c r="D256" s="61">
        <f>D255*$A$5</f>
        <v/>
      </c>
      <c r="E256" s="61">
        <f>E255*$A$5</f>
        <v/>
      </c>
      <c r="F256" s="0">
        <f>ROUND((C256/C$5-1)*100000, 0)</f>
        <v/>
      </c>
      <c r="H256" s="58" t="n">
        <v>252</v>
      </c>
      <c r="I256" s="61">
        <f>I255*$G$5</f>
        <v/>
      </c>
      <c r="J256" s="61">
        <f>J255*$G$5</f>
        <v/>
      </c>
      <c r="K256" s="61">
        <f>K255*$G$5</f>
        <v/>
      </c>
      <c r="L256" s="0">
        <f>ROUND((I256/I$5-1)*100000, 0)</f>
        <v/>
      </c>
      <c r="N256" s="58" t="n">
        <v>252</v>
      </c>
      <c r="O256" s="61">
        <f>O255*$M$5</f>
        <v/>
      </c>
      <c r="P256" s="61">
        <f>P255*$M$5</f>
        <v/>
      </c>
      <c r="Q256" s="61">
        <f>Q255*$M$5</f>
        <v/>
      </c>
      <c r="R256" s="0">
        <f>ROUND((O256/O$5-1)*100000, 0)</f>
        <v/>
      </c>
      <c r="S256" s="0">
        <f>$O$5*(1+R256/100000)</f>
        <v/>
      </c>
    </row>
    <row r="257">
      <c r="B257" s="58" t="n">
        <v>253</v>
      </c>
      <c r="C257" s="61">
        <f>C256*$A$5</f>
        <v/>
      </c>
      <c r="D257" s="61">
        <f>D256*$A$5</f>
        <v/>
      </c>
      <c r="E257" s="61">
        <f>E256*$A$5</f>
        <v/>
      </c>
      <c r="F257" s="0">
        <f>ROUND((C257/C$5-1)*100000, 0)</f>
        <v/>
      </c>
      <c r="H257" s="58" t="n">
        <v>253</v>
      </c>
      <c r="I257" s="61">
        <f>I256*$G$5</f>
        <v/>
      </c>
      <c r="J257" s="61">
        <f>J256*$G$5</f>
        <v/>
      </c>
      <c r="K257" s="61">
        <f>K256*$G$5</f>
        <v/>
      </c>
      <c r="L257" s="0">
        <f>ROUND((I257/I$5-1)*100000, 0)</f>
        <v/>
      </c>
      <c r="N257" s="58" t="n">
        <v>253</v>
      </c>
      <c r="O257" s="61">
        <f>O256*$M$5</f>
        <v/>
      </c>
      <c r="P257" s="61">
        <f>P256*$M$5</f>
        <v/>
      </c>
      <c r="Q257" s="61">
        <f>Q256*$M$5</f>
        <v/>
      </c>
      <c r="R257" s="0">
        <f>ROUND((O257/O$5-1)*100000, 0)</f>
        <v/>
      </c>
      <c r="S257" s="0">
        <f>$O$5*(1+R257/100000)</f>
        <v/>
      </c>
    </row>
    <row r="258">
      <c r="B258" s="58" t="n">
        <v>254</v>
      </c>
      <c r="C258" s="61">
        <f>C257*$A$5</f>
        <v/>
      </c>
      <c r="D258" s="61">
        <f>D257*$A$5</f>
        <v/>
      </c>
      <c r="E258" s="61">
        <f>E257*$A$5</f>
        <v/>
      </c>
      <c r="F258" s="0">
        <f>ROUND((C258/C$5-1)*100000, 0)</f>
        <v/>
      </c>
      <c r="H258" s="58" t="n">
        <v>254</v>
      </c>
      <c r="I258" s="61">
        <f>I257*$G$5</f>
        <v/>
      </c>
      <c r="J258" s="61">
        <f>J257*$G$5</f>
        <v/>
      </c>
      <c r="K258" s="61">
        <f>K257*$G$5</f>
        <v/>
      </c>
      <c r="L258" s="0">
        <f>ROUND((I258/I$5-1)*100000, 0)</f>
        <v/>
      </c>
      <c r="N258" s="58" t="n">
        <v>254</v>
      </c>
      <c r="O258" s="61">
        <f>O257*$M$5</f>
        <v/>
      </c>
      <c r="P258" s="61">
        <f>P257*$M$5</f>
        <v/>
      </c>
      <c r="Q258" s="61">
        <f>Q257*$M$5</f>
        <v/>
      </c>
      <c r="R258" s="0">
        <f>ROUND((O258/O$5-1)*100000, 0)</f>
        <v/>
      </c>
      <c r="S258" s="0">
        <f>$O$5*(1+R258/100000)</f>
        <v/>
      </c>
    </row>
    <row r="259">
      <c r="B259" s="58" t="n">
        <v>255</v>
      </c>
      <c r="C259" s="61">
        <f>C258*$A$5</f>
        <v/>
      </c>
      <c r="D259" s="61">
        <f>D258*$A$5</f>
        <v/>
      </c>
      <c r="E259" s="61">
        <f>E258*$A$5</f>
        <v/>
      </c>
      <c r="F259" s="0">
        <f>ROUND((C259/C$5-1)*100000, 0)</f>
        <v/>
      </c>
      <c r="H259" s="58" t="n">
        <v>255</v>
      </c>
      <c r="I259" s="61">
        <f>I258*$G$5</f>
        <v/>
      </c>
      <c r="J259" s="61">
        <f>J258*$G$5</f>
        <v/>
      </c>
      <c r="K259" s="61">
        <f>K258*$G$5</f>
        <v/>
      </c>
      <c r="L259" s="0">
        <f>ROUND((I259/I$5-1)*100000, 0)</f>
        <v/>
      </c>
      <c r="N259" s="58" t="n">
        <v>255</v>
      </c>
      <c r="O259" s="61">
        <f>O258*$M$5</f>
        <v/>
      </c>
      <c r="P259" s="61">
        <f>P258*$M$5</f>
        <v/>
      </c>
      <c r="Q259" s="61">
        <f>Q258*$M$5</f>
        <v/>
      </c>
      <c r="R259" s="0">
        <f>ROUND((O259/O$5-1)*100000, 0)</f>
        <v/>
      </c>
      <c r="S259" s="0">
        <f>$O$5*(1+R259/100000)</f>
        <v/>
      </c>
    </row>
    <row r="260">
      <c r="B260" s="58" t="n">
        <v>256</v>
      </c>
      <c r="C260" s="61">
        <f>C259*$A$5</f>
        <v/>
      </c>
      <c r="D260" s="61">
        <f>D259*$A$5</f>
        <v/>
      </c>
      <c r="E260" s="61">
        <f>E259*$A$5</f>
        <v/>
      </c>
      <c r="F260" s="0">
        <f>ROUND((C260/C$5-1)*100000, 0)</f>
        <v/>
      </c>
      <c r="H260" s="58" t="n">
        <v>256</v>
      </c>
      <c r="I260" s="61">
        <f>I259*$G$5</f>
        <v/>
      </c>
      <c r="J260" s="61">
        <f>J259*$G$5</f>
        <v/>
      </c>
      <c r="K260" s="61">
        <f>K259*$G$5</f>
        <v/>
      </c>
      <c r="L260" s="0">
        <f>ROUND((I260/I$5-1)*100000, 0)</f>
        <v/>
      </c>
      <c r="N260" s="58" t="n">
        <v>256</v>
      </c>
      <c r="O260" s="61">
        <f>O259*$M$5</f>
        <v/>
      </c>
      <c r="P260" s="61">
        <f>P259*$M$5</f>
        <v/>
      </c>
      <c r="Q260" s="61">
        <f>Q259*$M$5</f>
        <v/>
      </c>
      <c r="R260" s="0">
        <f>ROUND((O260/O$5-1)*100000, 0)</f>
        <v/>
      </c>
      <c r="S260" s="0">
        <f>$O$5*(1+R260/100000)</f>
        <v/>
      </c>
    </row>
    <row r="261">
      <c r="B261" s="58" t="n">
        <v>257</v>
      </c>
      <c r="C261" s="61">
        <f>C260*$A$5</f>
        <v/>
      </c>
      <c r="D261" s="61">
        <f>D260*$A$5</f>
        <v/>
      </c>
      <c r="E261" s="61">
        <f>E260*$A$5</f>
        <v/>
      </c>
      <c r="F261" s="0">
        <f>ROUND((C261/C$5-1)*100000, 0)</f>
        <v/>
      </c>
      <c r="H261" s="58" t="n">
        <v>257</v>
      </c>
      <c r="I261" s="61">
        <f>I260*$G$5</f>
        <v/>
      </c>
      <c r="J261" s="61">
        <f>J260*$G$5</f>
        <v/>
      </c>
      <c r="K261" s="61">
        <f>K260*$G$5</f>
        <v/>
      </c>
      <c r="L261" s="0">
        <f>ROUND((I261/I$5-1)*100000, 0)</f>
        <v/>
      </c>
      <c r="N261" s="58" t="n">
        <v>257</v>
      </c>
      <c r="O261" s="61">
        <f>O260*$M$5</f>
        <v/>
      </c>
      <c r="P261" s="61">
        <f>P260*$M$5</f>
        <v/>
      </c>
      <c r="Q261" s="61">
        <f>Q260*$M$5</f>
        <v/>
      </c>
      <c r="R261" s="0">
        <f>ROUND((O261/O$5-1)*100000, 0)</f>
        <v/>
      </c>
      <c r="S261" s="0">
        <f>$O$5*(1+R261/100000)</f>
        <v/>
      </c>
    </row>
    <row r="262">
      <c r="B262" s="58" t="n">
        <v>258</v>
      </c>
      <c r="C262" s="61">
        <f>C261*$A$5</f>
        <v/>
      </c>
      <c r="D262" s="61">
        <f>D261*$A$5</f>
        <v/>
      </c>
      <c r="E262" s="61">
        <f>E261*$A$5</f>
        <v/>
      </c>
      <c r="F262" s="0">
        <f>ROUND((C262/C$5-1)*100000, 0)</f>
        <v/>
      </c>
      <c r="H262" s="58" t="n">
        <v>258</v>
      </c>
      <c r="I262" s="61">
        <f>I261*$G$5</f>
        <v/>
      </c>
      <c r="J262" s="61">
        <f>J261*$G$5</f>
        <v/>
      </c>
      <c r="K262" s="61">
        <f>K261*$G$5</f>
        <v/>
      </c>
      <c r="L262" s="0">
        <f>ROUND((I262/I$5-1)*100000, 0)</f>
        <v/>
      </c>
      <c r="N262" s="58" t="n">
        <v>258</v>
      </c>
      <c r="O262" s="61">
        <f>O261*$M$5</f>
        <v/>
      </c>
      <c r="P262" s="61">
        <f>P261*$M$5</f>
        <v/>
      </c>
      <c r="Q262" s="61">
        <f>Q261*$M$5</f>
        <v/>
      </c>
      <c r="R262" s="0">
        <f>ROUND((O262/O$5-1)*100000, 0)</f>
        <v/>
      </c>
      <c r="S262" s="0">
        <f>$O$5*(1+R262/100000)</f>
        <v/>
      </c>
    </row>
    <row r="263">
      <c r="B263" s="58" t="n">
        <v>259</v>
      </c>
      <c r="C263" s="61">
        <f>C262*$A$5</f>
        <v/>
      </c>
      <c r="D263" s="61">
        <f>D262*$A$5</f>
        <v/>
      </c>
      <c r="E263" s="61">
        <f>E262*$A$5</f>
        <v/>
      </c>
      <c r="F263" s="0">
        <f>ROUND((C263/C$5-1)*100000, 0)</f>
        <v/>
      </c>
      <c r="H263" s="58" t="n">
        <v>259</v>
      </c>
      <c r="I263" s="61">
        <f>I262*$G$5</f>
        <v/>
      </c>
      <c r="J263" s="61">
        <f>J262*$G$5</f>
        <v/>
      </c>
      <c r="K263" s="61">
        <f>K262*$G$5</f>
        <v/>
      </c>
      <c r="L263" s="0">
        <f>ROUND((I263/I$5-1)*100000, 0)</f>
        <v/>
      </c>
      <c r="N263" s="58" t="n">
        <v>259</v>
      </c>
      <c r="O263" s="61">
        <f>O262*$M$5</f>
        <v/>
      </c>
      <c r="P263" s="61">
        <f>P262*$M$5</f>
        <v/>
      </c>
      <c r="Q263" s="61">
        <f>Q262*$M$5</f>
        <v/>
      </c>
      <c r="R263" s="0">
        <f>ROUND((O263/O$5-1)*100000, 0)</f>
        <v/>
      </c>
      <c r="S263" s="0">
        <f>$O$5*(1+R263/100000)</f>
        <v/>
      </c>
    </row>
    <row r="264">
      <c r="B264" s="58" t="n">
        <v>260</v>
      </c>
      <c r="C264" s="61">
        <f>C263*$A$5</f>
        <v/>
      </c>
      <c r="D264" s="61">
        <f>D263*$A$5</f>
        <v/>
      </c>
      <c r="E264" s="61">
        <f>E263*$A$5</f>
        <v/>
      </c>
      <c r="F264" s="0">
        <f>ROUND((C264/C$5-1)*100000, 0)</f>
        <v/>
      </c>
      <c r="H264" s="58" t="n">
        <v>260</v>
      </c>
      <c r="I264" s="61">
        <f>I263*$G$5</f>
        <v/>
      </c>
      <c r="J264" s="61">
        <f>J263*$G$5</f>
        <v/>
      </c>
      <c r="K264" s="61">
        <f>K263*$G$5</f>
        <v/>
      </c>
      <c r="L264" s="0">
        <f>ROUND((I264/I$5-1)*100000, 0)</f>
        <v/>
      </c>
      <c r="N264" s="58" t="n">
        <v>260</v>
      </c>
      <c r="O264" s="61">
        <f>O263*$M$5</f>
        <v/>
      </c>
      <c r="P264" s="61">
        <f>P263*$M$5</f>
        <v/>
      </c>
      <c r="Q264" s="61">
        <f>Q263*$M$5</f>
        <v/>
      </c>
      <c r="R264" s="0">
        <f>ROUND((O264/O$5-1)*100000, 0)</f>
        <v/>
      </c>
      <c r="S264" s="0">
        <f>$O$5*(1+R264/100000)</f>
        <v/>
      </c>
    </row>
    <row r="265">
      <c r="B265" s="58" t="n">
        <v>261</v>
      </c>
      <c r="C265" s="61">
        <f>C264*$A$5</f>
        <v/>
      </c>
      <c r="D265" s="61">
        <f>D264*$A$5</f>
        <v/>
      </c>
      <c r="E265" s="61">
        <f>E264*$A$5</f>
        <v/>
      </c>
      <c r="F265" s="0">
        <f>ROUND((C265/C$5-1)*100000, 0)</f>
        <v/>
      </c>
      <c r="H265" s="58" t="n">
        <v>261</v>
      </c>
      <c r="I265" s="61">
        <f>I264*$G$5</f>
        <v/>
      </c>
      <c r="J265" s="61">
        <f>J264*$G$5</f>
        <v/>
      </c>
      <c r="K265" s="61">
        <f>K264*$G$5</f>
        <v/>
      </c>
      <c r="L265" s="0">
        <f>ROUND((I265/I$5-1)*100000, 0)</f>
        <v/>
      </c>
      <c r="N265" s="58" t="n">
        <v>261</v>
      </c>
      <c r="O265" s="61">
        <f>O264*$M$5</f>
        <v/>
      </c>
      <c r="P265" s="61">
        <f>P264*$M$5</f>
        <v/>
      </c>
      <c r="Q265" s="61">
        <f>Q264*$M$5</f>
        <v/>
      </c>
      <c r="R265" s="0">
        <f>ROUND((O265/O$5-1)*100000, 0)</f>
        <v/>
      </c>
      <c r="S265" s="0">
        <f>$O$5*(1+R265/100000)</f>
        <v/>
      </c>
    </row>
    <row r="266">
      <c r="B266" s="58" t="n">
        <v>262</v>
      </c>
      <c r="C266" s="61">
        <f>C265*$A$5</f>
        <v/>
      </c>
      <c r="D266" s="61">
        <f>D265*$A$5</f>
        <v/>
      </c>
      <c r="E266" s="61">
        <f>E265*$A$5</f>
        <v/>
      </c>
      <c r="F266" s="0">
        <f>ROUND((C266/C$5-1)*100000, 0)</f>
        <v/>
      </c>
      <c r="H266" s="58" t="n">
        <v>262</v>
      </c>
      <c r="I266" s="61">
        <f>I265*$G$5</f>
        <v/>
      </c>
      <c r="J266" s="61">
        <f>J265*$G$5</f>
        <v/>
      </c>
      <c r="K266" s="61">
        <f>K265*$G$5</f>
        <v/>
      </c>
      <c r="L266" s="0">
        <f>ROUND((I266/I$5-1)*100000, 0)</f>
        <v/>
      </c>
      <c r="N266" s="58" t="n">
        <v>262</v>
      </c>
      <c r="O266" s="61">
        <f>O265*$M$5</f>
        <v/>
      </c>
      <c r="P266" s="61">
        <f>P265*$M$5</f>
        <v/>
      </c>
      <c r="Q266" s="61">
        <f>Q265*$M$5</f>
        <v/>
      </c>
      <c r="R266" s="0">
        <f>ROUND((O266/O$5-1)*100000, 0)</f>
        <v/>
      </c>
      <c r="S266" s="0">
        <f>$O$5*(1+R266/100000)</f>
        <v/>
      </c>
    </row>
    <row r="267">
      <c r="B267" s="58" t="n">
        <v>263</v>
      </c>
      <c r="C267" s="61">
        <f>C266*$A$5</f>
        <v/>
      </c>
      <c r="D267" s="61">
        <f>D266*$A$5</f>
        <v/>
      </c>
      <c r="E267" s="61">
        <f>E266*$A$5</f>
        <v/>
      </c>
      <c r="F267" s="0">
        <f>ROUND((C267/C$5-1)*100000, 0)</f>
        <v/>
      </c>
      <c r="H267" s="58" t="n">
        <v>263</v>
      </c>
      <c r="I267" s="61">
        <f>I266*$G$5</f>
        <v/>
      </c>
      <c r="J267" s="61">
        <f>J266*$G$5</f>
        <v/>
      </c>
      <c r="K267" s="61">
        <f>K266*$G$5</f>
        <v/>
      </c>
      <c r="L267" s="0">
        <f>ROUND((I267/I$5-1)*100000, 0)</f>
        <v/>
      </c>
      <c r="N267" s="58" t="n">
        <v>263</v>
      </c>
      <c r="O267" s="61">
        <f>O266*$M$5</f>
        <v/>
      </c>
      <c r="P267" s="61">
        <f>P266*$M$5</f>
        <v/>
      </c>
      <c r="Q267" s="61">
        <f>Q266*$M$5</f>
        <v/>
      </c>
      <c r="R267" s="0">
        <f>ROUND((O267/O$5-1)*100000, 0)</f>
        <v/>
      </c>
      <c r="S267" s="0">
        <f>$O$5*(1+R267/100000)</f>
        <v/>
      </c>
    </row>
    <row r="268">
      <c r="B268" s="58" t="n">
        <v>264</v>
      </c>
      <c r="C268" s="61">
        <f>C267*$A$5</f>
        <v/>
      </c>
      <c r="D268" s="61">
        <f>D267*$A$5</f>
        <v/>
      </c>
      <c r="E268" s="61">
        <f>E267*$A$5</f>
        <v/>
      </c>
      <c r="F268" s="0">
        <f>ROUND((C268/C$5-1)*100000, 0)</f>
        <v/>
      </c>
      <c r="H268" s="58" t="n">
        <v>264</v>
      </c>
      <c r="I268" s="61">
        <f>I267*$G$5</f>
        <v/>
      </c>
      <c r="J268" s="61">
        <f>J267*$G$5</f>
        <v/>
      </c>
      <c r="K268" s="61">
        <f>K267*$G$5</f>
        <v/>
      </c>
      <c r="L268" s="0">
        <f>ROUND((I268/I$5-1)*100000, 0)</f>
        <v/>
      </c>
      <c r="N268" s="58" t="n">
        <v>264</v>
      </c>
      <c r="O268" s="61">
        <f>O267*$M$5</f>
        <v/>
      </c>
      <c r="P268" s="61">
        <f>P267*$M$5</f>
        <v/>
      </c>
      <c r="Q268" s="61">
        <f>Q267*$M$5</f>
        <v/>
      </c>
      <c r="R268" s="0">
        <f>ROUND((O268/O$5-1)*100000, 0)</f>
        <v/>
      </c>
      <c r="S268" s="0">
        <f>$O$5*(1+R268/100000)</f>
        <v/>
      </c>
    </row>
    <row r="269">
      <c r="B269" s="58" t="n">
        <v>265</v>
      </c>
      <c r="C269" s="61">
        <f>C268*$A$5</f>
        <v/>
      </c>
      <c r="D269" s="61">
        <f>D268*$A$5</f>
        <v/>
      </c>
      <c r="E269" s="61">
        <f>E268*$A$5</f>
        <v/>
      </c>
      <c r="F269" s="0">
        <f>ROUND((C269/C$5-1)*100000, 0)</f>
        <v/>
      </c>
      <c r="H269" s="58" t="n">
        <v>265</v>
      </c>
      <c r="I269" s="61">
        <f>I268*$G$5</f>
        <v/>
      </c>
      <c r="J269" s="61">
        <f>J268*$G$5</f>
        <v/>
      </c>
      <c r="K269" s="61">
        <f>K268*$G$5</f>
        <v/>
      </c>
      <c r="L269" s="0">
        <f>ROUND((I269/I$5-1)*100000, 0)</f>
        <v/>
      </c>
      <c r="N269" s="58" t="n">
        <v>265</v>
      </c>
      <c r="O269" s="61">
        <f>O268*$M$5</f>
        <v/>
      </c>
      <c r="P269" s="61">
        <f>P268*$M$5</f>
        <v/>
      </c>
      <c r="Q269" s="61">
        <f>Q268*$M$5</f>
        <v/>
      </c>
      <c r="R269" s="0">
        <f>ROUND((O269/O$5-1)*100000, 0)</f>
        <v/>
      </c>
      <c r="S269" s="0">
        <f>$O$5*(1+R269/100000)</f>
        <v/>
      </c>
    </row>
    <row r="270">
      <c r="B270" s="58" t="n">
        <v>266</v>
      </c>
      <c r="C270" s="61">
        <f>C269*$A$5</f>
        <v/>
      </c>
      <c r="D270" s="61">
        <f>D269*$A$5</f>
        <v/>
      </c>
      <c r="E270" s="61">
        <f>E269*$A$5</f>
        <v/>
      </c>
      <c r="F270" s="0">
        <f>ROUND((C270/C$5-1)*100000, 0)</f>
        <v/>
      </c>
      <c r="H270" s="58" t="n">
        <v>266</v>
      </c>
      <c r="I270" s="61">
        <f>I269*$G$5</f>
        <v/>
      </c>
      <c r="J270" s="61">
        <f>J269*$G$5</f>
        <v/>
      </c>
      <c r="K270" s="61">
        <f>K269*$G$5</f>
        <v/>
      </c>
      <c r="L270" s="0">
        <f>ROUND((I270/I$5-1)*100000, 0)</f>
        <v/>
      </c>
      <c r="N270" s="58" t="n">
        <v>266</v>
      </c>
      <c r="O270" s="61">
        <f>O269*$M$5</f>
        <v/>
      </c>
      <c r="P270" s="61">
        <f>P269*$M$5</f>
        <v/>
      </c>
      <c r="Q270" s="61">
        <f>Q269*$M$5</f>
        <v/>
      </c>
      <c r="R270" s="0">
        <f>ROUND((O270/O$5-1)*100000, 0)</f>
        <v/>
      </c>
      <c r="S270" s="0">
        <f>$O$5*(1+R270/100000)</f>
        <v/>
      </c>
    </row>
    <row r="271">
      <c r="B271" s="58" t="n">
        <v>267</v>
      </c>
      <c r="C271" s="61">
        <f>C270*$A$5</f>
        <v/>
      </c>
      <c r="D271" s="61">
        <f>D270*$A$5</f>
        <v/>
      </c>
      <c r="E271" s="61">
        <f>E270*$A$5</f>
        <v/>
      </c>
      <c r="F271" s="0">
        <f>ROUND((C271/C$5-1)*100000, 0)</f>
        <v/>
      </c>
      <c r="H271" s="58" t="n">
        <v>267</v>
      </c>
      <c r="I271" s="61">
        <f>I270*$G$5</f>
        <v/>
      </c>
      <c r="J271" s="61">
        <f>J270*$G$5</f>
        <v/>
      </c>
      <c r="K271" s="61">
        <f>K270*$G$5</f>
        <v/>
      </c>
      <c r="L271" s="0">
        <f>ROUND((I271/I$5-1)*100000, 0)</f>
        <v/>
      </c>
      <c r="N271" s="58" t="n">
        <v>267</v>
      </c>
      <c r="O271" s="61">
        <f>O270*$M$5</f>
        <v/>
      </c>
      <c r="P271" s="61">
        <f>P270*$M$5</f>
        <v/>
      </c>
      <c r="Q271" s="61">
        <f>Q270*$M$5</f>
        <v/>
      </c>
      <c r="R271" s="0">
        <f>ROUND((O271/O$5-1)*100000, 0)</f>
        <v/>
      </c>
      <c r="S271" s="0">
        <f>$O$5*(1+R271/100000)</f>
        <v/>
      </c>
    </row>
    <row r="272">
      <c r="B272" s="58" t="n">
        <v>268</v>
      </c>
      <c r="C272" s="61">
        <f>C271*$A$5</f>
        <v/>
      </c>
      <c r="D272" s="61">
        <f>D271*$A$5</f>
        <v/>
      </c>
      <c r="E272" s="61">
        <f>E271*$A$5</f>
        <v/>
      </c>
      <c r="F272" s="0">
        <f>ROUND((C272/C$5-1)*100000, 0)</f>
        <v/>
      </c>
      <c r="H272" s="58" t="n">
        <v>268</v>
      </c>
      <c r="I272" s="61">
        <f>I271*$G$5</f>
        <v/>
      </c>
      <c r="J272" s="61">
        <f>J271*$G$5</f>
        <v/>
      </c>
      <c r="K272" s="61">
        <f>K271*$G$5</f>
        <v/>
      </c>
      <c r="L272" s="0">
        <f>ROUND((I272/I$5-1)*100000, 0)</f>
        <v/>
      </c>
      <c r="N272" s="58" t="n">
        <v>268</v>
      </c>
      <c r="O272" s="61">
        <f>O271*$M$5</f>
        <v/>
      </c>
      <c r="P272" s="61">
        <f>P271*$M$5</f>
        <v/>
      </c>
      <c r="Q272" s="61">
        <f>Q271*$M$5</f>
        <v/>
      </c>
      <c r="R272" s="0">
        <f>ROUND((O272/O$5-1)*100000, 0)</f>
        <v/>
      </c>
      <c r="S272" s="0">
        <f>$O$5*(1+R272/100000)</f>
        <v/>
      </c>
    </row>
    <row r="273">
      <c r="B273" s="58" t="n">
        <v>269</v>
      </c>
      <c r="C273" s="61">
        <f>C272*$A$5</f>
        <v/>
      </c>
      <c r="D273" s="61">
        <f>D272*$A$5</f>
        <v/>
      </c>
      <c r="E273" s="61">
        <f>E272*$A$5</f>
        <v/>
      </c>
      <c r="F273" s="0">
        <f>ROUND((C273/C$5-1)*100000, 0)</f>
        <v/>
      </c>
      <c r="H273" s="58" t="n">
        <v>269</v>
      </c>
      <c r="I273" s="61">
        <f>I272*$G$5</f>
        <v/>
      </c>
      <c r="J273" s="61">
        <f>J272*$G$5</f>
        <v/>
      </c>
      <c r="K273" s="61">
        <f>K272*$G$5</f>
        <v/>
      </c>
      <c r="L273" s="0">
        <f>ROUND((I273/I$5-1)*100000, 0)</f>
        <v/>
      </c>
      <c r="N273" s="58" t="n">
        <v>269</v>
      </c>
      <c r="O273" s="61">
        <f>O272*$M$5</f>
        <v/>
      </c>
      <c r="P273" s="61">
        <f>P272*$M$5</f>
        <v/>
      </c>
      <c r="Q273" s="61">
        <f>Q272*$M$5</f>
        <v/>
      </c>
      <c r="R273" s="0">
        <f>ROUND((O273/O$5-1)*100000, 0)</f>
        <v/>
      </c>
      <c r="S273" s="0">
        <f>$O$5*(1+R273/100000)</f>
        <v/>
      </c>
    </row>
    <row r="274">
      <c r="B274" s="58" t="n">
        <v>270</v>
      </c>
      <c r="C274" s="61">
        <f>C273*$A$5</f>
        <v/>
      </c>
      <c r="D274" s="61">
        <f>D273*$A$5</f>
        <v/>
      </c>
      <c r="E274" s="61">
        <f>E273*$A$5</f>
        <v/>
      </c>
      <c r="F274" s="0">
        <f>ROUND((C274/C$5-1)*100000, 0)</f>
        <v/>
      </c>
      <c r="H274" s="58" t="n">
        <v>270</v>
      </c>
      <c r="I274" s="61">
        <f>I273*$G$5</f>
        <v/>
      </c>
      <c r="J274" s="61">
        <f>J273*$G$5</f>
        <v/>
      </c>
      <c r="K274" s="61">
        <f>K273*$G$5</f>
        <v/>
      </c>
      <c r="L274" s="0">
        <f>ROUND((I274/I$5-1)*100000, 0)</f>
        <v/>
      </c>
      <c r="N274" s="58" t="n">
        <v>270</v>
      </c>
      <c r="O274" s="61">
        <f>O273*$M$5</f>
        <v/>
      </c>
      <c r="P274" s="61">
        <f>P273*$M$5</f>
        <v/>
      </c>
      <c r="Q274" s="61">
        <f>Q273*$M$5</f>
        <v/>
      </c>
      <c r="R274" s="0">
        <f>ROUND((O274/O$5-1)*100000, 0)</f>
        <v/>
      </c>
      <c r="S274" s="0">
        <f>$O$5*(1+R274/100000)</f>
        <v/>
      </c>
    </row>
    <row r="275">
      <c r="B275" s="58" t="n">
        <v>271</v>
      </c>
      <c r="C275" s="61">
        <f>C274*$A$5</f>
        <v/>
      </c>
      <c r="D275" s="61">
        <f>D274*$A$5</f>
        <v/>
      </c>
      <c r="E275" s="61">
        <f>E274*$A$5</f>
        <v/>
      </c>
      <c r="F275" s="0">
        <f>ROUND((C275/C$5-1)*100000, 0)</f>
        <v/>
      </c>
      <c r="H275" s="58" t="n">
        <v>271</v>
      </c>
      <c r="I275" s="61">
        <f>I274*$G$5</f>
        <v/>
      </c>
      <c r="J275" s="61">
        <f>J274*$G$5</f>
        <v/>
      </c>
      <c r="K275" s="61">
        <f>K274*$G$5</f>
        <v/>
      </c>
      <c r="L275" s="0">
        <f>ROUND((I275/I$5-1)*100000, 0)</f>
        <v/>
      </c>
      <c r="N275" s="58" t="n">
        <v>271</v>
      </c>
      <c r="O275" s="61">
        <f>O274*$M$5</f>
        <v/>
      </c>
      <c r="P275" s="61">
        <f>P274*$M$5</f>
        <v/>
      </c>
      <c r="Q275" s="61">
        <f>Q274*$M$5</f>
        <v/>
      </c>
      <c r="R275" s="0">
        <f>ROUND((O275/O$5-1)*100000, 0)</f>
        <v/>
      </c>
      <c r="S275" s="0">
        <f>$O$5*(1+R275/100000)</f>
        <v/>
      </c>
    </row>
    <row r="276">
      <c r="B276" s="58" t="n">
        <v>272</v>
      </c>
      <c r="C276" s="61">
        <f>C275*$A$5</f>
        <v/>
      </c>
      <c r="D276" s="61">
        <f>D275*$A$5</f>
        <v/>
      </c>
      <c r="E276" s="61">
        <f>E275*$A$5</f>
        <v/>
      </c>
      <c r="F276" s="0">
        <f>ROUND((C276/C$5-1)*100000, 0)</f>
        <v/>
      </c>
      <c r="H276" s="58" t="n">
        <v>272</v>
      </c>
      <c r="I276" s="61">
        <f>I275*$G$5</f>
        <v/>
      </c>
      <c r="J276" s="61">
        <f>J275*$G$5</f>
        <v/>
      </c>
      <c r="K276" s="61">
        <f>K275*$G$5</f>
        <v/>
      </c>
      <c r="L276" s="0">
        <f>ROUND((I276/I$5-1)*100000, 0)</f>
        <v/>
      </c>
      <c r="N276" s="58" t="n">
        <v>272</v>
      </c>
      <c r="O276" s="61">
        <f>O275*$M$5</f>
        <v/>
      </c>
      <c r="P276" s="61">
        <f>P275*$M$5</f>
        <v/>
      </c>
      <c r="Q276" s="61">
        <f>Q275*$M$5</f>
        <v/>
      </c>
      <c r="R276" s="0">
        <f>ROUND((O276/O$5-1)*100000, 0)</f>
        <v/>
      </c>
      <c r="S276" s="0">
        <f>$O$5*(1+R276/100000)</f>
        <v/>
      </c>
    </row>
    <row r="277">
      <c r="B277" s="58" t="n">
        <v>273</v>
      </c>
      <c r="C277" s="61">
        <f>C276*$A$5</f>
        <v/>
      </c>
      <c r="D277" s="61">
        <f>D276*$A$5</f>
        <v/>
      </c>
      <c r="E277" s="61">
        <f>E276*$A$5</f>
        <v/>
      </c>
      <c r="F277" s="0">
        <f>ROUND((C277/C$5-1)*100000, 0)</f>
        <v/>
      </c>
      <c r="H277" s="58" t="n">
        <v>273</v>
      </c>
      <c r="I277" s="61">
        <f>I276*$G$5</f>
        <v/>
      </c>
      <c r="J277" s="61">
        <f>J276*$G$5</f>
        <v/>
      </c>
      <c r="K277" s="61">
        <f>K276*$G$5</f>
        <v/>
      </c>
      <c r="L277" s="0">
        <f>ROUND((I277/I$5-1)*100000, 0)</f>
        <v/>
      </c>
      <c r="N277" s="58" t="n">
        <v>273</v>
      </c>
      <c r="O277" s="61">
        <f>O276*$M$5</f>
        <v/>
      </c>
      <c r="P277" s="61">
        <f>P276*$M$5</f>
        <v/>
      </c>
      <c r="Q277" s="61">
        <f>Q276*$M$5</f>
        <v/>
      </c>
      <c r="R277" s="0">
        <f>ROUND((O277/O$5-1)*100000, 0)</f>
        <v/>
      </c>
      <c r="S277" s="0">
        <f>$O$5*(1+R277/100000)</f>
        <v/>
      </c>
    </row>
    <row r="278">
      <c r="B278" s="58" t="n">
        <v>274</v>
      </c>
      <c r="C278" s="61">
        <f>C277*$A$5</f>
        <v/>
      </c>
      <c r="D278" s="61">
        <f>D277*$A$5</f>
        <v/>
      </c>
      <c r="E278" s="61">
        <f>E277*$A$5</f>
        <v/>
      </c>
      <c r="F278" s="0">
        <f>ROUND((C278/C$5-1)*100000, 0)</f>
        <v/>
      </c>
      <c r="H278" s="58" t="n">
        <v>274</v>
      </c>
      <c r="I278" s="61">
        <f>I277*$G$5</f>
        <v/>
      </c>
      <c r="J278" s="61">
        <f>J277*$G$5</f>
        <v/>
      </c>
      <c r="K278" s="61">
        <f>K277*$G$5</f>
        <v/>
      </c>
      <c r="L278" s="0">
        <f>ROUND((I278/I$5-1)*100000, 0)</f>
        <v/>
      </c>
      <c r="N278" s="58" t="n">
        <v>274</v>
      </c>
      <c r="O278" s="61">
        <f>O277*$M$5</f>
        <v/>
      </c>
      <c r="P278" s="61">
        <f>P277*$M$5</f>
        <v/>
      </c>
      <c r="Q278" s="61">
        <f>Q277*$M$5</f>
        <v/>
      </c>
      <c r="R278" s="0">
        <f>ROUND((O278/O$5-1)*100000, 0)</f>
        <v/>
      </c>
      <c r="S278" s="0">
        <f>$O$5*(1+R278/100000)</f>
        <v/>
      </c>
    </row>
    <row r="279">
      <c r="B279" s="58" t="n">
        <v>275</v>
      </c>
      <c r="C279" s="61">
        <f>C278*$A$5</f>
        <v/>
      </c>
      <c r="D279" s="61">
        <f>D278*$A$5</f>
        <v/>
      </c>
      <c r="E279" s="61">
        <f>E278*$A$5</f>
        <v/>
      </c>
      <c r="F279" s="0">
        <f>ROUND((C279/C$5-1)*100000, 0)</f>
        <v/>
      </c>
      <c r="H279" s="58" t="n">
        <v>275</v>
      </c>
      <c r="I279" s="61">
        <f>I278*$G$5</f>
        <v/>
      </c>
      <c r="J279" s="61">
        <f>J278*$G$5</f>
        <v/>
      </c>
      <c r="K279" s="61">
        <f>K278*$G$5</f>
        <v/>
      </c>
      <c r="L279" s="0">
        <f>ROUND((I279/I$5-1)*100000, 0)</f>
        <v/>
      </c>
      <c r="N279" s="58" t="n">
        <v>275</v>
      </c>
      <c r="O279" s="61">
        <f>O278*$M$5</f>
        <v/>
      </c>
      <c r="P279" s="61">
        <f>P278*$M$5</f>
        <v/>
      </c>
      <c r="Q279" s="61">
        <f>Q278*$M$5</f>
        <v/>
      </c>
      <c r="R279" s="0">
        <f>ROUND((O279/O$5-1)*100000, 0)</f>
        <v/>
      </c>
      <c r="S279" s="0">
        <f>$O$5*(1+R279/100000)</f>
        <v/>
      </c>
    </row>
    <row r="280">
      <c r="B280" s="58" t="n">
        <v>276</v>
      </c>
      <c r="C280" s="61">
        <f>C279*$A$5</f>
        <v/>
      </c>
      <c r="D280" s="61">
        <f>D279*$A$5</f>
        <v/>
      </c>
      <c r="E280" s="61">
        <f>E279*$A$5</f>
        <v/>
      </c>
      <c r="F280" s="0">
        <f>ROUND((C280/C$5-1)*100000, 0)</f>
        <v/>
      </c>
      <c r="H280" s="58" t="n">
        <v>276</v>
      </c>
      <c r="I280" s="61">
        <f>I279*$G$5</f>
        <v/>
      </c>
      <c r="J280" s="61">
        <f>J279*$G$5</f>
        <v/>
      </c>
      <c r="K280" s="61">
        <f>K279*$G$5</f>
        <v/>
      </c>
      <c r="L280" s="0">
        <f>ROUND((I280/I$5-1)*100000, 0)</f>
        <v/>
      </c>
      <c r="N280" s="58" t="n">
        <v>276</v>
      </c>
      <c r="O280" s="61">
        <f>O279*$M$5</f>
        <v/>
      </c>
      <c r="P280" s="61">
        <f>P279*$M$5</f>
        <v/>
      </c>
      <c r="Q280" s="61">
        <f>Q279*$M$5</f>
        <v/>
      </c>
      <c r="R280" s="0">
        <f>ROUND((O280/O$5-1)*100000, 0)</f>
        <v/>
      </c>
      <c r="S280" s="0">
        <f>$O$5*(1+R280/100000)</f>
        <v/>
      </c>
    </row>
    <row r="281">
      <c r="B281" s="58" t="n">
        <v>277</v>
      </c>
      <c r="C281" s="61">
        <f>C280*$A$5</f>
        <v/>
      </c>
      <c r="D281" s="61">
        <f>D280*$A$5</f>
        <v/>
      </c>
      <c r="E281" s="61">
        <f>E280*$A$5</f>
        <v/>
      </c>
      <c r="F281" s="0">
        <f>ROUND((C281/C$5-1)*100000, 0)</f>
        <v/>
      </c>
      <c r="H281" s="58" t="n">
        <v>277</v>
      </c>
      <c r="I281" s="61">
        <f>I280*$G$5</f>
        <v/>
      </c>
      <c r="J281" s="61">
        <f>J280*$G$5</f>
        <v/>
      </c>
      <c r="K281" s="61">
        <f>K280*$G$5</f>
        <v/>
      </c>
      <c r="L281" s="0">
        <f>ROUND((I281/I$5-1)*100000, 0)</f>
        <v/>
      </c>
      <c r="N281" s="58" t="n">
        <v>277</v>
      </c>
      <c r="O281" s="61">
        <f>O280*$M$5</f>
        <v/>
      </c>
      <c r="P281" s="61">
        <f>P280*$M$5</f>
        <v/>
      </c>
      <c r="Q281" s="61">
        <f>Q280*$M$5</f>
        <v/>
      </c>
      <c r="R281" s="0">
        <f>ROUND((O281/O$5-1)*100000, 0)</f>
        <v/>
      </c>
      <c r="S281" s="0">
        <f>$O$5*(1+R281/100000)</f>
        <v/>
      </c>
    </row>
    <row r="282">
      <c r="B282" s="58" t="n">
        <v>278</v>
      </c>
      <c r="C282" s="61">
        <f>C281*$A$5</f>
        <v/>
      </c>
      <c r="D282" s="61">
        <f>D281*$A$5</f>
        <v/>
      </c>
      <c r="E282" s="61">
        <f>E281*$A$5</f>
        <v/>
      </c>
      <c r="F282" s="0">
        <f>ROUND((C282/C$5-1)*100000, 0)</f>
        <v/>
      </c>
      <c r="H282" s="58" t="n">
        <v>278</v>
      </c>
      <c r="I282" s="61">
        <f>I281*$G$5</f>
        <v/>
      </c>
      <c r="J282" s="61">
        <f>J281*$G$5</f>
        <v/>
      </c>
      <c r="K282" s="61">
        <f>K281*$G$5</f>
        <v/>
      </c>
      <c r="L282" s="0">
        <f>ROUND((I282/I$5-1)*100000, 0)</f>
        <v/>
      </c>
      <c r="N282" s="58" t="n">
        <v>278</v>
      </c>
      <c r="O282" s="61">
        <f>O281*$M$5</f>
        <v/>
      </c>
      <c r="P282" s="61">
        <f>P281*$M$5</f>
        <v/>
      </c>
      <c r="Q282" s="61">
        <f>Q281*$M$5</f>
        <v/>
      </c>
      <c r="R282" s="0">
        <f>ROUND((O282/O$5-1)*100000, 0)</f>
        <v/>
      </c>
      <c r="S282" s="0">
        <f>$O$5*(1+R282/100000)</f>
        <v/>
      </c>
    </row>
    <row r="283">
      <c r="B283" s="58" t="n">
        <v>279</v>
      </c>
      <c r="C283" s="61">
        <f>C282*$A$5</f>
        <v/>
      </c>
      <c r="D283" s="61">
        <f>D282*$A$5</f>
        <v/>
      </c>
      <c r="E283" s="61">
        <f>E282*$A$5</f>
        <v/>
      </c>
      <c r="F283" s="0">
        <f>ROUND((C283/C$5-1)*100000, 0)</f>
        <v/>
      </c>
      <c r="H283" s="58" t="n">
        <v>279</v>
      </c>
      <c r="I283" s="61">
        <f>I282*$G$5</f>
        <v/>
      </c>
      <c r="J283" s="61">
        <f>J282*$G$5</f>
        <v/>
      </c>
      <c r="K283" s="61">
        <f>K282*$G$5</f>
        <v/>
      </c>
      <c r="L283" s="0">
        <f>ROUND((I283/I$5-1)*100000, 0)</f>
        <v/>
      </c>
      <c r="N283" s="58" t="n">
        <v>279</v>
      </c>
      <c r="O283" s="61">
        <f>O282*$M$5</f>
        <v/>
      </c>
      <c r="P283" s="61">
        <f>P282*$M$5</f>
        <v/>
      </c>
      <c r="Q283" s="61">
        <f>Q282*$M$5</f>
        <v/>
      </c>
      <c r="R283" s="0">
        <f>ROUND((O283/O$5-1)*100000, 0)</f>
        <v/>
      </c>
      <c r="S283" s="0">
        <f>$O$5*(1+R283/100000)</f>
        <v/>
      </c>
    </row>
    <row r="284">
      <c r="B284" s="58" t="n">
        <v>280</v>
      </c>
      <c r="C284" s="61">
        <f>C283*$A$5</f>
        <v/>
      </c>
      <c r="D284" s="61">
        <f>D283*$A$5</f>
        <v/>
      </c>
      <c r="E284" s="61">
        <f>E283*$A$5</f>
        <v/>
      </c>
      <c r="F284" s="0">
        <f>ROUND((C284/C$5-1)*100000, 0)</f>
        <v/>
      </c>
      <c r="H284" s="58" t="n">
        <v>280</v>
      </c>
      <c r="I284" s="61">
        <f>I283*$G$5</f>
        <v/>
      </c>
      <c r="J284" s="61">
        <f>J283*$G$5</f>
        <v/>
      </c>
      <c r="K284" s="61">
        <f>K283*$G$5</f>
        <v/>
      </c>
      <c r="L284" s="0">
        <f>ROUND((I284/I$5-1)*100000, 0)</f>
        <v/>
      </c>
      <c r="N284" s="58" t="n">
        <v>280</v>
      </c>
      <c r="O284" s="61">
        <f>O283*$M$5</f>
        <v/>
      </c>
      <c r="P284" s="61">
        <f>P283*$M$5</f>
        <v/>
      </c>
      <c r="Q284" s="61">
        <f>Q283*$M$5</f>
        <v/>
      </c>
      <c r="R284" s="0">
        <f>ROUND((O284/O$5-1)*100000, 0)</f>
        <v/>
      </c>
      <c r="S284" s="0">
        <f>$O$5*(1+R284/100000)</f>
        <v/>
      </c>
    </row>
    <row r="285">
      <c r="B285" s="58" t="n">
        <v>281</v>
      </c>
      <c r="C285" s="61">
        <f>C284*$A$5</f>
        <v/>
      </c>
      <c r="D285" s="61">
        <f>D284*$A$5</f>
        <v/>
      </c>
      <c r="E285" s="61">
        <f>E284*$A$5</f>
        <v/>
      </c>
      <c r="F285" s="0">
        <f>ROUND((C285/C$5-1)*100000, 0)</f>
        <v/>
      </c>
      <c r="H285" s="58" t="n">
        <v>281</v>
      </c>
      <c r="I285" s="61">
        <f>I284*$G$5</f>
        <v/>
      </c>
      <c r="J285" s="61">
        <f>J284*$G$5</f>
        <v/>
      </c>
      <c r="K285" s="61">
        <f>K284*$G$5</f>
        <v/>
      </c>
      <c r="L285" s="0">
        <f>ROUND((I285/I$5-1)*100000, 0)</f>
        <v/>
      </c>
      <c r="N285" s="58" t="n">
        <v>281</v>
      </c>
      <c r="O285" s="61">
        <f>O284*$M$5</f>
        <v/>
      </c>
      <c r="P285" s="61">
        <f>P284*$M$5</f>
        <v/>
      </c>
      <c r="Q285" s="61">
        <f>Q284*$M$5</f>
        <v/>
      </c>
      <c r="R285" s="0">
        <f>ROUND((O285/O$5-1)*100000, 0)</f>
        <v/>
      </c>
      <c r="S285" s="0">
        <f>$O$5*(1+R285/100000)</f>
        <v/>
      </c>
    </row>
    <row r="286">
      <c r="B286" s="58" t="n">
        <v>282</v>
      </c>
      <c r="C286" s="61">
        <f>C285*$A$5</f>
        <v/>
      </c>
      <c r="D286" s="61">
        <f>D285*$A$5</f>
        <v/>
      </c>
      <c r="E286" s="61">
        <f>E285*$A$5</f>
        <v/>
      </c>
      <c r="F286" s="0">
        <f>ROUND((C286/C$5-1)*100000, 0)</f>
        <v/>
      </c>
      <c r="H286" s="58" t="n">
        <v>282</v>
      </c>
      <c r="I286" s="61">
        <f>I285*$G$5</f>
        <v/>
      </c>
      <c r="J286" s="61">
        <f>J285*$G$5</f>
        <v/>
      </c>
      <c r="K286" s="61">
        <f>K285*$G$5</f>
        <v/>
      </c>
      <c r="L286" s="0">
        <f>ROUND((I286/I$5-1)*100000, 0)</f>
        <v/>
      </c>
      <c r="N286" s="58" t="n">
        <v>282</v>
      </c>
      <c r="O286" s="61">
        <f>O285*$M$5</f>
        <v/>
      </c>
      <c r="P286" s="61">
        <f>P285*$M$5</f>
        <v/>
      </c>
      <c r="Q286" s="61">
        <f>Q285*$M$5</f>
        <v/>
      </c>
      <c r="R286" s="0">
        <f>ROUND((O286/O$5-1)*100000, 0)</f>
        <v/>
      </c>
      <c r="S286" s="0">
        <f>$O$5*(1+R286/100000)</f>
        <v/>
      </c>
    </row>
    <row r="287">
      <c r="B287" s="58" t="n">
        <v>283</v>
      </c>
      <c r="C287" s="61">
        <f>C286*$A$5</f>
        <v/>
      </c>
      <c r="D287" s="61">
        <f>D286*$A$5</f>
        <v/>
      </c>
      <c r="E287" s="61">
        <f>E286*$A$5</f>
        <v/>
      </c>
      <c r="F287" s="0">
        <f>ROUND((C287/C$5-1)*100000, 0)</f>
        <v/>
      </c>
      <c r="H287" s="58" t="n">
        <v>283</v>
      </c>
      <c r="I287" s="61">
        <f>I286*$G$5</f>
        <v/>
      </c>
      <c r="J287" s="61">
        <f>J286*$G$5</f>
        <v/>
      </c>
      <c r="K287" s="61">
        <f>K286*$G$5</f>
        <v/>
      </c>
      <c r="L287" s="0">
        <f>ROUND((I287/I$5-1)*100000, 0)</f>
        <v/>
      </c>
      <c r="N287" s="58" t="n">
        <v>283</v>
      </c>
      <c r="O287" s="61">
        <f>O286*$M$5</f>
        <v/>
      </c>
      <c r="P287" s="61">
        <f>P286*$M$5</f>
        <v/>
      </c>
      <c r="Q287" s="61">
        <f>Q286*$M$5</f>
        <v/>
      </c>
      <c r="R287" s="0">
        <f>ROUND((O287/O$5-1)*100000, 0)</f>
        <v/>
      </c>
      <c r="S287" s="0">
        <f>$O$5*(1+R287/100000)</f>
        <v/>
      </c>
    </row>
    <row r="288">
      <c r="B288" s="58" t="n">
        <v>284</v>
      </c>
      <c r="C288" s="61">
        <f>C287*$A$5</f>
        <v/>
      </c>
      <c r="D288" s="61">
        <f>D287*$A$5</f>
        <v/>
      </c>
      <c r="E288" s="61">
        <f>E287*$A$5</f>
        <v/>
      </c>
      <c r="F288" s="0">
        <f>ROUND((C288/C$5-1)*100000, 0)</f>
        <v/>
      </c>
      <c r="H288" s="58" t="n">
        <v>284</v>
      </c>
      <c r="I288" s="61">
        <f>I287*$G$5</f>
        <v/>
      </c>
      <c r="J288" s="61">
        <f>J287*$G$5</f>
        <v/>
      </c>
      <c r="K288" s="61">
        <f>K287*$G$5</f>
        <v/>
      </c>
      <c r="L288" s="0">
        <f>ROUND((I288/I$5-1)*100000, 0)</f>
        <v/>
      </c>
      <c r="N288" s="58" t="n">
        <v>284</v>
      </c>
      <c r="O288" s="61">
        <f>O287*$M$5</f>
        <v/>
      </c>
      <c r="P288" s="61">
        <f>P287*$M$5</f>
        <v/>
      </c>
      <c r="Q288" s="61">
        <f>Q287*$M$5</f>
        <v/>
      </c>
      <c r="R288" s="0">
        <f>ROUND((O288/O$5-1)*100000, 0)</f>
        <v/>
      </c>
      <c r="S288" s="0">
        <f>$O$5*(1+R288/100000)</f>
        <v/>
      </c>
    </row>
    <row r="289">
      <c r="B289" s="58" t="n">
        <v>285</v>
      </c>
      <c r="C289" s="61">
        <f>C288*$A$5</f>
        <v/>
      </c>
      <c r="D289" s="61">
        <f>D288*$A$5</f>
        <v/>
      </c>
      <c r="E289" s="61">
        <f>E288*$A$5</f>
        <v/>
      </c>
      <c r="F289" s="0">
        <f>ROUND((C289/C$5-1)*100000, 0)</f>
        <v/>
      </c>
      <c r="H289" s="58" t="n">
        <v>285</v>
      </c>
      <c r="I289" s="61">
        <f>I288*$G$5</f>
        <v/>
      </c>
      <c r="J289" s="61">
        <f>J288*$G$5</f>
        <v/>
      </c>
      <c r="K289" s="61">
        <f>K288*$G$5</f>
        <v/>
      </c>
      <c r="L289" s="0">
        <f>ROUND((I289/I$5-1)*100000, 0)</f>
        <v/>
      </c>
      <c r="N289" s="58" t="n">
        <v>285</v>
      </c>
      <c r="O289" s="61">
        <f>O288*$M$5</f>
        <v/>
      </c>
      <c r="P289" s="61">
        <f>P288*$M$5</f>
        <v/>
      </c>
      <c r="Q289" s="61">
        <f>Q288*$M$5</f>
        <v/>
      </c>
      <c r="R289" s="0">
        <f>ROUND((O289/O$5-1)*100000, 0)</f>
        <v/>
      </c>
      <c r="S289" s="0">
        <f>$O$5*(1+R289/100000)</f>
        <v/>
      </c>
    </row>
    <row r="290">
      <c r="B290" s="58" t="n">
        <v>286</v>
      </c>
      <c r="C290" s="61">
        <f>C289*$A$5</f>
        <v/>
      </c>
      <c r="D290" s="61">
        <f>D289*$A$5</f>
        <v/>
      </c>
      <c r="E290" s="61">
        <f>E289*$A$5</f>
        <v/>
      </c>
      <c r="F290" s="0">
        <f>ROUND((C290/C$5-1)*100000, 0)</f>
        <v/>
      </c>
      <c r="H290" s="58" t="n">
        <v>286</v>
      </c>
      <c r="I290" s="61">
        <f>I289*$G$5</f>
        <v/>
      </c>
      <c r="J290" s="61">
        <f>J289*$G$5</f>
        <v/>
      </c>
      <c r="K290" s="61">
        <f>K289*$G$5</f>
        <v/>
      </c>
      <c r="L290" s="0">
        <f>ROUND((I290/I$5-1)*100000, 0)</f>
        <v/>
      </c>
      <c r="N290" s="58" t="n">
        <v>286</v>
      </c>
      <c r="O290" s="61">
        <f>O289*$M$5</f>
        <v/>
      </c>
      <c r="P290" s="61">
        <f>P289*$M$5</f>
        <v/>
      </c>
      <c r="Q290" s="61">
        <f>Q289*$M$5</f>
        <v/>
      </c>
      <c r="R290" s="0">
        <f>ROUND((O290/O$5-1)*100000, 0)</f>
        <v/>
      </c>
      <c r="S290" s="0">
        <f>$O$5*(1+R290/100000)</f>
        <v/>
      </c>
    </row>
    <row r="291">
      <c r="B291" s="58" t="n">
        <v>287</v>
      </c>
      <c r="C291" s="61">
        <f>C290*$A$5</f>
        <v/>
      </c>
      <c r="D291" s="61">
        <f>D290*$A$5</f>
        <v/>
      </c>
      <c r="E291" s="61">
        <f>E290*$A$5</f>
        <v/>
      </c>
      <c r="F291" s="0">
        <f>ROUND((C291/C$5-1)*100000, 0)</f>
        <v/>
      </c>
      <c r="H291" s="58" t="n">
        <v>287</v>
      </c>
      <c r="I291" s="61">
        <f>I290*$G$5</f>
        <v/>
      </c>
      <c r="J291" s="61">
        <f>J290*$G$5</f>
        <v/>
      </c>
      <c r="K291" s="61">
        <f>K290*$G$5</f>
        <v/>
      </c>
      <c r="L291" s="0">
        <f>ROUND((I291/I$5-1)*100000, 0)</f>
        <v/>
      </c>
      <c r="N291" s="58" t="n">
        <v>287</v>
      </c>
      <c r="O291" s="61">
        <f>O290*$M$5</f>
        <v/>
      </c>
      <c r="P291" s="61">
        <f>P290*$M$5</f>
        <v/>
      </c>
      <c r="Q291" s="61">
        <f>Q290*$M$5</f>
        <v/>
      </c>
      <c r="R291" s="0">
        <f>ROUND((O291/O$5-1)*100000, 0)</f>
        <v/>
      </c>
      <c r="S291" s="0">
        <f>$O$5*(1+R291/100000)</f>
        <v/>
      </c>
    </row>
    <row r="292">
      <c r="B292" s="58" t="n">
        <v>288</v>
      </c>
      <c r="C292" s="61">
        <f>C291*$A$5</f>
        <v/>
      </c>
      <c r="D292" s="61">
        <f>D291*$A$5</f>
        <v/>
      </c>
      <c r="E292" s="61">
        <f>E291*$A$5</f>
        <v/>
      </c>
      <c r="F292" s="0">
        <f>ROUND((C292/C$5-1)*100000, 0)</f>
        <v/>
      </c>
      <c r="H292" s="58" t="n">
        <v>288</v>
      </c>
      <c r="I292" s="61">
        <f>I291*$G$5</f>
        <v/>
      </c>
      <c r="J292" s="61">
        <f>J291*$G$5</f>
        <v/>
      </c>
      <c r="K292" s="61">
        <f>K291*$G$5</f>
        <v/>
      </c>
      <c r="L292" s="0">
        <f>ROUND((I292/I$5-1)*100000, 0)</f>
        <v/>
      </c>
      <c r="N292" s="58" t="n">
        <v>288</v>
      </c>
      <c r="O292" s="61">
        <f>O291*$M$5</f>
        <v/>
      </c>
      <c r="P292" s="61">
        <f>P291*$M$5</f>
        <v/>
      </c>
      <c r="Q292" s="61">
        <f>Q291*$M$5</f>
        <v/>
      </c>
      <c r="R292" s="0">
        <f>ROUND((O292/O$5-1)*100000, 0)</f>
        <v/>
      </c>
      <c r="S292" s="0">
        <f>$O$5*(1+R292/100000)</f>
        <v/>
      </c>
    </row>
    <row r="293">
      <c r="B293" s="58" t="n">
        <v>289</v>
      </c>
      <c r="C293" s="61">
        <f>C292*$A$5</f>
        <v/>
      </c>
      <c r="D293" s="61">
        <f>D292*$A$5</f>
        <v/>
      </c>
      <c r="E293" s="61">
        <f>E292*$A$5</f>
        <v/>
      </c>
      <c r="F293" s="0">
        <f>ROUND((C293/C$5-1)*100000, 0)</f>
        <v/>
      </c>
      <c r="H293" s="58" t="n">
        <v>289</v>
      </c>
      <c r="I293" s="61">
        <f>I292*$G$5</f>
        <v/>
      </c>
      <c r="J293" s="61">
        <f>J292*$G$5</f>
        <v/>
      </c>
      <c r="K293" s="61">
        <f>K292*$G$5</f>
        <v/>
      </c>
      <c r="L293" s="0">
        <f>ROUND((I293/I$5-1)*100000, 0)</f>
        <v/>
      </c>
      <c r="N293" s="58" t="n">
        <v>289</v>
      </c>
      <c r="O293" s="61">
        <f>O292*$M$5</f>
        <v/>
      </c>
      <c r="P293" s="61">
        <f>P292*$M$5</f>
        <v/>
      </c>
      <c r="Q293" s="61">
        <f>Q292*$M$5</f>
        <v/>
      </c>
      <c r="R293" s="0">
        <f>ROUND((O293/O$5-1)*100000, 0)</f>
        <v/>
      </c>
      <c r="S293" s="0">
        <f>$O$5*(1+R293/100000)</f>
        <v/>
      </c>
    </row>
    <row r="294">
      <c r="B294" s="58" t="n">
        <v>290</v>
      </c>
      <c r="C294" s="61">
        <f>C293*$A$5</f>
        <v/>
      </c>
      <c r="D294" s="61">
        <f>D293*$A$5</f>
        <v/>
      </c>
      <c r="E294" s="61">
        <f>E293*$A$5</f>
        <v/>
      </c>
      <c r="F294" s="0">
        <f>ROUND((C294/C$5-1)*100000, 0)</f>
        <v/>
      </c>
      <c r="H294" s="58" t="n">
        <v>290</v>
      </c>
      <c r="I294" s="61">
        <f>I293*$G$5</f>
        <v/>
      </c>
      <c r="J294" s="61">
        <f>J293*$G$5</f>
        <v/>
      </c>
      <c r="K294" s="61">
        <f>K293*$G$5</f>
        <v/>
      </c>
      <c r="L294" s="0">
        <f>ROUND((I294/I$5-1)*100000, 0)</f>
        <v/>
      </c>
      <c r="N294" s="58" t="n">
        <v>290</v>
      </c>
      <c r="O294" s="61">
        <f>O293*$M$5</f>
        <v/>
      </c>
      <c r="P294" s="61">
        <f>P293*$M$5</f>
        <v/>
      </c>
      <c r="Q294" s="61">
        <f>Q293*$M$5</f>
        <v/>
      </c>
      <c r="R294" s="0">
        <f>ROUND((O294/O$5-1)*100000, 0)</f>
        <v/>
      </c>
      <c r="S294" s="0">
        <f>$O$5*(1+R294/100000)</f>
        <v/>
      </c>
    </row>
    <row r="295">
      <c r="B295" s="58" t="n">
        <v>291</v>
      </c>
      <c r="C295" s="61">
        <f>C294*$A$5</f>
        <v/>
      </c>
      <c r="D295" s="61">
        <f>D294*$A$5</f>
        <v/>
      </c>
      <c r="E295" s="61">
        <f>E294*$A$5</f>
        <v/>
      </c>
      <c r="F295" s="0">
        <f>ROUND((C295/C$5-1)*100000, 0)</f>
        <v/>
      </c>
      <c r="H295" s="58" t="n">
        <v>291</v>
      </c>
      <c r="I295" s="61">
        <f>I294*$G$5</f>
        <v/>
      </c>
      <c r="J295" s="61">
        <f>J294*$G$5</f>
        <v/>
      </c>
      <c r="K295" s="61">
        <f>K294*$G$5</f>
        <v/>
      </c>
      <c r="L295" s="0">
        <f>ROUND((I295/I$5-1)*100000, 0)</f>
        <v/>
      </c>
      <c r="N295" s="58" t="n">
        <v>291</v>
      </c>
      <c r="O295" s="61">
        <f>O294*$M$5</f>
        <v/>
      </c>
      <c r="P295" s="61">
        <f>P294*$M$5</f>
        <v/>
      </c>
      <c r="Q295" s="61">
        <f>Q294*$M$5</f>
        <v/>
      </c>
      <c r="R295" s="0">
        <f>ROUND((O295/O$5-1)*100000, 0)</f>
        <v/>
      </c>
      <c r="S295" s="0">
        <f>$O$5*(1+R295/100000)</f>
        <v/>
      </c>
    </row>
    <row r="296">
      <c r="B296" s="58" t="n">
        <v>292</v>
      </c>
      <c r="C296" s="61">
        <f>C295*$A$5</f>
        <v/>
      </c>
      <c r="D296" s="61">
        <f>D295*$A$5</f>
        <v/>
      </c>
      <c r="E296" s="61">
        <f>E295*$A$5</f>
        <v/>
      </c>
      <c r="F296" s="0">
        <f>ROUND((C296/C$5-1)*100000, 0)</f>
        <v/>
      </c>
      <c r="H296" s="58" t="n">
        <v>292</v>
      </c>
      <c r="I296" s="61">
        <f>I295*$G$5</f>
        <v/>
      </c>
      <c r="J296" s="61">
        <f>J295*$G$5</f>
        <v/>
      </c>
      <c r="K296" s="61">
        <f>K295*$G$5</f>
        <v/>
      </c>
      <c r="L296" s="0">
        <f>ROUND((I296/I$5-1)*100000, 0)</f>
        <v/>
      </c>
      <c r="N296" s="58" t="n">
        <v>292</v>
      </c>
      <c r="O296" s="61">
        <f>O295*$M$5</f>
        <v/>
      </c>
      <c r="P296" s="61">
        <f>P295*$M$5</f>
        <v/>
      </c>
      <c r="Q296" s="61">
        <f>Q295*$M$5</f>
        <v/>
      </c>
      <c r="R296" s="0">
        <f>ROUND((O296/O$5-1)*100000, 0)</f>
        <v/>
      </c>
      <c r="S296" s="0">
        <f>$O$5*(1+R296/100000)</f>
        <v/>
      </c>
    </row>
    <row r="297">
      <c r="B297" s="58" t="n">
        <v>293</v>
      </c>
      <c r="C297" s="61">
        <f>C296*$A$5</f>
        <v/>
      </c>
      <c r="D297" s="61">
        <f>D296*$A$5</f>
        <v/>
      </c>
      <c r="E297" s="61">
        <f>E296*$A$5</f>
        <v/>
      </c>
      <c r="F297" s="0">
        <f>ROUND((C297/C$5-1)*100000, 0)</f>
        <v/>
      </c>
      <c r="H297" s="58" t="n">
        <v>293</v>
      </c>
      <c r="I297" s="61">
        <f>I296*$G$5</f>
        <v/>
      </c>
      <c r="J297" s="61">
        <f>J296*$G$5</f>
        <v/>
      </c>
      <c r="K297" s="61">
        <f>K296*$G$5</f>
        <v/>
      </c>
      <c r="L297" s="0">
        <f>ROUND((I297/I$5-1)*100000, 0)</f>
        <v/>
      </c>
      <c r="N297" s="58" t="n">
        <v>293</v>
      </c>
      <c r="O297" s="61">
        <f>O296*$M$5</f>
        <v/>
      </c>
      <c r="P297" s="61">
        <f>P296*$M$5</f>
        <v/>
      </c>
      <c r="Q297" s="61">
        <f>Q296*$M$5</f>
        <v/>
      </c>
      <c r="R297" s="0">
        <f>ROUND((O297/O$5-1)*100000, 0)</f>
        <v/>
      </c>
      <c r="S297" s="0">
        <f>$O$5*(1+R297/100000)</f>
        <v/>
      </c>
    </row>
    <row r="298">
      <c r="B298" s="58" t="n">
        <v>294</v>
      </c>
      <c r="C298" s="61">
        <f>C297*$A$5</f>
        <v/>
      </c>
      <c r="D298" s="61">
        <f>D297*$A$5</f>
        <v/>
      </c>
      <c r="E298" s="61">
        <f>E297*$A$5</f>
        <v/>
      </c>
      <c r="F298" s="0">
        <f>ROUND((C298/C$5-1)*100000, 0)</f>
        <v/>
      </c>
      <c r="H298" s="58" t="n">
        <v>294</v>
      </c>
      <c r="I298" s="61">
        <f>I297*$G$5</f>
        <v/>
      </c>
      <c r="J298" s="61">
        <f>J297*$G$5</f>
        <v/>
      </c>
      <c r="K298" s="61">
        <f>K297*$G$5</f>
        <v/>
      </c>
      <c r="L298" s="0">
        <f>ROUND((I298/I$5-1)*100000, 0)</f>
        <v/>
      </c>
      <c r="N298" s="58" t="n">
        <v>294</v>
      </c>
      <c r="O298" s="61">
        <f>O297*$M$5</f>
        <v/>
      </c>
      <c r="P298" s="61">
        <f>P297*$M$5</f>
        <v/>
      </c>
      <c r="Q298" s="61">
        <f>Q297*$M$5</f>
        <v/>
      </c>
      <c r="R298" s="0">
        <f>ROUND((O298/O$5-1)*100000, 0)</f>
        <v/>
      </c>
      <c r="S298" s="0">
        <f>$O$5*(1+R298/100000)</f>
        <v/>
      </c>
    </row>
    <row r="299">
      <c r="B299" s="58" t="n">
        <v>295</v>
      </c>
      <c r="C299" s="61">
        <f>C298*$A$5</f>
        <v/>
      </c>
      <c r="D299" s="61">
        <f>D298*$A$5</f>
        <v/>
      </c>
      <c r="E299" s="61">
        <f>E298*$A$5</f>
        <v/>
      </c>
      <c r="F299" s="0">
        <f>ROUND((C299/C$5-1)*100000, 0)</f>
        <v/>
      </c>
      <c r="H299" s="58" t="n">
        <v>295</v>
      </c>
      <c r="I299" s="61">
        <f>I298*$G$5</f>
        <v/>
      </c>
      <c r="J299" s="61">
        <f>J298*$G$5</f>
        <v/>
      </c>
      <c r="K299" s="61">
        <f>K298*$G$5</f>
        <v/>
      </c>
      <c r="L299" s="0">
        <f>ROUND((I299/I$5-1)*100000, 0)</f>
        <v/>
      </c>
      <c r="N299" s="58" t="n">
        <v>295</v>
      </c>
      <c r="O299" s="61">
        <f>O298*$M$5</f>
        <v/>
      </c>
      <c r="P299" s="61">
        <f>P298*$M$5</f>
        <v/>
      </c>
      <c r="Q299" s="61">
        <f>Q298*$M$5</f>
        <v/>
      </c>
      <c r="R299" s="0">
        <f>ROUND((O299/O$5-1)*100000, 0)</f>
        <v/>
      </c>
      <c r="S299" s="0">
        <f>$O$5*(1+R299/100000)</f>
        <v/>
      </c>
    </row>
    <row r="300">
      <c r="B300" s="58" t="n">
        <v>296</v>
      </c>
      <c r="C300" s="61">
        <f>C299*$A$5</f>
        <v/>
      </c>
      <c r="D300" s="61">
        <f>D299*$A$5</f>
        <v/>
      </c>
      <c r="E300" s="61">
        <f>E299*$A$5</f>
        <v/>
      </c>
      <c r="F300" s="0">
        <f>ROUND((C300/C$5-1)*100000, 0)</f>
        <v/>
      </c>
      <c r="H300" s="58" t="n">
        <v>296</v>
      </c>
      <c r="I300" s="61">
        <f>I299*$G$5</f>
        <v/>
      </c>
      <c r="J300" s="61">
        <f>J299*$G$5</f>
        <v/>
      </c>
      <c r="K300" s="61">
        <f>K299*$G$5</f>
        <v/>
      </c>
      <c r="L300" s="0">
        <f>ROUND((I300/I$5-1)*100000, 0)</f>
        <v/>
      </c>
      <c r="N300" s="58" t="n">
        <v>296</v>
      </c>
      <c r="O300" s="61">
        <f>O299*$M$5</f>
        <v/>
      </c>
      <c r="P300" s="61">
        <f>P299*$M$5</f>
        <v/>
      </c>
      <c r="Q300" s="61">
        <f>Q299*$M$5</f>
        <v/>
      </c>
      <c r="R300" s="0">
        <f>ROUND((O300/O$5-1)*100000, 0)</f>
        <v/>
      </c>
      <c r="S300" s="0">
        <f>$O$5*(1+R300/100000)</f>
        <v/>
      </c>
    </row>
    <row r="301">
      <c r="B301" s="58" t="n">
        <v>297</v>
      </c>
      <c r="C301" s="61">
        <f>C300*$A$5</f>
        <v/>
      </c>
      <c r="D301" s="61">
        <f>D300*$A$5</f>
        <v/>
      </c>
      <c r="E301" s="61">
        <f>E300*$A$5</f>
        <v/>
      </c>
      <c r="F301" s="0">
        <f>ROUND((C301/C$5-1)*100000, 0)</f>
        <v/>
      </c>
      <c r="H301" s="58" t="n">
        <v>297</v>
      </c>
      <c r="I301" s="61">
        <f>I300*$G$5</f>
        <v/>
      </c>
      <c r="J301" s="61">
        <f>J300*$G$5</f>
        <v/>
      </c>
      <c r="K301" s="61">
        <f>K300*$G$5</f>
        <v/>
      </c>
      <c r="L301" s="0">
        <f>ROUND((I301/I$5-1)*100000, 0)</f>
        <v/>
      </c>
      <c r="N301" s="58" t="n">
        <v>297</v>
      </c>
      <c r="O301" s="61">
        <f>O300*$M$5</f>
        <v/>
      </c>
      <c r="P301" s="61">
        <f>P300*$M$5</f>
        <v/>
      </c>
      <c r="Q301" s="61">
        <f>Q300*$M$5</f>
        <v/>
      </c>
      <c r="R301" s="0">
        <f>ROUND((O301/O$5-1)*100000, 0)</f>
        <v/>
      </c>
      <c r="S301" s="0">
        <f>$O$5*(1+R301/100000)</f>
        <v/>
      </c>
    </row>
    <row r="302">
      <c r="B302" s="58" t="n">
        <v>298</v>
      </c>
      <c r="C302" s="61">
        <f>C301*$A$5</f>
        <v/>
      </c>
      <c r="D302" s="61">
        <f>D301*$A$5</f>
        <v/>
      </c>
      <c r="E302" s="61">
        <f>E301*$A$5</f>
        <v/>
      </c>
      <c r="F302" s="0">
        <f>ROUND((C302/C$5-1)*100000, 0)</f>
        <v/>
      </c>
      <c r="H302" s="58" t="n">
        <v>298</v>
      </c>
      <c r="I302" s="61">
        <f>I301*$G$5</f>
        <v/>
      </c>
      <c r="J302" s="61">
        <f>J301*$G$5</f>
        <v/>
      </c>
      <c r="K302" s="61">
        <f>K301*$G$5</f>
        <v/>
      </c>
      <c r="L302" s="0">
        <f>ROUND((I302/I$5-1)*100000, 0)</f>
        <v/>
      </c>
      <c r="N302" s="58" t="n">
        <v>298</v>
      </c>
      <c r="O302" s="61">
        <f>O301*$M$5</f>
        <v/>
      </c>
      <c r="P302" s="61">
        <f>P301*$M$5</f>
        <v/>
      </c>
      <c r="Q302" s="61">
        <f>Q301*$M$5</f>
        <v/>
      </c>
      <c r="R302" s="0">
        <f>ROUND((O302/O$5-1)*100000, 0)</f>
        <v/>
      </c>
      <c r="S302" s="0">
        <f>$O$5*(1+R302/100000)</f>
        <v/>
      </c>
    </row>
    <row r="303">
      <c r="B303" s="58" t="n">
        <v>299</v>
      </c>
      <c r="C303" s="61">
        <f>C302*$A$5</f>
        <v/>
      </c>
      <c r="D303" s="61">
        <f>D302*$A$5</f>
        <v/>
      </c>
      <c r="E303" s="61">
        <f>E302*$A$5</f>
        <v/>
      </c>
      <c r="F303" s="0">
        <f>ROUND((C303/C$5-1)*100000, 0)</f>
        <v/>
      </c>
      <c r="H303" s="58" t="n">
        <v>299</v>
      </c>
      <c r="I303" s="61">
        <f>I302*$G$5</f>
        <v/>
      </c>
      <c r="J303" s="61">
        <f>J302*$G$5</f>
        <v/>
      </c>
      <c r="K303" s="61">
        <f>K302*$G$5</f>
        <v/>
      </c>
      <c r="L303" s="0">
        <f>ROUND((I303/I$5-1)*100000, 0)</f>
        <v/>
      </c>
      <c r="N303" s="58" t="n">
        <v>299</v>
      </c>
      <c r="O303" s="61">
        <f>O302*$M$5</f>
        <v/>
      </c>
      <c r="P303" s="61">
        <f>P302*$M$5</f>
        <v/>
      </c>
      <c r="Q303" s="61">
        <f>Q302*$M$5</f>
        <v/>
      </c>
      <c r="R303" s="0">
        <f>ROUND((O303/O$5-1)*100000, 0)</f>
        <v/>
      </c>
      <c r="S303" s="0">
        <f>$O$5*(1+R303/100000)</f>
        <v/>
      </c>
    </row>
    <row r="304">
      <c r="B304" s="58" t="n">
        <v>300</v>
      </c>
      <c r="C304" s="61">
        <f>C303*$A$5</f>
        <v/>
      </c>
      <c r="D304" s="61">
        <f>D303*$A$5</f>
        <v/>
      </c>
      <c r="E304" s="61">
        <f>E303*$A$5</f>
        <v/>
      </c>
      <c r="F304" s="0">
        <f>ROUND((C304/C$5-1)*100000, 0)</f>
        <v/>
      </c>
      <c r="H304" s="58" t="n">
        <v>300</v>
      </c>
      <c r="I304" s="61">
        <f>I303*$G$5</f>
        <v/>
      </c>
      <c r="J304" s="61">
        <f>J303*$G$5</f>
        <v/>
      </c>
      <c r="K304" s="61">
        <f>K303*$G$5</f>
        <v/>
      </c>
      <c r="L304" s="0">
        <f>ROUND((I304/I$5-1)*100000, 0)</f>
        <v/>
      </c>
      <c r="N304" s="58" t="n">
        <v>300</v>
      </c>
      <c r="O304" s="61">
        <f>O303*$M$5</f>
        <v/>
      </c>
      <c r="P304" s="61">
        <f>P303*$M$5</f>
        <v/>
      </c>
      <c r="Q304" s="61">
        <f>Q303*$M$5</f>
        <v/>
      </c>
      <c r="R304" s="0">
        <f>ROUND((O304/O$5-1)*100000, 0)</f>
        <v/>
      </c>
      <c r="S304" s="0">
        <f>$O$5*(1+R304/100000)</f>
        <v/>
      </c>
    </row>
    <row r="305">
      <c r="S305" s="0">
        <f>$O$5*(1+R305/100000)</f>
        <v/>
      </c>
    </row>
    <row r="306">
      <c r="S306" s="0">
        <f>$O$5*(1+R306/100000)</f>
        <v/>
      </c>
    </row>
    <row r="307">
      <c r="S307" s="0">
        <f>$O$5*(1+R307/100000)</f>
        <v/>
      </c>
    </row>
    <row r="308">
      <c r="S308" s="0">
        <f>$O$5*(1+R308/100000)</f>
        <v/>
      </c>
    </row>
    <row r="309">
      <c r="S309" s="0">
        <f>$O$5*(1+R309/100000)</f>
        <v/>
      </c>
    </row>
    <row r="310">
      <c r="S310" s="0">
        <f>$O$5*(1+R310/100000)</f>
        <v/>
      </c>
    </row>
    <row r="311">
      <c r="S311" s="0">
        <f>$O$5*(1+R311/100000)</f>
        <v/>
      </c>
    </row>
    <row r="312">
      <c r="S312" s="0">
        <f>$O$5*(1+R312/100000)</f>
        <v/>
      </c>
    </row>
    <row r="313">
      <c r="S313" s="0">
        <f>$O$5*(1+R313/100000)</f>
        <v/>
      </c>
    </row>
    <row r="314">
      <c r="S314" s="0">
        <f>$O$5*(1+R314/100000)</f>
        <v/>
      </c>
    </row>
    <row r="315">
      <c r="S315" s="0">
        <f>$O$5*(1+R315/100000)</f>
        <v/>
      </c>
    </row>
    <row r="316">
      <c r="S316" s="0">
        <f>$O$5*(1+R316/100000)</f>
        <v/>
      </c>
    </row>
    <row r="317">
      <c r="S317" s="0">
        <f>$O$5*(1+R317/100000)</f>
        <v/>
      </c>
    </row>
    <row r="318">
      <c r="S318" s="0">
        <f>$O$5*(1+R318/100000)</f>
        <v/>
      </c>
    </row>
    <row r="319">
      <c r="S319" s="0">
        <f>$O$5*(1+R319/100000)</f>
        <v/>
      </c>
    </row>
    <row r="320">
      <c r="S320" s="0">
        <f>$O$5*(1+R320/100000)</f>
        <v/>
      </c>
    </row>
    <row r="321">
      <c r="S321" s="0">
        <f>$O$5*(1+R321/100000)</f>
        <v/>
      </c>
    </row>
    <row r="322">
      <c r="S322" s="0">
        <f>$O$5*(1+R322/100000)</f>
        <v/>
      </c>
    </row>
    <row r="323">
      <c r="S323" s="0">
        <f>$O$5*(1+R323/100000)</f>
        <v/>
      </c>
    </row>
    <row r="324">
      <c r="S324" s="0">
        <f>$O$5*(1+R324/100000)</f>
        <v/>
      </c>
    </row>
    <row r="325">
      <c r="S325" s="0">
        <f>$O$5*(1+R325/100000)</f>
        <v/>
      </c>
    </row>
    <row r="326">
      <c r="S326" s="0">
        <f>$O$5*(1+R326/100000)</f>
        <v/>
      </c>
    </row>
    <row r="327">
      <c r="S327" s="0">
        <f>$O$5*(1+R327/100000)</f>
        <v/>
      </c>
    </row>
    <row r="328">
      <c r="S328" s="0">
        <f>$O$5*(1+R328/100000)</f>
        <v/>
      </c>
    </row>
    <row r="329">
      <c r="S329" s="0">
        <f>$O$5*(1+R329/100000)</f>
        <v/>
      </c>
    </row>
    <row r="330">
      <c r="S330" s="0">
        <f>$O$5*(1+R330/100000)</f>
        <v/>
      </c>
    </row>
    <row r="331">
      <c r="S331" s="0">
        <f>$O$5*(1+R331/100000)</f>
        <v/>
      </c>
    </row>
    <row r="332">
      <c r="S332" s="0">
        <f>$O$5*(1+R332/100000)</f>
        <v/>
      </c>
    </row>
    <row r="333">
      <c r="S333" s="0">
        <f>$O$5*(1+R333/100000)</f>
        <v/>
      </c>
    </row>
    <row r="334">
      <c r="S334" s="0">
        <f>$O$5*(1+R334/100000)</f>
        <v/>
      </c>
    </row>
    <row r="335">
      <c r="S335" s="0">
        <f>$O$5*(1+R335/100000)</f>
        <v/>
      </c>
    </row>
    <row r="336">
      <c r="S336" s="0">
        <f>$O$5*(1+R336/100000)</f>
        <v/>
      </c>
    </row>
    <row r="337">
      <c r="S337" s="0">
        <f>$O$5*(1+R337/100000)</f>
        <v/>
      </c>
    </row>
    <row r="338">
      <c r="S338" s="0">
        <f>$O$5*(1+R338/100000)</f>
        <v/>
      </c>
    </row>
    <row r="339">
      <c r="S339" s="0">
        <f>$O$5*(1+R339/100000)</f>
        <v/>
      </c>
    </row>
    <row r="340">
      <c r="S340" s="0">
        <f>$O$5*(1+R340/100000)</f>
        <v/>
      </c>
    </row>
    <row r="341">
      <c r="S341" s="0">
        <f>$O$5*(1+R341/100000)</f>
        <v/>
      </c>
    </row>
    <row r="342">
      <c r="S342" s="0">
        <f>$O$5*(1+R342/100000)</f>
        <v/>
      </c>
    </row>
    <row r="343">
      <c r="S343" s="0">
        <f>$O$5*(1+R343/100000)</f>
        <v/>
      </c>
    </row>
    <row r="344">
      <c r="S344" s="0">
        <f>$O$5*(1+R344/100000)</f>
        <v/>
      </c>
    </row>
    <row r="345">
      <c r="S345" s="0">
        <f>$O$5*(1+R345/100000)</f>
        <v/>
      </c>
    </row>
    <row r="346">
      <c r="S346" s="0">
        <f>$O$5*(1+R346/100000)</f>
        <v/>
      </c>
    </row>
    <row r="347">
      <c r="S347" s="0">
        <f>$O$5*(1+R347/100000)</f>
        <v/>
      </c>
    </row>
    <row r="348">
      <c r="S348" s="0">
        <f>$O$5*(1+R348/100000)</f>
        <v/>
      </c>
    </row>
    <row r="349">
      <c r="S349" s="0">
        <f>$O$5*(1+R349/100000)</f>
        <v/>
      </c>
    </row>
    <row r="350">
      <c r="S350" s="0">
        <f>$O$5*(1+R350/100000)</f>
        <v/>
      </c>
    </row>
    <row r="351">
      <c r="S351" s="0">
        <f>$O$5*(1+R351/100000)</f>
        <v/>
      </c>
    </row>
    <row r="352">
      <c r="S352" s="0">
        <f>$O$5*(1+R352/100000)</f>
        <v/>
      </c>
    </row>
    <row r="353">
      <c r="S353" s="0">
        <f>$O$5*(1+R353/100000)</f>
        <v/>
      </c>
    </row>
    <row r="354">
      <c r="S354" s="0">
        <f>$O$5*(1+R354/100000)</f>
        <v/>
      </c>
    </row>
    <row r="355">
      <c r="S355" s="0">
        <f>$O$5*(1+R355/100000)</f>
        <v/>
      </c>
    </row>
    <row r="356">
      <c r="S356" s="0">
        <f>$O$5*(1+R356/100000)</f>
        <v/>
      </c>
    </row>
    <row r="357">
      <c r="S357" s="0">
        <f>$O$5*(1+R357/100000)</f>
        <v/>
      </c>
    </row>
    <row r="358">
      <c r="S358" s="0">
        <f>$O$5*(1+R358/100000)</f>
        <v/>
      </c>
    </row>
    <row r="359">
      <c r="S359" s="0">
        <f>$O$5*(1+R359/100000)</f>
        <v/>
      </c>
    </row>
    <row r="360">
      <c r="S360" s="0">
        <f>$O$5*(1+R360/100000)</f>
        <v/>
      </c>
    </row>
    <row r="361">
      <c r="S361" s="0">
        <f>$O$5*(1+R361/100000)</f>
        <v/>
      </c>
    </row>
    <row r="362">
      <c r="S362" s="0">
        <f>$O$5*(1+R362/100000)</f>
        <v/>
      </c>
    </row>
    <row r="363">
      <c r="S363" s="0">
        <f>$O$5*(1+R363/100000)</f>
        <v/>
      </c>
    </row>
    <row r="364">
      <c r="S364" s="0">
        <f>$O$5*(1+R364/100000)</f>
        <v/>
      </c>
    </row>
    <row r="365">
      <c r="S365" s="0">
        <f>$O$5*(1+R365/100000)</f>
        <v/>
      </c>
    </row>
    <row r="366">
      <c r="S366" s="0">
        <f>$O$5*(1+R366/100000)</f>
        <v/>
      </c>
    </row>
    <row r="367">
      <c r="S367" s="0">
        <f>$O$5*(1+R367/100000)</f>
        <v/>
      </c>
    </row>
    <row r="368">
      <c r="S368" s="0">
        <f>$O$5*(1+R368/100000)</f>
        <v/>
      </c>
    </row>
    <row r="369">
      <c r="S369" s="0">
        <f>$O$5*(1+R369/100000)</f>
        <v/>
      </c>
    </row>
    <row r="370">
      <c r="S370" s="0">
        <f>$O$5*(1+R370/100000)</f>
        <v/>
      </c>
    </row>
    <row r="371">
      <c r="S371" s="0">
        <f>$O$5*(1+R371/100000)</f>
        <v/>
      </c>
    </row>
    <row r="372">
      <c r="S372" s="0">
        <f>$O$5*(1+R372/100000)</f>
        <v/>
      </c>
    </row>
    <row r="373">
      <c r="S373" s="0">
        <f>$O$5*(1+R373/100000)</f>
        <v/>
      </c>
    </row>
    <row r="374">
      <c r="S374" s="0">
        <f>$O$5*(1+R374/100000)</f>
        <v/>
      </c>
    </row>
    <row r="375">
      <c r="S375" s="0">
        <f>$O$5*(1+R375/100000)</f>
        <v/>
      </c>
    </row>
    <row r="376">
      <c r="S376" s="0">
        <f>$O$5*(1+R376/100000)</f>
        <v/>
      </c>
    </row>
    <row r="377">
      <c r="S377" s="0">
        <f>$O$5*(1+R377/100000)</f>
        <v/>
      </c>
    </row>
    <row r="378">
      <c r="S378" s="0">
        <f>$O$5*(1+R378/100000)</f>
        <v/>
      </c>
    </row>
    <row r="379">
      <c r="S379" s="0">
        <f>$O$5*(1+R379/100000)</f>
        <v/>
      </c>
    </row>
    <row r="380">
      <c r="S380" s="0">
        <f>$O$5*(1+R380/100000)</f>
        <v/>
      </c>
    </row>
    <row r="381">
      <c r="S381" s="0">
        <f>$O$5*(1+R381/100000)</f>
        <v/>
      </c>
    </row>
    <row r="382">
      <c r="S382" s="0">
        <f>$O$5*(1+R382/100000)</f>
        <v/>
      </c>
    </row>
    <row r="383">
      <c r="S383" s="0">
        <f>$O$5*(1+R383/100000)</f>
        <v/>
      </c>
    </row>
    <row r="384">
      <c r="S384" s="0">
        <f>$O$5*(1+R384/100000)</f>
        <v/>
      </c>
    </row>
    <row r="385">
      <c r="S385" s="0">
        <f>$O$5*(1+R385/100000)</f>
        <v/>
      </c>
    </row>
    <row r="386">
      <c r="S386" s="0">
        <f>$O$5*(1+R386/100000)</f>
        <v/>
      </c>
    </row>
    <row r="387">
      <c r="S387" s="0">
        <f>$O$5*(1+R387/100000)</f>
        <v/>
      </c>
    </row>
    <row r="388">
      <c r="S388" s="0">
        <f>$O$5*(1+R388/100000)</f>
        <v/>
      </c>
    </row>
    <row r="389">
      <c r="S389" s="0">
        <f>$O$5*(1+R389/100000)</f>
        <v/>
      </c>
    </row>
    <row r="390">
      <c r="S390" s="0">
        <f>$O$5*(1+R390/100000)</f>
        <v/>
      </c>
    </row>
    <row r="391">
      <c r="S391" s="0">
        <f>$O$5*(1+R391/100000)</f>
        <v/>
      </c>
    </row>
    <row r="392">
      <c r="S392" s="0">
        <f>$O$5*(1+R392/100000)</f>
        <v/>
      </c>
    </row>
    <row r="393">
      <c r="S393" s="0">
        <f>$O$5*(1+R393/100000)</f>
        <v/>
      </c>
    </row>
    <row r="394">
      <c r="S394" s="0">
        <f>$O$5*(1+R394/100000)</f>
        <v/>
      </c>
    </row>
    <row r="395">
      <c r="S395" s="0">
        <f>$O$5*(1+R395/100000)</f>
        <v/>
      </c>
    </row>
    <row r="396">
      <c r="S396" s="0">
        <f>$O$5*(1+R396/100000)</f>
        <v/>
      </c>
    </row>
    <row r="397">
      <c r="S397" s="0">
        <f>$O$5*(1+R397/100000)</f>
        <v/>
      </c>
    </row>
    <row r="398">
      <c r="S398" s="0">
        <f>$O$5*(1+R398/100000)</f>
        <v/>
      </c>
    </row>
    <row r="399">
      <c r="S399" s="0">
        <f>$O$5*(1+R399/100000)</f>
        <v/>
      </c>
    </row>
    <row r="400">
      <c r="S400" s="0">
        <f>$O$5*(1+R400/100000)</f>
        <v/>
      </c>
    </row>
    <row r="401">
      <c r="S401" s="0">
        <f>$O$5*(1+R401/100000)</f>
        <v/>
      </c>
    </row>
    <row r="402">
      <c r="S402" s="0">
        <f>$O$5*(1+R402/100000)</f>
        <v/>
      </c>
    </row>
    <row r="403">
      <c r="S403" s="0">
        <f>$O$5*(1+R403/100000)</f>
        <v/>
      </c>
    </row>
    <row r="404">
      <c r="S404" s="0">
        <f>$O$5*(1+R404/100000)</f>
        <v/>
      </c>
    </row>
    <row r="405">
      <c r="S405" s="0">
        <f>$O$5*(1+R405/100000)</f>
        <v/>
      </c>
    </row>
    <row r="406">
      <c r="S406" s="0">
        <f>$O$5*(1+R406/100000)</f>
        <v/>
      </c>
    </row>
    <row r="407">
      <c r="S407" s="0">
        <f>$O$5*(1+R407/100000)</f>
        <v/>
      </c>
    </row>
    <row r="408">
      <c r="S408" s="0">
        <f>$O$5*(1+R408/100000)</f>
        <v/>
      </c>
    </row>
    <row r="409">
      <c r="S409" s="0">
        <f>$O$5*(1+R409/100000)</f>
        <v/>
      </c>
    </row>
    <row r="410">
      <c r="S410" s="0">
        <f>$O$5*(1+R410/100000)</f>
        <v/>
      </c>
    </row>
    <row r="411">
      <c r="S411" s="0">
        <f>$O$5*(1+R411/100000)</f>
        <v/>
      </c>
    </row>
    <row r="412">
      <c r="S412" s="0">
        <f>$O$5*(1+R412/100000)</f>
        <v/>
      </c>
    </row>
    <row r="413">
      <c r="S413" s="0">
        <f>$O$5*(1+R413/100000)</f>
        <v/>
      </c>
    </row>
    <row r="414">
      <c r="S414" s="0">
        <f>$O$5*(1+R414/100000)</f>
        <v/>
      </c>
    </row>
    <row r="415">
      <c r="S415" s="0">
        <f>$O$5*(1+R415/100000)</f>
        <v/>
      </c>
    </row>
    <row r="416">
      <c r="S416" s="0">
        <f>$O$5*(1+R416/100000)</f>
        <v/>
      </c>
    </row>
    <row r="417">
      <c r="S417" s="0">
        <f>$O$5*(1+R417/100000)</f>
        <v/>
      </c>
    </row>
    <row r="418">
      <c r="S418" s="0">
        <f>$O$5*(1+R418/100000)</f>
        <v/>
      </c>
    </row>
    <row r="419">
      <c r="S419" s="0">
        <f>$O$5*(1+R419/100000)</f>
        <v/>
      </c>
    </row>
    <row r="420">
      <c r="S420" s="0">
        <f>$O$5*(1+R420/100000)</f>
        <v/>
      </c>
    </row>
    <row r="421">
      <c r="S421" s="0">
        <f>$O$5*(1+R421/100000)</f>
        <v/>
      </c>
    </row>
    <row r="422">
      <c r="S422" s="0">
        <f>$O$5*(1+R422/100000)</f>
        <v/>
      </c>
    </row>
    <row r="423">
      <c r="S423" s="0">
        <f>$O$5*(1+R423/100000)</f>
        <v/>
      </c>
    </row>
    <row r="424">
      <c r="S424" s="0">
        <f>$O$5*(1+R424/100000)</f>
        <v/>
      </c>
    </row>
    <row r="425">
      <c r="S425" s="0">
        <f>$O$5*(1+R425/100000)</f>
        <v/>
      </c>
    </row>
    <row r="426">
      <c r="S426" s="0">
        <f>$O$5*(1+R426/100000)</f>
        <v/>
      </c>
    </row>
    <row r="427">
      <c r="S427" s="0">
        <f>$O$5*(1+R427/100000)</f>
        <v/>
      </c>
    </row>
    <row r="428">
      <c r="S428" s="0">
        <f>$O$5*(1+R428/100000)</f>
        <v/>
      </c>
    </row>
    <row r="429">
      <c r="S429" s="0">
        <f>$O$5*(1+R429/100000)</f>
        <v/>
      </c>
    </row>
    <row r="430">
      <c r="S430" s="0">
        <f>$O$5*(1+R430/100000)</f>
        <v/>
      </c>
    </row>
    <row r="431">
      <c r="S431" s="0">
        <f>$O$5*(1+R431/100000)</f>
        <v/>
      </c>
    </row>
    <row r="432">
      <c r="S432" s="0">
        <f>$O$5*(1+R432/100000)</f>
        <v/>
      </c>
    </row>
    <row r="433">
      <c r="S433" s="0">
        <f>$O$5*(1+R433/100000)</f>
        <v/>
      </c>
    </row>
    <row r="434">
      <c r="S434" s="0">
        <f>$O$5*(1+R434/100000)</f>
        <v/>
      </c>
    </row>
    <row r="435">
      <c r="S435" s="0">
        <f>$O$5*(1+R435/100000)</f>
        <v/>
      </c>
    </row>
    <row r="436">
      <c r="S436" s="0">
        <f>$O$5*(1+R436/100000)</f>
        <v/>
      </c>
    </row>
    <row r="437">
      <c r="S437" s="0">
        <f>$O$5*(1+R437/100000)</f>
        <v/>
      </c>
    </row>
    <row r="438">
      <c r="S438" s="0">
        <f>$O$5*(1+R438/100000)</f>
        <v/>
      </c>
    </row>
    <row r="439">
      <c r="S439" s="0">
        <f>$O$5*(1+R439/100000)</f>
        <v/>
      </c>
    </row>
    <row r="440">
      <c r="S440" s="0">
        <f>$O$5*(1+R440/100000)</f>
        <v/>
      </c>
    </row>
    <row r="441">
      <c r="S441" s="0">
        <f>$O$5*(1+R441/100000)</f>
        <v/>
      </c>
    </row>
    <row r="442">
      <c r="S442" s="0">
        <f>$O$5*(1+R442/100000)</f>
        <v/>
      </c>
    </row>
    <row r="443">
      <c r="S443" s="0">
        <f>$O$5*(1+R443/100000)</f>
        <v/>
      </c>
    </row>
    <row r="444">
      <c r="S444" s="0">
        <f>$O$5*(1+R444/100000)</f>
        <v/>
      </c>
    </row>
    <row r="445">
      <c r="S445" s="0">
        <f>$O$5*(1+R445/100000)</f>
        <v/>
      </c>
    </row>
    <row r="446">
      <c r="S446" s="0">
        <f>$O$5*(1+R446/100000)</f>
        <v/>
      </c>
    </row>
    <row r="447">
      <c r="S447" s="0">
        <f>$O$5*(1+R447/100000)</f>
        <v/>
      </c>
    </row>
    <row r="448">
      <c r="S448" s="0">
        <f>$O$5*(1+R448/100000)</f>
        <v/>
      </c>
    </row>
    <row r="449">
      <c r="S449" s="0">
        <f>$O$5*(1+R449/100000)</f>
        <v/>
      </c>
    </row>
    <row r="450">
      <c r="S450" s="0">
        <f>$O$5*(1+R450/100000)</f>
        <v/>
      </c>
    </row>
    <row r="451">
      <c r="S451" s="0">
        <f>$O$5*(1+R451/100000)</f>
        <v/>
      </c>
    </row>
    <row r="452">
      <c r="S452" s="0">
        <f>$O$5*(1+R452/100000)</f>
        <v/>
      </c>
    </row>
    <row r="453">
      <c r="S453" s="0">
        <f>$O$5*(1+R453/100000)</f>
        <v/>
      </c>
    </row>
    <row r="454">
      <c r="S454" s="0">
        <f>$O$5*(1+R454/100000)</f>
        <v/>
      </c>
    </row>
    <row r="455">
      <c r="S455" s="0">
        <f>$O$5*(1+R455/100000)</f>
        <v/>
      </c>
    </row>
    <row r="456">
      <c r="S456" s="0">
        <f>$O$5*(1+R456/100000)</f>
        <v/>
      </c>
    </row>
    <row r="457">
      <c r="S457" s="0">
        <f>$O$5*(1+R457/100000)</f>
        <v/>
      </c>
    </row>
    <row r="458">
      <c r="S458" s="0">
        <f>$O$5*(1+R458/100000)</f>
        <v/>
      </c>
    </row>
    <row r="459">
      <c r="S459" s="0">
        <f>$O$5*(1+R459/100000)</f>
        <v/>
      </c>
    </row>
    <row r="460">
      <c r="S460" s="0">
        <f>$O$5*(1+R460/100000)</f>
        <v/>
      </c>
    </row>
    <row r="461">
      <c r="S461" s="0">
        <f>$O$5*(1+R461/100000)</f>
        <v/>
      </c>
    </row>
    <row r="462">
      <c r="S462" s="0">
        <f>$O$5*(1+R462/100000)</f>
        <v/>
      </c>
    </row>
    <row r="463">
      <c r="S463" s="0">
        <f>$O$5*(1+R463/100000)</f>
        <v/>
      </c>
    </row>
    <row r="464">
      <c r="S464" s="0">
        <f>$O$5*(1+R464/100000)</f>
        <v/>
      </c>
    </row>
    <row r="465">
      <c r="S465" s="0">
        <f>$O$5*(1+R465/100000)</f>
        <v/>
      </c>
    </row>
    <row r="466">
      <c r="S466" s="0">
        <f>$O$5*(1+R466/100000)</f>
        <v/>
      </c>
    </row>
    <row r="467">
      <c r="S467" s="0">
        <f>$O$5*(1+R467/100000)</f>
        <v/>
      </c>
    </row>
    <row r="468">
      <c r="S468" s="0">
        <f>$O$5*(1+R468/100000)</f>
        <v/>
      </c>
    </row>
    <row r="469">
      <c r="S469" s="0">
        <f>$O$5*(1+R469/100000)</f>
        <v/>
      </c>
    </row>
    <row r="470">
      <c r="S470" s="0">
        <f>$O$5*(1+R470/100000)</f>
        <v/>
      </c>
    </row>
    <row r="471">
      <c r="S471" s="0">
        <f>$O$5*(1+R471/100000)</f>
        <v/>
      </c>
    </row>
    <row r="472">
      <c r="S472" s="0">
        <f>$O$5*(1+R472/100000)</f>
        <v/>
      </c>
    </row>
    <row r="473">
      <c r="S473" s="0">
        <f>$O$5*(1+R473/100000)</f>
        <v/>
      </c>
    </row>
    <row r="474">
      <c r="S474" s="0">
        <f>$O$5*(1+R474/100000)</f>
        <v/>
      </c>
    </row>
    <row r="475">
      <c r="S475" s="0">
        <f>$O$5*(1+R475/100000)</f>
        <v/>
      </c>
    </row>
    <row r="476">
      <c r="S476" s="0">
        <f>$O$5*(1+R476/100000)</f>
        <v/>
      </c>
    </row>
    <row r="477">
      <c r="S477" s="0">
        <f>$O$5*(1+R477/100000)</f>
        <v/>
      </c>
    </row>
    <row r="478">
      <c r="S478" s="0">
        <f>$O$5*(1+R478/100000)</f>
        <v/>
      </c>
    </row>
    <row r="479">
      <c r="S479" s="0">
        <f>$O$5*(1+R479/100000)</f>
        <v/>
      </c>
    </row>
    <row r="480">
      <c r="S480" s="0">
        <f>$O$5*(1+R480/100000)</f>
        <v/>
      </c>
    </row>
    <row r="481">
      <c r="S481" s="0">
        <f>$O$5*(1+R481/100000)</f>
        <v/>
      </c>
    </row>
    <row r="482">
      <c r="S482" s="0">
        <f>$O$5*(1+R482/100000)</f>
        <v/>
      </c>
    </row>
    <row r="483">
      <c r="S483" s="0">
        <f>$O$5*(1+R483/100000)</f>
        <v/>
      </c>
    </row>
    <row r="484">
      <c r="S484" s="0">
        <f>$O$5*(1+R484/100000)</f>
        <v/>
      </c>
    </row>
    <row r="485">
      <c r="S485" s="0">
        <f>$O$5*(1+R485/100000)</f>
        <v/>
      </c>
    </row>
    <row r="486">
      <c r="S486" s="0">
        <f>$O$5*(1+R486/100000)</f>
        <v/>
      </c>
    </row>
    <row r="487">
      <c r="S487" s="0">
        <f>$O$5*(1+R487/100000)</f>
        <v/>
      </c>
    </row>
    <row r="488">
      <c r="S488" s="0">
        <f>$O$5*(1+R488/100000)</f>
        <v/>
      </c>
    </row>
    <row r="489">
      <c r="S489" s="0">
        <f>$O$5*(1+R489/100000)</f>
        <v/>
      </c>
    </row>
    <row r="490">
      <c r="S490" s="0">
        <f>$O$5*(1+R490/100000)</f>
        <v/>
      </c>
    </row>
    <row r="491">
      <c r="S491" s="0">
        <f>$O$5*(1+R491/100000)</f>
        <v/>
      </c>
    </row>
    <row r="492">
      <c r="S492" s="0">
        <f>$O$5*(1+R492/100000)</f>
        <v/>
      </c>
    </row>
    <row r="493">
      <c r="S493" s="0">
        <f>$O$5*(1+R493/100000)</f>
        <v/>
      </c>
    </row>
    <row r="494">
      <c r="S494" s="0">
        <f>$O$5*(1+R494/100000)</f>
        <v/>
      </c>
    </row>
    <row r="495">
      <c r="S495" s="0">
        <f>$O$5*(1+R495/100000)</f>
        <v/>
      </c>
    </row>
    <row r="496">
      <c r="S496" s="0">
        <f>$O$5*(1+R496/100000)</f>
        <v/>
      </c>
    </row>
    <row r="497">
      <c r="S497" s="0">
        <f>$O$5*(1+R497/100000)</f>
        <v/>
      </c>
    </row>
    <row r="498">
      <c r="S498" s="0">
        <f>$O$5*(1+R498/100000)</f>
        <v/>
      </c>
    </row>
    <row r="499">
      <c r="S499" s="0">
        <f>$O$5*(1+R499/100000)</f>
        <v/>
      </c>
    </row>
    <row r="500">
      <c r="S500" s="0">
        <f>$O$5*(1+R500/100000)</f>
        <v/>
      </c>
    </row>
    <row r="501">
      <c r="S501" s="0">
        <f>$O$5*(1+R501/100000)</f>
        <v/>
      </c>
    </row>
    <row r="502">
      <c r="S502" s="0">
        <f>$O$5*(1+R502/100000)</f>
        <v/>
      </c>
    </row>
    <row r="503">
      <c r="S503" s="0">
        <f>$O$5*(1+R503/100000)</f>
        <v/>
      </c>
    </row>
    <row r="504">
      <c r="S504" s="0">
        <f>$O$5*(1+R504/100000)</f>
        <v/>
      </c>
    </row>
    <row r="505">
      <c r="S505" s="0">
        <f>$O$5*(1+R505/100000)</f>
        <v/>
      </c>
    </row>
    <row r="506">
      <c r="S506" s="0">
        <f>$O$5*(1+R506/100000)</f>
        <v/>
      </c>
    </row>
    <row r="507">
      <c r="S507" s="0">
        <f>$O$5*(1+R507/100000)</f>
        <v/>
      </c>
    </row>
    <row r="508">
      <c r="S508" s="0">
        <f>$O$5*(1+R508/100000)</f>
        <v/>
      </c>
    </row>
    <row r="509">
      <c r="S509" s="0">
        <f>$O$5*(1+R509/100000)</f>
        <v/>
      </c>
    </row>
    <row r="510">
      <c r="S510" s="0">
        <f>$O$5*(1+R510/100000)</f>
        <v/>
      </c>
    </row>
    <row r="511">
      <c r="S511" s="0">
        <f>$O$5*(1+R511/100000)</f>
        <v/>
      </c>
    </row>
    <row r="512">
      <c r="S512" s="0">
        <f>$O$5*(1+R512/100000)</f>
        <v/>
      </c>
    </row>
    <row r="513">
      <c r="S513" s="0">
        <f>$O$5*(1+R513/100000)</f>
        <v/>
      </c>
    </row>
    <row r="514">
      <c r="S514" s="0">
        <f>$O$5*(1+R514/100000)</f>
        <v/>
      </c>
    </row>
    <row r="515">
      <c r="S515" s="0">
        <f>$O$5*(1+R515/100000)</f>
        <v/>
      </c>
    </row>
    <row r="516">
      <c r="S516" s="0">
        <f>$O$5*(1+R516/100000)</f>
        <v/>
      </c>
    </row>
    <row r="517">
      <c r="S517" s="0">
        <f>$O$5*(1+R517/100000)</f>
        <v/>
      </c>
    </row>
    <row r="518">
      <c r="S518" s="0">
        <f>$O$5*(1+R518/100000)</f>
        <v/>
      </c>
    </row>
    <row r="519">
      <c r="S519" s="0">
        <f>$O$5*(1+R519/100000)</f>
        <v/>
      </c>
    </row>
    <row r="520">
      <c r="S520" s="0">
        <f>$O$5*(1+R520/100000)</f>
        <v/>
      </c>
    </row>
    <row r="521">
      <c r="S521" s="0">
        <f>$O$5*(1+R521/100000)</f>
        <v/>
      </c>
    </row>
    <row r="522">
      <c r="S522" s="0">
        <f>$O$5*(1+R522/100000)</f>
        <v/>
      </c>
    </row>
    <row r="523">
      <c r="S523" s="0">
        <f>$O$5*(1+R523/100000)</f>
        <v/>
      </c>
    </row>
    <row r="524">
      <c r="S524" s="0">
        <f>$O$5*(1+R524/100000)</f>
        <v/>
      </c>
    </row>
    <row r="525">
      <c r="S525" s="0">
        <f>$O$5*(1+R525/100000)</f>
        <v/>
      </c>
    </row>
    <row r="526">
      <c r="S526" s="0">
        <f>$O$5*(1+R526/100000)</f>
        <v/>
      </c>
    </row>
    <row r="527">
      <c r="S527" s="0">
        <f>$O$5*(1+R527/100000)</f>
        <v/>
      </c>
    </row>
    <row r="528">
      <c r="S528" s="0">
        <f>$O$5*(1+R528/100000)</f>
        <v/>
      </c>
    </row>
    <row r="529">
      <c r="S529" s="0">
        <f>$O$5*(1+R529/100000)</f>
        <v/>
      </c>
    </row>
    <row r="530">
      <c r="S530" s="0">
        <f>$O$5*(1+R530/100000)</f>
        <v/>
      </c>
    </row>
    <row r="531">
      <c r="S531" s="0">
        <f>$O$5*(1+R531/100000)</f>
        <v/>
      </c>
    </row>
    <row r="532">
      <c r="S532" s="0">
        <f>$O$5*(1+R532/100000)</f>
        <v/>
      </c>
    </row>
    <row r="533">
      <c r="S533" s="0">
        <f>$O$5*(1+R533/100000)</f>
        <v/>
      </c>
    </row>
    <row r="534">
      <c r="S534" s="0">
        <f>$O$5*(1+R534/100000)</f>
        <v/>
      </c>
    </row>
    <row r="535">
      <c r="S535" s="0">
        <f>$O$5*(1+R535/100000)</f>
        <v/>
      </c>
    </row>
    <row r="536">
      <c r="S536" s="0">
        <f>$O$5*(1+R536/100000)</f>
        <v/>
      </c>
    </row>
    <row r="537">
      <c r="S537" s="0">
        <f>$O$5*(1+R537/100000)</f>
        <v/>
      </c>
    </row>
    <row r="538">
      <c r="S538" s="0">
        <f>$O$5*(1+R538/100000)</f>
        <v/>
      </c>
    </row>
    <row r="539">
      <c r="S539" s="0">
        <f>$O$5*(1+R539/100000)</f>
        <v/>
      </c>
    </row>
    <row r="540">
      <c r="S540" s="0">
        <f>$O$5*(1+R540/100000)</f>
        <v/>
      </c>
    </row>
    <row r="541">
      <c r="S541" s="0">
        <f>$O$5*(1+R541/100000)</f>
        <v/>
      </c>
    </row>
    <row r="542">
      <c r="S542" s="0">
        <f>$O$5*(1+R542/100000)</f>
        <v/>
      </c>
    </row>
    <row r="543">
      <c r="S543" s="0">
        <f>$O$5*(1+R543/100000)</f>
        <v/>
      </c>
    </row>
    <row r="544">
      <c r="S544" s="0">
        <f>$O$5*(1+R544/100000)</f>
        <v/>
      </c>
    </row>
    <row r="545">
      <c r="S545" s="0">
        <f>$O$5*(1+R545/100000)</f>
        <v/>
      </c>
    </row>
    <row r="546">
      <c r="S546" s="0">
        <f>$O$5*(1+R546/100000)</f>
        <v/>
      </c>
    </row>
    <row r="547">
      <c r="S547" s="0">
        <f>$O$5*(1+R547/100000)</f>
        <v/>
      </c>
    </row>
    <row r="548">
      <c r="S548" s="0">
        <f>$O$5*(1+R548/100000)</f>
        <v/>
      </c>
    </row>
    <row r="549">
      <c r="S549" s="0">
        <f>$O$5*(1+R549/100000)</f>
        <v/>
      </c>
    </row>
    <row r="550">
      <c r="S550" s="0">
        <f>$O$5*(1+R550/100000)</f>
        <v/>
      </c>
    </row>
    <row r="551">
      <c r="S551" s="0">
        <f>$O$5*(1+R551/100000)</f>
        <v/>
      </c>
    </row>
    <row r="552">
      <c r="S552" s="0">
        <f>$O$5*(1+R552/100000)</f>
        <v/>
      </c>
    </row>
    <row r="553">
      <c r="S553" s="0">
        <f>$O$5*(1+R553/100000)</f>
        <v/>
      </c>
    </row>
    <row r="554">
      <c r="S554" s="0">
        <f>$O$5*(1+R554/100000)</f>
        <v/>
      </c>
    </row>
    <row r="555">
      <c r="S555" s="0">
        <f>$O$5*(1+R555/100000)</f>
        <v/>
      </c>
    </row>
    <row r="556">
      <c r="S556" s="0">
        <f>$O$5*(1+R556/100000)</f>
        <v/>
      </c>
    </row>
    <row r="557">
      <c r="S557" s="0">
        <f>$O$5*(1+R557/100000)</f>
        <v/>
      </c>
    </row>
    <row r="558">
      <c r="S558" s="0">
        <f>$O$5*(1+R558/100000)</f>
        <v/>
      </c>
    </row>
    <row r="559">
      <c r="S559" s="0">
        <f>$O$5*(1+R559/100000)</f>
        <v/>
      </c>
    </row>
    <row r="560">
      <c r="S560" s="0">
        <f>$O$5*(1+R560/100000)</f>
        <v/>
      </c>
    </row>
    <row r="561">
      <c r="S561" s="0">
        <f>$O$5*(1+R561/100000)</f>
        <v/>
      </c>
    </row>
    <row r="562">
      <c r="S562" s="0">
        <f>$O$5*(1+R562/100000)</f>
        <v/>
      </c>
    </row>
    <row r="563">
      <c r="S563" s="0">
        <f>$O$5*(1+R563/100000)</f>
        <v/>
      </c>
    </row>
    <row r="564">
      <c r="S564" s="0">
        <f>$O$5*(1+R564/100000)</f>
        <v/>
      </c>
    </row>
    <row r="565">
      <c r="S565" s="0">
        <f>$O$5*(1+R565/100000)</f>
        <v/>
      </c>
    </row>
    <row r="566">
      <c r="S566" s="0">
        <f>$O$5*(1+R566/100000)</f>
        <v/>
      </c>
    </row>
    <row r="567">
      <c r="S567" s="0">
        <f>$O$5*(1+R567/100000)</f>
        <v/>
      </c>
    </row>
    <row r="568">
      <c r="S568" s="0">
        <f>$O$5*(1+R568/100000)</f>
        <v/>
      </c>
    </row>
    <row r="569">
      <c r="S569" s="0">
        <f>$O$5*(1+R569/100000)</f>
        <v/>
      </c>
    </row>
    <row r="570">
      <c r="S570" s="0">
        <f>$O$5*(1+R570/100000)</f>
        <v/>
      </c>
    </row>
    <row r="571">
      <c r="S571" s="0">
        <f>$O$5*(1+R571/100000)</f>
        <v/>
      </c>
    </row>
    <row r="572">
      <c r="S572" s="0">
        <f>$O$5*(1+R572/100000)</f>
        <v/>
      </c>
    </row>
    <row r="573">
      <c r="S573" s="0">
        <f>$O$5*(1+R573/100000)</f>
        <v/>
      </c>
    </row>
    <row r="574">
      <c r="S574" s="0">
        <f>$O$5*(1+R574/100000)</f>
        <v/>
      </c>
    </row>
    <row r="575">
      <c r="S575" s="0">
        <f>$O$5*(1+R575/100000)</f>
        <v/>
      </c>
    </row>
    <row r="576">
      <c r="S576" s="0">
        <f>$O$5*(1+R576/100000)</f>
        <v/>
      </c>
    </row>
    <row r="577">
      <c r="S577" s="0">
        <f>$O$5*(1+R577/100000)</f>
        <v/>
      </c>
    </row>
    <row r="578">
      <c r="S578" s="0">
        <f>$O$5*(1+R578/100000)</f>
        <v/>
      </c>
    </row>
    <row r="579">
      <c r="S579" s="0">
        <f>$O$5*(1+R579/100000)</f>
        <v/>
      </c>
    </row>
    <row r="580">
      <c r="S580" s="0">
        <f>$O$5*(1+R580/100000)</f>
        <v/>
      </c>
    </row>
    <row r="581">
      <c r="S581" s="0">
        <f>$O$5*(1+R581/100000)</f>
        <v/>
      </c>
    </row>
    <row r="582">
      <c r="S582" s="0">
        <f>$O$5*(1+R582/100000)</f>
        <v/>
      </c>
    </row>
    <row r="583">
      <c r="S583" s="0">
        <f>$O$5*(1+R583/100000)</f>
        <v/>
      </c>
    </row>
    <row r="584">
      <c r="S584" s="0">
        <f>$O$5*(1+R584/100000)</f>
        <v/>
      </c>
    </row>
    <row r="585">
      <c r="S585" s="0">
        <f>$O$5*(1+R585/100000)</f>
        <v/>
      </c>
    </row>
    <row r="586">
      <c r="S586" s="0">
        <f>$O$5*(1+R586/100000)</f>
        <v/>
      </c>
    </row>
    <row r="587">
      <c r="S587" s="0">
        <f>$O$5*(1+R587/100000)</f>
        <v/>
      </c>
    </row>
    <row r="588">
      <c r="S588" s="0">
        <f>$O$5*(1+R588/100000)</f>
        <v/>
      </c>
    </row>
    <row r="589">
      <c r="S589" s="0">
        <f>$O$5*(1+R589/100000)</f>
        <v/>
      </c>
    </row>
    <row r="590">
      <c r="S590" s="0">
        <f>$O$5*(1+R590/100000)</f>
        <v/>
      </c>
    </row>
    <row r="591">
      <c r="S591" s="0">
        <f>$O$5*(1+R591/100000)</f>
        <v/>
      </c>
    </row>
    <row r="592">
      <c r="S592" s="0">
        <f>$O$5*(1+R592/100000)</f>
        <v/>
      </c>
    </row>
    <row r="593">
      <c r="S593" s="0">
        <f>$O$5*(1+R593/100000)</f>
        <v/>
      </c>
    </row>
    <row r="594">
      <c r="S594" s="0">
        <f>$O$5*(1+R594/100000)</f>
        <v/>
      </c>
    </row>
    <row r="595">
      <c r="S595" s="0">
        <f>$O$5*(1+R595/100000)</f>
        <v/>
      </c>
    </row>
    <row r="596">
      <c r="S596" s="0">
        <f>$O$5*(1+R596/100000)</f>
        <v/>
      </c>
    </row>
    <row r="597">
      <c r="S597" s="0">
        <f>$O$5*(1+R597/100000)</f>
        <v/>
      </c>
    </row>
    <row r="598">
      <c r="S598" s="0">
        <f>$O$5*(1+R598/100000)</f>
        <v/>
      </c>
    </row>
    <row r="599">
      <c r="S599" s="0">
        <f>$O$5*(1+R599/100000)</f>
        <v/>
      </c>
    </row>
    <row r="600">
      <c r="S600" s="0">
        <f>$O$5*(1+R600/100000)</f>
        <v/>
      </c>
    </row>
    <row r="601">
      <c r="S601" s="0">
        <f>$O$5*(1+R601/100000)</f>
        <v/>
      </c>
    </row>
    <row r="602">
      <c r="S602" s="0">
        <f>$O$5*(1+R602/100000)</f>
        <v/>
      </c>
    </row>
    <row r="603">
      <c r="S603" s="0">
        <f>$O$5*(1+R603/100000)</f>
        <v/>
      </c>
    </row>
    <row r="604">
      <c r="S604" s="0">
        <f>$O$5*(1+R604/100000)</f>
        <v/>
      </c>
    </row>
    <row r="605">
      <c r="S605" s="0">
        <f>$O$5*(1+R605/100000)</f>
        <v/>
      </c>
    </row>
    <row r="606">
      <c r="S606" s="0">
        <f>$O$5*(1+R606/100000)</f>
        <v/>
      </c>
    </row>
    <row r="607">
      <c r="S607" s="0">
        <f>$O$5*(1+R607/100000)</f>
        <v/>
      </c>
    </row>
    <row r="608">
      <c r="S608" s="0">
        <f>$O$5*(1+R608/100000)</f>
        <v/>
      </c>
    </row>
    <row r="609">
      <c r="S609" s="0">
        <f>$O$5*(1+R609/100000)</f>
        <v/>
      </c>
    </row>
    <row r="610">
      <c r="S610" s="0">
        <f>$O$5*(1+R610/100000)</f>
        <v/>
      </c>
    </row>
    <row r="611">
      <c r="S611" s="0">
        <f>$O$5*(1+R611/100000)</f>
        <v/>
      </c>
    </row>
    <row r="612">
      <c r="S612" s="0">
        <f>$O$5*(1+R612/100000)</f>
        <v/>
      </c>
    </row>
    <row r="613">
      <c r="S613" s="0">
        <f>$O$5*(1+R613/100000)</f>
        <v/>
      </c>
    </row>
    <row r="614">
      <c r="S614" s="0">
        <f>$O$5*(1+R614/100000)</f>
        <v/>
      </c>
    </row>
    <row r="615">
      <c r="S615" s="0">
        <f>$O$5*(1+R615/100000)</f>
        <v/>
      </c>
    </row>
    <row r="616">
      <c r="S616" s="0">
        <f>$O$5*(1+R616/100000)</f>
        <v/>
      </c>
    </row>
    <row r="617">
      <c r="S617" s="0">
        <f>$O$5*(1+R617/100000)</f>
        <v/>
      </c>
    </row>
    <row r="618">
      <c r="S618" s="0">
        <f>$O$5*(1+R618/100000)</f>
        <v/>
      </c>
    </row>
    <row r="619">
      <c r="S619" s="0">
        <f>$O$5*(1+R619/100000)</f>
        <v/>
      </c>
    </row>
    <row r="620">
      <c r="S620" s="0">
        <f>$O$5*(1+R620/100000)</f>
        <v/>
      </c>
    </row>
    <row r="621">
      <c r="S621" s="0">
        <f>$O$5*(1+R621/100000)</f>
        <v/>
      </c>
    </row>
    <row r="622">
      <c r="S622" s="0">
        <f>$O$5*(1+R622/100000)</f>
        <v/>
      </c>
    </row>
    <row r="623">
      <c r="S623" s="0">
        <f>$O$5*(1+R623/100000)</f>
        <v/>
      </c>
    </row>
    <row r="624">
      <c r="S624" s="0">
        <f>$O$5*(1+R624/100000)</f>
        <v/>
      </c>
    </row>
    <row r="625">
      <c r="S625" s="0">
        <f>$O$5*(1+R625/100000)</f>
        <v/>
      </c>
    </row>
    <row r="626">
      <c r="S626" s="0">
        <f>$O$5*(1+R626/100000)</f>
        <v/>
      </c>
    </row>
    <row r="627">
      <c r="S627" s="0">
        <f>$O$5*(1+R627/100000)</f>
        <v/>
      </c>
    </row>
    <row r="628">
      <c r="S628" s="0">
        <f>$O$5*(1+R628/100000)</f>
        <v/>
      </c>
    </row>
    <row r="629">
      <c r="S629" s="0">
        <f>$O$5*(1+R629/100000)</f>
        <v/>
      </c>
    </row>
    <row r="630">
      <c r="S630" s="0">
        <f>$O$5*(1+R630/100000)</f>
        <v/>
      </c>
    </row>
    <row r="631">
      <c r="S631" s="0">
        <f>$O$5*(1+R631/100000)</f>
        <v/>
      </c>
    </row>
    <row r="632">
      <c r="S632" s="0">
        <f>$O$5*(1+R632/100000)</f>
        <v/>
      </c>
    </row>
    <row r="633">
      <c r="S633" s="0">
        <f>$O$5*(1+R633/100000)</f>
        <v/>
      </c>
    </row>
    <row r="634">
      <c r="S634" s="0">
        <f>$O$5*(1+R634/100000)</f>
        <v/>
      </c>
    </row>
    <row r="635">
      <c r="S635" s="0">
        <f>$O$5*(1+R635/100000)</f>
        <v/>
      </c>
    </row>
    <row r="636">
      <c r="S636" s="0">
        <f>$O$5*(1+R636/100000)</f>
        <v/>
      </c>
    </row>
    <row r="637">
      <c r="S637" s="0">
        <f>$O$5*(1+R637/100000)</f>
        <v/>
      </c>
    </row>
    <row r="638">
      <c r="S638" s="0">
        <f>$O$5*(1+R638/100000)</f>
        <v/>
      </c>
    </row>
    <row r="639">
      <c r="S639" s="0">
        <f>$O$5*(1+R639/100000)</f>
        <v/>
      </c>
    </row>
    <row r="640">
      <c r="S640" s="0">
        <f>$O$5*(1+R640/100000)</f>
        <v/>
      </c>
    </row>
    <row r="641">
      <c r="S641" s="0">
        <f>$O$5*(1+R641/100000)</f>
        <v/>
      </c>
    </row>
    <row r="642">
      <c r="S642" s="0">
        <f>$O$5*(1+R642/100000)</f>
        <v/>
      </c>
    </row>
    <row r="643">
      <c r="S643" s="0">
        <f>$O$5*(1+R643/100000)</f>
        <v/>
      </c>
    </row>
    <row r="644">
      <c r="S644" s="0">
        <f>$O$5*(1+R644/100000)</f>
        <v/>
      </c>
    </row>
    <row r="645">
      <c r="S645" s="0">
        <f>$O$5*(1+R645/100000)</f>
        <v/>
      </c>
    </row>
    <row r="646">
      <c r="S646" s="0">
        <f>$O$5*(1+R646/100000)</f>
        <v/>
      </c>
    </row>
    <row r="647">
      <c r="S647" s="0">
        <f>$O$5*(1+R647/100000)</f>
        <v/>
      </c>
    </row>
    <row r="648">
      <c r="S648" s="0">
        <f>$O$5*(1+R648/100000)</f>
        <v/>
      </c>
    </row>
    <row r="649">
      <c r="S649" s="0">
        <f>$O$5*(1+R649/100000)</f>
        <v/>
      </c>
    </row>
    <row r="650">
      <c r="S650" s="0">
        <f>$O$5*(1+R650/100000)</f>
        <v/>
      </c>
    </row>
    <row r="651">
      <c r="S651" s="0">
        <f>$O$5*(1+R651/100000)</f>
        <v/>
      </c>
    </row>
    <row r="652">
      <c r="S652" s="0">
        <f>$O$5*(1+R652/100000)</f>
        <v/>
      </c>
    </row>
    <row r="653">
      <c r="S653" s="0">
        <f>$O$5*(1+R653/100000)</f>
        <v/>
      </c>
    </row>
    <row r="654">
      <c r="S654" s="0">
        <f>$O$5*(1+R654/100000)</f>
        <v/>
      </c>
    </row>
    <row r="655">
      <c r="S655" s="0">
        <f>$O$5*(1+R655/100000)</f>
        <v/>
      </c>
    </row>
    <row r="656">
      <c r="S656" s="0">
        <f>$O$5*(1+R656/100000)</f>
        <v/>
      </c>
    </row>
    <row r="657">
      <c r="S657" s="0">
        <f>$O$5*(1+R657/100000)</f>
        <v/>
      </c>
    </row>
    <row r="658">
      <c r="S658" s="0">
        <f>$O$5*(1+R658/100000)</f>
        <v/>
      </c>
    </row>
    <row r="659">
      <c r="S659" s="0">
        <f>$O$5*(1+R659/100000)</f>
        <v/>
      </c>
    </row>
    <row r="660">
      <c r="S660" s="0">
        <f>$O$5*(1+R660/100000)</f>
        <v/>
      </c>
    </row>
    <row r="661">
      <c r="S661" s="0">
        <f>$O$5*(1+R661/100000)</f>
        <v/>
      </c>
    </row>
    <row r="662">
      <c r="S662" s="0">
        <f>$O$5*(1+R662/100000)</f>
        <v/>
      </c>
    </row>
    <row r="663">
      <c r="S663" s="0">
        <f>$O$5*(1+R663/100000)</f>
        <v/>
      </c>
    </row>
    <row r="664">
      <c r="S664" s="0">
        <f>$O$5*(1+R664/100000)</f>
        <v/>
      </c>
    </row>
    <row r="665">
      <c r="S665" s="0">
        <f>$O$5*(1+R665/100000)</f>
        <v/>
      </c>
    </row>
    <row r="666">
      <c r="S666" s="0">
        <f>$O$5*(1+R666/100000)</f>
        <v/>
      </c>
    </row>
    <row r="667">
      <c r="S667" s="0">
        <f>$O$5*(1+R667/100000)</f>
        <v/>
      </c>
    </row>
    <row r="668">
      <c r="S668" s="0">
        <f>$O$5*(1+R668/100000)</f>
        <v/>
      </c>
    </row>
    <row r="669">
      <c r="S669" s="0">
        <f>$O$5*(1+R669/100000)</f>
        <v/>
      </c>
    </row>
    <row r="670">
      <c r="S670" s="0">
        <f>$O$5*(1+R670/100000)</f>
        <v/>
      </c>
    </row>
    <row r="671">
      <c r="S671" s="0">
        <f>$O$5*(1+R671/100000)</f>
        <v/>
      </c>
    </row>
    <row r="672">
      <c r="S672" s="0">
        <f>$O$5*(1+R672/100000)</f>
        <v/>
      </c>
    </row>
    <row r="673">
      <c r="S673" s="0">
        <f>$O$5*(1+R673/100000)</f>
        <v/>
      </c>
    </row>
    <row r="674">
      <c r="S674" s="0">
        <f>$O$5*(1+R674/100000)</f>
        <v/>
      </c>
    </row>
    <row r="675">
      <c r="S675" s="0">
        <f>$O$5*(1+R675/100000)</f>
        <v/>
      </c>
    </row>
    <row r="676">
      <c r="S676" s="0">
        <f>$O$5*(1+R676/100000)</f>
        <v/>
      </c>
    </row>
    <row r="677">
      <c r="S677" s="0">
        <f>$O$5*(1+R677/100000)</f>
        <v/>
      </c>
    </row>
    <row r="678">
      <c r="S678" s="0">
        <f>$O$5*(1+R678/100000)</f>
        <v/>
      </c>
    </row>
    <row r="679">
      <c r="S679" s="0">
        <f>$O$5*(1+R679/100000)</f>
        <v/>
      </c>
    </row>
    <row r="680">
      <c r="S680" s="0">
        <f>$O$5*(1+R680/100000)</f>
        <v/>
      </c>
    </row>
    <row r="681">
      <c r="S681" s="0">
        <f>$O$5*(1+R681/100000)</f>
        <v/>
      </c>
    </row>
    <row r="682">
      <c r="S682" s="0">
        <f>$O$5*(1+R682/100000)</f>
        <v/>
      </c>
    </row>
    <row r="683">
      <c r="S683" s="0">
        <f>$O$5*(1+R683/100000)</f>
        <v/>
      </c>
    </row>
    <row r="684">
      <c r="S684" s="0">
        <f>$O$5*(1+R684/100000)</f>
        <v/>
      </c>
    </row>
    <row r="685">
      <c r="S685" s="0">
        <f>$O$5*(1+R685/100000)</f>
        <v/>
      </c>
    </row>
    <row r="686">
      <c r="S686" s="0">
        <f>$O$5*(1+R686/100000)</f>
        <v/>
      </c>
    </row>
    <row r="687">
      <c r="S687" s="0">
        <f>$O$5*(1+R687/100000)</f>
        <v/>
      </c>
    </row>
    <row r="688">
      <c r="S688" s="0">
        <f>$O$5*(1+R688/100000)</f>
        <v/>
      </c>
    </row>
    <row r="689">
      <c r="S689" s="0">
        <f>$O$5*(1+R689/100000)</f>
        <v/>
      </c>
    </row>
    <row r="690">
      <c r="S690" s="0">
        <f>$O$5*(1+R690/100000)</f>
        <v/>
      </c>
    </row>
    <row r="691">
      <c r="S691" s="0">
        <f>$O$5*(1+R691/100000)</f>
        <v/>
      </c>
    </row>
    <row r="692">
      <c r="S692" s="0">
        <f>$O$5*(1+R692/100000)</f>
        <v/>
      </c>
    </row>
    <row r="693">
      <c r="S693" s="0">
        <f>$O$5*(1+R693/100000)</f>
        <v/>
      </c>
    </row>
    <row r="694">
      <c r="S694" s="0">
        <f>$O$5*(1+R694/100000)</f>
        <v/>
      </c>
    </row>
    <row r="695">
      <c r="S695" s="0">
        <f>$O$5*(1+R695/100000)</f>
        <v/>
      </c>
    </row>
    <row r="696">
      <c r="S696" s="0">
        <f>$O$5*(1+R696/100000)</f>
        <v/>
      </c>
    </row>
    <row r="697">
      <c r="S697" s="0">
        <f>$O$5*(1+R697/100000)</f>
        <v/>
      </c>
    </row>
    <row r="698">
      <c r="S698" s="0">
        <f>$O$5*(1+R698/100000)</f>
        <v/>
      </c>
    </row>
    <row r="699">
      <c r="S699" s="0">
        <f>$O$5*(1+R699/100000)</f>
        <v/>
      </c>
    </row>
    <row r="700">
      <c r="S700" s="0">
        <f>$O$5*(1+R700/100000)</f>
        <v/>
      </c>
    </row>
    <row r="701">
      <c r="S701" s="0">
        <f>$O$5*(1+R701/100000)</f>
        <v/>
      </c>
    </row>
    <row r="702">
      <c r="S702" s="0">
        <f>$O$5*(1+R702/100000)</f>
        <v/>
      </c>
    </row>
    <row r="703">
      <c r="S703" s="0">
        <f>$O$5*(1+R703/100000)</f>
        <v/>
      </c>
    </row>
    <row r="704">
      <c r="S704" s="0">
        <f>$O$5*(1+R704/100000)</f>
        <v/>
      </c>
    </row>
    <row r="705">
      <c r="S705" s="0">
        <f>$O$5*(1+R705/100000)</f>
        <v/>
      </c>
    </row>
    <row r="706">
      <c r="S706" s="0">
        <f>$O$5*(1+R706/100000)</f>
        <v/>
      </c>
    </row>
    <row r="707">
      <c r="S707" s="0">
        <f>$O$5*(1+R707/100000)</f>
        <v/>
      </c>
    </row>
    <row r="708">
      <c r="S708" s="0">
        <f>$O$5*(1+R708/100000)</f>
        <v/>
      </c>
    </row>
    <row r="709">
      <c r="S709" s="0">
        <f>$O$5*(1+R709/100000)</f>
        <v/>
      </c>
    </row>
    <row r="710">
      <c r="S710" s="0">
        <f>$O$5*(1+R710/100000)</f>
        <v/>
      </c>
    </row>
    <row r="711">
      <c r="S711" s="0">
        <f>$O$5*(1+R711/100000)</f>
        <v/>
      </c>
    </row>
    <row r="712">
      <c r="S712" s="0">
        <f>$O$5*(1+R712/100000)</f>
        <v/>
      </c>
    </row>
    <row r="713">
      <c r="S713" s="0">
        <f>$O$5*(1+R713/100000)</f>
        <v/>
      </c>
    </row>
    <row r="714">
      <c r="S714" s="0">
        <f>$O$5*(1+R714/100000)</f>
        <v/>
      </c>
    </row>
    <row r="715">
      <c r="S715" s="0">
        <f>$O$5*(1+R715/100000)</f>
        <v/>
      </c>
    </row>
    <row r="716">
      <c r="S716" s="0">
        <f>$O$5*(1+R716/100000)</f>
        <v/>
      </c>
    </row>
    <row r="717">
      <c r="S717" s="0">
        <f>$O$5*(1+R717/100000)</f>
        <v/>
      </c>
    </row>
    <row r="718">
      <c r="S718" s="0">
        <f>$O$5*(1+R718/100000)</f>
        <v/>
      </c>
    </row>
    <row r="719">
      <c r="S719" s="0">
        <f>$O$5*(1+R719/100000)</f>
        <v/>
      </c>
    </row>
    <row r="720">
      <c r="S720" s="0">
        <f>$O$5*(1+R720/100000)</f>
        <v/>
      </c>
    </row>
    <row r="721">
      <c r="S721" s="0">
        <f>$O$5*(1+R721/100000)</f>
        <v/>
      </c>
    </row>
    <row r="722">
      <c r="S722" s="0">
        <f>$O$5*(1+R722/100000)</f>
        <v/>
      </c>
    </row>
    <row r="723">
      <c r="S723" s="0">
        <f>$O$5*(1+R723/100000)</f>
        <v/>
      </c>
    </row>
    <row r="724">
      <c r="S724" s="0">
        <f>$O$5*(1+R724/100000)</f>
        <v/>
      </c>
    </row>
    <row r="725">
      <c r="S725" s="0">
        <f>$O$5*(1+R725/100000)</f>
        <v/>
      </c>
    </row>
    <row r="726">
      <c r="S726" s="0">
        <f>$O$5*(1+R726/100000)</f>
        <v/>
      </c>
    </row>
    <row r="727">
      <c r="S727" s="0">
        <f>$O$5*(1+R727/100000)</f>
        <v/>
      </c>
    </row>
    <row r="728">
      <c r="S728" s="0">
        <f>$O$5*(1+R728/100000)</f>
        <v/>
      </c>
    </row>
    <row r="729">
      <c r="S729" s="0">
        <f>$O$5*(1+R729/100000)</f>
        <v/>
      </c>
    </row>
    <row r="730">
      <c r="S730" s="0">
        <f>$O$5*(1+R730/100000)</f>
        <v/>
      </c>
    </row>
    <row r="731">
      <c r="S731" s="0">
        <f>$O$5*(1+R731/100000)</f>
        <v/>
      </c>
    </row>
    <row r="732">
      <c r="S732" s="0">
        <f>$O$5*(1+R732/100000)</f>
        <v/>
      </c>
    </row>
    <row r="733">
      <c r="S733" s="0">
        <f>$O$5*(1+R733/100000)</f>
        <v/>
      </c>
    </row>
    <row r="734">
      <c r="S734" s="0">
        <f>$O$5*(1+R734/100000)</f>
        <v/>
      </c>
    </row>
    <row r="735">
      <c r="S735" s="0">
        <f>$O$5*(1+R735/100000)</f>
        <v/>
      </c>
    </row>
    <row r="736">
      <c r="S736" s="0">
        <f>$O$5*(1+R736/100000)</f>
        <v/>
      </c>
    </row>
    <row r="737">
      <c r="S737" s="0">
        <f>$O$5*(1+R737/100000)</f>
        <v/>
      </c>
    </row>
    <row r="738">
      <c r="S738" s="0">
        <f>$O$5*(1+R738/100000)</f>
        <v/>
      </c>
    </row>
    <row r="739">
      <c r="S739" s="0">
        <f>$O$5*(1+R739/100000)</f>
        <v/>
      </c>
    </row>
    <row r="740">
      <c r="S740" s="0">
        <f>$O$5*(1+R740/100000)</f>
        <v/>
      </c>
    </row>
    <row r="741">
      <c r="S741" s="0">
        <f>$O$5*(1+R741/100000)</f>
        <v/>
      </c>
    </row>
    <row r="742">
      <c r="S742" s="0">
        <f>$O$5*(1+R742/100000)</f>
        <v/>
      </c>
    </row>
    <row r="743">
      <c r="S743" s="0">
        <f>$O$5*(1+R743/100000)</f>
        <v/>
      </c>
    </row>
    <row r="744">
      <c r="S744" s="0">
        <f>$O$5*(1+R744/100000)</f>
        <v/>
      </c>
    </row>
    <row r="745">
      <c r="S745" s="0">
        <f>$O$5*(1+R745/100000)</f>
        <v/>
      </c>
    </row>
    <row r="746">
      <c r="S746" s="0">
        <f>$O$5*(1+R746/100000)</f>
        <v/>
      </c>
    </row>
    <row r="747">
      <c r="S747" s="0">
        <f>$O$5*(1+R747/100000)</f>
        <v/>
      </c>
    </row>
    <row r="748">
      <c r="S748" s="0">
        <f>$O$5*(1+R748/100000)</f>
        <v/>
      </c>
    </row>
    <row r="749">
      <c r="S749" s="0">
        <f>$O$5*(1+R749/100000)</f>
        <v/>
      </c>
    </row>
    <row r="750">
      <c r="S750" s="0">
        <f>$O$5*(1+R750/100000)</f>
        <v/>
      </c>
    </row>
    <row r="751">
      <c r="S751" s="0">
        <f>$O$5*(1+R751/100000)</f>
        <v/>
      </c>
    </row>
    <row r="752">
      <c r="S752" s="0">
        <f>$O$5*(1+R752/100000)</f>
        <v/>
      </c>
    </row>
    <row r="753">
      <c r="S753" s="0">
        <f>$O$5*(1+R753/100000)</f>
        <v/>
      </c>
    </row>
    <row r="754">
      <c r="S754" s="0">
        <f>$O$5*(1+R754/100000)</f>
        <v/>
      </c>
    </row>
    <row r="755">
      <c r="S755" s="0">
        <f>$O$5*(1+R755/100000)</f>
        <v/>
      </c>
    </row>
    <row r="756">
      <c r="S756" s="0">
        <f>$O$5*(1+R756/100000)</f>
        <v/>
      </c>
    </row>
    <row r="757">
      <c r="S757" s="0">
        <f>$O$5*(1+R757/100000)</f>
        <v/>
      </c>
    </row>
    <row r="758">
      <c r="S758" s="0">
        <f>$O$5*(1+R758/100000)</f>
        <v/>
      </c>
    </row>
    <row r="759">
      <c r="S759" s="0">
        <f>$O$5*(1+R759/100000)</f>
        <v/>
      </c>
    </row>
    <row r="760">
      <c r="S760" s="0">
        <f>$O$5*(1+R760/100000)</f>
        <v/>
      </c>
    </row>
    <row r="761">
      <c r="S761" s="0">
        <f>$O$5*(1+R761/100000)</f>
        <v/>
      </c>
    </row>
    <row r="762">
      <c r="S762" s="0">
        <f>$O$5*(1+R762/100000)</f>
        <v/>
      </c>
    </row>
    <row r="763">
      <c r="S763" s="0">
        <f>$O$5*(1+R763/100000)</f>
        <v/>
      </c>
    </row>
    <row r="764">
      <c r="S764" s="0">
        <f>$O$5*(1+R764/100000)</f>
        <v/>
      </c>
    </row>
    <row r="765">
      <c r="S765" s="0">
        <f>$O$5*(1+R765/100000)</f>
        <v/>
      </c>
    </row>
    <row r="766">
      <c r="S766" s="0">
        <f>$O$5*(1+R766/100000)</f>
        <v/>
      </c>
    </row>
    <row r="767">
      <c r="S767" s="0">
        <f>$O$5*(1+R767/100000)</f>
        <v/>
      </c>
    </row>
    <row r="768">
      <c r="S768" s="0">
        <f>$O$5*(1+R768/100000)</f>
        <v/>
      </c>
    </row>
    <row r="769">
      <c r="S769" s="0">
        <f>$O$5*(1+R769/100000)</f>
        <v/>
      </c>
    </row>
    <row r="770">
      <c r="S770" s="0">
        <f>$O$5*(1+R770/100000)</f>
        <v/>
      </c>
    </row>
    <row r="771">
      <c r="S771" s="0">
        <f>$O$5*(1+R771/100000)</f>
        <v/>
      </c>
    </row>
    <row r="772">
      <c r="S772" s="0">
        <f>$O$5*(1+R772/100000)</f>
        <v/>
      </c>
    </row>
    <row r="773">
      <c r="S773" s="0">
        <f>$O$5*(1+R773/100000)</f>
        <v/>
      </c>
    </row>
    <row r="774">
      <c r="S774" s="0">
        <f>$O$5*(1+R774/100000)</f>
        <v/>
      </c>
    </row>
    <row r="775">
      <c r="S775" s="0">
        <f>$O$5*(1+R775/100000)</f>
        <v/>
      </c>
    </row>
    <row r="776">
      <c r="S776" s="0">
        <f>$O$5*(1+R776/100000)</f>
        <v/>
      </c>
    </row>
    <row r="777">
      <c r="S777" s="0">
        <f>$O$5*(1+R777/100000)</f>
        <v/>
      </c>
    </row>
    <row r="778">
      <c r="S778" s="0">
        <f>$O$5*(1+R778/100000)</f>
        <v/>
      </c>
    </row>
    <row r="779">
      <c r="S779" s="0">
        <f>$O$5*(1+R779/100000)</f>
        <v/>
      </c>
    </row>
    <row r="780">
      <c r="S780" s="0">
        <f>$O$5*(1+R780/100000)</f>
        <v/>
      </c>
    </row>
    <row r="781">
      <c r="S781" s="0">
        <f>$O$5*(1+R781/100000)</f>
        <v/>
      </c>
    </row>
    <row r="782">
      <c r="S782" s="0">
        <f>$O$5*(1+R782/100000)</f>
        <v/>
      </c>
    </row>
    <row r="783">
      <c r="S783" s="0">
        <f>$O$5*(1+R783/100000)</f>
        <v/>
      </c>
    </row>
    <row r="784">
      <c r="S784" s="0">
        <f>$O$5*(1+R784/100000)</f>
        <v/>
      </c>
    </row>
    <row r="785">
      <c r="S785" s="0">
        <f>$O$5*(1+R785/100000)</f>
        <v/>
      </c>
    </row>
    <row r="786">
      <c r="S786" s="0">
        <f>$O$5*(1+R786/100000)</f>
        <v/>
      </c>
    </row>
    <row r="787">
      <c r="S787" s="0">
        <f>$O$5*(1+R787/100000)</f>
        <v/>
      </c>
    </row>
    <row r="788">
      <c r="S788" s="0">
        <f>$O$5*(1+R788/100000)</f>
        <v/>
      </c>
    </row>
    <row r="789">
      <c r="S789" s="0">
        <f>$O$5*(1+R789/100000)</f>
        <v/>
      </c>
    </row>
    <row r="790">
      <c r="S790" s="0">
        <f>$O$5*(1+R790/100000)</f>
        <v/>
      </c>
    </row>
    <row r="791">
      <c r="S791" s="0">
        <f>$O$5*(1+R791/100000)</f>
        <v/>
      </c>
    </row>
    <row r="792">
      <c r="S792" s="0">
        <f>$O$5*(1+R792/100000)</f>
        <v/>
      </c>
    </row>
    <row r="793">
      <c r="S793" s="0">
        <f>$O$5*(1+R793/100000)</f>
        <v/>
      </c>
    </row>
    <row r="794">
      <c r="S794" s="0">
        <f>$O$5*(1+R794/100000)</f>
        <v/>
      </c>
    </row>
    <row r="795">
      <c r="S795" s="0">
        <f>$O$5*(1+R795/100000)</f>
        <v/>
      </c>
    </row>
    <row r="796">
      <c r="S796" s="0">
        <f>$O$5*(1+R796/100000)</f>
        <v/>
      </c>
    </row>
    <row r="797">
      <c r="S797" s="0">
        <f>$O$5*(1+R797/100000)</f>
        <v/>
      </c>
    </row>
    <row r="798">
      <c r="S798" s="0">
        <f>$O$5*(1+R798/100000)</f>
        <v/>
      </c>
    </row>
    <row r="799">
      <c r="S799" s="0">
        <f>$O$5*(1+R799/100000)</f>
        <v/>
      </c>
    </row>
    <row r="800">
      <c r="S800" s="0">
        <f>$O$5*(1+R800/100000)</f>
        <v/>
      </c>
    </row>
    <row r="801">
      <c r="S801" s="0">
        <f>$O$5*(1+R801/100000)</f>
        <v/>
      </c>
    </row>
    <row r="802">
      <c r="S802" s="0">
        <f>$O$5*(1+R802/100000)</f>
        <v/>
      </c>
    </row>
    <row r="803">
      <c r="S803" s="0">
        <f>$O$5*(1+R803/100000)</f>
        <v/>
      </c>
    </row>
    <row r="804">
      <c r="S804" s="0">
        <f>$O$5*(1+R804/100000)</f>
        <v/>
      </c>
    </row>
    <row r="805">
      <c r="S805" s="0">
        <f>$O$5*(1+R805/100000)</f>
        <v/>
      </c>
    </row>
    <row r="806">
      <c r="S806" s="0">
        <f>$O$5*(1+R806/100000)</f>
        <v/>
      </c>
    </row>
    <row r="807">
      <c r="S807" s="0">
        <f>$O$5*(1+R807/100000)</f>
        <v/>
      </c>
    </row>
    <row r="808">
      <c r="S808" s="0">
        <f>$O$5*(1+R808/100000)</f>
        <v/>
      </c>
    </row>
    <row r="809">
      <c r="S809" s="0">
        <f>$O$5*(1+R809/100000)</f>
        <v/>
      </c>
    </row>
    <row r="810">
      <c r="S810" s="0">
        <f>$O$5*(1+R810/100000)</f>
        <v/>
      </c>
    </row>
    <row r="811">
      <c r="S811" s="0">
        <f>$O$5*(1+R811/100000)</f>
        <v/>
      </c>
    </row>
    <row r="812">
      <c r="S812" s="0">
        <f>$O$5*(1+R812/100000)</f>
        <v/>
      </c>
    </row>
    <row r="813">
      <c r="S813" s="0">
        <f>$O$5*(1+R813/100000)</f>
        <v/>
      </c>
    </row>
    <row r="814">
      <c r="S814" s="0">
        <f>$O$5*(1+R814/100000)</f>
        <v/>
      </c>
    </row>
    <row r="815">
      <c r="S815" s="0">
        <f>$O$5*(1+R815/100000)</f>
        <v/>
      </c>
    </row>
    <row r="816">
      <c r="S816" s="0">
        <f>$O$5*(1+R816/100000)</f>
        <v/>
      </c>
    </row>
    <row r="817">
      <c r="S817" s="0">
        <f>$O$5*(1+R817/100000)</f>
        <v/>
      </c>
    </row>
    <row r="818">
      <c r="S818" s="0">
        <f>$O$5*(1+R818/100000)</f>
        <v/>
      </c>
    </row>
    <row r="819">
      <c r="S819" s="0">
        <f>$O$5*(1+R819/100000)</f>
        <v/>
      </c>
    </row>
    <row r="820">
      <c r="S820" s="0">
        <f>$O$5*(1+R820/100000)</f>
        <v/>
      </c>
    </row>
    <row r="821">
      <c r="S821" s="0">
        <f>$O$5*(1+R821/100000)</f>
        <v/>
      </c>
    </row>
    <row r="822">
      <c r="S822" s="0">
        <f>$O$5*(1+R822/100000)</f>
        <v/>
      </c>
    </row>
    <row r="823">
      <c r="S823" s="0">
        <f>$O$5*(1+R823/100000)</f>
        <v/>
      </c>
    </row>
    <row r="824">
      <c r="S824" s="0">
        <f>$O$5*(1+R824/100000)</f>
        <v/>
      </c>
    </row>
    <row r="825">
      <c r="S825" s="0">
        <f>$O$5*(1+R825/100000)</f>
        <v/>
      </c>
    </row>
    <row r="826">
      <c r="S826" s="0">
        <f>$O$5*(1+R826/100000)</f>
        <v/>
      </c>
    </row>
    <row r="827">
      <c r="S827" s="0">
        <f>$O$5*(1+R827/100000)</f>
        <v/>
      </c>
    </row>
    <row r="828">
      <c r="S828" s="0">
        <f>$O$5*(1+R828/100000)</f>
        <v/>
      </c>
    </row>
    <row r="829">
      <c r="S829" s="0">
        <f>$O$5*(1+R829/100000)</f>
        <v/>
      </c>
    </row>
    <row r="830">
      <c r="S830" s="0">
        <f>$O$5*(1+R830/100000)</f>
        <v/>
      </c>
    </row>
    <row r="831">
      <c r="S831" s="0">
        <f>$O$5*(1+R831/100000)</f>
        <v/>
      </c>
    </row>
    <row r="832">
      <c r="S832" s="0">
        <f>$O$5*(1+R832/100000)</f>
        <v/>
      </c>
    </row>
    <row r="833">
      <c r="S833" s="0">
        <f>$O$5*(1+R833/100000)</f>
        <v/>
      </c>
    </row>
    <row r="834">
      <c r="S834" s="0">
        <f>$O$5*(1+R834/100000)</f>
        <v/>
      </c>
    </row>
    <row r="835">
      <c r="S835" s="0">
        <f>$O$5*(1+R835/100000)</f>
        <v/>
      </c>
    </row>
    <row r="836">
      <c r="S836" s="0">
        <f>$O$5*(1+R836/100000)</f>
        <v/>
      </c>
    </row>
    <row r="837">
      <c r="S837" s="0">
        <f>$O$5*(1+R837/100000)</f>
        <v/>
      </c>
    </row>
    <row r="838">
      <c r="S838" s="0">
        <f>$O$5*(1+R838/100000)</f>
        <v/>
      </c>
    </row>
    <row r="839">
      <c r="S839" s="0">
        <f>$O$5*(1+R839/100000)</f>
        <v/>
      </c>
    </row>
    <row r="840">
      <c r="S840" s="0">
        <f>$O$5*(1+R840/100000)</f>
        <v/>
      </c>
    </row>
    <row r="841">
      <c r="S841" s="0">
        <f>$O$5*(1+R841/100000)</f>
        <v/>
      </c>
    </row>
    <row r="842">
      <c r="S842" s="0">
        <f>$O$5*(1+R842/100000)</f>
        <v/>
      </c>
    </row>
    <row r="843">
      <c r="S843" s="0">
        <f>$O$5*(1+R843/100000)</f>
        <v/>
      </c>
    </row>
    <row r="844">
      <c r="S844" s="0">
        <f>$O$5*(1+R844/100000)</f>
        <v/>
      </c>
    </row>
    <row r="845">
      <c r="S845" s="0">
        <f>$O$5*(1+R845/100000)</f>
        <v/>
      </c>
    </row>
    <row r="846">
      <c r="S846" s="0">
        <f>$O$5*(1+R846/100000)</f>
        <v/>
      </c>
    </row>
    <row r="847">
      <c r="S847" s="0">
        <f>$O$5*(1+R847/100000)</f>
        <v/>
      </c>
    </row>
    <row r="848">
      <c r="S848" s="0">
        <f>$O$5*(1+R848/100000)</f>
        <v/>
      </c>
    </row>
    <row r="849">
      <c r="S849" s="0">
        <f>$O$5*(1+R849/100000)</f>
        <v/>
      </c>
    </row>
    <row r="850">
      <c r="S850" s="0">
        <f>$O$5*(1+R850/100000)</f>
        <v/>
      </c>
    </row>
    <row r="851">
      <c r="S851" s="0">
        <f>$O$5*(1+R851/100000)</f>
        <v/>
      </c>
    </row>
    <row r="852">
      <c r="S852" s="0">
        <f>$O$5*(1+R852/100000)</f>
        <v/>
      </c>
    </row>
    <row r="853">
      <c r="S853" s="0">
        <f>$O$5*(1+R853/100000)</f>
        <v/>
      </c>
    </row>
    <row r="854">
      <c r="S854" s="0">
        <f>$O$5*(1+R854/100000)</f>
        <v/>
      </c>
    </row>
    <row r="855">
      <c r="S855" s="0">
        <f>$O$5*(1+R855/100000)</f>
        <v/>
      </c>
    </row>
    <row r="856">
      <c r="S856" s="0">
        <f>$O$5*(1+R856/100000)</f>
        <v/>
      </c>
    </row>
    <row r="857">
      <c r="S857" s="0">
        <f>$O$5*(1+R857/100000)</f>
        <v/>
      </c>
    </row>
    <row r="858">
      <c r="S858" s="0">
        <f>$O$5*(1+R858/100000)</f>
        <v/>
      </c>
    </row>
    <row r="859">
      <c r="S859" s="0">
        <f>$O$5*(1+R859/100000)</f>
        <v/>
      </c>
    </row>
    <row r="860">
      <c r="S860" s="0">
        <f>$O$5*(1+R860/100000)</f>
        <v/>
      </c>
    </row>
    <row r="861">
      <c r="S861" s="0">
        <f>$O$5*(1+R861/100000)</f>
        <v/>
      </c>
    </row>
    <row r="862">
      <c r="S862" s="0">
        <f>$O$5*(1+R862/100000)</f>
        <v/>
      </c>
    </row>
    <row r="863">
      <c r="S863" s="0">
        <f>$O$5*(1+R863/100000)</f>
        <v/>
      </c>
    </row>
    <row r="864">
      <c r="S864" s="0">
        <f>$O$5*(1+R864/100000)</f>
        <v/>
      </c>
    </row>
    <row r="865">
      <c r="S865" s="0">
        <f>$O$5*(1+R865/100000)</f>
        <v/>
      </c>
    </row>
    <row r="866">
      <c r="S866" s="0">
        <f>$O$5*(1+R866/100000)</f>
        <v/>
      </c>
    </row>
    <row r="867">
      <c r="S867" s="0">
        <f>$O$5*(1+R867/100000)</f>
        <v/>
      </c>
    </row>
    <row r="868">
      <c r="S868" s="0">
        <f>$O$5*(1+R868/100000)</f>
        <v/>
      </c>
    </row>
    <row r="869">
      <c r="S869" s="0">
        <f>$O$5*(1+R869/100000)</f>
        <v/>
      </c>
    </row>
    <row r="870">
      <c r="S870" s="0">
        <f>$O$5*(1+R870/100000)</f>
        <v/>
      </c>
    </row>
    <row r="871">
      <c r="S871" s="0">
        <f>$O$5*(1+R871/100000)</f>
        <v/>
      </c>
    </row>
    <row r="872">
      <c r="S872" s="0">
        <f>$O$5*(1+R872/100000)</f>
        <v/>
      </c>
    </row>
    <row r="873">
      <c r="S873" s="0">
        <f>$O$5*(1+R873/100000)</f>
        <v/>
      </c>
    </row>
    <row r="874">
      <c r="S874" s="0">
        <f>$O$5*(1+R874/100000)</f>
        <v/>
      </c>
    </row>
    <row r="875">
      <c r="S875" s="0">
        <f>$O$5*(1+R875/100000)</f>
        <v/>
      </c>
    </row>
    <row r="876">
      <c r="S876" s="0">
        <f>$O$5*(1+R876/100000)</f>
        <v/>
      </c>
    </row>
    <row r="877">
      <c r="S877" s="0">
        <f>$O$5*(1+R877/100000)</f>
        <v/>
      </c>
    </row>
    <row r="878">
      <c r="S878" s="0">
        <f>$O$5*(1+R878/100000)</f>
        <v/>
      </c>
    </row>
    <row r="879">
      <c r="S879" s="0">
        <f>$O$5*(1+R879/100000)</f>
        <v/>
      </c>
    </row>
    <row r="880">
      <c r="S880" s="0">
        <f>$O$5*(1+R880/100000)</f>
        <v/>
      </c>
    </row>
    <row r="881">
      <c r="S881" s="0">
        <f>$O$5*(1+R881/100000)</f>
        <v/>
      </c>
    </row>
    <row r="882">
      <c r="S882" s="0">
        <f>$O$5*(1+R882/100000)</f>
        <v/>
      </c>
    </row>
    <row r="883">
      <c r="S883" s="0">
        <f>$O$5*(1+R883/100000)</f>
        <v/>
      </c>
    </row>
    <row r="884">
      <c r="S884" s="0">
        <f>$O$5*(1+R884/100000)</f>
        <v/>
      </c>
    </row>
    <row r="885">
      <c r="S885" s="0">
        <f>$O$5*(1+R885/100000)</f>
        <v/>
      </c>
    </row>
    <row r="886">
      <c r="S886" s="0">
        <f>$O$5*(1+R886/100000)</f>
        <v/>
      </c>
    </row>
    <row r="887">
      <c r="S887" s="0">
        <f>$O$5*(1+R887/100000)</f>
        <v/>
      </c>
    </row>
    <row r="888">
      <c r="S888" s="0">
        <f>$O$5*(1+R888/100000)</f>
        <v/>
      </c>
    </row>
    <row r="889">
      <c r="S889" s="0">
        <f>$O$5*(1+R889/100000)</f>
        <v/>
      </c>
    </row>
    <row r="890">
      <c r="S890" s="0">
        <f>$O$5*(1+R890/100000)</f>
        <v/>
      </c>
    </row>
    <row r="891">
      <c r="S891" s="0">
        <f>$O$5*(1+R891/100000)</f>
        <v/>
      </c>
    </row>
    <row r="892">
      <c r="S892" s="0">
        <f>$O$5*(1+R892/100000)</f>
        <v/>
      </c>
    </row>
    <row r="893">
      <c r="S893" s="0">
        <f>$O$5*(1+R893/100000)</f>
        <v/>
      </c>
    </row>
    <row r="894">
      <c r="S894" s="0">
        <f>$O$5*(1+R894/100000)</f>
        <v/>
      </c>
    </row>
    <row r="895">
      <c r="S895" s="0">
        <f>$O$5*(1+R895/100000)</f>
        <v/>
      </c>
    </row>
    <row r="896">
      <c r="S896" s="0">
        <f>$O$5*(1+R896/100000)</f>
        <v/>
      </c>
    </row>
    <row r="897">
      <c r="S897" s="0">
        <f>$O$5*(1+R897/100000)</f>
        <v/>
      </c>
    </row>
    <row r="898">
      <c r="S898" s="0">
        <f>$O$5*(1+R898/100000)</f>
        <v/>
      </c>
    </row>
    <row r="899">
      <c r="S899" s="0">
        <f>$O$5*(1+R899/100000)</f>
        <v/>
      </c>
    </row>
    <row r="900">
      <c r="S900" s="0">
        <f>$O$5*(1+R900/100000)</f>
        <v/>
      </c>
    </row>
    <row r="901">
      <c r="S901" s="0">
        <f>$O$5*(1+R901/100000)</f>
        <v/>
      </c>
    </row>
    <row r="902">
      <c r="S902" s="0">
        <f>$O$5*(1+R902/100000)</f>
        <v/>
      </c>
    </row>
    <row r="903">
      <c r="S903" s="0">
        <f>$O$5*(1+R903/100000)</f>
        <v/>
      </c>
    </row>
    <row r="904">
      <c r="S904" s="0">
        <f>$O$5*(1+R904/100000)</f>
        <v/>
      </c>
    </row>
    <row r="905">
      <c r="S905" s="0">
        <f>$O$5*(1+R905/100000)</f>
        <v/>
      </c>
    </row>
    <row r="906">
      <c r="S906" s="0">
        <f>$O$5*(1+R906/100000)</f>
        <v/>
      </c>
    </row>
    <row r="907">
      <c r="S907" s="0">
        <f>$O$5*(1+R907/100000)</f>
        <v/>
      </c>
    </row>
    <row r="908">
      <c r="S908" s="0">
        <f>$O$5*(1+R908/100000)</f>
        <v/>
      </c>
    </row>
    <row r="909">
      <c r="S909" s="0">
        <f>$O$5*(1+R909/100000)</f>
        <v/>
      </c>
    </row>
    <row r="910">
      <c r="S910" s="0">
        <f>$O$5*(1+R910/100000)</f>
        <v/>
      </c>
    </row>
    <row r="911">
      <c r="S911" s="0">
        <f>$O$5*(1+R911/100000)</f>
        <v/>
      </c>
    </row>
    <row r="912">
      <c r="S912" s="0">
        <f>$O$5*(1+R912/100000)</f>
        <v/>
      </c>
    </row>
    <row r="913">
      <c r="S913" s="0">
        <f>$O$5*(1+R913/100000)</f>
        <v/>
      </c>
    </row>
    <row r="914">
      <c r="S914" s="0">
        <f>$O$5*(1+R914/100000)</f>
        <v/>
      </c>
    </row>
    <row r="915">
      <c r="S915" s="0">
        <f>$O$5*(1+R915/100000)</f>
        <v/>
      </c>
    </row>
    <row r="916">
      <c r="S916" s="0">
        <f>$O$5*(1+R916/100000)</f>
        <v/>
      </c>
    </row>
    <row r="917">
      <c r="S917" s="0">
        <f>$O$5*(1+R917/100000)</f>
        <v/>
      </c>
    </row>
    <row r="918">
      <c r="S918" s="0">
        <f>$O$5*(1+R918/100000)</f>
        <v/>
      </c>
    </row>
    <row r="919">
      <c r="S919" s="0">
        <f>$O$5*(1+R919/100000)</f>
        <v/>
      </c>
    </row>
    <row r="920">
      <c r="S920" s="0">
        <f>$O$5*(1+R920/100000)</f>
        <v/>
      </c>
    </row>
    <row r="921">
      <c r="S921" s="0">
        <f>$O$5*(1+R921/100000)</f>
        <v/>
      </c>
    </row>
    <row r="922">
      <c r="S922" s="0">
        <f>$O$5*(1+R922/100000)</f>
        <v/>
      </c>
    </row>
    <row r="923">
      <c r="S923" s="0">
        <f>$O$5*(1+R923/100000)</f>
        <v/>
      </c>
    </row>
    <row r="924">
      <c r="S924" s="0">
        <f>$O$5*(1+R924/100000)</f>
        <v/>
      </c>
    </row>
    <row r="925">
      <c r="S925" s="0">
        <f>$O$5*(1+R925/100000)</f>
        <v/>
      </c>
    </row>
    <row r="926">
      <c r="S926" s="0">
        <f>$O$5*(1+R926/100000)</f>
        <v/>
      </c>
    </row>
    <row r="927">
      <c r="S927" s="0">
        <f>$O$5*(1+R927/100000)</f>
        <v/>
      </c>
    </row>
    <row r="928">
      <c r="S928" s="0">
        <f>$O$5*(1+R928/100000)</f>
        <v/>
      </c>
    </row>
    <row r="929">
      <c r="S929" s="0">
        <f>$O$5*(1+R929/100000)</f>
        <v/>
      </c>
    </row>
    <row r="930">
      <c r="S930" s="0">
        <f>$O$5*(1+R930/100000)</f>
        <v/>
      </c>
    </row>
    <row r="931">
      <c r="S931" s="0">
        <f>$O$5*(1+R931/100000)</f>
        <v/>
      </c>
    </row>
    <row r="932">
      <c r="S932" s="0">
        <f>$O$5*(1+R932/100000)</f>
        <v/>
      </c>
    </row>
    <row r="933">
      <c r="S933" s="0">
        <f>$O$5*(1+R933/100000)</f>
        <v/>
      </c>
    </row>
    <row r="934">
      <c r="S934" s="0">
        <f>$O$5*(1+R934/100000)</f>
        <v/>
      </c>
    </row>
    <row r="935">
      <c r="S935" s="0">
        <f>$O$5*(1+R935/100000)</f>
        <v/>
      </c>
    </row>
    <row r="936">
      <c r="S936" s="0">
        <f>$O$5*(1+R936/100000)</f>
        <v/>
      </c>
    </row>
    <row r="937">
      <c r="S937" s="0">
        <f>$O$5*(1+R937/100000)</f>
        <v/>
      </c>
    </row>
    <row r="938">
      <c r="S938" s="0">
        <f>$O$5*(1+R938/100000)</f>
        <v/>
      </c>
    </row>
    <row r="939">
      <c r="S939" s="0">
        <f>$O$5*(1+R939/100000)</f>
        <v/>
      </c>
    </row>
    <row r="940">
      <c r="S940" s="0">
        <f>$O$5*(1+R940/100000)</f>
        <v/>
      </c>
    </row>
    <row r="941">
      <c r="S941" s="0">
        <f>$O$5*(1+R941/100000)</f>
        <v/>
      </c>
    </row>
    <row r="942">
      <c r="S942" s="0">
        <f>$O$5*(1+R942/100000)</f>
        <v/>
      </c>
    </row>
    <row r="943">
      <c r="S943" s="0">
        <f>$O$5*(1+R943/100000)</f>
        <v/>
      </c>
    </row>
    <row r="944">
      <c r="S944" s="0">
        <f>$O$5*(1+R944/100000)</f>
        <v/>
      </c>
    </row>
    <row r="945">
      <c r="S945" s="0">
        <f>$O$5*(1+R945/100000)</f>
        <v/>
      </c>
    </row>
    <row r="946">
      <c r="S946" s="0">
        <f>$O$5*(1+R946/100000)</f>
        <v/>
      </c>
    </row>
    <row r="947">
      <c r="S947" s="0">
        <f>$O$5*(1+R947/100000)</f>
        <v/>
      </c>
    </row>
    <row r="948">
      <c r="S948" s="0">
        <f>$O$5*(1+R948/100000)</f>
        <v/>
      </c>
    </row>
    <row r="949">
      <c r="S949" s="0">
        <f>$O$5*(1+R949/100000)</f>
        <v/>
      </c>
    </row>
    <row r="950">
      <c r="S950" s="0">
        <f>$O$5*(1+R950/100000)</f>
        <v/>
      </c>
    </row>
    <row r="951">
      <c r="S951" s="0">
        <f>$O$5*(1+R951/100000)</f>
        <v/>
      </c>
    </row>
    <row r="952">
      <c r="S952" s="0">
        <f>$O$5*(1+R952/100000)</f>
        <v/>
      </c>
    </row>
    <row r="953">
      <c r="S953" s="0">
        <f>$O$5*(1+R953/100000)</f>
        <v/>
      </c>
    </row>
    <row r="954">
      <c r="S954" s="0">
        <f>$O$5*(1+R954/100000)</f>
        <v/>
      </c>
    </row>
    <row r="955">
      <c r="S955" s="0">
        <f>$O$5*(1+R955/100000)</f>
        <v/>
      </c>
    </row>
    <row r="956">
      <c r="S956" s="0">
        <f>$O$5*(1+R956/100000)</f>
        <v/>
      </c>
    </row>
    <row r="957">
      <c r="S957" s="0">
        <f>$O$5*(1+R957/100000)</f>
        <v/>
      </c>
    </row>
    <row r="958">
      <c r="S958" s="0">
        <f>$O$5*(1+R958/100000)</f>
        <v/>
      </c>
    </row>
    <row r="959">
      <c r="S959" s="0">
        <f>$O$5*(1+R959/100000)</f>
        <v/>
      </c>
    </row>
    <row r="960">
      <c r="S960" s="0">
        <f>$O$5*(1+R960/100000)</f>
        <v/>
      </c>
    </row>
    <row r="961">
      <c r="S961" s="0">
        <f>$O$5*(1+R961/100000)</f>
        <v/>
      </c>
    </row>
    <row r="962">
      <c r="S962" s="0">
        <f>$O$5*(1+R962/100000)</f>
        <v/>
      </c>
    </row>
    <row r="963">
      <c r="S963" s="0">
        <f>$O$5*(1+R963/100000)</f>
        <v/>
      </c>
    </row>
    <row r="964">
      <c r="S964" s="0">
        <f>$O$5*(1+R964/100000)</f>
        <v/>
      </c>
    </row>
    <row r="965">
      <c r="S965" s="0">
        <f>$O$5*(1+R965/100000)</f>
        <v/>
      </c>
    </row>
    <row r="966">
      <c r="S966" s="0">
        <f>$O$5*(1+R966/100000)</f>
        <v/>
      </c>
    </row>
    <row r="967">
      <c r="S967" s="0">
        <f>$O$5*(1+R967/100000)</f>
        <v/>
      </c>
    </row>
    <row r="968">
      <c r="S968" s="0">
        <f>$O$5*(1+R968/100000)</f>
        <v/>
      </c>
    </row>
    <row r="969">
      <c r="S969" s="0">
        <f>$O$5*(1+R969/100000)</f>
        <v/>
      </c>
    </row>
    <row r="970">
      <c r="S970" s="0">
        <f>$O$5*(1+R970/100000)</f>
        <v/>
      </c>
    </row>
    <row r="971">
      <c r="S971" s="0">
        <f>$O$5*(1+R971/100000)</f>
        <v/>
      </c>
    </row>
    <row r="972">
      <c r="S972" s="0">
        <f>$O$5*(1+R972/100000)</f>
        <v/>
      </c>
    </row>
    <row r="973">
      <c r="S973" s="0">
        <f>$O$5*(1+R973/100000)</f>
        <v/>
      </c>
    </row>
    <row r="974">
      <c r="S974" s="0">
        <f>$O$5*(1+R974/100000)</f>
        <v/>
      </c>
    </row>
    <row r="975">
      <c r="S975" s="0">
        <f>$O$5*(1+R975/100000)</f>
        <v/>
      </c>
    </row>
    <row r="976">
      <c r="S976" s="0">
        <f>$O$5*(1+R976/100000)</f>
        <v/>
      </c>
    </row>
    <row r="977">
      <c r="S977" s="0">
        <f>$O$5*(1+R977/100000)</f>
        <v/>
      </c>
    </row>
    <row r="978">
      <c r="S978" s="0">
        <f>$O$5*(1+R978/100000)</f>
        <v/>
      </c>
    </row>
    <row r="979">
      <c r="S979" s="0">
        <f>$O$5*(1+R979/100000)</f>
        <v/>
      </c>
    </row>
    <row r="980">
      <c r="S980" s="0">
        <f>$O$5*(1+R980/100000)</f>
        <v/>
      </c>
    </row>
    <row r="981">
      <c r="S981" s="0">
        <f>$O$5*(1+R981/100000)</f>
        <v/>
      </c>
    </row>
    <row r="982">
      <c r="S982" s="0">
        <f>$O$5*(1+R982/100000)</f>
        <v/>
      </c>
    </row>
    <row r="983">
      <c r="S983" s="0">
        <f>$O$5*(1+R983/100000)</f>
        <v/>
      </c>
    </row>
    <row r="984">
      <c r="S984" s="0">
        <f>$O$5*(1+R984/100000)</f>
        <v/>
      </c>
    </row>
    <row r="985">
      <c r="S985" s="0">
        <f>$O$5*(1+R985/100000)</f>
        <v/>
      </c>
    </row>
    <row r="986">
      <c r="S986" s="0">
        <f>$O$5*(1+R986/100000)</f>
        <v/>
      </c>
    </row>
    <row r="987">
      <c r="S987" s="0">
        <f>$O$5*(1+R987/100000)</f>
        <v/>
      </c>
    </row>
    <row r="988">
      <c r="S988" s="0">
        <f>$O$5*(1+R988/100000)</f>
        <v/>
      </c>
    </row>
    <row r="989">
      <c r="S989" s="0">
        <f>$O$5*(1+R989/100000)</f>
        <v/>
      </c>
    </row>
    <row r="990">
      <c r="S990" s="0">
        <f>$O$5*(1+R990/100000)</f>
        <v/>
      </c>
    </row>
    <row r="991">
      <c r="S991" s="0">
        <f>$O$5*(1+R991/100000)</f>
        <v/>
      </c>
    </row>
    <row r="992">
      <c r="S992" s="0">
        <f>$O$5*(1+R992/100000)</f>
        <v/>
      </c>
    </row>
    <row r="993">
      <c r="S993" s="0">
        <f>$O$5*(1+R993/100000)</f>
        <v/>
      </c>
    </row>
    <row r="994">
      <c r="S994" s="0">
        <f>$O$5*(1+R994/100000)</f>
        <v/>
      </c>
    </row>
    <row r="995">
      <c r="S995" s="0">
        <f>$O$5*(1+R995/100000)</f>
        <v/>
      </c>
    </row>
    <row r="996">
      <c r="S996" s="0">
        <f>$O$5*(1+R996/100000)</f>
        <v/>
      </c>
    </row>
    <row r="997">
      <c r="S997" s="0">
        <f>$O$5*(1+R997/100000)</f>
        <v/>
      </c>
    </row>
    <row r="998">
      <c r="S998" s="0">
        <f>$O$5*(1+R998/100000)</f>
        <v/>
      </c>
    </row>
    <row r="999">
      <c r="S999" s="0">
        <f>$O$5*(1+R999/100000)</f>
        <v/>
      </c>
    </row>
    <row r="1000">
      <c r="S1000" s="0">
        <f>$O$5*(1+R1000/100000)</f>
        <v/>
      </c>
    </row>
    <row r="1001">
      <c r="S1001" s="0">
        <f>$O$5*(1+R1001/100000)</f>
        <v/>
      </c>
    </row>
    <row r="1002">
      <c r="S1002" s="0">
        <f>$O$5*(1+R1002/100000)</f>
        <v/>
      </c>
    </row>
    <row r="1003">
      <c r="S1003" s="0">
        <f>$O$5*(1+R1003/100000)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Choi Kyung Seok</dc:creator>
  <dcterms:created xmlns:dcterms="http://purl.org/dc/terms/" xmlns:xsi="http://www.w3.org/2001/XMLSchema-instance" xsi:type="dcterms:W3CDTF">2025-02-11T11:26:50Z</dcterms:created>
  <dcterms:modified xmlns:dcterms="http://purl.org/dc/terms/" xmlns:xsi="http://www.w3.org/2001/XMLSchema-instance" xsi:type="dcterms:W3CDTF">2026-03-16T06:48:26Z</dcterms:modified>
  <cp:lastModifiedBy>Oh Young Jin</cp:lastModifiedBy>
</cp:coreProperties>
</file>