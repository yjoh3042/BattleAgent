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d\Design\Excel\"/>
    </mc:Choice>
  </mc:AlternateContent>
  <xr:revisionPtr revIDLastSave="0" documentId="13_ncr:1_{07304764-F096-445E-9F6C-EA1288D43F7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#참조" sheetId="2" r:id="rId1"/>
    <sheet name="Base" sheetId="1" r:id="rId2"/>
  </sheets>
  <definedNames>
    <definedName name="_xlnm._FilterDatabase" localSheetId="1" hidden="1">Base!$A$3:$D$76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1" l="1"/>
  <c r="A45" i="1"/>
  <c r="A46" i="1"/>
  <c r="A47" i="1"/>
  <c r="A48" i="1"/>
  <c r="A49" i="1"/>
  <c r="A50" i="1"/>
  <c r="A51" i="1"/>
  <c r="A52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<sst xmlns="http://schemas.openxmlformats.org/spreadsheetml/2006/main" count="135" uniqueCount="122">
  <si>
    <t>Id</t>
    <phoneticPr fontId="2" type="noConversion"/>
  </si>
  <si>
    <t>LogicDamage</t>
  </si>
  <si>
    <t>LogicDamagePenetration</t>
  </si>
  <si>
    <t>LogicDamageHpRatio</t>
  </si>
  <si>
    <t>LogicDamageCri</t>
  </si>
  <si>
    <t>LogicStatChange</t>
  </si>
  <si>
    <t>LogicHeal</t>
  </si>
  <si>
    <t>LogicBarrier</t>
  </si>
  <si>
    <t>LogicHealRatio</t>
  </si>
  <si>
    <t>LogicBarrierRatio</t>
  </si>
  <si>
    <t>LogicSkillGuageChargeRatio</t>
  </si>
  <si>
    <t>LogicTaunt</t>
  </si>
  <si>
    <t>LogicDot</t>
  </si>
  <si>
    <t>LogicAbnormalSkill</t>
  </si>
  <si>
    <t>LogicStop</t>
  </si>
  <si>
    <t>LogicPause</t>
  </si>
  <si>
    <t>LogicRemoveBuffCount</t>
  </si>
  <si>
    <t>LogicRestriction</t>
  </si>
  <si>
    <t>LogicCooltimeChange</t>
  </si>
  <si>
    <t>CounterUseSkill</t>
  </si>
  <si>
    <t>LogicWeather</t>
  </si>
  <si>
    <t>LogicSpawn</t>
  </si>
  <si>
    <t>Logic</t>
    <phoneticPr fontId="3" type="noConversion"/>
  </si>
  <si>
    <t>시전자</t>
    <phoneticPr fontId="2" type="noConversion"/>
  </si>
  <si>
    <t>Caster</t>
    <phoneticPr fontId="2" type="noConversion"/>
  </si>
  <si>
    <t>대상</t>
    <phoneticPr fontId="2" type="noConversion"/>
  </si>
  <si>
    <t>Target</t>
    <phoneticPr fontId="2" type="noConversion"/>
  </si>
  <si>
    <t>스탯</t>
    <phoneticPr fontId="2" type="noConversion"/>
  </si>
  <si>
    <t>:스탯</t>
    <phoneticPr fontId="2" type="noConversion"/>
  </si>
  <si>
    <t>#함수 설명</t>
    <phoneticPr fontId="2" type="noConversion"/>
  </si>
  <si>
    <t>[BuffTypeValue]</t>
    <phoneticPr fontId="2" type="noConversion"/>
  </si>
  <si>
    <t>Value는 &lt;&gt;를 사용해서 표기한다.</t>
    <phoneticPr fontId="2" type="noConversion"/>
  </si>
  <si>
    <t>&lt;LogicValue_01&gt;</t>
    <phoneticPr fontId="2" type="noConversion"/>
  </si>
  <si>
    <t>함수는 []를 사용해서 표기한다.</t>
    <phoneticPr fontId="2" type="noConversion"/>
  </si>
  <si>
    <t>LogicRevive</t>
    <phoneticPr fontId="2" type="noConversion"/>
  </si>
  <si>
    <t>&lt;LogicValue&gt; =&gt;  &lt;LogicValue&gt;1- 3&lt;/LogicValue&gt;</t>
  </si>
  <si>
    <t>&lt;Caster&gt; =&gt; &lt;Caster&gt;</t>
  </si>
  <si>
    <t>&lt;Target&gt; =&gt; &lt;Target&gt;</t>
  </si>
  <si>
    <t>&lt;GetTotal&gt; =&gt; &lt;GetTotal&gt;Caster/Target,Total###&lt;/GetTotal&gt;</t>
  </si>
  <si>
    <t>&lt;ElementUpper&gt; =&gt; &lt;ElementUpper&gt;</t>
    <phoneticPr fontId="2" type="noConversion"/>
  </si>
  <si>
    <t>&lt;DamageMultiplier&gt; =&gt; &lt;DamageMultiplier&gt;</t>
    <phoneticPr fontId="2" type="noConversion"/>
  </si>
  <si>
    <t>&lt;GetStat&gt; =&gt; &lt;GetStat&gt;Caster/Target,StatParam###&lt;/GetStat&gt;</t>
    <phoneticPr fontId="2" type="noConversion"/>
  </si>
  <si>
    <t>Formula</t>
    <phoneticPr fontId="3" type="noConversion"/>
  </si>
  <si>
    <t>LogicSpLock</t>
  </si>
  <si>
    <t>LogicDamageBuffScale</t>
  </si>
  <si>
    <t>LogicDamageDebuffScaleTarget</t>
  </si>
  <si>
    <t>LogicDamageBuffScaleTarget</t>
  </si>
  <si>
    <t>LogicCounterUnavailable</t>
  </si>
  <si>
    <t>LogicSpSteal</t>
  </si>
  <si>
    <t>LogicSpIncrease</t>
  </si>
  <si>
    <t>LogicBuffTurnIncrease</t>
  </si>
  <si>
    <t>LogicInvincibility</t>
  </si>
  <si>
    <t>LogicBlind</t>
  </si>
  <si>
    <t>LogicConfused</t>
  </si>
  <si>
    <t>LogicHealLossScaleHp</t>
  </si>
  <si>
    <t>LogicAllyScaleHeal</t>
  </si>
  <si>
    <t>LogicUndying</t>
  </si>
  <si>
    <t>LogicKnockback</t>
  </si>
  <si>
    <t>&lt;GetTotal&gt;Target,Hp&lt;/GetTotal&gt; * (&lt;LogicValue&gt;0&lt;/LogicValue&gt;*0.00001)</t>
  </si>
  <si>
    <t>LogicDebuffImmune</t>
    <phoneticPr fontId="2" type="noConversion"/>
  </si>
  <si>
    <t>LogicNormalIgnoreCounter</t>
  </si>
  <si>
    <t>LogicActiveIgnoreCounter</t>
    <phoneticPr fontId="2" type="noConversion"/>
  </si>
  <si>
    <t>LogicUltimateIgnoreCounter</t>
  </si>
  <si>
    <t>LogicStun</t>
  </si>
  <si>
    <t>LogicSleep</t>
  </si>
  <si>
    <t>LogicFreeze</t>
  </si>
  <si>
    <t>LogicStone</t>
  </si>
  <si>
    <t>LogicElectricshock</t>
  </si>
  <si>
    <t>LogicPanic</t>
  </si>
  <si>
    <t>&lt;GetTotal&gt;Target,Hp&lt;/GetTotal&gt; * (&lt;LogicValue&gt;0&lt;/LogicValue&gt;*0.00001)</t>
    <phoneticPr fontId="2" type="noConversion"/>
  </si>
  <si>
    <t>&lt;GetTotal&gt;Caster,Atk&lt;/GetTotal&gt; * (&lt;LogicValue&gt;0&lt;/LogicValue&gt;*0.00001)</t>
    <phoneticPr fontId="2" type="noConversion"/>
  </si>
  <si>
    <t>&lt;LogicValue&gt;0&lt;/LogicValue&gt;</t>
    <phoneticPr fontId="2" type="noConversion"/>
  </si>
  <si>
    <t>LogicUseSkill</t>
    <phoneticPr fontId="2" type="noConversion"/>
  </si>
  <si>
    <t>LogicAllyScaleStatusChange</t>
  </si>
  <si>
    <t>&lt;LogicValue&gt;0&lt;/LogicValue&gt; * &lt;GetAllyChildCount&gt;&lt;LogicValue&gt;2&lt;/LogicValue&gt;&lt;/GetAllyChildCount&gt;</t>
    <phoneticPr fontId="2" type="noConversion"/>
  </si>
  <si>
    <t>LogicStatusChangeApplyAnotherStatusRate</t>
  </si>
  <si>
    <t>LogicActiveSkillTurnChangeOnce</t>
  </si>
  <si>
    <t>LogicSpdTwist</t>
  </si>
  <si>
    <t>LogicDamageCriApplyDebuff</t>
    <phoneticPr fontId="2" type="noConversion"/>
  </si>
  <si>
    <t>LogicStatusChangeEveryTurn</t>
  </si>
  <si>
    <t>LogicHealTargetCount</t>
  </si>
  <si>
    <t>LogicStatusChangeElementCount</t>
  </si>
  <si>
    <t>&lt;LogicValue&gt;0&lt;/LogicValue&gt;</t>
  </si>
  <si>
    <t>LogicStatusChangeRemainingHpPercent</t>
  </si>
  <si>
    <t>LogicStatusChangeMissingHpPercent</t>
  </si>
  <si>
    <t>LogicCriUnavailable</t>
  </si>
  <si>
    <t>&lt;LogicValue&gt;0&lt;/LogicValue&gt;* &lt;GetAllyChildCount&gt;&lt;LogicValue&gt;2&lt;/LogicValue&gt;&lt;/GetAllyChildCount&gt;</t>
    <phoneticPr fontId="2" type="noConversion"/>
  </si>
  <si>
    <t>LogicDebuffTurnIncrease</t>
    <phoneticPr fontId="2" type="noConversion"/>
  </si>
  <si>
    <t>LogicDotHealLossScaleHp</t>
  </si>
  <si>
    <t>LogicDotDamageHpRatio</t>
  </si>
  <si>
    <t>LogicSpIncreaseEveryTurn</t>
  </si>
  <si>
    <t>LogicAllyScaleStatusChangeEveryTurn</t>
  </si>
  <si>
    <t>LogicStatusChangeEveryTurnUnTag</t>
  </si>
  <si>
    <t>LogicStatusChangeEveryTurnTag</t>
  </si>
  <si>
    <t>&lt;LogicValue&gt;0&lt;/LogicValue&gt; * &lt;GetChildTagCount&gt;&lt;LogicValue&gt;2&lt;/LogicValue&gt;&lt;/GetChildTagCount&gt;</t>
    <phoneticPr fontId="2" type="noConversion"/>
  </si>
  <si>
    <t>LogicDotHealHpRatio</t>
    <phoneticPr fontId="2" type="noConversion"/>
  </si>
  <si>
    <t>&lt;GetTotal&gt;Target,Hp&lt;/GetTotal&gt; * &lt;LogicValue&gt;0&lt;/LogicValue&gt;*0.00001</t>
    <phoneticPr fontId="2" type="noConversion"/>
  </si>
  <si>
    <t>LogicUseSkillEveryTurn</t>
  </si>
  <si>
    <t>LogicDotDamage</t>
  </si>
  <si>
    <t>LogicDotHeal</t>
  </si>
  <si>
    <t>&lt;GetTotal&gt;Caster,Atk&lt;/GetTotal&gt; * (&lt;LogicValue&gt;0&lt;/LogicValue&gt; * 0.00001)</t>
    <phoneticPr fontId="2" type="noConversion"/>
  </si>
  <si>
    <t>LogicStunTag</t>
  </si>
  <si>
    <t>LogicStatusChangeEveryTurnDeadAlly</t>
  </si>
  <si>
    <t>LogicStatusChangeDeadAlly</t>
  </si>
  <si>
    <t>&lt;LogicValue&gt;0&lt;/LogicValue&gt; * &lt;GetAllyChildCount&gt;&lt;LogicValue&gt;2&lt;/LogicValue&gt;&lt;/GetAllyChildCount&gt;</t>
    <phoneticPr fontId="2" type="noConversion"/>
  </si>
  <si>
    <t>&lt;LogicValue&gt;0&lt;/LogicValue&gt; * &lt;GetAllyDeadChildCount&gt;&lt;/GetAllyDeadChildCount&gt;</t>
    <phoneticPr fontId="2" type="noConversion"/>
  </si>
  <si>
    <t>&lt;GetTotal&gt;Caster,Atk&lt;/GetTotal&gt; * (&lt;LogicValue&gt;0&lt;/LogicValue&gt;*0.00001) * (1+&lt;GetTotal&gt;Target,HealingReceived&lt;/GetTotal&gt;*0.00001) * (1+&lt;GetTotal&gt;Caster,HealingDoneRatio&lt;/GetTotal&gt;*0.00001)</t>
    <phoneticPr fontId="2" type="noConversion"/>
  </si>
  <si>
    <t>&lt;GetTotal&gt;Target,Hp&lt;/GetTotal&gt; * (&lt;LogicValue&gt;0&lt;/LogicValue&gt;*0.00001) * (1+&lt;GetTotal&gt;Target,HealingReceived&lt;/GetTotal&gt;*0.00001) * (1+&lt;GetTotal&gt;Caster,HealingDoneRatio&lt;/GetTotal&gt;*0.00001)</t>
    <phoneticPr fontId="2" type="noConversion"/>
  </si>
  <si>
    <t>(&lt;GetTotal&gt;Target,Hp&lt;/GetTotal&gt; - &lt;GetCurrentHp&gt;&lt;Target&gt;&lt;/GetCurrentHp&gt;) * (&lt;LogicValue&gt;0&lt;/LogicValue&gt;*0.00001) * (1+&lt;GetTotal&gt;Target,HealingReceived&lt;/GetTotal&gt;*0.00001) * (1+&lt;GetTotal&gt;Caster,HealingDoneRatio&lt;/GetTotal&gt;*0.00001)</t>
    <phoneticPr fontId="2" type="noConversion"/>
  </si>
  <si>
    <t>(&lt;LogicValue&gt;0&lt;/LogicValue&gt;*0.00001) * &lt;GetAllyChildCount&gt;&lt;LogicValue&gt;1&lt;/LogicValue&gt;&lt;/GetAllyChildCount&gt; * (1+&lt;GetTotal&gt;Target,HealingReceived&lt;/GetTotal&gt;*0.00001) * (1+&lt;GetTotal&gt;Caster,HealingDoneRatio&lt;/GetTotal&gt;*0.00001)</t>
    <phoneticPr fontId="2" type="noConversion"/>
  </si>
  <si>
    <t>&lt;GetTotal&gt;Target,Hp&lt;/GetTotal&gt; * &lt;LogicValue&gt;0&lt;/LogicValue&gt;*0.00001 * (1+&lt;GetTotal&gt;Target,HealingReceived&lt;/GetTotal&gt;*0.00001) * (1+&lt;GetTotal&gt;Caster,HealingDoneRatio&lt;/GetTotal&gt;*0.00001)</t>
    <phoneticPr fontId="2" type="noConversion"/>
  </si>
  <si>
    <t>&lt;GetTotal&gt;Caster,Atk&lt;/GetTotal&gt; * (&lt;LogicValue&gt;0&lt;/LogicValue&gt; * 0.00001) * (1+&lt;GetTotal&gt;Target,HealingReceived&lt;/GetTotal&gt;*0.00001) * (1+&lt;GetTotal&gt;Caster,HealingDoneRatio&lt;/GetTotal&gt;*0.00001)</t>
    <phoneticPr fontId="2" type="noConversion"/>
  </si>
  <si>
    <t>&lt;GetTotal&gt;Target,Hp&lt;/GetTotal&gt; * (&lt;LogicValue&gt;0&lt;/LogicValue&gt;*0.00001) * &lt;DamageMultiplier&gt;</t>
    <phoneticPr fontId="2" type="noConversion"/>
  </si>
  <si>
    <t>&lt;DamageMultiplier&gt; : Buff 테이블의 BuffType의 상태에 따라 값을 적용하는 함수.
NormalDamage : Caster:TotalNormalDamageRatio
ActiveDamage : Caster:TotalActiveDamageRatio
UltimateDamage : Caster:TotalUltimateDamageRatio
EtcDamage : 1
값을 참조하도록 한다.
Math.Max(&lt;ElementUpper&gt;,0) : ElementUpper 테이블을 참조하여 속성 상관관계 계산 함수
Caster:Element와 TargetLElement를 비교 후 Win, Lose, Etc 값을 적용
&lt;GetStat&gt; : Logic의 LogicCategory 값을 참조하는 함수를 Target에게 적용한다.
예) LogicCategory가 BattleAtkRatio 인경우 Target:BattleRatio로 적용된다.
&lt;GetBuffCount&gt;
&lt;GetDeBuffCount&gt;
&lt;GetAllyChildCount&gt;
None = 모든 차일드
Fire ~ Dark = 속성
Attacker ~ Supporter = 직업
&lt;GetEnemyChildCount&gt;
None = 모든 차일드
Fire ~ Dark = 속성
Attacker ~ Supporter = 직업</t>
  </si>
  <si>
    <t>&lt;GetTotal&gt;Caster,Atk&lt;/GetTotal&gt; * 
(1 - (Math.Max(&lt;GetTotal&gt;Target,Def&lt;/GetTotal&gt; - &lt;GetTotal&gt;Caster,Penetration&lt;/GetTotal&gt;,0)/ (&lt;GetTotal&gt;Caster,Atk&lt;/GetTotal&gt; + Math.Max(&lt;GetTotal&gt;Target,Def&lt;/GetTotal&gt; - &lt;GetTotal&gt;Caster,Penetration&lt;/GetTotal&gt;,0)))) 
* (&lt;LogicValue&gt;0&lt;/LogicValue&gt;*0.00001)
* &lt;DamageMultiplier&gt;
* &lt;GetTotal&gt;Caster,BattleDmgRatio&lt;/GetTotal&gt;
* Math.Max((1 + &lt;GetTotal&gt;Caster,SkillDmgRatio&lt;/GetTotal&gt;*0.00001 - &lt;GetTotal&gt;Target,SkillDmgReduceRatio&lt;/GetTotal&gt;*0.00001),0)
* Math.Max((1 + &lt;GetTotal&gt;Caster,BossDmgRatio&lt;/GetTotal&gt;*0.00001 - &lt;GetTotal&gt;Target,BossDmgReduceRatio&lt;/GetTotal&gt;*0.00001),0)
* Math.Max((1 + &lt;GetTotal&gt;Caster,MonsterDmgRatio&lt;/GetTotal&gt;*0.00001 - &lt;GetTotal&gt;Target,MonsterDmgReduceRatio&lt;/GetTotal&gt;*0.00001),0)
* Math.Max((1 + &lt;GetTotal&gt;Caster,PvPDmgRatio&lt;/GetTotal&gt;*0.00001 - &lt;GetTotal&gt;Target,PvPDmgReduceRatio&lt;/GetTotal&gt;*0.00001),0)
* Math.Max(&lt;ElementUpper&gt;,0)*0.00001 
* &lt;GetTotal&gt;Target,HittedDmgRatio&lt;/GetTotal&gt;</t>
    <phoneticPr fontId="2" type="noConversion"/>
  </si>
  <si>
    <t>&lt;GetTotal&gt;Caster,Atk&lt;/GetTotal&gt; * (&lt;LogicValue&gt;0&lt;/LogicValue&gt;*0.00001) * &lt;DamageMultiplier&gt; 
* &lt;GetTotal&gt;Caster,BattleDmgRatio&lt;/GetTotal&gt;
* Math.Max((1 + &lt;GetTotal&gt;Caster,SkillDmgRatio&lt;/GetTotal&gt;*0.00001 - &lt;GetTotal&gt;Target,SkillDmgReduceRatio&lt;/GetTotal&gt;*0.00001),0)
* Math.Max((1 + &lt;GetTotal&gt;Caster,BossDmgRatio&lt;/GetTotal&gt;*0.00001 - &lt;GetTotal&gt;Target,BossDmgReduceRatio&lt;/GetTotal&gt;*0.00001),0)
* Math.Max((1 + &lt;GetTotal&gt;Caster,MonsterDmgRatio&lt;/GetTotal&gt;*0.00001 - &lt;GetTotal&gt;Target,MonsterDmgReduceRatio&lt;/GetTotal&gt;*0.00001),0)
* Math.Max((1 + &lt;GetTotal&gt;Caster,PvPDmgRatio&lt;/GetTotal&gt;*0.00001 - &lt;GetTotal&gt;Target,PvPDmgReduceRatio&lt;/GetTotal&gt;*0.00001),0)
* (Math.Max(&lt;ElementUpper&gt;,0)*0.00001) * &lt;GetTotal&gt;Target,HittedDmgRatio&lt;/GetTotal&gt;</t>
    <phoneticPr fontId="2" type="noConversion"/>
  </si>
  <si>
    <t>&lt;GetTotal&gt;Caster,Atk&lt;/GetTotal&gt; * (1 - (Math.Max(&lt;GetTotal&gt;Target,Def&lt;/GetTotal&gt; - &lt;GetTotal&gt;Caster,Penetration&lt;/GetTotal&gt;,0)/ (&lt;GetTotal&gt;Caster,Atk&lt;/GetTotal&gt; + Math.Max(&lt;GetTotal&gt;Target,Def&lt;/GetTotal&gt; - &lt;GetTotal&gt;Caster,Penetration&lt;/GetTotal&gt;,0)))) * (&lt;LogicValue&gt;0&lt;/LogicValue&gt;*0.00001) * &lt;DamageMultiplier&gt; 
* &lt;GetTotal&gt;Caster,BattleDmgRatio&lt;/GetTotal&gt;
* Math.Max((1 + &lt;GetTotal&gt;Caster,SkillDmgRatio&lt;/GetTotal&gt;*0.00001 - &lt;GetTotal&gt;Target,SkillDmgReduceRatio&lt;/GetTotal&gt;*0.00001),0)
* Math.Max((1 + &lt;GetTotal&gt;Caster,BossDmgRatio&lt;/GetTotal&gt;*0.00001 - &lt;GetTotal&gt;Target,BossDmgReduceRatio&lt;/GetTotal&gt;*0.00001),0)
* Math.Max((1 + &lt;GetTotal&gt;Caster,MonsterDmgRatio&lt;/GetTotal&gt;*0.00001 - &lt;GetTotal&gt;Target,MonsterDmgReduceRatio&lt;/GetTotal&gt;*0.00001),0)
* Math.Max((1 + &lt;GetTotal&gt;Caster,PvPDmgRatio&lt;/GetTotal&gt;*0.00001 - &lt;GetTotal&gt;Target,PvPDmgReduceRatio&lt;/GetTotal&gt;*0.00001),0)* (Math.Max(&lt;ElementUpper&gt;,0)*0.00001) * &lt;GetTotal&gt;Target,HittedDmgRatio&lt;/GetTotal&gt;</t>
    <phoneticPr fontId="2" type="noConversion"/>
  </si>
  <si>
    <t>(&lt;GetTotal&gt;Caster,Atk&lt;/GetTotal&gt; * (1 - (Math.Max(&lt;GetTotal&gt;Target,Def&lt;/GetTotal&gt; - &lt;GetTotal&gt;Caster,Penetration&lt;/GetTotal&gt;,0)/ (&lt;GetTotal&gt;Caster,Atk&lt;/GetTotal&gt; + Math.Max(&lt;GetTotal&gt;Target,Def&lt;/GetTotal&gt; - &lt;GetTotal&gt;Caster,Penetration&lt;/GetTotal&gt;,0)))) 
* (&lt;LogicValue&gt;0&lt;/LogicValue&gt;*0.00001) * &lt;DamageMultiplier&gt; 
* &lt;GetTotal&gt;Caster,BattleDmgRatio&lt;/GetTotal&gt;
* Math.Max((1 + &lt;GetTotal&gt;Caster,SkillDmgRatio&lt;/GetTotal&gt;*0.00001 - &lt;GetTotal&gt;Target,SkillDmgReduceRatio&lt;/GetTotal&gt;*0.00001),0)
* Math.Max((1 + &lt;GetTotal&gt;Caster,BossDmgRatio&lt;/GetTotal&gt;*0.00001 - &lt;GetTotal&gt;Target,BossDmgReduceRatio&lt;/GetTotal&gt;*0.00001),0)
* Math.Max((1 + &lt;GetTotal&gt;Caster,MonsterDmgRatio&lt;/GetTotal&gt;*0.00001 - &lt;GetTotal&gt;Target,MonsterDmgReduceRatio&lt;/GetTotal&gt;*0.00001),0)
* Math.Max((1 + &lt;GetTotal&gt;Caster,PvPDmgRatio&lt;/GetTotal&gt;*0.00001 - &lt;GetTotal&gt;Target,PvPDmgReduceRatio&lt;/GetTotal&gt;*0.00001),0)
* Math.Max(&lt;ElementUpper&gt;,0)*0.00001 ) * &lt;GetBuffCount&gt;Caster,&lt;LogicValue&gt;1&lt;/LogicValue&gt;&lt;/GetBuffCount&gt; * (&lt;GetTotal&gt;Target,HittedDmgRatio&lt;/GetTotal&gt;)</t>
    <phoneticPr fontId="2" type="noConversion"/>
  </si>
  <si>
    <t>(&lt;GetTotal&gt;Caster,Atk&lt;/GetTotal&gt; * (1 - (Math.Max(&lt;GetTotal&gt;Target,Def&lt;/GetTotal&gt; - &lt;GetTotal&gt;Caster,Penetration&lt;/GetTotal&gt;,0)/ (&lt;GetTotal&gt;Caster,Atk&lt;/GetTotal&gt; + Math.Max(&lt;GetTotal&gt;Target,Def&lt;/GetTotal&gt; - &lt;GetTotal&gt;Caster,Penetration&lt;/GetTotal&gt;,0)))) 
* (&lt;LogicValue&gt;0&lt;/LogicValue&gt;*0.00001) * &lt;DamageMultiplier&gt; 
* &lt;GetTotal&gt;Caster,BattleDmgRatio&lt;/GetTotal&gt;
* Math.Max((1 + &lt;GetTotal&gt;Caster,SkillDmgRatio&lt;/GetTotal&gt;*0.00001 - &lt;GetTotal&gt;Target,SkillDmgReduceRatio&lt;/GetTotal&gt;*0.00001),0)
* Math.Max((1 + &lt;GetTotal&gt;Caster,BossDmgRatio&lt;/GetTotal&gt;*0.00001 - &lt;GetTotal&gt;Target,BossDmgReduceRatio&lt;/GetTotal&gt;*0.00001),0)
* Math.Max((1 + &lt;GetTotal&gt;Caster,MonsterDmgRatio&lt;/GetTotal&gt;*0.00001 - &lt;GetTotal&gt;Target,MonsterDmgReduceRatio&lt;/GetTotal&gt;*0.00001),0)
* Math.Max((1 + &lt;GetTotal&gt;Caster,PvPDmgRatio&lt;/GetTotal&gt;*0.00001 - &lt;GetTotal&gt;Target,PvPDmgReduceRatio&lt;/GetTotal&gt;*0.00001),0)
* Math.Max(&lt;ElementUpper&gt;,0)*0.00001 ) * &lt;GetBuffCount&gt;Target,&lt;LogicValue&gt;1&lt;/LogicValue&gt;&lt;/GetBuffCount&gt; * (&lt;GetTotal&gt;Target,HittedDmgRatio&lt;/GetTotal&gt;)</t>
    <phoneticPr fontId="2" type="noConversion"/>
  </si>
  <si>
    <t>(&lt;GetTotal&gt;Caster,Atk&lt;/GetTotal&gt; * (1 - (Math.Max(&lt;GetTotal&gt;Target,Def&lt;/GetTotal&gt; - &lt;GetTotal&gt;Caster,Penetration&lt;/GetTotal&gt;,0)/ (&lt;GetTotal&gt;Caster,Atk&lt;/GetTotal&gt; + Math.Max(&lt;GetTotal&gt;Target,Def&lt;/GetTotal&gt; - &lt;GetTotal&gt;Caster,Penetration&lt;/GetTotal&gt;,0)))) 
* (&lt;LogicValue&gt;0&lt;/LogicValue&gt;*0.00001) * &lt;DamageMultiplier&gt; 
* &lt;GetTotal&gt;Caster,BattleDmgRatio&lt;/GetTotal&gt;
* Math.Max((1 + &lt;GetTotal&gt;Caster,SkillDmgRatio&lt;/GetTotal&gt;*0.00001 - &lt;GetTotal&gt;Target,SkillDmgReduceRatio&lt;/GetTotal&gt;*0.00001),0)
* Math.Max((1 + &lt;GetTotal&gt;Caster,BossDmgRatio&lt;/GetTotal&gt;*0.00001 - &lt;GetTotal&gt;Target,BossDmgReduceRatio&lt;/GetTotal&gt;*0.00001),0)
* Math.Max((1 + &lt;GetTotal&gt;Caster,MonsterDmgRatio&lt;/GetTotal&gt;*0.00001 - &lt;GetTotal&gt;Target,MonsterDmgReduceRatio&lt;/GetTotal&gt;*0.00001),0)
* Math.Max((1 + &lt;GetTotal&gt;Caster,PvPDmgRatio&lt;/GetTotal&gt;*0.00001 - &lt;GetTotal&gt;Target,PvPDmgReduceRatio&lt;/GetTotal&gt;*0.00001),0)
* Math.Max(&lt;ElementUpper&gt;,0)*0.00001 ) * &lt;GetDebuffCount&gt;Target,&lt;LogicValue&gt;1&lt;/LogicValue&gt;&lt;/GetDebuffCount&gt; * (&lt;GetTotal&gt;Target,HittedDmgRatio&lt;/GetTotal&gt;)</t>
    <phoneticPr fontId="2" type="noConversion"/>
  </si>
  <si>
    <t>&lt;GetTotal&gt;Caster,Atk&lt;/GetTotal&gt; * (1 - (Math.Max(&lt;GetTotal&gt;Target,Def&lt;/GetTotal&gt; - &lt;GetTotal&gt;Caster,Penetration&lt;/GetTotal&gt;,0)/ (&lt;GetTotal&gt;Caster,Atk&lt;/GetTotal&gt; + Math.Max(&lt;GetTotal&gt;Target,Def&lt;/GetTotal&gt; - &lt;GetTotal&gt;Caster,Penetration&lt;/GetTotal&gt;,0)))) * (&lt;LogicValue&gt;0&lt;/LogicValue&gt;*0.00001) * &lt;DamageMultiplier&gt; 
* &lt;GetTotal&gt;Caster,BattleDmgRatio&lt;/GetTotal&gt;
* Math.Max((1 + &lt;GetTotal&gt;Caster,SkillDmgRatio&lt;/GetTotal&gt;*0.00001 - &lt;GetTotal&gt;Target,SkillDmgReduceRatio&lt;/GetTotal&gt;*0.00001),0)
* Math.Max((1 + &lt;GetTotal&gt;Caster,BossDmgRatio&lt;/GetTotal&gt;*0.00001 - &lt;GetTotal&gt;Target,BossDmgReduceRatio&lt;/GetTotal&gt;*0.00001),0)
* Math.Max((1 + &lt;GetTotal&gt;Caster,MonsterDmgRatio&lt;/GetTotal&gt;*0.00001 - &lt;GetTotal&gt;Target,MonsterDmgReduceRatio&lt;/GetTotal&gt;*0.00001),0)
* Math.Max((1 + &lt;GetTotal&gt;Caster,PvPDmgRatio&lt;/GetTotal&gt;*0.00001 - &lt;GetTotal&gt;Target,PvPDmgReduceRatio&lt;/GetTotal&gt;*0.00001),0)
* (Math.Max(&lt;ElementUpper&gt;,0)*0.00001) * &lt;GetTotal&gt;Target,HittedDmgRatio&lt;/GetTotal&gt;</t>
    <phoneticPr fontId="2" type="noConversion"/>
  </si>
  <si>
    <t>&lt;GetTotal&gt;Caster,Atk&lt;/GetTotal&gt; * (&lt;LogicValue&gt;0&lt;/LogicValue&gt;*0.00001) * &lt;DamageMultiplier&gt; 
* &lt;GetTotal&gt;Caster,BattleDmgRatio&lt;/GetTotal&gt;
* Math.Max((1 + &lt;GetTotal&gt;Caster,SkillDmgRatio&lt;/GetTotal&gt;*0.00001 - &lt;GetTotal&gt;Target,SkillDmgReduceRatio&lt;/GetTotal&gt;*0.00001),0)
* Math.Max((1 + &lt;GetTotal&gt;Caster,BossDmgRatio&lt;/GetTotal&gt;*0.00001 - &lt;GetTotal&gt;Target,BossDmgReduceRatio&lt;/GetTotal&gt;*0.00001),0)
* Math.Max((1 + &lt;GetTotal&gt;Caster,MonsterDmgRatio&lt;/GetTotal&gt;*0.00001 - &lt;GetTotal&gt;Target,MonsterDmgReduceRatio&lt;/GetTotal&gt;*0.00001),0)
* Math.Max((1 + &lt;GetTotal&gt;Caster,PvPDmgRatio&lt;/GetTotal&gt;*0.00001 - &lt;GetTotal&gt;Target,PvPDmgReduceRatio&lt;/GetTotal&gt;*0.00001),0)
* (1+&lt;GetTotal&gt;Target,HealingReceived&lt;/GetTotal&gt;*0.00001) * (1+&lt;GetTotal&gt;Caster,HealingDoneRatio&lt;/GetTotal&gt;*0.00001)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</si>
</sst>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2">
    <xf numFmtId="0" fontId="0" fillId="0" borderId="0" xfId="0"/>
    <xf numFmtId="0" fontId="4" fillId="0" borderId="0" xfId="1" applyFo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0" fillId="2" borderId="0" xfId="0" applyFill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6" fillId="0" borderId="0" xfId="0" applyFont="1" applyAlignment="1">
      <alignment horizontal="left" vertical="top" wrapText="1"/>
    </xf>
  </cellXfs>
  <cellStyles count="2">
    <cellStyle name="표준" xfId="0" builtinId="0"/>
    <cellStyle name="표준 2" xfId="1" xr:uid="{C86E26B6-3148-4B96-9554-8DE6623F76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5C6F-092F-4EBB-A6F2-82FA277384EC}">
  <dimension ref="B2:C20"/>
  <sheetViews>
    <sheetView workbookViewId="0">
      <selection activeCell="B14" sqref="B14:B20"/>
    </sheetView>
  </sheetViews>
  <sheetFormatPr defaultRowHeight="16.5" x14ac:dyDescent="0.3"/>
  <cols>
    <col min="1" max="1" width="5.375" style="4" customWidth="1"/>
    <col min="2" max="16384" width="9" style="4"/>
  </cols>
  <sheetData>
    <row r="2" spans="2:3" x14ac:dyDescent="0.3">
      <c r="B2" s="4" t="s">
        <v>23</v>
      </c>
      <c r="C2" s="4" t="s">
        <v>24</v>
      </c>
    </row>
    <row r="3" spans="2:3" x14ac:dyDescent="0.3">
      <c r="B3" s="4" t="s">
        <v>25</v>
      </c>
      <c r="C3" s="4" t="s">
        <v>26</v>
      </c>
    </row>
    <row r="5" spans="2:3" x14ac:dyDescent="0.3">
      <c r="B5" s="4" t="s">
        <v>27</v>
      </c>
      <c r="C5" s="4" t="s">
        <v>28</v>
      </c>
    </row>
    <row r="7" spans="2:3" x14ac:dyDescent="0.3">
      <c r="B7" s="4" t="s">
        <v>31</v>
      </c>
    </row>
    <row r="8" spans="2:3" x14ac:dyDescent="0.3">
      <c r="B8" s="4" t="s">
        <v>32</v>
      </c>
    </row>
    <row r="10" spans="2:3" x14ac:dyDescent="0.3">
      <c r="B10" s="4" t="s">
        <v>33</v>
      </c>
    </row>
    <row r="11" spans="2:3" x14ac:dyDescent="0.3">
      <c r="B11" s="4" t="s">
        <v>30</v>
      </c>
    </row>
    <row r="14" spans="2:3" x14ac:dyDescent="0.3">
      <c r="B14" s="2" t="s">
        <v>35</v>
      </c>
    </row>
    <row r="15" spans="2:3" x14ac:dyDescent="0.3">
      <c r="B15" s="2" t="s">
        <v>36</v>
      </c>
    </row>
    <row r="16" spans="2:3" x14ac:dyDescent="0.3">
      <c r="B16" s="2" t="s">
        <v>37</v>
      </c>
    </row>
    <row r="17" spans="2:2" x14ac:dyDescent="0.3">
      <c r="B17" s="2" t="s">
        <v>38</v>
      </c>
    </row>
    <row r="18" spans="2:2" x14ac:dyDescent="0.3">
      <c r="B18" s="2" t="s">
        <v>39</v>
      </c>
    </row>
    <row r="19" spans="2:2" x14ac:dyDescent="0.3">
      <c r="B19" s="2" t="s">
        <v>41</v>
      </c>
    </row>
    <row r="20" spans="2:2" x14ac:dyDescent="0.3">
      <c r="B20" s="2" t="s">
        <v>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topLeftCell="A27" zoomScale="115" zoomScaleNormal="115" workbookViewId="0">
      <selection activeCell="C29" sqref="C29"/>
    </sheetView>
  </sheetViews>
  <sheetFormatPr defaultRowHeight="13.5" x14ac:dyDescent="0.25"/>
  <cols>
    <col min="1" max="1" width="4.25" style="3" customWidth="1"/>
    <col min="2" max="2" width="36.375" style="3" bestFit="1" customWidth="1"/>
    <col min="3" max="3" width="255.625" style="2" bestFit="1" customWidth="1"/>
    <col min="4" max="4" width="63.375" style="2" customWidth="1"/>
    <col min="5" max="16384" width="9" style="2"/>
  </cols>
  <sheetData>
    <row r="1" spans="1:4" x14ac:dyDescent="0.25">
      <c r="A1" s="9" t="s">
        <v>0</v>
      </c>
      <c r="B1" s="10" t="s">
        <v>22</v>
      </c>
      <c r="C1" s="10" t="s">
        <v>42</v>
      </c>
      <c r="D1" s="2" t="s">
        <v>29</v>
      </c>
    </row>
    <row r="2" spans="1:4" x14ac:dyDescent="0.25">
      <c r="A2" s="1"/>
      <c r="B2" s="1"/>
      <c r="C2" s="1"/>
    </row>
    <row r="3" spans="1:4" x14ac:dyDescent="0.25">
      <c r="A3" s="1"/>
      <c r="B3" s="1"/>
      <c r="C3" s="1"/>
    </row>
    <row r="4" spans="1:4" ht="132" x14ac:dyDescent="0.25">
      <c r="A4" s="5">
        <f>ROW()-3</f>
        <v>1</v>
      </c>
      <c r="B4" s="5" t="s">
        <v>1</v>
      </c>
      <c r="C4" s="6" t="s">
        <v>114</v>
      </c>
      <c r="D4" s="11" t="s">
        <v>113</v>
      </c>
    </row>
    <row r="5" spans="1:4" ht="84" x14ac:dyDescent="0.25">
      <c r="A5" s="5">
        <f t="shared" ref="A5:A52" si="0">ROW()-3</f>
        <v>2</v>
      </c>
      <c r="B5" s="5" t="s">
        <v>2</v>
      </c>
      <c r="C5" s="6" t="s">
        <v>115</v>
      </c>
      <c r="D5" s="11"/>
    </row>
    <row r="6" spans="1:4" x14ac:dyDescent="0.25">
      <c r="A6" s="5">
        <f t="shared" si="0"/>
        <v>3</v>
      </c>
      <c r="B6" s="5" t="s">
        <v>3</v>
      </c>
      <c r="C6" s="5" t="s">
        <v>112</v>
      </c>
      <c r="D6" s="11"/>
    </row>
    <row r="7" spans="1:4" ht="72" x14ac:dyDescent="0.25">
      <c r="A7" s="5">
        <f t="shared" si="0"/>
        <v>4</v>
      </c>
      <c r="B7" s="5" t="s">
        <v>4</v>
      </c>
      <c r="C7" s="6" t="s">
        <v>116</v>
      </c>
      <c r="D7" s="11"/>
    </row>
    <row r="8" spans="1:4" x14ac:dyDescent="0.25">
      <c r="A8" s="5">
        <f t="shared" si="0"/>
        <v>5</v>
      </c>
      <c r="B8" s="5" t="s">
        <v>5</v>
      </c>
      <c r="C8" s="5" t="s">
        <v>71</v>
      </c>
      <c r="D8" s="11"/>
    </row>
    <row r="9" spans="1:4" x14ac:dyDescent="0.25">
      <c r="A9" s="5">
        <f t="shared" si="0"/>
        <v>6</v>
      </c>
      <c r="B9" s="5" t="s">
        <v>34</v>
      </c>
      <c r="C9" s="5" t="s">
        <v>69</v>
      </c>
      <c r="D9" s="11"/>
    </row>
    <row r="10" spans="1:4" x14ac:dyDescent="0.25">
      <c r="A10" s="5">
        <f t="shared" si="0"/>
        <v>7</v>
      </c>
      <c r="B10" s="5" t="s">
        <v>6</v>
      </c>
      <c r="C10" s="5" t="s">
        <v>106</v>
      </c>
      <c r="D10" s="11"/>
    </row>
    <row r="11" spans="1:4" x14ac:dyDescent="0.25">
      <c r="A11" s="5">
        <f t="shared" si="0"/>
        <v>8</v>
      </c>
      <c r="B11" s="5" t="s">
        <v>7</v>
      </c>
      <c r="C11" s="5" t="s">
        <v>70</v>
      </c>
      <c r="D11" s="11"/>
    </row>
    <row r="12" spans="1:4" x14ac:dyDescent="0.25">
      <c r="A12" s="5">
        <f t="shared" si="0"/>
        <v>9</v>
      </c>
      <c r="B12" s="5" t="s">
        <v>8</v>
      </c>
      <c r="C12" s="5" t="s">
        <v>107</v>
      </c>
      <c r="D12" s="11"/>
    </row>
    <row r="13" spans="1:4" x14ac:dyDescent="0.25">
      <c r="A13" s="5">
        <f t="shared" si="0"/>
        <v>10</v>
      </c>
      <c r="B13" s="5" t="s">
        <v>9</v>
      </c>
      <c r="C13" s="5" t="s">
        <v>58</v>
      </c>
      <c r="D13" s="11"/>
    </row>
    <row r="14" spans="1:4" x14ac:dyDescent="0.25">
      <c r="A14" s="5">
        <f t="shared" si="0"/>
        <v>11</v>
      </c>
      <c r="B14" s="5" t="s">
        <v>10</v>
      </c>
      <c r="C14" s="5"/>
      <c r="D14" s="11"/>
    </row>
    <row r="15" spans="1:4" x14ac:dyDescent="0.25">
      <c r="A15" s="5">
        <f t="shared" si="0"/>
        <v>12</v>
      </c>
      <c r="B15" s="5" t="s">
        <v>11</v>
      </c>
      <c r="C15" s="5"/>
      <c r="D15" s="11"/>
    </row>
    <row r="16" spans="1:4" x14ac:dyDescent="0.25">
      <c r="A16" s="5">
        <f t="shared" si="0"/>
        <v>13</v>
      </c>
      <c r="B16" s="5" t="s">
        <v>12</v>
      </c>
      <c r="C16" s="5" t="s">
        <v>70</v>
      </c>
      <c r="D16" s="11"/>
    </row>
    <row r="17" spans="1:4" x14ac:dyDescent="0.25">
      <c r="A17" s="5">
        <f t="shared" si="0"/>
        <v>14</v>
      </c>
      <c r="B17" s="5" t="s">
        <v>13</v>
      </c>
      <c r="C17" s="5"/>
      <c r="D17" s="11"/>
    </row>
    <row r="18" spans="1:4" x14ac:dyDescent="0.25">
      <c r="A18" s="5">
        <f t="shared" si="0"/>
        <v>15</v>
      </c>
      <c r="B18" s="5" t="s">
        <v>14</v>
      </c>
      <c r="C18" s="5"/>
      <c r="D18" s="11"/>
    </row>
    <row r="19" spans="1:4" x14ac:dyDescent="0.25">
      <c r="A19" s="5">
        <f t="shared" si="0"/>
        <v>16</v>
      </c>
      <c r="B19" s="5" t="s">
        <v>15</v>
      </c>
      <c r="C19" s="5"/>
      <c r="D19" s="11"/>
    </row>
    <row r="20" spans="1:4" x14ac:dyDescent="0.25">
      <c r="A20" s="5">
        <f t="shared" si="0"/>
        <v>17</v>
      </c>
      <c r="B20" s="5" t="s">
        <v>16</v>
      </c>
      <c r="C20" s="5"/>
      <c r="D20" s="11"/>
    </row>
    <row r="21" spans="1:4" x14ac:dyDescent="0.25">
      <c r="A21" s="5">
        <f t="shared" si="0"/>
        <v>18</v>
      </c>
      <c r="B21" s="5" t="s">
        <v>17</v>
      </c>
      <c r="C21" s="5"/>
      <c r="D21" s="11"/>
    </row>
    <row r="22" spans="1:4" x14ac:dyDescent="0.25">
      <c r="A22" s="5">
        <f t="shared" si="0"/>
        <v>19</v>
      </c>
      <c r="B22" s="5" t="s">
        <v>18</v>
      </c>
      <c r="C22" s="5"/>
      <c r="D22" s="11"/>
    </row>
    <row r="23" spans="1:4" x14ac:dyDescent="0.25">
      <c r="A23" s="5">
        <f t="shared" si="0"/>
        <v>20</v>
      </c>
      <c r="B23" s="5" t="s">
        <v>72</v>
      </c>
      <c r="C23" s="5"/>
      <c r="D23" s="11"/>
    </row>
    <row r="24" spans="1:4" x14ac:dyDescent="0.25">
      <c r="A24" s="5">
        <f t="shared" si="0"/>
        <v>21</v>
      </c>
      <c r="B24" s="5" t="s">
        <v>19</v>
      </c>
      <c r="C24" s="5"/>
      <c r="D24" s="11"/>
    </row>
    <row r="25" spans="1:4" x14ac:dyDescent="0.25">
      <c r="A25" s="5">
        <f t="shared" si="0"/>
        <v>22</v>
      </c>
      <c r="B25" s="5" t="s">
        <v>20</v>
      </c>
      <c r="C25" s="5"/>
      <c r="D25" s="11"/>
    </row>
    <row r="26" spans="1:4" x14ac:dyDescent="0.25">
      <c r="A26" s="5">
        <f t="shared" si="0"/>
        <v>23</v>
      </c>
      <c r="B26" s="5" t="s">
        <v>21</v>
      </c>
      <c r="C26" s="5"/>
      <c r="D26" s="11"/>
    </row>
    <row r="27" spans="1:4" x14ac:dyDescent="0.25">
      <c r="A27" s="5">
        <f t="shared" si="0"/>
        <v>24</v>
      </c>
      <c r="B27" s="5" t="s">
        <v>43</v>
      </c>
      <c r="C27" s="7"/>
      <c r="D27" s="11"/>
    </row>
    <row r="28" spans="1:4" ht="96.75" x14ac:dyDescent="0.25">
      <c r="A28" s="5">
        <f t="shared" si="0"/>
        <v>25</v>
      </c>
      <c r="B28" s="5" t="s">
        <v>44</v>
      </c>
      <c r="C28" s="8" t="s">
        <v>117</v>
      </c>
      <c r="D28" s="11"/>
    </row>
    <row r="29" spans="1:4" ht="96.75" x14ac:dyDescent="0.25">
      <c r="A29" s="5">
        <f t="shared" si="0"/>
        <v>26</v>
      </c>
      <c r="B29" s="5" t="s">
        <v>46</v>
      </c>
      <c r="C29" s="8" t="s">
        <v>118</v>
      </c>
      <c r="D29" s="11"/>
    </row>
    <row r="30" spans="1:4" ht="96.75" x14ac:dyDescent="0.25">
      <c r="A30" s="5">
        <f t="shared" si="0"/>
        <v>27</v>
      </c>
      <c r="B30" s="5" t="s">
        <v>45</v>
      </c>
      <c r="C30" s="8" t="s">
        <v>119</v>
      </c>
      <c r="D30" s="11"/>
    </row>
    <row r="31" spans="1:4" x14ac:dyDescent="0.25">
      <c r="A31" s="5">
        <f t="shared" si="0"/>
        <v>28</v>
      </c>
      <c r="B31" s="5" t="s">
        <v>47</v>
      </c>
      <c r="C31" s="7"/>
      <c r="D31" s="11"/>
    </row>
    <row r="32" spans="1:4" x14ac:dyDescent="0.25">
      <c r="A32" s="5">
        <f t="shared" si="0"/>
        <v>29</v>
      </c>
      <c r="B32" s="5" t="s">
        <v>48</v>
      </c>
      <c r="C32" s="7" t="s">
        <v>82</v>
      </c>
      <c r="D32" s="11"/>
    </row>
    <row r="33" spans="1:4" x14ac:dyDescent="0.25">
      <c r="A33" s="5">
        <f t="shared" si="0"/>
        <v>30</v>
      </c>
      <c r="B33" s="5" t="s">
        <v>49</v>
      </c>
      <c r="C33" s="7" t="s">
        <v>82</v>
      </c>
      <c r="D33" s="11"/>
    </row>
    <row r="34" spans="1:4" x14ac:dyDescent="0.25">
      <c r="A34" s="5">
        <f t="shared" si="0"/>
        <v>31</v>
      </c>
      <c r="B34" s="5" t="s">
        <v>50</v>
      </c>
      <c r="C34" s="7" t="s">
        <v>82</v>
      </c>
      <c r="D34" s="11"/>
    </row>
    <row r="35" spans="1:4" x14ac:dyDescent="0.25">
      <c r="A35" s="5">
        <f t="shared" si="0"/>
        <v>32</v>
      </c>
      <c r="B35" s="5" t="s">
        <v>87</v>
      </c>
      <c r="C35" s="7" t="s">
        <v>82</v>
      </c>
      <c r="D35" s="11"/>
    </row>
    <row r="36" spans="1:4" x14ac:dyDescent="0.25">
      <c r="A36" s="5">
        <f t="shared" si="0"/>
        <v>33</v>
      </c>
      <c r="B36" s="5" t="s">
        <v>59</v>
      </c>
      <c r="C36" s="7"/>
      <c r="D36" s="11"/>
    </row>
    <row r="37" spans="1:4" x14ac:dyDescent="0.25">
      <c r="A37" s="5">
        <f t="shared" si="0"/>
        <v>34</v>
      </c>
      <c r="B37" s="5" t="s">
        <v>51</v>
      </c>
      <c r="C37" s="7"/>
      <c r="D37" s="11"/>
    </row>
    <row r="38" spans="1:4" x14ac:dyDescent="0.25">
      <c r="A38" s="5">
        <f t="shared" si="0"/>
        <v>35</v>
      </c>
      <c r="B38" s="5" t="s">
        <v>52</v>
      </c>
      <c r="C38" s="7"/>
      <c r="D38" s="11"/>
    </row>
    <row r="39" spans="1:4" x14ac:dyDescent="0.25">
      <c r="A39" s="5">
        <f t="shared" si="0"/>
        <v>36</v>
      </c>
      <c r="B39" s="5" t="s">
        <v>53</v>
      </c>
      <c r="C39" s="7"/>
      <c r="D39" s="11"/>
    </row>
    <row r="40" spans="1:4" x14ac:dyDescent="0.25">
      <c r="A40" s="5">
        <f t="shared" si="0"/>
        <v>37</v>
      </c>
      <c r="B40" s="5" t="s">
        <v>54</v>
      </c>
      <c r="C40" s="8" t="s">
        <v>108</v>
      </c>
      <c r="D40" s="11"/>
    </row>
    <row r="41" spans="1:4" x14ac:dyDescent="0.25">
      <c r="A41" s="5">
        <f t="shared" si="0"/>
        <v>38</v>
      </c>
      <c r="B41" s="5" t="s">
        <v>55</v>
      </c>
      <c r="C41" s="7" t="s">
        <v>109</v>
      </c>
      <c r="D41" s="11"/>
    </row>
    <row r="42" spans="1:4" x14ac:dyDescent="0.25">
      <c r="A42" s="5">
        <f t="shared" si="0"/>
        <v>39</v>
      </c>
      <c r="B42" s="5" t="s">
        <v>56</v>
      </c>
      <c r="C42" s="7"/>
      <c r="D42" s="7"/>
    </row>
    <row r="43" spans="1:4" x14ac:dyDescent="0.25">
      <c r="A43" s="5">
        <f t="shared" si="0"/>
        <v>40</v>
      </c>
      <c r="B43" s="5" t="s">
        <v>57</v>
      </c>
      <c r="C43" s="7"/>
      <c r="D43" s="7"/>
    </row>
    <row r="44" spans="1:4" x14ac:dyDescent="0.25">
      <c r="A44" s="5">
        <f t="shared" si="0"/>
        <v>41</v>
      </c>
      <c r="B44" s="5" t="s">
        <v>60</v>
      </c>
      <c r="C44" s="7"/>
      <c r="D44" s="7"/>
    </row>
    <row r="45" spans="1:4" x14ac:dyDescent="0.25">
      <c r="A45" s="5">
        <f t="shared" si="0"/>
        <v>42</v>
      </c>
      <c r="B45" s="5" t="s">
        <v>61</v>
      </c>
      <c r="C45" s="7"/>
      <c r="D45" s="7"/>
    </row>
    <row r="46" spans="1:4" x14ac:dyDescent="0.25">
      <c r="A46" s="5">
        <f t="shared" si="0"/>
        <v>43</v>
      </c>
      <c r="B46" s="5" t="s">
        <v>62</v>
      </c>
      <c r="C46" s="7"/>
      <c r="D46" s="7"/>
    </row>
    <row r="47" spans="1:4" x14ac:dyDescent="0.25">
      <c r="A47" s="5">
        <f t="shared" si="0"/>
        <v>44</v>
      </c>
      <c r="B47" s="5" t="s">
        <v>63</v>
      </c>
      <c r="C47" s="7"/>
      <c r="D47" s="7"/>
    </row>
    <row r="48" spans="1:4" x14ac:dyDescent="0.25">
      <c r="A48" s="5">
        <f t="shared" si="0"/>
        <v>45</v>
      </c>
      <c r="B48" s="5" t="s">
        <v>64</v>
      </c>
      <c r="C48" s="7"/>
      <c r="D48" s="7"/>
    </row>
    <row r="49" spans="1:4" x14ac:dyDescent="0.25">
      <c r="A49" s="5">
        <f t="shared" si="0"/>
        <v>46</v>
      </c>
      <c r="B49" s="5" t="s">
        <v>65</v>
      </c>
      <c r="C49" s="7"/>
      <c r="D49" s="7"/>
    </row>
    <row r="50" spans="1:4" x14ac:dyDescent="0.25">
      <c r="A50" s="5">
        <f t="shared" si="0"/>
        <v>47</v>
      </c>
      <c r="B50" s="5" t="s">
        <v>66</v>
      </c>
      <c r="C50" s="7"/>
      <c r="D50" s="7"/>
    </row>
    <row r="51" spans="1:4" x14ac:dyDescent="0.25">
      <c r="A51" s="5">
        <f t="shared" si="0"/>
        <v>48</v>
      </c>
      <c r="B51" s="5" t="s">
        <v>67</v>
      </c>
      <c r="C51" s="7"/>
      <c r="D51" s="7"/>
    </row>
    <row r="52" spans="1:4" x14ac:dyDescent="0.25">
      <c r="A52" s="5">
        <f t="shared" si="0"/>
        <v>49</v>
      </c>
      <c r="B52" s="5" t="s">
        <v>68</v>
      </c>
      <c r="C52" s="7"/>
      <c r="D52" s="7"/>
    </row>
    <row r="53" spans="1:4" x14ac:dyDescent="0.25">
      <c r="A53" s="5">
        <v>50</v>
      </c>
      <c r="B53" s="5" t="s">
        <v>73</v>
      </c>
      <c r="C53" s="7" t="s">
        <v>74</v>
      </c>
      <c r="D53" s="7"/>
    </row>
    <row r="54" spans="1:4" x14ac:dyDescent="0.25">
      <c r="A54" s="5">
        <v>51</v>
      </c>
      <c r="B54" s="5" t="s">
        <v>75</v>
      </c>
      <c r="C54" s="7" t="s">
        <v>82</v>
      </c>
      <c r="D54" s="7"/>
    </row>
    <row r="55" spans="1:4" x14ac:dyDescent="0.25">
      <c r="A55" s="5">
        <v>52</v>
      </c>
      <c r="B55" s="5" t="s">
        <v>76</v>
      </c>
      <c r="C55" s="7" t="s">
        <v>82</v>
      </c>
      <c r="D55" s="7"/>
    </row>
    <row r="56" spans="1:4" x14ac:dyDescent="0.25">
      <c r="A56" s="5">
        <v>53</v>
      </c>
      <c r="B56" s="5" t="s">
        <v>77</v>
      </c>
      <c r="C56" s="7"/>
      <c r="D56" s="7"/>
    </row>
    <row r="57" spans="1:4" ht="84" x14ac:dyDescent="0.25">
      <c r="A57" s="5">
        <v>54</v>
      </c>
      <c r="B57" s="5" t="s">
        <v>78</v>
      </c>
      <c r="C57" s="6" t="s">
        <v>120</v>
      </c>
      <c r="D57" s="7"/>
    </row>
    <row r="58" spans="1:4" x14ac:dyDescent="0.25">
      <c r="A58" s="5">
        <v>55</v>
      </c>
      <c r="B58" s="5" t="s">
        <v>79</v>
      </c>
      <c r="C58" s="7" t="s">
        <v>86</v>
      </c>
      <c r="D58" s="7"/>
    </row>
    <row r="59" spans="1:4" ht="84.75" x14ac:dyDescent="0.25">
      <c r="A59" s="5">
        <v>56</v>
      </c>
      <c r="B59" s="5" t="s">
        <v>80</v>
      </c>
      <c r="C59" s="8" t="s">
        <v>121</v>
      </c>
      <c r="D59" s="7"/>
    </row>
    <row r="60" spans="1:4" x14ac:dyDescent="0.25">
      <c r="A60" s="5">
        <v>57</v>
      </c>
      <c r="B60" s="5" t="s">
        <v>81</v>
      </c>
      <c r="C60" s="7" t="s">
        <v>82</v>
      </c>
      <c r="D60" s="7"/>
    </row>
    <row r="61" spans="1:4" x14ac:dyDescent="0.25">
      <c r="A61" s="5">
        <v>58</v>
      </c>
      <c r="B61" s="5" t="s">
        <v>83</v>
      </c>
      <c r="C61" s="7" t="s">
        <v>82</v>
      </c>
      <c r="D61" s="7"/>
    </row>
    <row r="62" spans="1:4" x14ac:dyDescent="0.25">
      <c r="A62" s="5">
        <v>59</v>
      </c>
      <c r="B62" s="5" t="s">
        <v>84</v>
      </c>
      <c r="C62" s="7" t="s">
        <v>82</v>
      </c>
      <c r="D62" s="7"/>
    </row>
    <row r="63" spans="1:4" x14ac:dyDescent="0.25">
      <c r="A63" s="5">
        <v>60</v>
      </c>
      <c r="B63" s="5" t="s">
        <v>85</v>
      </c>
      <c r="C63" s="7"/>
      <c r="D63" s="7"/>
    </row>
    <row r="64" spans="1:4" x14ac:dyDescent="0.25">
      <c r="A64" s="5">
        <v>61</v>
      </c>
      <c r="B64" s="5" t="s">
        <v>88</v>
      </c>
      <c r="C64" s="8" t="s">
        <v>108</v>
      </c>
      <c r="D64" s="7"/>
    </row>
    <row r="65" spans="1:4" x14ac:dyDescent="0.25">
      <c r="A65" s="5">
        <v>62</v>
      </c>
      <c r="B65" s="5" t="s">
        <v>95</v>
      </c>
      <c r="C65" s="7" t="s">
        <v>110</v>
      </c>
      <c r="D65" s="7"/>
    </row>
    <row r="66" spans="1:4" x14ac:dyDescent="0.25">
      <c r="A66" s="5">
        <v>63</v>
      </c>
      <c r="B66" s="5" t="s">
        <v>89</v>
      </c>
      <c r="C66" s="7" t="s">
        <v>96</v>
      </c>
      <c r="D66" s="7"/>
    </row>
    <row r="67" spans="1:4" x14ac:dyDescent="0.25">
      <c r="A67" s="5">
        <v>64</v>
      </c>
      <c r="B67" s="5" t="s">
        <v>90</v>
      </c>
      <c r="C67" s="7" t="s">
        <v>82</v>
      </c>
      <c r="D67" s="7"/>
    </row>
    <row r="68" spans="1:4" x14ac:dyDescent="0.25">
      <c r="A68" s="5">
        <v>65</v>
      </c>
      <c r="B68" s="5" t="s">
        <v>91</v>
      </c>
      <c r="C68" s="7" t="s">
        <v>104</v>
      </c>
      <c r="D68" s="7"/>
    </row>
    <row r="69" spans="1:4" x14ac:dyDescent="0.25">
      <c r="A69" s="5">
        <v>66</v>
      </c>
      <c r="B69" s="5" t="s">
        <v>92</v>
      </c>
      <c r="C69" s="7" t="s">
        <v>71</v>
      </c>
      <c r="D69" s="7"/>
    </row>
    <row r="70" spans="1:4" x14ac:dyDescent="0.25">
      <c r="A70" s="5">
        <v>67</v>
      </c>
      <c r="B70" s="5" t="s">
        <v>93</v>
      </c>
      <c r="C70" s="7" t="s">
        <v>94</v>
      </c>
      <c r="D70" s="7"/>
    </row>
    <row r="71" spans="1:4" x14ac:dyDescent="0.25">
      <c r="A71" s="5">
        <v>68</v>
      </c>
      <c r="B71" s="5" t="s">
        <v>97</v>
      </c>
      <c r="C71" s="7"/>
      <c r="D71" s="7"/>
    </row>
    <row r="72" spans="1:4" x14ac:dyDescent="0.25">
      <c r="A72" s="5">
        <v>69</v>
      </c>
      <c r="B72" s="5" t="s">
        <v>98</v>
      </c>
      <c r="C72" s="7" t="s">
        <v>100</v>
      </c>
      <c r="D72" s="7"/>
    </row>
    <row r="73" spans="1:4" x14ac:dyDescent="0.25">
      <c r="A73" s="5">
        <v>70</v>
      </c>
      <c r="B73" s="5" t="s">
        <v>99</v>
      </c>
      <c r="C73" s="7" t="s">
        <v>111</v>
      </c>
      <c r="D73" s="7"/>
    </row>
    <row r="74" spans="1:4" x14ac:dyDescent="0.25">
      <c r="A74" s="5">
        <v>71</v>
      </c>
      <c r="B74" s="5" t="s">
        <v>101</v>
      </c>
      <c r="C74" s="7"/>
      <c r="D74" s="7"/>
    </row>
    <row r="75" spans="1:4" x14ac:dyDescent="0.25">
      <c r="A75" s="5">
        <v>72</v>
      </c>
      <c r="B75" s="5" t="s">
        <v>102</v>
      </c>
      <c r="C75" s="7" t="s">
        <v>105</v>
      </c>
      <c r="D75" s="7"/>
    </row>
    <row r="76" spans="1:4" x14ac:dyDescent="0.25">
      <c r="A76" s="5">
        <v>73</v>
      </c>
      <c r="B76" s="5" t="s">
        <v>103</v>
      </c>
      <c r="C76" s="7" t="s">
        <v>82</v>
      </c>
      <c r="D76" s="7"/>
    </row>
  </sheetData>
  <autoFilter ref="A3:D76" xr:uid="{00000000-0001-0000-0000-000000000000}"/>
  <mergeCells count="1">
    <mergeCell ref="D4:D4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#참조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pc007</dc:creator>
  <cp:lastModifiedBy>Oh Young Jin</cp:lastModifiedBy>
  <dcterms:created xsi:type="dcterms:W3CDTF">2015-06-05T18:19:34Z</dcterms:created>
  <dcterms:modified xsi:type="dcterms:W3CDTF">2026-01-07T07:58:09Z</dcterms:modified>
</cp:coreProperties>
</file>