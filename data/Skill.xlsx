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Ai\BattleAgent\data\"/>
    </mc:Choice>
  </mc:AlternateContent>
  <xr:revisionPtr revIDLastSave="0" documentId="13_ncr:1_{805204ED-401B-40CB-AB99-D5AF24800143}" xr6:coauthVersionLast="47" xr6:coauthVersionMax="47" xr10:uidLastSave="{00000000-0000-0000-0000-000000000000}"/>
  <bookViews>
    <workbookView xWindow="-38520" yWindow="-45" windowWidth="38640" windowHeight="21120" tabRatio="875" activeTab="4" xr2:uid="{91475087-BCE4-4BA8-B1AA-F73C99E20F42}"/>
  </bookViews>
  <sheets>
    <sheet name="Skill&lt;Child&gt;" sheetId="32" r:id="rId1"/>
    <sheet name="BuffValue&lt;Child&gt;" sheetId="34" r:id="rId2"/>
    <sheet name="Target" sheetId="29" r:id="rId3"/>
    <sheet name="Area" sheetId="8" r:id="rId4"/>
    <sheet name="Trigger" sheetId="11" r:id="rId5"/>
    <sheet name="BuffValueLevelUp" sheetId="16" r:id="rId6"/>
    <sheet name="LevelUp" sheetId="17" r:id="rId7"/>
    <sheet name="#참조" sheetId="10" r:id="rId8"/>
  </sheets>
  <externalReferences>
    <externalReference r:id="rId9"/>
    <externalReference r:id="rId10"/>
  </externalReferences>
  <definedNames>
    <definedName name="_xlnm._FilterDatabase" localSheetId="3" hidden="1">Area!$A$3:$G$3</definedName>
    <definedName name="_xlnm._FilterDatabase" localSheetId="1" hidden="1">'BuffValue&lt;Child&gt;'!$A$3:$AC$343</definedName>
    <definedName name="_xlnm._FilterDatabase" localSheetId="0" hidden="1">'Skill&lt;Child&gt;'!$A$3:$AZ$283</definedName>
    <definedName name="_xlnm._FilterDatabase" localSheetId="2" hidden="1">Target!$A$3:$I$209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3" i="32" l="1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F423" i="34"/>
  <c r="F422" i="34"/>
  <c r="F421" i="34"/>
  <c r="F420" i="34"/>
  <c r="F419" i="34"/>
  <c r="F418" i="34"/>
  <c r="F417" i="34"/>
  <c r="F416" i="34"/>
  <c r="A6" i="32" l="1"/>
  <c r="A9" i="32"/>
  <c r="A7" i="32"/>
  <c r="A8" i="32"/>
  <c r="A5" i="32"/>
  <c r="A4" i="32"/>
  <c r="X254" i="32"/>
  <c r="AY283" i="32" l="1"/>
  <c r="AX283" i="32"/>
  <c r="AW283" i="32"/>
  <c r="AV283" i="32"/>
  <c r="AU283" i="32"/>
  <c r="AT283" i="32"/>
  <c r="AS283" i="32"/>
  <c r="AR283" i="32"/>
  <c r="AQ283" i="32"/>
  <c r="AN283" i="32"/>
  <c r="AI283" i="32"/>
  <c r="AJ283" i="32" s="1" a="1"/>
  <c r="AJ283" i="32" s="1"/>
  <c r="AD283" i="32"/>
  <c r="AE283" i="32" s="1" a="1"/>
  <c r="AE283" i="32" s="1"/>
  <c r="Y283" i="32"/>
  <c r="Z283" i="32" s="1" a="1"/>
  <c r="Z283" i="32" s="1"/>
  <c r="X283" i="32"/>
  <c r="T283" i="32" s="1"/>
  <c r="U283" i="32" s="1" a="1"/>
  <c r="U283" i="32" s="1"/>
  <c r="S283" i="32"/>
  <c r="Q283" i="32" a="1"/>
  <c r="Q283" i="32" s="1"/>
  <c r="N283" i="32"/>
  <c r="M283" i="32"/>
  <c r="L283" i="32"/>
  <c r="J283" i="32"/>
  <c r="H283" i="32"/>
  <c r="E283" i="32"/>
  <c r="AY282" i="32"/>
  <c r="AX282" i="32"/>
  <c r="AW282" i="32"/>
  <c r="AV282" i="32"/>
  <c r="AU282" i="32"/>
  <c r="AT282" i="32"/>
  <c r="AS282" i="32"/>
  <c r="AR282" i="32"/>
  <c r="AQ282" i="32"/>
  <c r="AN282" i="32"/>
  <c r="AI282" i="32"/>
  <c r="AJ282" i="32" s="1" a="1"/>
  <c r="AJ282" i="32" s="1"/>
  <c r="AD282" i="32"/>
  <c r="AE282" i="32" s="1" a="1"/>
  <c r="AE282" i="32" s="1"/>
  <c r="Y282" i="32"/>
  <c r="Z282" i="32" s="1" a="1"/>
  <c r="Z282" i="32" s="1"/>
  <c r="X282" i="32"/>
  <c r="AP282" i="32" s="1"/>
  <c r="S282" i="32"/>
  <c r="Q282" i="32" a="1"/>
  <c r="Q282" i="32" s="1"/>
  <c r="N282" i="32"/>
  <c r="M282" i="32"/>
  <c r="L282" i="32"/>
  <c r="J282" i="32"/>
  <c r="H282" i="32"/>
  <c r="E282" i="32"/>
  <c r="AY281" i="32"/>
  <c r="AX281" i="32"/>
  <c r="AW281" i="32"/>
  <c r="AV281" i="32"/>
  <c r="AU281" i="32"/>
  <c r="AT281" i="32"/>
  <c r="AS281" i="32"/>
  <c r="AR281" i="32"/>
  <c r="AQ281" i="32"/>
  <c r="AN281" i="32"/>
  <c r="AI281" i="32"/>
  <c r="AJ281" i="32" s="1" a="1"/>
  <c r="AJ281" i="32" s="1"/>
  <c r="AD281" i="32"/>
  <c r="AE281" i="32" s="1" a="1"/>
  <c r="AE281" i="32" s="1"/>
  <c r="Y281" i="32"/>
  <c r="Z281" i="32" s="1" a="1"/>
  <c r="Z281" i="32" s="1"/>
  <c r="X281" i="32"/>
  <c r="AP281" i="32" s="1"/>
  <c r="Q281" i="32" a="1"/>
  <c r="Q281" i="32" s="1"/>
  <c r="N281" i="32"/>
  <c r="M281" i="32"/>
  <c r="L281" i="32"/>
  <c r="J281" i="32"/>
  <c r="H281" i="32"/>
  <c r="E281" i="32"/>
  <c r="AY280" i="32"/>
  <c r="AX280" i="32"/>
  <c r="AW280" i="32"/>
  <c r="AV280" i="32"/>
  <c r="AU280" i="32"/>
  <c r="AT280" i="32"/>
  <c r="AS280" i="32"/>
  <c r="AR280" i="32"/>
  <c r="AQ280" i="32"/>
  <c r="AN280" i="32"/>
  <c r="AI280" i="32"/>
  <c r="AJ280" i="32" s="1" a="1"/>
  <c r="AJ280" i="32" s="1"/>
  <c r="AD280" i="32"/>
  <c r="AE280" i="32" s="1" a="1"/>
  <c r="AE280" i="32" s="1"/>
  <c r="Y280" i="32"/>
  <c r="Z280" i="32" s="1" a="1"/>
  <c r="Z280" i="32" s="1"/>
  <c r="X280" i="32"/>
  <c r="AP280" i="32" s="1"/>
  <c r="Q280" i="32" a="1"/>
  <c r="Q280" i="32" s="1"/>
  <c r="N280" i="32"/>
  <c r="M280" i="32"/>
  <c r="L280" i="32"/>
  <c r="J280" i="32"/>
  <c r="H280" i="32"/>
  <c r="E280" i="32"/>
  <c r="AY279" i="32"/>
  <c r="AX279" i="32"/>
  <c r="AW279" i="32"/>
  <c r="AV279" i="32"/>
  <c r="AU279" i="32"/>
  <c r="AT279" i="32"/>
  <c r="AS279" i="32"/>
  <c r="AR279" i="32"/>
  <c r="AQ279" i="32"/>
  <c r="AN279" i="32"/>
  <c r="AI279" i="32"/>
  <c r="AJ279" i="32" s="1" a="1"/>
  <c r="AJ279" i="32" s="1"/>
  <c r="AE279" i="32" a="1"/>
  <c r="AE279" i="32" s="1"/>
  <c r="AD279" i="32"/>
  <c r="Y279" i="32"/>
  <c r="Z279" i="32" s="1" a="1"/>
  <c r="Z279" i="32" s="1"/>
  <c r="X279" i="32"/>
  <c r="AO279" i="32" s="1"/>
  <c r="Q279" i="32" a="1"/>
  <c r="Q279" i="32" s="1"/>
  <c r="N279" i="32"/>
  <c r="M279" i="32"/>
  <c r="L279" i="32"/>
  <c r="J279" i="32"/>
  <c r="H279" i="32"/>
  <c r="E279" i="32"/>
  <c r="AY278" i="32"/>
  <c r="AX278" i="32"/>
  <c r="AW278" i="32"/>
  <c r="AV278" i="32"/>
  <c r="AU278" i="32"/>
  <c r="AT278" i="32"/>
  <c r="AS278" i="32"/>
  <c r="AR278" i="32"/>
  <c r="AQ278" i="32"/>
  <c r="AN278" i="32"/>
  <c r="AI278" i="32"/>
  <c r="AJ278" i="32" s="1" a="1"/>
  <c r="AJ278" i="32" s="1"/>
  <c r="AD278" i="32"/>
  <c r="AE278" i="32" s="1" a="1"/>
  <c r="AE278" i="32" s="1"/>
  <c r="Y278" i="32"/>
  <c r="Z278" i="32" s="1" a="1"/>
  <c r="Z278" i="32" s="1"/>
  <c r="X278" i="32"/>
  <c r="AP278" i="32" s="1"/>
  <c r="Q278" i="32" a="1"/>
  <c r="Q278" i="32" s="1"/>
  <c r="N278" i="32"/>
  <c r="M278" i="32"/>
  <c r="L278" i="32"/>
  <c r="J278" i="32"/>
  <c r="H278" i="32"/>
  <c r="E278" i="32"/>
  <c r="AY277" i="32"/>
  <c r="AX277" i="32"/>
  <c r="AW277" i="32"/>
  <c r="AV277" i="32"/>
  <c r="AU277" i="32"/>
  <c r="AT277" i="32"/>
  <c r="AS277" i="32"/>
  <c r="AR277" i="32"/>
  <c r="AQ277" i="32"/>
  <c r="AN277" i="32"/>
  <c r="AI277" i="32"/>
  <c r="AJ277" i="32" s="1" a="1"/>
  <c r="AJ277" i="32" s="1"/>
  <c r="AD277" i="32"/>
  <c r="AE277" i="32" s="1" a="1"/>
  <c r="AE277" i="32" s="1"/>
  <c r="Y277" i="32"/>
  <c r="Z277" i="32" s="1" a="1"/>
  <c r="Z277" i="32" s="1"/>
  <c r="X277" i="32"/>
  <c r="AP277" i="32" s="1"/>
  <c r="Q277" i="32" a="1"/>
  <c r="Q277" i="32" s="1"/>
  <c r="N277" i="32"/>
  <c r="M277" i="32"/>
  <c r="L277" i="32"/>
  <c r="J277" i="32"/>
  <c r="H277" i="32"/>
  <c r="E277" i="32"/>
  <c r="AY276" i="32"/>
  <c r="AX276" i="32"/>
  <c r="AW276" i="32"/>
  <c r="AV276" i="32"/>
  <c r="AU276" i="32"/>
  <c r="AT276" i="32"/>
  <c r="AS276" i="32"/>
  <c r="AR276" i="32"/>
  <c r="AQ276" i="32"/>
  <c r="AN276" i="32"/>
  <c r="AI276" i="32"/>
  <c r="AJ276" i="32" s="1" a="1"/>
  <c r="AJ276" i="32" s="1"/>
  <c r="AD276" i="32"/>
  <c r="AE276" i="32" s="1" a="1"/>
  <c r="AE276" i="32" s="1"/>
  <c r="Y276" i="32"/>
  <c r="Z276" i="32" s="1" a="1"/>
  <c r="Z276" i="32" s="1"/>
  <c r="X276" i="32"/>
  <c r="T276" i="32" s="1"/>
  <c r="U276" i="32" s="1" a="1"/>
  <c r="U276" i="32" s="1"/>
  <c r="N276" i="32"/>
  <c r="M276" i="32"/>
  <c r="L276" i="32"/>
  <c r="J276" i="32"/>
  <c r="H276" i="32"/>
  <c r="E276" i="32"/>
  <c r="N275" i="32"/>
  <c r="M275" i="32"/>
  <c r="N274" i="32"/>
  <c r="M274" i="32"/>
  <c r="N273" i="32"/>
  <c r="M273" i="32"/>
  <c r="N272" i="32"/>
  <c r="M272" i="32"/>
  <c r="N271" i="32"/>
  <c r="M271" i="32"/>
  <c r="N270" i="32"/>
  <c r="M270" i="32"/>
  <c r="N269" i="32"/>
  <c r="M269" i="32"/>
  <c r="N268" i="32"/>
  <c r="M268" i="32"/>
  <c r="N267" i="32"/>
  <c r="M267" i="32"/>
  <c r="N266" i="32"/>
  <c r="M266" i="32"/>
  <c r="N265" i="32"/>
  <c r="M265" i="32"/>
  <c r="N264" i="32"/>
  <c r="M264" i="32"/>
  <c r="N263" i="32"/>
  <c r="M263" i="32"/>
  <c r="N262" i="32"/>
  <c r="M262" i="32"/>
  <c r="N261" i="32"/>
  <c r="M261" i="32"/>
  <c r="N260" i="32"/>
  <c r="M260" i="32"/>
  <c r="N259" i="32"/>
  <c r="M259" i="32"/>
  <c r="N258" i="32"/>
  <c r="M258" i="32"/>
  <c r="N257" i="32"/>
  <c r="M257" i="32"/>
  <c r="N256" i="32"/>
  <c r="M256" i="32"/>
  <c r="N255" i="32"/>
  <c r="M255" i="32"/>
  <c r="N254" i="32"/>
  <c r="M254" i="32"/>
  <c r="N253" i="32"/>
  <c r="M253" i="32"/>
  <c r="N252" i="32"/>
  <c r="M252" i="32"/>
  <c r="N251" i="32"/>
  <c r="M251" i="32"/>
  <c r="N250" i="32"/>
  <c r="M250" i="32"/>
  <c r="N249" i="32"/>
  <c r="M249" i="32"/>
  <c r="N248" i="32"/>
  <c r="M248" i="32"/>
  <c r="N247" i="32"/>
  <c r="M247" i="32"/>
  <c r="N246" i="32"/>
  <c r="M246" i="32"/>
  <c r="N245" i="32"/>
  <c r="M245" i="32"/>
  <c r="N244" i="32"/>
  <c r="M244" i="32"/>
  <c r="N243" i="32"/>
  <c r="M243" i="32"/>
  <c r="N242" i="32"/>
  <c r="M242" i="32"/>
  <c r="N241" i="32"/>
  <c r="M241" i="32"/>
  <c r="N240" i="32"/>
  <c r="M240" i="32"/>
  <c r="N239" i="32"/>
  <c r="M239" i="32"/>
  <c r="N238" i="32"/>
  <c r="M238" i="32"/>
  <c r="N237" i="32"/>
  <c r="M237" i="32"/>
  <c r="N236" i="32"/>
  <c r="M236" i="32"/>
  <c r="N235" i="32"/>
  <c r="M235" i="32"/>
  <c r="N234" i="32"/>
  <c r="M234" i="32"/>
  <c r="N233" i="32"/>
  <c r="M233" i="32"/>
  <c r="N232" i="32"/>
  <c r="M232" i="32"/>
  <c r="N231" i="32"/>
  <c r="M231" i="32"/>
  <c r="N230" i="32"/>
  <c r="M230" i="32"/>
  <c r="N229" i="32"/>
  <c r="M229" i="32"/>
  <c r="N228" i="32"/>
  <c r="M228" i="32"/>
  <c r="N227" i="32"/>
  <c r="M227" i="32"/>
  <c r="N226" i="32"/>
  <c r="M226" i="32"/>
  <c r="N225" i="32"/>
  <c r="M225" i="32"/>
  <c r="N224" i="32"/>
  <c r="M224" i="32"/>
  <c r="N223" i="32"/>
  <c r="M223" i="32"/>
  <c r="N222" i="32"/>
  <c r="M222" i="32"/>
  <c r="N221" i="32"/>
  <c r="M221" i="32"/>
  <c r="N220" i="32"/>
  <c r="M220" i="32"/>
  <c r="N219" i="32"/>
  <c r="M219" i="32"/>
  <c r="N218" i="32"/>
  <c r="M218" i="32"/>
  <c r="N217" i="32"/>
  <c r="M217" i="32"/>
  <c r="N216" i="32"/>
  <c r="M216" i="32"/>
  <c r="N215" i="32"/>
  <c r="M215" i="32"/>
  <c r="N214" i="32"/>
  <c r="M214" i="32"/>
  <c r="N213" i="32"/>
  <c r="M213" i="32"/>
  <c r="N212" i="32"/>
  <c r="M212" i="32"/>
  <c r="N211" i="32"/>
  <c r="M211" i="32"/>
  <c r="N210" i="32"/>
  <c r="M210" i="32"/>
  <c r="N209" i="32"/>
  <c r="M209" i="32"/>
  <c r="N208" i="32"/>
  <c r="M208" i="32"/>
  <c r="N207" i="32"/>
  <c r="M207" i="32"/>
  <c r="N206" i="32"/>
  <c r="M206" i="32"/>
  <c r="N205" i="32"/>
  <c r="M205" i="32"/>
  <c r="N204" i="32"/>
  <c r="M204" i="32"/>
  <c r="N203" i="32"/>
  <c r="M203" i="32"/>
  <c r="N202" i="32"/>
  <c r="M202" i="32"/>
  <c r="N201" i="32"/>
  <c r="M201" i="32"/>
  <c r="N200" i="32"/>
  <c r="M200" i="32"/>
  <c r="N199" i="32"/>
  <c r="M199" i="32"/>
  <c r="N198" i="32"/>
  <c r="M198" i="32"/>
  <c r="N197" i="32"/>
  <c r="M197" i="32"/>
  <c r="N196" i="32"/>
  <c r="M196" i="32"/>
  <c r="N195" i="32"/>
  <c r="M195" i="32"/>
  <c r="N194" i="32"/>
  <c r="M194" i="32"/>
  <c r="N193" i="32"/>
  <c r="M193" i="32"/>
  <c r="N192" i="32"/>
  <c r="M192" i="32"/>
  <c r="N191" i="32"/>
  <c r="M191" i="32"/>
  <c r="N190" i="32"/>
  <c r="M190" i="32"/>
  <c r="N189" i="32"/>
  <c r="M189" i="32"/>
  <c r="N188" i="32"/>
  <c r="M188" i="32"/>
  <c r="N187" i="32"/>
  <c r="M187" i="32"/>
  <c r="N186" i="32"/>
  <c r="M186" i="32"/>
  <c r="N185" i="32"/>
  <c r="M185" i="32"/>
  <c r="N184" i="32"/>
  <c r="M184" i="32"/>
  <c r="N183" i="32"/>
  <c r="M183" i="32"/>
  <c r="N182" i="32"/>
  <c r="M182" i="32"/>
  <c r="N181" i="32"/>
  <c r="M181" i="32"/>
  <c r="N180" i="32"/>
  <c r="M180" i="32"/>
  <c r="N179" i="32"/>
  <c r="M179" i="32"/>
  <c r="N178" i="32"/>
  <c r="M178" i="32"/>
  <c r="N177" i="32"/>
  <c r="M177" i="32"/>
  <c r="N176" i="32"/>
  <c r="M176" i="32"/>
  <c r="N175" i="32"/>
  <c r="M175" i="32"/>
  <c r="N174" i="32"/>
  <c r="M174" i="32"/>
  <c r="N173" i="32"/>
  <c r="M173" i="32"/>
  <c r="N172" i="32"/>
  <c r="M172" i="32"/>
  <c r="N171" i="32"/>
  <c r="M171" i="32"/>
  <c r="N170" i="32"/>
  <c r="M170" i="32"/>
  <c r="N169" i="32"/>
  <c r="M169" i="32"/>
  <c r="N168" i="32"/>
  <c r="M168" i="32"/>
  <c r="N167" i="32"/>
  <c r="M167" i="32"/>
  <c r="N166" i="32"/>
  <c r="M166" i="32"/>
  <c r="N165" i="32"/>
  <c r="M165" i="32"/>
  <c r="N164" i="32"/>
  <c r="M164" i="32"/>
  <c r="N163" i="32"/>
  <c r="M163" i="32"/>
  <c r="N162" i="32"/>
  <c r="M162" i="32"/>
  <c r="N161" i="32"/>
  <c r="M161" i="32"/>
  <c r="N160" i="32"/>
  <c r="M160" i="32"/>
  <c r="N159" i="32"/>
  <c r="M159" i="32"/>
  <c r="N158" i="32"/>
  <c r="M158" i="32"/>
  <c r="N157" i="32"/>
  <c r="M157" i="32"/>
  <c r="N156" i="32"/>
  <c r="M156" i="32"/>
  <c r="N155" i="32"/>
  <c r="M155" i="32"/>
  <c r="N154" i="32"/>
  <c r="M154" i="32"/>
  <c r="N153" i="32"/>
  <c r="M153" i="32"/>
  <c r="N152" i="32"/>
  <c r="M152" i="32"/>
  <c r="N151" i="32"/>
  <c r="M151" i="32"/>
  <c r="N150" i="32"/>
  <c r="M150" i="32"/>
  <c r="N149" i="32"/>
  <c r="M149" i="32"/>
  <c r="N148" i="32"/>
  <c r="M148" i="32"/>
  <c r="N147" i="32"/>
  <c r="M147" i="32"/>
  <c r="N146" i="32"/>
  <c r="M146" i="32"/>
  <c r="N145" i="32"/>
  <c r="M145" i="32"/>
  <c r="N144" i="32"/>
  <c r="M144" i="32"/>
  <c r="N143" i="32"/>
  <c r="M143" i="32"/>
  <c r="N142" i="32"/>
  <c r="M142" i="32"/>
  <c r="N141" i="32"/>
  <c r="M141" i="32"/>
  <c r="N140" i="32"/>
  <c r="M140" i="32"/>
  <c r="N139" i="32"/>
  <c r="M139" i="32"/>
  <c r="N138" i="32"/>
  <c r="M138" i="32"/>
  <c r="N137" i="32"/>
  <c r="M137" i="32"/>
  <c r="N136" i="32"/>
  <c r="M136" i="32"/>
  <c r="N135" i="32"/>
  <c r="M135" i="32"/>
  <c r="N134" i="32"/>
  <c r="M134" i="32"/>
  <c r="N133" i="32"/>
  <c r="M133" i="32"/>
  <c r="N132" i="32"/>
  <c r="M132" i="32"/>
  <c r="N131" i="32"/>
  <c r="M131" i="32"/>
  <c r="N130" i="32"/>
  <c r="M130" i="32"/>
  <c r="N129" i="32"/>
  <c r="M129" i="32"/>
  <c r="N128" i="32"/>
  <c r="M128" i="32"/>
  <c r="N127" i="32"/>
  <c r="M127" i="32"/>
  <c r="N126" i="32"/>
  <c r="M126" i="32"/>
  <c r="N125" i="32"/>
  <c r="M125" i="32"/>
  <c r="N124" i="32"/>
  <c r="M124" i="32"/>
  <c r="N123" i="32"/>
  <c r="M123" i="32"/>
  <c r="N122" i="32"/>
  <c r="M122" i="32"/>
  <c r="N121" i="32"/>
  <c r="M121" i="32"/>
  <c r="N120" i="32"/>
  <c r="M120" i="32"/>
  <c r="N119" i="32"/>
  <c r="M119" i="32"/>
  <c r="N118" i="32"/>
  <c r="M118" i="32"/>
  <c r="N117" i="32"/>
  <c r="M117" i="32"/>
  <c r="N116" i="32"/>
  <c r="M116" i="32"/>
  <c r="N115" i="32"/>
  <c r="M115" i="32"/>
  <c r="N114" i="32"/>
  <c r="M114" i="32"/>
  <c r="N113" i="32"/>
  <c r="M113" i="32"/>
  <c r="N112" i="32"/>
  <c r="M112" i="32"/>
  <c r="N111" i="32"/>
  <c r="M111" i="32"/>
  <c r="N110" i="32"/>
  <c r="M110" i="32"/>
  <c r="N109" i="32"/>
  <c r="M109" i="32"/>
  <c r="N108" i="32"/>
  <c r="M108" i="32"/>
  <c r="N107" i="32"/>
  <c r="M107" i="32"/>
  <c r="N106" i="32"/>
  <c r="M106" i="32"/>
  <c r="N105" i="32"/>
  <c r="M105" i="32"/>
  <c r="N104" i="32"/>
  <c r="M104" i="32"/>
  <c r="N103" i="32"/>
  <c r="M103" i="32"/>
  <c r="N102" i="32"/>
  <c r="M102" i="32"/>
  <c r="N101" i="32"/>
  <c r="M101" i="32"/>
  <c r="N100" i="32"/>
  <c r="M100" i="32"/>
  <c r="N99" i="32"/>
  <c r="M99" i="32"/>
  <c r="N98" i="32"/>
  <c r="M98" i="32"/>
  <c r="N97" i="32"/>
  <c r="M97" i="32"/>
  <c r="N96" i="32"/>
  <c r="M96" i="32"/>
  <c r="N95" i="32"/>
  <c r="M95" i="32"/>
  <c r="N94" i="32"/>
  <c r="M94" i="32"/>
  <c r="N93" i="32"/>
  <c r="M93" i="32"/>
  <c r="N92" i="32"/>
  <c r="M92" i="32"/>
  <c r="N91" i="32"/>
  <c r="M91" i="32"/>
  <c r="N90" i="32"/>
  <c r="M90" i="32"/>
  <c r="N89" i="32"/>
  <c r="M89" i="32"/>
  <c r="N88" i="32"/>
  <c r="M88" i="32"/>
  <c r="N87" i="32"/>
  <c r="M87" i="32"/>
  <c r="N86" i="32"/>
  <c r="M86" i="32"/>
  <c r="N85" i="32"/>
  <c r="M85" i="32"/>
  <c r="N84" i="32"/>
  <c r="M84" i="32"/>
  <c r="N83" i="32"/>
  <c r="M83" i="32"/>
  <c r="N82" i="32"/>
  <c r="M82" i="32"/>
  <c r="N81" i="32"/>
  <c r="M81" i="32"/>
  <c r="N80" i="32"/>
  <c r="M80" i="32"/>
  <c r="N79" i="32"/>
  <c r="M79" i="32"/>
  <c r="N78" i="32"/>
  <c r="M78" i="32"/>
  <c r="N77" i="32"/>
  <c r="M77" i="32"/>
  <c r="N76" i="32"/>
  <c r="M76" i="32"/>
  <c r="N75" i="32"/>
  <c r="M75" i="32"/>
  <c r="N74" i="32"/>
  <c r="M74" i="32"/>
  <c r="N73" i="32"/>
  <c r="M73" i="32"/>
  <c r="N72" i="32"/>
  <c r="M72" i="32"/>
  <c r="N71" i="32"/>
  <c r="M71" i="32"/>
  <c r="N70" i="32"/>
  <c r="M70" i="32"/>
  <c r="N69" i="32"/>
  <c r="M69" i="32"/>
  <c r="N68" i="32"/>
  <c r="M68" i="32"/>
  <c r="N67" i="32"/>
  <c r="M67" i="32"/>
  <c r="N66" i="32"/>
  <c r="M66" i="32"/>
  <c r="N65" i="32"/>
  <c r="M65" i="32"/>
  <c r="N64" i="32"/>
  <c r="M64" i="32"/>
  <c r="N63" i="32"/>
  <c r="M63" i="32"/>
  <c r="N62" i="32"/>
  <c r="M62" i="32"/>
  <c r="N61" i="32"/>
  <c r="M61" i="32"/>
  <c r="N60" i="32"/>
  <c r="M60" i="32"/>
  <c r="N59" i="32"/>
  <c r="M59" i="32"/>
  <c r="N58" i="32"/>
  <c r="M58" i="32"/>
  <c r="N57" i="32"/>
  <c r="M57" i="32"/>
  <c r="N56" i="32"/>
  <c r="M56" i="32"/>
  <c r="N55" i="32"/>
  <c r="M55" i="32"/>
  <c r="N54" i="32"/>
  <c r="M54" i="32"/>
  <c r="N53" i="32"/>
  <c r="M53" i="32"/>
  <c r="N52" i="32"/>
  <c r="M52" i="32"/>
  <c r="N51" i="32"/>
  <c r="M51" i="32"/>
  <c r="N50" i="32"/>
  <c r="M50" i="32"/>
  <c r="N49" i="32"/>
  <c r="M49" i="32"/>
  <c r="N48" i="32"/>
  <c r="M48" i="32"/>
  <c r="N47" i="32"/>
  <c r="M47" i="32"/>
  <c r="N46" i="32"/>
  <c r="M46" i="32"/>
  <c r="N45" i="32"/>
  <c r="M45" i="32"/>
  <c r="N44" i="32"/>
  <c r="M44" i="32"/>
  <c r="N43" i="32"/>
  <c r="M43" i="32"/>
  <c r="N42" i="32"/>
  <c r="M42" i="32"/>
  <c r="N41" i="32"/>
  <c r="M41" i="32"/>
  <c r="N40" i="32"/>
  <c r="M40" i="32"/>
  <c r="N39" i="32"/>
  <c r="M39" i="32"/>
  <c r="N38" i="32"/>
  <c r="M38" i="32"/>
  <c r="N37" i="32"/>
  <c r="M37" i="32"/>
  <c r="N36" i="32"/>
  <c r="M36" i="32"/>
  <c r="N35" i="32"/>
  <c r="M35" i="32"/>
  <c r="N34" i="32"/>
  <c r="M34" i="32"/>
  <c r="N33" i="32"/>
  <c r="M33" i="32"/>
  <c r="N32" i="32"/>
  <c r="M32" i="32"/>
  <c r="N31" i="32"/>
  <c r="M31" i="32"/>
  <c r="N30" i="32"/>
  <c r="M30" i="32"/>
  <c r="N29" i="32"/>
  <c r="M29" i="32"/>
  <c r="N28" i="32"/>
  <c r="M28" i="32"/>
  <c r="N27" i="32"/>
  <c r="M27" i="32"/>
  <c r="N26" i="32"/>
  <c r="M26" i="32"/>
  <c r="N25" i="32"/>
  <c r="M25" i="32"/>
  <c r="N24" i="32"/>
  <c r="M24" i="32"/>
  <c r="N23" i="32"/>
  <c r="M23" i="32"/>
  <c r="N22" i="32"/>
  <c r="M22" i="32"/>
  <c r="N21" i="32"/>
  <c r="M21" i="32"/>
  <c r="N20" i="32"/>
  <c r="M20" i="32"/>
  <c r="N19" i="32"/>
  <c r="M19" i="32"/>
  <c r="N18" i="32"/>
  <c r="M18" i="32"/>
  <c r="N17" i="32"/>
  <c r="M17" i="32"/>
  <c r="N16" i="32"/>
  <c r="M16" i="32"/>
  <c r="N15" i="32"/>
  <c r="M15" i="32"/>
  <c r="N14" i="32"/>
  <c r="M14" i="32"/>
  <c r="N13" i="32"/>
  <c r="M13" i="32"/>
  <c r="N12" i="32"/>
  <c r="M12" i="32"/>
  <c r="N11" i="32"/>
  <c r="M11" i="32"/>
  <c r="N10" i="32"/>
  <c r="M10" i="32"/>
  <c r="N9" i="32"/>
  <c r="M9" i="32"/>
  <c r="N8" i="32"/>
  <c r="M8" i="32"/>
  <c r="N7" i="32"/>
  <c r="M7" i="32"/>
  <c r="N6" i="32"/>
  <c r="M6" i="32"/>
  <c r="N5" i="32"/>
  <c r="M5" i="32"/>
  <c r="M4" i="32"/>
  <c r="N4" i="32"/>
  <c r="T279" i="32" l="1"/>
  <c r="U279" i="32" s="1" a="1"/>
  <c r="U279" i="32" s="1"/>
  <c r="AO282" i="32"/>
  <c r="AO276" i="32"/>
  <c r="AO277" i="32"/>
  <c r="T278" i="32"/>
  <c r="U278" i="32" s="1" a="1"/>
  <c r="U278" i="32" s="1"/>
  <c r="AP279" i="32"/>
  <c r="AP276" i="32"/>
  <c r="T282" i="32"/>
  <c r="U282" i="32" s="1" a="1"/>
  <c r="U282" i="32" s="1"/>
  <c r="AO283" i="32"/>
  <c r="AO278" i="32"/>
  <c r="AP283" i="32"/>
  <c r="T277" i="32"/>
  <c r="U277" i="32" s="1" a="1"/>
  <c r="U277" i="32" s="1"/>
  <c r="T281" i="32"/>
  <c r="U281" i="32" s="1" a="1"/>
  <c r="U281" i="32" s="1"/>
  <c r="AO281" i="32"/>
  <c r="T280" i="32"/>
  <c r="U280" i="32" s="1" a="1"/>
  <c r="U280" i="32" s="1"/>
  <c r="AO280" i="32"/>
  <c r="AY275" i="32" l="1"/>
  <c r="AX275" i="32"/>
  <c r="AW275" i="32"/>
  <c r="AV275" i="32"/>
  <c r="AU275" i="32"/>
  <c r="AT275" i="32"/>
  <c r="AS275" i="32"/>
  <c r="AR275" i="32"/>
  <c r="AQ275" i="32"/>
  <c r="AN275" i="32"/>
  <c r="AI275" i="32"/>
  <c r="AJ275" i="32" s="1" a="1"/>
  <c r="AJ275" i="32" s="1"/>
  <c r="AD275" i="32"/>
  <c r="AE275" i="32" s="1" a="1"/>
  <c r="AE275" i="32" s="1"/>
  <c r="Y275" i="32"/>
  <c r="Z275" i="32" s="1" a="1"/>
  <c r="Z275" i="32" s="1"/>
  <c r="X275" i="32"/>
  <c r="T275" i="32" s="1"/>
  <c r="U275" i="32" s="1" a="1"/>
  <c r="U275" i="32" s="1"/>
  <c r="S275" i="32"/>
  <c r="Q275" i="32" a="1"/>
  <c r="Q275" i="32" s="1"/>
  <c r="L275" i="32"/>
  <c r="J275" i="32"/>
  <c r="H275" i="32"/>
  <c r="E275" i="32"/>
  <c r="AY274" i="32"/>
  <c r="AX274" i="32"/>
  <c r="AW274" i="32"/>
  <c r="AV274" i="32"/>
  <c r="AU274" i="32"/>
  <c r="AT274" i="32"/>
  <c r="AS274" i="32"/>
  <c r="AR274" i="32"/>
  <c r="AQ274" i="32"/>
  <c r="AN274" i="32"/>
  <c r="AI274" i="32"/>
  <c r="AJ274" i="32" s="1" a="1"/>
  <c r="AJ274" i="32" s="1"/>
  <c r="AD274" i="32"/>
  <c r="AE274" i="32" s="1" a="1"/>
  <c r="AE274" i="32" s="1"/>
  <c r="Y274" i="32"/>
  <c r="Z274" i="32" s="1" a="1"/>
  <c r="Z274" i="32" s="1"/>
  <c r="X274" i="32"/>
  <c r="AP274" i="32" s="1"/>
  <c r="S274" i="32"/>
  <c r="Q274" i="32" a="1"/>
  <c r="Q274" i="32" s="1"/>
  <c r="L274" i="32"/>
  <c r="J274" i="32"/>
  <c r="H274" i="32"/>
  <c r="E274" i="32"/>
  <c r="AY273" i="32"/>
  <c r="AX273" i="32"/>
  <c r="AW273" i="32"/>
  <c r="AV273" i="32"/>
  <c r="AU273" i="32"/>
  <c r="AT273" i="32"/>
  <c r="AS273" i="32"/>
  <c r="AR273" i="32"/>
  <c r="AQ273" i="32"/>
  <c r="AN273" i="32"/>
  <c r="AI273" i="32"/>
  <c r="AJ273" i="32" s="1" a="1"/>
  <c r="AJ273" i="32" s="1"/>
  <c r="AD273" i="32"/>
  <c r="AE273" i="32" s="1" a="1"/>
  <c r="AE273" i="32" s="1"/>
  <c r="Y273" i="32"/>
  <c r="Z273" i="32" s="1" a="1"/>
  <c r="Z273" i="32" s="1"/>
  <c r="X273" i="32"/>
  <c r="AP273" i="32" s="1"/>
  <c r="Q273" i="32" a="1"/>
  <c r="Q273" i="32" s="1"/>
  <c r="L273" i="32"/>
  <c r="J273" i="32"/>
  <c r="H273" i="32"/>
  <c r="E273" i="32"/>
  <c r="AY272" i="32"/>
  <c r="AX272" i="32"/>
  <c r="AW272" i="32"/>
  <c r="AV272" i="32"/>
  <c r="AU272" i="32"/>
  <c r="AT272" i="32"/>
  <c r="AS272" i="32"/>
  <c r="AR272" i="32"/>
  <c r="AQ272" i="32"/>
  <c r="AN272" i="32"/>
  <c r="AI272" i="32"/>
  <c r="AJ272" i="32" s="1" a="1"/>
  <c r="AJ272" i="32" s="1"/>
  <c r="AD272" i="32"/>
  <c r="AE272" i="32" s="1" a="1"/>
  <c r="AE272" i="32" s="1"/>
  <c r="Y272" i="32"/>
  <c r="Z272" i="32" s="1" a="1"/>
  <c r="Z272" i="32" s="1"/>
  <c r="X272" i="32"/>
  <c r="AP272" i="32" s="1"/>
  <c r="Q272" i="32" a="1"/>
  <c r="Q272" i="32" s="1"/>
  <c r="L272" i="32"/>
  <c r="J272" i="32"/>
  <c r="H272" i="32"/>
  <c r="E272" i="32"/>
  <c r="AY271" i="32"/>
  <c r="AX271" i="32"/>
  <c r="AW271" i="32"/>
  <c r="AV271" i="32"/>
  <c r="AU271" i="32"/>
  <c r="AT271" i="32"/>
  <c r="AS271" i="32"/>
  <c r="AR271" i="32"/>
  <c r="AQ271" i="32"/>
  <c r="AN271" i="32"/>
  <c r="AI271" i="32"/>
  <c r="AJ271" i="32" s="1" a="1"/>
  <c r="AJ271" i="32" s="1"/>
  <c r="AD271" i="32"/>
  <c r="AE271" i="32" s="1" a="1"/>
  <c r="AE271" i="32" s="1"/>
  <c r="Y271" i="32"/>
  <c r="Z271" i="32" s="1" a="1"/>
  <c r="Z271" i="32" s="1"/>
  <c r="X271" i="32"/>
  <c r="Q271" i="32" a="1"/>
  <c r="Q271" i="32" s="1"/>
  <c r="L271" i="32"/>
  <c r="J271" i="32"/>
  <c r="H271" i="32"/>
  <c r="E271" i="32"/>
  <c r="AY270" i="32"/>
  <c r="AX270" i="32"/>
  <c r="AW270" i="32"/>
  <c r="AV270" i="32"/>
  <c r="AU270" i="32"/>
  <c r="AT270" i="32"/>
  <c r="AS270" i="32"/>
  <c r="AR270" i="32"/>
  <c r="AQ270" i="32"/>
  <c r="AN270" i="32"/>
  <c r="AI270" i="32"/>
  <c r="AJ270" i="32" s="1" a="1"/>
  <c r="AJ270" i="32" s="1"/>
  <c r="AD270" i="32"/>
  <c r="AE270" i="32" s="1" a="1"/>
  <c r="AE270" i="32" s="1"/>
  <c r="Y270" i="32"/>
  <c r="Z270" i="32" s="1" a="1"/>
  <c r="Z270" i="32" s="1"/>
  <c r="X270" i="32"/>
  <c r="AP270" i="32" s="1"/>
  <c r="Q270" i="32" a="1"/>
  <c r="Q270" i="32" s="1"/>
  <c r="L270" i="32"/>
  <c r="J270" i="32"/>
  <c r="H270" i="32"/>
  <c r="E270" i="32"/>
  <c r="AY269" i="32"/>
  <c r="AX269" i="32"/>
  <c r="AW269" i="32"/>
  <c r="AV269" i="32"/>
  <c r="AU269" i="32"/>
  <c r="AT269" i="32"/>
  <c r="AS269" i="32"/>
  <c r="AR269" i="32"/>
  <c r="AQ269" i="32"/>
  <c r="AN269" i="32"/>
  <c r="AI269" i="32"/>
  <c r="AJ269" i="32" s="1" a="1"/>
  <c r="AJ269" i="32" s="1"/>
  <c r="AD269" i="32"/>
  <c r="AE269" i="32" s="1" a="1"/>
  <c r="AE269" i="32" s="1"/>
  <c r="Y269" i="32"/>
  <c r="Z269" i="32" s="1" a="1"/>
  <c r="Z269" i="32" s="1"/>
  <c r="X269" i="32"/>
  <c r="AP269" i="32" s="1"/>
  <c r="Q269" i="32" a="1"/>
  <c r="Q269" i="32" s="1"/>
  <c r="L269" i="32"/>
  <c r="J269" i="32"/>
  <c r="H269" i="32"/>
  <c r="E269" i="32"/>
  <c r="AY268" i="32"/>
  <c r="AX268" i="32"/>
  <c r="AW268" i="32"/>
  <c r="AV268" i="32"/>
  <c r="AU268" i="32"/>
  <c r="AT268" i="32"/>
  <c r="AS268" i="32"/>
  <c r="AR268" i="32"/>
  <c r="AQ268" i="32"/>
  <c r="AN268" i="32"/>
  <c r="AI268" i="32"/>
  <c r="AJ268" i="32" s="1" a="1"/>
  <c r="AJ268" i="32" s="1"/>
  <c r="AD268" i="32"/>
  <c r="AE268" i="32" s="1" a="1"/>
  <c r="AE268" i="32" s="1"/>
  <c r="Y268" i="32"/>
  <c r="Z268" i="32" s="1" a="1"/>
  <c r="Z268" i="32" s="1"/>
  <c r="X268" i="32"/>
  <c r="AP268" i="32" s="1"/>
  <c r="L268" i="32"/>
  <c r="J268" i="32"/>
  <c r="H268" i="32"/>
  <c r="E268" i="32"/>
  <c r="F415" i="34"/>
  <c r="F414" i="34"/>
  <c r="F413" i="34"/>
  <c r="F412" i="34"/>
  <c r="F411" i="34"/>
  <c r="F410" i="34"/>
  <c r="F409" i="34"/>
  <c r="F408" i="34"/>
  <c r="F407" i="34"/>
  <c r="F406" i="34"/>
  <c r="F405" i="34"/>
  <c r="F404" i="34"/>
  <c r="F403" i="34"/>
  <c r="F402" i="34"/>
  <c r="F401" i="34"/>
  <c r="F400" i="34"/>
  <c r="AY267" i="32"/>
  <c r="AX267" i="32"/>
  <c r="AW267" i="32"/>
  <c r="AV267" i="32"/>
  <c r="AU267" i="32"/>
  <c r="AT267" i="32"/>
  <c r="AS267" i="32"/>
  <c r="AR267" i="32"/>
  <c r="AQ267" i="32"/>
  <c r="AN267" i="32"/>
  <c r="AI267" i="32"/>
  <c r="AJ267" i="32" s="1" a="1"/>
  <c r="AJ267" i="32" s="1"/>
  <c r="AD267" i="32"/>
  <c r="AE267" i="32" s="1" a="1"/>
  <c r="AE267" i="32" s="1"/>
  <c r="Y267" i="32"/>
  <c r="Z267" i="32" s="1" a="1"/>
  <c r="Z267" i="32" s="1"/>
  <c r="X267" i="32"/>
  <c r="T267" i="32" s="1"/>
  <c r="U267" i="32" s="1" a="1"/>
  <c r="U267" i="32" s="1"/>
  <c r="S267" i="32"/>
  <c r="Q267" i="32" a="1"/>
  <c r="Q267" i="32" s="1"/>
  <c r="L267" i="32"/>
  <c r="J267" i="32"/>
  <c r="H267" i="32"/>
  <c r="E267" i="32"/>
  <c r="AY266" i="32"/>
  <c r="AX266" i="32"/>
  <c r="AW266" i="32"/>
  <c r="AV266" i="32"/>
  <c r="AU266" i="32"/>
  <c r="AT266" i="32"/>
  <c r="AS266" i="32"/>
  <c r="AR266" i="32"/>
  <c r="AQ266" i="32"/>
  <c r="AN266" i="32"/>
  <c r="AI266" i="32"/>
  <c r="AJ266" i="32" s="1" a="1"/>
  <c r="AJ266" i="32" s="1"/>
  <c r="AD266" i="32"/>
  <c r="AE266" i="32" s="1" a="1"/>
  <c r="AE266" i="32" s="1"/>
  <c r="Y266" i="32"/>
  <c r="Z266" i="32" s="1" a="1"/>
  <c r="Z266" i="32" s="1"/>
  <c r="X266" i="32"/>
  <c r="AP266" i="32" s="1"/>
  <c r="S266" i="32"/>
  <c r="Q266" i="32" a="1"/>
  <c r="Q266" i="32" s="1"/>
  <c r="L266" i="32"/>
  <c r="J266" i="32"/>
  <c r="H266" i="32"/>
  <c r="E266" i="32"/>
  <c r="AY265" i="32"/>
  <c r="AX265" i="32"/>
  <c r="AW265" i="32"/>
  <c r="AV265" i="32"/>
  <c r="AU265" i="32"/>
  <c r="AT265" i="32"/>
  <c r="AS265" i="32"/>
  <c r="AR265" i="32"/>
  <c r="AQ265" i="32"/>
  <c r="AN265" i="32"/>
  <c r="AI265" i="32"/>
  <c r="AJ265" i="32" s="1" a="1"/>
  <c r="AJ265" i="32" s="1"/>
  <c r="AD265" i="32"/>
  <c r="AE265" i="32" s="1" a="1"/>
  <c r="AE265" i="32" s="1"/>
  <c r="Y265" i="32"/>
  <c r="Z265" i="32" s="1" a="1"/>
  <c r="Z265" i="32" s="1"/>
  <c r="X265" i="32"/>
  <c r="AP265" i="32" s="1"/>
  <c r="Q265" i="32" a="1"/>
  <c r="Q265" i="32" s="1"/>
  <c r="L265" i="32"/>
  <c r="J265" i="32"/>
  <c r="H265" i="32"/>
  <c r="E265" i="32"/>
  <c r="AY264" i="32"/>
  <c r="AX264" i="32"/>
  <c r="AW264" i="32"/>
  <c r="AV264" i="32"/>
  <c r="AU264" i="32"/>
  <c r="AT264" i="32"/>
  <c r="AS264" i="32"/>
  <c r="AR264" i="32"/>
  <c r="AQ264" i="32"/>
  <c r="AN264" i="32"/>
  <c r="AI264" i="32"/>
  <c r="AJ264" i="32" s="1" a="1"/>
  <c r="AJ264" i="32" s="1"/>
  <c r="AD264" i="32"/>
  <c r="AE264" i="32" s="1" a="1"/>
  <c r="AE264" i="32" s="1"/>
  <c r="Y264" i="32"/>
  <c r="Z264" i="32" s="1" a="1"/>
  <c r="Z264" i="32" s="1"/>
  <c r="X264" i="32"/>
  <c r="AP264" i="32" s="1"/>
  <c r="Q264" i="32" a="1"/>
  <c r="Q264" i="32" s="1"/>
  <c r="L264" i="32"/>
  <c r="J264" i="32"/>
  <c r="H264" i="32"/>
  <c r="E264" i="32"/>
  <c r="AY263" i="32"/>
  <c r="AX263" i="32"/>
  <c r="AW263" i="32"/>
  <c r="AV263" i="32"/>
  <c r="AU263" i="32"/>
  <c r="AT263" i="32"/>
  <c r="AS263" i="32"/>
  <c r="AR263" i="32"/>
  <c r="AQ263" i="32"/>
  <c r="AN263" i="32"/>
  <c r="AI263" i="32"/>
  <c r="AJ263" i="32" s="1" a="1"/>
  <c r="AJ263" i="32" s="1"/>
  <c r="AD263" i="32"/>
  <c r="AE263" i="32" s="1" a="1"/>
  <c r="AE263" i="32" s="1"/>
  <c r="Y263" i="32"/>
  <c r="Z263" i="32" s="1" a="1"/>
  <c r="Z263" i="32" s="1"/>
  <c r="X263" i="32"/>
  <c r="AO263" i="32" s="1"/>
  <c r="Q263" i="32" a="1"/>
  <c r="Q263" i="32" s="1"/>
  <c r="L263" i="32"/>
  <c r="J263" i="32"/>
  <c r="H263" i="32"/>
  <c r="E263" i="32"/>
  <c r="AY262" i="32"/>
  <c r="AX262" i="32"/>
  <c r="AW262" i="32"/>
  <c r="AV262" i="32"/>
  <c r="AU262" i="32"/>
  <c r="AT262" i="32"/>
  <c r="AS262" i="32"/>
  <c r="AR262" i="32"/>
  <c r="AQ262" i="32"/>
  <c r="AN262" i="32"/>
  <c r="AI262" i="32"/>
  <c r="AJ262" i="32" s="1" a="1"/>
  <c r="AJ262" i="32" s="1"/>
  <c r="AD262" i="32"/>
  <c r="AE262" i="32" s="1" a="1"/>
  <c r="AE262" i="32" s="1"/>
  <c r="Y262" i="32"/>
  <c r="Z262" i="32" s="1" a="1"/>
  <c r="Z262" i="32" s="1"/>
  <c r="X262" i="32"/>
  <c r="AP262" i="32" s="1"/>
  <c r="Q262" i="32" a="1"/>
  <c r="Q262" i="32" s="1"/>
  <c r="L262" i="32"/>
  <c r="J262" i="32"/>
  <c r="H262" i="32"/>
  <c r="E262" i="32"/>
  <c r="AY261" i="32"/>
  <c r="AX261" i="32"/>
  <c r="AW261" i="32"/>
  <c r="AV261" i="32"/>
  <c r="AU261" i="32"/>
  <c r="AT261" i="32"/>
  <c r="AS261" i="32"/>
  <c r="AR261" i="32"/>
  <c r="AQ261" i="32"/>
  <c r="AN261" i="32"/>
  <c r="AI261" i="32"/>
  <c r="AJ261" i="32" s="1" a="1"/>
  <c r="AJ261" i="32" s="1"/>
  <c r="AD261" i="32"/>
  <c r="AE261" i="32" s="1" a="1"/>
  <c r="AE261" i="32" s="1"/>
  <c r="Y261" i="32"/>
  <c r="Z261" i="32" s="1" a="1"/>
  <c r="Z261" i="32" s="1"/>
  <c r="X261" i="32"/>
  <c r="AP261" i="32" s="1"/>
  <c r="Q261" i="32" a="1"/>
  <c r="Q261" i="32" s="1"/>
  <c r="L261" i="32"/>
  <c r="J261" i="32"/>
  <c r="H261" i="32"/>
  <c r="E261" i="32"/>
  <c r="AY260" i="32"/>
  <c r="AX260" i="32"/>
  <c r="AW260" i="32"/>
  <c r="AV260" i="32"/>
  <c r="AU260" i="32"/>
  <c r="AT260" i="32"/>
  <c r="AS260" i="32"/>
  <c r="AR260" i="32"/>
  <c r="AQ260" i="32"/>
  <c r="AN260" i="32"/>
  <c r="AI260" i="32"/>
  <c r="AJ260" i="32" s="1" a="1"/>
  <c r="AJ260" i="32" s="1"/>
  <c r="AD260" i="32"/>
  <c r="AE260" i="32" s="1" a="1"/>
  <c r="AE260" i="32" s="1"/>
  <c r="Y260" i="32"/>
  <c r="Z260" i="32" s="1" a="1"/>
  <c r="Z260" i="32" s="1"/>
  <c r="X260" i="32"/>
  <c r="T260" i="32" s="1"/>
  <c r="U260" i="32" s="1" a="1"/>
  <c r="U260" i="32" s="1"/>
  <c r="L260" i="32"/>
  <c r="J260" i="32"/>
  <c r="H260" i="32"/>
  <c r="E260" i="32"/>
  <c r="F399" i="34"/>
  <c r="F398" i="34"/>
  <c r="F397" i="34"/>
  <c r="F396" i="34"/>
  <c r="F395" i="34"/>
  <c r="F394" i="34"/>
  <c r="F393" i="34"/>
  <c r="F392" i="34"/>
  <c r="AY259" i="32"/>
  <c r="AX259" i="32"/>
  <c r="AW259" i="32"/>
  <c r="AV259" i="32"/>
  <c r="AU259" i="32"/>
  <c r="AT259" i="32"/>
  <c r="AS259" i="32"/>
  <c r="AR259" i="32"/>
  <c r="AQ259" i="32"/>
  <c r="AN259" i="32"/>
  <c r="AI259" i="32"/>
  <c r="AJ259" i="32" s="1" a="1"/>
  <c r="AJ259" i="32" s="1"/>
  <c r="AD259" i="32"/>
  <c r="AE259" i="32" s="1" a="1"/>
  <c r="AE259" i="32" s="1"/>
  <c r="Y259" i="32"/>
  <c r="Z259" i="32" s="1" a="1"/>
  <c r="Z259" i="32" s="1"/>
  <c r="X259" i="32"/>
  <c r="T259" i="32" s="1"/>
  <c r="U259" i="32" s="1" a="1"/>
  <c r="U259" i="32" s="1"/>
  <c r="S259" i="32"/>
  <c r="Q259" i="32" a="1"/>
  <c r="Q259" i="32" s="1"/>
  <c r="L259" i="32"/>
  <c r="J259" i="32"/>
  <c r="H259" i="32"/>
  <c r="E259" i="32"/>
  <c r="AY258" i="32"/>
  <c r="AX258" i="32"/>
  <c r="AW258" i="32"/>
  <c r="AV258" i="32"/>
  <c r="AU258" i="32"/>
  <c r="AT258" i="32"/>
  <c r="AS258" i="32"/>
  <c r="AR258" i="32"/>
  <c r="AQ258" i="32"/>
  <c r="AN258" i="32"/>
  <c r="AI258" i="32"/>
  <c r="AJ258" i="32" s="1" a="1"/>
  <c r="AJ258" i="32" s="1"/>
  <c r="AD258" i="32"/>
  <c r="AE258" i="32" s="1" a="1"/>
  <c r="AE258" i="32" s="1"/>
  <c r="Y258" i="32"/>
  <c r="Z258" i="32" s="1" a="1"/>
  <c r="Z258" i="32" s="1"/>
  <c r="X258" i="32"/>
  <c r="AP258" i="32" s="1"/>
  <c r="S258" i="32"/>
  <c r="Q258" i="32" a="1"/>
  <c r="Q258" i="32" s="1"/>
  <c r="L258" i="32"/>
  <c r="J258" i="32"/>
  <c r="H258" i="32"/>
  <c r="E258" i="32"/>
  <c r="AY257" i="32"/>
  <c r="AX257" i="32"/>
  <c r="AW257" i="32"/>
  <c r="AV257" i="32"/>
  <c r="AU257" i="32"/>
  <c r="AT257" i="32"/>
  <c r="AS257" i="32"/>
  <c r="AR257" i="32"/>
  <c r="AQ257" i="32"/>
  <c r="AN257" i="32"/>
  <c r="AI257" i="32"/>
  <c r="AJ257" i="32" s="1" a="1"/>
  <c r="AJ257" i="32" s="1"/>
  <c r="AD257" i="32"/>
  <c r="AE257" i="32" s="1" a="1"/>
  <c r="AE257" i="32" s="1"/>
  <c r="Y257" i="32"/>
  <c r="Z257" i="32" s="1" a="1"/>
  <c r="Z257" i="32" s="1"/>
  <c r="X257" i="32"/>
  <c r="AP257" i="32" s="1"/>
  <c r="Q257" i="32" a="1"/>
  <c r="Q257" i="32" s="1"/>
  <c r="L257" i="32"/>
  <c r="J257" i="32"/>
  <c r="H257" i="32"/>
  <c r="E257" i="32"/>
  <c r="AY256" i="32"/>
  <c r="AX256" i="32"/>
  <c r="AW256" i="32"/>
  <c r="AV256" i="32"/>
  <c r="AU256" i="32"/>
  <c r="AT256" i="32"/>
  <c r="AS256" i="32"/>
  <c r="AR256" i="32"/>
  <c r="AQ256" i="32"/>
  <c r="AN256" i="32"/>
  <c r="AI256" i="32"/>
  <c r="AJ256" i="32" s="1" a="1"/>
  <c r="AJ256" i="32" s="1"/>
  <c r="AD256" i="32"/>
  <c r="AE256" i="32" s="1" a="1"/>
  <c r="AE256" i="32" s="1"/>
  <c r="Y256" i="32"/>
  <c r="Z256" i="32" s="1" a="1"/>
  <c r="Z256" i="32" s="1"/>
  <c r="X256" i="32"/>
  <c r="AP256" i="32" s="1"/>
  <c r="Q256" i="32" a="1"/>
  <c r="Q256" i="32" s="1"/>
  <c r="L256" i="32"/>
  <c r="J256" i="32"/>
  <c r="H256" i="32"/>
  <c r="E256" i="32"/>
  <c r="AY255" i="32"/>
  <c r="AX255" i="32"/>
  <c r="AW255" i="32"/>
  <c r="AV255" i="32"/>
  <c r="AU255" i="32"/>
  <c r="AT255" i="32"/>
  <c r="AS255" i="32"/>
  <c r="AR255" i="32"/>
  <c r="AQ255" i="32"/>
  <c r="AN255" i="32"/>
  <c r="AI255" i="32"/>
  <c r="AJ255" i="32" s="1" a="1"/>
  <c r="AJ255" i="32" s="1"/>
  <c r="AD255" i="32"/>
  <c r="AE255" i="32" s="1" a="1"/>
  <c r="AE255" i="32" s="1"/>
  <c r="Y255" i="32"/>
  <c r="Z255" i="32" s="1" a="1"/>
  <c r="Z255" i="32" s="1"/>
  <c r="X255" i="32"/>
  <c r="AP255" i="32" s="1"/>
  <c r="Q255" i="32" a="1"/>
  <c r="Q255" i="32" s="1"/>
  <c r="L255" i="32"/>
  <c r="J255" i="32"/>
  <c r="H255" i="32"/>
  <c r="E255" i="32"/>
  <c r="AY254" i="32"/>
  <c r="AX254" i="32"/>
  <c r="AW254" i="32"/>
  <c r="AV254" i="32"/>
  <c r="AU254" i="32"/>
  <c r="AT254" i="32"/>
  <c r="AS254" i="32"/>
  <c r="AR254" i="32"/>
  <c r="AQ254" i="32"/>
  <c r="AN254" i="32"/>
  <c r="AI254" i="32"/>
  <c r="AJ254" i="32" s="1" a="1"/>
  <c r="AJ254" i="32" s="1"/>
  <c r="AD254" i="32"/>
  <c r="AE254" i="32" s="1" a="1"/>
  <c r="AE254" i="32" s="1"/>
  <c r="Y254" i="32"/>
  <c r="Z254" i="32" s="1" a="1"/>
  <c r="Z254" i="32" s="1"/>
  <c r="AP254" i="32"/>
  <c r="Q254" i="32" a="1"/>
  <c r="Q254" i="32" s="1"/>
  <c r="L254" i="32"/>
  <c r="J254" i="32"/>
  <c r="H254" i="32"/>
  <c r="E254" i="32"/>
  <c r="AY253" i="32"/>
  <c r="AX253" i="32"/>
  <c r="AW253" i="32"/>
  <c r="AV253" i="32"/>
  <c r="AU253" i="32"/>
  <c r="AT253" i="32"/>
  <c r="AS253" i="32"/>
  <c r="AR253" i="32"/>
  <c r="AQ253" i="32"/>
  <c r="AN253" i="32"/>
  <c r="AI253" i="32"/>
  <c r="AJ253" i="32" s="1" a="1"/>
  <c r="AJ253" i="32" s="1"/>
  <c r="AD253" i="32"/>
  <c r="AE253" i="32" s="1" a="1"/>
  <c r="AE253" i="32" s="1"/>
  <c r="Y253" i="32"/>
  <c r="Z253" i="32" s="1" a="1"/>
  <c r="Z253" i="32" s="1"/>
  <c r="X253" i="32"/>
  <c r="AP253" i="32" s="1"/>
  <c r="Q253" i="32" a="1"/>
  <c r="Q253" i="32" s="1"/>
  <c r="L253" i="32"/>
  <c r="J253" i="32"/>
  <c r="H253" i="32"/>
  <c r="E253" i="32"/>
  <c r="AY252" i="32"/>
  <c r="AX252" i="32"/>
  <c r="AW252" i="32"/>
  <c r="AV252" i="32"/>
  <c r="AU252" i="32"/>
  <c r="AT252" i="32"/>
  <c r="AS252" i="32"/>
  <c r="AR252" i="32"/>
  <c r="AQ252" i="32"/>
  <c r="AN252" i="32"/>
  <c r="AI252" i="32"/>
  <c r="AJ252" i="32" s="1" a="1"/>
  <c r="AJ252" i="32" s="1"/>
  <c r="AD252" i="32"/>
  <c r="AE252" i="32" s="1" a="1"/>
  <c r="AE252" i="32" s="1"/>
  <c r="Y252" i="32"/>
  <c r="Z252" i="32" s="1" a="1"/>
  <c r="Z252" i="32" s="1"/>
  <c r="X252" i="32"/>
  <c r="T252" i="32" s="1"/>
  <c r="U252" i="32" s="1" a="1"/>
  <c r="U252" i="32" s="1"/>
  <c r="L252" i="32"/>
  <c r="J252" i="32"/>
  <c r="H252" i="32"/>
  <c r="E252" i="32"/>
  <c r="F391" i="34"/>
  <c r="F390" i="34"/>
  <c r="F389" i="34"/>
  <c r="F388" i="34"/>
  <c r="F387" i="34"/>
  <c r="F386" i="34"/>
  <c r="F385" i="34"/>
  <c r="F384" i="34"/>
  <c r="F383" i="34"/>
  <c r="F382" i="34"/>
  <c r="F381" i="34"/>
  <c r="F380" i="34"/>
  <c r="F379" i="34"/>
  <c r="F378" i="34"/>
  <c r="F377" i="34"/>
  <c r="F376" i="34"/>
  <c r="AY251" i="32"/>
  <c r="AX251" i="32"/>
  <c r="AW251" i="32"/>
  <c r="AV251" i="32"/>
  <c r="AU251" i="32"/>
  <c r="AT251" i="32"/>
  <c r="AS251" i="32"/>
  <c r="AR251" i="32"/>
  <c r="AQ251" i="32"/>
  <c r="AN251" i="32"/>
  <c r="AI251" i="32"/>
  <c r="AJ251" i="32" s="1" a="1"/>
  <c r="AJ251" i="32" s="1"/>
  <c r="AD251" i="32"/>
  <c r="AE251" i="32" s="1" a="1"/>
  <c r="AE251" i="32" s="1"/>
  <c r="Y251" i="32"/>
  <c r="Z251" i="32" s="1" a="1"/>
  <c r="Z251" i="32" s="1"/>
  <c r="X251" i="32"/>
  <c r="T251" i="32" s="1"/>
  <c r="U251" i="32" s="1" a="1"/>
  <c r="U251" i="32" s="1"/>
  <c r="S251" i="32"/>
  <c r="Q251" i="32" a="1"/>
  <c r="Q251" i="32" s="1"/>
  <c r="L251" i="32"/>
  <c r="J251" i="32"/>
  <c r="H251" i="32"/>
  <c r="E251" i="32"/>
  <c r="AY250" i="32"/>
  <c r="AX250" i="32"/>
  <c r="AW250" i="32"/>
  <c r="AV250" i="32"/>
  <c r="AU250" i="32"/>
  <c r="AT250" i="32"/>
  <c r="AS250" i="32"/>
  <c r="AR250" i="32"/>
  <c r="AQ250" i="32"/>
  <c r="AN250" i="32"/>
  <c r="AI250" i="32"/>
  <c r="AJ250" i="32" s="1" a="1"/>
  <c r="AJ250" i="32" s="1"/>
  <c r="AD250" i="32"/>
  <c r="AE250" i="32" s="1" a="1"/>
  <c r="AE250" i="32" s="1"/>
  <c r="Y250" i="32"/>
  <c r="Z250" i="32" s="1" a="1"/>
  <c r="Z250" i="32" s="1"/>
  <c r="X250" i="32"/>
  <c r="T250" i="32" s="1"/>
  <c r="U250" i="32" s="1" a="1"/>
  <c r="U250" i="32" s="1"/>
  <c r="S250" i="32"/>
  <c r="Q250" i="32" a="1"/>
  <c r="Q250" i="32" s="1"/>
  <c r="L250" i="32"/>
  <c r="J250" i="32"/>
  <c r="H250" i="32"/>
  <c r="E250" i="32"/>
  <c r="AY249" i="32"/>
  <c r="AX249" i="32"/>
  <c r="AW249" i="32"/>
  <c r="AV249" i="32"/>
  <c r="AU249" i="32"/>
  <c r="AT249" i="32"/>
  <c r="AS249" i="32"/>
  <c r="AR249" i="32"/>
  <c r="AQ249" i="32"/>
  <c r="AN249" i="32"/>
  <c r="AI249" i="32"/>
  <c r="AJ249" i="32" s="1" a="1"/>
  <c r="AJ249" i="32" s="1"/>
  <c r="AD249" i="32"/>
  <c r="AE249" i="32" s="1" a="1"/>
  <c r="AE249" i="32" s="1"/>
  <c r="Y249" i="32"/>
  <c r="Z249" i="32" s="1" a="1"/>
  <c r="Z249" i="32" s="1"/>
  <c r="X249" i="32"/>
  <c r="T249" i="32" s="1"/>
  <c r="U249" i="32" s="1" a="1"/>
  <c r="U249" i="32" s="1"/>
  <c r="Q249" i="32" a="1"/>
  <c r="Q249" i="32" s="1"/>
  <c r="L249" i="32"/>
  <c r="J249" i="32"/>
  <c r="H249" i="32"/>
  <c r="E249" i="32"/>
  <c r="AY248" i="32"/>
  <c r="AX248" i="32"/>
  <c r="AW248" i="32"/>
  <c r="AV248" i="32"/>
  <c r="AU248" i="32"/>
  <c r="AT248" i="32"/>
  <c r="AS248" i="32"/>
  <c r="AR248" i="32"/>
  <c r="AQ248" i="32"/>
  <c r="AN248" i="32"/>
  <c r="AI248" i="32"/>
  <c r="AJ248" i="32" s="1" a="1"/>
  <c r="AJ248" i="32" s="1"/>
  <c r="AD248" i="32"/>
  <c r="AE248" i="32" s="1" a="1"/>
  <c r="AE248" i="32" s="1"/>
  <c r="Y248" i="32"/>
  <c r="Z248" i="32" s="1" a="1"/>
  <c r="Z248" i="32" s="1"/>
  <c r="X248" i="32"/>
  <c r="Q248" i="32" a="1"/>
  <c r="Q248" i="32" s="1"/>
  <c r="L248" i="32"/>
  <c r="J248" i="32"/>
  <c r="H248" i="32"/>
  <c r="E248" i="32"/>
  <c r="AY247" i="32"/>
  <c r="AX247" i="32"/>
  <c r="AW247" i="32"/>
  <c r="AV247" i="32"/>
  <c r="AU247" i="32"/>
  <c r="AT247" i="32"/>
  <c r="AS247" i="32"/>
  <c r="AR247" i="32"/>
  <c r="AQ247" i="32"/>
  <c r="AN247" i="32"/>
  <c r="AI247" i="32"/>
  <c r="AJ247" i="32" s="1" a="1"/>
  <c r="AJ247" i="32" s="1"/>
  <c r="AD247" i="32"/>
  <c r="AE247" i="32" s="1" a="1"/>
  <c r="AE247" i="32" s="1"/>
  <c r="Y247" i="32"/>
  <c r="Z247" i="32" s="1" a="1"/>
  <c r="Z247" i="32" s="1"/>
  <c r="X247" i="32"/>
  <c r="T247" i="32" s="1"/>
  <c r="U247" i="32" s="1" a="1"/>
  <c r="U247" i="32" s="1"/>
  <c r="Q247" i="32" a="1"/>
  <c r="Q247" i="32" s="1"/>
  <c r="L247" i="32"/>
  <c r="J247" i="32"/>
  <c r="H247" i="32"/>
  <c r="E247" i="32"/>
  <c r="AY246" i="32"/>
  <c r="AX246" i="32"/>
  <c r="AW246" i="32"/>
  <c r="AV246" i="32"/>
  <c r="AU246" i="32"/>
  <c r="AT246" i="32"/>
  <c r="AS246" i="32"/>
  <c r="AR246" i="32"/>
  <c r="AQ246" i="32"/>
  <c r="AN246" i="32"/>
  <c r="AI246" i="32"/>
  <c r="AJ246" i="32" s="1" a="1"/>
  <c r="AJ246" i="32" s="1"/>
  <c r="AD246" i="32"/>
  <c r="AE246" i="32" s="1" a="1"/>
  <c r="AE246" i="32" s="1"/>
  <c r="Y246" i="32"/>
  <c r="Z246" i="32" s="1" a="1"/>
  <c r="Z246" i="32" s="1"/>
  <c r="X246" i="32"/>
  <c r="T246" i="32" s="1"/>
  <c r="U246" i="32" s="1" a="1"/>
  <c r="U246" i="32" s="1"/>
  <c r="Q246" i="32" a="1"/>
  <c r="Q246" i="32" s="1"/>
  <c r="L246" i="32"/>
  <c r="J246" i="32"/>
  <c r="H246" i="32"/>
  <c r="E246" i="32"/>
  <c r="AY245" i="32"/>
  <c r="AX245" i="32"/>
  <c r="AW245" i="32"/>
  <c r="AV245" i="32"/>
  <c r="AU245" i="32"/>
  <c r="AT245" i="32"/>
  <c r="AS245" i="32"/>
  <c r="AR245" i="32"/>
  <c r="AQ245" i="32"/>
  <c r="AN245" i="32"/>
  <c r="AI245" i="32"/>
  <c r="AJ245" i="32" s="1" a="1"/>
  <c r="AJ245" i="32" s="1"/>
  <c r="AD245" i="32"/>
  <c r="AE245" i="32" s="1" a="1"/>
  <c r="AE245" i="32" s="1"/>
  <c r="Y245" i="32"/>
  <c r="Z245" i="32" s="1" a="1"/>
  <c r="Z245" i="32" s="1"/>
  <c r="X245" i="32"/>
  <c r="T245" i="32" s="1"/>
  <c r="U245" i="32" s="1" a="1"/>
  <c r="U245" i="32" s="1"/>
  <c r="Q245" i="32" a="1"/>
  <c r="Q245" i="32" s="1"/>
  <c r="L245" i="32"/>
  <c r="J245" i="32"/>
  <c r="H245" i="32"/>
  <c r="E245" i="32"/>
  <c r="AY244" i="32"/>
  <c r="AX244" i="32"/>
  <c r="AW244" i="32"/>
  <c r="AV244" i="32"/>
  <c r="AU244" i="32"/>
  <c r="AT244" i="32"/>
  <c r="AS244" i="32"/>
  <c r="AR244" i="32"/>
  <c r="AQ244" i="32"/>
  <c r="AN244" i="32"/>
  <c r="AI244" i="32"/>
  <c r="AJ244" i="32" s="1" a="1"/>
  <c r="AJ244" i="32" s="1"/>
  <c r="AD244" i="32"/>
  <c r="AE244" i="32" s="1" a="1"/>
  <c r="AE244" i="32" s="1"/>
  <c r="Y244" i="32"/>
  <c r="Z244" i="32" s="1" a="1"/>
  <c r="Z244" i="32" s="1"/>
  <c r="X244" i="32"/>
  <c r="T244" i="32" s="1"/>
  <c r="U244" i="32" s="1" a="1"/>
  <c r="U244" i="32" s="1"/>
  <c r="L244" i="32"/>
  <c r="J244" i="32"/>
  <c r="H244" i="32"/>
  <c r="E244" i="32"/>
  <c r="AY243" i="32"/>
  <c r="AX243" i="32"/>
  <c r="AW243" i="32"/>
  <c r="AV243" i="32"/>
  <c r="AU243" i="32"/>
  <c r="AT243" i="32"/>
  <c r="AS243" i="32"/>
  <c r="AR243" i="32"/>
  <c r="AQ243" i="32"/>
  <c r="AN243" i="32"/>
  <c r="AI243" i="32"/>
  <c r="AJ243" i="32" s="1" a="1"/>
  <c r="AJ243" i="32" s="1"/>
  <c r="AD243" i="32"/>
  <c r="AE243" i="32" s="1" a="1"/>
  <c r="AE243" i="32" s="1"/>
  <c r="Y243" i="32"/>
  <c r="Z243" i="32" s="1" a="1"/>
  <c r="Z243" i="32" s="1"/>
  <c r="X243" i="32"/>
  <c r="T243" i="32" s="1"/>
  <c r="U243" i="32" s="1" a="1"/>
  <c r="U243" i="32" s="1"/>
  <c r="S243" i="32"/>
  <c r="Q243" i="32" a="1"/>
  <c r="Q243" i="32" s="1"/>
  <c r="L243" i="32"/>
  <c r="J243" i="32"/>
  <c r="H243" i="32"/>
  <c r="E243" i="32"/>
  <c r="AY242" i="32"/>
  <c r="AX242" i="32"/>
  <c r="AW242" i="32"/>
  <c r="AV242" i="32"/>
  <c r="AU242" i="32"/>
  <c r="AT242" i="32"/>
  <c r="AS242" i="32"/>
  <c r="AR242" i="32"/>
  <c r="AQ242" i="32"/>
  <c r="AN242" i="32"/>
  <c r="AI242" i="32"/>
  <c r="AJ242" i="32" s="1" a="1"/>
  <c r="AJ242" i="32" s="1"/>
  <c r="AD242" i="32"/>
  <c r="AE242" i="32" s="1" a="1"/>
  <c r="AE242" i="32" s="1"/>
  <c r="Y242" i="32"/>
  <c r="Z242" i="32" s="1" a="1"/>
  <c r="Z242" i="32" s="1"/>
  <c r="X242" i="32"/>
  <c r="T242" i="32" s="1"/>
  <c r="U242" i="32" s="1" a="1"/>
  <c r="U242" i="32" s="1"/>
  <c r="S242" i="32"/>
  <c r="Q242" i="32" a="1"/>
  <c r="Q242" i="32" s="1"/>
  <c r="L242" i="32"/>
  <c r="J242" i="32"/>
  <c r="H242" i="32"/>
  <c r="E242" i="32"/>
  <c r="AY241" i="32"/>
  <c r="AX241" i="32"/>
  <c r="AW241" i="32"/>
  <c r="AV241" i="32"/>
  <c r="AU241" i="32"/>
  <c r="AT241" i="32"/>
  <c r="AS241" i="32"/>
  <c r="AR241" i="32"/>
  <c r="AQ241" i="32"/>
  <c r="AN241" i="32"/>
  <c r="AI241" i="32"/>
  <c r="AJ241" i="32" s="1" a="1"/>
  <c r="AJ241" i="32" s="1"/>
  <c r="AD241" i="32"/>
  <c r="AE241" i="32" s="1" a="1"/>
  <c r="AE241" i="32" s="1"/>
  <c r="Y241" i="32"/>
  <c r="Z241" i="32" s="1" a="1"/>
  <c r="Z241" i="32" s="1"/>
  <c r="X241" i="32"/>
  <c r="T241" i="32" s="1"/>
  <c r="U241" i="32" s="1" a="1"/>
  <c r="U241" i="32" s="1"/>
  <c r="Q241" i="32" a="1"/>
  <c r="Q241" i="32" s="1"/>
  <c r="L241" i="32"/>
  <c r="J241" i="32"/>
  <c r="H241" i="32"/>
  <c r="E241" i="32"/>
  <c r="AY240" i="32"/>
  <c r="AX240" i="32"/>
  <c r="AW240" i="32"/>
  <c r="AV240" i="32"/>
  <c r="AU240" i="32"/>
  <c r="AT240" i="32"/>
  <c r="AS240" i="32"/>
  <c r="AR240" i="32"/>
  <c r="AQ240" i="32"/>
  <c r="AN240" i="32"/>
  <c r="AI240" i="32"/>
  <c r="AJ240" i="32" s="1" a="1"/>
  <c r="AJ240" i="32" s="1"/>
  <c r="AD240" i="32"/>
  <c r="AE240" i="32" s="1" a="1"/>
  <c r="AE240" i="32" s="1"/>
  <c r="Y240" i="32"/>
  <c r="Z240" i="32" s="1" a="1"/>
  <c r="Z240" i="32" s="1"/>
  <c r="X240" i="32"/>
  <c r="T240" i="32" s="1"/>
  <c r="U240" i="32" s="1" a="1"/>
  <c r="U240" i="32" s="1"/>
  <c r="Q240" i="32" a="1"/>
  <c r="Q240" i="32" s="1"/>
  <c r="L240" i="32"/>
  <c r="J240" i="32"/>
  <c r="H240" i="32"/>
  <c r="E240" i="32"/>
  <c r="AY239" i="32"/>
  <c r="AX239" i="32"/>
  <c r="AW239" i="32"/>
  <c r="AV239" i="32"/>
  <c r="AU239" i="32"/>
  <c r="AT239" i="32"/>
  <c r="AS239" i="32"/>
  <c r="AR239" i="32"/>
  <c r="AQ239" i="32"/>
  <c r="AN239" i="32"/>
  <c r="AI239" i="32"/>
  <c r="AJ239" i="32" s="1" a="1"/>
  <c r="AJ239" i="32" s="1"/>
  <c r="AD239" i="32"/>
  <c r="AE239" i="32" s="1" a="1"/>
  <c r="AE239" i="32" s="1"/>
  <c r="Y239" i="32"/>
  <c r="Z239" i="32" s="1" a="1"/>
  <c r="Z239" i="32" s="1"/>
  <c r="X239" i="32"/>
  <c r="T239" i="32" s="1"/>
  <c r="U239" i="32" s="1" a="1"/>
  <c r="U239" i="32" s="1"/>
  <c r="Q239" i="32" a="1"/>
  <c r="Q239" i="32" s="1"/>
  <c r="L239" i="32"/>
  <c r="J239" i="32"/>
  <c r="H239" i="32"/>
  <c r="E239" i="32"/>
  <c r="AY238" i="32"/>
  <c r="AX238" i="32"/>
  <c r="AW238" i="32"/>
  <c r="AV238" i="32"/>
  <c r="AU238" i="32"/>
  <c r="AT238" i="32"/>
  <c r="AS238" i="32"/>
  <c r="AR238" i="32"/>
  <c r="AQ238" i="32"/>
  <c r="AN238" i="32"/>
  <c r="AI238" i="32"/>
  <c r="AJ238" i="32" s="1" a="1"/>
  <c r="AJ238" i="32" s="1"/>
  <c r="AD238" i="32"/>
  <c r="AE238" i="32" s="1" a="1"/>
  <c r="AE238" i="32" s="1"/>
  <c r="Y238" i="32"/>
  <c r="Z238" i="32" s="1" a="1"/>
  <c r="Z238" i="32" s="1"/>
  <c r="X238" i="32"/>
  <c r="T238" i="32" s="1"/>
  <c r="U238" i="32" s="1" a="1"/>
  <c r="U238" i="32" s="1"/>
  <c r="Q238" i="32" a="1"/>
  <c r="Q238" i="32" s="1"/>
  <c r="L238" i="32"/>
  <c r="J238" i="32"/>
  <c r="H238" i="32"/>
  <c r="E238" i="32"/>
  <c r="AY237" i="32"/>
  <c r="AX237" i="32"/>
  <c r="AW237" i="32"/>
  <c r="AV237" i="32"/>
  <c r="AU237" i="32"/>
  <c r="AT237" i="32"/>
  <c r="AS237" i="32"/>
  <c r="AR237" i="32"/>
  <c r="AQ237" i="32"/>
  <c r="AN237" i="32"/>
  <c r="AI237" i="32"/>
  <c r="AJ237" i="32" s="1" a="1"/>
  <c r="AJ237" i="32" s="1"/>
  <c r="AD237" i="32"/>
  <c r="AE237" i="32" s="1" a="1"/>
  <c r="AE237" i="32" s="1"/>
  <c r="Y237" i="32"/>
  <c r="Z237" i="32" s="1" a="1"/>
  <c r="Z237" i="32" s="1"/>
  <c r="X237" i="32"/>
  <c r="T237" i="32" s="1"/>
  <c r="U237" i="32" s="1" a="1"/>
  <c r="U237" i="32" s="1"/>
  <c r="Q237" i="32" a="1"/>
  <c r="Q237" i="32" s="1"/>
  <c r="L237" i="32"/>
  <c r="J237" i="32"/>
  <c r="H237" i="32"/>
  <c r="E237" i="32"/>
  <c r="AY236" i="32"/>
  <c r="AX236" i="32"/>
  <c r="AW236" i="32"/>
  <c r="AV236" i="32"/>
  <c r="AU236" i="32"/>
  <c r="AT236" i="32"/>
  <c r="AS236" i="32"/>
  <c r="AR236" i="32"/>
  <c r="AQ236" i="32"/>
  <c r="AN236" i="32"/>
  <c r="AI236" i="32"/>
  <c r="AJ236" i="32" s="1" a="1"/>
  <c r="AJ236" i="32" s="1"/>
  <c r="AD236" i="32"/>
  <c r="AE236" i="32" s="1" a="1"/>
  <c r="AE236" i="32" s="1"/>
  <c r="Y236" i="32"/>
  <c r="Z236" i="32" s="1" a="1"/>
  <c r="Z236" i="32" s="1"/>
  <c r="X236" i="32"/>
  <c r="T236" i="32" s="1"/>
  <c r="U236" i="32" s="1" a="1"/>
  <c r="U236" i="32" s="1"/>
  <c r="L236" i="32"/>
  <c r="J236" i="32"/>
  <c r="H236" i="32"/>
  <c r="E236" i="32"/>
  <c r="F375" i="34"/>
  <c r="F374" i="34"/>
  <c r="F373" i="34"/>
  <c r="F372" i="34"/>
  <c r="F371" i="34"/>
  <c r="F370" i="34"/>
  <c r="F369" i="34"/>
  <c r="F368" i="34"/>
  <c r="AY235" i="32"/>
  <c r="AX235" i="32"/>
  <c r="AW235" i="32"/>
  <c r="AV235" i="32"/>
  <c r="AU235" i="32"/>
  <c r="AT235" i="32"/>
  <c r="AS235" i="32"/>
  <c r="AR235" i="32"/>
  <c r="AQ235" i="32"/>
  <c r="AN235" i="32"/>
  <c r="AI235" i="32"/>
  <c r="AJ235" i="32" s="1" a="1"/>
  <c r="AJ235" i="32" s="1"/>
  <c r="AD235" i="32"/>
  <c r="AE235" i="32" s="1" a="1"/>
  <c r="AE235" i="32" s="1"/>
  <c r="Y235" i="32"/>
  <c r="Z235" i="32" s="1" a="1"/>
  <c r="Z235" i="32" s="1"/>
  <c r="X235" i="32"/>
  <c r="T235" i="32" s="1"/>
  <c r="U235" i="32" s="1" a="1"/>
  <c r="U235" i="32" s="1"/>
  <c r="S235" i="32"/>
  <c r="Q235" i="32" a="1"/>
  <c r="Q235" i="32" s="1"/>
  <c r="L235" i="32"/>
  <c r="J235" i="32"/>
  <c r="H235" i="32"/>
  <c r="E235" i="32"/>
  <c r="AY234" i="32"/>
  <c r="AX234" i="32"/>
  <c r="AW234" i="32"/>
  <c r="AV234" i="32"/>
  <c r="AU234" i="32"/>
  <c r="AT234" i="32"/>
  <c r="AS234" i="32"/>
  <c r="AR234" i="32"/>
  <c r="AQ234" i="32"/>
  <c r="AN234" i="32"/>
  <c r="AI234" i="32"/>
  <c r="AJ234" i="32" s="1" a="1"/>
  <c r="AJ234" i="32" s="1"/>
  <c r="AD234" i="32"/>
  <c r="AE234" i="32" s="1" a="1"/>
  <c r="AE234" i="32" s="1"/>
  <c r="Y234" i="32"/>
  <c r="Z234" i="32" s="1" a="1"/>
  <c r="Z234" i="32" s="1"/>
  <c r="X234" i="32"/>
  <c r="S234" i="32"/>
  <c r="Q234" i="32" a="1"/>
  <c r="Q234" i="32" s="1"/>
  <c r="L234" i="32"/>
  <c r="J234" i="32"/>
  <c r="H234" i="32"/>
  <c r="E234" i="32"/>
  <c r="AY233" i="32"/>
  <c r="AX233" i="32"/>
  <c r="AW233" i="32"/>
  <c r="AV233" i="32"/>
  <c r="AU233" i="32"/>
  <c r="AT233" i="32"/>
  <c r="AS233" i="32"/>
  <c r="AR233" i="32"/>
  <c r="AQ233" i="32"/>
  <c r="AN233" i="32"/>
  <c r="AI233" i="32"/>
  <c r="AJ233" i="32" s="1" a="1"/>
  <c r="AJ233" i="32" s="1"/>
  <c r="AD233" i="32"/>
  <c r="AE233" i="32" s="1" a="1"/>
  <c r="AE233" i="32" s="1"/>
  <c r="Y233" i="32"/>
  <c r="Z233" i="32" s="1" a="1"/>
  <c r="Z233" i="32" s="1"/>
  <c r="X233" i="32"/>
  <c r="T233" i="32" s="1"/>
  <c r="U233" i="32" s="1" a="1"/>
  <c r="U233" i="32" s="1"/>
  <c r="Q233" i="32" a="1"/>
  <c r="Q233" i="32" s="1"/>
  <c r="L233" i="32"/>
  <c r="J233" i="32"/>
  <c r="H233" i="32"/>
  <c r="E233" i="32"/>
  <c r="AY232" i="32"/>
  <c r="AX232" i="32"/>
  <c r="AW232" i="32"/>
  <c r="AV232" i="32"/>
  <c r="AU232" i="32"/>
  <c r="AT232" i="32"/>
  <c r="AS232" i="32"/>
  <c r="AR232" i="32"/>
  <c r="AQ232" i="32"/>
  <c r="AN232" i="32"/>
  <c r="AI232" i="32"/>
  <c r="AJ232" i="32" s="1" a="1"/>
  <c r="AJ232" i="32" s="1"/>
  <c r="AD232" i="32"/>
  <c r="AE232" i="32" s="1" a="1"/>
  <c r="AE232" i="32" s="1"/>
  <c r="Y232" i="32"/>
  <c r="Z232" i="32" s="1" a="1"/>
  <c r="Z232" i="32" s="1"/>
  <c r="X232" i="32"/>
  <c r="T232" i="32" s="1"/>
  <c r="U232" i="32" s="1" a="1"/>
  <c r="U232" i="32" s="1"/>
  <c r="Q232" i="32" a="1"/>
  <c r="Q232" i="32" s="1"/>
  <c r="L232" i="32"/>
  <c r="J232" i="32"/>
  <c r="H232" i="32"/>
  <c r="E232" i="32"/>
  <c r="AY231" i="32"/>
  <c r="AX231" i="32"/>
  <c r="AW231" i="32"/>
  <c r="AV231" i="32"/>
  <c r="AU231" i="32"/>
  <c r="AT231" i="32"/>
  <c r="AS231" i="32"/>
  <c r="AR231" i="32"/>
  <c r="AQ231" i="32"/>
  <c r="AN231" i="32"/>
  <c r="AI231" i="32"/>
  <c r="AJ231" i="32" s="1" a="1"/>
  <c r="AJ231" i="32" s="1"/>
  <c r="AD231" i="32"/>
  <c r="AE231" i="32" s="1" a="1"/>
  <c r="AE231" i="32" s="1"/>
  <c r="Y231" i="32"/>
  <c r="Z231" i="32" s="1" a="1"/>
  <c r="Z231" i="32" s="1"/>
  <c r="X231" i="32"/>
  <c r="T231" i="32" s="1"/>
  <c r="U231" i="32" s="1" a="1"/>
  <c r="U231" i="32" s="1"/>
  <c r="Q231" i="32" a="1"/>
  <c r="Q231" i="32" s="1"/>
  <c r="L231" i="32"/>
  <c r="J231" i="32"/>
  <c r="H231" i="32"/>
  <c r="E231" i="32"/>
  <c r="AY230" i="32"/>
  <c r="AX230" i="32"/>
  <c r="AW230" i="32"/>
  <c r="AV230" i="32"/>
  <c r="AU230" i="32"/>
  <c r="AT230" i="32"/>
  <c r="AS230" i="32"/>
  <c r="AR230" i="32"/>
  <c r="AQ230" i="32"/>
  <c r="AN230" i="32"/>
  <c r="AI230" i="32"/>
  <c r="AJ230" i="32" s="1" a="1"/>
  <c r="AJ230" i="32" s="1"/>
  <c r="AD230" i="32"/>
  <c r="AE230" i="32" s="1" a="1"/>
  <c r="AE230" i="32" s="1"/>
  <c r="Y230" i="32"/>
  <c r="Z230" i="32" s="1" a="1"/>
  <c r="Z230" i="32" s="1"/>
  <c r="X230" i="32"/>
  <c r="T230" i="32" s="1"/>
  <c r="U230" i="32" s="1" a="1"/>
  <c r="U230" i="32" s="1"/>
  <c r="Q230" i="32" a="1"/>
  <c r="Q230" i="32" s="1"/>
  <c r="L230" i="32"/>
  <c r="J230" i="32"/>
  <c r="H230" i="32"/>
  <c r="E230" i="32"/>
  <c r="AY229" i="32"/>
  <c r="AX229" i="32"/>
  <c r="AW229" i="32"/>
  <c r="AV229" i="32"/>
  <c r="AU229" i="32"/>
  <c r="AT229" i="32"/>
  <c r="AS229" i="32"/>
  <c r="AR229" i="32"/>
  <c r="AQ229" i="32"/>
  <c r="AN229" i="32"/>
  <c r="AI229" i="32"/>
  <c r="AJ229" i="32" s="1" a="1"/>
  <c r="AJ229" i="32" s="1"/>
  <c r="AD229" i="32"/>
  <c r="AE229" i="32" s="1" a="1"/>
  <c r="AE229" i="32" s="1"/>
  <c r="Y229" i="32"/>
  <c r="Z229" i="32" s="1" a="1"/>
  <c r="Z229" i="32" s="1"/>
  <c r="X229" i="32"/>
  <c r="T229" i="32" s="1"/>
  <c r="U229" i="32" s="1" a="1"/>
  <c r="U229" i="32" s="1"/>
  <c r="Q229" i="32" a="1"/>
  <c r="Q229" i="32" s="1"/>
  <c r="L229" i="32"/>
  <c r="J229" i="32"/>
  <c r="H229" i="32"/>
  <c r="E229" i="32"/>
  <c r="AY228" i="32"/>
  <c r="AX228" i="32"/>
  <c r="AW228" i="32"/>
  <c r="AV228" i="32"/>
  <c r="AU228" i="32"/>
  <c r="AT228" i="32"/>
  <c r="AS228" i="32"/>
  <c r="AR228" i="32"/>
  <c r="AQ228" i="32"/>
  <c r="AN228" i="32"/>
  <c r="AI228" i="32"/>
  <c r="AJ228" i="32" s="1" a="1"/>
  <c r="AJ228" i="32" s="1"/>
  <c r="AD228" i="32"/>
  <c r="AE228" i="32" s="1" a="1"/>
  <c r="AE228" i="32" s="1"/>
  <c r="Y228" i="32"/>
  <c r="Z228" i="32" s="1" a="1"/>
  <c r="Z228" i="32" s="1"/>
  <c r="X228" i="32"/>
  <c r="T228" i="32" s="1"/>
  <c r="U228" i="32" s="1" a="1"/>
  <c r="U228" i="32" s="1"/>
  <c r="L228" i="32"/>
  <c r="J228" i="32"/>
  <c r="H228" i="32"/>
  <c r="E228" i="32"/>
  <c r="AI227" i="32"/>
  <c r="AJ227" i="32" s="1" a="1"/>
  <c r="AJ227" i="32" s="1"/>
  <c r="AI226" i="32"/>
  <c r="AJ226" i="32" s="1" a="1"/>
  <c r="AJ226" i="32" s="1"/>
  <c r="AI225" i="32"/>
  <c r="AJ225" i="32" s="1" a="1"/>
  <c r="AJ225" i="32" s="1"/>
  <c r="AI224" i="32"/>
  <c r="AJ224" i="32" s="1" a="1"/>
  <c r="AJ224" i="32" s="1"/>
  <c r="AI223" i="32"/>
  <c r="AJ223" i="32" s="1" a="1"/>
  <c r="AJ223" i="32" s="1"/>
  <c r="AI222" i="32"/>
  <c r="AJ222" i="32" s="1" a="1"/>
  <c r="AJ222" i="32" s="1"/>
  <c r="AI221" i="32"/>
  <c r="AJ221" i="32" s="1" a="1"/>
  <c r="AJ221" i="32" s="1"/>
  <c r="AI220" i="32"/>
  <c r="AJ220" i="32" s="1" a="1"/>
  <c r="AJ220" i="32" s="1"/>
  <c r="AI219" i="32"/>
  <c r="AJ219" i="32" s="1" a="1"/>
  <c r="AJ219" i="32" s="1"/>
  <c r="AI218" i="32"/>
  <c r="AJ218" i="32" s="1" a="1"/>
  <c r="AJ218" i="32" s="1"/>
  <c r="AI217" i="32"/>
  <c r="AJ217" i="32" s="1" a="1"/>
  <c r="AJ217" i="32" s="1"/>
  <c r="AI216" i="32"/>
  <c r="AJ216" i="32" s="1" a="1"/>
  <c r="AJ216" i="32" s="1"/>
  <c r="AI215" i="32"/>
  <c r="AJ215" i="32" s="1" a="1"/>
  <c r="AJ215" i="32" s="1"/>
  <c r="AI214" i="32"/>
  <c r="AJ214" i="32" s="1" a="1"/>
  <c r="AJ214" i="32" s="1"/>
  <c r="AI213" i="32"/>
  <c r="AJ213" i="32" s="1" a="1"/>
  <c r="AJ213" i="32" s="1"/>
  <c r="AI212" i="32"/>
  <c r="AJ212" i="32" s="1" a="1"/>
  <c r="AJ212" i="32" s="1"/>
  <c r="AI211" i="32"/>
  <c r="AJ211" i="32" s="1" a="1"/>
  <c r="AJ211" i="32" s="1"/>
  <c r="AI210" i="32"/>
  <c r="AJ210" i="32" s="1" a="1"/>
  <c r="AJ210" i="32" s="1"/>
  <c r="AI209" i="32"/>
  <c r="AJ209" i="32" s="1" a="1"/>
  <c r="AJ209" i="32" s="1"/>
  <c r="AI208" i="32"/>
  <c r="AJ208" i="32" s="1" a="1"/>
  <c r="AJ208" i="32" s="1"/>
  <c r="AI207" i="32"/>
  <c r="AJ207" i="32" s="1" a="1"/>
  <c r="AJ207" i="32" s="1"/>
  <c r="AI206" i="32"/>
  <c r="AJ206" i="32" s="1" a="1"/>
  <c r="AJ206" i="32" s="1"/>
  <c r="AI205" i="32"/>
  <c r="AJ205" i="32" s="1" a="1"/>
  <c r="AJ205" i="32" s="1"/>
  <c r="AI204" i="32"/>
  <c r="AJ204" i="32" s="1" a="1"/>
  <c r="AJ204" i="32" s="1"/>
  <c r="AI203" i="32"/>
  <c r="AJ203" i="32" s="1" a="1"/>
  <c r="AJ203" i="32" s="1"/>
  <c r="AI202" i="32"/>
  <c r="AJ202" i="32" s="1" a="1"/>
  <c r="AJ202" i="32" s="1"/>
  <c r="AI201" i="32"/>
  <c r="AJ201" i="32" s="1" a="1"/>
  <c r="AJ201" i="32" s="1"/>
  <c r="AI200" i="32"/>
  <c r="AJ200" i="32" s="1" a="1"/>
  <c r="AJ200" i="32" s="1"/>
  <c r="AI199" i="32"/>
  <c r="AJ199" i="32" s="1" a="1"/>
  <c r="AJ199" i="32" s="1"/>
  <c r="AI198" i="32"/>
  <c r="AJ198" i="32" s="1" a="1"/>
  <c r="AJ198" i="32" s="1"/>
  <c r="AI197" i="32"/>
  <c r="AJ197" i="32" s="1" a="1"/>
  <c r="AJ197" i="32" s="1"/>
  <c r="AI196" i="32"/>
  <c r="AJ196" i="32" s="1" a="1"/>
  <c r="AJ196" i="32" s="1"/>
  <c r="AI195" i="32"/>
  <c r="AJ195" i="32" s="1" a="1"/>
  <c r="AJ195" i="32" s="1"/>
  <c r="AI194" i="32"/>
  <c r="AJ194" i="32" s="1" a="1"/>
  <c r="AJ194" i="32" s="1"/>
  <c r="AI193" i="32"/>
  <c r="AJ193" i="32" s="1" a="1"/>
  <c r="AJ193" i="32" s="1"/>
  <c r="AI192" i="32"/>
  <c r="AJ192" i="32" s="1" a="1"/>
  <c r="AJ192" i="32" s="1"/>
  <c r="AI191" i="32"/>
  <c r="AJ191" i="32" s="1" a="1"/>
  <c r="AJ191" i="32" s="1"/>
  <c r="AI190" i="32"/>
  <c r="AJ190" i="32" s="1" a="1"/>
  <c r="AJ190" i="32" s="1"/>
  <c r="AI189" i="32"/>
  <c r="AJ189" i="32" s="1" a="1"/>
  <c r="AJ189" i="32" s="1"/>
  <c r="AI188" i="32"/>
  <c r="AJ188" i="32" s="1" a="1"/>
  <c r="AJ188" i="32" s="1"/>
  <c r="AI187" i="32"/>
  <c r="AJ187" i="32" s="1" a="1"/>
  <c r="AJ187" i="32" s="1"/>
  <c r="AI186" i="32"/>
  <c r="AJ186" i="32" s="1" a="1"/>
  <c r="AJ186" i="32" s="1"/>
  <c r="AI185" i="32"/>
  <c r="AJ185" i="32" s="1" a="1"/>
  <c r="AJ185" i="32" s="1"/>
  <c r="AI184" i="32"/>
  <c r="AJ184" i="32" s="1" a="1"/>
  <c r="AJ184" i="32" s="1"/>
  <c r="AI183" i="32"/>
  <c r="AJ183" i="32" s="1" a="1"/>
  <c r="AJ183" i="32" s="1"/>
  <c r="AI182" i="32"/>
  <c r="AJ182" i="32" s="1" a="1"/>
  <c r="AJ182" i="32" s="1"/>
  <c r="AI181" i="32"/>
  <c r="AJ181" i="32" s="1" a="1"/>
  <c r="AJ181" i="32" s="1"/>
  <c r="AI180" i="32"/>
  <c r="AJ180" i="32" s="1" a="1"/>
  <c r="AJ180" i="32" s="1"/>
  <c r="AI179" i="32"/>
  <c r="AJ179" i="32" s="1" a="1"/>
  <c r="AJ179" i="32" s="1"/>
  <c r="AI178" i="32"/>
  <c r="AJ178" i="32" s="1" a="1"/>
  <c r="AJ178" i="32" s="1"/>
  <c r="AI177" i="32"/>
  <c r="AJ177" i="32" s="1" a="1"/>
  <c r="AJ177" i="32" s="1"/>
  <c r="AI176" i="32"/>
  <c r="AJ176" i="32" s="1" a="1"/>
  <c r="AJ176" i="32" s="1"/>
  <c r="AI175" i="32"/>
  <c r="AJ175" i="32" s="1" a="1"/>
  <c r="AJ175" i="32" s="1"/>
  <c r="AI174" i="32"/>
  <c r="AJ174" i="32" s="1" a="1"/>
  <c r="AJ174" i="32" s="1"/>
  <c r="AI173" i="32"/>
  <c r="AJ173" i="32" s="1" a="1"/>
  <c r="AJ173" i="32" s="1"/>
  <c r="AI172" i="32"/>
  <c r="AJ172" i="32" s="1" a="1"/>
  <c r="AJ172" i="32" s="1"/>
  <c r="AI171" i="32"/>
  <c r="AJ171" i="32" s="1" a="1"/>
  <c r="AJ171" i="32" s="1"/>
  <c r="AI170" i="32"/>
  <c r="AJ170" i="32" s="1" a="1"/>
  <c r="AJ170" i="32" s="1"/>
  <c r="AI169" i="32"/>
  <c r="AJ169" i="32" s="1" a="1"/>
  <c r="AJ169" i="32" s="1"/>
  <c r="AI168" i="32"/>
  <c r="AJ168" i="32" s="1" a="1"/>
  <c r="AJ168" i="32" s="1"/>
  <c r="AI167" i="32"/>
  <c r="AJ167" i="32" s="1" a="1"/>
  <c r="AJ167" i="32" s="1"/>
  <c r="AI166" i="32"/>
  <c r="AJ166" i="32" s="1" a="1"/>
  <c r="AJ166" i="32" s="1"/>
  <c r="AI165" i="32"/>
  <c r="AJ165" i="32" s="1" a="1"/>
  <c r="AJ165" i="32" s="1"/>
  <c r="AI164" i="32"/>
  <c r="AJ164" i="32" s="1" a="1"/>
  <c r="AJ164" i="32" s="1"/>
  <c r="AI163" i="32"/>
  <c r="AJ163" i="32" s="1" a="1"/>
  <c r="AJ163" i="32" s="1"/>
  <c r="AI162" i="32"/>
  <c r="AJ162" i="32" s="1" a="1"/>
  <c r="AJ162" i="32" s="1"/>
  <c r="AI161" i="32"/>
  <c r="AJ161" i="32" s="1" a="1"/>
  <c r="AJ161" i="32" s="1"/>
  <c r="AI160" i="32"/>
  <c r="AJ160" i="32" s="1" a="1"/>
  <c r="AJ160" i="32" s="1"/>
  <c r="AI159" i="32"/>
  <c r="AJ159" i="32" s="1" a="1"/>
  <c r="AJ159" i="32" s="1"/>
  <c r="AI158" i="32"/>
  <c r="AJ158" i="32" s="1" a="1"/>
  <c r="AJ158" i="32" s="1"/>
  <c r="AI157" i="32"/>
  <c r="AJ157" i="32" s="1" a="1"/>
  <c r="AJ157" i="32" s="1"/>
  <c r="AI156" i="32"/>
  <c r="AJ156" i="32" s="1" a="1"/>
  <c r="AJ156" i="32" s="1"/>
  <c r="AI155" i="32"/>
  <c r="AJ155" i="32" s="1" a="1"/>
  <c r="AJ155" i="32" s="1"/>
  <c r="AI154" i="32"/>
  <c r="AJ154" i="32" s="1" a="1"/>
  <c r="AJ154" i="32" s="1"/>
  <c r="AI153" i="32"/>
  <c r="AJ153" i="32" s="1" a="1"/>
  <c r="AJ153" i="32" s="1"/>
  <c r="AI152" i="32"/>
  <c r="AJ152" i="32" s="1" a="1"/>
  <c r="AJ152" i="32" s="1"/>
  <c r="AI151" i="32"/>
  <c r="AJ151" i="32" s="1" a="1"/>
  <c r="AJ151" i="32" s="1"/>
  <c r="AI150" i="32"/>
  <c r="AJ150" i="32" s="1" a="1"/>
  <c r="AJ150" i="32" s="1"/>
  <c r="AI149" i="32"/>
  <c r="AJ149" i="32" s="1" a="1"/>
  <c r="AJ149" i="32" s="1"/>
  <c r="AI148" i="32"/>
  <c r="AJ148" i="32" s="1" a="1"/>
  <c r="AJ148" i="32" s="1"/>
  <c r="AI147" i="32"/>
  <c r="AJ147" i="32" s="1" a="1"/>
  <c r="AJ147" i="32" s="1"/>
  <c r="AI146" i="32"/>
  <c r="AJ146" i="32" s="1" a="1"/>
  <c r="AJ146" i="32" s="1"/>
  <c r="AI145" i="32"/>
  <c r="AJ145" i="32" s="1" a="1"/>
  <c r="AJ145" i="32" s="1"/>
  <c r="AI144" i="32"/>
  <c r="AJ144" i="32" s="1" a="1"/>
  <c r="AJ144" i="32" s="1"/>
  <c r="AI143" i="32"/>
  <c r="AJ143" i="32" s="1" a="1"/>
  <c r="AJ143" i="32" s="1"/>
  <c r="AI142" i="32"/>
  <c r="AJ142" i="32" s="1" a="1"/>
  <c r="AJ142" i="32" s="1"/>
  <c r="AI141" i="32"/>
  <c r="AJ141" i="32" s="1" a="1"/>
  <c r="AJ141" i="32" s="1"/>
  <c r="AI140" i="32"/>
  <c r="AJ140" i="32" s="1" a="1"/>
  <c r="AJ140" i="32" s="1"/>
  <c r="AI139" i="32"/>
  <c r="AJ139" i="32" s="1" a="1"/>
  <c r="AJ139" i="32" s="1"/>
  <c r="AI138" i="32"/>
  <c r="AJ138" i="32" s="1" a="1"/>
  <c r="AJ138" i="32" s="1"/>
  <c r="AI137" i="32"/>
  <c r="AJ137" i="32" s="1" a="1"/>
  <c r="AJ137" i="32" s="1"/>
  <c r="AI136" i="32"/>
  <c r="AJ136" i="32" s="1" a="1"/>
  <c r="AJ136" i="32" s="1"/>
  <c r="AI135" i="32"/>
  <c r="AJ135" i="32" s="1" a="1"/>
  <c r="AJ135" i="32" s="1"/>
  <c r="AI134" i="32"/>
  <c r="AJ134" i="32" s="1" a="1"/>
  <c r="AJ134" i="32" s="1"/>
  <c r="AI133" i="32"/>
  <c r="AJ133" i="32" s="1" a="1"/>
  <c r="AJ133" i="32" s="1"/>
  <c r="AI132" i="32"/>
  <c r="AJ132" i="32" s="1" a="1"/>
  <c r="AJ132" i="32" s="1"/>
  <c r="AI131" i="32"/>
  <c r="AJ131" i="32" s="1" a="1"/>
  <c r="AJ131" i="32" s="1"/>
  <c r="AI130" i="32"/>
  <c r="AJ130" i="32" s="1" a="1"/>
  <c r="AJ130" i="32" s="1"/>
  <c r="AI129" i="32"/>
  <c r="AJ129" i="32" s="1" a="1"/>
  <c r="AJ129" i="32" s="1"/>
  <c r="AI128" i="32"/>
  <c r="AJ128" i="32" s="1" a="1"/>
  <c r="AJ128" i="32" s="1"/>
  <c r="AI127" i="32"/>
  <c r="AJ127" i="32" s="1" a="1"/>
  <c r="AJ127" i="32" s="1"/>
  <c r="AI126" i="32"/>
  <c r="AJ126" i="32" s="1" a="1"/>
  <c r="AJ126" i="32" s="1"/>
  <c r="AI125" i="32"/>
  <c r="AJ125" i="32" s="1" a="1"/>
  <c r="AJ125" i="32" s="1"/>
  <c r="AI124" i="32"/>
  <c r="AJ124" i="32" s="1" a="1"/>
  <c r="AJ124" i="32" s="1"/>
  <c r="AI123" i="32"/>
  <c r="AJ123" i="32" s="1" a="1"/>
  <c r="AJ123" i="32" s="1"/>
  <c r="AI122" i="32"/>
  <c r="AJ122" i="32" s="1" a="1"/>
  <c r="AJ122" i="32" s="1"/>
  <c r="AI121" i="32"/>
  <c r="AJ121" i="32" s="1" a="1"/>
  <c r="AJ121" i="32" s="1"/>
  <c r="AI120" i="32"/>
  <c r="AJ120" i="32" s="1" a="1"/>
  <c r="AJ120" i="32" s="1"/>
  <c r="AI119" i="32"/>
  <c r="AJ119" i="32" s="1" a="1"/>
  <c r="AJ119" i="32" s="1"/>
  <c r="AI118" i="32"/>
  <c r="AJ118" i="32" s="1" a="1"/>
  <c r="AJ118" i="32" s="1"/>
  <c r="AI117" i="32"/>
  <c r="AJ117" i="32" s="1" a="1"/>
  <c r="AJ117" i="32" s="1"/>
  <c r="AI116" i="32"/>
  <c r="AJ116" i="32" s="1" a="1"/>
  <c r="AJ116" i="32" s="1"/>
  <c r="AI115" i="32"/>
  <c r="AJ115" i="32" s="1" a="1"/>
  <c r="AJ115" i="32" s="1"/>
  <c r="AI114" i="32"/>
  <c r="AJ114" i="32" s="1" a="1"/>
  <c r="AJ114" i="32" s="1"/>
  <c r="AI113" i="32"/>
  <c r="AJ113" i="32" s="1" a="1"/>
  <c r="AJ113" i="32" s="1"/>
  <c r="AI112" i="32"/>
  <c r="AJ112" i="32" s="1" a="1"/>
  <c r="AJ112" i="32" s="1"/>
  <c r="AI111" i="32"/>
  <c r="AJ111" i="32" s="1" a="1"/>
  <c r="AJ111" i="32" s="1"/>
  <c r="AI110" i="32"/>
  <c r="AJ110" i="32" s="1" a="1"/>
  <c r="AJ110" i="32" s="1"/>
  <c r="AI109" i="32"/>
  <c r="AJ109" i="32" s="1" a="1"/>
  <c r="AJ109" i="32" s="1"/>
  <c r="AI108" i="32"/>
  <c r="AJ108" i="32" s="1" a="1"/>
  <c r="AJ108" i="32" s="1"/>
  <c r="AI107" i="32"/>
  <c r="AJ107" i="32" s="1" a="1"/>
  <c r="AJ107" i="32" s="1"/>
  <c r="AI106" i="32"/>
  <c r="AJ106" i="32" s="1" a="1"/>
  <c r="AJ106" i="32" s="1"/>
  <c r="AI105" i="32"/>
  <c r="AJ105" i="32" s="1" a="1"/>
  <c r="AJ105" i="32" s="1"/>
  <c r="AI104" i="32"/>
  <c r="AJ104" i="32" s="1" a="1"/>
  <c r="AJ104" i="32" s="1"/>
  <c r="AI103" i="32"/>
  <c r="AJ103" i="32" s="1" a="1"/>
  <c r="AJ103" i="32" s="1"/>
  <c r="AI102" i="32"/>
  <c r="AJ102" i="32" s="1" a="1"/>
  <c r="AJ102" i="32" s="1"/>
  <c r="AI101" i="32"/>
  <c r="AJ101" i="32" s="1" a="1"/>
  <c r="AJ101" i="32" s="1"/>
  <c r="AI100" i="32"/>
  <c r="AJ100" i="32" s="1" a="1"/>
  <c r="AJ100" i="32" s="1"/>
  <c r="AI99" i="32"/>
  <c r="AJ99" i="32" s="1" a="1"/>
  <c r="AJ99" i="32" s="1"/>
  <c r="AI98" i="32"/>
  <c r="AJ98" i="32" s="1" a="1"/>
  <c r="AJ98" i="32" s="1"/>
  <c r="AI97" i="32"/>
  <c r="AJ97" i="32" s="1" a="1"/>
  <c r="AJ97" i="32" s="1"/>
  <c r="AI96" i="32"/>
  <c r="AJ96" i="32" s="1" a="1"/>
  <c r="AJ96" i="32" s="1"/>
  <c r="AI95" i="32"/>
  <c r="AJ95" i="32" s="1" a="1"/>
  <c r="AJ95" i="32" s="1"/>
  <c r="AI94" i="32"/>
  <c r="AJ94" i="32" s="1" a="1"/>
  <c r="AJ94" i="32" s="1"/>
  <c r="AI93" i="32"/>
  <c r="AJ93" i="32" s="1" a="1"/>
  <c r="AJ93" i="32" s="1"/>
  <c r="AI92" i="32"/>
  <c r="AJ92" i="32" s="1" a="1"/>
  <c r="AJ92" i="32" s="1"/>
  <c r="AI91" i="32"/>
  <c r="AJ91" i="32" s="1" a="1"/>
  <c r="AJ91" i="32" s="1"/>
  <c r="AI90" i="32"/>
  <c r="AJ90" i="32" s="1" a="1"/>
  <c r="AJ90" i="32" s="1"/>
  <c r="AI89" i="32"/>
  <c r="AJ89" i="32" s="1" a="1"/>
  <c r="AJ89" i="32" s="1"/>
  <c r="AI88" i="32"/>
  <c r="AJ88" i="32" s="1" a="1"/>
  <c r="AJ88" i="32" s="1"/>
  <c r="AI87" i="32"/>
  <c r="AJ87" i="32" s="1" a="1"/>
  <c r="AJ87" i="32" s="1"/>
  <c r="AI86" i="32"/>
  <c r="AJ86" i="32" s="1" a="1"/>
  <c r="AJ86" i="32" s="1"/>
  <c r="AI85" i="32"/>
  <c r="AJ85" i="32" s="1" a="1"/>
  <c r="AJ85" i="32" s="1"/>
  <c r="AI84" i="32"/>
  <c r="AJ84" i="32" s="1" a="1"/>
  <c r="AJ84" i="32" s="1"/>
  <c r="AI83" i="32"/>
  <c r="AJ83" i="32" s="1" a="1"/>
  <c r="AJ83" i="32" s="1"/>
  <c r="AI82" i="32"/>
  <c r="AJ82" i="32" s="1" a="1"/>
  <c r="AJ82" i="32" s="1"/>
  <c r="AI81" i="32"/>
  <c r="AJ81" i="32" s="1" a="1"/>
  <c r="AJ81" i="32" s="1"/>
  <c r="AI80" i="32"/>
  <c r="AJ80" i="32" s="1" a="1"/>
  <c r="AJ80" i="32" s="1"/>
  <c r="AI79" i="32"/>
  <c r="AJ79" i="32" s="1" a="1"/>
  <c r="AJ79" i="32" s="1"/>
  <c r="AI78" i="32"/>
  <c r="AJ78" i="32" s="1" a="1"/>
  <c r="AJ78" i="32" s="1"/>
  <c r="AI77" i="32"/>
  <c r="AJ77" i="32" s="1" a="1"/>
  <c r="AJ77" i="32" s="1"/>
  <c r="AI76" i="32"/>
  <c r="AJ76" i="32" s="1" a="1"/>
  <c r="AJ76" i="32" s="1"/>
  <c r="AI75" i="32"/>
  <c r="AJ75" i="32" s="1" a="1"/>
  <c r="AJ75" i="32" s="1"/>
  <c r="AI74" i="32"/>
  <c r="AJ74" i="32" s="1" a="1"/>
  <c r="AJ74" i="32" s="1"/>
  <c r="AI73" i="32"/>
  <c r="AJ73" i="32" s="1" a="1"/>
  <c r="AJ73" i="32" s="1"/>
  <c r="AI72" i="32"/>
  <c r="AJ72" i="32" s="1" a="1"/>
  <c r="AJ72" i="32" s="1"/>
  <c r="AI71" i="32"/>
  <c r="AJ71" i="32" s="1" a="1"/>
  <c r="AJ71" i="32" s="1"/>
  <c r="AI70" i="32"/>
  <c r="AJ70" i="32" s="1" a="1"/>
  <c r="AJ70" i="32" s="1"/>
  <c r="AI69" i="32"/>
  <c r="AJ69" i="32" s="1" a="1"/>
  <c r="AJ69" i="32" s="1"/>
  <c r="AI68" i="32"/>
  <c r="AJ68" i="32" s="1" a="1"/>
  <c r="AJ68" i="32" s="1"/>
  <c r="AI67" i="32"/>
  <c r="AJ67" i="32" s="1" a="1"/>
  <c r="AJ67" i="32" s="1"/>
  <c r="AI66" i="32"/>
  <c r="AJ66" i="32" s="1" a="1"/>
  <c r="AJ66" i="32" s="1"/>
  <c r="AI65" i="32"/>
  <c r="AJ65" i="32" s="1" a="1"/>
  <c r="AJ65" i="32" s="1"/>
  <c r="AI64" i="32"/>
  <c r="AJ64" i="32" s="1" a="1"/>
  <c r="AJ64" i="32" s="1"/>
  <c r="AI63" i="32"/>
  <c r="AJ63" i="32" s="1" a="1"/>
  <c r="AJ63" i="32" s="1"/>
  <c r="AI62" i="32"/>
  <c r="AJ62" i="32" s="1" a="1"/>
  <c r="AJ62" i="32" s="1"/>
  <c r="AI61" i="32"/>
  <c r="AJ61" i="32" s="1" a="1"/>
  <c r="AJ61" i="32" s="1"/>
  <c r="AI60" i="32"/>
  <c r="AJ60" i="32" s="1" a="1"/>
  <c r="AJ60" i="32" s="1"/>
  <c r="AI59" i="32"/>
  <c r="AJ59" i="32" s="1" a="1"/>
  <c r="AJ59" i="32" s="1"/>
  <c r="AI58" i="32"/>
  <c r="AJ58" i="32" s="1" a="1"/>
  <c r="AJ58" i="32" s="1"/>
  <c r="AI57" i="32"/>
  <c r="AJ57" i="32" s="1" a="1"/>
  <c r="AJ57" i="32" s="1"/>
  <c r="AI56" i="32"/>
  <c r="AJ56" i="32" s="1" a="1"/>
  <c r="AJ56" i="32" s="1"/>
  <c r="AI55" i="32"/>
  <c r="AJ55" i="32" s="1" a="1"/>
  <c r="AJ55" i="32" s="1"/>
  <c r="AI54" i="32"/>
  <c r="AJ54" i="32" s="1" a="1"/>
  <c r="AJ54" i="32" s="1"/>
  <c r="AI53" i="32"/>
  <c r="AJ53" i="32" s="1" a="1"/>
  <c r="AJ53" i="32" s="1"/>
  <c r="AI52" i="32"/>
  <c r="AJ52" i="32" s="1" a="1"/>
  <c r="AJ52" i="32" s="1"/>
  <c r="AI51" i="32"/>
  <c r="AJ51" i="32" s="1" a="1"/>
  <c r="AJ51" i="32" s="1"/>
  <c r="AI50" i="32"/>
  <c r="AJ50" i="32" s="1" a="1"/>
  <c r="AJ50" i="32" s="1"/>
  <c r="AI49" i="32"/>
  <c r="AJ49" i="32" s="1" a="1"/>
  <c r="AJ49" i="32" s="1"/>
  <c r="AI48" i="32"/>
  <c r="AJ48" i="32" s="1" a="1"/>
  <c r="AJ48" i="32" s="1"/>
  <c r="AI47" i="32"/>
  <c r="AJ47" i="32" s="1" a="1"/>
  <c r="AJ47" i="32" s="1"/>
  <c r="AI46" i="32"/>
  <c r="AJ46" i="32" s="1" a="1"/>
  <c r="AJ46" i="32" s="1"/>
  <c r="AI45" i="32"/>
  <c r="AJ45" i="32" s="1" a="1"/>
  <c r="AJ45" i="32" s="1"/>
  <c r="AI44" i="32"/>
  <c r="AJ44" i="32" s="1" a="1"/>
  <c r="AJ44" i="32" s="1"/>
  <c r="AI43" i="32"/>
  <c r="AJ43" i="32" s="1" a="1"/>
  <c r="AJ43" i="32" s="1"/>
  <c r="AI42" i="32"/>
  <c r="AJ42" i="32" s="1" a="1"/>
  <c r="AJ42" i="32" s="1"/>
  <c r="AI41" i="32"/>
  <c r="AJ41" i="32" s="1" a="1"/>
  <c r="AJ41" i="32" s="1"/>
  <c r="AI40" i="32"/>
  <c r="AJ40" i="32" s="1" a="1"/>
  <c r="AJ40" i="32" s="1"/>
  <c r="AI39" i="32"/>
  <c r="AJ39" i="32" s="1" a="1"/>
  <c r="AJ39" i="32" s="1"/>
  <c r="AI38" i="32"/>
  <c r="AJ38" i="32" s="1" a="1"/>
  <c r="AJ38" i="32" s="1"/>
  <c r="AI37" i="32"/>
  <c r="AJ37" i="32" s="1" a="1"/>
  <c r="AJ37" i="32" s="1"/>
  <c r="AI36" i="32"/>
  <c r="AJ36" i="32" s="1" a="1"/>
  <c r="AJ36" i="32" s="1"/>
  <c r="AI35" i="32"/>
  <c r="AJ35" i="32" s="1" a="1"/>
  <c r="AJ35" i="32" s="1"/>
  <c r="AI34" i="32"/>
  <c r="AJ34" i="32" s="1" a="1"/>
  <c r="AJ34" i="32" s="1"/>
  <c r="AI33" i="32"/>
  <c r="AJ33" i="32" s="1" a="1"/>
  <c r="AJ33" i="32" s="1"/>
  <c r="AI32" i="32"/>
  <c r="AJ32" i="32" s="1" a="1"/>
  <c r="AJ32" i="32" s="1"/>
  <c r="AI31" i="32"/>
  <c r="AJ31" i="32" s="1" a="1"/>
  <c r="AJ31" i="32" s="1"/>
  <c r="AI30" i="32"/>
  <c r="AJ30" i="32" s="1" a="1"/>
  <c r="AJ30" i="32" s="1"/>
  <c r="AI29" i="32"/>
  <c r="AJ29" i="32" s="1" a="1"/>
  <c r="AJ29" i="32" s="1"/>
  <c r="AI28" i="32"/>
  <c r="AJ28" i="32" s="1" a="1"/>
  <c r="AJ28" i="32" s="1"/>
  <c r="AI27" i="32"/>
  <c r="AJ27" i="32" s="1" a="1"/>
  <c r="AJ27" i="32" s="1"/>
  <c r="AI26" i="32"/>
  <c r="AJ26" i="32" s="1" a="1"/>
  <c r="AJ26" i="32" s="1"/>
  <c r="AI25" i="32"/>
  <c r="AJ25" i="32" s="1" a="1"/>
  <c r="AJ25" i="32" s="1"/>
  <c r="AI24" i="32"/>
  <c r="AJ24" i="32" s="1" a="1"/>
  <c r="AJ24" i="32" s="1"/>
  <c r="AI23" i="32"/>
  <c r="AJ23" i="32" s="1" a="1"/>
  <c r="AJ23" i="32" s="1"/>
  <c r="AI22" i="32"/>
  <c r="AJ22" i="32" s="1" a="1"/>
  <c r="AJ22" i="32" s="1"/>
  <c r="AI21" i="32"/>
  <c r="AJ21" i="32" s="1" a="1"/>
  <c r="AJ21" i="32" s="1"/>
  <c r="AI20" i="32"/>
  <c r="AJ20" i="32" s="1" a="1"/>
  <c r="AJ20" i="32" s="1"/>
  <c r="AI19" i="32"/>
  <c r="AJ19" i="32" s="1" a="1"/>
  <c r="AJ19" i="32" s="1"/>
  <c r="AI18" i="32"/>
  <c r="AJ18" i="32" s="1" a="1"/>
  <c r="AJ18" i="32" s="1"/>
  <c r="AI17" i="32"/>
  <c r="AJ17" i="32" s="1" a="1"/>
  <c r="AJ17" i="32" s="1"/>
  <c r="AI16" i="32"/>
  <c r="AJ16" i="32" s="1" a="1"/>
  <c r="AJ16" i="32" s="1"/>
  <c r="AI15" i="32"/>
  <c r="AJ15" i="32" s="1" a="1"/>
  <c r="AJ15" i="32" s="1"/>
  <c r="AI14" i="32"/>
  <c r="AJ14" i="32" s="1" a="1"/>
  <c r="AJ14" i="32" s="1"/>
  <c r="AI13" i="32"/>
  <c r="AJ13" i="32" s="1" a="1"/>
  <c r="AJ13" i="32" s="1"/>
  <c r="AI12" i="32"/>
  <c r="AJ12" i="32" s="1" a="1"/>
  <c r="AJ12" i="32" s="1"/>
  <c r="AI11" i="32"/>
  <c r="AJ11" i="32" s="1" a="1"/>
  <c r="AJ11" i="32" s="1"/>
  <c r="AI10" i="32"/>
  <c r="AJ10" i="32" s="1" a="1"/>
  <c r="AJ10" i="32" s="1"/>
  <c r="AI9" i="32"/>
  <c r="AJ9" i="32" s="1" a="1"/>
  <c r="AJ9" i="32" s="1"/>
  <c r="AI8" i="32"/>
  <c r="AJ8" i="32" s="1" a="1"/>
  <c r="AJ8" i="32" s="1"/>
  <c r="AI7" i="32"/>
  <c r="AJ7" i="32" s="1" a="1"/>
  <c r="AJ7" i="32" s="1"/>
  <c r="AI6" i="32"/>
  <c r="AJ6" i="32" s="1" a="1"/>
  <c r="AJ6" i="32" s="1"/>
  <c r="AI5" i="32"/>
  <c r="AJ5" i="32" s="1" a="1"/>
  <c r="AJ5" i="32" s="1"/>
  <c r="AI4" i="32"/>
  <c r="AJ4" i="32" s="1" a="1"/>
  <c r="AJ4" i="32" s="1"/>
  <c r="AD227" i="32"/>
  <c r="AE227" i="32" s="1" a="1"/>
  <c r="AE227" i="32" s="1"/>
  <c r="AD226" i="32"/>
  <c r="AE226" i="32" s="1" a="1"/>
  <c r="AE226" i="32" s="1"/>
  <c r="AD225" i="32"/>
  <c r="AE225" i="32" s="1" a="1"/>
  <c r="AE225" i="32" s="1"/>
  <c r="AD224" i="32"/>
  <c r="AE224" i="32" s="1" a="1"/>
  <c r="AE224" i="32" s="1"/>
  <c r="AD223" i="32"/>
  <c r="AE223" i="32" s="1" a="1"/>
  <c r="AE223" i="32" s="1"/>
  <c r="AD222" i="32"/>
  <c r="AE222" i="32" s="1" a="1"/>
  <c r="AE222" i="32" s="1"/>
  <c r="AD221" i="32"/>
  <c r="AE221" i="32" s="1" a="1"/>
  <c r="AE221" i="32" s="1"/>
  <c r="AD220" i="32"/>
  <c r="AE220" i="32" s="1" a="1"/>
  <c r="AE220" i="32" s="1"/>
  <c r="AD219" i="32"/>
  <c r="AE219" i="32" s="1" a="1"/>
  <c r="AE219" i="32" s="1"/>
  <c r="AD218" i="32"/>
  <c r="AE218" i="32" s="1" a="1"/>
  <c r="AE218" i="32" s="1"/>
  <c r="AD217" i="32"/>
  <c r="AE217" i="32" s="1" a="1"/>
  <c r="AE217" i="32" s="1"/>
  <c r="AD216" i="32"/>
  <c r="AE216" i="32" s="1" a="1"/>
  <c r="AE216" i="32" s="1"/>
  <c r="AD215" i="32"/>
  <c r="AE215" i="32" s="1" a="1"/>
  <c r="AE215" i="32" s="1"/>
  <c r="AD214" i="32"/>
  <c r="AE214" i="32" s="1" a="1"/>
  <c r="AE214" i="32" s="1"/>
  <c r="AD213" i="32"/>
  <c r="AE213" i="32" s="1" a="1"/>
  <c r="AE213" i="32" s="1"/>
  <c r="AD212" i="32"/>
  <c r="AE212" i="32" s="1" a="1"/>
  <c r="AE212" i="32" s="1"/>
  <c r="AD211" i="32"/>
  <c r="AE211" i="32" s="1" a="1"/>
  <c r="AE211" i="32" s="1"/>
  <c r="AD210" i="32"/>
  <c r="AE210" i="32" s="1" a="1"/>
  <c r="AE210" i="32" s="1"/>
  <c r="AD209" i="32"/>
  <c r="AE209" i="32" s="1" a="1"/>
  <c r="AE209" i="32" s="1"/>
  <c r="AD208" i="32"/>
  <c r="AE208" i="32" s="1" a="1"/>
  <c r="AE208" i="32" s="1"/>
  <c r="AD207" i="32"/>
  <c r="AE207" i="32" s="1" a="1"/>
  <c r="AE207" i="32" s="1"/>
  <c r="AD206" i="32"/>
  <c r="AE206" i="32" s="1" a="1"/>
  <c r="AE206" i="32" s="1"/>
  <c r="AD205" i="32"/>
  <c r="AE205" i="32" s="1" a="1"/>
  <c r="AE205" i="32" s="1"/>
  <c r="AD204" i="32"/>
  <c r="AE204" i="32" s="1" a="1"/>
  <c r="AE204" i="32" s="1"/>
  <c r="AD203" i="32"/>
  <c r="AE203" i="32" s="1" a="1"/>
  <c r="AE203" i="32" s="1"/>
  <c r="AD202" i="32"/>
  <c r="AE202" i="32" s="1" a="1"/>
  <c r="AE202" i="32" s="1"/>
  <c r="AD201" i="32"/>
  <c r="AE201" i="32" s="1" a="1"/>
  <c r="AE201" i="32" s="1"/>
  <c r="AD200" i="32"/>
  <c r="AE200" i="32" s="1" a="1"/>
  <c r="AE200" i="32" s="1"/>
  <c r="AD199" i="32"/>
  <c r="AE199" i="32" s="1" a="1"/>
  <c r="AE199" i="32" s="1"/>
  <c r="AD198" i="32"/>
  <c r="AE198" i="32" s="1" a="1"/>
  <c r="AE198" i="32" s="1"/>
  <c r="AD197" i="32"/>
  <c r="AE197" i="32" s="1" a="1"/>
  <c r="AE197" i="32" s="1"/>
  <c r="AD196" i="32"/>
  <c r="AE196" i="32" s="1" a="1"/>
  <c r="AE196" i="32" s="1"/>
  <c r="AD195" i="32"/>
  <c r="AE195" i="32" s="1" a="1"/>
  <c r="AE195" i="32" s="1"/>
  <c r="AD194" i="32"/>
  <c r="AE194" i="32" s="1" a="1"/>
  <c r="AE194" i="32" s="1"/>
  <c r="AD193" i="32"/>
  <c r="AE193" i="32" s="1" a="1"/>
  <c r="AE193" i="32" s="1"/>
  <c r="AD192" i="32"/>
  <c r="AE192" i="32" s="1" a="1"/>
  <c r="AE192" i="32" s="1"/>
  <c r="AD191" i="32"/>
  <c r="AE191" i="32" s="1" a="1"/>
  <c r="AE191" i="32" s="1"/>
  <c r="AD190" i="32"/>
  <c r="AE190" i="32" s="1" a="1"/>
  <c r="AE190" i="32" s="1"/>
  <c r="AD189" i="32"/>
  <c r="AE189" i="32" s="1" a="1"/>
  <c r="AE189" i="32" s="1"/>
  <c r="AD188" i="32"/>
  <c r="AE188" i="32" s="1" a="1"/>
  <c r="AE188" i="32" s="1"/>
  <c r="AD187" i="32"/>
  <c r="AE187" i="32" s="1" a="1"/>
  <c r="AE187" i="32" s="1"/>
  <c r="AD186" i="32"/>
  <c r="AE186" i="32" s="1" a="1"/>
  <c r="AE186" i="32" s="1"/>
  <c r="AD185" i="32"/>
  <c r="AE185" i="32" s="1" a="1"/>
  <c r="AE185" i="32" s="1"/>
  <c r="AD184" i="32"/>
  <c r="AE184" i="32" s="1" a="1"/>
  <c r="AE184" i="32" s="1"/>
  <c r="AD183" i="32"/>
  <c r="AE183" i="32" s="1" a="1"/>
  <c r="AE183" i="32" s="1"/>
  <c r="AD182" i="32"/>
  <c r="AE182" i="32" s="1" a="1"/>
  <c r="AE182" i="32" s="1"/>
  <c r="AD181" i="32"/>
  <c r="AE181" i="32" s="1" a="1"/>
  <c r="AE181" i="32" s="1"/>
  <c r="AD180" i="32"/>
  <c r="AE180" i="32" s="1" a="1"/>
  <c r="AE180" i="32" s="1"/>
  <c r="AD179" i="32"/>
  <c r="AE179" i="32" s="1" a="1"/>
  <c r="AE179" i="32" s="1"/>
  <c r="AD178" i="32"/>
  <c r="AE178" i="32" s="1" a="1"/>
  <c r="AE178" i="32" s="1"/>
  <c r="AD177" i="32"/>
  <c r="AE177" i="32" s="1" a="1"/>
  <c r="AE177" i="32" s="1"/>
  <c r="AD176" i="32"/>
  <c r="AE176" i="32" s="1" a="1"/>
  <c r="AE176" i="32" s="1"/>
  <c r="AD175" i="32"/>
  <c r="AE175" i="32" s="1" a="1"/>
  <c r="AE175" i="32" s="1"/>
  <c r="AD174" i="32"/>
  <c r="AE174" i="32" s="1" a="1"/>
  <c r="AE174" i="32" s="1"/>
  <c r="AD173" i="32"/>
  <c r="AE173" i="32" s="1" a="1"/>
  <c r="AE173" i="32" s="1"/>
  <c r="AD172" i="32"/>
  <c r="AE172" i="32" s="1" a="1"/>
  <c r="AE172" i="32" s="1"/>
  <c r="AD171" i="32"/>
  <c r="AE171" i="32" s="1" a="1"/>
  <c r="AE171" i="32" s="1"/>
  <c r="AD170" i="32"/>
  <c r="AE170" i="32" s="1" a="1"/>
  <c r="AE170" i="32" s="1"/>
  <c r="AD169" i="32"/>
  <c r="AE169" i="32" s="1" a="1"/>
  <c r="AE169" i="32" s="1"/>
  <c r="AD168" i="32"/>
  <c r="AE168" i="32" s="1" a="1"/>
  <c r="AE168" i="32" s="1"/>
  <c r="AD167" i="32"/>
  <c r="AE167" i="32" s="1" a="1"/>
  <c r="AE167" i="32" s="1"/>
  <c r="AD166" i="32"/>
  <c r="AE166" i="32" s="1" a="1"/>
  <c r="AE166" i="32" s="1"/>
  <c r="AD165" i="32"/>
  <c r="AE165" i="32" s="1" a="1"/>
  <c r="AE165" i="32" s="1"/>
  <c r="AD164" i="32"/>
  <c r="AE164" i="32" s="1" a="1"/>
  <c r="AE164" i="32" s="1"/>
  <c r="AD163" i="32"/>
  <c r="AE163" i="32" s="1" a="1"/>
  <c r="AE163" i="32" s="1"/>
  <c r="AD162" i="32"/>
  <c r="AE162" i="32" s="1" a="1"/>
  <c r="AE162" i="32" s="1"/>
  <c r="AD161" i="32"/>
  <c r="AE161" i="32" s="1" a="1"/>
  <c r="AE161" i="32" s="1"/>
  <c r="AD160" i="32"/>
  <c r="AE160" i="32" s="1" a="1"/>
  <c r="AE160" i="32" s="1"/>
  <c r="AD159" i="32"/>
  <c r="AE159" i="32" s="1" a="1"/>
  <c r="AE159" i="32" s="1"/>
  <c r="AD158" i="32"/>
  <c r="AE158" i="32" s="1" a="1"/>
  <c r="AE158" i="32" s="1"/>
  <c r="AD157" i="32"/>
  <c r="AE157" i="32" s="1" a="1"/>
  <c r="AE157" i="32" s="1"/>
  <c r="AD156" i="32"/>
  <c r="AE156" i="32" s="1" a="1"/>
  <c r="AE156" i="32" s="1"/>
  <c r="AD155" i="32"/>
  <c r="AE155" i="32" s="1" a="1"/>
  <c r="AE155" i="32" s="1"/>
  <c r="AD154" i="32"/>
  <c r="AE154" i="32" s="1" a="1"/>
  <c r="AE154" i="32" s="1"/>
  <c r="AD153" i="32"/>
  <c r="AE153" i="32" s="1" a="1"/>
  <c r="AE153" i="32" s="1"/>
  <c r="AD152" i="32"/>
  <c r="AE152" i="32" s="1" a="1"/>
  <c r="AE152" i="32" s="1"/>
  <c r="AD151" i="32"/>
  <c r="AE151" i="32" s="1" a="1"/>
  <c r="AE151" i="32" s="1"/>
  <c r="AD150" i="32"/>
  <c r="AE150" i="32" s="1" a="1"/>
  <c r="AE150" i="32" s="1"/>
  <c r="AD149" i="32"/>
  <c r="AE149" i="32" s="1" a="1"/>
  <c r="AE149" i="32" s="1"/>
  <c r="AD148" i="32"/>
  <c r="AE148" i="32" s="1" a="1"/>
  <c r="AE148" i="32" s="1"/>
  <c r="AD147" i="32"/>
  <c r="AE147" i="32" s="1" a="1"/>
  <c r="AE147" i="32" s="1"/>
  <c r="AD146" i="32"/>
  <c r="AE146" i="32" s="1" a="1"/>
  <c r="AE146" i="32" s="1"/>
  <c r="AD145" i="32"/>
  <c r="AE145" i="32" s="1" a="1"/>
  <c r="AE145" i="32" s="1"/>
  <c r="AD144" i="32"/>
  <c r="AE144" i="32" s="1" a="1"/>
  <c r="AE144" i="32" s="1"/>
  <c r="AD143" i="32"/>
  <c r="AE143" i="32" s="1" a="1"/>
  <c r="AE143" i="32" s="1"/>
  <c r="AD142" i="32"/>
  <c r="AE142" i="32" s="1" a="1"/>
  <c r="AE142" i="32" s="1"/>
  <c r="AD141" i="32"/>
  <c r="AE141" i="32" s="1" a="1"/>
  <c r="AE141" i="32" s="1"/>
  <c r="AD140" i="32"/>
  <c r="AE140" i="32" s="1" a="1"/>
  <c r="AE140" i="32" s="1"/>
  <c r="AD139" i="32"/>
  <c r="AE139" i="32" s="1" a="1"/>
  <c r="AE139" i="32" s="1"/>
  <c r="AD138" i="32"/>
  <c r="AE138" i="32" s="1" a="1"/>
  <c r="AE138" i="32" s="1"/>
  <c r="AD137" i="32"/>
  <c r="AE137" i="32" s="1" a="1"/>
  <c r="AE137" i="32" s="1"/>
  <c r="AD136" i="32"/>
  <c r="AE136" i="32" s="1" a="1"/>
  <c r="AE136" i="32" s="1"/>
  <c r="AD135" i="32"/>
  <c r="AE135" i="32" s="1" a="1"/>
  <c r="AE135" i="32" s="1"/>
  <c r="AD134" i="32"/>
  <c r="AE134" i="32" s="1" a="1"/>
  <c r="AE134" i="32" s="1"/>
  <c r="AD133" i="32"/>
  <c r="AE133" i="32" s="1" a="1"/>
  <c r="AE133" i="32" s="1"/>
  <c r="AD132" i="32"/>
  <c r="AE132" i="32" s="1" a="1"/>
  <c r="AE132" i="32" s="1"/>
  <c r="AD131" i="32"/>
  <c r="AE131" i="32" s="1" a="1"/>
  <c r="AE131" i="32" s="1"/>
  <c r="AD130" i="32"/>
  <c r="AE130" i="32" s="1" a="1"/>
  <c r="AE130" i="32" s="1"/>
  <c r="AD129" i="32"/>
  <c r="AE129" i="32" s="1" a="1"/>
  <c r="AE129" i="32" s="1"/>
  <c r="AD128" i="32"/>
  <c r="AE128" i="32" s="1" a="1"/>
  <c r="AE128" i="32" s="1"/>
  <c r="AD127" i="32"/>
  <c r="AE127" i="32" s="1" a="1"/>
  <c r="AE127" i="32" s="1"/>
  <c r="AD126" i="32"/>
  <c r="AE126" i="32" s="1" a="1"/>
  <c r="AE126" i="32" s="1"/>
  <c r="AD125" i="32"/>
  <c r="AE125" i="32" s="1" a="1"/>
  <c r="AE125" i="32" s="1"/>
  <c r="AD124" i="32"/>
  <c r="AE124" i="32" s="1" a="1"/>
  <c r="AE124" i="32" s="1"/>
  <c r="AD123" i="32"/>
  <c r="AE123" i="32" s="1" a="1"/>
  <c r="AE123" i="32" s="1"/>
  <c r="AD122" i="32"/>
  <c r="AE122" i="32" s="1" a="1"/>
  <c r="AE122" i="32" s="1"/>
  <c r="AD121" i="32"/>
  <c r="AE121" i="32" s="1" a="1"/>
  <c r="AE121" i="32" s="1"/>
  <c r="AD120" i="32"/>
  <c r="AE120" i="32" s="1" a="1"/>
  <c r="AE120" i="32" s="1"/>
  <c r="AD119" i="32"/>
  <c r="AE119" i="32" s="1" a="1"/>
  <c r="AE119" i="32" s="1"/>
  <c r="AD118" i="32"/>
  <c r="AE118" i="32" s="1" a="1"/>
  <c r="AE118" i="32" s="1"/>
  <c r="AD117" i="32"/>
  <c r="AE117" i="32" s="1" a="1"/>
  <c r="AE117" i="32" s="1"/>
  <c r="AD116" i="32"/>
  <c r="AE116" i="32" s="1" a="1"/>
  <c r="AE116" i="32" s="1"/>
  <c r="AD115" i="32"/>
  <c r="AE115" i="32" s="1" a="1"/>
  <c r="AE115" i="32" s="1"/>
  <c r="AD114" i="32"/>
  <c r="AE114" i="32" s="1" a="1"/>
  <c r="AE114" i="32" s="1"/>
  <c r="AD113" i="32"/>
  <c r="AE113" i="32" s="1" a="1"/>
  <c r="AE113" i="32" s="1"/>
  <c r="AD112" i="32"/>
  <c r="AE112" i="32" s="1" a="1"/>
  <c r="AE112" i="32" s="1"/>
  <c r="AD111" i="32"/>
  <c r="AE111" i="32" s="1" a="1"/>
  <c r="AE111" i="32" s="1"/>
  <c r="AD110" i="32"/>
  <c r="AE110" i="32" s="1" a="1"/>
  <c r="AE110" i="32" s="1"/>
  <c r="AD109" i="32"/>
  <c r="AE109" i="32" s="1" a="1"/>
  <c r="AE109" i="32" s="1"/>
  <c r="AD108" i="32"/>
  <c r="AE108" i="32" s="1" a="1"/>
  <c r="AE108" i="32" s="1"/>
  <c r="AD107" i="32"/>
  <c r="AE107" i="32" s="1" a="1"/>
  <c r="AE107" i="32" s="1"/>
  <c r="AD106" i="32"/>
  <c r="AE106" i="32" s="1" a="1"/>
  <c r="AE106" i="32" s="1"/>
  <c r="AD105" i="32"/>
  <c r="AE105" i="32" s="1" a="1"/>
  <c r="AE105" i="32" s="1"/>
  <c r="AD104" i="32"/>
  <c r="AE104" i="32" s="1" a="1"/>
  <c r="AE104" i="32" s="1"/>
  <c r="AD103" i="32"/>
  <c r="AE103" i="32" s="1" a="1"/>
  <c r="AE103" i="32" s="1"/>
  <c r="AD102" i="32"/>
  <c r="AE102" i="32" s="1" a="1"/>
  <c r="AE102" i="32" s="1"/>
  <c r="AD101" i="32"/>
  <c r="AE101" i="32" s="1" a="1"/>
  <c r="AE101" i="32" s="1"/>
  <c r="AD100" i="32"/>
  <c r="AE100" i="32" s="1" a="1"/>
  <c r="AE100" i="32" s="1"/>
  <c r="AD99" i="32"/>
  <c r="AE99" i="32" s="1" a="1"/>
  <c r="AE99" i="32" s="1"/>
  <c r="AD98" i="32"/>
  <c r="AE98" i="32" s="1" a="1"/>
  <c r="AE98" i="32" s="1"/>
  <c r="AD97" i="32"/>
  <c r="AE97" i="32" s="1" a="1"/>
  <c r="AE97" i="32" s="1"/>
  <c r="AD96" i="32"/>
  <c r="AE96" i="32" s="1" a="1"/>
  <c r="AE96" i="32" s="1"/>
  <c r="AD95" i="32"/>
  <c r="AE95" i="32" s="1" a="1"/>
  <c r="AE95" i="32" s="1"/>
  <c r="AD94" i="32"/>
  <c r="AE94" i="32" s="1" a="1"/>
  <c r="AE94" i="32" s="1"/>
  <c r="AD93" i="32"/>
  <c r="AE93" i="32" s="1" a="1"/>
  <c r="AE93" i="32" s="1"/>
  <c r="AD92" i="32"/>
  <c r="AE92" i="32" s="1" a="1"/>
  <c r="AE92" i="32" s="1"/>
  <c r="AD91" i="32"/>
  <c r="AE91" i="32" s="1" a="1"/>
  <c r="AE91" i="32" s="1"/>
  <c r="AD90" i="32"/>
  <c r="AE90" i="32" s="1" a="1"/>
  <c r="AE90" i="32" s="1"/>
  <c r="AD89" i="32"/>
  <c r="AE89" i="32" s="1" a="1"/>
  <c r="AE89" i="32" s="1"/>
  <c r="AD88" i="32"/>
  <c r="AE88" i="32" s="1" a="1"/>
  <c r="AE88" i="32" s="1"/>
  <c r="AD87" i="32"/>
  <c r="AE87" i="32" s="1" a="1"/>
  <c r="AE87" i="32" s="1"/>
  <c r="AD86" i="32"/>
  <c r="AE86" i="32" s="1" a="1"/>
  <c r="AE86" i="32" s="1"/>
  <c r="AD85" i="32"/>
  <c r="AE85" i="32" s="1" a="1"/>
  <c r="AE85" i="32" s="1"/>
  <c r="AD84" i="32"/>
  <c r="AE84" i="32" s="1" a="1"/>
  <c r="AE84" i="32" s="1"/>
  <c r="AD83" i="32"/>
  <c r="AE83" i="32" s="1" a="1"/>
  <c r="AE83" i="32" s="1"/>
  <c r="AD82" i="32"/>
  <c r="AE82" i="32" s="1" a="1"/>
  <c r="AE82" i="32" s="1"/>
  <c r="AD81" i="32"/>
  <c r="AE81" i="32" s="1" a="1"/>
  <c r="AE81" i="32" s="1"/>
  <c r="AD80" i="32"/>
  <c r="AE80" i="32" s="1" a="1"/>
  <c r="AE80" i="32" s="1"/>
  <c r="AD79" i="32"/>
  <c r="AE79" i="32" s="1" a="1"/>
  <c r="AE79" i="32" s="1"/>
  <c r="AD78" i="32"/>
  <c r="AE78" i="32" s="1" a="1"/>
  <c r="AE78" i="32" s="1"/>
  <c r="AD77" i="32"/>
  <c r="AE77" i="32" s="1" a="1"/>
  <c r="AE77" i="32" s="1"/>
  <c r="AD76" i="32"/>
  <c r="AE76" i="32" s="1" a="1"/>
  <c r="AE76" i="32" s="1"/>
  <c r="AD75" i="32"/>
  <c r="AE75" i="32" s="1" a="1"/>
  <c r="AE75" i="32" s="1"/>
  <c r="AD74" i="32"/>
  <c r="AE74" i="32" s="1" a="1"/>
  <c r="AE74" i="32" s="1"/>
  <c r="AD73" i="32"/>
  <c r="AE73" i="32" s="1" a="1"/>
  <c r="AE73" i="32" s="1"/>
  <c r="AD72" i="32"/>
  <c r="AE72" i="32" s="1" a="1"/>
  <c r="AE72" i="32" s="1"/>
  <c r="AD71" i="32"/>
  <c r="AE71" i="32" s="1" a="1"/>
  <c r="AE71" i="32" s="1"/>
  <c r="AD70" i="32"/>
  <c r="AE70" i="32" s="1" a="1"/>
  <c r="AE70" i="32" s="1"/>
  <c r="AD69" i="32"/>
  <c r="AE69" i="32" s="1" a="1"/>
  <c r="AE69" i="32" s="1"/>
  <c r="AD68" i="32"/>
  <c r="AE68" i="32" s="1" a="1"/>
  <c r="AE68" i="32" s="1"/>
  <c r="AD67" i="32"/>
  <c r="AE67" i="32" s="1" a="1"/>
  <c r="AE67" i="32" s="1"/>
  <c r="AD66" i="32"/>
  <c r="AE66" i="32" s="1" a="1"/>
  <c r="AE66" i="32" s="1"/>
  <c r="AD65" i="32"/>
  <c r="AE65" i="32" s="1" a="1"/>
  <c r="AE65" i="32" s="1"/>
  <c r="AD64" i="32"/>
  <c r="AE64" i="32" s="1" a="1"/>
  <c r="AE64" i="32" s="1"/>
  <c r="AD63" i="32"/>
  <c r="AE63" i="32" s="1" a="1"/>
  <c r="AE63" i="32" s="1"/>
  <c r="AD62" i="32"/>
  <c r="AE62" i="32" s="1" a="1"/>
  <c r="AE62" i="32" s="1"/>
  <c r="AD61" i="32"/>
  <c r="AE61" i="32" s="1" a="1"/>
  <c r="AE61" i="32" s="1"/>
  <c r="AD60" i="32"/>
  <c r="AE60" i="32" s="1" a="1"/>
  <c r="AE60" i="32" s="1"/>
  <c r="AD59" i="32"/>
  <c r="AE59" i="32" s="1" a="1"/>
  <c r="AE59" i="32" s="1"/>
  <c r="AD58" i="32"/>
  <c r="AE58" i="32" s="1" a="1"/>
  <c r="AE58" i="32" s="1"/>
  <c r="AD57" i="32"/>
  <c r="AE57" i="32" s="1" a="1"/>
  <c r="AE57" i="32" s="1"/>
  <c r="AD56" i="32"/>
  <c r="AE56" i="32" s="1" a="1"/>
  <c r="AE56" i="32" s="1"/>
  <c r="AD55" i="32"/>
  <c r="AE55" i="32" s="1" a="1"/>
  <c r="AE55" i="32" s="1"/>
  <c r="AD54" i="32"/>
  <c r="AE54" i="32" s="1" a="1"/>
  <c r="AE54" i="32" s="1"/>
  <c r="AD53" i="32"/>
  <c r="AE53" i="32" s="1" a="1"/>
  <c r="AE53" i="32" s="1"/>
  <c r="AD52" i="32"/>
  <c r="AE52" i="32" s="1" a="1"/>
  <c r="AE52" i="32" s="1"/>
  <c r="AD51" i="32"/>
  <c r="AE51" i="32" s="1" a="1"/>
  <c r="AE51" i="32" s="1"/>
  <c r="AD50" i="32"/>
  <c r="AE50" i="32" s="1" a="1"/>
  <c r="AE50" i="32" s="1"/>
  <c r="AD49" i="32"/>
  <c r="AE49" i="32" s="1" a="1"/>
  <c r="AE49" i="32" s="1"/>
  <c r="AD48" i="32"/>
  <c r="AE48" i="32" s="1" a="1"/>
  <c r="AE48" i="32" s="1"/>
  <c r="AD47" i="32"/>
  <c r="AE47" i="32" s="1" a="1"/>
  <c r="AE47" i="32" s="1"/>
  <c r="AD46" i="32"/>
  <c r="AE46" i="32" s="1" a="1"/>
  <c r="AE46" i="32" s="1"/>
  <c r="AD45" i="32"/>
  <c r="AE45" i="32" s="1" a="1"/>
  <c r="AE45" i="32" s="1"/>
  <c r="AD44" i="32"/>
  <c r="AE44" i="32" s="1" a="1"/>
  <c r="AE44" i="32" s="1"/>
  <c r="AD43" i="32"/>
  <c r="AE43" i="32" s="1" a="1"/>
  <c r="AE43" i="32" s="1"/>
  <c r="AD42" i="32"/>
  <c r="AE42" i="32" s="1" a="1"/>
  <c r="AE42" i="32" s="1"/>
  <c r="AD41" i="32"/>
  <c r="AE41" i="32" s="1" a="1"/>
  <c r="AE41" i="32" s="1"/>
  <c r="AD40" i="32"/>
  <c r="AE40" i="32" s="1" a="1"/>
  <c r="AE40" i="32" s="1"/>
  <c r="AD39" i="32"/>
  <c r="AE39" i="32" s="1" a="1"/>
  <c r="AE39" i="32" s="1"/>
  <c r="AD38" i="32"/>
  <c r="AE38" i="32" s="1" a="1"/>
  <c r="AE38" i="32" s="1"/>
  <c r="AD37" i="32"/>
  <c r="AE37" i="32" s="1" a="1"/>
  <c r="AE37" i="32" s="1"/>
  <c r="AD36" i="32"/>
  <c r="AE36" i="32" s="1" a="1"/>
  <c r="AE36" i="32" s="1"/>
  <c r="AD35" i="32"/>
  <c r="AE35" i="32" s="1" a="1"/>
  <c r="AE35" i="32" s="1"/>
  <c r="AD34" i="32"/>
  <c r="AE34" i="32" s="1" a="1"/>
  <c r="AE34" i="32" s="1"/>
  <c r="AD33" i="32"/>
  <c r="AE33" i="32" s="1" a="1"/>
  <c r="AE33" i="32" s="1"/>
  <c r="AD32" i="32"/>
  <c r="AE32" i="32" s="1" a="1"/>
  <c r="AE32" i="32" s="1"/>
  <c r="AD31" i="32"/>
  <c r="AE31" i="32" s="1" a="1"/>
  <c r="AE31" i="32" s="1"/>
  <c r="AD30" i="32"/>
  <c r="AE30" i="32" s="1" a="1"/>
  <c r="AE30" i="32" s="1"/>
  <c r="AD29" i="32"/>
  <c r="AE29" i="32" s="1" a="1"/>
  <c r="AE29" i="32" s="1"/>
  <c r="AD28" i="32"/>
  <c r="AE28" i="32" s="1" a="1"/>
  <c r="AE28" i="32" s="1"/>
  <c r="AD27" i="32"/>
  <c r="AE27" i="32" s="1" a="1"/>
  <c r="AE27" i="32" s="1"/>
  <c r="AD26" i="32"/>
  <c r="AE26" i="32" s="1" a="1"/>
  <c r="AE26" i="32" s="1"/>
  <c r="AD25" i="32"/>
  <c r="AE25" i="32" s="1" a="1"/>
  <c r="AE25" i="32" s="1"/>
  <c r="AD24" i="32"/>
  <c r="AE24" i="32" s="1" a="1"/>
  <c r="AE24" i="32" s="1"/>
  <c r="AD23" i="32"/>
  <c r="AE23" i="32" s="1" a="1"/>
  <c r="AE23" i="32" s="1"/>
  <c r="AD22" i="32"/>
  <c r="AE22" i="32" s="1" a="1"/>
  <c r="AE22" i="32" s="1"/>
  <c r="AD21" i="32"/>
  <c r="AE21" i="32" s="1" a="1"/>
  <c r="AE21" i="32" s="1"/>
  <c r="AD20" i="32"/>
  <c r="AE20" i="32" s="1" a="1"/>
  <c r="AE20" i="32" s="1"/>
  <c r="AD19" i="32"/>
  <c r="AE19" i="32" s="1" a="1"/>
  <c r="AE19" i="32" s="1"/>
  <c r="AD18" i="32"/>
  <c r="AE18" i="32" s="1" a="1"/>
  <c r="AE18" i="32" s="1"/>
  <c r="AD17" i="32"/>
  <c r="AE17" i="32" s="1" a="1"/>
  <c r="AE17" i="32" s="1"/>
  <c r="AD16" i="32"/>
  <c r="AE16" i="32" s="1" a="1"/>
  <c r="AE16" i="32" s="1"/>
  <c r="AD15" i="32"/>
  <c r="AE15" i="32" s="1" a="1"/>
  <c r="AE15" i="32" s="1"/>
  <c r="AD14" i="32"/>
  <c r="AE14" i="32" s="1" a="1"/>
  <c r="AE14" i="32" s="1"/>
  <c r="AD13" i="32"/>
  <c r="AE13" i="32" s="1" a="1"/>
  <c r="AE13" i="32" s="1"/>
  <c r="AD12" i="32"/>
  <c r="AE12" i="32" s="1" a="1"/>
  <c r="AE12" i="32" s="1"/>
  <c r="AD11" i="32"/>
  <c r="AE11" i="32" s="1" a="1"/>
  <c r="AE11" i="32" s="1"/>
  <c r="AD10" i="32"/>
  <c r="AE10" i="32" s="1" a="1"/>
  <c r="AE10" i="32" s="1"/>
  <c r="AD9" i="32"/>
  <c r="AE9" i="32" s="1" a="1"/>
  <c r="AE9" i="32" s="1"/>
  <c r="AD8" i="32"/>
  <c r="AE8" i="32" s="1" a="1"/>
  <c r="AE8" i="32" s="1"/>
  <c r="AD7" i="32"/>
  <c r="AE7" i="32" s="1" a="1"/>
  <c r="AE7" i="32" s="1"/>
  <c r="AD6" i="32"/>
  <c r="AE6" i="32" s="1" a="1"/>
  <c r="AE6" i="32" s="1"/>
  <c r="AD5" i="32"/>
  <c r="AE5" i="32" s="1" a="1"/>
  <c r="AE5" i="32" s="1"/>
  <c r="AD4" i="32"/>
  <c r="AE4" i="32" s="1" a="1"/>
  <c r="AE4" i="32" s="1"/>
  <c r="T203" i="32"/>
  <c r="U203" i="32" s="1" a="1"/>
  <c r="U203" i="32" s="1"/>
  <c r="T202" i="32"/>
  <c r="U202" i="32" s="1" a="1"/>
  <c r="U202" i="32" s="1"/>
  <c r="T201" i="32"/>
  <c r="U201" i="32" s="1" a="1"/>
  <c r="U201" i="32" s="1"/>
  <c r="T200" i="32"/>
  <c r="U200" i="32" s="1" a="1"/>
  <c r="U200" i="32" s="1"/>
  <c r="T199" i="32"/>
  <c r="U199" i="32" s="1" a="1"/>
  <c r="U199" i="32" s="1"/>
  <c r="T198" i="32"/>
  <c r="U198" i="32" s="1" a="1"/>
  <c r="U198" i="32" s="1"/>
  <c r="T197" i="32"/>
  <c r="U197" i="32" s="1" a="1"/>
  <c r="U197" i="32" s="1"/>
  <c r="T196" i="32"/>
  <c r="U196" i="32" s="1" a="1"/>
  <c r="U196" i="32" s="1"/>
  <c r="T195" i="32"/>
  <c r="U195" i="32" s="1" a="1"/>
  <c r="U195" i="32" s="1"/>
  <c r="T194" i="32"/>
  <c r="U194" i="32" s="1" a="1"/>
  <c r="U194" i="32" s="1"/>
  <c r="T193" i="32"/>
  <c r="U193" i="32" s="1" a="1"/>
  <c r="U193" i="32" s="1"/>
  <c r="T192" i="32"/>
  <c r="U192" i="32" s="1" a="1"/>
  <c r="U192" i="32" s="1"/>
  <c r="T191" i="32"/>
  <c r="U191" i="32" s="1" a="1"/>
  <c r="U191" i="32" s="1"/>
  <c r="T190" i="32"/>
  <c r="U190" i="32" s="1" a="1"/>
  <c r="U190" i="32" s="1"/>
  <c r="T189" i="32"/>
  <c r="U189" i="32" s="1" a="1"/>
  <c r="U189" i="32" s="1"/>
  <c r="T188" i="32"/>
  <c r="U188" i="32" s="1" a="1"/>
  <c r="U188" i="32" s="1"/>
  <c r="T187" i="32"/>
  <c r="U187" i="32" s="1" a="1"/>
  <c r="U187" i="32" s="1"/>
  <c r="T186" i="32"/>
  <c r="U186" i="32" s="1" a="1"/>
  <c r="U186" i="32" s="1"/>
  <c r="T185" i="32"/>
  <c r="U185" i="32" s="1" a="1"/>
  <c r="U185" i="32" s="1"/>
  <c r="T184" i="32"/>
  <c r="U184" i="32" s="1" a="1"/>
  <c r="U184" i="32" s="1"/>
  <c r="T183" i="32"/>
  <c r="U183" i="32" s="1" a="1"/>
  <c r="U183" i="32" s="1"/>
  <c r="T182" i="32"/>
  <c r="U182" i="32" s="1" a="1"/>
  <c r="U182" i="32" s="1"/>
  <c r="T181" i="32"/>
  <c r="U181" i="32" s="1" a="1"/>
  <c r="U181" i="32" s="1"/>
  <c r="T180" i="32"/>
  <c r="U180" i="32" s="1" a="1"/>
  <c r="U180" i="32" s="1"/>
  <c r="T174" i="32"/>
  <c r="U174" i="32" s="1" a="1"/>
  <c r="U174" i="32" s="1"/>
  <c r="T173" i="32"/>
  <c r="U173" i="32" s="1" a="1"/>
  <c r="U173" i="32" s="1"/>
  <c r="T147" i="32"/>
  <c r="U147" i="32" s="1" a="1"/>
  <c r="U147" i="32" s="1"/>
  <c r="T146" i="32"/>
  <c r="U146" i="32" s="1" a="1"/>
  <c r="U146" i="32" s="1"/>
  <c r="T145" i="32"/>
  <c r="U145" i="32" s="1" a="1"/>
  <c r="U145" i="32" s="1"/>
  <c r="T144" i="32"/>
  <c r="U144" i="32" s="1" a="1"/>
  <c r="U144" i="32" s="1"/>
  <c r="T143" i="32"/>
  <c r="U143" i="32" s="1" a="1"/>
  <c r="U143" i="32" s="1"/>
  <c r="T142" i="32"/>
  <c r="U142" i="32" s="1" a="1"/>
  <c r="U142" i="32" s="1"/>
  <c r="T141" i="32"/>
  <c r="U141" i="32" s="1" a="1"/>
  <c r="U141" i="32" s="1"/>
  <c r="T140" i="32"/>
  <c r="U140" i="32" s="1" a="1"/>
  <c r="U140" i="32" s="1"/>
  <c r="T139" i="32"/>
  <c r="U139" i="32" s="1" a="1"/>
  <c r="U139" i="32" s="1"/>
  <c r="T138" i="32"/>
  <c r="U138" i="32" s="1" a="1"/>
  <c r="U138" i="32" s="1"/>
  <c r="T137" i="32"/>
  <c r="U137" i="32" s="1" a="1"/>
  <c r="U137" i="32" s="1"/>
  <c r="T136" i="32"/>
  <c r="U136" i="32" s="1" a="1"/>
  <c r="U136" i="32" s="1"/>
  <c r="T135" i="32"/>
  <c r="U135" i="32" s="1" a="1"/>
  <c r="U135" i="32" s="1"/>
  <c r="T134" i="32"/>
  <c r="U134" i="32" s="1" a="1"/>
  <c r="U134" i="32" s="1"/>
  <c r="T133" i="32"/>
  <c r="U133" i="32" s="1" a="1"/>
  <c r="U133" i="32" s="1"/>
  <c r="T132" i="32"/>
  <c r="U132" i="32" s="1" a="1"/>
  <c r="U132" i="32" s="1"/>
  <c r="T131" i="32"/>
  <c r="U131" i="32" s="1" a="1"/>
  <c r="U131" i="32" s="1"/>
  <c r="T130" i="32"/>
  <c r="U130" i="32" s="1" a="1"/>
  <c r="U130" i="32" s="1"/>
  <c r="T129" i="32"/>
  <c r="U129" i="32" s="1" a="1"/>
  <c r="U129" i="32" s="1"/>
  <c r="T128" i="32"/>
  <c r="U128" i="32" s="1" a="1"/>
  <c r="U128" i="32" s="1"/>
  <c r="T127" i="32"/>
  <c r="U127" i="32" s="1" a="1"/>
  <c r="U127" i="32" s="1"/>
  <c r="T126" i="32"/>
  <c r="U126" i="32" s="1" a="1"/>
  <c r="U126" i="32" s="1"/>
  <c r="T125" i="32"/>
  <c r="U125" i="32" s="1" a="1"/>
  <c r="U125" i="32" s="1"/>
  <c r="T124" i="32"/>
  <c r="U124" i="32" s="1" a="1"/>
  <c r="U124" i="32" s="1"/>
  <c r="T123" i="32"/>
  <c r="U123" i="32" s="1" a="1"/>
  <c r="U123" i="32" s="1"/>
  <c r="T122" i="32"/>
  <c r="U122" i="32" s="1" a="1"/>
  <c r="U122" i="32" s="1"/>
  <c r="T121" i="32"/>
  <c r="U121" i="32" s="1" a="1"/>
  <c r="U121" i="32" s="1"/>
  <c r="T120" i="32"/>
  <c r="U120" i="32" s="1" a="1"/>
  <c r="U120" i="32" s="1"/>
  <c r="T119" i="32"/>
  <c r="U119" i="32" s="1" a="1"/>
  <c r="U119" i="32" s="1"/>
  <c r="T118" i="32"/>
  <c r="U118" i="32" s="1" a="1"/>
  <c r="U118" i="32" s="1"/>
  <c r="T117" i="32"/>
  <c r="U117" i="32" s="1" a="1"/>
  <c r="U117" i="32" s="1"/>
  <c r="T116" i="32"/>
  <c r="U116" i="32" s="1" a="1"/>
  <c r="U116" i="32" s="1"/>
  <c r="T115" i="32"/>
  <c r="U115" i="32" s="1" a="1"/>
  <c r="U115" i="32" s="1"/>
  <c r="T114" i="32"/>
  <c r="U114" i="32" s="1" a="1"/>
  <c r="U114" i="32" s="1"/>
  <c r="T113" i="32"/>
  <c r="U113" i="32" s="1" a="1"/>
  <c r="U113" i="32" s="1"/>
  <c r="T112" i="32"/>
  <c r="U112" i="32" s="1" a="1"/>
  <c r="U112" i="32" s="1"/>
  <c r="T111" i="32"/>
  <c r="U111" i="32" s="1" a="1"/>
  <c r="U111" i="32" s="1"/>
  <c r="T110" i="32"/>
  <c r="U110" i="32" s="1" a="1"/>
  <c r="U110" i="32" s="1"/>
  <c r="T109" i="32"/>
  <c r="U109" i="32" s="1" a="1"/>
  <c r="U109" i="32" s="1"/>
  <c r="T108" i="32"/>
  <c r="U108" i="32" s="1" a="1"/>
  <c r="U108" i="32" s="1"/>
  <c r="T107" i="32"/>
  <c r="U107" i="32" s="1" a="1"/>
  <c r="U107" i="32" s="1"/>
  <c r="T106" i="32"/>
  <c r="U106" i="32" s="1" a="1"/>
  <c r="U106" i="32" s="1"/>
  <c r="T105" i="32"/>
  <c r="U105" i="32" s="1" a="1"/>
  <c r="U105" i="32" s="1"/>
  <c r="T104" i="32"/>
  <c r="U104" i="32" s="1" a="1"/>
  <c r="U104" i="32" s="1"/>
  <c r="T103" i="32"/>
  <c r="U103" i="32" s="1" a="1"/>
  <c r="U103" i="32" s="1"/>
  <c r="T102" i="32"/>
  <c r="U102" i="32" s="1" a="1"/>
  <c r="U102" i="32" s="1"/>
  <c r="T101" i="32"/>
  <c r="U101" i="32" s="1" a="1"/>
  <c r="U101" i="32" s="1"/>
  <c r="T100" i="32"/>
  <c r="U100" i="32" s="1" a="1"/>
  <c r="U100" i="32" s="1"/>
  <c r="T91" i="32"/>
  <c r="U91" i="32" s="1" a="1"/>
  <c r="U91" i="32" s="1"/>
  <c r="T90" i="32"/>
  <c r="U90" i="32" s="1" a="1"/>
  <c r="U90" i="32" s="1"/>
  <c r="T89" i="32"/>
  <c r="U89" i="32" s="1" a="1"/>
  <c r="U89" i="32" s="1"/>
  <c r="T88" i="32"/>
  <c r="U88" i="32" s="1" a="1"/>
  <c r="U88" i="32" s="1"/>
  <c r="T87" i="32"/>
  <c r="U87" i="32" s="1" a="1"/>
  <c r="U87" i="32" s="1"/>
  <c r="T86" i="32"/>
  <c r="U86" i="32" s="1" a="1"/>
  <c r="U86" i="32" s="1"/>
  <c r="T85" i="32"/>
  <c r="U85" i="32" s="1" a="1"/>
  <c r="U85" i="32" s="1"/>
  <c r="T84" i="32"/>
  <c r="U84" i="32" s="1" a="1"/>
  <c r="U84" i="32" s="1"/>
  <c r="T83" i="32"/>
  <c r="U83" i="32" s="1" a="1"/>
  <c r="U83" i="32" s="1"/>
  <c r="T82" i="32"/>
  <c r="U82" i="32" s="1" a="1"/>
  <c r="U82" i="32" s="1"/>
  <c r="T81" i="32"/>
  <c r="U81" i="32" s="1" a="1"/>
  <c r="U81" i="32" s="1"/>
  <c r="T80" i="32"/>
  <c r="U80" i="32" s="1" a="1"/>
  <c r="U80" i="32" s="1"/>
  <c r="T79" i="32"/>
  <c r="U79" i="32" s="1" a="1"/>
  <c r="U79" i="32" s="1"/>
  <c r="T78" i="32"/>
  <c r="U78" i="32" s="1" a="1"/>
  <c r="U78" i="32" s="1"/>
  <c r="T77" i="32"/>
  <c r="U77" i="32" s="1" a="1"/>
  <c r="U77" i="32" s="1"/>
  <c r="T76" i="32"/>
  <c r="U76" i="32" s="1" a="1"/>
  <c r="U76" i="32" s="1"/>
  <c r="T75" i="32"/>
  <c r="U75" i="32" s="1" a="1"/>
  <c r="U75" i="32" s="1"/>
  <c r="T74" i="32"/>
  <c r="U74" i="32" s="1" a="1"/>
  <c r="U74" i="32" s="1"/>
  <c r="T73" i="32"/>
  <c r="U73" i="32" s="1" a="1"/>
  <c r="U73" i="32" s="1"/>
  <c r="T72" i="32"/>
  <c r="U72" i="32" s="1" a="1"/>
  <c r="U72" i="32" s="1"/>
  <c r="T71" i="32"/>
  <c r="U71" i="32" s="1" a="1"/>
  <c r="U71" i="32" s="1"/>
  <c r="T70" i="32"/>
  <c r="U70" i="32" s="1" a="1"/>
  <c r="U70" i="32" s="1"/>
  <c r="T69" i="32"/>
  <c r="U69" i="32" s="1" a="1"/>
  <c r="U69" i="32" s="1"/>
  <c r="T68" i="32"/>
  <c r="U68" i="32" s="1" a="1"/>
  <c r="U68" i="32" s="1"/>
  <c r="T67" i="32"/>
  <c r="U67" i="32" s="1" a="1"/>
  <c r="U67" i="32" s="1"/>
  <c r="T66" i="32"/>
  <c r="U66" i="32" s="1" a="1"/>
  <c r="U66" i="32" s="1"/>
  <c r="T65" i="32"/>
  <c r="U65" i="32" s="1" a="1"/>
  <c r="U65" i="32" s="1"/>
  <c r="T64" i="32"/>
  <c r="U64" i="32" s="1" a="1"/>
  <c r="U64" i="32" s="1"/>
  <c r="T63" i="32"/>
  <c r="U63" i="32" s="1" a="1"/>
  <c r="U63" i="32" s="1"/>
  <c r="T62" i="32"/>
  <c r="U62" i="32" s="1" a="1"/>
  <c r="U62" i="32" s="1"/>
  <c r="T61" i="32"/>
  <c r="U61" i="32" s="1" a="1"/>
  <c r="U61" i="32" s="1"/>
  <c r="T60" i="32"/>
  <c r="U60" i="32" s="1" a="1"/>
  <c r="U60" i="32" s="1"/>
  <c r="T59" i="32"/>
  <c r="U59" i="32" s="1" a="1"/>
  <c r="U59" i="32" s="1"/>
  <c r="T58" i="32"/>
  <c r="U58" i="32" s="1" a="1"/>
  <c r="U58" i="32" s="1"/>
  <c r="T57" i="32"/>
  <c r="U57" i="32" s="1" a="1"/>
  <c r="U57" i="32" s="1"/>
  <c r="T56" i="32"/>
  <c r="U56" i="32" s="1" a="1"/>
  <c r="U56" i="32" s="1"/>
  <c r="T55" i="32"/>
  <c r="U55" i="32" s="1" a="1"/>
  <c r="U55" i="32" s="1"/>
  <c r="T54" i="32"/>
  <c r="U54" i="32" s="1" a="1"/>
  <c r="U54" i="32" s="1"/>
  <c r="T53" i="32"/>
  <c r="U53" i="32" s="1" a="1"/>
  <c r="U53" i="32" s="1"/>
  <c r="T52" i="32"/>
  <c r="U52" i="32" s="1" a="1"/>
  <c r="U52" i="32" s="1"/>
  <c r="T51" i="32"/>
  <c r="U51" i="32" s="1" a="1"/>
  <c r="U51" i="32" s="1"/>
  <c r="T50" i="32"/>
  <c r="U50" i="32" s="1" a="1"/>
  <c r="U50" i="32" s="1"/>
  <c r="T49" i="32"/>
  <c r="U49" i="32" s="1" a="1"/>
  <c r="U49" i="32" s="1"/>
  <c r="T48" i="32"/>
  <c r="U48" i="32" s="1" a="1"/>
  <c r="U48" i="32" s="1"/>
  <c r="T47" i="32"/>
  <c r="U47" i="32" s="1" a="1"/>
  <c r="U47" i="32" s="1"/>
  <c r="T46" i="32"/>
  <c r="U46" i="32" s="1" a="1"/>
  <c r="U46" i="32" s="1"/>
  <c r="T45" i="32"/>
  <c r="U45" i="32" s="1" a="1"/>
  <c r="U45" i="32" s="1"/>
  <c r="T44" i="32"/>
  <c r="U44" i="32" s="1" a="1"/>
  <c r="U44" i="32" s="1"/>
  <c r="T43" i="32"/>
  <c r="U43" i="32" s="1" a="1"/>
  <c r="U43" i="32" s="1"/>
  <c r="T42" i="32"/>
  <c r="U42" i="32" s="1" a="1"/>
  <c r="U42" i="32" s="1"/>
  <c r="T41" i="32"/>
  <c r="U41" i="32" s="1" a="1"/>
  <c r="U41" i="32" s="1"/>
  <c r="T40" i="32"/>
  <c r="U40" i="32" s="1" a="1"/>
  <c r="U40" i="32" s="1"/>
  <c r="T39" i="32"/>
  <c r="U39" i="32" s="1" a="1"/>
  <c r="U39" i="32" s="1"/>
  <c r="T38" i="32"/>
  <c r="U38" i="32" s="1" a="1"/>
  <c r="U38" i="32" s="1"/>
  <c r="T37" i="32"/>
  <c r="U37" i="32" s="1" a="1"/>
  <c r="U37" i="32" s="1"/>
  <c r="T36" i="32"/>
  <c r="U36" i="32" s="1" a="1"/>
  <c r="U36" i="32" s="1"/>
  <c r="T35" i="32"/>
  <c r="U35" i="32" s="1" a="1"/>
  <c r="U35" i="32" s="1"/>
  <c r="T34" i="32"/>
  <c r="U34" i="32" s="1" a="1"/>
  <c r="U34" i="32" s="1"/>
  <c r="T33" i="32"/>
  <c r="U33" i="32" s="1" a="1"/>
  <c r="U33" i="32" s="1"/>
  <c r="T32" i="32"/>
  <c r="U32" i="32" s="1" a="1"/>
  <c r="U32" i="32" s="1"/>
  <c r="T31" i="32"/>
  <c r="U31" i="32" s="1" a="1"/>
  <c r="U31" i="32" s="1"/>
  <c r="T30" i="32"/>
  <c r="U30" i="32" s="1" a="1"/>
  <c r="U30" i="32" s="1"/>
  <c r="T29" i="32"/>
  <c r="U29" i="32" s="1" a="1"/>
  <c r="U29" i="32" s="1"/>
  <c r="T28" i="32"/>
  <c r="U28" i="32" s="1" a="1"/>
  <c r="U28" i="32" s="1"/>
  <c r="T17" i="32"/>
  <c r="U17" i="32" s="1" a="1"/>
  <c r="U17" i="32" s="1"/>
  <c r="T16" i="32"/>
  <c r="U16" i="32" s="1" a="1"/>
  <c r="U16" i="32" s="1"/>
  <c r="T15" i="32"/>
  <c r="U15" i="32" s="1" a="1"/>
  <c r="U15" i="32" s="1"/>
  <c r="T11" i="32"/>
  <c r="U11" i="32" s="1" a="1"/>
  <c r="U11" i="32" s="1"/>
  <c r="T10" i="32"/>
  <c r="U10" i="32" s="1" a="1"/>
  <c r="U10" i="32" s="1"/>
  <c r="T9" i="32"/>
  <c r="U9" i="32" s="1" a="1"/>
  <c r="U9" i="32" s="1"/>
  <c r="T8" i="32"/>
  <c r="U8" i="32" s="1" a="1"/>
  <c r="U8" i="32" s="1"/>
  <c r="T7" i="32"/>
  <c r="U7" i="32" s="1" a="1"/>
  <c r="U7" i="32" s="1"/>
  <c r="T6" i="32"/>
  <c r="U6" i="32" s="1" a="1"/>
  <c r="U6" i="32" s="1"/>
  <c r="T5" i="32"/>
  <c r="U5" i="32" s="1" a="1"/>
  <c r="U5" i="32" s="1"/>
  <c r="T4" i="32"/>
  <c r="U4" i="32" s="1" a="1"/>
  <c r="U4" i="32" s="1"/>
  <c r="Y227" i="32"/>
  <c r="Z227" i="32" s="1" a="1"/>
  <c r="Z227" i="32" s="1"/>
  <c r="Y226" i="32"/>
  <c r="Z226" i="32" s="1" a="1"/>
  <c r="Z226" i="32" s="1"/>
  <c r="Y225" i="32"/>
  <c r="Z225" i="32" s="1" a="1"/>
  <c r="Z225" i="32" s="1"/>
  <c r="Y224" i="32"/>
  <c r="Z224" i="32" s="1" a="1"/>
  <c r="Z224" i="32" s="1"/>
  <c r="Y223" i="32"/>
  <c r="Z223" i="32" s="1" a="1"/>
  <c r="Z223" i="32" s="1"/>
  <c r="Y222" i="32"/>
  <c r="Z222" i="32" s="1" a="1"/>
  <c r="Z222" i="32" s="1"/>
  <c r="Y221" i="32"/>
  <c r="Z221" i="32" s="1" a="1"/>
  <c r="Z221" i="32" s="1"/>
  <c r="Y220" i="32"/>
  <c r="Z220" i="32" s="1" a="1"/>
  <c r="Z220" i="32" s="1"/>
  <c r="Y219" i="32"/>
  <c r="Z219" i="32" s="1" a="1"/>
  <c r="Z219" i="32" s="1"/>
  <c r="Y218" i="32"/>
  <c r="Z218" i="32" s="1" a="1"/>
  <c r="Z218" i="32" s="1"/>
  <c r="Y217" i="32"/>
  <c r="Z217" i="32" s="1" a="1"/>
  <c r="Z217" i="32" s="1"/>
  <c r="Y216" i="32"/>
  <c r="Z216" i="32" s="1" a="1"/>
  <c r="Z216" i="32" s="1"/>
  <c r="Y215" i="32"/>
  <c r="Z215" i="32" s="1" a="1"/>
  <c r="Z215" i="32" s="1"/>
  <c r="Y214" i="32"/>
  <c r="Z214" i="32" s="1" a="1"/>
  <c r="Z214" i="32" s="1"/>
  <c r="Y213" i="32"/>
  <c r="Z213" i="32" s="1" a="1"/>
  <c r="Z213" i="32" s="1"/>
  <c r="Y212" i="32"/>
  <c r="Z212" i="32" s="1" a="1"/>
  <c r="Z212" i="32" s="1"/>
  <c r="Y211" i="32"/>
  <c r="Z211" i="32" s="1" a="1"/>
  <c r="Z211" i="32" s="1"/>
  <c r="Y210" i="32"/>
  <c r="Z210" i="32" s="1" a="1"/>
  <c r="Z210" i="32" s="1"/>
  <c r="Y209" i="32"/>
  <c r="Z209" i="32" s="1" a="1"/>
  <c r="Z209" i="32" s="1"/>
  <c r="Y208" i="32"/>
  <c r="Z208" i="32" s="1" a="1"/>
  <c r="Z208" i="32" s="1"/>
  <c r="Y207" i="32"/>
  <c r="Z207" i="32" s="1" a="1"/>
  <c r="Z207" i="32" s="1"/>
  <c r="Y206" i="32"/>
  <c r="Z206" i="32" s="1" a="1"/>
  <c r="Z206" i="32" s="1"/>
  <c r="Y205" i="32"/>
  <c r="Z205" i="32" s="1" a="1"/>
  <c r="Z205" i="32" s="1"/>
  <c r="Y204" i="32"/>
  <c r="Z204" i="32" s="1" a="1"/>
  <c r="Z204" i="32" s="1"/>
  <c r="Y203" i="32"/>
  <c r="Z203" i="32" s="1" a="1"/>
  <c r="Z203" i="32" s="1"/>
  <c r="Y202" i="32"/>
  <c r="Z202" i="32" s="1" a="1"/>
  <c r="Z202" i="32" s="1"/>
  <c r="Y201" i="32"/>
  <c r="Z201" i="32" s="1" a="1"/>
  <c r="Z201" i="32" s="1"/>
  <c r="Y200" i="32"/>
  <c r="Z200" i="32" s="1" a="1"/>
  <c r="Z200" i="32" s="1"/>
  <c r="Y199" i="32"/>
  <c r="Z199" i="32" s="1" a="1"/>
  <c r="Z199" i="32" s="1"/>
  <c r="Y198" i="32"/>
  <c r="Z198" i="32" s="1" a="1"/>
  <c r="Z198" i="32" s="1"/>
  <c r="Y197" i="32"/>
  <c r="Z197" i="32" s="1" a="1"/>
  <c r="Z197" i="32" s="1"/>
  <c r="Y196" i="32"/>
  <c r="Z196" i="32" s="1" a="1"/>
  <c r="Z196" i="32" s="1"/>
  <c r="Y195" i="32"/>
  <c r="Z195" i="32" s="1" a="1"/>
  <c r="Z195" i="32" s="1"/>
  <c r="Y194" i="32"/>
  <c r="Z194" i="32" s="1" a="1"/>
  <c r="Z194" i="32" s="1"/>
  <c r="Y193" i="32"/>
  <c r="Z193" i="32" s="1" a="1"/>
  <c r="Z193" i="32" s="1"/>
  <c r="Y192" i="32"/>
  <c r="Z192" i="32" s="1" a="1"/>
  <c r="Z192" i="32" s="1"/>
  <c r="Y191" i="32"/>
  <c r="Z191" i="32" s="1" a="1"/>
  <c r="Z191" i="32" s="1"/>
  <c r="Y190" i="32"/>
  <c r="Z190" i="32" s="1" a="1"/>
  <c r="Z190" i="32" s="1"/>
  <c r="Y189" i="32"/>
  <c r="Z189" i="32" s="1" a="1"/>
  <c r="Z189" i="32" s="1"/>
  <c r="Y188" i="32"/>
  <c r="Z188" i="32" s="1" a="1"/>
  <c r="Z188" i="32" s="1"/>
  <c r="Y187" i="32"/>
  <c r="Z187" i="32" s="1" a="1"/>
  <c r="Z187" i="32" s="1"/>
  <c r="Y186" i="32"/>
  <c r="Z186" i="32" s="1" a="1"/>
  <c r="Z186" i="32" s="1"/>
  <c r="Y185" i="32"/>
  <c r="Z185" i="32" s="1" a="1"/>
  <c r="Z185" i="32" s="1"/>
  <c r="Y184" i="32"/>
  <c r="Z184" i="32" s="1" a="1"/>
  <c r="Z184" i="32" s="1"/>
  <c r="Y183" i="32"/>
  <c r="Z183" i="32" s="1" a="1"/>
  <c r="Z183" i="32" s="1"/>
  <c r="Y182" i="32"/>
  <c r="Z182" i="32" s="1" a="1"/>
  <c r="Z182" i="32" s="1"/>
  <c r="Y181" i="32"/>
  <c r="Z181" i="32" s="1" a="1"/>
  <c r="Z181" i="32" s="1"/>
  <c r="Y180" i="32"/>
  <c r="Z180" i="32" s="1" a="1"/>
  <c r="Z180" i="32" s="1"/>
  <c r="Y179" i="32"/>
  <c r="Z179" i="32" s="1" a="1"/>
  <c r="Z179" i="32" s="1"/>
  <c r="Y178" i="32"/>
  <c r="Z178" i="32" s="1" a="1"/>
  <c r="Z178" i="32" s="1"/>
  <c r="Y177" i="32"/>
  <c r="Z177" i="32" s="1" a="1"/>
  <c r="Z177" i="32" s="1"/>
  <c r="Y176" i="32"/>
  <c r="Z176" i="32" s="1" a="1"/>
  <c r="Z176" i="32" s="1"/>
  <c r="Y175" i="32"/>
  <c r="Z175" i="32" s="1" a="1"/>
  <c r="Z175" i="32" s="1"/>
  <c r="Y174" i="32"/>
  <c r="Z174" i="32" s="1" a="1"/>
  <c r="Z174" i="32" s="1"/>
  <c r="Y173" i="32"/>
  <c r="Z173" i="32" s="1" a="1"/>
  <c r="Z173" i="32" s="1"/>
  <c r="Y172" i="32"/>
  <c r="Z172" i="32" s="1" a="1"/>
  <c r="Z172" i="32" s="1"/>
  <c r="Y171" i="32"/>
  <c r="Z171" i="32" s="1" a="1"/>
  <c r="Z171" i="32" s="1"/>
  <c r="Y170" i="32"/>
  <c r="Z170" i="32" s="1" a="1"/>
  <c r="Z170" i="32" s="1"/>
  <c r="Y169" i="32"/>
  <c r="Z169" i="32" s="1" a="1"/>
  <c r="Z169" i="32" s="1"/>
  <c r="Y168" i="32"/>
  <c r="Z168" i="32" s="1" a="1"/>
  <c r="Z168" i="32" s="1"/>
  <c r="Y167" i="32"/>
  <c r="Z167" i="32" s="1" a="1"/>
  <c r="Z167" i="32" s="1"/>
  <c r="Y166" i="32"/>
  <c r="Z166" i="32" s="1" a="1"/>
  <c r="Z166" i="32" s="1"/>
  <c r="Y165" i="32"/>
  <c r="Z165" i="32" s="1" a="1"/>
  <c r="Z165" i="32" s="1"/>
  <c r="Y164" i="32"/>
  <c r="Z164" i="32" s="1" a="1"/>
  <c r="Z164" i="32" s="1"/>
  <c r="Y163" i="32"/>
  <c r="Z163" i="32" s="1" a="1"/>
  <c r="Z163" i="32" s="1"/>
  <c r="Y162" i="32"/>
  <c r="Z162" i="32" s="1" a="1"/>
  <c r="Z162" i="32" s="1"/>
  <c r="Y161" i="32"/>
  <c r="Z161" i="32" s="1" a="1"/>
  <c r="Z161" i="32" s="1"/>
  <c r="Y160" i="32"/>
  <c r="Z160" i="32" s="1" a="1"/>
  <c r="Z160" i="32" s="1"/>
  <c r="Y159" i="32"/>
  <c r="Z159" i="32" s="1" a="1"/>
  <c r="Z159" i="32" s="1"/>
  <c r="Y158" i="32"/>
  <c r="Z158" i="32" s="1" a="1"/>
  <c r="Z158" i="32" s="1"/>
  <c r="Y157" i="32"/>
  <c r="Z157" i="32" s="1" a="1"/>
  <c r="Z157" i="32" s="1"/>
  <c r="Y156" i="32"/>
  <c r="Z156" i="32" s="1" a="1"/>
  <c r="Z156" i="32" s="1"/>
  <c r="Y155" i="32"/>
  <c r="Z155" i="32" s="1" a="1"/>
  <c r="Z155" i="32" s="1"/>
  <c r="Y154" i="32"/>
  <c r="Z154" i="32" s="1" a="1"/>
  <c r="Z154" i="32" s="1"/>
  <c r="Y153" i="32"/>
  <c r="Z153" i="32" s="1" a="1"/>
  <c r="Z153" i="32" s="1"/>
  <c r="Y152" i="32"/>
  <c r="Z152" i="32" s="1" a="1"/>
  <c r="Z152" i="32" s="1"/>
  <c r="Y151" i="32"/>
  <c r="Z151" i="32" s="1" a="1"/>
  <c r="Z151" i="32" s="1"/>
  <c r="Y150" i="32"/>
  <c r="Z150" i="32" s="1" a="1"/>
  <c r="Z150" i="32" s="1"/>
  <c r="Y149" i="32"/>
  <c r="Z149" i="32" s="1" a="1"/>
  <c r="Z149" i="32" s="1"/>
  <c r="Y148" i="32"/>
  <c r="Z148" i="32" s="1" a="1"/>
  <c r="Z148" i="32" s="1"/>
  <c r="Y147" i="32"/>
  <c r="Z147" i="32" s="1" a="1"/>
  <c r="Z147" i="32" s="1"/>
  <c r="Y146" i="32"/>
  <c r="Z146" i="32" s="1" a="1"/>
  <c r="Z146" i="32" s="1"/>
  <c r="Y145" i="32"/>
  <c r="Z145" i="32" s="1" a="1"/>
  <c r="Z145" i="32" s="1"/>
  <c r="Y144" i="32"/>
  <c r="Z144" i="32" s="1" a="1"/>
  <c r="Z144" i="32" s="1"/>
  <c r="Y143" i="32"/>
  <c r="Z143" i="32" s="1" a="1"/>
  <c r="Z143" i="32" s="1"/>
  <c r="Y142" i="32"/>
  <c r="Z142" i="32" s="1" a="1"/>
  <c r="Z142" i="32" s="1"/>
  <c r="Y141" i="32"/>
  <c r="Z141" i="32" s="1" a="1"/>
  <c r="Z141" i="32" s="1"/>
  <c r="Y140" i="32"/>
  <c r="Z140" i="32" s="1" a="1"/>
  <c r="Z140" i="32" s="1"/>
  <c r="Y139" i="32"/>
  <c r="Z139" i="32" s="1" a="1"/>
  <c r="Z139" i="32" s="1"/>
  <c r="Y138" i="32"/>
  <c r="Z138" i="32" s="1" a="1"/>
  <c r="Z138" i="32" s="1"/>
  <c r="Y137" i="32"/>
  <c r="Z137" i="32" s="1" a="1"/>
  <c r="Z137" i="32" s="1"/>
  <c r="Y136" i="32"/>
  <c r="Z136" i="32" s="1" a="1"/>
  <c r="Z136" i="32" s="1"/>
  <c r="Y135" i="32"/>
  <c r="Z135" i="32" s="1" a="1"/>
  <c r="Z135" i="32" s="1"/>
  <c r="Y134" i="32"/>
  <c r="Z134" i="32" s="1" a="1"/>
  <c r="Z134" i="32" s="1"/>
  <c r="Y133" i="32"/>
  <c r="Z133" i="32" s="1" a="1"/>
  <c r="Z133" i="32" s="1"/>
  <c r="Y132" i="32"/>
  <c r="Z132" i="32" s="1" a="1"/>
  <c r="Z132" i="32" s="1"/>
  <c r="Y131" i="32"/>
  <c r="Z131" i="32" s="1" a="1"/>
  <c r="Z131" i="32" s="1"/>
  <c r="Y130" i="32"/>
  <c r="Z130" i="32" s="1" a="1"/>
  <c r="Z130" i="32" s="1"/>
  <c r="Y129" i="32"/>
  <c r="Z129" i="32" s="1" a="1"/>
  <c r="Z129" i="32" s="1"/>
  <c r="Y128" i="32"/>
  <c r="Z128" i="32" s="1" a="1"/>
  <c r="Z128" i="32" s="1"/>
  <c r="Y127" i="32"/>
  <c r="Z127" i="32" s="1" a="1"/>
  <c r="Z127" i="32" s="1"/>
  <c r="Y126" i="32"/>
  <c r="Z126" i="32" s="1" a="1"/>
  <c r="Z126" i="32" s="1"/>
  <c r="Y125" i="32"/>
  <c r="Z125" i="32" s="1" a="1"/>
  <c r="Z125" i="32" s="1"/>
  <c r="Y124" i="32"/>
  <c r="Z124" i="32" s="1" a="1"/>
  <c r="Z124" i="32" s="1"/>
  <c r="Y123" i="32"/>
  <c r="Z123" i="32" s="1" a="1"/>
  <c r="Z123" i="32" s="1"/>
  <c r="Y122" i="32"/>
  <c r="Z122" i="32" s="1" a="1"/>
  <c r="Z122" i="32" s="1"/>
  <c r="Y121" i="32"/>
  <c r="Z121" i="32" s="1" a="1"/>
  <c r="Z121" i="32" s="1"/>
  <c r="Y120" i="32"/>
  <c r="Z120" i="32" s="1" a="1"/>
  <c r="Z120" i="32" s="1"/>
  <c r="Y119" i="32"/>
  <c r="Z119" i="32" s="1" a="1"/>
  <c r="Z119" i="32" s="1"/>
  <c r="Y118" i="32"/>
  <c r="Z118" i="32" s="1" a="1"/>
  <c r="Z118" i="32" s="1"/>
  <c r="Y117" i="32"/>
  <c r="Z117" i="32" s="1" a="1"/>
  <c r="Z117" i="32" s="1"/>
  <c r="Y116" i="32"/>
  <c r="Z116" i="32" s="1" a="1"/>
  <c r="Z116" i="32" s="1"/>
  <c r="Y115" i="32"/>
  <c r="Z115" i="32" s="1" a="1"/>
  <c r="Z115" i="32" s="1"/>
  <c r="Y114" i="32"/>
  <c r="Z114" i="32" s="1" a="1"/>
  <c r="Z114" i="32" s="1"/>
  <c r="Y113" i="32"/>
  <c r="Z113" i="32" s="1" a="1"/>
  <c r="Z113" i="32" s="1"/>
  <c r="Y112" i="32"/>
  <c r="Z112" i="32" s="1" a="1"/>
  <c r="Z112" i="32" s="1"/>
  <c r="Y111" i="32"/>
  <c r="Z111" i="32" s="1" a="1"/>
  <c r="Z111" i="32" s="1"/>
  <c r="Y110" i="32"/>
  <c r="Z110" i="32" s="1" a="1"/>
  <c r="Z110" i="32" s="1"/>
  <c r="Y109" i="32"/>
  <c r="Z109" i="32" s="1" a="1"/>
  <c r="Z109" i="32" s="1"/>
  <c r="Y108" i="32"/>
  <c r="Z108" i="32" s="1" a="1"/>
  <c r="Z108" i="32" s="1"/>
  <c r="Y107" i="32"/>
  <c r="Z107" i="32" s="1" a="1"/>
  <c r="Z107" i="32" s="1"/>
  <c r="Y106" i="32"/>
  <c r="Z106" i="32" s="1" a="1"/>
  <c r="Z106" i="32" s="1"/>
  <c r="Y105" i="32"/>
  <c r="Z105" i="32" s="1" a="1"/>
  <c r="Z105" i="32" s="1"/>
  <c r="Y104" i="32"/>
  <c r="Z104" i="32" s="1" a="1"/>
  <c r="Z104" i="32" s="1"/>
  <c r="Y103" i="32"/>
  <c r="Z103" i="32" s="1" a="1"/>
  <c r="Z103" i="32" s="1"/>
  <c r="Y102" i="32"/>
  <c r="Z102" i="32" s="1" a="1"/>
  <c r="Z102" i="32" s="1"/>
  <c r="Y101" i="32"/>
  <c r="Z101" i="32" s="1" a="1"/>
  <c r="Z101" i="32" s="1"/>
  <c r="Y100" i="32"/>
  <c r="Z100" i="32" s="1" a="1"/>
  <c r="Z100" i="32" s="1"/>
  <c r="Y99" i="32"/>
  <c r="Z99" i="32" s="1" a="1"/>
  <c r="Z99" i="32" s="1"/>
  <c r="Y98" i="32"/>
  <c r="Z98" i="32" s="1" a="1"/>
  <c r="Z98" i="32" s="1"/>
  <c r="Y97" i="32"/>
  <c r="Z97" i="32" s="1" a="1"/>
  <c r="Z97" i="32" s="1"/>
  <c r="Y96" i="32"/>
  <c r="Z96" i="32" s="1" a="1"/>
  <c r="Z96" i="32" s="1"/>
  <c r="Y95" i="32"/>
  <c r="Z95" i="32" s="1" a="1"/>
  <c r="Z95" i="32" s="1"/>
  <c r="Y94" i="32"/>
  <c r="Z94" i="32" s="1" a="1"/>
  <c r="Z94" i="32" s="1"/>
  <c r="Y93" i="32"/>
  <c r="Z93" i="32" s="1" a="1"/>
  <c r="Z93" i="32" s="1"/>
  <c r="Y92" i="32"/>
  <c r="Z92" i="32" s="1" a="1"/>
  <c r="Z92" i="32" s="1"/>
  <c r="Y91" i="32"/>
  <c r="Z91" i="32" s="1" a="1"/>
  <c r="Z91" i="32" s="1"/>
  <c r="Y90" i="32"/>
  <c r="Z90" i="32" s="1" a="1"/>
  <c r="Z90" i="32" s="1"/>
  <c r="Y89" i="32"/>
  <c r="Z89" i="32" s="1" a="1"/>
  <c r="Z89" i="32" s="1"/>
  <c r="Y88" i="32"/>
  <c r="Z88" i="32" s="1" a="1"/>
  <c r="Z88" i="32" s="1"/>
  <c r="Y87" i="32"/>
  <c r="Z87" i="32" s="1" a="1"/>
  <c r="Z87" i="32" s="1"/>
  <c r="Y86" i="32"/>
  <c r="Z86" i="32" s="1" a="1"/>
  <c r="Z86" i="32" s="1"/>
  <c r="Y85" i="32"/>
  <c r="Z85" i="32" s="1" a="1"/>
  <c r="Z85" i="32" s="1"/>
  <c r="Y84" i="32"/>
  <c r="Z84" i="32" s="1" a="1"/>
  <c r="Z84" i="32" s="1"/>
  <c r="Y83" i="32"/>
  <c r="Z83" i="32" s="1" a="1"/>
  <c r="Z83" i="32" s="1"/>
  <c r="Y82" i="32"/>
  <c r="Z82" i="32" s="1" a="1"/>
  <c r="Z82" i="32" s="1"/>
  <c r="Y81" i="32"/>
  <c r="Z81" i="32" s="1" a="1"/>
  <c r="Z81" i="32" s="1"/>
  <c r="Y80" i="32"/>
  <c r="Z80" i="32" s="1" a="1"/>
  <c r="Z80" i="32" s="1"/>
  <c r="Y79" i="32"/>
  <c r="Z79" i="32" s="1" a="1"/>
  <c r="Z79" i="32" s="1"/>
  <c r="Y78" i="32"/>
  <c r="Z78" i="32" s="1" a="1"/>
  <c r="Z78" i="32" s="1"/>
  <c r="Y77" i="32"/>
  <c r="Z77" i="32" s="1" a="1"/>
  <c r="Z77" i="32" s="1"/>
  <c r="Y76" i="32"/>
  <c r="Z76" i="32" s="1" a="1"/>
  <c r="Z76" i="32" s="1"/>
  <c r="Y75" i="32"/>
  <c r="Z75" i="32" s="1" a="1"/>
  <c r="Z75" i="32" s="1"/>
  <c r="Y74" i="32"/>
  <c r="Z74" i="32" s="1" a="1"/>
  <c r="Z74" i="32" s="1"/>
  <c r="Y73" i="32"/>
  <c r="Z73" i="32" s="1" a="1"/>
  <c r="Z73" i="32" s="1"/>
  <c r="Y72" i="32"/>
  <c r="Z72" i="32" s="1" a="1"/>
  <c r="Z72" i="32" s="1"/>
  <c r="Y71" i="32"/>
  <c r="Z71" i="32" s="1" a="1"/>
  <c r="Z71" i="32" s="1"/>
  <c r="Y70" i="32"/>
  <c r="Z70" i="32" s="1" a="1"/>
  <c r="Z70" i="32" s="1"/>
  <c r="Y69" i="32"/>
  <c r="Z69" i="32" s="1" a="1"/>
  <c r="Z69" i="32" s="1"/>
  <c r="Y68" i="32"/>
  <c r="Z68" i="32" s="1" a="1"/>
  <c r="Z68" i="32" s="1"/>
  <c r="Y67" i="32"/>
  <c r="Z67" i="32" s="1" a="1"/>
  <c r="Z67" i="32" s="1"/>
  <c r="Y66" i="32"/>
  <c r="Z66" i="32" s="1" a="1"/>
  <c r="Z66" i="32" s="1"/>
  <c r="Y65" i="32"/>
  <c r="Z65" i="32" s="1" a="1"/>
  <c r="Z65" i="32" s="1"/>
  <c r="Y64" i="32"/>
  <c r="Z64" i="32" s="1" a="1"/>
  <c r="Z64" i="32" s="1"/>
  <c r="Y63" i="32"/>
  <c r="Z63" i="32" s="1" a="1"/>
  <c r="Z63" i="32" s="1"/>
  <c r="Y62" i="32"/>
  <c r="Z62" i="32" s="1" a="1"/>
  <c r="Z62" i="32" s="1"/>
  <c r="Y61" i="32"/>
  <c r="Z61" i="32" s="1" a="1"/>
  <c r="Z61" i="32" s="1"/>
  <c r="Y60" i="32"/>
  <c r="Z60" i="32" s="1" a="1"/>
  <c r="Z60" i="32" s="1"/>
  <c r="Y59" i="32"/>
  <c r="Z59" i="32" s="1" a="1"/>
  <c r="Z59" i="32" s="1"/>
  <c r="Y58" i="32"/>
  <c r="Z58" i="32" s="1" a="1"/>
  <c r="Z58" i="32" s="1"/>
  <c r="Y57" i="32"/>
  <c r="Z57" i="32" s="1" a="1"/>
  <c r="Z57" i="32" s="1"/>
  <c r="Y56" i="32"/>
  <c r="Z56" i="32" s="1" a="1"/>
  <c r="Z56" i="32" s="1"/>
  <c r="Y55" i="32"/>
  <c r="Z55" i="32" s="1" a="1"/>
  <c r="Z55" i="32" s="1"/>
  <c r="Y54" i="32"/>
  <c r="Z54" i="32" s="1" a="1"/>
  <c r="Z54" i="32" s="1"/>
  <c r="Y53" i="32"/>
  <c r="Z53" i="32" s="1" a="1"/>
  <c r="Z53" i="32" s="1"/>
  <c r="Y52" i="32"/>
  <c r="Z52" i="32" s="1" a="1"/>
  <c r="Z52" i="32" s="1"/>
  <c r="Y51" i="32"/>
  <c r="Z51" i="32" s="1" a="1"/>
  <c r="Z51" i="32" s="1"/>
  <c r="Y50" i="32"/>
  <c r="Z50" i="32" s="1" a="1"/>
  <c r="Z50" i="32" s="1"/>
  <c r="Y49" i="32"/>
  <c r="Z49" i="32" s="1" a="1"/>
  <c r="Z49" i="32" s="1"/>
  <c r="Y48" i="32"/>
  <c r="Z48" i="32" s="1" a="1"/>
  <c r="Z48" i="32" s="1"/>
  <c r="Y47" i="32"/>
  <c r="Z47" i="32" s="1" a="1"/>
  <c r="Z47" i="32" s="1"/>
  <c r="Y46" i="32"/>
  <c r="Z46" i="32" s="1" a="1"/>
  <c r="Z46" i="32" s="1"/>
  <c r="Y45" i="32"/>
  <c r="Z45" i="32" s="1" a="1"/>
  <c r="Z45" i="32" s="1"/>
  <c r="Y44" i="32"/>
  <c r="Z44" i="32" s="1" a="1"/>
  <c r="Z44" i="32" s="1"/>
  <c r="Y43" i="32"/>
  <c r="Z43" i="32" s="1" a="1"/>
  <c r="Z43" i="32" s="1"/>
  <c r="Y42" i="32"/>
  <c r="Z42" i="32" s="1" a="1"/>
  <c r="Z42" i="32" s="1"/>
  <c r="Y41" i="32"/>
  <c r="Z41" i="32" s="1" a="1"/>
  <c r="Z41" i="32" s="1"/>
  <c r="Y40" i="32"/>
  <c r="Z40" i="32" s="1" a="1"/>
  <c r="Z40" i="32" s="1"/>
  <c r="Y39" i="32"/>
  <c r="Z39" i="32" s="1" a="1"/>
  <c r="Z39" i="32" s="1"/>
  <c r="Y38" i="32"/>
  <c r="Z38" i="32" s="1" a="1"/>
  <c r="Z38" i="32" s="1"/>
  <c r="Y37" i="32"/>
  <c r="Z37" i="32" s="1" a="1"/>
  <c r="Z37" i="32" s="1"/>
  <c r="Y36" i="32"/>
  <c r="Z36" i="32" s="1" a="1"/>
  <c r="Z36" i="32" s="1"/>
  <c r="Y35" i="32"/>
  <c r="Z35" i="32" s="1" a="1"/>
  <c r="Z35" i="32" s="1"/>
  <c r="Y34" i="32"/>
  <c r="Z34" i="32" s="1" a="1"/>
  <c r="Z34" i="32" s="1"/>
  <c r="Y33" i="32"/>
  <c r="Z33" i="32" s="1" a="1"/>
  <c r="Z33" i="32" s="1"/>
  <c r="Y32" i="32"/>
  <c r="Z32" i="32" s="1" a="1"/>
  <c r="Z32" i="32" s="1"/>
  <c r="Y31" i="32"/>
  <c r="Z31" i="32" s="1" a="1"/>
  <c r="Z31" i="32" s="1"/>
  <c r="Y30" i="32"/>
  <c r="Z30" i="32" s="1" a="1"/>
  <c r="Z30" i="32" s="1"/>
  <c r="Y29" i="32"/>
  <c r="Z29" i="32" s="1" a="1"/>
  <c r="Z29" i="32" s="1"/>
  <c r="Y28" i="32"/>
  <c r="Z28" i="32" s="1" a="1"/>
  <c r="Z28" i="32" s="1"/>
  <c r="Y27" i="32"/>
  <c r="Z27" i="32" s="1" a="1"/>
  <c r="Z27" i="32" s="1"/>
  <c r="Y26" i="32"/>
  <c r="Z26" i="32" s="1" a="1"/>
  <c r="Z26" i="32" s="1"/>
  <c r="Y25" i="32"/>
  <c r="Z25" i="32" s="1" a="1"/>
  <c r="Z25" i="32" s="1"/>
  <c r="Y24" i="32"/>
  <c r="Z24" i="32" s="1" a="1"/>
  <c r="Z24" i="32" s="1"/>
  <c r="Y23" i="32"/>
  <c r="Z23" i="32" s="1" a="1"/>
  <c r="Z23" i="32" s="1"/>
  <c r="Y22" i="32"/>
  <c r="Z22" i="32" s="1" a="1"/>
  <c r="Z22" i="32" s="1"/>
  <c r="Y21" i="32"/>
  <c r="Z21" i="32" s="1" a="1"/>
  <c r="Z21" i="32" s="1"/>
  <c r="Y20" i="32"/>
  <c r="Z20" i="32" s="1" a="1"/>
  <c r="Z20" i="32" s="1"/>
  <c r="Y19" i="32"/>
  <c r="Z19" i="32" s="1" a="1"/>
  <c r="Z19" i="32" s="1"/>
  <c r="Y18" i="32"/>
  <c r="Z18" i="32" s="1" a="1"/>
  <c r="Z18" i="32" s="1"/>
  <c r="Y17" i="32"/>
  <c r="Z17" i="32" s="1" a="1"/>
  <c r="Z17" i="32" s="1"/>
  <c r="Y16" i="32"/>
  <c r="Z16" i="32" s="1" a="1"/>
  <c r="Z16" i="32" s="1"/>
  <c r="Y15" i="32"/>
  <c r="Z15" i="32" s="1" a="1"/>
  <c r="Z15" i="32" s="1"/>
  <c r="Y14" i="32"/>
  <c r="Z14" i="32" s="1" a="1"/>
  <c r="Z14" i="32" s="1"/>
  <c r="Y13" i="32"/>
  <c r="Z13" i="32" s="1" a="1"/>
  <c r="Z13" i="32" s="1"/>
  <c r="Y12" i="32"/>
  <c r="Z12" i="32" s="1" a="1"/>
  <c r="Z12" i="32" s="1"/>
  <c r="Y11" i="32"/>
  <c r="Z11" i="32" s="1" a="1"/>
  <c r="Z11" i="32" s="1"/>
  <c r="Y10" i="32"/>
  <c r="Z10" i="32" s="1" a="1"/>
  <c r="Z10" i="32" s="1"/>
  <c r="Y9" i="32"/>
  <c r="Z9" i="32" s="1" a="1"/>
  <c r="Z9" i="32" s="1"/>
  <c r="Y8" i="32"/>
  <c r="Z8" i="32" s="1" a="1"/>
  <c r="Z8" i="32" s="1"/>
  <c r="Y7" i="32"/>
  <c r="Z7" i="32" s="1" a="1"/>
  <c r="Z7" i="32" s="1"/>
  <c r="Y6" i="32"/>
  <c r="Z6" i="32" s="1" a="1"/>
  <c r="Z6" i="32" s="1"/>
  <c r="Y5" i="32"/>
  <c r="Z5" i="32" s="1" a="1"/>
  <c r="Z5" i="32" s="1"/>
  <c r="Y4" i="32"/>
  <c r="Z4" i="32" s="1" a="1"/>
  <c r="Z4" i="32" s="1"/>
  <c r="F367" i="34"/>
  <c r="F366" i="34"/>
  <c r="F365" i="34"/>
  <c r="F364" i="34"/>
  <c r="F363" i="34"/>
  <c r="F362" i="34"/>
  <c r="F361" i="34"/>
  <c r="F360" i="34"/>
  <c r="AY227" i="32"/>
  <c r="AX227" i="32"/>
  <c r="AW227" i="32"/>
  <c r="AV227" i="32"/>
  <c r="AU227" i="32"/>
  <c r="AT227" i="32"/>
  <c r="AS227" i="32"/>
  <c r="AR227" i="32"/>
  <c r="AQ227" i="32"/>
  <c r="AN227" i="32"/>
  <c r="X227" i="32"/>
  <c r="T227" i="32" s="1"/>
  <c r="S227" i="32"/>
  <c r="Q227" i="32" a="1"/>
  <c r="Q227" i="32" s="1"/>
  <c r="L227" i="32"/>
  <c r="J227" i="32"/>
  <c r="H227" i="32"/>
  <c r="E227" i="32"/>
  <c r="AY226" i="32"/>
  <c r="AX226" i="32"/>
  <c r="AW226" i="32"/>
  <c r="AV226" i="32"/>
  <c r="AU226" i="32"/>
  <c r="AT226" i="32"/>
  <c r="AS226" i="32"/>
  <c r="AR226" i="32"/>
  <c r="AQ226" i="32"/>
  <c r="AN226" i="32"/>
  <c r="X226" i="32"/>
  <c r="T226" i="32" s="1"/>
  <c r="U226" i="32" s="1" a="1"/>
  <c r="U226" i="32" s="1"/>
  <c r="S226" i="32"/>
  <c r="Q226" i="32" a="1"/>
  <c r="Q226" i="32" s="1"/>
  <c r="L226" i="32"/>
  <c r="J226" i="32"/>
  <c r="H226" i="32"/>
  <c r="E226" i="32"/>
  <c r="AY225" i="32"/>
  <c r="AX225" i="32"/>
  <c r="AW225" i="32"/>
  <c r="AV225" i="32"/>
  <c r="AU225" i="32"/>
  <c r="AT225" i="32"/>
  <c r="AS225" i="32"/>
  <c r="AR225" i="32"/>
  <c r="AQ225" i="32"/>
  <c r="AN225" i="32"/>
  <c r="X225" i="32"/>
  <c r="T225" i="32" s="1"/>
  <c r="U225" i="32" s="1" a="1"/>
  <c r="U225" i="32" s="1"/>
  <c r="Q225" i="32" a="1"/>
  <c r="Q225" i="32" s="1"/>
  <c r="L225" i="32"/>
  <c r="J225" i="32"/>
  <c r="H225" i="32"/>
  <c r="E225" i="32"/>
  <c r="AY224" i="32"/>
  <c r="AX224" i="32"/>
  <c r="AW224" i="32"/>
  <c r="AV224" i="32"/>
  <c r="AU224" i="32"/>
  <c r="AT224" i="32"/>
  <c r="AS224" i="32"/>
  <c r="AR224" i="32"/>
  <c r="AQ224" i="32"/>
  <c r="AN224" i="32"/>
  <c r="X224" i="32"/>
  <c r="T224" i="32" s="1"/>
  <c r="U224" i="32" s="1" a="1"/>
  <c r="U224" i="32" s="1"/>
  <c r="Q224" i="32" a="1"/>
  <c r="Q224" i="32" s="1"/>
  <c r="L224" i="32"/>
  <c r="J224" i="32"/>
  <c r="H224" i="32"/>
  <c r="E224" i="32"/>
  <c r="AY223" i="32"/>
  <c r="AX223" i="32"/>
  <c r="AW223" i="32"/>
  <c r="AV223" i="32"/>
  <c r="AU223" i="32"/>
  <c r="AT223" i="32"/>
  <c r="AS223" i="32"/>
  <c r="AR223" i="32"/>
  <c r="AQ223" i="32"/>
  <c r="AN223" i="32"/>
  <c r="X223" i="32"/>
  <c r="T223" i="32" s="1"/>
  <c r="U223" i="32" s="1" a="1"/>
  <c r="U223" i="32" s="1"/>
  <c r="Q223" i="32" a="1"/>
  <c r="Q223" i="32" s="1"/>
  <c r="L223" i="32"/>
  <c r="J223" i="32"/>
  <c r="H223" i="32"/>
  <c r="E223" i="32"/>
  <c r="AY222" i="32"/>
  <c r="AX222" i="32"/>
  <c r="AW222" i="32"/>
  <c r="AV222" i="32"/>
  <c r="AU222" i="32"/>
  <c r="AT222" i="32"/>
  <c r="AS222" i="32"/>
  <c r="AR222" i="32"/>
  <c r="AQ222" i="32"/>
  <c r="AN222" i="32"/>
  <c r="X222" i="32"/>
  <c r="T222" i="32" s="1"/>
  <c r="U222" i="32" s="1" a="1"/>
  <c r="U222" i="32" s="1"/>
  <c r="Q222" i="32" a="1"/>
  <c r="Q222" i="32" s="1"/>
  <c r="L222" i="32"/>
  <c r="J222" i="32"/>
  <c r="H222" i="32"/>
  <c r="E222" i="32"/>
  <c r="AY221" i="32"/>
  <c r="AX221" i="32"/>
  <c r="AW221" i="32"/>
  <c r="AV221" i="32"/>
  <c r="AU221" i="32"/>
  <c r="AT221" i="32"/>
  <c r="AS221" i="32"/>
  <c r="AR221" i="32"/>
  <c r="AQ221" i="32"/>
  <c r="AN221" i="32"/>
  <c r="X221" i="32"/>
  <c r="T221" i="32" s="1"/>
  <c r="U221" i="32" s="1" a="1"/>
  <c r="U221" i="32" s="1"/>
  <c r="Q221" i="32" a="1"/>
  <c r="Q221" i="32" s="1"/>
  <c r="L221" i="32"/>
  <c r="J221" i="32"/>
  <c r="H221" i="32"/>
  <c r="E221" i="32"/>
  <c r="AY220" i="32"/>
  <c r="AX220" i="32"/>
  <c r="AW220" i="32"/>
  <c r="AV220" i="32"/>
  <c r="AU220" i="32"/>
  <c r="AT220" i="32"/>
  <c r="AS220" i="32"/>
  <c r="AR220" i="32"/>
  <c r="AQ220" i="32"/>
  <c r="AN220" i="32"/>
  <c r="X220" i="32"/>
  <c r="T220" i="32" s="1"/>
  <c r="U220" i="32" s="1" a="1"/>
  <c r="U220" i="32" s="1"/>
  <c r="L220" i="32"/>
  <c r="J220" i="32"/>
  <c r="H220" i="32"/>
  <c r="E220" i="32"/>
  <c r="F359" i="34"/>
  <c r="F358" i="34"/>
  <c r="F357" i="34"/>
  <c r="F356" i="34"/>
  <c r="F355" i="34"/>
  <c r="F354" i="34"/>
  <c r="F353" i="34"/>
  <c r="F352" i="34"/>
  <c r="AY219" i="32"/>
  <c r="AX219" i="32"/>
  <c r="AW219" i="32"/>
  <c r="AV219" i="32"/>
  <c r="AU219" i="32"/>
  <c r="AT219" i="32"/>
  <c r="AS219" i="32"/>
  <c r="AR219" i="32"/>
  <c r="AQ219" i="32"/>
  <c r="AN219" i="32"/>
  <c r="X219" i="32"/>
  <c r="T219" i="32" s="1"/>
  <c r="U219" i="32" s="1" a="1"/>
  <c r="U219" i="32" s="1"/>
  <c r="S219" i="32"/>
  <c r="Q219" i="32" a="1"/>
  <c r="Q219" i="32" s="1"/>
  <c r="L219" i="32"/>
  <c r="J219" i="32"/>
  <c r="H219" i="32"/>
  <c r="E219" i="32"/>
  <c r="AY218" i="32"/>
  <c r="AX218" i="32"/>
  <c r="AW218" i="32"/>
  <c r="AV218" i="32"/>
  <c r="AU218" i="32"/>
  <c r="AT218" i="32"/>
  <c r="AS218" i="32"/>
  <c r="AR218" i="32"/>
  <c r="AQ218" i="32"/>
  <c r="AN218" i="32"/>
  <c r="X218" i="32"/>
  <c r="T218" i="32" s="1"/>
  <c r="U218" i="32" s="1" a="1"/>
  <c r="U218" i="32" s="1"/>
  <c r="S218" i="32"/>
  <c r="Q218" i="32" a="1"/>
  <c r="Q218" i="32" s="1"/>
  <c r="L218" i="32"/>
  <c r="J218" i="32"/>
  <c r="H218" i="32"/>
  <c r="E218" i="32"/>
  <c r="AY217" i="32"/>
  <c r="AX217" i="32"/>
  <c r="AW217" i="32"/>
  <c r="AV217" i="32"/>
  <c r="AU217" i="32"/>
  <c r="AT217" i="32"/>
  <c r="AS217" i="32"/>
  <c r="AR217" i="32"/>
  <c r="AQ217" i="32"/>
  <c r="AN217" i="32"/>
  <c r="X217" i="32"/>
  <c r="T217" i="32" s="1"/>
  <c r="U217" i="32" s="1" a="1"/>
  <c r="U217" i="32" s="1"/>
  <c r="Q217" i="32" a="1"/>
  <c r="Q217" i="32" s="1"/>
  <c r="L217" i="32"/>
  <c r="J217" i="32"/>
  <c r="H217" i="32"/>
  <c r="E217" i="32"/>
  <c r="AY216" i="32"/>
  <c r="AX216" i="32"/>
  <c r="AW216" i="32"/>
  <c r="AV216" i="32"/>
  <c r="AU216" i="32"/>
  <c r="AT216" i="32"/>
  <c r="AS216" i="32"/>
  <c r="AR216" i="32"/>
  <c r="AQ216" i="32"/>
  <c r="AN216" i="32"/>
  <c r="X216" i="32"/>
  <c r="T216" i="32" s="1"/>
  <c r="U216" i="32" s="1" a="1"/>
  <c r="U216" i="32" s="1"/>
  <c r="Q216" i="32" a="1"/>
  <c r="Q216" i="32" s="1"/>
  <c r="L216" i="32"/>
  <c r="J216" i="32"/>
  <c r="H216" i="32"/>
  <c r="E216" i="32"/>
  <c r="AY215" i="32"/>
  <c r="AX215" i="32"/>
  <c r="AW215" i="32"/>
  <c r="AV215" i="32"/>
  <c r="AU215" i="32"/>
  <c r="AT215" i="32"/>
  <c r="AS215" i="32"/>
  <c r="AR215" i="32"/>
  <c r="AQ215" i="32"/>
  <c r="AN215" i="32"/>
  <c r="X215" i="32"/>
  <c r="T215" i="32" s="1"/>
  <c r="U215" i="32" s="1" a="1"/>
  <c r="U215" i="32" s="1"/>
  <c r="Q215" i="32" a="1"/>
  <c r="Q215" i="32" s="1"/>
  <c r="L215" i="32"/>
  <c r="J215" i="32"/>
  <c r="H215" i="32"/>
  <c r="E215" i="32"/>
  <c r="AY214" i="32"/>
  <c r="AX214" i="32"/>
  <c r="AW214" i="32"/>
  <c r="AV214" i="32"/>
  <c r="AU214" i="32"/>
  <c r="AT214" i="32"/>
  <c r="AS214" i="32"/>
  <c r="AR214" i="32"/>
  <c r="AQ214" i="32"/>
  <c r="AN214" i="32"/>
  <c r="X214" i="32"/>
  <c r="T214" i="32" s="1"/>
  <c r="U214" i="32" s="1" a="1"/>
  <c r="U214" i="32" s="1"/>
  <c r="Q214" i="32" a="1"/>
  <c r="Q214" i="32" s="1"/>
  <c r="L214" i="32"/>
  <c r="J214" i="32"/>
  <c r="H214" i="32"/>
  <c r="E214" i="32"/>
  <c r="AY213" i="32"/>
  <c r="AX213" i="32"/>
  <c r="AW213" i="32"/>
  <c r="AV213" i="32"/>
  <c r="AU213" i="32"/>
  <c r="AT213" i="32"/>
  <c r="AS213" i="32"/>
  <c r="AR213" i="32"/>
  <c r="AQ213" i="32"/>
  <c r="AN213" i="32"/>
  <c r="X213" i="32"/>
  <c r="T213" i="32" s="1"/>
  <c r="U213" i="32" s="1" a="1"/>
  <c r="U213" i="32" s="1"/>
  <c r="Q213" i="32" a="1"/>
  <c r="Q213" i="32" s="1"/>
  <c r="L213" i="32"/>
  <c r="J213" i="32"/>
  <c r="H213" i="32"/>
  <c r="E213" i="32"/>
  <c r="AY212" i="32"/>
  <c r="AX212" i="32"/>
  <c r="AW212" i="32"/>
  <c r="AV212" i="32"/>
  <c r="AU212" i="32"/>
  <c r="AT212" i="32"/>
  <c r="AS212" i="32"/>
  <c r="AR212" i="32"/>
  <c r="AQ212" i="32"/>
  <c r="AN212" i="32"/>
  <c r="X212" i="32"/>
  <c r="T212" i="32" s="1"/>
  <c r="U212" i="32" s="1" a="1"/>
  <c r="U212" i="32" s="1"/>
  <c r="L212" i="32"/>
  <c r="J212" i="32"/>
  <c r="H212" i="32"/>
  <c r="E212" i="32"/>
  <c r="Q205" i="32" a="1"/>
  <c r="Q205" i="32" s="1"/>
  <c r="Q206" i="32" a="1"/>
  <c r="Q206" i="32" s="1"/>
  <c r="F351" i="34"/>
  <c r="F350" i="34"/>
  <c r="F349" i="34"/>
  <c r="F348" i="34"/>
  <c r="F347" i="34"/>
  <c r="F346" i="34"/>
  <c r="F345" i="34"/>
  <c r="F344" i="34"/>
  <c r="X211" i="32"/>
  <c r="T211" i="32" s="1"/>
  <c r="U211" i="32" s="1" a="1"/>
  <c r="U211" i="32" s="1"/>
  <c r="X210" i="32"/>
  <c r="T210" i="32" s="1"/>
  <c r="U210" i="32" s="1" a="1"/>
  <c r="U210" i="32" s="1"/>
  <c r="X209" i="32"/>
  <c r="T209" i="32" s="1"/>
  <c r="U209" i="32" s="1" a="1"/>
  <c r="U209" i="32" s="1"/>
  <c r="X208" i="32"/>
  <c r="T208" i="32" s="1"/>
  <c r="U208" i="32" s="1" a="1"/>
  <c r="U208" i="32" s="1"/>
  <c r="X207" i="32"/>
  <c r="AO207" i="32" s="1"/>
  <c r="X206" i="32"/>
  <c r="AP206" i="32" s="1"/>
  <c r="X205" i="32"/>
  <c r="AP205" i="32" s="1"/>
  <c r="X204" i="32"/>
  <c r="T204" i="32" s="1"/>
  <c r="U204" i="32" s="1" a="1"/>
  <c r="U204" i="32" s="1"/>
  <c r="AY211" i="32"/>
  <c r="AX211" i="32"/>
  <c r="AW211" i="32"/>
  <c r="AV211" i="32"/>
  <c r="AU211" i="32"/>
  <c r="AT211" i="32"/>
  <c r="AS211" i="32"/>
  <c r="AR211" i="32"/>
  <c r="AQ211" i="32"/>
  <c r="AN211" i="32"/>
  <c r="S211" i="32"/>
  <c r="Q211" i="32" a="1"/>
  <c r="Q211" i="32" s="1"/>
  <c r="L211" i="32"/>
  <c r="J211" i="32"/>
  <c r="H211" i="32"/>
  <c r="E211" i="32"/>
  <c r="AY210" i="32"/>
  <c r="AX210" i="32"/>
  <c r="AW210" i="32"/>
  <c r="AV210" i="32"/>
  <c r="AU210" i="32"/>
  <c r="AT210" i="32"/>
  <c r="AS210" i="32"/>
  <c r="AR210" i="32"/>
  <c r="AQ210" i="32"/>
  <c r="AN210" i="32"/>
  <c r="S210" i="32"/>
  <c r="Q210" i="32" a="1"/>
  <c r="Q210" i="32" s="1"/>
  <c r="L210" i="32"/>
  <c r="J210" i="32"/>
  <c r="H210" i="32"/>
  <c r="E210" i="32"/>
  <c r="AY209" i="32"/>
  <c r="AX209" i="32"/>
  <c r="AW209" i="32"/>
  <c r="AT209" i="32"/>
  <c r="AS209" i="32"/>
  <c r="AR209" i="32"/>
  <c r="AQ209" i="32"/>
  <c r="AN209" i="32"/>
  <c r="Q209" i="32" a="1"/>
  <c r="Q209" i="32" s="1"/>
  <c r="L209" i="32"/>
  <c r="J209" i="32"/>
  <c r="H209" i="32"/>
  <c r="E209" i="32"/>
  <c r="AY208" i="32"/>
  <c r="AX208" i="32"/>
  <c r="AW208" i="32"/>
  <c r="AT208" i="32"/>
  <c r="AS208" i="32"/>
  <c r="AR208" i="32"/>
  <c r="AQ208" i="32"/>
  <c r="AN208" i="32"/>
  <c r="Q208" i="32" a="1"/>
  <c r="Q208" i="32" s="1"/>
  <c r="L208" i="32"/>
  <c r="J208" i="32"/>
  <c r="H208" i="32"/>
  <c r="E208" i="32"/>
  <c r="AY207" i="32"/>
  <c r="AX207" i="32"/>
  <c r="AW207" i="32"/>
  <c r="AT207" i="32"/>
  <c r="AS207" i="32"/>
  <c r="AR207" i="32"/>
  <c r="AQ207" i="32"/>
  <c r="AN207" i="32"/>
  <c r="Q207" i="32" a="1"/>
  <c r="Q207" i="32" s="1"/>
  <c r="L207" i="32"/>
  <c r="J207" i="32"/>
  <c r="H207" i="32"/>
  <c r="E207" i="32"/>
  <c r="AY206" i="32"/>
  <c r="AX206" i="32"/>
  <c r="AW206" i="32"/>
  <c r="AT206" i="32"/>
  <c r="AS206" i="32"/>
  <c r="AR206" i="32"/>
  <c r="AQ206" i="32"/>
  <c r="AN206" i="32"/>
  <c r="L206" i="32"/>
  <c r="J206" i="32"/>
  <c r="H206" i="32"/>
  <c r="E206" i="32"/>
  <c r="AY205" i="32"/>
  <c r="AX205" i="32"/>
  <c r="AW205" i="32"/>
  <c r="AT205" i="32"/>
  <c r="AS205" i="32"/>
  <c r="AR205" i="32"/>
  <c r="AQ205" i="32"/>
  <c r="AN205" i="32"/>
  <c r="L205" i="32"/>
  <c r="J205" i="32"/>
  <c r="H205" i="32"/>
  <c r="E205" i="32"/>
  <c r="AY204" i="32"/>
  <c r="AX204" i="32"/>
  <c r="AW204" i="32"/>
  <c r="AV204" i="32"/>
  <c r="AU204" i="32"/>
  <c r="AT204" i="32"/>
  <c r="AS204" i="32"/>
  <c r="AR204" i="32"/>
  <c r="AQ204" i="32"/>
  <c r="AN204" i="32"/>
  <c r="L204" i="32"/>
  <c r="J204" i="32"/>
  <c r="H204" i="32"/>
  <c r="E204" i="32"/>
  <c r="K121" i="29"/>
  <c r="I121" i="29"/>
  <c r="K120" i="29"/>
  <c r="I120" i="29"/>
  <c r="F99" i="16"/>
  <c r="D99" i="16"/>
  <c r="F101" i="16"/>
  <c r="D101" i="16"/>
  <c r="F100" i="16"/>
  <c r="D100" i="16" s="1"/>
  <c r="F98" i="16"/>
  <c r="D98" i="16" s="1"/>
  <c r="F97" i="16"/>
  <c r="D97" i="16" s="1"/>
  <c r="F96" i="16"/>
  <c r="D96" i="16" s="1"/>
  <c r="F95" i="16"/>
  <c r="D95" i="16" s="1"/>
  <c r="F94" i="16"/>
  <c r="D94" i="16" s="1"/>
  <c r="F93" i="16"/>
  <c r="D93" i="16" s="1"/>
  <c r="F92" i="16"/>
  <c r="D92" i="16" s="1"/>
  <c r="F91" i="16"/>
  <c r="D91" i="16" s="1"/>
  <c r="F90" i="16"/>
  <c r="D90" i="16" s="1"/>
  <c r="F89" i="16"/>
  <c r="D89" i="16" s="1"/>
  <c r="F88" i="16"/>
  <c r="D88" i="16" s="1"/>
  <c r="F87" i="16"/>
  <c r="D87" i="16" s="1"/>
  <c r="F86" i="16"/>
  <c r="D86" i="16" s="1"/>
  <c r="F85" i="16"/>
  <c r="D85" i="16" s="1"/>
  <c r="F84" i="16"/>
  <c r="D84" i="16" s="1"/>
  <c r="F83" i="16"/>
  <c r="D83" i="16" s="1"/>
  <c r="F82" i="16"/>
  <c r="D82" i="16" s="1"/>
  <c r="F81" i="16"/>
  <c r="D81" i="16" s="1"/>
  <c r="F80" i="16"/>
  <c r="D80" i="16" s="1"/>
  <c r="F79" i="16"/>
  <c r="D79" i="16" s="1"/>
  <c r="F78" i="16"/>
  <c r="D78" i="16" s="1"/>
  <c r="F77" i="16"/>
  <c r="D77" i="16" s="1"/>
  <c r="F76" i="16"/>
  <c r="D76" i="16" s="1"/>
  <c r="F75" i="16"/>
  <c r="D75" i="16" s="1"/>
  <c r="F74" i="16"/>
  <c r="D74" i="16" s="1"/>
  <c r="F73" i="16"/>
  <c r="D73" i="16" s="1"/>
  <c r="F72" i="16"/>
  <c r="D72" i="16" s="1"/>
  <c r="F71" i="16"/>
  <c r="D71" i="16" s="1"/>
  <c r="F70" i="16"/>
  <c r="D70" i="16" s="1"/>
  <c r="F69" i="16"/>
  <c r="D69" i="16" s="1"/>
  <c r="F68" i="16"/>
  <c r="D68" i="16" s="1"/>
  <c r="F67" i="16"/>
  <c r="D67" i="16" s="1"/>
  <c r="F66" i="16"/>
  <c r="D66" i="16" s="1"/>
  <c r="F65" i="16"/>
  <c r="D65" i="16" s="1"/>
  <c r="F64" i="16"/>
  <c r="D64" i="16" s="1"/>
  <c r="F63" i="16"/>
  <c r="D63" i="16" s="1"/>
  <c r="F62" i="16"/>
  <c r="D62" i="16" s="1"/>
  <c r="F61" i="16"/>
  <c r="D61" i="16" s="1"/>
  <c r="F60" i="16"/>
  <c r="D60" i="16" s="1"/>
  <c r="F59" i="16"/>
  <c r="D59" i="16" s="1"/>
  <c r="F58" i="16"/>
  <c r="D58" i="16" s="1"/>
  <c r="F57" i="16"/>
  <c r="D57" i="16" s="1"/>
  <c r="F56" i="16"/>
  <c r="D56" i="16" s="1"/>
  <c r="F55" i="16"/>
  <c r="D55" i="16" s="1"/>
  <c r="F54" i="16"/>
  <c r="D54" i="16" s="1"/>
  <c r="F53" i="16"/>
  <c r="D53" i="16" s="1"/>
  <c r="F52" i="16"/>
  <c r="D52" i="16" s="1"/>
  <c r="F51" i="16"/>
  <c r="D51" i="16" s="1"/>
  <c r="F50" i="16"/>
  <c r="D50" i="16" s="1"/>
  <c r="F49" i="16"/>
  <c r="D49" i="16" s="1"/>
  <c r="F48" i="16"/>
  <c r="D48" i="16" s="1"/>
  <c r="F47" i="16"/>
  <c r="D47" i="16" s="1"/>
  <c r="F46" i="16"/>
  <c r="D46" i="16" s="1"/>
  <c r="F45" i="16"/>
  <c r="D45" i="16" s="1"/>
  <c r="F44" i="16"/>
  <c r="D44" i="16" s="1"/>
  <c r="F43" i="16"/>
  <c r="D43" i="16" s="1"/>
  <c r="F42" i="16"/>
  <c r="D42" i="16" s="1"/>
  <c r="F41" i="16"/>
  <c r="D41" i="16" s="1"/>
  <c r="F40" i="16"/>
  <c r="D40" i="16" s="1"/>
  <c r="F39" i="16"/>
  <c r="D39" i="16" s="1"/>
  <c r="F38" i="16"/>
  <c r="D38" i="16" s="1"/>
  <c r="F37" i="16"/>
  <c r="D37" i="16" s="1"/>
  <c r="F36" i="16"/>
  <c r="D36" i="16" s="1"/>
  <c r="F35" i="16"/>
  <c r="D35" i="16" s="1"/>
  <c r="F34" i="16"/>
  <c r="D34" i="16" s="1"/>
  <c r="F33" i="16"/>
  <c r="D33" i="16" s="1"/>
  <c r="F32" i="16"/>
  <c r="D32" i="16" s="1"/>
  <c r="F31" i="16"/>
  <c r="D31" i="16" s="1"/>
  <c r="F30" i="16"/>
  <c r="D30" i="16" s="1"/>
  <c r="F29" i="16"/>
  <c r="D29" i="16" s="1"/>
  <c r="F28" i="16"/>
  <c r="D28" i="16" s="1"/>
  <c r="F27" i="16"/>
  <c r="D27" i="16" s="1"/>
  <c r="F26" i="16"/>
  <c r="D26" i="16" s="1"/>
  <c r="F25" i="16"/>
  <c r="D25" i="16" s="1"/>
  <c r="F24" i="16"/>
  <c r="D24" i="16" s="1"/>
  <c r="F23" i="16"/>
  <c r="D23" i="16" s="1"/>
  <c r="F22" i="16"/>
  <c r="D22" i="16" s="1"/>
  <c r="F21" i="16"/>
  <c r="D21" i="16" s="1"/>
  <c r="F20" i="16"/>
  <c r="D20" i="16" s="1"/>
  <c r="F19" i="16"/>
  <c r="D19" i="16" s="1"/>
  <c r="F18" i="16"/>
  <c r="D18" i="16" s="1"/>
  <c r="F17" i="16"/>
  <c r="D17" i="16" s="1"/>
  <c r="F16" i="16"/>
  <c r="D16" i="16" s="1"/>
  <c r="F15" i="16"/>
  <c r="D15" i="16" s="1"/>
  <c r="F14" i="16"/>
  <c r="D14" i="16" s="1"/>
  <c r="F13" i="16"/>
  <c r="D13" i="16" s="1"/>
  <c r="F12" i="16"/>
  <c r="D12" i="16" s="1"/>
  <c r="F11" i="16"/>
  <c r="D11" i="16" s="1"/>
  <c r="F10" i="16"/>
  <c r="D10" i="16" s="1"/>
  <c r="D4" i="16"/>
  <c r="D5" i="16"/>
  <c r="D6" i="16"/>
  <c r="D7" i="16"/>
  <c r="D8" i="16"/>
  <c r="D9" i="16"/>
  <c r="AH201" i="32"/>
  <c r="AH200" i="32"/>
  <c r="AH199" i="32"/>
  <c r="AH198" i="32"/>
  <c r="AH197" i="32"/>
  <c r="AH185" i="32"/>
  <c r="AH184" i="32"/>
  <c r="AH183" i="32"/>
  <c r="AH182" i="32"/>
  <c r="AH181" i="32"/>
  <c r="AH145" i="32"/>
  <c r="AH144" i="32"/>
  <c r="AH143" i="32"/>
  <c r="AH142" i="32"/>
  <c r="AH141" i="32"/>
  <c r="AH134" i="32"/>
  <c r="AH133" i="32"/>
  <c r="AH110" i="32"/>
  <c r="AH109" i="32"/>
  <c r="AH105" i="32"/>
  <c r="AM105" i="32" s="1"/>
  <c r="AH104" i="32"/>
  <c r="AM104" i="32" s="1"/>
  <c r="AH103" i="32"/>
  <c r="AM103" i="32" s="1"/>
  <c r="AH102" i="32"/>
  <c r="AM102" i="32" s="1"/>
  <c r="AH101" i="32"/>
  <c r="AM101" i="32" s="1"/>
  <c r="AM89" i="32"/>
  <c r="AM88" i="32"/>
  <c r="AM87" i="32"/>
  <c r="AH81" i="32"/>
  <c r="AH80" i="32"/>
  <c r="AH79" i="32"/>
  <c r="AH65" i="32"/>
  <c r="AM65" i="32" s="1"/>
  <c r="AH64" i="32"/>
  <c r="AM64" i="32" s="1"/>
  <c r="AH63" i="32"/>
  <c r="AM63" i="32" s="1"/>
  <c r="AH54" i="32"/>
  <c r="AH53" i="32"/>
  <c r="AH46" i="32"/>
  <c r="AH45" i="32"/>
  <c r="AM41" i="32"/>
  <c r="AM40" i="32"/>
  <c r="AM39" i="32"/>
  <c r="AH38" i="32"/>
  <c r="AM38" i="32" s="1"/>
  <c r="AH37" i="32"/>
  <c r="AM37" i="32" s="1"/>
  <c r="AH33" i="32"/>
  <c r="AH32" i="32"/>
  <c r="AH31" i="32"/>
  <c r="AH17" i="32"/>
  <c r="AM17" i="32" s="1"/>
  <c r="AH16" i="32"/>
  <c r="AM16" i="32" s="1"/>
  <c r="AH15" i="32"/>
  <c r="AM15" i="32" s="1"/>
  <c r="AH9" i="32"/>
  <c r="AH8" i="32"/>
  <c r="AH7" i="32"/>
  <c r="AH6" i="32"/>
  <c r="AH5" i="32"/>
  <c r="AH4" i="32"/>
  <c r="F228" i="34"/>
  <c r="F22" i="34"/>
  <c r="AP211" i="32" l="1"/>
  <c r="T270" i="32"/>
  <c r="U270" i="32" s="1" a="1"/>
  <c r="U270" i="32" s="1"/>
  <c r="AP207" i="32"/>
  <c r="AO208" i="32"/>
  <c r="AP208" i="32"/>
  <c r="AO262" i="32"/>
  <c r="AP209" i="32"/>
  <c r="AO205" i="32"/>
  <c r="AO269" i="32"/>
  <c r="AO268" i="32"/>
  <c r="AO270" i="32"/>
  <c r="AO261" i="32"/>
  <c r="T258" i="32"/>
  <c r="U258" i="32" s="1" a="1"/>
  <c r="U258" i="32" s="1"/>
  <c r="AO258" i="32"/>
  <c r="AO255" i="32"/>
  <c r="T255" i="32"/>
  <c r="U255" i="32" s="1" a="1"/>
  <c r="U255" i="32" s="1"/>
  <c r="AO209" i="32"/>
  <c r="AO211" i="32"/>
  <c r="T205" i="32"/>
  <c r="U205" i="32" s="1" a="1"/>
  <c r="U205" i="32" s="1"/>
  <c r="AO210" i="32"/>
  <c r="T206" i="32"/>
  <c r="U206" i="32" s="1" a="1"/>
  <c r="U206" i="32" s="1"/>
  <c r="AP210" i="32"/>
  <c r="T207" i="32"/>
  <c r="U207" i="32" s="1" a="1"/>
  <c r="U207" i="32" s="1"/>
  <c r="AO206" i="32"/>
  <c r="AO271" i="32"/>
  <c r="AP271" i="32"/>
  <c r="T274" i="32"/>
  <c r="U274" i="32" s="1" a="1"/>
  <c r="U274" i="32" s="1"/>
  <c r="AO275" i="32"/>
  <c r="AP275" i="32"/>
  <c r="T269" i="32"/>
  <c r="U269" i="32" s="1" a="1"/>
  <c r="U269" i="32" s="1"/>
  <c r="T273" i="32"/>
  <c r="U273" i="32" s="1" a="1"/>
  <c r="U273" i="32" s="1"/>
  <c r="AO274" i="32"/>
  <c r="AO273" i="32"/>
  <c r="T268" i="32"/>
  <c r="U268" i="32" s="1" a="1"/>
  <c r="U268" i="32" s="1"/>
  <c r="T272" i="32"/>
  <c r="U272" i="32" s="1" a="1"/>
  <c r="U272" i="32" s="1"/>
  <c r="AO272" i="32"/>
  <c r="T271" i="32"/>
  <c r="U271" i="32" s="1" a="1"/>
  <c r="U271" i="32" s="1"/>
  <c r="AO260" i="32"/>
  <c r="T262" i="32"/>
  <c r="U262" i="32" s="1" a="1"/>
  <c r="U262" i="32" s="1"/>
  <c r="AP263" i="32"/>
  <c r="T266" i="32"/>
  <c r="U266" i="32" s="1" a="1"/>
  <c r="U266" i="32" s="1"/>
  <c r="AO267" i="32"/>
  <c r="AP267" i="32"/>
  <c r="T261" i="32"/>
  <c r="U261" i="32" s="1" a="1"/>
  <c r="U261" i="32" s="1"/>
  <c r="T265" i="32"/>
  <c r="U265" i="32" s="1" a="1"/>
  <c r="U265" i="32" s="1"/>
  <c r="AO266" i="32"/>
  <c r="AP260" i="32"/>
  <c r="AO265" i="32"/>
  <c r="T264" i="32"/>
  <c r="U264" i="32" s="1" a="1"/>
  <c r="U264" i="32" s="1"/>
  <c r="AO264" i="32"/>
  <c r="T263" i="32"/>
  <c r="U263" i="32" s="1" a="1"/>
  <c r="U263" i="32" s="1"/>
  <c r="AO256" i="32"/>
  <c r="T256" i="32"/>
  <c r="U256" i="32" s="1" a="1"/>
  <c r="U256" i="32" s="1"/>
  <c r="T254" i="32"/>
  <c r="U254" i="32" s="1" a="1"/>
  <c r="U254" i="32" s="1"/>
  <c r="AO253" i="32"/>
  <c r="AO252" i="32"/>
  <c r="AO254" i="32"/>
  <c r="AO259" i="32"/>
  <c r="AP259" i="32"/>
  <c r="AP252" i="32"/>
  <c r="T253" i="32"/>
  <c r="U253" i="32" s="1" a="1"/>
  <c r="U253" i="32" s="1"/>
  <c r="T257" i="32"/>
  <c r="U257" i="32" s="1" a="1"/>
  <c r="U257" i="32" s="1"/>
  <c r="AO257" i="32"/>
  <c r="AO251" i="32"/>
  <c r="AP251" i="32"/>
  <c r="AO250" i="32"/>
  <c r="AP250" i="32"/>
  <c r="AP249" i="32"/>
  <c r="AO249" i="32"/>
  <c r="AP248" i="32"/>
  <c r="T248" i="32"/>
  <c r="U248" i="32" s="1" a="1"/>
  <c r="U248" i="32" s="1"/>
  <c r="AO248" i="32"/>
  <c r="AP247" i="32"/>
  <c r="AO247" i="32"/>
  <c r="AP246" i="32"/>
  <c r="AO246" i="32"/>
  <c r="AP245" i="32"/>
  <c r="AO245" i="32"/>
  <c r="AO244" i="32"/>
  <c r="AP244" i="32"/>
  <c r="AP243" i="32"/>
  <c r="AO243" i="32"/>
  <c r="AO242" i="32"/>
  <c r="AP242" i="32"/>
  <c r="AP241" i="32"/>
  <c r="AO241" i="32"/>
  <c r="AO240" i="32"/>
  <c r="AP240" i="32"/>
  <c r="AP239" i="32"/>
  <c r="AO239" i="32"/>
  <c r="AP238" i="32"/>
  <c r="AO238" i="32"/>
  <c r="AO237" i="32"/>
  <c r="AP237" i="32"/>
  <c r="AO236" i="32"/>
  <c r="AP236" i="32"/>
  <c r="AP235" i="32"/>
  <c r="AO235" i="32"/>
  <c r="AO234" i="32"/>
  <c r="AP234" i="32"/>
  <c r="T234" i="32"/>
  <c r="U234" i="32" s="1" a="1"/>
  <c r="U234" i="32" s="1"/>
  <c r="AP233" i="32"/>
  <c r="AO233" i="32"/>
  <c r="AP232" i="32"/>
  <c r="AO232" i="32"/>
  <c r="AP231" i="32"/>
  <c r="AO231" i="32"/>
  <c r="AP230" i="32"/>
  <c r="AO230" i="32"/>
  <c r="AO229" i="32"/>
  <c r="AP229" i="32"/>
  <c r="AO228" i="32"/>
  <c r="AP228" i="32"/>
  <c r="AP227" i="32"/>
  <c r="U227" i="32" a="1"/>
  <c r="U227" i="32" s="1"/>
  <c r="AO227" i="32"/>
  <c r="AP226" i="32"/>
  <c r="AO226" i="32"/>
  <c r="AP225" i="32"/>
  <c r="AO225" i="32"/>
  <c r="AO224" i="32"/>
  <c r="AP224" i="32"/>
  <c r="AO223" i="32"/>
  <c r="AP223" i="32"/>
  <c r="AO222" i="32"/>
  <c r="AP222" i="32"/>
  <c r="AO221" i="32"/>
  <c r="AP221" i="32"/>
  <c r="AP220" i="32"/>
  <c r="AO220" i="32"/>
  <c r="AP219" i="32"/>
  <c r="AO219" i="32"/>
  <c r="AP218" i="32"/>
  <c r="AO218" i="32"/>
  <c r="AO217" i="32"/>
  <c r="AP217" i="32"/>
  <c r="AP216" i="32"/>
  <c r="AO216" i="32"/>
  <c r="AO215" i="32"/>
  <c r="AP215" i="32"/>
  <c r="AP214" i="32"/>
  <c r="AO214" i="32"/>
  <c r="AP213" i="32"/>
  <c r="AO213" i="32"/>
  <c r="AO212" i="32"/>
  <c r="AP212" i="32"/>
  <c r="AP204" i="32"/>
  <c r="AO204" i="32"/>
  <c r="AV209" i="32"/>
  <c r="AU209" i="32"/>
  <c r="AV208" i="32"/>
  <c r="AU208" i="32"/>
  <c r="AV207" i="32"/>
  <c r="AU207" i="32"/>
  <c r="AV206" i="32"/>
  <c r="AU206" i="32"/>
  <c r="AV205" i="32"/>
  <c r="AU205" i="32"/>
  <c r="K27" i="29" l="1"/>
  <c r="K209" i="29"/>
  <c r="K208" i="29"/>
  <c r="K207" i="29"/>
  <c r="K206" i="29"/>
  <c r="K205" i="29"/>
  <c r="K204" i="29"/>
  <c r="K203" i="29"/>
  <c r="K202" i="29"/>
  <c r="K201" i="29"/>
  <c r="K200" i="29"/>
  <c r="K199" i="29"/>
  <c r="K198" i="29"/>
  <c r="K197" i="29"/>
  <c r="K196" i="29"/>
  <c r="K195" i="29"/>
  <c r="K194" i="29"/>
  <c r="K193" i="29"/>
  <c r="K192" i="29"/>
  <c r="K191" i="29"/>
  <c r="K190" i="29"/>
  <c r="K189" i="29"/>
  <c r="K188" i="29"/>
  <c r="K187" i="29"/>
  <c r="K186" i="29"/>
  <c r="K185" i="29"/>
  <c r="K184" i="29"/>
  <c r="K183" i="29"/>
  <c r="K182" i="29"/>
  <c r="K181" i="29"/>
  <c r="K180" i="29"/>
  <c r="K179" i="29"/>
  <c r="K178" i="29"/>
  <c r="K177" i="29"/>
  <c r="K176" i="29"/>
  <c r="K175" i="29"/>
  <c r="K174" i="29"/>
  <c r="K173" i="29"/>
  <c r="K172" i="29"/>
  <c r="K171" i="29"/>
  <c r="K170" i="29"/>
  <c r="K169" i="29"/>
  <c r="K168" i="29"/>
  <c r="K167" i="29"/>
  <c r="K166" i="29"/>
  <c r="K165" i="29"/>
  <c r="K164" i="29"/>
  <c r="K163" i="29"/>
  <c r="K162" i="29"/>
  <c r="K161" i="29"/>
  <c r="K160" i="29"/>
  <c r="K159" i="29"/>
  <c r="K158" i="29"/>
  <c r="K157" i="29"/>
  <c r="K156" i="29"/>
  <c r="K155" i="29"/>
  <c r="K154" i="29"/>
  <c r="K153" i="29"/>
  <c r="K152" i="29"/>
  <c r="K151" i="29"/>
  <c r="K150" i="29"/>
  <c r="L46" i="32" s="1"/>
  <c r="K149" i="29"/>
  <c r="K148" i="29"/>
  <c r="K147" i="29"/>
  <c r="K146" i="29"/>
  <c r="K145" i="29"/>
  <c r="K144" i="29"/>
  <c r="K143" i="29"/>
  <c r="K141" i="29"/>
  <c r="K140" i="29"/>
  <c r="K139" i="29"/>
  <c r="K138" i="29"/>
  <c r="K135" i="29"/>
  <c r="K134" i="29"/>
  <c r="K132" i="29"/>
  <c r="L23" i="32" s="1"/>
  <c r="K128" i="29"/>
  <c r="K127" i="29"/>
  <c r="K126" i="29"/>
  <c r="K125" i="29"/>
  <c r="K124" i="29"/>
  <c r="K123" i="29"/>
  <c r="K122" i="29"/>
  <c r="K119" i="29"/>
  <c r="K118" i="29"/>
  <c r="K117" i="29"/>
  <c r="K116" i="29"/>
  <c r="K115" i="29"/>
  <c r="K114" i="29"/>
  <c r="K113" i="29"/>
  <c r="K112" i="29"/>
  <c r="K111" i="29"/>
  <c r="K110" i="29"/>
  <c r="K109" i="29"/>
  <c r="K108" i="29"/>
  <c r="K107" i="29"/>
  <c r="K106" i="29"/>
  <c r="K105" i="29"/>
  <c r="K104" i="29"/>
  <c r="K103" i="29"/>
  <c r="K102" i="29"/>
  <c r="K101" i="29"/>
  <c r="K100" i="29"/>
  <c r="K99" i="29"/>
  <c r="K98" i="29"/>
  <c r="K97" i="29"/>
  <c r="K96" i="29"/>
  <c r="K95" i="29"/>
  <c r="K94" i="29"/>
  <c r="K93" i="29"/>
  <c r="K92" i="29"/>
  <c r="K91" i="29"/>
  <c r="K90" i="29"/>
  <c r="K89" i="29"/>
  <c r="K88" i="29"/>
  <c r="K87" i="29"/>
  <c r="K86" i="29"/>
  <c r="K85" i="29"/>
  <c r="K84" i="29"/>
  <c r="K83" i="29"/>
  <c r="K82" i="29"/>
  <c r="K81" i="29"/>
  <c r="K80" i="29"/>
  <c r="K79" i="29"/>
  <c r="K78" i="29"/>
  <c r="K77" i="29"/>
  <c r="K76" i="29"/>
  <c r="K75" i="29"/>
  <c r="K74" i="29"/>
  <c r="K73" i="29"/>
  <c r="K72" i="29"/>
  <c r="K71" i="29"/>
  <c r="K70" i="29"/>
  <c r="K69" i="29"/>
  <c r="K68" i="29"/>
  <c r="K67" i="29"/>
  <c r="K66" i="29"/>
  <c r="K65" i="29"/>
  <c r="K64" i="29"/>
  <c r="K63" i="29"/>
  <c r="K62" i="29"/>
  <c r="K61" i="29"/>
  <c r="K60" i="29"/>
  <c r="K59" i="29"/>
  <c r="K58" i="29"/>
  <c r="K57" i="29"/>
  <c r="K56" i="29"/>
  <c r="K55" i="29"/>
  <c r="K54" i="29"/>
  <c r="K53" i="29"/>
  <c r="K52" i="29"/>
  <c r="K51" i="29"/>
  <c r="K50" i="29"/>
  <c r="K49" i="29"/>
  <c r="K48" i="29"/>
  <c r="K47" i="29"/>
  <c r="K46" i="29"/>
  <c r="K45" i="29"/>
  <c r="K44" i="29"/>
  <c r="K43" i="29"/>
  <c r="K42" i="29"/>
  <c r="K41" i="29"/>
  <c r="K40" i="29"/>
  <c r="K39" i="29"/>
  <c r="K38" i="29"/>
  <c r="L33" i="32" s="1"/>
  <c r="K37" i="29"/>
  <c r="L13" i="32" s="1"/>
  <c r="K36" i="29"/>
  <c r="K35" i="29"/>
  <c r="K34" i="29"/>
  <c r="K33" i="29"/>
  <c r="K32" i="29"/>
  <c r="K31" i="29"/>
  <c r="K30" i="29"/>
  <c r="K29" i="29"/>
  <c r="K28" i="29"/>
  <c r="K23" i="29"/>
  <c r="K19" i="29"/>
  <c r="K17" i="29"/>
  <c r="K14" i="29"/>
  <c r="K12" i="29"/>
  <c r="K11" i="29"/>
  <c r="K10" i="29"/>
  <c r="L127" i="32" s="1"/>
  <c r="K7" i="29"/>
  <c r="K6" i="29"/>
  <c r="K5" i="29"/>
  <c r="K4" i="29"/>
  <c r="K142" i="29"/>
  <c r="J4" i="32"/>
  <c r="J203" i="32"/>
  <c r="J202" i="32"/>
  <c r="J201" i="32"/>
  <c r="J200" i="32"/>
  <c r="J199" i="32"/>
  <c r="J198" i="32"/>
  <c r="J197" i="32"/>
  <c r="J196" i="32"/>
  <c r="J195" i="32"/>
  <c r="J194" i="32"/>
  <c r="J193" i="32"/>
  <c r="J192" i="32"/>
  <c r="J191" i="32"/>
  <c r="J190" i="32"/>
  <c r="J189" i="32"/>
  <c r="J188" i="32"/>
  <c r="J187" i="32"/>
  <c r="J186" i="32"/>
  <c r="J185" i="32"/>
  <c r="J184" i="32"/>
  <c r="J183" i="32"/>
  <c r="J182" i="32"/>
  <c r="J181" i="32"/>
  <c r="J180" i="32"/>
  <c r="J179" i="32"/>
  <c r="J178" i="32"/>
  <c r="J177" i="32"/>
  <c r="J176" i="32"/>
  <c r="J175" i="32"/>
  <c r="J174" i="32"/>
  <c r="J173" i="32"/>
  <c r="J172" i="32"/>
  <c r="J171" i="32"/>
  <c r="J170" i="32"/>
  <c r="J169" i="32"/>
  <c r="J168" i="32"/>
  <c r="J167" i="32"/>
  <c r="J166" i="32"/>
  <c r="J165" i="32"/>
  <c r="J164" i="32"/>
  <c r="J163" i="32"/>
  <c r="J162" i="32"/>
  <c r="J161" i="32"/>
  <c r="J160" i="32"/>
  <c r="J159" i="32"/>
  <c r="J158" i="32"/>
  <c r="J157" i="32"/>
  <c r="J156" i="32"/>
  <c r="J155" i="32"/>
  <c r="J154" i="32"/>
  <c r="J153" i="32"/>
  <c r="J152" i="32"/>
  <c r="J151" i="32"/>
  <c r="J150" i="32"/>
  <c r="J149" i="32"/>
  <c r="J148" i="32"/>
  <c r="J147" i="32"/>
  <c r="J146" i="32"/>
  <c r="J145" i="32"/>
  <c r="J144" i="32"/>
  <c r="J143" i="32"/>
  <c r="J142" i="32"/>
  <c r="J141" i="32"/>
  <c r="J140" i="32"/>
  <c r="J139" i="32"/>
  <c r="J138" i="32"/>
  <c r="J137" i="32"/>
  <c r="J136" i="32"/>
  <c r="J135" i="32"/>
  <c r="J134" i="32"/>
  <c r="J133" i="32"/>
  <c r="J132" i="32"/>
  <c r="J131" i="32"/>
  <c r="J130" i="32"/>
  <c r="J129" i="32"/>
  <c r="J128" i="32"/>
  <c r="J127" i="32"/>
  <c r="J126" i="32"/>
  <c r="J125" i="32"/>
  <c r="J124" i="32"/>
  <c r="J123" i="32"/>
  <c r="J122" i="32"/>
  <c r="J121" i="32"/>
  <c r="J120" i="32"/>
  <c r="J119" i="32"/>
  <c r="J118" i="32"/>
  <c r="J117" i="32"/>
  <c r="J116" i="32"/>
  <c r="J115" i="32"/>
  <c r="J114" i="32"/>
  <c r="J113" i="32"/>
  <c r="J112" i="32"/>
  <c r="J111" i="32"/>
  <c r="J110" i="32"/>
  <c r="J109" i="32"/>
  <c r="J108" i="32"/>
  <c r="J107" i="32"/>
  <c r="J106" i="32"/>
  <c r="J105" i="32"/>
  <c r="J104" i="32"/>
  <c r="J103" i="32"/>
  <c r="J102" i="32"/>
  <c r="J101" i="32"/>
  <c r="J100" i="32"/>
  <c r="J99" i="32"/>
  <c r="J98" i="32"/>
  <c r="J97" i="32"/>
  <c r="J96" i="32"/>
  <c r="J95" i="32"/>
  <c r="J94" i="32"/>
  <c r="J93" i="32"/>
  <c r="J92" i="32"/>
  <c r="J91" i="32"/>
  <c r="J90" i="32"/>
  <c r="J89" i="32"/>
  <c r="J88" i="32"/>
  <c r="J87" i="32"/>
  <c r="J86" i="32"/>
  <c r="J85" i="32"/>
  <c r="J84" i="32"/>
  <c r="J83" i="32"/>
  <c r="J82" i="32"/>
  <c r="J81" i="32"/>
  <c r="J80" i="32"/>
  <c r="J79" i="32"/>
  <c r="J78" i="32"/>
  <c r="J77" i="32"/>
  <c r="J76" i="32"/>
  <c r="J75" i="32"/>
  <c r="J74" i="32"/>
  <c r="J73" i="32"/>
  <c r="J72" i="32"/>
  <c r="J71" i="32"/>
  <c r="J70" i="32"/>
  <c r="J69" i="32"/>
  <c r="J68" i="32"/>
  <c r="J67" i="32"/>
  <c r="J66" i="32"/>
  <c r="J65" i="32"/>
  <c r="J64" i="32"/>
  <c r="J63" i="32"/>
  <c r="J62" i="32"/>
  <c r="J61" i="32"/>
  <c r="J60" i="32"/>
  <c r="J59" i="32"/>
  <c r="J58" i="32"/>
  <c r="J57" i="32"/>
  <c r="J56" i="32"/>
  <c r="J55" i="32"/>
  <c r="J54" i="32"/>
  <c r="J53" i="32"/>
  <c r="J52" i="32"/>
  <c r="J51" i="32"/>
  <c r="J50" i="32"/>
  <c r="J49" i="32"/>
  <c r="J48" i="32"/>
  <c r="J47" i="32"/>
  <c r="J46" i="32"/>
  <c r="J45" i="32"/>
  <c r="J44" i="32"/>
  <c r="J43" i="32"/>
  <c r="J42" i="32"/>
  <c r="J41" i="32"/>
  <c r="J40" i="32"/>
  <c r="J39" i="32"/>
  <c r="J38" i="32"/>
  <c r="J37" i="32"/>
  <c r="J36" i="32"/>
  <c r="J35" i="32"/>
  <c r="J34" i="32"/>
  <c r="J33" i="32"/>
  <c r="J32" i="32"/>
  <c r="J31" i="32"/>
  <c r="J30" i="32"/>
  <c r="J29" i="32"/>
  <c r="J28" i="32"/>
  <c r="J27" i="32"/>
  <c r="J26" i="32"/>
  <c r="J25" i="32"/>
  <c r="J24" i="32"/>
  <c r="J23" i="32"/>
  <c r="J22" i="32"/>
  <c r="J21" i="32"/>
  <c r="J20" i="32"/>
  <c r="J19" i="32"/>
  <c r="J18" i="32"/>
  <c r="J17" i="32"/>
  <c r="J16" i="32"/>
  <c r="J15" i="32"/>
  <c r="J14" i="32"/>
  <c r="J13" i="32"/>
  <c r="J12" i="32"/>
  <c r="J9" i="32"/>
  <c r="J8" i="32"/>
  <c r="J7" i="32"/>
  <c r="J6" i="32"/>
  <c r="J5" i="32"/>
  <c r="L201" i="32"/>
  <c r="L200" i="32"/>
  <c r="L199" i="32"/>
  <c r="L185" i="32"/>
  <c r="L184" i="32"/>
  <c r="L183" i="32"/>
  <c r="L121" i="32"/>
  <c r="L120" i="32"/>
  <c r="L119" i="32"/>
  <c r="L102" i="32"/>
  <c r="L101" i="32"/>
  <c r="L89" i="32"/>
  <c r="L88" i="32"/>
  <c r="L87" i="32"/>
  <c r="L32" i="32"/>
  <c r="L31" i="32"/>
  <c r="L30" i="32"/>
  <c r="L29" i="32"/>
  <c r="L19" i="32"/>
  <c r="L14" i="32"/>
  <c r="L126" i="32" l="1"/>
  <c r="L125" i="32"/>
  <c r="L116" i="32"/>
  <c r="L94" i="32"/>
  <c r="L92" i="32"/>
  <c r="L85" i="32"/>
  <c r="L78" i="32"/>
  <c r="L71" i="32"/>
  <c r="L69" i="32"/>
  <c r="L57" i="32"/>
  <c r="L37" i="32"/>
  <c r="L22" i="32"/>
  <c r="L24" i="32"/>
  <c r="L25" i="32"/>
  <c r="L196" i="32"/>
  <c r="L197" i="32"/>
  <c r="L180" i="32"/>
  <c r="L132" i="32"/>
  <c r="L198" i="32"/>
  <c r="L165" i="32"/>
  <c r="L164" i="32"/>
  <c r="L149" i="32"/>
  <c r="L140" i="32"/>
  <c r="L114" i="32"/>
  <c r="L115" i="32"/>
  <c r="L49" i="32"/>
  <c r="L48" i="32"/>
  <c r="L47" i="32"/>
  <c r="L7" i="32"/>
  <c r="L161" i="32"/>
  <c r="L159" i="32"/>
  <c r="L152" i="32"/>
  <c r="L135" i="32"/>
  <c r="L81" i="32"/>
  <c r="L54" i="32"/>
  <c r="L40" i="32"/>
  <c r="L17" i="32"/>
  <c r="L178" i="32"/>
  <c r="L179" i="32"/>
  <c r="L174" i="32"/>
  <c r="L155" i="32"/>
  <c r="L138" i="32"/>
  <c r="L106" i="32"/>
  <c r="L98" i="32"/>
  <c r="L66" i="32"/>
  <c r="L62" i="32"/>
  <c r="L59" i="32"/>
  <c r="L43" i="32"/>
  <c r="L27" i="32"/>
  <c r="L26" i="32"/>
  <c r="L107" i="32"/>
  <c r="L72" i="32"/>
  <c r="L95" i="32"/>
  <c r="L141" i="32"/>
  <c r="L171" i="32"/>
  <c r="L192" i="32"/>
  <c r="L5" i="32"/>
  <c r="L28" i="32"/>
  <c r="L50" i="32"/>
  <c r="L74" i="32"/>
  <c r="L97" i="32"/>
  <c r="L147" i="32"/>
  <c r="L173" i="32"/>
  <c r="L16" i="32"/>
  <c r="L56" i="32"/>
  <c r="L80" i="32"/>
  <c r="L100" i="32"/>
  <c r="L124" i="32"/>
  <c r="L150" i="32"/>
  <c r="L176" i="32"/>
  <c r="L20" i="32"/>
  <c r="L36" i="32"/>
  <c r="L60" i="32"/>
  <c r="L86" i="32"/>
  <c r="L104" i="32"/>
  <c r="L131" i="32"/>
  <c r="L156" i="32"/>
  <c r="L42" i="32"/>
  <c r="L68" i="32"/>
  <c r="L109" i="32"/>
  <c r="L137" i="32"/>
  <c r="L162" i="32"/>
  <c r="L188" i="32"/>
  <c r="L12" i="32"/>
  <c r="L38" i="32"/>
  <c r="L52" i="32"/>
  <c r="L64" i="32"/>
  <c r="L76" i="32"/>
  <c r="L90" i="32"/>
  <c r="L117" i="32"/>
  <c r="L133" i="32"/>
  <c r="L145" i="32"/>
  <c r="L157" i="32"/>
  <c r="L169" i="32"/>
  <c r="L181" i="32"/>
  <c r="L6" i="32"/>
  <c r="L110" i="32"/>
  <c r="L128" i="32"/>
  <c r="L153" i="32"/>
  <c r="L177" i="32"/>
  <c r="L193" i="32"/>
  <c r="L8" i="32"/>
  <c r="L143" i="32"/>
  <c r="L167" i="32"/>
  <c r="L9" i="32"/>
  <c r="L51" i="32"/>
  <c r="L63" i="32"/>
  <c r="L75" i="32"/>
  <c r="L144" i="32"/>
  <c r="L168" i="32"/>
  <c r="L39" i="32"/>
  <c r="L53" i="32"/>
  <c r="L65" i="32"/>
  <c r="L77" i="32"/>
  <c r="L91" i="32"/>
  <c r="L103" i="32"/>
  <c r="L118" i="32"/>
  <c r="L134" i="32"/>
  <c r="L146" i="32"/>
  <c r="L158" i="32"/>
  <c r="L170" i="32"/>
  <c r="L182" i="32"/>
  <c r="L15" i="32"/>
  <c r="L41" i="32"/>
  <c r="L55" i="32"/>
  <c r="L67" i="32"/>
  <c r="L79" i="32"/>
  <c r="L93" i="32"/>
  <c r="L105" i="32"/>
  <c r="L136" i="32"/>
  <c r="L148" i="32"/>
  <c r="L160" i="32"/>
  <c r="L172" i="32"/>
  <c r="L4" i="32"/>
  <c r="L18" i="32"/>
  <c r="L44" i="32"/>
  <c r="L58" i="32"/>
  <c r="L70" i="32"/>
  <c r="L84" i="32"/>
  <c r="L96" i="32"/>
  <c r="L108" i="32"/>
  <c r="L139" i="32"/>
  <c r="L151" i="32"/>
  <c r="L163" i="32"/>
  <c r="L175" i="32"/>
  <c r="L191" i="32"/>
  <c r="L21" i="32"/>
  <c r="L61" i="32"/>
  <c r="L73" i="32"/>
  <c r="L99" i="32"/>
  <c r="L130" i="32"/>
  <c r="L142" i="32"/>
  <c r="L154" i="32"/>
  <c r="L166" i="32"/>
  <c r="L45" i="32"/>
  <c r="L129" i="32"/>
  <c r="L34" i="32"/>
  <c r="L82" i="32"/>
  <c r="L202" i="32"/>
  <c r="L35" i="32"/>
  <c r="L83" i="32"/>
  <c r="L203" i="32"/>
  <c r="L122" i="32"/>
  <c r="L194" i="32"/>
  <c r="L111" i="32"/>
  <c r="L123" i="32"/>
  <c r="L195" i="32"/>
  <c r="L112" i="32"/>
  <c r="L113" i="32"/>
  <c r="I17" i="29"/>
  <c r="I16" i="29"/>
  <c r="I15" i="29"/>
  <c r="I12" i="29" l="1"/>
  <c r="I11" i="29"/>
  <c r="I10" i="29"/>
  <c r="Q203" i="32" l="1" a="1"/>
  <c r="Q203" i="32" s="1"/>
  <c r="Q202" i="32" a="1"/>
  <c r="Q202" i="32" s="1"/>
  <c r="Q201" i="32" a="1"/>
  <c r="Q201" i="32" s="1"/>
  <c r="Q200" i="32" a="1"/>
  <c r="Q200" i="32" s="1"/>
  <c r="Q199" i="32" a="1"/>
  <c r="Q199" i="32" s="1"/>
  <c r="Q198" i="32" a="1"/>
  <c r="Q198" i="32" s="1"/>
  <c r="Q197" i="32" a="1"/>
  <c r="Q197" i="32" s="1"/>
  <c r="Q196" i="32" a="1"/>
  <c r="Q196" i="32" s="1"/>
  <c r="Q195" i="32" a="1"/>
  <c r="Q195" i="32" s="1"/>
  <c r="Q194" i="32" a="1"/>
  <c r="Q194" i="32" s="1"/>
  <c r="Q193" i="32" a="1"/>
  <c r="Q193" i="32" s="1"/>
  <c r="Q192" i="32" a="1"/>
  <c r="Q192" i="32" s="1"/>
  <c r="Q191" i="32" a="1"/>
  <c r="Q191" i="32" s="1"/>
  <c r="Q188" i="32" a="1"/>
  <c r="Q188" i="32" s="1"/>
  <c r="Q187" i="32" a="1"/>
  <c r="Q187" i="32" s="1"/>
  <c r="Q186" i="32" a="1"/>
  <c r="Q186" i="32" s="1"/>
  <c r="Q185" i="32" a="1"/>
  <c r="Q185" i="32" s="1"/>
  <c r="Q184" i="32" a="1"/>
  <c r="Q184" i="32" s="1"/>
  <c r="Q183" i="32" a="1"/>
  <c r="Q183" i="32" s="1"/>
  <c r="Q182" i="32" a="1"/>
  <c r="Q182" i="32" s="1"/>
  <c r="Q181" i="32" a="1"/>
  <c r="Q181" i="32" s="1"/>
  <c r="Q180" i="32" a="1"/>
  <c r="Q180" i="32" s="1"/>
  <c r="Q179" i="32" a="1"/>
  <c r="Q179" i="32" s="1"/>
  <c r="Q178" i="32" a="1"/>
  <c r="Q178" i="32" s="1"/>
  <c r="Q177" i="32" a="1"/>
  <c r="Q177" i="32" s="1"/>
  <c r="Q176" i="32" a="1"/>
  <c r="Q176" i="32" s="1"/>
  <c r="Q175" i="32" a="1"/>
  <c r="Q175" i="32" s="1"/>
  <c r="Q172" i="32" a="1"/>
  <c r="Q172" i="32" s="1"/>
  <c r="Q171" i="32" a="1"/>
  <c r="Q171" i="32" s="1"/>
  <c r="Q170" i="32" a="1"/>
  <c r="Q170" i="32" s="1"/>
  <c r="Q169" i="32" a="1"/>
  <c r="Q169" i="32" s="1"/>
  <c r="Q168" i="32" a="1"/>
  <c r="Q168" i="32" s="1"/>
  <c r="Q167" i="32" a="1"/>
  <c r="Q167" i="32" s="1"/>
  <c r="Q166" i="32" a="1"/>
  <c r="Q166" i="32" s="1"/>
  <c r="Q165" i="32" a="1"/>
  <c r="Q165" i="32" s="1"/>
  <c r="Q164" i="32" a="1"/>
  <c r="Q164" i="32" s="1"/>
  <c r="Q163" i="32" a="1"/>
  <c r="Q163" i="32" s="1"/>
  <c r="Q162" i="32" a="1"/>
  <c r="Q162" i="32" s="1"/>
  <c r="Q161" i="32" a="1"/>
  <c r="Q161" i="32" s="1"/>
  <c r="Q160" i="32" a="1"/>
  <c r="Q160" i="32" s="1"/>
  <c r="Q159" i="32" a="1"/>
  <c r="Q159" i="32" s="1"/>
  <c r="Q158" i="32" a="1"/>
  <c r="Q158" i="32" s="1"/>
  <c r="Q157" i="32" a="1"/>
  <c r="Q157" i="32" s="1"/>
  <c r="Q156" i="32" a="1"/>
  <c r="Q156" i="32" s="1"/>
  <c r="Q155" i="32" a="1"/>
  <c r="Q155" i="32" s="1"/>
  <c r="Q154" i="32" a="1"/>
  <c r="Q154" i="32" s="1"/>
  <c r="Q153" i="32" a="1"/>
  <c r="Q153" i="32" s="1"/>
  <c r="Q152" i="32" a="1"/>
  <c r="Q152" i="32" s="1"/>
  <c r="Q151" i="32" a="1"/>
  <c r="Q151" i="32" s="1"/>
  <c r="Q150" i="32" a="1"/>
  <c r="Q150" i="32" s="1"/>
  <c r="Q149" i="32" a="1"/>
  <c r="Q149" i="32" s="1"/>
  <c r="Q148" i="32" a="1"/>
  <c r="Q148" i="32" s="1"/>
  <c r="Q147" i="32" a="1"/>
  <c r="Q147" i="32" s="1"/>
  <c r="Q146" i="32" a="1"/>
  <c r="Q146" i="32" s="1"/>
  <c r="Q145" i="32" a="1"/>
  <c r="Q145" i="32" s="1"/>
  <c r="Q144" i="32" a="1"/>
  <c r="Q144" i="32" s="1"/>
  <c r="Q143" i="32" a="1"/>
  <c r="Q143" i="32" s="1"/>
  <c r="Q140" i="32" a="1"/>
  <c r="Q140" i="32" s="1"/>
  <c r="Q139" i="32" a="1"/>
  <c r="Q139" i="32" s="1"/>
  <c r="Q138" i="32" a="1"/>
  <c r="Q138" i="32" s="1"/>
  <c r="Q137" i="32" a="1"/>
  <c r="Q137" i="32" s="1"/>
  <c r="Q136" i="32" a="1"/>
  <c r="Q136" i="32" s="1"/>
  <c r="Q135" i="32" a="1"/>
  <c r="Q135" i="32" s="1"/>
  <c r="Q134" i="32" a="1"/>
  <c r="Q134" i="32" s="1"/>
  <c r="Q133" i="32" a="1"/>
  <c r="Q133" i="32" s="1"/>
  <c r="Q132" i="32" a="1"/>
  <c r="Q132" i="32" s="1"/>
  <c r="Q131" i="32" a="1"/>
  <c r="Q131" i="32" s="1"/>
  <c r="Q130" i="32" a="1"/>
  <c r="Q130" i="32" s="1"/>
  <c r="Q124" i="32" a="1"/>
  <c r="Q124" i="32" s="1"/>
  <c r="Q123" i="32" a="1"/>
  <c r="Q123" i="32" s="1"/>
  <c r="Q122" i="32" a="1"/>
  <c r="Q122" i="32" s="1"/>
  <c r="Q121" i="32" a="1"/>
  <c r="Q121" i="32" s="1"/>
  <c r="Q120" i="32" a="1"/>
  <c r="Q120" i="32" s="1"/>
  <c r="Q119" i="32" a="1"/>
  <c r="Q119" i="32" s="1"/>
  <c r="Q116" i="32" a="1"/>
  <c r="Q116" i="32" s="1"/>
  <c r="Q115" i="32" a="1"/>
  <c r="Q115" i="32" s="1"/>
  <c r="Q114" i="32" a="1"/>
  <c r="Q114" i="32" s="1"/>
  <c r="Q110" i="32" a="1"/>
  <c r="Q110" i="32" s="1"/>
  <c r="Q109" i="32" a="1"/>
  <c r="Q109" i="32" s="1"/>
  <c r="Q108" i="32" a="1"/>
  <c r="Q108" i="32" s="1"/>
  <c r="Q107" i="32" a="1"/>
  <c r="Q107" i="32" s="1"/>
  <c r="Q106" i="32" a="1"/>
  <c r="Q106" i="32" s="1"/>
  <c r="Q105" i="32" a="1"/>
  <c r="Q105" i="32" s="1"/>
  <c r="Q104" i="32" a="1"/>
  <c r="Q104" i="32" s="1"/>
  <c r="Q103" i="32" a="1"/>
  <c r="Q103" i="32" s="1"/>
  <c r="Q102" i="32" a="1"/>
  <c r="Q102" i="32" s="1"/>
  <c r="Q101" i="32" a="1"/>
  <c r="Q101" i="32" s="1"/>
  <c r="Q100" i="32" a="1"/>
  <c r="Q100" i="32" s="1"/>
  <c r="Q99" i="32" a="1"/>
  <c r="Q99" i="32" s="1"/>
  <c r="Q98" i="32" a="1"/>
  <c r="Q98" i="32" s="1"/>
  <c r="Q97" i="32" a="1"/>
  <c r="Q97" i="32" s="1"/>
  <c r="Q96" i="32" a="1"/>
  <c r="Q96" i="32" s="1"/>
  <c r="Q95" i="32" a="1"/>
  <c r="Q95" i="32" s="1"/>
  <c r="Q92" i="32" a="1"/>
  <c r="Q92" i="32" s="1"/>
  <c r="Q91" i="32" a="1"/>
  <c r="Q91" i="32" s="1"/>
  <c r="Q90" i="32" a="1"/>
  <c r="Q90" i="32" s="1"/>
  <c r="Q89" i="32" a="1"/>
  <c r="Q89" i="32" s="1"/>
  <c r="Q88" i="32" a="1"/>
  <c r="Q88" i="32" s="1"/>
  <c r="Q87" i="32" a="1"/>
  <c r="Q87" i="32" s="1"/>
  <c r="Q86" i="32" a="1"/>
  <c r="Q86" i="32" s="1"/>
  <c r="Q85" i="32" a="1"/>
  <c r="Q85" i="32" s="1"/>
  <c r="Q84" i="32" a="1"/>
  <c r="Q84" i="32" s="1"/>
  <c r="Q83" i="32" a="1"/>
  <c r="Q83" i="32" s="1"/>
  <c r="Q82" i="32" a="1"/>
  <c r="Q82" i="32" s="1"/>
  <c r="Q81" i="32" a="1"/>
  <c r="Q81" i="32" s="1"/>
  <c r="Q80" i="32" a="1"/>
  <c r="Q80" i="32" s="1"/>
  <c r="Q79" i="32" a="1"/>
  <c r="Q79" i="32" s="1"/>
  <c r="Q78" i="32" a="1"/>
  <c r="Q78" i="32" s="1"/>
  <c r="Q77" i="32" a="1"/>
  <c r="Q77" i="32" s="1"/>
  <c r="Q76" i="32" a="1"/>
  <c r="Q76" i="32" s="1"/>
  <c r="Q75" i="32" a="1"/>
  <c r="Q75" i="32" s="1"/>
  <c r="Q74" i="32" a="1"/>
  <c r="Q74" i="32" s="1"/>
  <c r="Q73" i="32" a="1"/>
  <c r="Q73" i="32" s="1"/>
  <c r="Q72" i="32" a="1"/>
  <c r="Q72" i="32" s="1"/>
  <c r="Q71" i="32" a="1"/>
  <c r="Q71" i="32" s="1"/>
  <c r="Q70" i="32" a="1"/>
  <c r="Q70" i="32" s="1"/>
  <c r="Q69" i="32" a="1"/>
  <c r="Q69" i="32" s="1"/>
  <c r="Q68" i="32" a="1"/>
  <c r="Q68" i="32" s="1"/>
  <c r="Q67" i="32" a="1"/>
  <c r="Q67" i="32" s="1"/>
  <c r="Q66" i="32" a="1"/>
  <c r="Q66" i="32" s="1"/>
  <c r="Q65" i="32" a="1"/>
  <c r="Q65" i="32" s="1"/>
  <c r="Q64" i="32" a="1"/>
  <c r="Q64" i="32" s="1"/>
  <c r="Q63" i="32" a="1"/>
  <c r="Q63" i="32" s="1"/>
  <c r="Q60" i="32" a="1"/>
  <c r="Q60" i="32" s="1"/>
  <c r="Q59" i="32" a="1"/>
  <c r="Q59" i="32" s="1"/>
  <c r="Q58" i="32" a="1"/>
  <c r="Q58" i="32" s="1"/>
  <c r="Q57" i="32" a="1"/>
  <c r="Q57" i="32" s="1"/>
  <c r="Q56" i="32" a="1"/>
  <c r="Q56" i="32" s="1"/>
  <c r="Q55" i="32" a="1"/>
  <c r="Q55" i="32" s="1"/>
  <c r="Q54" i="32" a="1"/>
  <c r="Q54" i="32" s="1"/>
  <c r="Q53" i="32" a="1"/>
  <c r="Q53" i="32" s="1"/>
  <c r="Q52" i="32" a="1"/>
  <c r="Q52" i="32" s="1"/>
  <c r="Q51" i="32" a="1"/>
  <c r="Q51" i="32" s="1"/>
  <c r="Q50" i="32" a="1"/>
  <c r="Q50" i="32" s="1"/>
  <c r="Q49" i="32" a="1"/>
  <c r="Q49" i="32" s="1"/>
  <c r="Q48" i="32" a="1"/>
  <c r="Q48" i="32" s="1"/>
  <c r="Q47" i="32" a="1"/>
  <c r="Q47" i="32" s="1"/>
  <c r="Q46" i="32" a="1"/>
  <c r="Q46" i="32" s="1"/>
  <c r="Q45" i="32" a="1"/>
  <c r="Q45" i="32" s="1"/>
  <c r="Q44" i="32" a="1"/>
  <c r="Q44" i="32" s="1"/>
  <c r="Q43" i="32" a="1"/>
  <c r="Q43" i="32" s="1"/>
  <c r="Q42" i="32" a="1"/>
  <c r="Q42" i="32" s="1"/>
  <c r="Q41" i="32" a="1"/>
  <c r="Q41" i="32" s="1"/>
  <c r="Q40" i="32" a="1"/>
  <c r="Q40" i="32" s="1"/>
  <c r="Q39" i="32" a="1"/>
  <c r="Q39" i="32" s="1"/>
  <c r="Q38" i="32" a="1"/>
  <c r="Q38" i="32" s="1"/>
  <c r="Q37" i="32" a="1"/>
  <c r="Q37" i="32" s="1"/>
  <c r="Q36" i="32" a="1"/>
  <c r="Q36" i="32" s="1"/>
  <c r="Q35" i="32" a="1"/>
  <c r="Q35" i="32" s="1"/>
  <c r="Q34" i="32" a="1"/>
  <c r="Q34" i="32" s="1"/>
  <c r="Q28" i="32" a="1"/>
  <c r="Q28" i="32" s="1"/>
  <c r="Q27" i="32" a="1"/>
  <c r="Q27" i="32" s="1"/>
  <c r="Q26" i="32" a="1"/>
  <c r="Q26" i="32" s="1"/>
  <c r="Q25" i="32" a="1"/>
  <c r="Q25" i="32" s="1"/>
  <c r="Q24" i="32" a="1"/>
  <c r="Q24" i="32" s="1"/>
  <c r="Q23" i="32" a="1"/>
  <c r="Q23" i="32" s="1"/>
  <c r="Q22" i="32" a="1"/>
  <c r="Q22" i="32" s="1"/>
  <c r="Q21" i="32" a="1"/>
  <c r="Q21" i="32" s="1"/>
  <c r="Q20" i="32" a="1"/>
  <c r="Q20" i="32" s="1"/>
  <c r="Q19" i="32" a="1"/>
  <c r="Q19" i="32" s="1"/>
  <c r="Q18" i="32" a="1"/>
  <c r="Q18" i="32" s="1"/>
  <c r="Q17" i="32" a="1"/>
  <c r="Q17" i="32" s="1"/>
  <c r="Q16" i="32" a="1"/>
  <c r="Q16" i="32" s="1"/>
  <c r="Q15" i="32" a="1"/>
  <c r="Q15" i="32" s="1"/>
  <c r="Q12" i="32" a="1"/>
  <c r="Q12" i="32" s="1"/>
  <c r="Q11" i="32" a="1"/>
  <c r="Q11" i="32" s="1"/>
  <c r="Q10" i="32" a="1"/>
  <c r="Q10" i="32" s="1"/>
  <c r="Q9" i="32" a="1"/>
  <c r="Q9" i="32" s="1"/>
  <c r="Q8" i="32" a="1"/>
  <c r="Q8" i="32" s="1"/>
  <c r="Q7" i="32" a="1"/>
  <c r="Q7" i="32" s="1"/>
  <c r="Q6" i="32" a="1"/>
  <c r="Q6" i="32" s="1"/>
  <c r="Q5" i="32" a="1"/>
  <c r="Q5" i="32" s="1"/>
  <c r="Q4" i="32" a="1"/>
  <c r="Q4" i="32" s="1"/>
  <c r="F164" i="34" l="1"/>
  <c r="F163" i="34"/>
  <c r="F196" i="34"/>
  <c r="F195" i="34"/>
  <c r="AV4" i="32"/>
  <c r="F5" i="34"/>
  <c r="F341" i="34"/>
  <c r="F340" i="34"/>
  <c r="F339" i="34"/>
  <c r="AU4" i="32" l="1"/>
  <c r="F332" i="34"/>
  <c r="F331" i="34"/>
  <c r="I9" i="29"/>
  <c r="I8" i="29"/>
  <c r="F314" i="34"/>
  <c r="F313" i="34"/>
  <c r="F312" i="34"/>
  <c r="F308" i="34"/>
  <c r="F307" i="34"/>
  <c r="F291" i="34"/>
  <c r="F290" i="34"/>
  <c r="F289" i="34"/>
  <c r="F278" i="34"/>
  <c r="F277" i="34"/>
  <c r="F276" i="34"/>
  <c r="F272" i="34"/>
  <c r="F271" i="34"/>
  <c r="F265" i="34"/>
  <c r="F264" i="34"/>
  <c r="F263" i="34"/>
  <c r="F252" i="34"/>
  <c r="F251" i="34"/>
  <c r="F250" i="34"/>
  <c r="F246" i="34"/>
  <c r="F245" i="34"/>
  <c r="F189" i="34" l="1"/>
  <c r="F188" i="34"/>
  <c r="F187" i="34"/>
  <c r="F186" i="34"/>
  <c r="F185" i="34"/>
  <c r="F184" i="34"/>
  <c r="F180" i="34"/>
  <c r="F179" i="34"/>
  <c r="F174" i="34"/>
  <c r="F343" i="34"/>
  <c r="F342" i="34"/>
  <c r="F338" i="34"/>
  <c r="F337" i="34"/>
  <c r="F336" i="34"/>
  <c r="F335" i="34"/>
  <c r="F334" i="34"/>
  <c r="F333" i="34"/>
  <c r="F330" i="34"/>
  <c r="F329" i="34"/>
  <c r="F328" i="34"/>
  <c r="F327" i="34"/>
  <c r="F326" i="34"/>
  <c r="F325" i="34"/>
  <c r="F324" i="34"/>
  <c r="F323" i="34"/>
  <c r="F322" i="34"/>
  <c r="F321" i="34"/>
  <c r="F320" i="34"/>
  <c r="F319" i="34"/>
  <c r="F318" i="34"/>
  <c r="F317" i="34"/>
  <c r="F316" i="34"/>
  <c r="F315" i="34"/>
  <c r="F311" i="34"/>
  <c r="F310" i="34"/>
  <c r="F309" i="34"/>
  <c r="F306" i="34"/>
  <c r="F305" i="34"/>
  <c r="F304" i="34"/>
  <c r="F303" i="34"/>
  <c r="F302" i="34"/>
  <c r="F301" i="34"/>
  <c r="F300" i="34"/>
  <c r="F299" i="34"/>
  <c r="F298" i="34"/>
  <c r="F297" i="34"/>
  <c r="F296" i="34"/>
  <c r="F295" i="34"/>
  <c r="F294" i="34"/>
  <c r="F293" i="34"/>
  <c r="F292" i="34"/>
  <c r="F288" i="34"/>
  <c r="F287" i="34"/>
  <c r="F286" i="34"/>
  <c r="F285" i="34"/>
  <c r="F284" i="34"/>
  <c r="F283" i="34"/>
  <c r="F282" i="34"/>
  <c r="F281" i="34"/>
  <c r="F280" i="34"/>
  <c r="F279" i="34"/>
  <c r="F275" i="34"/>
  <c r="F274" i="34"/>
  <c r="F273" i="34"/>
  <c r="F270" i="34"/>
  <c r="F269" i="34"/>
  <c r="F268" i="34"/>
  <c r="F267" i="34"/>
  <c r="F266" i="34"/>
  <c r="F262" i="34"/>
  <c r="F261" i="34"/>
  <c r="F260" i="34"/>
  <c r="F259" i="34"/>
  <c r="F258" i="34"/>
  <c r="F257" i="34"/>
  <c r="F256" i="34"/>
  <c r="F255" i="34"/>
  <c r="F254" i="34"/>
  <c r="F253" i="34"/>
  <c r="F249" i="34"/>
  <c r="F248" i="34"/>
  <c r="F247" i="34"/>
  <c r="F244" i="34"/>
  <c r="F243" i="34"/>
  <c r="F242" i="34"/>
  <c r="F241" i="34"/>
  <c r="F240" i="34"/>
  <c r="F239" i="34"/>
  <c r="F238" i="34"/>
  <c r="F237" i="34"/>
  <c r="F236" i="34"/>
  <c r="F235" i="34"/>
  <c r="F234" i="34"/>
  <c r="F233" i="34"/>
  <c r="F232" i="34"/>
  <c r="F231" i="34"/>
  <c r="F230" i="34"/>
  <c r="F229" i="34"/>
  <c r="F226" i="34"/>
  <c r="F225" i="34"/>
  <c r="F224" i="34"/>
  <c r="F223" i="34"/>
  <c r="F222" i="34"/>
  <c r="F221" i="34"/>
  <c r="F220" i="34"/>
  <c r="F219" i="34"/>
  <c r="F218" i="34"/>
  <c r="F217" i="34"/>
  <c r="F216" i="34"/>
  <c r="F215" i="34"/>
  <c r="F214" i="34"/>
  <c r="F213" i="34"/>
  <c r="F212" i="34"/>
  <c r="F211" i="34"/>
  <c r="F210" i="34"/>
  <c r="F209" i="34"/>
  <c r="F208" i="34"/>
  <c r="F207" i="34"/>
  <c r="F206" i="34"/>
  <c r="F205" i="34"/>
  <c r="F204" i="34"/>
  <c r="F203" i="34"/>
  <c r="F202" i="34"/>
  <c r="F201" i="34"/>
  <c r="F200" i="34"/>
  <c r="F199" i="34"/>
  <c r="F198" i="34"/>
  <c r="F197" i="34"/>
  <c r="F194" i="34"/>
  <c r="F193" i="34"/>
  <c r="F192" i="34"/>
  <c r="F191" i="34"/>
  <c r="F190" i="34"/>
  <c r="F183" i="34"/>
  <c r="F182" i="34"/>
  <c r="F181" i="34"/>
  <c r="F178" i="34"/>
  <c r="F177" i="34"/>
  <c r="F176" i="34"/>
  <c r="F175" i="34"/>
  <c r="F173" i="34"/>
  <c r="F172" i="34"/>
  <c r="F171" i="34"/>
  <c r="F170" i="34"/>
  <c r="F169" i="34"/>
  <c r="F168" i="34"/>
  <c r="F167" i="34"/>
  <c r="F166" i="34"/>
  <c r="F165" i="34"/>
  <c r="F162" i="34"/>
  <c r="F161" i="34"/>
  <c r="F159" i="34"/>
  <c r="F158" i="34"/>
  <c r="F157" i="34"/>
  <c r="F156" i="34"/>
  <c r="F155" i="34"/>
  <c r="F154" i="34"/>
  <c r="F153" i="34"/>
  <c r="F152" i="34"/>
  <c r="F151" i="34"/>
  <c r="F150" i="34"/>
  <c r="F149" i="34"/>
  <c r="F148" i="34"/>
  <c r="F147" i="34"/>
  <c r="F146" i="34"/>
  <c r="F145" i="34"/>
  <c r="F144" i="34"/>
  <c r="F143" i="34"/>
  <c r="F142" i="34"/>
  <c r="F141" i="34"/>
  <c r="F140" i="34"/>
  <c r="F139" i="34"/>
  <c r="F138" i="34"/>
  <c r="F137" i="34"/>
  <c r="F136" i="34"/>
  <c r="F135" i="34"/>
  <c r="F134" i="34"/>
  <c r="F133" i="34"/>
  <c r="F132" i="34"/>
  <c r="F131" i="34"/>
  <c r="F130" i="34"/>
  <c r="F129" i="34"/>
  <c r="F128" i="34"/>
  <c r="F127" i="34"/>
  <c r="F126" i="34"/>
  <c r="F125" i="34"/>
  <c r="F124" i="34"/>
  <c r="F123" i="34"/>
  <c r="F122" i="34"/>
  <c r="F121" i="34"/>
  <c r="F120" i="34"/>
  <c r="F119" i="34"/>
  <c r="F118" i="34"/>
  <c r="F117" i="34"/>
  <c r="F116" i="34"/>
  <c r="F115" i="34"/>
  <c r="F114" i="34"/>
  <c r="F113" i="34"/>
  <c r="F112" i="34"/>
  <c r="F111" i="34"/>
  <c r="F110" i="34"/>
  <c r="F109" i="34"/>
  <c r="F108" i="34"/>
  <c r="F107" i="34"/>
  <c r="F106" i="34"/>
  <c r="F105" i="34"/>
  <c r="F104" i="34"/>
  <c r="F103" i="34"/>
  <c r="F102" i="34"/>
  <c r="F101" i="34"/>
  <c r="F100" i="34"/>
  <c r="F99" i="34"/>
  <c r="F98" i="34"/>
  <c r="F97" i="34"/>
  <c r="F96" i="34"/>
  <c r="F95" i="34"/>
  <c r="F94" i="34"/>
  <c r="F93" i="34"/>
  <c r="F92" i="34"/>
  <c r="F91" i="34"/>
  <c r="F90" i="34"/>
  <c r="F89" i="34"/>
  <c r="F88" i="34"/>
  <c r="F87" i="34"/>
  <c r="F86" i="34"/>
  <c r="F85" i="34"/>
  <c r="F84" i="34"/>
  <c r="F83" i="34"/>
  <c r="F82" i="34"/>
  <c r="F81" i="34"/>
  <c r="F80" i="34"/>
  <c r="F79" i="34"/>
  <c r="F78" i="34"/>
  <c r="F77" i="34"/>
  <c r="F76" i="34"/>
  <c r="F75" i="34"/>
  <c r="F74" i="34"/>
  <c r="F73" i="34"/>
  <c r="F72" i="34"/>
  <c r="F71" i="34"/>
  <c r="F70" i="34"/>
  <c r="F69" i="34"/>
  <c r="F68" i="34"/>
  <c r="F67" i="34"/>
  <c r="F66" i="34"/>
  <c r="F65" i="34"/>
  <c r="F64" i="34"/>
  <c r="F63" i="34"/>
  <c r="F62" i="34"/>
  <c r="F61" i="34"/>
  <c r="F60" i="34"/>
  <c r="F59" i="34"/>
  <c r="F58" i="34"/>
  <c r="F57" i="34"/>
  <c r="F56" i="34"/>
  <c r="F55" i="34"/>
  <c r="F54" i="34"/>
  <c r="F53" i="34"/>
  <c r="F52" i="34"/>
  <c r="F51" i="34"/>
  <c r="F50" i="34"/>
  <c r="F49" i="34"/>
  <c r="F48" i="34"/>
  <c r="F47" i="34"/>
  <c r="F46" i="34"/>
  <c r="F45" i="34"/>
  <c r="F44" i="34"/>
  <c r="F43" i="34"/>
  <c r="F42" i="34"/>
  <c r="F41" i="34"/>
  <c r="F40" i="34"/>
  <c r="F39" i="34"/>
  <c r="F38" i="34"/>
  <c r="F37" i="34"/>
  <c r="F36" i="34"/>
  <c r="F35" i="34"/>
  <c r="F34" i="34"/>
  <c r="F33" i="34"/>
  <c r="F32" i="34"/>
  <c r="F31" i="34"/>
  <c r="F30" i="34"/>
  <c r="F29" i="34"/>
  <c r="F28" i="34"/>
  <c r="F27" i="34"/>
  <c r="F26" i="34"/>
  <c r="F25" i="34"/>
  <c r="F24" i="34"/>
  <c r="F23" i="34"/>
  <c r="F21" i="34"/>
  <c r="F20" i="34"/>
  <c r="F19" i="34"/>
  <c r="F18" i="34"/>
  <c r="F17" i="34"/>
  <c r="F16" i="34"/>
  <c r="F15" i="34"/>
  <c r="F14" i="34"/>
  <c r="F13" i="34"/>
  <c r="F12" i="34"/>
  <c r="F11" i="34"/>
  <c r="F10" i="34"/>
  <c r="F9" i="34"/>
  <c r="F8" i="34"/>
  <c r="F7" i="34"/>
  <c r="F6" i="34"/>
  <c r="F4" i="34"/>
  <c r="AX203" i="32" l="1"/>
  <c r="AX202" i="32"/>
  <c r="AX198" i="32"/>
  <c r="AX197" i="32"/>
  <c r="AX196" i="32"/>
  <c r="AX195" i="32"/>
  <c r="AX194" i="32"/>
  <c r="AX193" i="32"/>
  <c r="AX192" i="32"/>
  <c r="AX191" i="32"/>
  <c r="AX190" i="32"/>
  <c r="AX189" i="32"/>
  <c r="AX188" i="32"/>
  <c r="AX187" i="32"/>
  <c r="AX186" i="32"/>
  <c r="AX185" i="32"/>
  <c r="AX184" i="32"/>
  <c r="AX183" i="32"/>
  <c r="AX182" i="32"/>
  <c r="AX181" i="32"/>
  <c r="AX180" i="32"/>
  <c r="AX179" i="32"/>
  <c r="AX178" i="32"/>
  <c r="AX177" i="32"/>
  <c r="AX176" i="32"/>
  <c r="AX175" i="32"/>
  <c r="AX174" i="32"/>
  <c r="AX173" i="32"/>
  <c r="AX172" i="32"/>
  <c r="AX171" i="32"/>
  <c r="AX170" i="32"/>
  <c r="AX169" i="32"/>
  <c r="AX168" i="32"/>
  <c r="AX167" i="32"/>
  <c r="AX166" i="32"/>
  <c r="AX165" i="32"/>
  <c r="AX164" i="32"/>
  <c r="AX163" i="32"/>
  <c r="AX162" i="32"/>
  <c r="AX161" i="32"/>
  <c r="AX160" i="32"/>
  <c r="AX159" i="32"/>
  <c r="AX158" i="32"/>
  <c r="AX157" i="32"/>
  <c r="AX156" i="32"/>
  <c r="AX155" i="32"/>
  <c r="AX154" i="32"/>
  <c r="AX153" i="32"/>
  <c r="AX152" i="32"/>
  <c r="AX151" i="32"/>
  <c r="AX150" i="32"/>
  <c r="AX149" i="32"/>
  <c r="AX148" i="32"/>
  <c r="AX147" i="32"/>
  <c r="AX146" i="32"/>
  <c r="AX145" i="32"/>
  <c r="AX144" i="32"/>
  <c r="AX143" i="32"/>
  <c r="AX142" i="32"/>
  <c r="AX141" i="32"/>
  <c r="AX140" i="32"/>
  <c r="AX139" i="32"/>
  <c r="AX138" i="32"/>
  <c r="AX137" i="32"/>
  <c r="AX136" i="32"/>
  <c r="AX135" i="32"/>
  <c r="AX134" i="32"/>
  <c r="AX133" i="32"/>
  <c r="AX132" i="32"/>
  <c r="AX131" i="32"/>
  <c r="AX130" i="32"/>
  <c r="AX129" i="32"/>
  <c r="AX128" i="32"/>
  <c r="AX127" i="32"/>
  <c r="AX126" i="32"/>
  <c r="AX125" i="32"/>
  <c r="AX124" i="32"/>
  <c r="AX123" i="32"/>
  <c r="AX122" i="32"/>
  <c r="AX121" i="32"/>
  <c r="AX120" i="32"/>
  <c r="AX119" i="32"/>
  <c r="AX118" i="32"/>
  <c r="AX117" i="32"/>
  <c r="AX116" i="32"/>
  <c r="AX115" i="32"/>
  <c r="AX114" i="32"/>
  <c r="AX113" i="32"/>
  <c r="AX112" i="32"/>
  <c r="AX111" i="32"/>
  <c r="AX110" i="32"/>
  <c r="AX109" i="32"/>
  <c r="AX108" i="32"/>
  <c r="AX107" i="32"/>
  <c r="AX106" i="32"/>
  <c r="AX102" i="32"/>
  <c r="AX101" i="32"/>
  <c r="AX100" i="32"/>
  <c r="AX99" i="32"/>
  <c r="AX98" i="32"/>
  <c r="AX97" i="32"/>
  <c r="AX96" i="32"/>
  <c r="AX95" i="32"/>
  <c r="AX94" i="32"/>
  <c r="AX93" i="32"/>
  <c r="AX92" i="32"/>
  <c r="AX91" i="32"/>
  <c r="AX90" i="32"/>
  <c r="AX89" i="32"/>
  <c r="AX88" i="32"/>
  <c r="AX87" i="32"/>
  <c r="AX86" i="32"/>
  <c r="AX85" i="32"/>
  <c r="AX84" i="32"/>
  <c r="AX83" i="32"/>
  <c r="AX82" i="32"/>
  <c r="AX81" i="32"/>
  <c r="AX80" i="32"/>
  <c r="AX79" i="32"/>
  <c r="AX78" i="32"/>
  <c r="AX77" i="32"/>
  <c r="AX76" i="32"/>
  <c r="AX75" i="32"/>
  <c r="AX74" i="32"/>
  <c r="AX73" i="32"/>
  <c r="AX72" i="32"/>
  <c r="AX71" i="32"/>
  <c r="AX70" i="32"/>
  <c r="AX69" i="32"/>
  <c r="AX68" i="32"/>
  <c r="AX67" i="32"/>
  <c r="AX66" i="32"/>
  <c r="AX62" i="32"/>
  <c r="AX61" i="32"/>
  <c r="AX60" i="32"/>
  <c r="AX59" i="32"/>
  <c r="AX58" i="32"/>
  <c r="AX57" i="32"/>
  <c r="AX56" i="32"/>
  <c r="AX55" i="32"/>
  <c r="AX54" i="32"/>
  <c r="AX53" i="32"/>
  <c r="AX52" i="32"/>
  <c r="AX51" i="32"/>
  <c r="AX50" i="32"/>
  <c r="AX49" i="32"/>
  <c r="AX48" i="32"/>
  <c r="AX47" i="32"/>
  <c r="AX46" i="32"/>
  <c r="AX45" i="32"/>
  <c r="AX44" i="32"/>
  <c r="AX43" i="32"/>
  <c r="AX42" i="32"/>
  <c r="AX36" i="32"/>
  <c r="AX35" i="32"/>
  <c r="AX34" i="32"/>
  <c r="AX33" i="32"/>
  <c r="AX32" i="32"/>
  <c r="AX31" i="32"/>
  <c r="AX30" i="32"/>
  <c r="AX29" i="32"/>
  <c r="AX28" i="32"/>
  <c r="AX27" i="32"/>
  <c r="AX26" i="32"/>
  <c r="AX25" i="32"/>
  <c r="AX24" i="32"/>
  <c r="AX23" i="32"/>
  <c r="AX22" i="32"/>
  <c r="AX21" i="32"/>
  <c r="AX20" i="32"/>
  <c r="AX19" i="32"/>
  <c r="AX18" i="32"/>
  <c r="AX14" i="32"/>
  <c r="AX13" i="32"/>
  <c r="AX12" i="32"/>
  <c r="AX11" i="32"/>
  <c r="AX10" i="32"/>
  <c r="AX9" i="32"/>
  <c r="AX8" i="32"/>
  <c r="AX7" i="32"/>
  <c r="AX6" i="32"/>
  <c r="AX5" i="32"/>
  <c r="AX4" i="32"/>
  <c r="AX65" i="32"/>
  <c r="AX64" i="32"/>
  <c r="AX63" i="32"/>
  <c r="I137" i="29"/>
  <c r="B137" i="29" s="1" a="1"/>
  <c r="B137" i="29" s="1"/>
  <c r="AX41" i="32"/>
  <c r="AX40" i="32"/>
  <c r="AX39" i="32"/>
  <c r="AY203" i="32" l="1"/>
  <c r="AW203" i="32"/>
  <c r="AY202" i="32"/>
  <c r="AW202" i="32"/>
  <c r="AY198" i="32"/>
  <c r="AW198" i="32"/>
  <c r="AY197" i="32"/>
  <c r="AW197" i="32"/>
  <c r="AY196" i="32"/>
  <c r="AW196" i="32"/>
  <c r="AY195" i="32"/>
  <c r="AW195" i="32"/>
  <c r="AY194" i="32"/>
  <c r="AW194" i="32"/>
  <c r="AY193" i="32"/>
  <c r="AW193" i="32"/>
  <c r="AY192" i="32"/>
  <c r="AW192" i="32"/>
  <c r="AY191" i="32"/>
  <c r="AW191" i="32"/>
  <c r="AY190" i="32"/>
  <c r="AW190" i="32"/>
  <c r="AY189" i="32"/>
  <c r="AW189" i="32"/>
  <c r="AY188" i="32"/>
  <c r="AW188" i="32"/>
  <c r="AY187" i="32"/>
  <c r="AW187" i="32"/>
  <c r="AY186" i="32"/>
  <c r="AW186" i="32"/>
  <c r="AY185" i="32"/>
  <c r="AW185" i="32"/>
  <c r="AY184" i="32"/>
  <c r="AW184" i="32"/>
  <c r="AY183" i="32"/>
  <c r="AW183" i="32"/>
  <c r="AY182" i="32"/>
  <c r="AW182" i="32"/>
  <c r="AY181" i="32"/>
  <c r="AW181" i="32"/>
  <c r="AY180" i="32"/>
  <c r="AW180" i="32"/>
  <c r="AY179" i="32"/>
  <c r="AW179" i="32"/>
  <c r="AY178" i="32"/>
  <c r="AW178" i="32"/>
  <c r="AY177" i="32"/>
  <c r="AW177" i="32"/>
  <c r="AY176" i="32"/>
  <c r="AW176" i="32"/>
  <c r="AY175" i="32"/>
  <c r="AW175" i="32"/>
  <c r="AY174" i="32"/>
  <c r="AW174" i="32"/>
  <c r="AY173" i="32"/>
  <c r="AW173" i="32"/>
  <c r="AY172" i="32"/>
  <c r="AW172" i="32"/>
  <c r="AY171" i="32"/>
  <c r="AW171" i="32"/>
  <c r="AY170" i="32"/>
  <c r="AW170" i="32"/>
  <c r="AY169" i="32"/>
  <c r="AW169" i="32"/>
  <c r="AY168" i="32"/>
  <c r="AW168" i="32"/>
  <c r="AY167" i="32"/>
  <c r="AW167" i="32"/>
  <c r="AY166" i="32"/>
  <c r="AW166" i="32"/>
  <c r="AY165" i="32"/>
  <c r="AW165" i="32"/>
  <c r="AY164" i="32"/>
  <c r="AW164" i="32"/>
  <c r="AY163" i="32"/>
  <c r="AW163" i="32"/>
  <c r="AY162" i="32"/>
  <c r="AW162" i="32"/>
  <c r="AY161" i="32"/>
  <c r="AW161" i="32"/>
  <c r="AY160" i="32"/>
  <c r="AW160" i="32"/>
  <c r="AY159" i="32"/>
  <c r="AW159" i="32"/>
  <c r="AY158" i="32"/>
  <c r="AW158" i="32"/>
  <c r="AY157" i="32"/>
  <c r="AW157" i="32"/>
  <c r="AY156" i="32"/>
  <c r="AW156" i="32"/>
  <c r="AY155" i="32"/>
  <c r="AW155" i="32"/>
  <c r="AY154" i="32"/>
  <c r="AW154" i="32"/>
  <c r="AY153" i="32"/>
  <c r="AW153" i="32"/>
  <c r="AY152" i="32"/>
  <c r="AW152" i="32"/>
  <c r="AY151" i="32"/>
  <c r="AW151" i="32"/>
  <c r="AY150" i="32"/>
  <c r="AW150" i="32"/>
  <c r="AY149" i="32"/>
  <c r="AW149" i="32"/>
  <c r="AY148" i="32"/>
  <c r="AW148" i="32"/>
  <c r="AY147" i="32"/>
  <c r="AW147" i="32"/>
  <c r="AY146" i="32"/>
  <c r="AW146" i="32"/>
  <c r="AY145" i="32"/>
  <c r="AW145" i="32"/>
  <c r="AY144" i="32"/>
  <c r="AW144" i="32"/>
  <c r="AY143" i="32"/>
  <c r="AW143" i="32"/>
  <c r="AY142" i="32"/>
  <c r="AW142" i="32"/>
  <c r="AY141" i="32"/>
  <c r="AW141" i="32"/>
  <c r="AY140" i="32"/>
  <c r="AW140" i="32"/>
  <c r="AY139" i="32"/>
  <c r="AW139" i="32"/>
  <c r="AY138" i="32"/>
  <c r="AW138" i="32"/>
  <c r="AY137" i="32"/>
  <c r="AW137" i="32"/>
  <c r="AY136" i="32"/>
  <c r="AW136" i="32"/>
  <c r="AY135" i="32"/>
  <c r="AW135" i="32"/>
  <c r="AY134" i="32"/>
  <c r="AW134" i="32"/>
  <c r="AY133" i="32"/>
  <c r="AW133" i="32"/>
  <c r="AY132" i="32"/>
  <c r="AW132" i="32"/>
  <c r="AY131" i="32"/>
  <c r="AW131" i="32"/>
  <c r="AY130" i="32"/>
  <c r="AW130" i="32"/>
  <c r="AY129" i="32"/>
  <c r="AW129" i="32"/>
  <c r="AY128" i="32"/>
  <c r="AW128" i="32"/>
  <c r="AY127" i="32"/>
  <c r="AW127" i="32"/>
  <c r="AY126" i="32"/>
  <c r="AW126" i="32"/>
  <c r="AY125" i="32"/>
  <c r="AW125" i="32"/>
  <c r="AY124" i="32"/>
  <c r="AW124" i="32"/>
  <c r="AY123" i="32"/>
  <c r="AW123" i="32"/>
  <c r="AY122" i="32"/>
  <c r="AW122" i="32"/>
  <c r="AY121" i="32"/>
  <c r="AW121" i="32"/>
  <c r="AY120" i="32"/>
  <c r="AW120" i="32"/>
  <c r="AY119" i="32"/>
  <c r="AW119" i="32"/>
  <c r="AY118" i="32"/>
  <c r="AW118" i="32"/>
  <c r="AY117" i="32"/>
  <c r="AW117" i="32"/>
  <c r="AY116" i="32"/>
  <c r="AW116" i="32"/>
  <c r="AY115" i="32"/>
  <c r="AW115" i="32"/>
  <c r="AY114" i="32"/>
  <c r="AW114" i="32"/>
  <c r="AY113" i="32"/>
  <c r="AW113" i="32"/>
  <c r="AY112" i="32"/>
  <c r="AW112" i="32"/>
  <c r="AY111" i="32"/>
  <c r="AW111" i="32"/>
  <c r="AY110" i="32"/>
  <c r="AW110" i="32"/>
  <c r="AY109" i="32"/>
  <c r="AW109" i="32"/>
  <c r="AY108" i="32"/>
  <c r="AW108" i="32"/>
  <c r="AY107" i="32"/>
  <c r="AW107" i="32"/>
  <c r="AY106" i="32"/>
  <c r="AW106" i="32"/>
  <c r="AW105" i="32"/>
  <c r="AW104" i="32"/>
  <c r="AW103" i="32"/>
  <c r="AY102" i="32"/>
  <c r="AY101" i="32"/>
  <c r="AY100" i="32"/>
  <c r="AW100" i="32"/>
  <c r="AY99" i="32"/>
  <c r="AW99" i="32"/>
  <c r="AY98" i="32"/>
  <c r="AW98" i="32"/>
  <c r="AY97" i="32"/>
  <c r="AW97" i="32"/>
  <c r="AY96" i="32"/>
  <c r="AW96" i="32"/>
  <c r="AY95" i="32"/>
  <c r="AW95" i="32"/>
  <c r="AY94" i="32"/>
  <c r="AW94" i="32"/>
  <c r="AY93" i="32"/>
  <c r="AW93" i="32"/>
  <c r="AY92" i="32"/>
  <c r="AW92" i="32"/>
  <c r="AY91" i="32"/>
  <c r="AW91" i="32"/>
  <c r="AY90" i="32"/>
  <c r="AW90" i="32"/>
  <c r="AY89" i="32"/>
  <c r="AY88" i="32"/>
  <c r="AY87" i="32"/>
  <c r="AY86" i="32"/>
  <c r="AW86" i="32"/>
  <c r="AY85" i="32"/>
  <c r="AW85" i="32"/>
  <c r="AY84" i="32"/>
  <c r="AW84" i="32"/>
  <c r="AY83" i="32"/>
  <c r="AW83" i="32"/>
  <c r="AY82" i="32"/>
  <c r="AW82" i="32"/>
  <c r="AY81" i="32"/>
  <c r="AW81" i="32"/>
  <c r="AY80" i="32"/>
  <c r="AW80" i="32"/>
  <c r="AY79" i="32"/>
  <c r="AW79" i="32"/>
  <c r="AY78" i="32"/>
  <c r="AY77" i="32"/>
  <c r="AY76" i="32"/>
  <c r="AW76" i="32"/>
  <c r="AY75" i="32"/>
  <c r="AW75" i="32"/>
  <c r="AY74" i="32"/>
  <c r="AW74" i="32"/>
  <c r="AY73" i="32"/>
  <c r="AW73" i="32"/>
  <c r="AY72" i="32"/>
  <c r="AW72" i="32"/>
  <c r="AY71" i="32"/>
  <c r="AW71" i="32"/>
  <c r="AY70" i="32"/>
  <c r="AW70" i="32"/>
  <c r="AY69" i="32"/>
  <c r="AW69" i="32"/>
  <c r="AY68" i="32"/>
  <c r="AW68" i="32"/>
  <c r="AY67" i="32"/>
  <c r="AW67" i="32"/>
  <c r="AY66" i="32"/>
  <c r="AW66" i="32"/>
  <c r="AY65" i="32"/>
  <c r="AW65" i="32"/>
  <c r="AY64" i="32"/>
  <c r="AW64" i="32"/>
  <c r="AY63" i="32"/>
  <c r="AW63" i="32"/>
  <c r="AY62" i="32"/>
  <c r="AW62" i="32"/>
  <c r="AY61" i="32"/>
  <c r="AW61" i="32"/>
  <c r="AY60" i="32"/>
  <c r="AW60" i="32"/>
  <c r="AY59" i="32"/>
  <c r="AW59" i="32"/>
  <c r="AY58" i="32"/>
  <c r="AW58" i="32"/>
  <c r="AY57" i="32"/>
  <c r="AW57" i="32"/>
  <c r="AY56" i="32"/>
  <c r="AW56" i="32"/>
  <c r="AY55" i="32"/>
  <c r="AW55" i="32"/>
  <c r="AY54" i="32"/>
  <c r="AW54" i="32"/>
  <c r="AY53" i="32"/>
  <c r="AW53" i="32"/>
  <c r="AY52" i="32"/>
  <c r="AW52" i="32"/>
  <c r="AY51" i="32"/>
  <c r="AW51" i="32"/>
  <c r="AY50" i="32"/>
  <c r="AW50" i="32"/>
  <c r="AY49" i="32"/>
  <c r="AW49" i="32"/>
  <c r="AY48" i="32"/>
  <c r="AW48" i="32"/>
  <c r="AY47" i="32"/>
  <c r="AW47" i="32"/>
  <c r="AY46" i="32"/>
  <c r="AW46" i="32"/>
  <c r="AY45" i="32"/>
  <c r="AW45" i="32"/>
  <c r="AY44" i="32"/>
  <c r="AW44" i="32"/>
  <c r="AY43" i="32"/>
  <c r="AW43" i="32"/>
  <c r="AY42" i="32"/>
  <c r="AW42" i="32"/>
  <c r="AY41" i="32"/>
  <c r="AW41" i="32"/>
  <c r="AY40" i="32"/>
  <c r="AW40" i="32"/>
  <c r="AY39" i="32"/>
  <c r="AW39" i="32"/>
  <c r="AY36" i="32"/>
  <c r="AW36" i="32"/>
  <c r="AY35" i="32"/>
  <c r="AW35" i="32"/>
  <c r="AY34" i="32"/>
  <c r="AW34" i="32"/>
  <c r="AY33" i="32"/>
  <c r="AW33" i="32"/>
  <c r="AY32" i="32"/>
  <c r="AW32" i="32"/>
  <c r="AY31" i="32"/>
  <c r="AW31" i="32"/>
  <c r="AY30" i="32"/>
  <c r="AW30" i="32"/>
  <c r="AY29" i="32"/>
  <c r="AW29" i="32"/>
  <c r="AY28" i="32"/>
  <c r="AW28" i="32"/>
  <c r="AY27" i="32"/>
  <c r="AW27" i="32"/>
  <c r="AY26" i="32"/>
  <c r="AW26" i="32"/>
  <c r="AY25" i="32"/>
  <c r="AW25" i="32"/>
  <c r="AY24" i="32"/>
  <c r="AW24" i="32"/>
  <c r="AY23" i="32"/>
  <c r="AW23" i="32"/>
  <c r="AY22" i="32"/>
  <c r="AW22" i="32"/>
  <c r="AY21" i="32"/>
  <c r="AW21" i="32"/>
  <c r="AY20" i="32"/>
  <c r="AW20" i="32"/>
  <c r="AY19" i="32"/>
  <c r="AW19" i="32"/>
  <c r="AY18" i="32"/>
  <c r="AW18" i="32"/>
  <c r="AW17" i="32"/>
  <c r="AW16" i="32"/>
  <c r="AW15" i="32"/>
  <c r="AY14" i="32"/>
  <c r="AW14" i="32"/>
  <c r="AY13" i="32"/>
  <c r="AW13" i="32"/>
  <c r="AY12" i="32"/>
  <c r="AW12" i="32"/>
  <c r="AY11" i="32"/>
  <c r="AW11" i="32"/>
  <c r="AY10" i="32"/>
  <c r="AW10" i="32"/>
  <c r="AY9" i="32"/>
  <c r="AW9" i="32"/>
  <c r="AY8" i="32"/>
  <c r="AW8" i="32"/>
  <c r="AY7" i="32"/>
  <c r="AW7" i="32"/>
  <c r="AY6" i="32"/>
  <c r="AW6" i="32"/>
  <c r="AY5" i="32"/>
  <c r="AW5" i="32"/>
  <c r="AY4" i="32"/>
  <c r="AW4" i="32"/>
  <c r="AO118" i="32"/>
  <c r="AO117" i="32"/>
  <c r="AO62" i="32"/>
  <c r="AO61" i="32"/>
  <c r="AO51" i="32"/>
  <c r="AO50" i="32"/>
  <c r="AC9" i="32"/>
  <c r="AC8" i="32"/>
  <c r="AC7" i="32"/>
  <c r="AV203" i="32" l="1"/>
  <c r="AV202" i="32"/>
  <c r="AV198" i="32"/>
  <c r="AV197" i="32"/>
  <c r="AV196" i="32"/>
  <c r="AV195" i="32"/>
  <c r="AV194" i="32"/>
  <c r="AV193" i="32"/>
  <c r="AV192" i="32"/>
  <c r="AV191" i="32"/>
  <c r="AV190" i="32"/>
  <c r="AV189" i="32"/>
  <c r="AV188" i="32"/>
  <c r="AV187" i="32"/>
  <c r="AV186" i="32"/>
  <c r="AV185" i="32"/>
  <c r="AV184" i="32"/>
  <c r="AV183" i="32"/>
  <c r="AV182" i="32"/>
  <c r="AV181" i="32"/>
  <c r="AV180" i="32"/>
  <c r="AV179" i="32"/>
  <c r="AV178" i="32"/>
  <c r="AV177" i="32"/>
  <c r="AV176" i="32"/>
  <c r="AV175" i="32"/>
  <c r="AV174" i="32"/>
  <c r="AV173" i="32"/>
  <c r="AV172" i="32"/>
  <c r="AV171" i="32"/>
  <c r="AV170" i="32"/>
  <c r="AV164" i="32"/>
  <c r="AV163" i="32"/>
  <c r="AV162" i="32"/>
  <c r="AV156" i="32"/>
  <c r="AV155" i="32"/>
  <c r="AV154" i="32"/>
  <c r="AV153" i="32"/>
  <c r="AV152" i="32"/>
  <c r="AV151" i="32"/>
  <c r="AV148" i="32"/>
  <c r="AV147" i="32"/>
  <c r="AV146" i="32"/>
  <c r="AV145" i="32"/>
  <c r="AV144" i="32"/>
  <c r="AV143" i="32"/>
  <c r="AV142" i="32"/>
  <c r="AV141" i="32"/>
  <c r="AV140" i="32"/>
  <c r="AV139" i="32"/>
  <c r="AV138" i="32"/>
  <c r="AV137" i="32"/>
  <c r="AV136" i="32"/>
  <c r="AV135" i="32"/>
  <c r="AV132" i="32"/>
  <c r="AV131" i="32"/>
  <c r="AV130" i="32"/>
  <c r="AV129" i="32"/>
  <c r="AV128" i="32"/>
  <c r="AV127" i="32"/>
  <c r="AV126" i="32"/>
  <c r="AV125" i="32"/>
  <c r="AV124" i="32"/>
  <c r="AV123" i="32"/>
  <c r="AV122" i="32"/>
  <c r="AV121" i="32"/>
  <c r="AV120" i="32"/>
  <c r="AV119" i="32"/>
  <c r="AV118" i="32"/>
  <c r="AV117" i="32"/>
  <c r="AV116" i="32"/>
  <c r="AV115" i="32"/>
  <c r="AV114" i="32"/>
  <c r="AV113" i="32"/>
  <c r="AV112" i="32"/>
  <c r="AV111" i="32"/>
  <c r="AV110" i="32"/>
  <c r="AV109" i="32"/>
  <c r="AV108" i="32"/>
  <c r="AV107" i="32"/>
  <c r="AV106" i="32"/>
  <c r="AV102" i="32"/>
  <c r="AV101" i="32"/>
  <c r="AV100" i="32"/>
  <c r="AV99" i="32"/>
  <c r="AV98" i="32"/>
  <c r="AV92" i="32"/>
  <c r="AV91" i="32"/>
  <c r="AV90" i="32"/>
  <c r="AV89" i="32"/>
  <c r="AV88" i="32"/>
  <c r="AV87" i="32"/>
  <c r="AV86" i="32"/>
  <c r="AV85" i="32"/>
  <c r="AV84" i="32"/>
  <c r="AV83" i="32"/>
  <c r="AV82" i="32"/>
  <c r="AV78" i="32"/>
  <c r="AV77" i="32"/>
  <c r="AV76" i="32"/>
  <c r="AV75" i="32"/>
  <c r="AV74" i="32"/>
  <c r="AV73" i="32"/>
  <c r="AV72" i="32"/>
  <c r="AV71" i="32"/>
  <c r="AV70" i="32"/>
  <c r="AV69" i="32"/>
  <c r="AV68" i="32"/>
  <c r="AV67" i="32"/>
  <c r="AV66" i="32"/>
  <c r="AV65" i="32"/>
  <c r="AV64" i="32"/>
  <c r="AV63" i="32"/>
  <c r="AV62" i="32"/>
  <c r="AV61" i="32"/>
  <c r="AV60" i="32"/>
  <c r="AV59" i="32"/>
  <c r="AV58" i="32"/>
  <c r="AV57" i="32"/>
  <c r="AV56" i="32"/>
  <c r="AV55" i="32"/>
  <c r="AV54" i="32"/>
  <c r="AV53" i="32"/>
  <c r="AV52" i="32"/>
  <c r="AV51" i="32"/>
  <c r="AV50" i="32"/>
  <c r="AV46" i="32"/>
  <c r="AV45" i="32"/>
  <c r="AV44" i="32"/>
  <c r="AV43" i="32"/>
  <c r="AV42" i="32"/>
  <c r="AV41" i="32"/>
  <c r="AV40" i="32"/>
  <c r="AV39" i="32"/>
  <c r="AV36" i="32"/>
  <c r="AV35" i="32"/>
  <c r="AV34" i="32"/>
  <c r="AV33" i="32"/>
  <c r="AV32" i="32"/>
  <c r="AV31" i="32"/>
  <c r="AV30" i="32"/>
  <c r="AV29" i="32"/>
  <c r="AV28" i="32"/>
  <c r="AV27" i="32"/>
  <c r="AV26" i="32"/>
  <c r="AV20" i="32"/>
  <c r="AV19" i="32"/>
  <c r="AV18" i="32"/>
  <c r="AV14" i="32"/>
  <c r="AV13" i="32"/>
  <c r="AV12" i="32"/>
  <c r="AV11" i="32"/>
  <c r="AV10" i="32"/>
  <c r="AU203" i="32"/>
  <c r="AU202" i="32"/>
  <c r="AU198" i="32"/>
  <c r="AU197" i="32"/>
  <c r="AU196" i="32"/>
  <c r="AU195" i="32"/>
  <c r="AU194" i="32"/>
  <c r="AU190" i="32"/>
  <c r="AU189" i="32"/>
  <c r="AU188" i="32"/>
  <c r="AU187" i="32"/>
  <c r="AU186" i="32"/>
  <c r="AU185" i="32"/>
  <c r="AU184" i="32"/>
  <c r="AU183" i="32"/>
  <c r="AU182" i="32"/>
  <c r="AU181" i="32"/>
  <c r="AU180" i="32"/>
  <c r="AU179" i="32"/>
  <c r="AU178" i="32"/>
  <c r="AU177" i="32"/>
  <c r="AU176" i="32"/>
  <c r="AU175" i="32"/>
  <c r="AU172" i="32"/>
  <c r="AU171" i="32"/>
  <c r="AU170" i="32"/>
  <c r="AU164" i="32"/>
  <c r="AU163" i="32"/>
  <c r="AU162" i="32"/>
  <c r="AU156" i="32"/>
  <c r="AU155" i="32"/>
  <c r="AU154" i="32"/>
  <c r="AU153" i="32"/>
  <c r="AU152" i="32"/>
  <c r="AU151" i="32"/>
  <c r="AU148" i="32"/>
  <c r="AU147" i="32"/>
  <c r="AU146" i="32"/>
  <c r="AU145" i="32"/>
  <c r="AU144" i="32"/>
  <c r="AU143" i="32"/>
  <c r="AU142" i="32"/>
  <c r="AU141" i="32"/>
  <c r="AU140" i="32"/>
  <c r="AU139" i="32"/>
  <c r="AU138" i="32"/>
  <c r="AU132" i="32"/>
  <c r="AU131" i="32"/>
  <c r="AU130" i="32"/>
  <c r="AU126" i="32"/>
  <c r="AU125" i="32"/>
  <c r="AU124" i="32"/>
  <c r="AU123" i="32"/>
  <c r="AU122" i="32"/>
  <c r="AU116" i="32"/>
  <c r="AU115" i="32"/>
  <c r="AU114" i="32"/>
  <c r="AU110" i="32"/>
  <c r="AU109" i="32"/>
  <c r="AU108" i="32"/>
  <c r="AU107" i="32"/>
  <c r="AU106" i="32"/>
  <c r="AU102" i="32"/>
  <c r="AU101" i="32"/>
  <c r="AU100" i="32"/>
  <c r="AU99" i="32"/>
  <c r="AU98" i="32"/>
  <c r="AU92" i="32"/>
  <c r="AU91" i="32"/>
  <c r="AU90" i="32"/>
  <c r="AU86" i="32"/>
  <c r="AU85" i="32"/>
  <c r="AU84" i="32"/>
  <c r="AU83" i="32"/>
  <c r="AU82" i="32"/>
  <c r="AU76" i="32"/>
  <c r="AU75" i="32"/>
  <c r="AU74" i="32"/>
  <c r="AU73" i="32"/>
  <c r="AU72" i="32"/>
  <c r="AU71" i="32"/>
  <c r="AU70" i="32"/>
  <c r="AU69" i="32"/>
  <c r="AU68" i="32"/>
  <c r="AU67" i="32"/>
  <c r="AU66" i="32"/>
  <c r="AU65" i="32"/>
  <c r="AU64" i="32"/>
  <c r="AU63" i="32"/>
  <c r="AU62" i="32"/>
  <c r="AU61" i="32"/>
  <c r="AU60" i="32"/>
  <c r="AU59" i="32"/>
  <c r="AU58" i="32"/>
  <c r="AU54" i="32"/>
  <c r="AU53" i="32"/>
  <c r="AU52" i="32"/>
  <c r="AU51" i="32"/>
  <c r="AU50" i="32"/>
  <c r="AU44" i="32"/>
  <c r="AU43" i="32"/>
  <c r="AU42" i="32"/>
  <c r="AU36" i="32"/>
  <c r="AU35" i="32"/>
  <c r="AU34" i="32"/>
  <c r="AU33" i="32"/>
  <c r="AU32" i="32"/>
  <c r="AU31" i="32"/>
  <c r="AU30" i="32"/>
  <c r="AU29" i="32"/>
  <c r="AU28" i="32"/>
  <c r="AU27" i="32"/>
  <c r="AU26" i="32"/>
  <c r="AU20" i="32"/>
  <c r="AU19" i="32"/>
  <c r="AU18" i="32"/>
  <c r="AU14" i="32"/>
  <c r="AU13" i="32"/>
  <c r="AU12" i="32"/>
  <c r="AU11" i="32"/>
  <c r="AU10" i="32"/>
  <c r="AT203" i="32"/>
  <c r="AT202" i="32"/>
  <c r="AT196" i="32"/>
  <c r="AT195" i="32"/>
  <c r="AT194" i="32"/>
  <c r="AT190" i="32"/>
  <c r="AT189" i="32"/>
  <c r="AT188" i="32"/>
  <c r="AT187" i="32"/>
  <c r="AT186" i="32"/>
  <c r="AT180" i="32"/>
  <c r="AT179" i="32"/>
  <c r="AT178" i="32"/>
  <c r="AT177" i="32"/>
  <c r="AT176" i="32"/>
  <c r="AT175" i="32"/>
  <c r="AT172" i="32"/>
  <c r="AT171" i="32"/>
  <c r="AT170" i="32"/>
  <c r="AT164" i="32"/>
  <c r="AT163" i="32"/>
  <c r="AT162" i="32"/>
  <c r="AT161" i="32"/>
  <c r="AT160" i="32"/>
  <c r="AT159" i="32"/>
  <c r="AT156" i="32"/>
  <c r="AT155" i="32"/>
  <c r="AT154" i="32"/>
  <c r="AT153" i="32"/>
  <c r="AT152" i="32"/>
  <c r="AT151" i="32"/>
  <c r="AT148" i="32"/>
  <c r="AT147" i="32"/>
  <c r="AT146" i="32"/>
  <c r="AT145" i="32"/>
  <c r="AT144" i="32"/>
  <c r="AT143" i="32"/>
  <c r="AT140" i="32"/>
  <c r="AT139" i="32"/>
  <c r="AT138" i="32"/>
  <c r="AT132" i="32"/>
  <c r="AT131" i="32"/>
  <c r="AT130" i="32"/>
  <c r="AT126" i="32"/>
  <c r="AT125" i="32"/>
  <c r="AT124" i="32"/>
  <c r="AT123" i="32"/>
  <c r="AT122" i="32"/>
  <c r="AT116" i="32"/>
  <c r="AT115" i="32"/>
  <c r="AT114" i="32"/>
  <c r="AT108" i="32"/>
  <c r="AT107" i="32"/>
  <c r="AT106" i="32"/>
  <c r="AT99" i="32"/>
  <c r="AT98" i="32"/>
  <c r="AT92" i="32"/>
  <c r="AT91" i="32"/>
  <c r="AT90" i="32"/>
  <c r="AT86" i="32"/>
  <c r="AT85" i="32"/>
  <c r="AT84" i="32"/>
  <c r="AT83" i="32"/>
  <c r="AT82" i="32"/>
  <c r="AT76" i="32"/>
  <c r="AT75" i="32"/>
  <c r="AT74" i="32"/>
  <c r="AT68" i="32"/>
  <c r="AT67" i="32"/>
  <c r="AT66" i="32"/>
  <c r="AT65" i="32"/>
  <c r="AT64" i="32"/>
  <c r="AT63" i="32"/>
  <c r="AT62" i="32"/>
  <c r="AT61" i="32"/>
  <c r="AT59" i="32"/>
  <c r="AT58" i="32"/>
  <c r="AT54" i="32"/>
  <c r="AT53" i="32"/>
  <c r="AT52" i="32"/>
  <c r="AT51" i="32"/>
  <c r="AT50" i="32"/>
  <c r="AT49" i="32"/>
  <c r="AT48" i="32"/>
  <c r="AT47" i="32"/>
  <c r="AT44" i="32"/>
  <c r="AT43" i="32"/>
  <c r="AT42" i="32"/>
  <c r="AT41" i="32"/>
  <c r="AT40" i="32"/>
  <c r="AT39" i="32"/>
  <c r="AT36" i="32"/>
  <c r="AT35" i="32"/>
  <c r="AT34" i="32"/>
  <c r="AT30" i="32"/>
  <c r="AT29" i="32"/>
  <c r="AT28" i="32"/>
  <c r="AT27" i="32"/>
  <c r="AT26" i="32"/>
  <c r="AT20" i="32"/>
  <c r="AT19" i="32"/>
  <c r="AT18" i="32"/>
  <c r="AT17" i="32"/>
  <c r="AT16" i="32"/>
  <c r="AT15" i="32"/>
  <c r="AT14" i="32"/>
  <c r="AT13" i="32"/>
  <c r="AT12" i="32"/>
  <c r="AT11" i="32"/>
  <c r="AT10" i="32"/>
  <c r="AT9" i="32"/>
  <c r="AT8" i="32"/>
  <c r="AT7" i="32"/>
  <c r="AP203" i="32"/>
  <c r="AP202" i="32"/>
  <c r="AP201" i="32"/>
  <c r="AP200" i="32"/>
  <c r="AP199" i="32"/>
  <c r="AP198" i="32"/>
  <c r="AP197" i="32"/>
  <c r="AP196" i="32"/>
  <c r="AP195" i="32"/>
  <c r="AP194" i="32"/>
  <c r="AP193" i="32"/>
  <c r="AP192" i="32"/>
  <c r="AP191" i="32"/>
  <c r="AP190" i="32"/>
  <c r="AP189" i="32"/>
  <c r="AP188" i="32"/>
  <c r="AP187" i="32"/>
  <c r="AP186" i="32"/>
  <c r="AP185" i="32"/>
  <c r="AP184" i="32"/>
  <c r="AP183" i="32"/>
  <c r="AP182" i="32"/>
  <c r="AP181" i="32"/>
  <c r="AP180" i="32"/>
  <c r="AP174" i="32"/>
  <c r="AP173" i="32"/>
  <c r="AP147" i="32"/>
  <c r="AP146" i="32"/>
  <c r="AP145" i="32"/>
  <c r="AP144" i="32"/>
  <c r="AP143" i="32"/>
  <c r="AP142" i="32"/>
  <c r="AP141" i="32"/>
  <c r="AP140" i="32"/>
  <c r="AP139" i="32"/>
  <c r="AP138" i="32"/>
  <c r="AP137" i="32"/>
  <c r="AP136" i="32"/>
  <c r="AP135" i="32"/>
  <c r="AP134" i="32"/>
  <c r="AP133" i="32"/>
  <c r="AP132" i="32"/>
  <c r="AP131" i="32"/>
  <c r="AP130" i="32"/>
  <c r="AP129" i="32"/>
  <c r="AP128" i="32"/>
  <c r="AP127" i="32"/>
  <c r="AP126" i="32"/>
  <c r="AP125" i="32"/>
  <c r="AP124" i="32"/>
  <c r="AP123" i="32"/>
  <c r="AP122" i="32"/>
  <c r="AP121" i="32"/>
  <c r="AP120" i="32"/>
  <c r="AP119" i="32"/>
  <c r="AP118" i="32"/>
  <c r="AP117" i="32"/>
  <c r="AP116" i="32"/>
  <c r="AP115" i="32"/>
  <c r="AP114" i="32"/>
  <c r="AP113" i="32"/>
  <c r="AP112" i="32"/>
  <c r="AP111" i="32"/>
  <c r="AP110" i="32"/>
  <c r="AP109" i="32"/>
  <c r="AP108" i="32"/>
  <c r="AP107" i="32"/>
  <c r="AP106" i="32"/>
  <c r="AP105" i="32"/>
  <c r="AP104" i="32"/>
  <c r="AP103" i="32"/>
  <c r="AP102" i="32"/>
  <c r="AP101" i="32"/>
  <c r="AP100" i="32"/>
  <c r="AP91" i="32"/>
  <c r="AP90" i="32"/>
  <c r="AP89" i="32"/>
  <c r="AP88" i="32"/>
  <c r="AP87" i="32"/>
  <c r="AP86" i="32"/>
  <c r="AP85" i="32"/>
  <c r="AP84" i="32"/>
  <c r="AP83" i="32"/>
  <c r="AP82" i="32"/>
  <c r="AP81" i="32"/>
  <c r="AP80" i="32"/>
  <c r="AP79" i="32"/>
  <c r="AP78" i="32"/>
  <c r="AP77" i="32"/>
  <c r="AP76" i="32"/>
  <c r="AP75" i="32"/>
  <c r="AP74" i="32"/>
  <c r="AP73" i="32"/>
  <c r="AP72" i="32"/>
  <c r="AP71" i="32"/>
  <c r="AP70" i="32"/>
  <c r="AP69" i="32"/>
  <c r="AP68" i="32"/>
  <c r="AP67" i="32"/>
  <c r="AP66" i="32"/>
  <c r="AP65" i="32"/>
  <c r="AP64" i="32"/>
  <c r="AP63" i="32"/>
  <c r="AP62" i="32"/>
  <c r="AP61" i="32"/>
  <c r="AP60" i="32"/>
  <c r="AP59" i="32"/>
  <c r="AP58" i="32"/>
  <c r="AP57" i="32"/>
  <c r="AP56" i="32"/>
  <c r="AP55" i="32"/>
  <c r="AP54" i="32"/>
  <c r="AP53" i="32"/>
  <c r="AP52" i="32"/>
  <c r="AP51" i="32"/>
  <c r="AP50" i="32"/>
  <c r="AP49" i="32"/>
  <c r="AP48" i="32"/>
  <c r="AP47" i="32"/>
  <c r="AP46" i="32"/>
  <c r="AP45" i="32"/>
  <c r="AP44" i="32"/>
  <c r="AP43" i="32"/>
  <c r="AP42" i="32"/>
  <c r="AP41" i="32"/>
  <c r="AP40" i="32"/>
  <c r="AP39" i="32"/>
  <c r="AP38" i="32"/>
  <c r="AP37" i="32"/>
  <c r="AP36" i="32"/>
  <c r="AP35" i="32"/>
  <c r="AP34" i="32"/>
  <c r="AP33" i="32"/>
  <c r="AP32" i="32"/>
  <c r="AP31" i="32"/>
  <c r="AP30" i="32"/>
  <c r="AP29" i="32"/>
  <c r="AP28" i="32"/>
  <c r="AP17" i="32"/>
  <c r="AP16" i="32"/>
  <c r="AP15" i="32"/>
  <c r="AP11" i="32"/>
  <c r="AP10" i="32"/>
  <c r="AP9" i="32"/>
  <c r="AP8" i="32"/>
  <c r="AP7" i="32"/>
  <c r="AS203" i="32"/>
  <c r="AS202" i="32"/>
  <c r="AS201" i="32"/>
  <c r="AS200" i="32"/>
  <c r="AS199" i="32"/>
  <c r="AS198" i="32"/>
  <c r="AS197" i="32"/>
  <c r="AS196" i="32"/>
  <c r="AS195" i="32"/>
  <c r="AS194" i="32"/>
  <c r="AS193" i="32"/>
  <c r="AS192" i="32"/>
  <c r="AS191" i="32"/>
  <c r="AS190" i="32"/>
  <c r="AS189" i="32"/>
  <c r="AS188" i="32"/>
  <c r="AS187" i="32"/>
  <c r="AS186" i="32"/>
  <c r="AS185" i="32"/>
  <c r="AS184" i="32"/>
  <c r="AS183" i="32"/>
  <c r="AS182" i="32"/>
  <c r="AS181" i="32"/>
  <c r="AS180" i="32"/>
  <c r="AS179" i="32"/>
  <c r="AS178" i="32"/>
  <c r="AS177" i="32"/>
  <c r="AS176" i="32"/>
  <c r="AS175" i="32"/>
  <c r="AS174" i="32"/>
  <c r="AS173" i="32"/>
  <c r="AS172" i="32"/>
  <c r="AS171" i="32"/>
  <c r="AS170" i="32"/>
  <c r="AS169" i="32"/>
  <c r="AS168" i="32"/>
  <c r="AS167" i="32"/>
  <c r="AS166" i="32"/>
  <c r="AS165" i="32"/>
  <c r="AS164" i="32"/>
  <c r="AS163" i="32"/>
  <c r="AS162" i="32"/>
  <c r="AS161" i="32"/>
  <c r="AS160" i="32"/>
  <c r="AS159" i="32"/>
  <c r="AS158" i="32"/>
  <c r="AS157" i="32"/>
  <c r="AS156" i="32"/>
  <c r="AS155" i="32"/>
  <c r="AS154" i="32"/>
  <c r="AS153" i="32"/>
  <c r="AS152" i="32"/>
  <c r="AS151" i="32"/>
  <c r="AS150" i="32"/>
  <c r="AS149" i="32"/>
  <c r="AS148" i="32"/>
  <c r="AS147" i="32"/>
  <c r="AS146" i="32"/>
  <c r="AS145" i="32"/>
  <c r="AS144" i="32"/>
  <c r="AS143" i="32"/>
  <c r="AS142" i="32"/>
  <c r="AS141" i="32"/>
  <c r="AS140" i="32"/>
  <c r="AS139" i="32"/>
  <c r="AS138" i="32"/>
  <c r="AS137" i="32"/>
  <c r="AS136" i="32"/>
  <c r="AS135" i="32"/>
  <c r="AS134" i="32"/>
  <c r="AS133" i="32"/>
  <c r="AS132" i="32"/>
  <c r="AS131" i="32"/>
  <c r="AS130" i="32"/>
  <c r="AS129" i="32"/>
  <c r="AS128" i="32"/>
  <c r="AS127" i="32"/>
  <c r="AS126" i="32"/>
  <c r="AS125" i="32"/>
  <c r="AS124" i="32"/>
  <c r="AS123" i="32"/>
  <c r="AS122" i="32"/>
  <c r="AS121" i="32"/>
  <c r="AS120" i="32"/>
  <c r="AS119" i="32"/>
  <c r="AS118" i="32"/>
  <c r="AS117" i="32"/>
  <c r="AS116" i="32"/>
  <c r="AS115" i="32"/>
  <c r="AS114" i="32"/>
  <c r="AS113" i="32"/>
  <c r="AS112" i="32"/>
  <c r="AS111" i="32"/>
  <c r="AS110" i="32"/>
  <c r="AS109" i="32"/>
  <c r="AS108" i="32"/>
  <c r="AS107" i="32"/>
  <c r="AS106" i="32"/>
  <c r="AS105" i="32"/>
  <c r="AS104" i="32"/>
  <c r="AS103" i="32"/>
  <c r="AS102" i="32"/>
  <c r="AS101" i="32"/>
  <c r="AS100" i="32"/>
  <c r="AS99" i="32"/>
  <c r="AS98" i="32"/>
  <c r="AS97" i="32"/>
  <c r="AS96" i="32"/>
  <c r="AS95" i="32"/>
  <c r="AS94" i="32"/>
  <c r="AS93" i="32"/>
  <c r="AS92" i="32"/>
  <c r="AS91" i="32"/>
  <c r="AS90" i="32"/>
  <c r="AS89" i="32"/>
  <c r="AS88" i="32"/>
  <c r="AS87" i="32"/>
  <c r="AS86" i="32"/>
  <c r="AS85" i="32"/>
  <c r="AS84" i="32"/>
  <c r="AS83" i="32"/>
  <c r="AS82" i="32"/>
  <c r="AS81" i="32"/>
  <c r="AS80" i="32"/>
  <c r="AS79" i="32"/>
  <c r="AS78" i="32"/>
  <c r="AS77" i="32"/>
  <c r="AS76" i="32"/>
  <c r="AS75" i="32"/>
  <c r="AS74" i="32"/>
  <c r="AS73" i="32"/>
  <c r="AS72" i="32"/>
  <c r="AS71" i="32"/>
  <c r="AS70" i="32"/>
  <c r="AS69" i="32"/>
  <c r="AS68" i="32"/>
  <c r="AS67" i="32"/>
  <c r="AS66" i="32"/>
  <c r="AS65" i="32"/>
  <c r="AS64" i="32"/>
  <c r="AS63" i="32"/>
  <c r="AS62" i="32"/>
  <c r="AS61" i="32"/>
  <c r="AS60" i="32"/>
  <c r="AS59" i="32"/>
  <c r="AS58" i="32"/>
  <c r="AS57" i="32"/>
  <c r="AS56" i="32"/>
  <c r="AS55" i="32"/>
  <c r="AS54" i="32"/>
  <c r="AS53" i="32"/>
  <c r="AS52" i="32"/>
  <c r="AS51" i="32"/>
  <c r="AS50" i="32"/>
  <c r="AS49" i="32"/>
  <c r="AS48" i="32"/>
  <c r="AS47" i="32"/>
  <c r="AS46" i="32"/>
  <c r="AS45" i="32"/>
  <c r="AS44" i="32"/>
  <c r="AS43" i="32"/>
  <c r="AS42" i="32"/>
  <c r="AS41" i="32"/>
  <c r="AS40" i="32"/>
  <c r="AS39" i="32"/>
  <c r="AS38" i="32"/>
  <c r="AS37" i="32"/>
  <c r="AS36" i="32"/>
  <c r="AS35" i="32"/>
  <c r="AS34" i="32"/>
  <c r="AS33" i="32"/>
  <c r="AS32" i="32"/>
  <c r="AS31" i="32"/>
  <c r="AS30" i="32"/>
  <c r="AS29" i="32"/>
  <c r="AS28" i="32"/>
  <c r="AS27" i="32"/>
  <c r="AS26" i="32"/>
  <c r="AS25" i="32"/>
  <c r="AS24" i="32"/>
  <c r="AS23" i="32"/>
  <c r="AS22" i="32"/>
  <c r="AS21" i="32"/>
  <c r="AS20" i="32"/>
  <c r="AS19" i="32"/>
  <c r="AS18" i="32"/>
  <c r="AS17" i="32"/>
  <c r="AS16" i="32"/>
  <c r="AS15" i="32"/>
  <c r="AS14" i="32"/>
  <c r="AS13" i="32"/>
  <c r="AS12" i="32"/>
  <c r="AS11" i="32"/>
  <c r="AS10" i="32"/>
  <c r="AS9" i="32"/>
  <c r="AS8" i="32"/>
  <c r="AR203" i="32"/>
  <c r="AR202" i="32"/>
  <c r="AR201" i="32"/>
  <c r="AR200" i="32"/>
  <c r="AR199" i="32"/>
  <c r="AR198" i="32"/>
  <c r="AR197" i="32"/>
  <c r="AR196" i="32"/>
  <c r="AR195" i="32"/>
  <c r="AR194" i="32"/>
  <c r="AR193" i="32"/>
  <c r="AR192" i="32"/>
  <c r="AR191" i="32"/>
  <c r="AR190" i="32"/>
  <c r="AR189" i="32"/>
  <c r="AR188" i="32"/>
  <c r="AR187" i="32"/>
  <c r="AR186" i="32"/>
  <c r="AR185" i="32"/>
  <c r="AR184" i="32"/>
  <c r="AR183" i="32"/>
  <c r="AR182" i="32"/>
  <c r="AR181" i="32"/>
  <c r="AR180" i="32"/>
  <c r="AR179" i="32"/>
  <c r="AR178" i="32"/>
  <c r="AR177" i="32"/>
  <c r="AR176" i="32"/>
  <c r="AR175" i="32"/>
  <c r="AR174" i="32"/>
  <c r="AR173" i="32"/>
  <c r="AR172" i="32"/>
  <c r="AR171" i="32"/>
  <c r="AR170" i="32"/>
  <c r="AR169" i="32"/>
  <c r="AR168" i="32"/>
  <c r="AR167" i="32"/>
  <c r="AR166" i="32"/>
  <c r="AR165" i="32"/>
  <c r="AR164" i="32"/>
  <c r="AR163" i="32"/>
  <c r="AR162" i="32"/>
  <c r="AR161" i="32"/>
  <c r="AR160" i="32"/>
  <c r="AR159" i="32"/>
  <c r="AR158" i="32"/>
  <c r="AR157" i="32"/>
  <c r="AR156" i="32"/>
  <c r="AR155" i="32"/>
  <c r="AR154" i="32"/>
  <c r="AR153" i="32"/>
  <c r="AR152" i="32"/>
  <c r="AR151" i="32"/>
  <c r="AR150" i="32"/>
  <c r="AR149" i="32"/>
  <c r="AR148" i="32"/>
  <c r="AR147" i="32"/>
  <c r="AR146" i="32"/>
  <c r="AR145" i="32"/>
  <c r="AR144" i="32"/>
  <c r="AR143" i="32"/>
  <c r="AR142" i="32"/>
  <c r="AR141" i="32"/>
  <c r="AR140" i="32"/>
  <c r="AR139" i="32"/>
  <c r="AR138" i="32"/>
  <c r="AR137" i="32"/>
  <c r="AR136" i="32"/>
  <c r="AR135" i="32"/>
  <c r="AR134" i="32"/>
  <c r="AR133" i="32"/>
  <c r="AR132" i="32"/>
  <c r="AR131" i="32"/>
  <c r="AR130" i="32"/>
  <c r="AR129" i="32"/>
  <c r="AR128" i="32"/>
  <c r="AR127" i="32"/>
  <c r="AR126" i="32"/>
  <c r="AR125" i="32"/>
  <c r="AR124" i="32"/>
  <c r="AR123" i="32"/>
  <c r="AR122" i="32"/>
  <c r="AR121" i="32"/>
  <c r="AR120" i="32"/>
  <c r="AR119" i="32"/>
  <c r="AR118" i="32"/>
  <c r="AR117" i="32"/>
  <c r="AR116" i="32"/>
  <c r="AR115" i="32"/>
  <c r="AR114" i="32"/>
  <c r="AR113" i="32"/>
  <c r="AR112" i="32"/>
  <c r="AR111" i="32"/>
  <c r="AR110" i="32"/>
  <c r="AR109" i="32"/>
  <c r="AR108" i="32"/>
  <c r="AR107" i="32"/>
  <c r="AR106" i="32"/>
  <c r="AR105" i="32"/>
  <c r="AR104" i="32"/>
  <c r="AR103" i="32"/>
  <c r="AR102" i="32"/>
  <c r="AR101" i="32"/>
  <c r="AR100" i="32"/>
  <c r="AR99" i="32"/>
  <c r="AR98" i="32"/>
  <c r="AR97" i="32"/>
  <c r="AR96" i="32"/>
  <c r="AR95" i="32"/>
  <c r="AR94" i="32"/>
  <c r="AR93" i="32"/>
  <c r="AR92" i="32"/>
  <c r="AR91" i="32"/>
  <c r="AR90" i="32"/>
  <c r="AR89" i="32"/>
  <c r="AR88" i="32"/>
  <c r="AR87" i="32"/>
  <c r="AR86" i="32"/>
  <c r="AR85" i="32"/>
  <c r="AR84" i="32"/>
  <c r="AR83" i="32"/>
  <c r="AR82" i="32"/>
  <c r="AR81" i="32"/>
  <c r="AR80" i="32"/>
  <c r="AR79" i="32"/>
  <c r="AR78" i="32"/>
  <c r="AR77" i="32"/>
  <c r="AR76" i="32"/>
  <c r="AR75" i="32"/>
  <c r="AR74" i="32"/>
  <c r="AR73" i="32"/>
  <c r="AR72" i="32"/>
  <c r="AR71" i="32"/>
  <c r="AR70" i="32"/>
  <c r="AR69" i="32"/>
  <c r="AR68" i="32"/>
  <c r="AR67" i="32"/>
  <c r="AR66" i="32"/>
  <c r="AR65" i="32"/>
  <c r="AR64" i="32"/>
  <c r="AR63" i="32"/>
  <c r="AR60" i="32"/>
  <c r="AR59" i="32"/>
  <c r="AR58" i="32"/>
  <c r="AR57" i="32"/>
  <c r="AR56" i="32"/>
  <c r="AR55" i="32"/>
  <c r="AR54" i="32"/>
  <c r="AR53" i="32"/>
  <c r="AR52" i="32"/>
  <c r="AR51" i="32"/>
  <c r="AR50" i="32"/>
  <c r="AR49" i="32"/>
  <c r="AR48" i="32"/>
  <c r="AR47" i="32"/>
  <c r="AR46" i="32"/>
  <c r="AR45" i="32"/>
  <c r="AR44" i="32"/>
  <c r="AR43" i="32"/>
  <c r="AR42" i="32"/>
  <c r="AR41" i="32"/>
  <c r="AR40" i="32"/>
  <c r="AR39" i="32"/>
  <c r="AR38" i="32"/>
  <c r="AR37" i="32"/>
  <c r="AR36" i="32"/>
  <c r="AR35" i="32"/>
  <c r="AR34" i="32"/>
  <c r="AR28" i="32"/>
  <c r="AR27" i="32"/>
  <c r="AR26" i="32"/>
  <c r="AR25" i="32"/>
  <c r="AR24" i="32"/>
  <c r="AR23" i="32"/>
  <c r="AR22" i="32"/>
  <c r="AR21" i="32"/>
  <c r="AR20" i="32"/>
  <c r="AR19" i="32"/>
  <c r="AR18" i="32"/>
  <c r="AR17" i="32"/>
  <c r="AR16" i="32"/>
  <c r="AR15" i="32"/>
  <c r="AR14" i="32"/>
  <c r="AR13" i="32"/>
  <c r="AR12" i="32"/>
  <c r="AR5" i="32"/>
  <c r="AP4" i="32"/>
  <c r="AS4" i="32"/>
  <c r="AR4" i="32"/>
  <c r="AR11" i="32"/>
  <c r="AR10" i="32"/>
  <c r="AS7" i="32"/>
  <c r="AP6" i="32"/>
  <c r="AS6" i="32"/>
  <c r="AR6" i="32"/>
  <c r="AP5" i="32"/>
  <c r="AS5" i="32"/>
  <c r="AV9" i="32"/>
  <c r="AV8" i="32"/>
  <c r="AV7" i="32"/>
  <c r="AO203" i="32"/>
  <c r="AO202" i="32"/>
  <c r="AO201" i="32"/>
  <c r="AO200" i="32"/>
  <c r="AO199" i="32"/>
  <c r="AO198" i="32"/>
  <c r="AO197" i="32"/>
  <c r="AO196" i="32"/>
  <c r="AO195" i="32"/>
  <c r="AO194" i="32"/>
  <c r="AU193" i="32"/>
  <c r="AO193" i="32"/>
  <c r="AU192" i="32"/>
  <c r="AO192" i="32"/>
  <c r="AU191" i="32"/>
  <c r="AO191" i="32"/>
  <c r="AO190" i="32"/>
  <c r="AO189" i="32"/>
  <c r="AO188" i="32"/>
  <c r="AO187" i="32"/>
  <c r="AO186" i="32"/>
  <c r="AO185" i="32"/>
  <c r="AO184" i="32"/>
  <c r="AO183" i="32"/>
  <c r="AO182" i="32"/>
  <c r="AO181" i="32"/>
  <c r="AO180" i="32"/>
  <c r="AU174" i="32"/>
  <c r="AO174" i="32"/>
  <c r="AU173" i="32"/>
  <c r="AO173" i="32"/>
  <c r="AO147" i="32"/>
  <c r="AO146" i="32"/>
  <c r="AO145" i="32"/>
  <c r="AO144" i="32"/>
  <c r="AO143" i="32"/>
  <c r="AO142" i="32"/>
  <c r="AO141" i="32"/>
  <c r="AO140" i="32"/>
  <c r="AO139" i="32"/>
  <c r="AO138" i="32"/>
  <c r="AU137" i="32"/>
  <c r="AO137" i="32"/>
  <c r="AU136" i="32"/>
  <c r="AO136" i="32"/>
  <c r="AU135" i="32"/>
  <c r="AO135" i="32"/>
  <c r="AO134" i="32"/>
  <c r="AO133" i="32"/>
  <c r="AO132" i="32"/>
  <c r="AO131" i="32"/>
  <c r="AO130" i="32"/>
  <c r="AU129" i="32"/>
  <c r="AO129" i="32"/>
  <c r="AU128" i="32"/>
  <c r="AO128" i="32"/>
  <c r="AU127" i="32"/>
  <c r="AO127" i="32"/>
  <c r="AO126" i="32"/>
  <c r="AO125" i="32"/>
  <c r="AO124" i="32"/>
  <c r="AO123" i="32"/>
  <c r="AO122" i="32"/>
  <c r="AU121" i="32"/>
  <c r="AO121" i="32"/>
  <c r="AU120" i="32"/>
  <c r="AO120" i="32"/>
  <c r="AU119" i="32"/>
  <c r="AO119" i="32"/>
  <c r="AU118" i="32"/>
  <c r="AU117" i="32"/>
  <c r="AO116" i="32"/>
  <c r="AO115" i="32"/>
  <c r="AO114" i="32"/>
  <c r="AU113" i="32"/>
  <c r="AO113" i="32"/>
  <c r="AU112" i="32"/>
  <c r="AO112" i="32"/>
  <c r="AU111" i="32"/>
  <c r="AO111" i="32"/>
  <c r="AO110" i="32"/>
  <c r="AO109" i="32"/>
  <c r="AO108" i="32"/>
  <c r="AO107" i="32"/>
  <c r="AO106" i="32"/>
  <c r="AO105" i="32"/>
  <c r="AO104" i="32"/>
  <c r="AO103" i="32"/>
  <c r="AO102" i="32"/>
  <c r="AO101" i="32"/>
  <c r="AO100" i="32"/>
  <c r="F160" i="34"/>
  <c r="AO91" i="32"/>
  <c r="AO90" i="32"/>
  <c r="AU89" i="32"/>
  <c r="AO89" i="32"/>
  <c r="AU88" i="32"/>
  <c r="AO88" i="32"/>
  <c r="AU87" i="32"/>
  <c r="AO87" i="32"/>
  <c r="AO86" i="32"/>
  <c r="AO85" i="32"/>
  <c r="AO84" i="32"/>
  <c r="AO83" i="32"/>
  <c r="AO82" i="32"/>
  <c r="AO81" i="32"/>
  <c r="AO80" i="32"/>
  <c r="AO79" i="32"/>
  <c r="AU78" i="32"/>
  <c r="AO78" i="32"/>
  <c r="AU77" i="32"/>
  <c r="AO77" i="32"/>
  <c r="AO76" i="32"/>
  <c r="AO75" i="32"/>
  <c r="AO74" i="32"/>
  <c r="AO73" i="32"/>
  <c r="AO72" i="32"/>
  <c r="AO71" i="32"/>
  <c r="AO70" i="32"/>
  <c r="AO69" i="32"/>
  <c r="AO68" i="32"/>
  <c r="AO67" i="32"/>
  <c r="AO66" i="32"/>
  <c r="AO65" i="32"/>
  <c r="AO64" i="32"/>
  <c r="AO63" i="32"/>
  <c r="AR62" i="32"/>
  <c r="AR61" i="32"/>
  <c r="AO60" i="32"/>
  <c r="AO59" i="32"/>
  <c r="AO58" i="32"/>
  <c r="AU57" i="32"/>
  <c r="AO57" i="32"/>
  <c r="AU56" i="32"/>
  <c r="AO56" i="32"/>
  <c r="AU55" i="32"/>
  <c r="AO55" i="32"/>
  <c r="AO54" i="32"/>
  <c r="AO53" i="32"/>
  <c r="AO52" i="32"/>
  <c r="AO49" i="32"/>
  <c r="AO48" i="32"/>
  <c r="AO47" i="32"/>
  <c r="AO44" i="32"/>
  <c r="AO43" i="32"/>
  <c r="AO42" i="32"/>
  <c r="AU41" i="32"/>
  <c r="AO41" i="32"/>
  <c r="AU40" i="32"/>
  <c r="AO40" i="32"/>
  <c r="AU39" i="32"/>
  <c r="AO39" i="32"/>
  <c r="AO38" i="32"/>
  <c r="AO37" i="32"/>
  <c r="AO36" i="32"/>
  <c r="AO35" i="32"/>
  <c r="AO34" i="32"/>
  <c r="AO28" i="32"/>
  <c r="AO17" i="32"/>
  <c r="AO16" i="32"/>
  <c r="AO15" i="32"/>
  <c r="AO11" i="32"/>
  <c r="AO10" i="32"/>
  <c r="AR9" i="32"/>
  <c r="AO9" i="32"/>
  <c r="AR8" i="32"/>
  <c r="AO8" i="32"/>
  <c r="AR7" i="32"/>
  <c r="AO7" i="32"/>
  <c r="AO6" i="32"/>
  <c r="AO5" i="32"/>
  <c r="AO4" i="32"/>
  <c r="AQ203" i="32"/>
  <c r="S203" i="32"/>
  <c r="H203" i="32"/>
  <c r="E203" i="32"/>
  <c r="AQ202" i="32"/>
  <c r="S202" i="32"/>
  <c r="H202" i="32"/>
  <c r="E202" i="32"/>
  <c r="AQ201" i="32"/>
  <c r="H201" i="32"/>
  <c r="E201" i="32"/>
  <c r="AQ200" i="32"/>
  <c r="H200" i="32"/>
  <c r="E200" i="32"/>
  <c r="AQ199" i="32"/>
  <c r="H199" i="32"/>
  <c r="E199" i="32"/>
  <c r="AQ198" i="32"/>
  <c r="H198" i="32"/>
  <c r="E198" i="32"/>
  <c r="AQ197" i="32"/>
  <c r="H197" i="32"/>
  <c r="E197" i="32"/>
  <c r="AQ196" i="32"/>
  <c r="H196" i="32"/>
  <c r="E196" i="32"/>
  <c r="AN195" i="32"/>
  <c r="AQ195" i="32"/>
  <c r="S195" i="32"/>
  <c r="H195" i="32"/>
  <c r="E195" i="32"/>
  <c r="AN194" i="32"/>
  <c r="AQ194" i="32"/>
  <c r="S194" i="32"/>
  <c r="H194" i="32"/>
  <c r="E194" i="32"/>
  <c r="AQ193" i="32"/>
  <c r="H193" i="32"/>
  <c r="E193" i="32"/>
  <c r="AQ192" i="32"/>
  <c r="H192" i="32"/>
  <c r="E192" i="32"/>
  <c r="AQ191" i="32"/>
  <c r="H191" i="32"/>
  <c r="E191" i="32"/>
  <c r="AQ190" i="32"/>
  <c r="H190" i="32"/>
  <c r="E190" i="32"/>
  <c r="AQ189" i="32"/>
  <c r="H189" i="32"/>
  <c r="E189" i="32"/>
  <c r="AQ188" i="32"/>
  <c r="S188" i="32"/>
  <c r="H188" i="32"/>
  <c r="E188" i="32"/>
  <c r="AQ187" i="32"/>
  <c r="S187" i="32"/>
  <c r="H187" i="32"/>
  <c r="E187" i="32"/>
  <c r="AQ186" i="32"/>
  <c r="H186" i="32"/>
  <c r="E186" i="32"/>
  <c r="AQ185" i="32"/>
  <c r="H185" i="32"/>
  <c r="E185" i="32"/>
  <c r="AQ184" i="32"/>
  <c r="H184" i="32"/>
  <c r="E184" i="32"/>
  <c r="AQ183" i="32"/>
  <c r="H183" i="32"/>
  <c r="E183" i="32"/>
  <c r="AQ182" i="32"/>
  <c r="H182" i="32"/>
  <c r="E182" i="32"/>
  <c r="AQ181" i="32"/>
  <c r="H181" i="32"/>
  <c r="E181" i="32"/>
  <c r="AQ180" i="32"/>
  <c r="H180" i="32"/>
  <c r="E180" i="32"/>
  <c r="AQ179" i="32"/>
  <c r="X179" i="32"/>
  <c r="T179" i="32" s="1"/>
  <c r="U179" i="32" s="1" a="1"/>
  <c r="U179" i="32" s="1"/>
  <c r="S179" i="32"/>
  <c r="H179" i="32"/>
  <c r="E179" i="32"/>
  <c r="AQ178" i="32"/>
  <c r="X178" i="32"/>
  <c r="T178" i="32" s="1"/>
  <c r="U178" i="32" s="1" a="1"/>
  <c r="U178" i="32" s="1"/>
  <c r="S178" i="32"/>
  <c r="H178" i="32"/>
  <c r="E178" i="32"/>
  <c r="AN177" i="32"/>
  <c r="AQ177" i="32"/>
  <c r="X177" i="32"/>
  <c r="T177" i="32" s="1"/>
  <c r="U177" i="32" s="1" a="1"/>
  <c r="U177" i="32" s="1"/>
  <c r="H177" i="32"/>
  <c r="E177" i="32"/>
  <c r="AN176" i="32"/>
  <c r="AQ176" i="32"/>
  <c r="X176" i="32"/>
  <c r="T176" i="32" s="1"/>
  <c r="U176" i="32" s="1" a="1"/>
  <c r="U176" i="32" s="1"/>
  <c r="H176" i="32"/>
  <c r="E176" i="32"/>
  <c r="AN175" i="32"/>
  <c r="AQ175" i="32"/>
  <c r="X175" i="32"/>
  <c r="T175" i="32" s="1"/>
  <c r="U175" i="32" s="1" a="1"/>
  <c r="U175" i="32" s="1"/>
  <c r="H175" i="32"/>
  <c r="E175" i="32"/>
  <c r="AQ174" i="32"/>
  <c r="S174" i="32"/>
  <c r="H174" i="32"/>
  <c r="E174" i="32"/>
  <c r="AQ173" i="32"/>
  <c r="S173" i="32"/>
  <c r="H173" i="32"/>
  <c r="E173" i="32"/>
  <c r="AQ172" i="32"/>
  <c r="X172" i="32"/>
  <c r="T172" i="32" s="1"/>
  <c r="U172" i="32" s="1" a="1"/>
  <c r="U172" i="32" s="1"/>
  <c r="S172" i="32"/>
  <c r="H172" i="32"/>
  <c r="E172" i="32"/>
  <c r="AQ171" i="32"/>
  <c r="X171" i="32"/>
  <c r="T171" i="32" s="1"/>
  <c r="U171" i="32" s="1" a="1"/>
  <c r="U171" i="32" s="1"/>
  <c r="S171" i="32"/>
  <c r="H171" i="32"/>
  <c r="E171" i="32"/>
  <c r="AQ170" i="32"/>
  <c r="X170" i="32"/>
  <c r="T170" i="32" s="1"/>
  <c r="U170" i="32" s="1" a="1"/>
  <c r="U170" i="32" s="1"/>
  <c r="H170" i="32"/>
  <c r="E170" i="32"/>
  <c r="AQ169" i="32"/>
  <c r="X169" i="32"/>
  <c r="T169" i="32" s="1"/>
  <c r="U169" i="32" s="1" a="1"/>
  <c r="U169" i="32" s="1"/>
  <c r="H169" i="32"/>
  <c r="E169" i="32"/>
  <c r="AQ168" i="32"/>
  <c r="X168" i="32"/>
  <c r="T168" i="32" s="1"/>
  <c r="U168" i="32" s="1" a="1"/>
  <c r="U168" i="32" s="1"/>
  <c r="H168" i="32"/>
  <c r="E168" i="32"/>
  <c r="AQ167" i="32"/>
  <c r="X167" i="32"/>
  <c r="T167" i="32" s="1"/>
  <c r="U167" i="32" s="1" a="1"/>
  <c r="U167" i="32" s="1"/>
  <c r="H167" i="32"/>
  <c r="E167" i="32"/>
  <c r="AQ166" i="32"/>
  <c r="X166" i="32"/>
  <c r="T166" i="32" s="1"/>
  <c r="U166" i="32" s="1" a="1"/>
  <c r="U166" i="32" s="1"/>
  <c r="H166" i="32"/>
  <c r="E166" i="32"/>
  <c r="AQ165" i="32"/>
  <c r="X165" i="32"/>
  <c r="T165" i="32" s="1"/>
  <c r="U165" i="32" s="1" a="1"/>
  <c r="U165" i="32" s="1"/>
  <c r="H165" i="32"/>
  <c r="E165" i="32"/>
  <c r="AQ164" i="32"/>
  <c r="X164" i="32"/>
  <c r="T164" i="32" s="1"/>
  <c r="U164" i="32" s="1" a="1"/>
  <c r="U164" i="32" s="1"/>
  <c r="H164" i="32"/>
  <c r="E164" i="32"/>
  <c r="AQ163" i="32"/>
  <c r="X163" i="32"/>
  <c r="T163" i="32" s="1"/>
  <c r="U163" i="32" s="1" a="1"/>
  <c r="U163" i="32" s="1"/>
  <c r="S163" i="32"/>
  <c r="H163" i="32"/>
  <c r="E163" i="32"/>
  <c r="AQ162" i="32"/>
  <c r="X162" i="32"/>
  <c r="T162" i="32" s="1"/>
  <c r="U162" i="32" s="1" a="1"/>
  <c r="U162" i="32" s="1"/>
  <c r="H162" i="32"/>
  <c r="E162" i="32"/>
  <c r="AQ161" i="32"/>
  <c r="X161" i="32"/>
  <c r="T161" i="32" s="1"/>
  <c r="U161" i="32" s="1" a="1"/>
  <c r="U161" i="32" s="1"/>
  <c r="H161" i="32"/>
  <c r="E161" i="32"/>
  <c r="AQ160" i="32"/>
  <c r="X160" i="32"/>
  <c r="T160" i="32" s="1"/>
  <c r="U160" i="32" s="1" a="1"/>
  <c r="U160" i="32" s="1"/>
  <c r="H160" i="32"/>
  <c r="E160" i="32"/>
  <c r="AQ159" i="32"/>
  <c r="X159" i="32"/>
  <c r="T159" i="32" s="1"/>
  <c r="U159" i="32" s="1" a="1"/>
  <c r="U159" i="32" s="1"/>
  <c r="H159" i="32"/>
  <c r="E159" i="32"/>
  <c r="AQ158" i="32"/>
  <c r="X158" i="32"/>
  <c r="T158" i="32" s="1"/>
  <c r="U158" i="32" s="1" a="1"/>
  <c r="U158" i="32" s="1"/>
  <c r="H158" i="32"/>
  <c r="E158" i="32"/>
  <c r="AQ157" i="32"/>
  <c r="X157" i="32"/>
  <c r="T157" i="32" s="1"/>
  <c r="U157" i="32" s="1" a="1"/>
  <c r="U157" i="32" s="1"/>
  <c r="H157" i="32"/>
  <c r="E157" i="32"/>
  <c r="AQ156" i="32"/>
  <c r="X156" i="32"/>
  <c r="T156" i="32" s="1"/>
  <c r="U156" i="32" s="1" a="1"/>
  <c r="U156" i="32" s="1"/>
  <c r="S156" i="32"/>
  <c r="H156" i="32"/>
  <c r="E156" i="32"/>
  <c r="AQ155" i="32"/>
  <c r="X155" i="32"/>
  <c r="T155" i="32" s="1"/>
  <c r="U155" i="32" s="1" a="1"/>
  <c r="U155" i="32" s="1"/>
  <c r="S155" i="32"/>
  <c r="H155" i="32"/>
  <c r="E155" i="32"/>
  <c r="AQ154" i="32"/>
  <c r="X154" i="32"/>
  <c r="T154" i="32" s="1"/>
  <c r="U154" i="32" s="1" a="1"/>
  <c r="U154" i="32" s="1"/>
  <c r="H154" i="32"/>
  <c r="E154" i="32"/>
  <c r="AQ153" i="32"/>
  <c r="X153" i="32"/>
  <c r="T153" i="32" s="1"/>
  <c r="U153" i="32" s="1" a="1"/>
  <c r="U153" i="32" s="1"/>
  <c r="H153" i="32"/>
  <c r="E153" i="32"/>
  <c r="AQ152" i="32"/>
  <c r="X152" i="32"/>
  <c r="T152" i="32" s="1"/>
  <c r="U152" i="32" s="1" a="1"/>
  <c r="U152" i="32" s="1"/>
  <c r="H152" i="32"/>
  <c r="E152" i="32"/>
  <c r="AQ151" i="32"/>
  <c r="X151" i="32"/>
  <c r="T151" i="32" s="1"/>
  <c r="U151" i="32" s="1" a="1"/>
  <c r="U151" i="32" s="1"/>
  <c r="H151" i="32"/>
  <c r="E151" i="32"/>
  <c r="AQ150" i="32"/>
  <c r="X150" i="32"/>
  <c r="T150" i="32" s="1"/>
  <c r="U150" i="32" s="1" a="1"/>
  <c r="U150" i="32" s="1"/>
  <c r="H150" i="32"/>
  <c r="E150" i="32"/>
  <c r="AQ149" i="32"/>
  <c r="X149" i="32"/>
  <c r="T149" i="32" s="1"/>
  <c r="U149" i="32" s="1" a="1"/>
  <c r="U149" i="32" s="1"/>
  <c r="H149" i="32"/>
  <c r="E149" i="32"/>
  <c r="AQ148" i="32"/>
  <c r="X148" i="32"/>
  <c r="T148" i="32" s="1"/>
  <c r="U148" i="32" s="1" a="1"/>
  <c r="U148" i="32" s="1"/>
  <c r="H148" i="32"/>
  <c r="E148" i="32"/>
  <c r="AQ147" i="32"/>
  <c r="S147" i="32"/>
  <c r="H147" i="32"/>
  <c r="E147" i="32"/>
  <c r="AQ146" i="32"/>
  <c r="S146" i="32"/>
  <c r="H146" i="32"/>
  <c r="E146" i="32"/>
  <c r="AN145" i="32"/>
  <c r="AQ145" i="32"/>
  <c r="H145" i="32"/>
  <c r="E145" i="32"/>
  <c r="AN144" i="32"/>
  <c r="AQ144" i="32"/>
  <c r="H144" i="32"/>
  <c r="E144" i="32"/>
  <c r="AN143" i="32"/>
  <c r="AQ143" i="32"/>
  <c r="H143" i="32"/>
  <c r="E143" i="32"/>
  <c r="AQ142" i="32"/>
  <c r="S142" i="32"/>
  <c r="H142" i="32"/>
  <c r="E142" i="32"/>
  <c r="AQ141" i="32"/>
  <c r="S141" i="32"/>
  <c r="H141" i="32"/>
  <c r="E141" i="32"/>
  <c r="AQ140" i="32"/>
  <c r="S140" i="32"/>
  <c r="H140" i="32"/>
  <c r="E140" i="32"/>
  <c r="AQ139" i="32"/>
  <c r="S139" i="32"/>
  <c r="H139" i="32"/>
  <c r="E139" i="32"/>
  <c r="AQ138" i="32"/>
  <c r="S138" i="32"/>
  <c r="H138" i="32"/>
  <c r="E138" i="32"/>
  <c r="AQ137" i="32"/>
  <c r="H137" i="32"/>
  <c r="E137" i="32"/>
  <c r="AQ136" i="32"/>
  <c r="H136" i="32"/>
  <c r="E136" i="32"/>
  <c r="AQ135" i="32"/>
  <c r="H135" i="32"/>
  <c r="E135" i="32"/>
  <c r="AQ134" i="32"/>
  <c r="H134" i="32"/>
  <c r="E134" i="32"/>
  <c r="AQ133" i="32"/>
  <c r="H133" i="32"/>
  <c r="E133" i="32"/>
  <c r="AQ132" i="32"/>
  <c r="H132" i="32"/>
  <c r="E132" i="32"/>
  <c r="AQ131" i="32"/>
  <c r="S131" i="32"/>
  <c r="H131" i="32"/>
  <c r="E131" i="32"/>
  <c r="AQ130" i="32"/>
  <c r="S130" i="32"/>
  <c r="H130" i="32"/>
  <c r="E130" i="32"/>
  <c r="AQ129" i="32"/>
  <c r="S129" i="32"/>
  <c r="H129" i="32"/>
  <c r="E129" i="32"/>
  <c r="AQ128" i="32"/>
  <c r="S128" i="32"/>
  <c r="H128" i="32"/>
  <c r="E128" i="32"/>
  <c r="AQ127" i="32"/>
  <c r="S127" i="32"/>
  <c r="H127" i="32"/>
  <c r="E127" i="32"/>
  <c r="AQ126" i="32"/>
  <c r="S126" i="32"/>
  <c r="H126" i="32"/>
  <c r="E126" i="32"/>
  <c r="AQ125" i="32"/>
  <c r="S125" i="32"/>
  <c r="H125" i="32"/>
  <c r="E125" i="32"/>
  <c r="AQ124" i="32"/>
  <c r="S124" i="32"/>
  <c r="H124" i="32"/>
  <c r="E124" i="32"/>
  <c r="AN123" i="32"/>
  <c r="AQ123" i="32"/>
  <c r="S123" i="32"/>
  <c r="H123" i="32"/>
  <c r="E123" i="32"/>
  <c r="AN122" i="32"/>
  <c r="AQ122" i="32"/>
  <c r="S122" i="32"/>
  <c r="H122" i="32"/>
  <c r="E122" i="32"/>
  <c r="AQ121" i="32"/>
  <c r="H121" i="32"/>
  <c r="E121" i="32"/>
  <c r="AQ120" i="32"/>
  <c r="H120" i="32"/>
  <c r="E120" i="32"/>
  <c r="AQ119" i="32"/>
  <c r="H119" i="32"/>
  <c r="E119" i="32"/>
  <c r="AQ118" i="32"/>
  <c r="H118" i="32"/>
  <c r="E118" i="32"/>
  <c r="AQ117" i="32"/>
  <c r="H117" i="32"/>
  <c r="E117" i="32"/>
  <c r="AQ116" i="32"/>
  <c r="H116" i="32"/>
  <c r="E116" i="32"/>
  <c r="AQ115" i="32"/>
  <c r="S115" i="32"/>
  <c r="H115" i="32"/>
  <c r="E115" i="32"/>
  <c r="AQ114" i="32"/>
  <c r="S114" i="32"/>
  <c r="H114" i="32"/>
  <c r="E114" i="32"/>
  <c r="AQ113" i="32"/>
  <c r="S113" i="32"/>
  <c r="H113" i="32"/>
  <c r="E113" i="32"/>
  <c r="AQ112" i="32"/>
  <c r="S112" i="32"/>
  <c r="H112" i="32"/>
  <c r="E112" i="32"/>
  <c r="AQ111" i="32"/>
  <c r="S111" i="32"/>
  <c r="H111" i="32"/>
  <c r="E111" i="32"/>
  <c r="AQ110" i="32"/>
  <c r="S110" i="32"/>
  <c r="H110" i="32"/>
  <c r="E110" i="32"/>
  <c r="AQ109" i="32"/>
  <c r="S109" i="32"/>
  <c r="H109" i="32"/>
  <c r="E109" i="32"/>
  <c r="AQ108" i="32"/>
  <c r="S108" i="32"/>
  <c r="H108" i="32"/>
  <c r="E108" i="32"/>
  <c r="AQ107" i="32"/>
  <c r="S107" i="32"/>
  <c r="H107" i="32"/>
  <c r="E107" i="32"/>
  <c r="AQ106" i="32"/>
  <c r="S106" i="32"/>
  <c r="H106" i="32"/>
  <c r="E106" i="32"/>
  <c r="AN105" i="32"/>
  <c r="AQ105" i="32"/>
  <c r="S105" i="32"/>
  <c r="H105" i="32"/>
  <c r="E105" i="32"/>
  <c r="AN104" i="32"/>
  <c r="AQ104" i="32"/>
  <c r="S104" i="32"/>
  <c r="H104" i="32"/>
  <c r="E104" i="32"/>
  <c r="AN103" i="32"/>
  <c r="AQ103" i="32"/>
  <c r="S103" i="32"/>
  <c r="H103" i="32"/>
  <c r="E103" i="32"/>
  <c r="AQ102" i="32"/>
  <c r="H102" i="32"/>
  <c r="E102" i="32"/>
  <c r="AQ101" i="32"/>
  <c r="H101" i="32"/>
  <c r="E101" i="32"/>
  <c r="AQ100" i="32"/>
  <c r="S100" i="32"/>
  <c r="H100" i="32"/>
  <c r="E100" i="32"/>
  <c r="AQ99" i="32"/>
  <c r="X99" i="32"/>
  <c r="T99" i="32" s="1"/>
  <c r="U99" i="32" s="1" a="1"/>
  <c r="U99" i="32" s="1"/>
  <c r="S99" i="32"/>
  <c r="H99" i="32"/>
  <c r="E99" i="32"/>
  <c r="AQ98" i="32"/>
  <c r="X98" i="32"/>
  <c r="T98" i="32" s="1"/>
  <c r="U98" i="32" s="1" a="1"/>
  <c r="U98" i="32" s="1"/>
  <c r="H98" i="32"/>
  <c r="E98" i="32"/>
  <c r="AN97" i="32"/>
  <c r="AQ97" i="32"/>
  <c r="X97" i="32"/>
  <c r="T97" i="32" s="1"/>
  <c r="U97" i="32" s="1" a="1"/>
  <c r="U97" i="32" s="1"/>
  <c r="H97" i="32"/>
  <c r="E97" i="32"/>
  <c r="AN96" i="32"/>
  <c r="AQ96" i="32"/>
  <c r="X96" i="32"/>
  <c r="T96" i="32" s="1"/>
  <c r="U96" i="32" s="1" a="1"/>
  <c r="U96" i="32" s="1"/>
  <c r="H96" i="32"/>
  <c r="E96" i="32"/>
  <c r="AN95" i="32"/>
  <c r="AQ95" i="32"/>
  <c r="X95" i="32"/>
  <c r="T95" i="32" s="1"/>
  <c r="U95" i="32" s="1" a="1"/>
  <c r="U95" i="32" s="1"/>
  <c r="H95" i="32"/>
  <c r="E95" i="32"/>
  <c r="AQ94" i="32"/>
  <c r="X94" i="32"/>
  <c r="T94" i="32" s="1"/>
  <c r="U94" i="32" s="1" a="1"/>
  <c r="U94" i="32" s="1"/>
  <c r="H94" i="32"/>
  <c r="E94" i="32"/>
  <c r="AQ93" i="32"/>
  <c r="X93" i="32"/>
  <c r="T93" i="32" s="1"/>
  <c r="U93" i="32" s="1" a="1"/>
  <c r="U93" i="32" s="1"/>
  <c r="H93" i="32"/>
  <c r="E93" i="32"/>
  <c r="AQ92" i="32"/>
  <c r="X92" i="32"/>
  <c r="T92" i="32" s="1"/>
  <c r="U92" i="32" s="1" a="1"/>
  <c r="U92" i="32" s="1"/>
  <c r="S92" i="32"/>
  <c r="H92" i="32"/>
  <c r="E92" i="32"/>
  <c r="AQ91" i="32"/>
  <c r="S91" i="32"/>
  <c r="H91" i="32"/>
  <c r="E91" i="32"/>
  <c r="AQ90" i="32"/>
  <c r="S90" i="32"/>
  <c r="H90" i="32"/>
  <c r="E90" i="32"/>
  <c r="AQ89" i="32"/>
  <c r="S89" i="32"/>
  <c r="H89" i="32"/>
  <c r="E89" i="32"/>
  <c r="AQ88" i="32"/>
  <c r="S88" i="32"/>
  <c r="H88" i="32"/>
  <c r="E88" i="32"/>
  <c r="AQ87" i="32"/>
  <c r="S87" i="32"/>
  <c r="H87" i="32"/>
  <c r="E87" i="32"/>
  <c r="AQ86" i="32"/>
  <c r="S86" i="32"/>
  <c r="H86" i="32"/>
  <c r="E86" i="32"/>
  <c r="AQ85" i="32"/>
  <c r="S85" i="32"/>
  <c r="H85" i="32"/>
  <c r="E85" i="32"/>
  <c r="AQ84" i="32"/>
  <c r="S84" i="32"/>
  <c r="H84" i="32"/>
  <c r="E84" i="32"/>
  <c r="AN83" i="32"/>
  <c r="AQ83" i="32"/>
  <c r="S83" i="32"/>
  <c r="H83" i="32"/>
  <c r="E83" i="32"/>
  <c r="AN82" i="32"/>
  <c r="AQ82" i="32"/>
  <c r="S82" i="32"/>
  <c r="H82" i="32"/>
  <c r="E82" i="32"/>
  <c r="AQ81" i="32"/>
  <c r="AV81" i="32"/>
  <c r="H81" i="32"/>
  <c r="E81" i="32"/>
  <c r="AQ80" i="32"/>
  <c r="AV80" i="32"/>
  <c r="H80" i="32"/>
  <c r="E80" i="32"/>
  <c r="AQ79" i="32"/>
  <c r="AV79" i="32"/>
  <c r="H79" i="32"/>
  <c r="E79" i="32"/>
  <c r="AQ78" i="32"/>
  <c r="S78" i="32"/>
  <c r="H78" i="32"/>
  <c r="E78" i="32"/>
  <c r="AQ77" i="32"/>
  <c r="S77" i="32"/>
  <c r="H77" i="32"/>
  <c r="E77" i="32"/>
  <c r="AQ76" i="32"/>
  <c r="S76" i="32"/>
  <c r="H76" i="32"/>
  <c r="E76" i="32"/>
  <c r="AQ75" i="32"/>
  <c r="S75" i="32"/>
  <c r="H75" i="32"/>
  <c r="E75" i="32"/>
  <c r="AQ74" i="32"/>
  <c r="S74" i="32"/>
  <c r="H74" i="32"/>
  <c r="E74" i="32"/>
  <c r="AQ73" i="32"/>
  <c r="H73" i="32"/>
  <c r="E73" i="32"/>
  <c r="AQ72" i="32"/>
  <c r="H72" i="32"/>
  <c r="E72" i="32"/>
  <c r="AQ71" i="32"/>
  <c r="H71" i="32"/>
  <c r="E71" i="32"/>
  <c r="AQ70" i="32"/>
  <c r="S70" i="32"/>
  <c r="H70" i="32"/>
  <c r="E70" i="32"/>
  <c r="AQ69" i="32"/>
  <c r="S69" i="32"/>
  <c r="H69" i="32"/>
  <c r="E69" i="32"/>
  <c r="AQ68" i="32"/>
  <c r="S68" i="32"/>
  <c r="H68" i="32"/>
  <c r="E68" i="32"/>
  <c r="AQ67" i="32"/>
  <c r="S67" i="32"/>
  <c r="H67" i="32"/>
  <c r="E67" i="32"/>
  <c r="AQ66" i="32"/>
  <c r="S66" i="32"/>
  <c r="H66" i="32"/>
  <c r="E66" i="32"/>
  <c r="AN65" i="32"/>
  <c r="AQ65" i="32"/>
  <c r="S65" i="32"/>
  <c r="H65" i="32"/>
  <c r="E65" i="32"/>
  <c r="AN64" i="32"/>
  <c r="AQ64" i="32"/>
  <c r="S64" i="32"/>
  <c r="H64" i="32"/>
  <c r="E64" i="32"/>
  <c r="AN63" i="32"/>
  <c r="AQ63" i="32"/>
  <c r="H63" i="32"/>
  <c r="E63" i="32"/>
  <c r="H62" i="32"/>
  <c r="E62" i="32"/>
  <c r="S61" i="32"/>
  <c r="H61" i="32"/>
  <c r="E61" i="32"/>
  <c r="AQ60" i="32"/>
  <c r="H60" i="32"/>
  <c r="E60" i="32"/>
  <c r="AQ59" i="32"/>
  <c r="S59" i="32"/>
  <c r="H59" i="32"/>
  <c r="E59" i="32"/>
  <c r="AQ58" i="32"/>
  <c r="S58" i="32"/>
  <c r="H58" i="32"/>
  <c r="E58" i="32"/>
  <c r="AQ57" i="32"/>
  <c r="H57" i="32"/>
  <c r="E57" i="32"/>
  <c r="AQ56" i="32"/>
  <c r="H56" i="32"/>
  <c r="E56" i="32"/>
  <c r="AQ55" i="32"/>
  <c r="H55" i="32"/>
  <c r="E55" i="32"/>
  <c r="AQ54" i="32"/>
  <c r="S54" i="32"/>
  <c r="H54" i="32"/>
  <c r="E54" i="32"/>
  <c r="AQ53" i="32"/>
  <c r="S53" i="32"/>
  <c r="H53" i="32"/>
  <c r="E53" i="32"/>
  <c r="AQ52" i="32"/>
  <c r="S52" i="32"/>
  <c r="H52" i="32"/>
  <c r="E52" i="32"/>
  <c r="AQ51" i="32"/>
  <c r="S51" i="32"/>
  <c r="H51" i="32"/>
  <c r="E51" i="32"/>
  <c r="AQ50" i="32"/>
  <c r="S50" i="32"/>
  <c r="H50" i="32"/>
  <c r="E50" i="32"/>
  <c r="AN49" i="32"/>
  <c r="AU49" i="32"/>
  <c r="H49" i="32"/>
  <c r="E49" i="32"/>
  <c r="AN48" i="32"/>
  <c r="H48" i="32"/>
  <c r="E48" i="32"/>
  <c r="AN47" i="32"/>
  <c r="AV47" i="32"/>
  <c r="S47" i="32"/>
  <c r="H47" i="32"/>
  <c r="E47" i="32"/>
  <c r="AQ46" i="32"/>
  <c r="S46" i="32"/>
  <c r="H46" i="32"/>
  <c r="E46" i="32"/>
  <c r="AQ45" i="32"/>
  <c r="S45" i="32"/>
  <c r="H45" i="32"/>
  <c r="E45" i="32"/>
  <c r="AQ44" i="32"/>
  <c r="S44" i="32"/>
  <c r="H44" i="32"/>
  <c r="E44" i="32"/>
  <c r="AQ43" i="32"/>
  <c r="S43" i="32"/>
  <c r="H43" i="32"/>
  <c r="E43" i="32"/>
  <c r="AQ42" i="32"/>
  <c r="S42" i="32"/>
  <c r="H42" i="32"/>
  <c r="E42" i="32"/>
  <c r="AN41" i="32"/>
  <c r="AQ41" i="32"/>
  <c r="H41" i="32"/>
  <c r="E41" i="32"/>
  <c r="AN40" i="32"/>
  <c r="AQ40" i="32"/>
  <c r="H40" i="32"/>
  <c r="E40" i="32"/>
  <c r="AN39" i="32"/>
  <c r="AQ39" i="32"/>
  <c r="H39" i="32"/>
  <c r="E39" i="32"/>
  <c r="AQ38" i="32"/>
  <c r="H38" i="32"/>
  <c r="E38" i="32"/>
  <c r="AQ37" i="32"/>
  <c r="H37" i="32"/>
  <c r="E37" i="32"/>
  <c r="AQ36" i="32"/>
  <c r="S36" i="32"/>
  <c r="H36" i="32"/>
  <c r="E36" i="32"/>
  <c r="AN35" i="32"/>
  <c r="AQ35" i="32"/>
  <c r="S35" i="32"/>
  <c r="H35" i="32"/>
  <c r="E35" i="32"/>
  <c r="AN34" i="32"/>
  <c r="AQ34" i="32"/>
  <c r="S34" i="32"/>
  <c r="H34" i="32"/>
  <c r="E34" i="32"/>
  <c r="AQ33" i="32"/>
  <c r="S33" i="32"/>
  <c r="H33" i="32"/>
  <c r="E33" i="32"/>
  <c r="AQ32" i="32"/>
  <c r="S32" i="32"/>
  <c r="H32" i="32"/>
  <c r="E32" i="32"/>
  <c r="AQ31" i="32"/>
  <c r="H31" i="32"/>
  <c r="E31" i="32"/>
  <c r="AQ30" i="32"/>
  <c r="S30" i="32"/>
  <c r="H30" i="32"/>
  <c r="E30" i="32"/>
  <c r="AQ29" i="32"/>
  <c r="S29" i="32"/>
  <c r="H29" i="32"/>
  <c r="E29" i="32"/>
  <c r="AQ28" i="32"/>
  <c r="S28" i="32"/>
  <c r="H28" i="32"/>
  <c r="E28" i="32"/>
  <c r="AQ27" i="32"/>
  <c r="X27" i="32"/>
  <c r="T27" i="32" s="1"/>
  <c r="U27" i="32" s="1" a="1"/>
  <c r="U27" i="32" s="1"/>
  <c r="S27" i="32"/>
  <c r="H27" i="32"/>
  <c r="E27" i="32"/>
  <c r="AQ26" i="32"/>
  <c r="X26" i="32"/>
  <c r="T26" i="32" s="1"/>
  <c r="U26" i="32" s="1" a="1"/>
  <c r="U26" i="32" s="1"/>
  <c r="H26" i="32"/>
  <c r="E26" i="32"/>
  <c r="AQ25" i="32"/>
  <c r="X25" i="32"/>
  <c r="T25" i="32" s="1"/>
  <c r="U25" i="32" s="1" a="1"/>
  <c r="U25" i="32" s="1"/>
  <c r="H25" i="32"/>
  <c r="E25" i="32"/>
  <c r="AQ24" i="32"/>
  <c r="X24" i="32"/>
  <c r="T24" i="32" s="1"/>
  <c r="U24" i="32" s="1" a="1"/>
  <c r="U24" i="32" s="1"/>
  <c r="H24" i="32"/>
  <c r="E24" i="32"/>
  <c r="AQ23" i="32"/>
  <c r="X23" i="32"/>
  <c r="T23" i="32" s="1"/>
  <c r="U23" i="32" s="1" a="1"/>
  <c r="U23" i="32" s="1"/>
  <c r="H23" i="32"/>
  <c r="E23" i="32"/>
  <c r="AQ22" i="32"/>
  <c r="X22" i="32"/>
  <c r="T22" i="32" s="1"/>
  <c r="U22" i="32" s="1" a="1"/>
  <c r="U22" i="32" s="1"/>
  <c r="S22" i="32"/>
  <c r="H22" i="32"/>
  <c r="E22" i="32"/>
  <c r="AQ21" i="32"/>
  <c r="X21" i="32"/>
  <c r="T21" i="32" s="1"/>
  <c r="U21" i="32" s="1" a="1"/>
  <c r="U21" i="32" s="1"/>
  <c r="S21" i="32"/>
  <c r="H21" i="32"/>
  <c r="E21" i="32"/>
  <c r="AQ20" i="32"/>
  <c r="X20" i="32"/>
  <c r="T20" i="32" s="1"/>
  <c r="U20" i="32" s="1" a="1"/>
  <c r="U20" i="32" s="1"/>
  <c r="H20" i="32"/>
  <c r="E20" i="32"/>
  <c r="AQ19" i="32"/>
  <c r="X19" i="32"/>
  <c r="T19" i="32" s="1"/>
  <c r="U19" i="32" s="1" a="1"/>
  <c r="U19" i="32" s="1"/>
  <c r="S19" i="32"/>
  <c r="H19" i="32"/>
  <c r="E19" i="32"/>
  <c r="AQ18" i="32"/>
  <c r="X18" i="32"/>
  <c r="T18" i="32" s="1"/>
  <c r="U18" i="32" s="1" a="1"/>
  <c r="U18" i="32" s="1"/>
  <c r="H18" i="32"/>
  <c r="E18" i="32"/>
  <c r="AN17" i="32"/>
  <c r="AQ17" i="32"/>
  <c r="H17" i="32"/>
  <c r="E17" i="32"/>
  <c r="AN16" i="32"/>
  <c r="AQ16" i="32"/>
  <c r="H16" i="32"/>
  <c r="E16" i="32"/>
  <c r="AN15" i="32"/>
  <c r="AQ15" i="32"/>
  <c r="H15" i="32"/>
  <c r="E15" i="32"/>
  <c r="AQ14" i="32"/>
  <c r="X14" i="32"/>
  <c r="T14" i="32" s="1"/>
  <c r="U14" i="32" s="1" a="1"/>
  <c r="U14" i="32" s="1"/>
  <c r="S14" i="32"/>
  <c r="H14" i="32"/>
  <c r="E14" i="32"/>
  <c r="AQ13" i="32"/>
  <c r="X13" i="32"/>
  <c r="T13" i="32" s="1"/>
  <c r="U13" i="32" s="1" a="1"/>
  <c r="U13" i="32" s="1"/>
  <c r="S13" i="32"/>
  <c r="H13" i="32"/>
  <c r="E13" i="32"/>
  <c r="AQ12" i="32"/>
  <c r="X12" i="32"/>
  <c r="T12" i="32" s="1"/>
  <c r="U12" i="32" s="1" a="1"/>
  <c r="U12" i="32" s="1"/>
  <c r="S12" i="32"/>
  <c r="H12" i="32"/>
  <c r="E12" i="32"/>
  <c r="AN11" i="32"/>
  <c r="AQ11" i="32"/>
  <c r="S11" i="32"/>
  <c r="H11" i="32"/>
  <c r="E11" i="32"/>
  <c r="AN10" i="32"/>
  <c r="AQ10" i="32"/>
  <c r="H10" i="32"/>
  <c r="E10" i="32"/>
  <c r="AN9" i="32"/>
  <c r="H9" i="32"/>
  <c r="E9" i="32"/>
  <c r="AN8" i="32"/>
  <c r="H8" i="32"/>
  <c r="E8" i="32"/>
  <c r="AN7" i="32"/>
  <c r="H7" i="32"/>
  <c r="E7" i="32"/>
  <c r="AT6" i="32"/>
  <c r="AN6" i="32"/>
  <c r="AQ6" i="32"/>
  <c r="AV6" i="32"/>
  <c r="H6" i="32"/>
  <c r="E6" i="32"/>
  <c r="AT5" i="32"/>
  <c r="AN5" i="32"/>
  <c r="AQ5" i="32"/>
  <c r="AV5" i="32"/>
  <c r="H5" i="32"/>
  <c r="E5" i="32"/>
  <c r="AQ4" i="32"/>
  <c r="S4" i="32"/>
  <c r="H4" i="32"/>
  <c r="E4" i="32"/>
  <c r="AP179" i="32" l="1"/>
  <c r="AP178" i="32"/>
  <c r="AP177" i="32"/>
  <c r="AP176" i="32"/>
  <c r="AP175" i="32"/>
  <c r="AP172" i="32"/>
  <c r="AP171" i="32"/>
  <c r="AP170" i="32"/>
  <c r="AH169" i="32"/>
  <c r="AU169" i="32" s="1"/>
  <c r="AH168" i="32"/>
  <c r="AH167" i="32"/>
  <c r="AV167" i="32" s="1"/>
  <c r="AH166" i="32"/>
  <c r="AP164" i="32"/>
  <c r="AP163" i="32"/>
  <c r="AP162" i="32"/>
  <c r="AH157" i="32"/>
  <c r="AP156" i="32"/>
  <c r="AP155" i="32"/>
  <c r="AP154" i="32"/>
  <c r="AP153" i="32"/>
  <c r="AP152" i="32"/>
  <c r="AP151" i="32"/>
  <c r="AP148" i="32"/>
  <c r="AP99" i="32"/>
  <c r="AP98" i="32"/>
  <c r="AH97" i="32"/>
  <c r="AH96" i="32"/>
  <c r="AH93" i="32"/>
  <c r="AP92" i="32"/>
  <c r="AP27" i="32"/>
  <c r="AP26" i="32"/>
  <c r="AH25" i="32"/>
  <c r="AU25" i="32" s="1"/>
  <c r="AH24" i="32"/>
  <c r="AU24" i="32" s="1"/>
  <c r="AH21" i="32"/>
  <c r="AP20" i="32"/>
  <c r="AP19" i="32"/>
  <c r="AP18" i="32"/>
  <c r="AP14" i="32"/>
  <c r="AP13" i="32"/>
  <c r="AP12" i="32"/>
  <c r="AP165" i="32"/>
  <c r="AH165" i="32"/>
  <c r="AO161" i="32"/>
  <c r="AH161" i="32"/>
  <c r="AO160" i="32"/>
  <c r="AH160" i="32"/>
  <c r="AO159" i="32"/>
  <c r="AH159" i="32"/>
  <c r="AO158" i="32"/>
  <c r="AH158" i="32"/>
  <c r="AP150" i="32"/>
  <c r="AH150" i="32"/>
  <c r="AP149" i="32"/>
  <c r="AH149" i="32"/>
  <c r="AO95" i="32"/>
  <c r="AH95" i="32"/>
  <c r="AO94" i="32"/>
  <c r="AH94" i="32"/>
  <c r="AU94" i="32" s="1"/>
  <c r="AP23" i="32"/>
  <c r="AH23" i="32"/>
  <c r="AO22" i="32"/>
  <c r="AH22" i="32"/>
  <c r="AO98" i="32"/>
  <c r="AO25" i="32"/>
  <c r="AO13" i="32"/>
  <c r="AP169" i="32"/>
  <c r="AO167" i="32"/>
  <c r="AO176" i="32"/>
  <c r="AO14" i="32"/>
  <c r="AO172" i="32"/>
  <c r="AO99" i="32"/>
  <c r="AO149" i="32"/>
  <c r="AO164" i="32"/>
  <c r="AO166" i="32"/>
  <c r="AO170" i="32"/>
  <c r="AO171" i="32"/>
  <c r="AO19" i="32"/>
  <c r="AP21" i="32"/>
  <c r="AV104" i="32"/>
  <c r="AP168" i="32"/>
  <c r="AO20" i="32"/>
  <c r="AO150" i="32"/>
  <c r="AO162" i="32"/>
  <c r="AP95" i="32"/>
  <c r="AV199" i="32"/>
  <c r="AV201" i="32"/>
  <c r="AO21" i="32"/>
  <c r="AO151" i="32"/>
  <c r="AO163" i="32"/>
  <c r="AP167" i="32"/>
  <c r="AX37" i="32"/>
  <c r="AY37" i="32"/>
  <c r="AP96" i="32"/>
  <c r="AV105" i="32"/>
  <c r="AX17" i="32"/>
  <c r="AY17" i="32"/>
  <c r="AO18" i="32"/>
  <c r="AO148" i="32"/>
  <c r="AP158" i="32"/>
  <c r="AP160" i="32"/>
  <c r="AX16" i="32"/>
  <c r="AY16" i="32"/>
  <c r="AX38" i="32"/>
  <c r="AY38" i="32"/>
  <c r="AO92" i="32"/>
  <c r="AO152" i="32"/>
  <c r="AP97" i="32"/>
  <c r="AO23" i="32"/>
  <c r="AO93" i="32"/>
  <c r="AO153" i="32"/>
  <c r="AO165" i="32"/>
  <c r="AO175" i="32"/>
  <c r="AV103" i="32"/>
  <c r="AO12" i="32"/>
  <c r="AO24" i="32"/>
  <c r="AO154" i="32"/>
  <c r="AP157" i="32"/>
  <c r="AP159" i="32"/>
  <c r="AP161" i="32"/>
  <c r="AO155" i="32"/>
  <c r="AO177" i="32"/>
  <c r="AO26" i="32"/>
  <c r="AO96" i="32"/>
  <c r="AO156" i="32"/>
  <c r="AO168" i="32"/>
  <c r="AO178" i="32"/>
  <c r="AY15" i="32"/>
  <c r="AX15" i="32"/>
  <c r="AP22" i="32"/>
  <c r="AV200" i="32"/>
  <c r="AO27" i="32"/>
  <c r="AO97" i="32"/>
  <c r="AO157" i="32"/>
  <c r="AO169" i="32"/>
  <c r="AO179" i="32"/>
  <c r="AU46" i="32"/>
  <c r="AO46" i="32"/>
  <c r="AU45" i="32"/>
  <c r="AO45" i="32"/>
  <c r="AR29" i="32"/>
  <c r="AO29" i="32"/>
  <c r="AR30" i="32"/>
  <c r="AO30" i="32"/>
  <c r="AR31" i="32"/>
  <c r="AO31" i="32"/>
  <c r="AR32" i="32"/>
  <c r="AO32" i="32"/>
  <c r="AR33" i="32"/>
  <c r="AO33" i="32"/>
  <c r="AU15" i="32"/>
  <c r="AU48" i="32"/>
  <c r="AP24" i="32"/>
  <c r="AU133" i="32"/>
  <c r="AU16" i="32"/>
  <c r="AU37" i="32"/>
  <c r="AU17" i="32"/>
  <c r="AU134" i="32"/>
  <c r="AU38" i="32"/>
  <c r="AU6" i="32"/>
  <c r="AV48" i="32"/>
  <c r="AU7" i="32"/>
  <c r="AU79" i="32"/>
  <c r="AU103" i="32"/>
  <c r="AU199" i="32"/>
  <c r="AV37" i="32"/>
  <c r="AV49" i="32"/>
  <c r="AV133" i="32"/>
  <c r="AU8" i="32"/>
  <c r="AU80" i="32"/>
  <c r="AU104" i="32"/>
  <c r="AU200" i="32"/>
  <c r="AV38" i="32"/>
  <c r="AV134" i="32"/>
  <c r="AU9" i="32"/>
  <c r="AU81" i="32"/>
  <c r="AU105" i="32"/>
  <c r="AU201" i="32"/>
  <c r="AV15" i="32"/>
  <c r="AV16" i="32"/>
  <c r="AP93" i="32"/>
  <c r="AP94" i="32"/>
  <c r="AP166" i="32"/>
  <c r="AU47" i="32"/>
  <c r="AV17" i="32"/>
  <c r="AP25" i="32"/>
  <c r="AU5" i="32"/>
  <c r="AV169" i="32" l="1"/>
  <c r="AU167" i="32"/>
  <c r="AV24" i="32"/>
  <c r="AV25" i="32"/>
  <c r="AV166" i="32"/>
  <c r="AU166" i="32"/>
  <c r="AV93" i="32"/>
  <c r="AU93" i="32"/>
  <c r="AV94" i="32"/>
  <c r="AV161" i="32"/>
  <c r="AU161" i="32"/>
  <c r="AV160" i="32"/>
  <c r="AU160" i="32"/>
  <c r="AV159" i="32"/>
  <c r="AU159" i="32"/>
  <c r="AV158" i="32"/>
  <c r="AU158" i="32"/>
  <c r="AU168" i="32"/>
  <c r="AV168" i="32"/>
  <c r="AV157" i="32"/>
  <c r="AU157" i="32"/>
  <c r="AU97" i="32"/>
  <c r="AV97" i="32"/>
  <c r="AV22" i="32"/>
  <c r="AU22" i="32"/>
  <c r="AX104" i="32"/>
  <c r="AY104" i="32"/>
  <c r="AX201" i="32"/>
  <c r="AY201" i="32"/>
  <c r="AX105" i="32"/>
  <c r="AY105" i="32"/>
  <c r="AX199" i="32"/>
  <c r="AY199" i="32"/>
  <c r="AX200" i="32"/>
  <c r="AY200" i="32"/>
  <c r="AX103" i="32"/>
  <c r="AY103" i="32"/>
  <c r="AV21" i="32"/>
  <c r="AU21" i="32"/>
  <c r="AU96" i="32"/>
  <c r="AV96" i="32"/>
  <c r="AV95" i="32"/>
  <c r="AU95" i="32"/>
  <c r="AU149" i="32"/>
  <c r="AV149" i="32"/>
  <c r="AV23" i="32"/>
  <c r="AU23" i="32"/>
  <c r="AV165" i="32"/>
  <c r="AU165" i="32"/>
  <c r="AV150" i="32"/>
  <c r="AU150" i="32"/>
  <c r="I34" i="29" l="1"/>
  <c r="B34" i="29" s="1" a="1"/>
  <c r="B34" i="29" s="1"/>
  <c r="I33" i="29"/>
  <c r="B33" i="29" s="1" a="1"/>
  <c r="B33" i="29" s="1"/>
  <c r="I32" i="29"/>
  <c r="B32" i="29" s="1" a="1"/>
  <c r="B32" i="29" s="1"/>
  <c r="I133" i="29" l="1"/>
  <c r="B133" i="29" s="1" a="1"/>
  <c r="B133" i="29" s="1"/>
  <c r="I132" i="29"/>
  <c r="B132" i="29" s="1" a="1"/>
  <c r="B132" i="29" s="1"/>
  <c r="I209" i="29"/>
  <c r="B209" i="29" s="1" a="1"/>
  <c r="B209" i="29" s="1"/>
  <c r="I208" i="29"/>
  <c r="B208" i="29" s="1" a="1"/>
  <c r="B208" i="29" s="1"/>
  <c r="I207" i="29"/>
  <c r="B207" i="29" s="1" a="1"/>
  <c r="B207" i="29" s="1"/>
  <c r="I206" i="29"/>
  <c r="B206" i="29" s="1" a="1"/>
  <c r="B206" i="29" s="1"/>
  <c r="I205" i="29"/>
  <c r="B205" i="29" s="1" a="1"/>
  <c r="B205" i="29" s="1"/>
  <c r="I204" i="29"/>
  <c r="B204" i="29" s="1" a="1"/>
  <c r="B204" i="29" s="1"/>
  <c r="I203" i="29"/>
  <c r="B203" i="29" s="1" a="1"/>
  <c r="B203" i="29" s="1"/>
  <c r="I202" i="29"/>
  <c r="B202" i="29" s="1" a="1"/>
  <c r="B202" i="29" s="1"/>
  <c r="I201" i="29"/>
  <c r="B201" i="29" s="1" a="1"/>
  <c r="B201" i="29" s="1"/>
  <c r="I200" i="29"/>
  <c r="B200" i="29" s="1" a="1"/>
  <c r="B200" i="29" s="1"/>
  <c r="I199" i="29"/>
  <c r="B199" i="29" s="1" a="1"/>
  <c r="B199" i="29" s="1"/>
  <c r="I198" i="29"/>
  <c r="B198" i="29" s="1" a="1"/>
  <c r="B198" i="29" s="1"/>
  <c r="I197" i="29"/>
  <c r="B197" i="29" s="1" a="1"/>
  <c r="B197" i="29" s="1"/>
  <c r="I196" i="29"/>
  <c r="B196" i="29" s="1" a="1"/>
  <c r="B196" i="29" s="1"/>
  <c r="I195" i="29"/>
  <c r="B195" i="29" s="1" a="1"/>
  <c r="B195" i="29" s="1"/>
  <c r="I194" i="29"/>
  <c r="B194" i="29" s="1" a="1"/>
  <c r="B194" i="29" s="1"/>
  <c r="I193" i="29"/>
  <c r="B193" i="29" s="1" a="1"/>
  <c r="B193" i="29" s="1"/>
  <c r="I192" i="29"/>
  <c r="B192" i="29" s="1" a="1"/>
  <c r="B192" i="29" s="1"/>
  <c r="I191" i="29"/>
  <c r="B191" i="29" s="1" a="1"/>
  <c r="B191" i="29" s="1"/>
  <c r="I190" i="29"/>
  <c r="B190" i="29" s="1" a="1"/>
  <c r="B190" i="29" s="1"/>
  <c r="I189" i="29"/>
  <c r="B189" i="29" s="1" a="1"/>
  <c r="B189" i="29" s="1"/>
  <c r="I188" i="29"/>
  <c r="B188" i="29" s="1" a="1"/>
  <c r="B188" i="29" s="1"/>
  <c r="I187" i="29"/>
  <c r="B187" i="29" s="1" a="1"/>
  <c r="B187" i="29" s="1"/>
  <c r="I186" i="29"/>
  <c r="B186" i="29" s="1" a="1"/>
  <c r="B186" i="29" s="1"/>
  <c r="I185" i="29"/>
  <c r="B185" i="29" s="1" a="1"/>
  <c r="B185" i="29" s="1"/>
  <c r="I184" i="29"/>
  <c r="B184" i="29" s="1" a="1"/>
  <c r="B184" i="29" s="1"/>
  <c r="I183" i="29"/>
  <c r="B183" i="29" s="1" a="1"/>
  <c r="B183" i="29" s="1"/>
  <c r="I182" i="29"/>
  <c r="B182" i="29" s="1" a="1"/>
  <c r="B182" i="29" s="1"/>
  <c r="I181" i="29"/>
  <c r="B181" i="29" s="1" a="1"/>
  <c r="B181" i="29" s="1"/>
  <c r="I180" i="29"/>
  <c r="B180" i="29" s="1" a="1"/>
  <c r="B180" i="29" s="1"/>
  <c r="I179" i="29"/>
  <c r="B179" i="29" s="1" a="1"/>
  <c r="B179" i="29" s="1"/>
  <c r="I178" i="29"/>
  <c r="B178" i="29" s="1" a="1"/>
  <c r="B178" i="29" s="1"/>
  <c r="I177" i="29"/>
  <c r="B177" i="29" s="1" a="1"/>
  <c r="B177" i="29" s="1"/>
  <c r="I176" i="29"/>
  <c r="B176" i="29" s="1" a="1"/>
  <c r="B176" i="29" s="1"/>
  <c r="I175" i="29"/>
  <c r="B175" i="29" s="1" a="1"/>
  <c r="B175" i="29" s="1"/>
  <c r="I174" i="29"/>
  <c r="B174" i="29" s="1" a="1"/>
  <c r="B174" i="29" s="1"/>
  <c r="I173" i="29"/>
  <c r="B173" i="29" s="1" a="1"/>
  <c r="B173" i="29" s="1"/>
  <c r="I172" i="29"/>
  <c r="B172" i="29" s="1" a="1"/>
  <c r="B172" i="29" s="1"/>
  <c r="I171" i="29"/>
  <c r="B171" i="29" s="1" a="1"/>
  <c r="B171" i="29" s="1"/>
  <c r="I170" i="29"/>
  <c r="B170" i="29" s="1" a="1"/>
  <c r="B170" i="29" s="1"/>
  <c r="I169" i="29"/>
  <c r="B169" i="29" s="1" a="1"/>
  <c r="B169" i="29" s="1"/>
  <c r="I168" i="29"/>
  <c r="B168" i="29" s="1" a="1"/>
  <c r="B168" i="29" s="1"/>
  <c r="I167" i="29"/>
  <c r="B167" i="29" s="1" a="1"/>
  <c r="B167" i="29" s="1"/>
  <c r="I166" i="29"/>
  <c r="B166" i="29" s="1" a="1"/>
  <c r="B166" i="29" s="1"/>
  <c r="I165" i="29"/>
  <c r="B165" i="29" s="1" a="1"/>
  <c r="B165" i="29" s="1"/>
  <c r="I164" i="29"/>
  <c r="B164" i="29" s="1" a="1"/>
  <c r="B164" i="29" s="1"/>
  <c r="I163" i="29"/>
  <c r="B163" i="29" s="1" a="1"/>
  <c r="B163" i="29" s="1"/>
  <c r="I162" i="29"/>
  <c r="B162" i="29" s="1" a="1"/>
  <c r="B162" i="29" s="1"/>
  <c r="I161" i="29"/>
  <c r="B161" i="29" s="1" a="1"/>
  <c r="B161" i="29" s="1"/>
  <c r="I160" i="29"/>
  <c r="B160" i="29" s="1" a="1"/>
  <c r="B160" i="29" s="1"/>
  <c r="I159" i="29"/>
  <c r="B159" i="29" s="1" a="1"/>
  <c r="B159" i="29" s="1"/>
  <c r="I158" i="29"/>
  <c r="B158" i="29" s="1" a="1"/>
  <c r="B158" i="29" s="1"/>
  <c r="I157" i="29"/>
  <c r="B157" i="29" s="1" a="1"/>
  <c r="B157" i="29" s="1"/>
  <c r="I156" i="29"/>
  <c r="B156" i="29" s="1" a="1"/>
  <c r="B156" i="29" s="1"/>
  <c r="I155" i="29"/>
  <c r="B155" i="29" s="1" a="1"/>
  <c r="B155" i="29" s="1"/>
  <c r="I154" i="29"/>
  <c r="B154" i="29" s="1" a="1"/>
  <c r="B154" i="29" s="1"/>
  <c r="I153" i="29"/>
  <c r="B153" i="29" s="1" a="1"/>
  <c r="B153" i="29" s="1"/>
  <c r="I152" i="29"/>
  <c r="B152" i="29" s="1" a="1"/>
  <c r="B152" i="29" s="1"/>
  <c r="I151" i="29"/>
  <c r="B151" i="29" s="1" a="1"/>
  <c r="B151" i="29" s="1"/>
  <c r="I150" i="29"/>
  <c r="B150" i="29" s="1" a="1"/>
  <c r="B150" i="29" s="1"/>
  <c r="I149" i="29"/>
  <c r="B149" i="29" s="1" a="1"/>
  <c r="B149" i="29" s="1"/>
  <c r="I148" i="29"/>
  <c r="B148" i="29" s="1" a="1"/>
  <c r="B148" i="29" s="1"/>
  <c r="I147" i="29"/>
  <c r="B147" i="29" s="1" a="1"/>
  <c r="B147" i="29" s="1"/>
  <c r="I146" i="29"/>
  <c r="B146" i="29" s="1" a="1"/>
  <c r="B146" i="29" s="1"/>
  <c r="I145" i="29"/>
  <c r="B145" i="29" s="1" a="1"/>
  <c r="B145" i="29" s="1"/>
  <c r="I144" i="29"/>
  <c r="B144" i="29" s="1" a="1"/>
  <c r="B144" i="29" s="1"/>
  <c r="I143" i="29"/>
  <c r="B143" i="29" s="1" a="1"/>
  <c r="B143" i="29" s="1"/>
  <c r="I142" i="29"/>
  <c r="B142" i="29" s="1" a="1"/>
  <c r="B142" i="29" s="1"/>
  <c r="I141" i="29"/>
  <c r="B141" i="29" s="1" a="1"/>
  <c r="B141" i="29" s="1"/>
  <c r="I140" i="29"/>
  <c r="B140" i="29" s="1" a="1"/>
  <c r="B140" i="29" s="1"/>
  <c r="I139" i="29"/>
  <c r="B139" i="29" s="1" a="1"/>
  <c r="B139" i="29" s="1"/>
  <c r="I138" i="29"/>
  <c r="B138" i="29" s="1" a="1"/>
  <c r="B138" i="29" s="1"/>
  <c r="I136" i="29"/>
  <c r="B136" i="29" s="1" a="1"/>
  <c r="B136" i="29" s="1"/>
  <c r="I135" i="29"/>
  <c r="B135" i="29" s="1" a="1"/>
  <c r="B135" i="29" s="1"/>
  <c r="I134" i="29"/>
  <c r="B134" i="29" s="1" a="1"/>
  <c r="B134" i="29" s="1"/>
  <c r="I131" i="29"/>
  <c r="B131" i="29" s="1" a="1"/>
  <c r="B131" i="29" s="1"/>
  <c r="I130" i="29"/>
  <c r="B130" i="29" s="1" a="1"/>
  <c r="B130" i="29" s="1"/>
  <c r="I129" i="29"/>
  <c r="B129" i="29" s="1" a="1"/>
  <c r="B129" i="29" s="1"/>
  <c r="I128" i="29"/>
  <c r="B128" i="29" s="1" a="1"/>
  <c r="B128" i="29" s="1"/>
  <c r="I127" i="29"/>
  <c r="B127" i="29" s="1" a="1"/>
  <c r="B127" i="29" s="1"/>
  <c r="AT4" i="32" s="1"/>
  <c r="I126" i="29"/>
  <c r="B126" i="29" s="1" a="1"/>
  <c r="B126" i="29" s="1"/>
  <c r="I125" i="29"/>
  <c r="B125" i="29" s="1" a="1"/>
  <c r="B125" i="29" s="1"/>
  <c r="I124" i="29"/>
  <c r="B124" i="29" s="1" a="1"/>
  <c r="B124" i="29" s="1"/>
  <c r="I123" i="29"/>
  <c r="B123" i="29" s="1" a="1"/>
  <c r="B123" i="29" s="1"/>
  <c r="I122" i="29"/>
  <c r="I119" i="29"/>
  <c r="B119" i="29" s="1" a="1"/>
  <c r="B119" i="29" s="1"/>
  <c r="I118" i="29"/>
  <c r="B118" i="29" s="1" a="1"/>
  <c r="B118" i="29" s="1"/>
  <c r="I117" i="29"/>
  <c r="B117" i="29" s="1" a="1"/>
  <c r="B117" i="29" s="1"/>
  <c r="I116" i="29"/>
  <c r="B116" i="29" s="1" a="1"/>
  <c r="B116" i="29" s="1"/>
  <c r="I115" i="29"/>
  <c r="B115" i="29" s="1" a="1"/>
  <c r="B115" i="29" s="1"/>
  <c r="I114" i="29"/>
  <c r="B114" i="29" s="1" a="1"/>
  <c r="B114" i="29" s="1"/>
  <c r="I113" i="29"/>
  <c r="B113" i="29" s="1" a="1"/>
  <c r="B113" i="29" s="1"/>
  <c r="I112" i="29"/>
  <c r="B112" i="29" s="1" a="1"/>
  <c r="B112" i="29" s="1"/>
  <c r="I111" i="29"/>
  <c r="B111" i="29" s="1" a="1"/>
  <c r="B111" i="29" s="1"/>
  <c r="I110" i="29"/>
  <c r="B110" i="29" s="1" a="1"/>
  <c r="B110" i="29" s="1"/>
  <c r="I109" i="29"/>
  <c r="B109" i="29" s="1" a="1"/>
  <c r="B109" i="29" s="1"/>
  <c r="I108" i="29"/>
  <c r="B108" i="29" s="1" a="1"/>
  <c r="B108" i="29" s="1"/>
  <c r="I107" i="29"/>
  <c r="B107" i="29" s="1" a="1"/>
  <c r="B107" i="29" s="1"/>
  <c r="I106" i="29"/>
  <c r="B106" i="29" s="1" a="1"/>
  <c r="B106" i="29" s="1"/>
  <c r="I105" i="29"/>
  <c r="B105" i="29" s="1" a="1"/>
  <c r="B105" i="29" s="1"/>
  <c r="I104" i="29"/>
  <c r="B104" i="29" s="1" a="1"/>
  <c r="B104" i="29" s="1"/>
  <c r="I103" i="29"/>
  <c r="B103" i="29" s="1" a="1"/>
  <c r="B103" i="29" s="1"/>
  <c r="I102" i="29"/>
  <c r="B102" i="29" s="1" a="1"/>
  <c r="B102" i="29" s="1"/>
  <c r="I101" i="29"/>
  <c r="B101" i="29" s="1" a="1"/>
  <c r="B101" i="29" s="1"/>
  <c r="I100" i="29"/>
  <c r="B100" i="29" s="1" a="1"/>
  <c r="B100" i="29" s="1"/>
  <c r="I99" i="29"/>
  <c r="B99" i="29" s="1" a="1"/>
  <c r="B99" i="29" s="1"/>
  <c r="I98" i="29"/>
  <c r="B98" i="29" s="1" a="1"/>
  <c r="B98" i="29" s="1"/>
  <c r="I97" i="29"/>
  <c r="B97" i="29" s="1" a="1"/>
  <c r="B97" i="29" s="1"/>
  <c r="I96" i="29"/>
  <c r="B96" i="29" s="1" a="1"/>
  <c r="B96" i="29" s="1"/>
  <c r="I95" i="29"/>
  <c r="B95" i="29" s="1" a="1"/>
  <c r="B95" i="29" s="1"/>
  <c r="I94" i="29"/>
  <c r="B94" i="29" s="1" a="1"/>
  <c r="B94" i="29" s="1"/>
  <c r="I93" i="29"/>
  <c r="B93" i="29" s="1" a="1"/>
  <c r="B93" i="29" s="1"/>
  <c r="I92" i="29"/>
  <c r="B92" i="29" s="1" a="1"/>
  <c r="B92" i="29" s="1"/>
  <c r="I91" i="29"/>
  <c r="B91" i="29" s="1" a="1"/>
  <c r="B91" i="29" s="1"/>
  <c r="I90" i="29"/>
  <c r="B90" i="29" s="1" a="1"/>
  <c r="B90" i="29" s="1"/>
  <c r="I89" i="29"/>
  <c r="B89" i="29" s="1" a="1"/>
  <c r="B89" i="29" s="1"/>
  <c r="I88" i="29"/>
  <c r="B88" i="29" s="1" a="1"/>
  <c r="B88" i="29" s="1"/>
  <c r="I87" i="29"/>
  <c r="B87" i="29" s="1" a="1"/>
  <c r="B87" i="29" s="1"/>
  <c r="I86" i="29"/>
  <c r="B86" i="29" s="1" a="1"/>
  <c r="B86" i="29" s="1"/>
  <c r="I85" i="29"/>
  <c r="B85" i="29" s="1" a="1"/>
  <c r="B85" i="29" s="1"/>
  <c r="I84" i="29"/>
  <c r="B84" i="29" s="1" a="1"/>
  <c r="B84" i="29" s="1"/>
  <c r="I83" i="29"/>
  <c r="B83" i="29" s="1" a="1"/>
  <c r="B83" i="29" s="1"/>
  <c r="I82" i="29"/>
  <c r="B82" i="29" s="1" a="1"/>
  <c r="B82" i="29" s="1"/>
  <c r="I81" i="29"/>
  <c r="B81" i="29" s="1" a="1"/>
  <c r="B81" i="29" s="1"/>
  <c r="I80" i="29"/>
  <c r="B80" i="29" s="1" a="1"/>
  <c r="B80" i="29" s="1"/>
  <c r="I79" i="29"/>
  <c r="B79" i="29" s="1" a="1"/>
  <c r="B79" i="29" s="1"/>
  <c r="I78" i="29"/>
  <c r="B78" i="29" s="1" a="1"/>
  <c r="B78" i="29" s="1"/>
  <c r="I77" i="29"/>
  <c r="B77" i="29" s="1" a="1"/>
  <c r="B77" i="29" s="1"/>
  <c r="I76" i="29"/>
  <c r="B76" i="29" s="1" a="1"/>
  <c r="B76" i="29" s="1"/>
  <c r="I75" i="29"/>
  <c r="B75" i="29" s="1" a="1"/>
  <c r="B75" i="29" s="1"/>
  <c r="I74" i="29"/>
  <c r="B74" i="29" s="1" a="1"/>
  <c r="B74" i="29" s="1"/>
  <c r="I73" i="29"/>
  <c r="B73" i="29" s="1" a="1"/>
  <c r="B73" i="29" s="1"/>
  <c r="I72" i="29"/>
  <c r="B72" i="29" s="1" a="1"/>
  <c r="B72" i="29" s="1"/>
  <c r="I71" i="29"/>
  <c r="B71" i="29" s="1" a="1"/>
  <c r="B71" i="29" s="1"/>
  <c r="I70" i="29"/>
  <c r="B70" i="29" s="1" a="1"/>
  <c r="B70" i="29" s="1"/>
  <c r="I69" i="29"/>
  <c r="B69" i="29" s="1" a="1"/>
  <c r="B69" i="29" s="1"/>
  <c r="I68" i="29"/>
  <c r="B68" i="29" s="1" a="1"/>
  <c r="B68" i="29" s="1"/>
  <c r="I67" i="29"/>
  <c r="B67" i="29" s="1" a="1"/>
  <c r="B67" i="29" s="1"/>
  <c r="I66" i="29"/>
  <c r="B66" i="29" s="1" a="1"/>
  <c r="B66" i="29" s="1"/>
  <c r="I65" i="29"/>
  <c r="B65" i="29" s="1" a="1"/>
  <c r="B65" i="29" s="1"/>
  <c r="I64" i="29"/>
  <c r="B64" i="29" s="1" a="1"/>
  <c r="B64" i="29" s="1"/>
  <c r="I63" i="29"/>
  <c r="B63" i="29" s="1" a="1"/>
  <c r="B63" i="29" s="1"/>
  <c r="I62" i="29"/>
  <c r="B62" i="29" s="1" a="1"/>
  <c r="B62" i="29" s="1"/>
  <c r="I61" i="29"/>
  <c r="B61" i="29" s="1" a="1"/>
  <c r="B61" i="29" s="1"/>
  <c r="I60" i="29"/>
  <c r="B60" i="29" s="1" a="1"/>
  <c r="B60" i="29" s="1"/>
  <c r="I59" i="29"/>
  <c r="B59" i="29" s="1" a="1"/>
  <c r="B59" i="29" s="1"/>
  <c r="I58" i="29"/>
  <c r="B58" i="29" s="1" a="1"/>
  <c r="B58" i="29" s="1"/>
  <c r="I57" i="29"/>
  <c r="B57" i="29" s="1" a="1"/>
  <c r="B57" i="29" s="1"/>
  <c r="I56" i="29"/>
  <c r="B56" i="29" s="1" a="1"/>
  <c r="B56" i="29" s="1"/>
  <c r="I55" i="29"/>
  <c r="B55" i="29" s="1" a="1"/>
  <c r="B55" i="29" s="1"/>
  <c r="I54" i="29"/>
  <c r="B54" i="29" s="1" a="1"/>
  <c r="B54" i="29" s="1"/>
  <c r="I53" i="29"/>
  <c r="B53" i="29" s="1" a="1"/>
  <c r="B53" i="29" s="1"/>
  <c r="I52" i="29"/>
  <c r="B52" i="29" s="1" a="1"/>
  <c r="B52" i="29" s="1"/>
  <c r="I51" i="29"/>
  <c r="B51" i="29" s="1" a="1"/>
  <c r="B51" i="29" s="1"/>
  <c r="I50" i="29"/>
  <c r="B50" i="29" s="1" a="1"/>
  <c r="B50" i="29" s="1"/>
  <c r="I49" i="29"/>
  <c r="B49" i="29" s="1" a="1"/>
  <c r="B49" i="29" s="1"/>
  <c r="I48" i="29"/>
  <c r="B48" i="29" s="1" a="1"/>
  <c r="B48" i="29" s="1"/>
  <c r="I47" i="29"/>
  <c r="B47" i="29" s="1" a="1"/>
  <c r="B47" i="29" s="1"/>
  <c r="I46" i="29"/>
  <c r="B46" i="29" s="1" a="1"/>
  <c r="B46" i="29" s="1"/>
  <c r="I45" i="29"/>
  <c r="B45" i="29" s="1" a="1"/>
  <c r="B45" i="29" s="1"/>
  <c r="I44" i="29"/>
  <c r="B44" i="29" s="1" a="1"/>
  <c r="B44" i="29" s="1"/>
  <c r="I43" i="29"/>
  <c r="B43" i="29" s="1" a="1"/>
  <c r="B43" i="29" s="1"/>
  <c r="I42" i="29"/>
  <c r="B42" i="29" s="1" a="1"/>
  <c r="B42" i="29" s="1"/>
  <c r="I41" i="29"/>
  <c r="B41" i="29" s="1" a="1"/>
  <c r="B41" i="29" s="1"/>
  <c r="I40" i="29"/>
  <c r="B40" i="29" s="1" a="1"/>
  <c r="B40" i="29" s="1"/>
  <c r="I39" i="29"/>
  <c r="B39" i="29" s="1" a="1"/>
  <c r="B39" i="29" s="1"/>
  <c r="I38" i="29"/>
  <c r="B38" i="29" s="1" a="1"/>
  <c r="B38" i="29" s="1"/>
  <c r="I37" i="29"/>
  <c r="B37" i="29" s="1" a="1"/>
  <c r="B37" i="29" s="1"/>
  <c r="I36" i="29"/>
  <c r="B36" i="29" s="1" a="1"/>
  <c r="B36" i="29" s="1"/>
  <c r="I35" i="29"/>
  <c r="B35" i="29" s="1" a="1"/>
  <c r="B35" i="29" s="1"/>
  <c r="I31" i="29"/>
  <c r="B31" i="29" s="1" a="1"/>
  <c r="B31" i="29" s="1"/>
  <c r="I30" i="29"/>
  <c r="B30" i="29" s="1" a="1"/>
  <c r="B30" i="29" s="1"/>
  <c r="I29" i="29"/>
  <c r="B29" i="29" s="1" a="1"/>
  <c r="B29" i="29" s="1"/>
  <c r="I28" i="29"/>
  <c r="B28" i="29" s="1" a="1"/>
  <c r="B28" i="29" s="1"/>
  <c r="I27" i="29"/>
  <c r="I26" i="29"/>
  <c r="I25" i="29"/>
  <c r="I24" i="29"/>
  <c r="I23" i="29"/>
  <c r="I22" i="29"/>
  <c r="I21" i="29"/>
  <c r="I20" i="29"/>
  <c r="I19" i="29"/>
  <c r="I18" i="29"/>
  <c r="I14" i="29"/>
  <c r="I13" i="29"/>
  <c r="I7" i="29"/>
  <c r="B7" i="29" s="1" a="1"/>
  <c r="B7" i="29" s="1"/>
  <c r="I6" i="29"/>
  <c r="B6" i="29" s="1" a="1"/>
  <c r="B6" i="29" s="1"/>
  <c r="I5" i="29"/>
  <c r="B5" i="29" s="1" a="1"/>
  <c r="B5" i="29" s="1"/>
  <c r="I4" i="29"/>
  <c r="B4" i="29" s="1" a="1"/>
  <c r="B4" i="29" s="1"/>
  <c r="AN202" i="32" l="1"/>
  <c r="AN203" i="32"/>
  <c r="AN25" i="32"/>
  <c r="AN24" i="32"/>
  <c r="AN23" i="32"/>
  <c r="AT102" i="32"/>
  <c r="AW102" i="32"/>
  <c r="AW101" i="32"/>
  <c r="AT185" i="32"/>
  <c r="AT184" i="32"/>
  <c r="AT183" i="32"/>
  <c r="AT101" i="32"/>
  <c r="AN27" i="32"/>
  <c r="AN26" i="32"/>
  <c r="AT133" i="32"/>
  <c r="AW201" i="32"/>
  <c r="AW200" i="32"/>
  <c r="AW199" i="32"/>
  <c r="AN118" i="32"/>
  <c r="AN62" i="32"/>
  <c r="AN61" i="32"/>
  <c r="AT198" i="32"/>
  <c r="AN117" i="32"/>
  <c r="AT197" i="32"/>
  <c r="AT110" i="32"/>
  <c r="AT109" i="32"/>
  <c r="AW78" i="32"/>
  <c r="AW77" i="32"/>
  <c r="AT69" i="32"/>
  <c r="AT100" i="32"/>
  <c r="AT70" i="32"/>
  <c r="AT60" i="32"/>
  <c r="AN109" i="32"/>
  <c r="AT97" i="32"/>
  <c r="AT96" i="32"/>
  <c r="AT95" i="32"/>
  <c r="AT182" i="32"/>
  <c r="AT181" i="32"/>
  <c r="AT103" i="32"/>
  <c r="AT105" i="32"/>
  <c r="AT104" i="32"/>
  <c r="AW89" i="32"/>
  <c r="AW88" i="32"/>
  <c r="AW87" i="32"/>
  <c r="AT157" i="32"/>
  <c r="AQ49" i="32"/>
  <c r="AT142" i="32"/>
  <c r="AQ47" i="32"/>
  <c r="AT141" i="32"/>
  <c r="AT158" i="32"/>
  <c r="AQ48" i="32"/>
  <c r="AT73" i="32"/>
  <c r="AT72" i="32"/>
  <c r="AT71" i="32"/>
  <c r="AN45" i="32"/>
  <c r="AN46" i="32"/>
  <c r="AT134" i="32"/>
  <c r="AT169" i="32"/>
  <c r="AT167" i="32"/>
  <c r="AT168" i="32"/>
  <c r="AN110" i="32"/>
  <c r="AT113" i="32"/>
  <c r="AT112" i="32"/>
  <c r="AT111" i="32"/>
  <c r="AN121" i="32"/>
  <c r="AN119" i="32"/>
  <c r="AN200" i="32"/>
  <c r="AN185" i="32"/>
  <c r="AN183" i="32"/>
  <c r="AN198" i="32"/>
  <c r="AN101" i="32"/>
  <c r="AN199" i="32"/>
  <c r="AN197" i="32"/>
  <c r="AN102" i="32"/>
  <c r="AN120" i="32"/>
  <c r="AT201" i="32"/>
  <c r="AT200" i="32"/>
  <c r="AT199" i="32"/>
  <c r="AN201" i="32"/>
  <c r="AN184" i="32"/>
  <c r="AN181" i="32"/>
  <c r="AN182" i="32"/>
  <c r="AN129" i="32"/>
  <c r="AT129" i="32"/>
  <c r="AT128" i="32"/>
  <c r="AT127" i="32"/>
  <c r="AN128" i="32"/>
  <c r="AN127" i="32"/>
  <c r="AN29" i="32"/>
  <c r="AN30" i="32"/>
  <c r="AN14" i="32"/>
  <c r="AN13" i="32"/>
  <c r="AT120" i="32"/>
  <c r="AT119" i="32"/>
  <c r="AN115" i="32"/>
  <c r="AN114" i="32"/>
  <c r="AT174" i="32"/>
  <c r="AN146" i="32"/>
  <c r="AN90" i="32"/>
  <c r="AN75" i="32"/>
  <c r="AN66" i="32"/>
  <c r="AT173" i="32"/>
  <c r="AN187" i="32"/>
  <c r="AN171" i="32"/>
  <c r="AN142" i="32"/>
  <c r="AN98" i="32"/>
  <c r="AN179" i="32"/>
  <c r="AN131" i="32"/>
  <c r="AN50" i="32"/>
  <c r="AN174" i="32"/>
  <c r="AN106" i="32"/>
  <c r="AN19" i="32"/>
  <c r="AN154" i="32"/>
  <c r="AQ62" i="32"/>
  <c r="AN43" i="32"/>
  <c r="AT117" i="32"/>
  <c r="AT24" i="32"/>
  <c r="AT23" i="32"/>
  <c r="AN147" i="32"/>
  <c r="AN74" i="32"/>
  <c r="AT22" i="32"/>
  <c r="AN170" i="32"/>
  <c r="AN141" i="32"/>
  <c r="AN139" i="32"/>
  <c r="AN138" i="32"/>
  <c r="AT25" i="32"/>
  <c r="AN59" i="32"/>
  <c r="AN18" i="32"/>
  <c r="AN163" i="32"/>
  <c r="AN107" i="32"/>
  <c r="AT21" i="32"/>
  <c r="AN173" i="32"/>
  <c r="AN51" i="32"/>
  <c r="AQ9" i="32"/>
  <c r="AQ7" i="32"/>
  <c r="AN58" i="32"/>
  <c r="AN186" i="32"/>
  <c r="AN155" i="32"/>
  <c r="AN99" i="32"/>
  <c r="AN162" i="32"/>
  <c r="AN130" i="32"/>
  <c r="AQ61" i="32"/>
  <c r="AN178" i="32"/>
  <c r="AN91" i="32"/>
  <c r="AN42" i="32"/>
  <c r="AN67" i="32"/>
  <c r="AQ8" i="32"/>
  <c r="AT118" i="32"/>
  <c r="AN31" i="32"/>
  <c r="AT33" i="32"/>
  <c r="AT32" i="32"/>
  <c r="AN33" i="32"/>
  <c r="AT121" i="32"/>
  <c r="AN32" i="32"/>
  <c r="AT31" i="32"/>
  <c r="AN126" i="32"/>
  <c r="AN113" i="32"/>
  <c r="AN111" i="32"/>
  <c r="AN112" i="32"/>
  <c r="AN125" i="32"/>
  <c r="AN166" i="32"/>
  <c r="AN165" i="32"/>
  <c r="AT46" i="32"/>
  <c r="AT45" i="32"/>
  <c r="AT165" i="32"/>
  <c r="AT166" i="32"/>
  <c r="AN169" i="32"/>
  <c r="AN168" i="32"/>
  <c r="AN167" i="32"/>
  <c r="AW37" i="32"/>
  <c r="AW38" i="32"/>
  <c r="AT150" i="32"/>
  <c r="AT78" i="32"/>
  <c r="AN189" i="32"/>
  <c r="AN156" i="32"/>
  <c r="AN52" i="32"/>
  <c r="AN38" i="32"/>
  <c r="AN21" i="32"/>
  <c r="AT149" i="32"/>
  <c r="AT89" i="32"/>
  <c r="AT77" i="32"/>
  <c r="AN161" i="32"/>
  <c r="AN151" i="32"/>
  <c r="AN133" i="32"/>
  <c r="AN108" i="32"/>
  <c r="AN93" i="32"/>
  <c r="AT88" i="32"/>
  <c r="AN88" i="32"/>
  <c r="AN73" i="32"/>
  <c r="AN71" i="32"/>
  <c r="AN36" i="32"/>
  <c r="AT87" i="32"/>
  <c r="AN196" i="32"/>
  <c r="AN164" i="32"/>
  <c r="AN159" i="32"/>
  <c r="AN149" i="32"/>
  <c r="AN140" i="32"/>
  <c r="AN124" i="32"/>
  <c r="AN78" i="32"/>
  <c r="AN69" i="32"/>
  <c r="AT38" i="32"/>
  <c r="AN86" i="32"/>
  <c r="AN60" i="32"/>
  <c r="AN22" i="32"/>
  <c r="AN72" i="32"/>
  <c r="AN68" i="32"/>
  <c r="AN37" i="32"/>
  <c r="AN116" i="32"/>
  <c r="AN84" i="32"/>
  <c r="AN53" i="32"/>
  <c r="AT93" i="32"/>
  <c r="AN160" i="32"/>
  <c r="AN134" i="32"/>
  <c r="AN132" i="32"/>
  <c r="AN70" i="32"/>
  <c r="AN180" i="32"/>
  <c r="AN152" i="32"/>
  <c r="AN4" i="32"/>
  <c r="AN77" i="32"/>
  <c r="AN188" i="32"/>
  <c r="AN148" i="32"/>
  <c r="AN190" i="32"/>
  <c r="AN87" i="32"/>
  <c r="AT94" i="32"/>
  <c r="AN85" i="32"/>
  <c r="AN92" i="32"/>
  <c r="AN172" i="32"/>
  <c r="AN100" i="32"/>
  <c r="AN76" i="32"/>
  <c r="AN28" i="32"/>
  <c r="AN157" i="32"/>
  <c r="AN150" i="32"/>
  <c r="AN44" i="32"/>
  <c r="AN94" i="32"/>
  <c r="AN89" i="32"/>
  <c r="AN12" i="32"/>
  <c r="AN54" i="32"/>
  <c r="AN153" i="32"/>
  <c r="AN20" i="32"/>
  <c r="AN158" i="32"/>
  <c r="AT37" i="32"/>
  <c r="AT137" i="32"/>
  <c r="AT136" i="32"/>
  <c r="AT135" i="32"/>
  <c r="AN193" i="32"/>
  <c r="AN191" i="32"/>
  <c r="AN137" i="32"/>
  <c r="AN135" i="32"/>
  <c r="AN57" i="32"/>
  <c r="AN81" i="32"/>
  <c r="AN55" i="32"/>
  <c r="AT193" i="32"/>
  <c r="AN79" i="32"/>
  <c r="AT57" i="32"/>
  <c r="AT81" i="32"/>
  <c r="AT55" i="32"/>
  <c r="AN192" i="32"/>
  <c r="AN136" i="32"/>
  <c r="AT192" i="32"/>
  <c r="AT56" i="32"/>
  <c r="AT191" i="32"/>
  <c r="AT80" i="32"/>
  <c r="AN80" i="32"/>
  <c r="AN56" i="32"/>
  <c r="AT79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pc007</author>
  </authors>
  <commentList>
    <comment ref="F3" authorId="0" shapeId="0" xr:uid="{07A6B55E-EA21-4C9D-A7A2-7EC2B0655419}">
      <text>
        <r>
          <rPr>
            <b/>
            <sz val="9"/>
            <color indexed="81"/>
            <rFont val="Tahoma"/>
            <family val="2"/>
          </rPr>
          <t>pc007:</t>
        </r>
        <r>
          <rPr>
            <sz val="9"/>
            <color indexed="81"/>
            <rFont val="Tahoma"/>
            <family val="2"/>
          </rPr>
          <t xml:space="preserve">
0: </t>
        </r>
        <r>
          <rPr>
            <sz val="9"/>
            <color indexed="81"/>
            <rFont val="돋움"/>
            <family val="3"/>
            <charset val="129"/>
          </rPr>
          <t>논타겟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스킬
</t>
        </r>
        <r>
          <rPr>
            <sz val="9"/>
            <color indexed="81"/>
            <rFont val="Tahoma"/>
            <family val="2"/>
          </rPr>
          <t>Area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PivotHit </t>
        </r>
        <r>
          <rPr>
            <sz val="9"/>
            <color indexed="81"/>
            <rFont val="돋움"/>
            <family val="3"/>
            <charset val="129"/>
          </rPr>
          <t>없어야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함
</t>
        </r>
        <r>
          <rPr>
            <sz val="9"/>
            <color indexed="81"/>
            <rFont val="Tahoma"/>
            <family val="2"/>
          </rPr>
          <t xml:space="preserve">1~ : </t>
        </r>
        <r>
          <rPr>
            <sz val="9"/>
            <color indexed="81"/>
            <rFont val="돋움"/>
            <family val="3"/>
            <charset val="129"/>
          </rPr>
          <t>타겟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스킬
</t>
        </r>
        <r>
          <rPr>
            <sz val="9"/>
            <color indexed="81"/>
            <rFont val="Tahoma"/>
            <family val="2"/>
          </rPr>
          <t>Area</t>
        </r>
        <r>
          <rPr>
            <sz val="9"/>
            <color indexed="81"/>
            <rFont val="돋움"/>
            <family val="3"/>
            <charset val="129"/>
          </rPr>
          <t>에</t>
        </r>
        <r>
          <rPr>
            <sz val="9"/>
            <color indexed="81"/>
            <rFont val="Tahoma"/>
            <family val="2"/>
          </rPr>
          <t xml:space="preserve"> PivotHit</t>
        </r>
        <r>
          <rPr>
            <sz val="9"/>
            <color indexed="81"/>
            <rFont val="돋움"/>
            <family val="3"/>
            <charset val="129"/>
          </rPr>
          <t>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있어야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함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<sst xmlns="http://schemas.openxmlformats.org/spreadsheetml/2006/main" count="6976" uniqueCount="651">
  <si>
    <t>id</t>
    <phoneticPr fontId="1" type="noConversion"/>
  </si>
  <si>
    <t>int</t>
    <phoneticPr fontId="1" type="noConversion"/>
  </si>
  <si>
    <t>comment</t>
    <phoneticPr fontId="1" type="noConversion"/>
  </si>
  <si>
    <t>string</t>
    <phoneticPr fontId="1" type="noConversion"/>
  </si>
  <si>
    <t>#Character</t>
    <phoneticPr fontId="1" type="noConversion"/>
  </si>
  <si>
    <t>드미테르</t>
    <phoneticPr fontId="1" type="noConversion"/>
  </si>
  <si>
    <t>힐드</t>
    <phoneticPr fontId="1" type="noConversion"/>
  </si>
  <si>
    <t>다비</t>
    <phoneticPr fontId="1" type="noConversion"/>
  </si>
  <si>
    <t>아라한</t>
    <phoneticPr fontId="1" type="noConversion"/>
  </si>
  <si>
    <t>#SkillDesc</t>
    <phoneticPr fontId="1" type="noConversion"/>
  </si>
  <si>
    <t>#Range</t>
    <phoneticPr fontId="1" type="noConversion"/>
  </si>
  <si>
    <t>SkillType</t>
    <phoneticPr fontId="1" type="noConversion"/>
  </si>
  <si>
    <t>flaot</t>
    <phoneticPr fontId="1" type="noConversion"/>
  </si>
  <si>
    <t>BuffTrigger</t>
  </si>
  <si>
    <t>Buff</t>
    <phoneticPr fontId="1" type="noConversion"/>
  </si>
  <si>
    <t>#BuffDesc</t>
    <phoneticPr fontId="1" type="noConversion"/>
  </si>
  <si>
    <t>BuffTarget</t>
    <phoneticPr fontId="1" type="noConversion"/>
  </si>
  <si>
    <t>BuffValue</t>
    <phoneticPr fontId="1" type="noConversion"/>
  </si>
  <si>
    <t>Role</t>
    <phoneticPr fontId="1" type="noConversion"/>
  </si>
  <si>
    <t>Fire</t>
  </si>
  <si>
    <t>Fire</t>
    <phoneticPr fontId="1" type="noConversion"/>
  </si>
  <si>
    <t>Light</t>
    <phoneticPr fontId="1" type="noConversion"/>
  </si>
  <si>
    <t>Water</t>
    <phoneticPr fontId="1" type="noConversion"/>
  </si>
  <si>
    <t>Attacker</t>
  </si>
  <si>
    <t>Attacker</t>
    <phoneticPr fontId="1" type="noConversion"/>
  </si>
  <si>
    <t>Supporter</t>
  </si>
  <si>
    <t>Supporter</t>
    <phoneticPr fontId="1" type="noConversion"/>
  </si>
  <si>
    <t>Defender</t>
  </si>
  <si>
    <t>Defender</t>
    <phoneticPr fontId="1" type="noConversion"/>
  </si>
  <si>
    <t>BuffRate</t>
    <phoneticPr fontId="1" type="noConversion"/>
  </si>
  <si>
    <t>Normal</t>
  </si>
  <si>
    <t>Normal</t>
    <phoneticPr fontId="1" type="noConversion"/>
  </si>
  <si>
    <t>Reaction</t>
    <phoneticPr fontId="1" type="noConversion"/>
  </si>
  <si>
    <t>Active</t>
  </si>
  <si>
    <t>Active</t>
    <phoneticPr fontId="1" type="noConversion"/>
  </si>
  <si>
    <t>Passive2</t>
    <phoneticPr fontId="1" type="noConversion"/>
  </si>
  <si>
    <t>Leader</t>
    <phoneticPr fontId="1" type="noConversion"/>
  </si>
  <si>
    <t>AttackType</t>
  </si>
  <si>
    <t>None</t>
  </si>
  <si>
    <t>None</t>
    <phoneticPr fontId="1" type="noConversion"/>
  </si>
  <si>
    <t>TriggerType</t>
    <phoneticPr fontId="1" type="noConversion"/>
  </si>
  <si>
    <t>HpMoreEqual</t>
  </si>
  <si>
    <t>HPLessEqual</t>
  </si>
  <si>
    <t>Magician</t>
  </si>
  <si>
    <t>Element</t>
    <phoneticPr fontId="1" type="noConversion"/>
  </si>
  <si>
    <t>Cooltime</t>
    <phoneticPr fontId="1" type="noConversion"/>
  </si>
  <si>
    <t>TargetType</t>
    <phoneticPr fontId="1" type="noConversion"/>
  </si>
  <si>
    <t>Near</t>
  </si>
  <si>
    <t>BuffTargetType</t>
    <phoneticPr fontId="1" type="noConversion"/>
  </si>
  <si>
    <t>Enemy</t>
  </si>
  <si>
    <t>Ally</t>
  </si>
  <si>
    <t>Mine</t>
  </si>
  <si>
    <t>TargetCondition</t>
  </si>
  <si>
    <t>TargetPriority</t>
  </si>
  <si>
    <t>BuffArea</t>
    <phoneticPr fontId="1" type="noConversion"/>
  </si>
  <si>
    <t>#BuffAreaDesc</t>
  </si>
  <si>
    <t>MainBuffTargetPriority</t>
    <phoneticPr fontId="1" type="noConversion"/>
  </si>
  <si>
    <t>Random</t>
  </si>
  <si>
    <t>int</t>
  </si>
  <si>
    <t>AddTag</t>
    <phoneticPr fontId="1" type="noConversion"/>
  </si>
  <si>
    <t>RequireTag</t>
    <phoneticPr fontId="1" type="noConversion"/>
  </si>
  <si>
    <t>TagType</t>
  </si>
  <si>
    <t>TagType</t>
    <phoneticPr fontId="1" type="noConversion"/>
  </si>
  <si>
    <t>Trigger</t>
    <phoneticPr fontId="1" type="noConversion"/>
  </si>
  <si>
    <t>Id</t>
    <phoneticPr fontId="1" type="noConversion"/>
  </si>
  <si>
    <t>TriggerConditionValue</t>
    <phoneticPr fontId="1" type="noConversion"/>
  </si>
  <si>
    <t>TagType</t>
    <phoneticPr fontId="1" type="noConversion"/>
  </si>
  <si>
    <t>BuffCount</t>
    <phoneticPr fontId="1" type="noConversion"/>
  </si>
  <si>
    <t>Forest</t>
    <phoneticPr fontId="1" type="noConversion"/>
  </si>
  <si>
    <t>Dark</t>
    <phoneticPr fontId="1" type="noConversion"/>
  </si>
  <si>
    <t>NormalAttack</t>
  </si>
  <si>
    <t>WasHit</t>
  </si>
  <si>
    <t>TagCount</t>
    <phoneticPr fontId="1" type="noConversion"/>
  </si>
  <si>
    <t>TriggerConditionTag</t>
    <phoneticPr fontId="1" type="noConversion"/>
  </si>
  <si>
    <t>샤를</t>
  </si>
  <si>
    <t>샤를</t>
    <phoneticPr fontId="1" type="noConversion"/>
  </si>
  <si>
    <t>Attack</t>
    <phoneticPr fontId="1" type="noConversion"/>
  </si>
  <si>
    <t>string</t>
  </si>
  <si>
    <t>Mine</t>
    <phoneticPr fontId="1" type="noConversion"/>
  </si>
  <si>
    <t>BuffValue</t>
  </si>
  <si>
    <t>Area</t>
    <phoneticPr fontId="1" type="noConversion"/>
  </si>
  <si>
    <t>AreaType</t>
    <phoneticPr fontId="1" type="noConversion"/>
  </si>
  <si>
    <t>1칸</t>
    <phoneticPr fontId="1" type="noConversion"/>
  </si>
  <si>
    <t>십자</t>
    <phoneticPr fontId="1" type="noConversion"/>
  </si>
  <si>
    <t>X자</t>
    <phoneticPr fontId="1" type="noConversion"/>
  </si>
  <si>
    <t>9칸</t>
    <phoneticPr fontId="1" type="noConversion"/>
  </si>
  <si>
    <t>BuffDirection</t>
    <phoneticPr fontId="1" type="noConversion"/>
  </si>
  <si>
    <t>#Skilldesc</t>
    <phoneticPr fontId="1" type="noConversion"/>
  </si>
  <si>
    <t>comment</t>
  </si>
  <si>
    <t>DirectionType</t>
    <phoneticPr fontId="1" type="noConversion"/>
  </si>
  <si>
    <t>logic1</t>
    <phoneticPr fontId="1" type="noConversion"/>
  </si>
  <si>
    <t>logic2</t>
    <phoneticPr fontId="1" type="noConversion"/>
  </si>
  <si>
    <t>logic3</t>
    <phoneticPr fontId="1" type="noConversion"/>
  </si>
  <si>
    <t>PivotHit</t>
  </si>
  <si>
    <t>Hit</t>
  </si>
  <si>
    <t>Ally</t>
    <phoneticPr fontId="1" type="noConversion"/>
  </si>
  <si>
    <t>HitCriOnce</t>
    <phoneticPr fontId="1" type="noConversion"/>
  </si>
  <si>
    <t>브라우니</t>
  </si>
  <si>
    <t>브라우니</t>
    <phoneticPr fontId="1" type="noConversion"/>
  </si>
  <si>
    <t>맘몬</t>
  </si>
  <si>
    <t>맘몬</t>
    <phoneticPr fontId="1" type="noConversion"/>
  </si>
  <si>
    <t>다나</t>
  </si>
  <si>
    <t>다나</t>
    <phoneticPr fontId="1" type="noConversion"/>
  </si>
  <si>
    <t>기본 value - ((레벨-1) * 레벨 감소값) - (tier^2 * 티어 감소값)</t>
    <phoneticPr fontId="1" type="noConversion"/>
  </si>
  <si>
    <t>기본 value - ( 레벨 감소값 * ( 레벨 - 1 ) ) - ( 티어 감소값 * tier )</t>
    <phoneticPr fontId="1" type="noConversion"/>
  </si>
  <si>
    <t>기본 value * ( 1 + (레벨 * 레벨 증가값 )) + (tier * 티어 증가값)</t>
    <phoneticPr fontId="1" type="noConversion"/>
  </si>
  <si>
    <t>기본 value + ( 레벨 증가값 * ( 레벨 - 1 ) ) + ( 티어 증가값 * tier^2 )</t>
    <phoneticPr fontId="1" type="noConversion"/>
  </si>
  <si>
    <t>기본 value + ( 레벨 증가값 * ( 레벨 - 1 ) ) + ( 티어 증가값 * tier )</t>
    <phoneticPr fontId="1" type="noConversion"/>
  </si>
  <si>
    <t>BuffValueLevelupId</t>
    <phoneticPr fontId="1" type="noConversion"/>
  </si>
  <si>
    <t>Enum.CategoryType</t>
    <phoneticPr fontId="1" type="noConversion"/>
  </si>
  <si>
    <t>프레이</t>
  </si>
  <si>
    <t>프레이</t>
    <phoneticPr fontId="1" type="noConversion"/>
  </si>
  <si>
    <t>시트리</t>
  </si>
  <si>
    <t>시트리</t>
    <phoneticPr fontId="1" type="noConversion"/>
  </si>
  <si>
    <t>라이트 리플렉팅</t>
  </si>
  <si>
    <t>LowHp</t>
  </si>
  <si>
    <t>Name</t>
    <phoneticPr fontId="1" type="noConversion"/>
  </si>
  <si>
    <t>SkillIcon</t>
  </si>
  <si>
    <t>Type</t>
    <phoneticPr fontId="1" type="noConversion"/>
  </si>
  <si>
    <t>Healer</t>
    <phoneticPr fontId="1" type="noConversion"/>
  </si>
  <si>
    <t>모나</t>
  </si>
  <si>
    <t>모나</t>
    <phoneticPr fontId="1" type="noConversion"/>
  </si>
  <si>
    <t>패시브</t>
  </si>
  <si>
    <t>패시브</t>
    <phoneticPr fontId="1" type="noConversion"/>
  </si>
  <si>
    <t>HitCri</t>
    <phoneticPr fontId="1" type="noConversion"/>
  </si>
  <si>
    <t>dana_active</t>
  </si>
  <si>
    <t>brownie_active</t>
  </si>
  <si>
    <t>RequireCategoryType</t>
    <phoneticPr fontId="1" type="noConversion"/>
  </si>
  <si>
    <t>RequireId</t>
    <phoneticPr fontId="1" type="noConversion"/>
  </si>
  <si>
    <t>RequireValue</t>
    <phoneticPr fontId="1" type="noConversion"/>
  </si>
  <si>
    <t>#LevelValue</t>
    <phoneticPr fontId="1" type="noConversion"/>
  </si>
  <si>
    <t>#TierValue</t>
    <phoneticPr fontId="1" type="noConversion"/>
  </si>
  <si>
    <t>Function</t>
    <phoneticPr fontId="1" type="noConversion"/>
  </si>
  <si>
    <t>#수식 참조</t>
    <phoneticPr fontId="1" type="noConversion"/>
  </si>
  <si>
    <t>BuffTurn</t>
    <phoneticPr fontId="1" type="noConversion"/>
  </si>
  <si>
    <t>CastingType</t>
    <phoneticPr fontId="1" type="noConversion"/>
  </si>
  <si>
    <t>Static</t>
  </si>
  <si>
    <t>Move</t>
  </si>
  <si>
    <t>CastingOffset</t>
    <phoneticPr fontId="1" type="noConversion"/>
  </si>
  <si>
    <t>Static</t>
    <phoneticPr fontId="1" type="noConversion"/>
  </si>
  <si>
    <t>Ultimate</t>
  </si>
  <si>
    <t>Ultimate</t>
    <phoneticPr fontId="1" type="noConversion"/>
  </si>
  <si>
    <t>리자</t>
  </si>
  <si>
    <t>리자</t>
    <phoneticPr fontId="1" type="noConversion"/>
  </si>
  <si>
    <t>Move</t>
    <phoneticPr fontId="1" type="noConversion"/>
  </si>
  <si>
    <t>구미호</t>
    <phoneticPr fontId="1" type="noConversion"/>
  </si>
  <si>
    <t>바토리</t>
  </si>
  <si>
    <t>바토리</t>
    <phoneticPr fontId="1" type="noConversion"/>
  </si>
  <si>
    <t>쿠바바</t>
  </si>
  <si>
    <t>쿠바바</t>
    <phoneticPr fontId="1" type="noConversion"/>
  </si>
  <si>
    <t>Child</t>
  </si>
  <si>
    <t>Child</t>
    <phoneticPr fontId="1" type="noConversion"/>
  </si>
  <si>
    <t>#Type</t>
    <phoneticPr fontId="1" type="noConversion"/>
  </si>
  <si>
    <t>NonTargetMove</t>
  </si>
  <si>
    <t>이브</t>
  </si>
  <si>
    <t>바리</t>
  </si>
  <si>
    <t>아라한</t>
  </si>
  <si>
    <t>니르티</t>
  </si>
  <si>
    <t>도계화</t>
  </si>
  <si>
    <t>구미호</t>
  </si>
  <si>
    <t>라가라자</t>
  </si>
  <si>
    <t>카인</t>
  </si>
  <si>
    <t>그릴라</t>
  </si>
  <si>
    <t>아슈토레스</t>
  </si>
  <si>
    <t>힐드</t>
  </si>
  <si>
    <t>아르테미스</t>
  </si>
  <si>
    <t>에르제베트</t>
  </si>
  <si>
    <t>Passive</t>
  </si>
  <si>
    <t>라가라자</t>
    <phoneticPr fontId="1" type="noConversion"/>
  </si>
  <si>
    <t>아르테미스</t>
    <phoneticPr fontId="1" type="noConversion"/>
  </si>
  <si>
    <t>1열</t>
    <phoneticPr fontId="1" type="noConversion"/>
  </si>
  <si>
    <t>2열</t>
    <phoneticPr fontId="1" type="noConversion"/>
  </si>
  <si>
    <t>3열</t>
    <phoneticPr fontId="1" type="noConversion"/>
  </si>
  <si>
    <t>1,2열</t>
    <phoneticPr fontId="1" type="noConversion"/>
  </si>
  <si>
    <t>2,3열</t>
    <phoneticPr fontId="1" type="noConversion"/>
  </si>
  <si>
    <t>1행</t>
    <phoneticPr fontId="1" type="noConversion"/>
  </si>
  <si>
    <t>2행</t>
    <phoneticPr fontId="1" type="noConversion"/>
  </si>
  <si>
    <t>3행</t>
    <phoneticPr fontId="1" type="noConversion"/>
  </si>
  <si>
    <t>1,2행</t>
    <phoneticPr fontId="1" type="noConversion"/>
  </si>
  <si>
    <t>2,3행</t>
    <phoneticPr fontId="1" type="noConversion"/>
  </si>
  <si>
    <t>Hp</t>
  </si>
  <si>
    <t>TagCount</t>
  </si>
  <si>
    <t>Enum</t>
    <phoneticPr fontId="1" type="noConversion"/>
  </si>
  <si>
    <t>Hp</t>
    <phoneticPr fontId="1" type="noConversion"/>
  </si>
  <si>
    <t>LessEqual</t>
  </si>
  <si>
    <t>GreaterEqual</t>
  </si>
  <si>
    <t>Equal</t>
  </si>
  <si>
    <t>Equal</t>
    <phoneticPr fontId="1" type="noConversion"/>
  </si>
  <si>
    <t>KillEnemyOnce</t>
    <phoneticPr fontId="1" type="noConversion"/>
  </si>
  <si>
    <t>도계화</t>
    <phoneticPr fontId="1" type="noConversion"/>
  </si>
  <si>
    <t>카인</t>
    <phoneticPr fontId="1" type="noConversion"/>
  </si>
  <si>
    <t>에르제베트</t>
    <phoneticPr fontId="1" type="noConversion"/>
  </si>
  <si>
    <t>#TargetDesc</t>
    <phoneticPr fontId="1" type="noConversion"/>
  </si>
  <si>
    <t>NonTargetMove</t>
    <phoneticPr fontId="1" type="noConversion"/>
  </si>
  <si>
    <t>#prev</t>
  </si>
  <si>
    <t>#PrevValue</t>
  </si>
  <si>
    <t>#Main</t>
  </si>
  <si>
    <t>#MainValue</t>
  </si>
  <si>
    <t>#Post</t>
  </si>
  <si>
    <t>#PostValue</t>
  </si>
  <si>
    <t>#PrevTarget</t>
  </si>
  <si>
    <t>#MainTarget</t>
  </si>
  <si>
    <t>#PostTarget</t>
  </si>
  <si>
    <t>바리</t>
    <phoneticPr fontId="1" type="noConversion"/>
  </si>
  <si>
    <t>그릴라</t>
    <phoneticPr fontId="1" type="noConversion"/>
  </si>
  <si>
    <t>TargetIcon</t>
  </si>
  <si>
    <t>SkillAtlas</t>
  </si>
  <si>
    <t>TargetAtlas</t>
  </si>
  <si>
    <t>TargetAreaAtlas</t>
  </si>
  <si>
    <t>Desc</t>
  </si>
  <si>
    <t>TargetAreaIcon</t>
    <phoneticPr fontId="1" type="noConversion"/>
  </si>
  <si>
    <t>니르티</t>
    <phoneticPr fontId="1" type="noConversion"/>
  </si>
  <si>
    <t>아슈토레스</t>
    <phoneticPr fontId="1" type="noConversion"/>
  </si>
  <si>
    <t>다비</t>
  </si>
  <si>
    <t>드미테르</t>
  </si>
  <si>
    <t>이브</t>
    <phoneticPr fontId="1" type="noConversion"/>
  </si>
  <si>
    <t>Random</t>
    <phoneticPr fontId="1" type="noConversion"/>
  </si>
  <si>
    <t>HighHp</t>
    <phoneticPr fontId="1" type="noConversion"/>
  </si>
  <si>
    <t>LowAtk</t>
  </si>
  <si>
    <t>LowAtk</t>
    <phoneticPr fontId="1" type="noConversion"/>
  </si>
  <si>
    <t>HighAtk</t>
    <phoneticPr fontId="1" type="noConversion"/>
  </si>
  <si>
    <t>Dead</t>
    <phoneticPr fontId="1" type="noConversion"/>
  </si>
  <si>
    <t>Near</t>
    <phoneticPr fontId="1" type="noConversion"/>
  </si>
  <si>
    <t>Magician</t>
    <phoneticPr fontId="1" type="noConversion"/>
  </si>
  <si>
    <t>Enemy</t>
    <phoneticPr fontId="1" type="noConversion"/>
  </si>
  <si>
    <t>논타겟 아군 1칸</t>
    <phoneticPr fontId="1" type="noConversion"/>
  </si>
  <si>
    <t>논타겟 아군 9칸</t>
    <phoneticPr fontId="1" type="noConversion"/>
  </si>
  <si>
    <t>논타겟 적 1칸</t>
    <phoneticPr fontId="1" type="noConversion"/>
  </si>
  <si>
    <t>논타겟 적 9칸</t>
    <phoneticPr fontId="1" type="noConversion"/>
  </si>
  <si>
    <t>Far</t>
    <phoneticPr fontId="1" type="noConversion"/>
  </si>
  <si>
    <t>논타겟 적 앞 6칸</t>
    <phoneticPr fontId="1" type="noConversion"/>
  </si>
  <si>
    <t>논타겟 1행</t>
    <phoneticPr fontId="1" type="noConversion"/>
  </si>
  <si>
    <t>논타겟 2행</t>
    <phoneticPr fontId="1" type="noConversion"/>
  </si>
  <si>
    <t>논타겟 3행</t>
    <phoneticPr fontId="1" type="noConversion"/>
  </si>
  <si>
    <t>StartBattle</t>
  </si>
  <si>
    <t>2칸</t>
    <phoneticPr fontId="1" type="noConversion"/>
  </si>
  <si>
    <t>3칸</t>
    <phoneticPr fontId="1" type="noConversion"/>
  </si>
  <si>
    <t>LowSp</t>
    <phoneticPr fontId="1" type="noConversion"/>
  </si>
  <si>
    <t>LowSp</t>
  </si>
  <si>
    <t>HighSp</t>
    <phoneticPr fontId="1" type="noConversion"/>
  </si>
  <si>
    <t>HighSp</t>
  </si>
  <si>
    <t>LowSpd</t>
    <phoneticPr fontId="1" type="noConversion"/>
  </si>
  <si>
    <t>LowSpd</t>
  </si>
  <si>
    <t>HighSpd</t>
    <phoneticPr fontId="1" type="noConversion"/>
  </si>
  <si>
    <t>HighSpd</t>
  </si>
  <si>
    <t>#SkillName</t>
    <phoneticPr fontId="1" type="noConversion"/>
  </si>
  <si>
    <t>성자의 축복</t>
  </si>
  <si>
    <t>여신의 세례</t>
  </si>
  <si>
    <t>화차</t>
  </si>
  <si>
    <t>파이어리 서펀트</t>
  </si>
  <si>
    <t>나비효과</t>
  </si>
  <si>
    <t>프릭킹 니들</t>
  </si>
  <si>
    <t>극약처방</t>
  </si>
  <si>
    <t>사이드 이펙트</t>
  </si>
  <si>
    <t>하이스트 마운틴</t>
  </si>
  <si>
    <t>플라워리 배리어</t>
  </si>
  <si>
    <t>무한한 영광있으라</t>
  </si>
  <si>
    <t>이클립스</t>
  </si>
  <si>
    <t>트릭스타</t>
  </si>
  <si>
    <t>사랑을 담아</t>
  </si>
  <si>
    <t>고급정보입니다!</t>
  </si>
  <si>
    <t>특급정보입니다!</t>
  </si>
  <si>
    <t>데스페라도 친칠라</t>
  </si>
  <si>
    <t>섬광</t>
  </si>
  <si>
    <t>징벌의 창</t>
  </si>
  <si>
    <t>만물을 비추는 위광</t>
  </si>
  <si>
    <t>폴 인 러브</t>
  </si>
  <si>
    <t>크런치 캔디</t>
  </si>
  <si>
    <t>라 돌체 비타</t>
  </si>
  <si>
    <t>초감</t>
    <phoneticPr fontId="1" type="noConversion"/>
  </si>
  <si>
    <t>출</t>
    <phoneticPr fontId="1" type="noConversion"/>
  </si>
  <si>
    <t>멸도</t>
  </si>
  <si>
    <t>멸도</t>
    <phoneticPr fontId="1" type="noConversion"/>
  </si>
  <si>
    <t>그림 리퍼</t>
  </si>
  <si>
    <t>사신의 잔상</t>
  </si>
  <si>
    <t>트릭스터</t>
  </si>
  <si>
    <t>라이트닝 불릿</t>
  </si>
  <si>
    <t>크랙 샷</t>
  </si>
  <si>
    <t>루나틱 스나이퍼</t>
  </si>
  <si>
    <t>성난 파도</t>
  </si>
  <si>
    <t>콜드리딩</t>
  </si>
  <si>
    <t>쇼크 웨이브</t>
  </si>
  <si>
    <t>꼬리의 매질</t>
  </si>
  <si>
    <t>원혼의 아홉 꼬리</t>
  </si>
  <si>
    <t>붉은 원망의 폭풍</t>
  </si>
  <si>
    <t>동반자 예우</t>
  </si>
  <si>
    <t>피의 맹세</t>
  </si>
  <si>
    <t>에스코트</t>
  </si>
  <si>
    <t>와일드 로드</t>
  </si>
  <si>
    <t>오버 더 리밋</t>
  </si>
  <si>
    <t>데스 스키드 마크</t>
  </si>
  <si>
    <t>지장</t>
  </si>
  <si>
    <t>관음</t>
  </si>
  <si>
    <t>맹화</t>
  </si>
  <si>
    <t>나이트메어 이블</t>
  </si>
  <si>
    <t>광포한 분노</t>
  </si>
  <si>
    <t>침식하는 어둠</t>
  </si>
  <si>
    <t>원거만리</t>
  </si>
  <si>
    <t>신행귀신 속거천리</t>
  </si>
  <si>
    <t>급급여율령</t>
  </si>
  <si>
    <t>오레무스</t>
  </si>
  <si>
    <t>베르붐 도미니</t>
  </si>
  <si>
    <t>십자가의 피</t>
  </si>
  <si>
    <t>마신의 채찍</t>
  </si>
  <si>
    <t>죽음의 그늘</t>
  </si>
  <si>
    <t>Bloody Mary</t>
  </si>
  <si>
    <t>삼재</t>
    <phoneticPr fontId="1" type="noConversion"/>
  </si>
  <si>
    <t>천라홍수</t>
  </si>
  <si>
    <t>은하수 곡성</t>
  </si>
  <si>
    <t>악마의 야망</t>
  </si>
  <si>
    <t>발푸르기스의 밤</t>
  </si>
  <si>
    <t>드림 오브 레기온</t>
  </si>
  <si>
    <t>삼무파다</t>
  </si>
  <si>
    <t>진리로부터 온 자</t>
  </si>
  <si>
    <t>열반의 중득</t>
  </si>
  <si>
    <t>밤의 속삭임</t>
  </si>
  <si>
    <t>심연의 덫</t>
  </si>
  <si>
    <t>가시 무도회</t>
  </si>
  <si>
    <t>다크 미스트</t>
  </si>
  <si>
    <t>레인 드랍</t>
  </si>
  <si>
    <t>실낙원</t>
  </si>
  <si>
    <t>UsedNormalSkill</t>
  </si>
  <si>
    <t>UsedActiveSkill</t>
  </si>
  <si>
    <t>UsedUltimateSkill</t>
  </si>
  <si>
    <t>WasHitOnce</t>
  </si>
  <si>
    <t>CounterOnce</t>
  </si>
  <si>
    <t>ThirdCol</t>
  </si>
  <si>
    <t>Buff</t>
  </si>
  <si>
    <t>크랙 샷</t>
    <phoneticPr fontId="1" type="noConversion"/>
  </si>
  <si>
    <t>Burn</t>
    <phoneticPr fontId="1" type="noConversion"/>
  </si>
  <si>
    <t>Barrier</t>
  </si>
  <si>
    <t>Barrier</t>
    <phoneticPr fontId="1" type="noConversion"/>
  </si>
  <si>
    <t>자신 앞</t>
    <phoneticPr fontId="1" type="noConversion"/>
  </si>
  <si>
    <t>자신 뒤</t>
    <phoneticPr fontId="1" type="noConversion"/>
  </si>
  <si>
    <t>Pivot</t>
    <phoneticPr fontId="1" type="noConversion"/>
  </si>
  <si>
    <t>자신 앞 1칸</t>
    <phoneticPr fontId="1" type="noConversion"/>
  </si>
  <si>
    <t>자신 뒤 1칸</t>
    <phoneticPr fontId="1" type="noConversion"/>
  </si>
  <si>
    <t>Dead</t>
  </si>
  <si>
    <t>후열에 위치한 무작위 아군 1명에게는 드림 오브 레기온의 버프 효과가 2배로 적용</t>
  </si>
  <si>
    <t>첫 턴 공격은 반드시 치명타로 적중하며, 전투 종료 시 효과 초기화</t>
  </si>
  <si>
    <t>자신에게 도발된 적 1명마다 자신의 방어력이 &lt;color=#87cefa&gt;{buff:main}_{value:1}%&lt;/color&gt; 증가</t>
  </si>
  <si>
    <t>대상에게 &lt;color=#F69041&gt;{buff:main}_{value:1}%&lt;/color&gt; 대미지</t>
  </si>
  <si>
    <t>배틀 시작 시 속도와 무관하게 가장 먼저 행동</t>
  </si>
  <si>
    <t>디버프 상태의 대상에게 주는 피해량 &lt;color=#F69041&gt;{buff:main}_{value:1}%&lt;/color&gt; 증가</t>
  </si>
  <si>
    <t>체력이 100%일 때 공격력 &lt;color=#87cefa&gt;{buff:main}_{value:1}%&lt;/color&gt; 증가</t>
  </si>
  <si>
    <t>치명타 발동 시 자신의 잃은 체력의 &lt;color=#67FC4B&gt;{buff:main}_{value:1}%&lt;/color&gt; 회복</t>
  </si>
  <si>
    <t>모든 적에게 &lt;color=#F69041&gt;{buff:main}_{value:1}%&lt;/color&gt; 대미지</t>
  </si>
  <si>
    <t>자신이 보유한 버프 종류 1개당 치명타 확률 &lt;color=#87cefa&gt;{buff:main}_{value:1}%&lt;/color&gt; 증가</t>
  </si>
  <si>
    <t>SkillCamType</t>
    <phoneticPr fontId="1" type="noConversion"/>
  </si>
  <si>
    <t>피아 전체</t>
    <phoneticPr fontId="1" type="noConversion"/>
  </si>
  <si>
    <t>None</t>
    <phoneticPr fontId="1" type="noConversion"/>
  </si>
  <si>
    <t>HighSpd</t>
    <phoneticPr fontId="1" type="noConversion"/>
  </si>
  <si>
    <t>피아 전체 공격속도 빠른 대상 5</t>
    <phoneticPr fontId="1" type="noConversion"/>
  </si>
  <si>
    <t>피아 전체 공격속도 느린 대상 1</t>
    <phoneticPr fontId="1" type="noConversion"/>
  </si>
  <si>
    <t>LowSpd</t>
    <phoneticPr fontId="1" type="noConversion"/>
  </si>
  <si>
    <t>UltimateKillEnemy</t>
  </si>
  <si>
    <t>DevilActive</t>
  </si>
  <si>
    <t>Dodge</t>
    <phoneticPr fontId="1" type="noConversion"/>
  </si>
  <si>
    <t>NormalKillEnemy</t>
    <phoneticPr fontId="1" type="noConversion"/>
  </si>
  <si>
    <t>논타겟 적 1열</t>
    <phoneticPr fontId="1" type="noConversion"/>
  </si>
  <si>
    <t>논타겟 적 2열</t>
  </si>
  <si>
    <t>논타겟 적 3열</t>
  </si>
  <si>
    <t>논타겟 아군 1열</t>
    <phoneticPr fontId="1" type="noConversion"/>
  </si>
  <si>
    <t>논타겟 아군 2열</t>
  </si>
  <si>
    <t>논타겟 아군 3열</t>
  </si>
  <si>
    <t>Skill_Area_Icon_Pivot_Centor</t>
  </si>
  <si>
    <t>Skill_Target_Icon_Mine</t>
  </si>
  <si>
    <t>Skill_Target_Icon_Ally</t>
  </si>
  <si>
    <t>Skill_Area_Icon_Pivot_All</t>
  </si>
  <si>
    <t>Skill_Area_Icon_Pivot_Cross</t>
  </si>
  <si>
    <t>Skill_Area_Icon_Pivot_Row</t>
  </si>
  <si>
    <t>Skill_Area_Icon_Pivot_Column</t>
  </si>
  <si>
    <t>Skill_Area_Icon_NonTarget_All</t>
  </si>
  <si>
    <t>Skill_Area_Icon_NonTarget_Third_Column</t>
  </si>
  <si>
    <t>Skill_Target_Icon_Enemy</t>
  </si>
  <si>
    <t>Skill_Target_Icon_Ally_Random_one</t>
  </si>
  <si>
    <t>Skill_Target_Icon_Ally_LowHp_One</t>
  </si>
  <si>
    <t>Skill_Target_Icon_Ally_HighAtk_Three</t>
  </si>
  <si>
    <t>Skill_Target_Icon_Ally_Forest</t>
  </si>
  <si>
    <t>Skill_Target_Icon_Enemy_Random_One</t>
  </si>
  <si>
    <t>Skill_Target_Icon_Enemy_Near_One</t>
  </si>
  <si>
    <t>Skill_Target_Icon_Enemy_Near_One</t>
    <phoneticPr fontId="1" type="noConversion"/>
  </si>
  <si>
    <t>Skill_Target_Icon_Ally_Attacker_One</t>
  </si>
  <si>
    <t>#TargetIcon</t>
    <phoneticPr fontId="1" type="noConversion"/>
  </si>
  <si>
    <t>#AreaIcon</t>
    <phoneticPr fontId="1" type="noConversion"/>
  </si>
  <si>
    <t>Debuff</t>
    <phoneticPr fontId="1" type="noConversion"/>
  </si>
  <si>
    <t>Tamamo_Ultimate</t>
  </si>
  <si>
    <t>Grilla_Ultimate</t>
  </si>
  <si>
    <t>Nirrti_Ultimate</t>
  </si>
  <si>
    <t>Dana_Ultimate</t>
  </si>
  <si>
    <t>Davi_Ultimate</t>
  </si>
  <si>
    <t>ToKeika_Ultimate</t>
  </si>
  <si>
    <t>Demeter_Ultimate</t>
  </si>
  <si>
    <t>Ragaraja_Ultimate</t>
  </si>
  <si>
    <t>Lisa_Ultimate</t>
  </si>
  <si>
    <t>Mommon_Ultimate</t>
  </si>
  <si>
    <t>Mona_Ultimate</t>
  </si>
  <si>
    <t>Bari_Ultimate</t>
  </si>
  <si>
    <t>Bari_Passive</t>
  </si>
  <si>
    <t>Bathory_Ultimate</t>
  </si>
  <si>
    <t>Sytry_Ultimate</t>
  </si>
  <si>
    <t>Arhat_Ultimate</t>
  </si>
  <si>
    <t>Artemis_Ultimate</t>
  </si>
  <si>
    <t>Ashtoreth_Ultimate</t>
  </si>
  <si>
    <t>Elizabeth_Ultimate</t>
  </si>
  <si>
    <t>Eve_Ultimate</t>
  </si>
  <si>
    <t>Cain_Ultimate</t>
  </si>
  <si>
    <t>Kubaba_Ultimate</t>
  </si>
  <si>
    <t>Frej_Ultimate</t>
  </si>
  <si>
    <t>Hildr_Ultimate</t>
  </si>
  <si>
    <t>arhat_active</t>
    <phoneticPr fontId="1" type="noConversion"/>
  </si>
  <si>
    <t>arhat_normal</t>
    <phoneticPr fontId="1" type="noConversion"/>
  </si>
  <si>
    <t>arhat_passive</t>
    <phoneticPr fontId="1" type="noConversion"/>
  </si>
  <si>
    <t>Artemis_active</t>
    <phoneticPr fontId="1" type="noConversion"/>
  </si>
  <si>
    <t>Artemis_normal</t>
    <phoneticPr fontId="1" type="noConversion"/>
  </si>
  <si>
    <t>Artemis_passive</t>
    <phoneticPr fontId="1" type="noConversion"/>
  </si>
  <si>
    <t>Ashtoreth_active</t>
    <phoneticPr fontId="1" type="noConversion"/>
  </si>
  <si>
    <t>Ashtoreth_normal</t>
    <phoneticPr fontId="1" type="noConversion"/>
  </si>
  <si>
    <t>Ashtoreth_passive</t>
    <phoneticPr fontId="1" type="noConversion"/>
  </si>
  <si>
    <t>Bari_active</t>
    <phoneticPr fontId="1" type="noConversion"/>
  </si>
  <si>
    <t>Bari_normal</t>
    <phoneticPr fontId="1" type="noConversion"/>
  </si>
  <si>
    <t>Bari_passive</t>
    <phoneticPr fontId="1" type="noConversion"/>
  </si>
  <si>
    <t>ToKeika_passive</t>
    <phoneticPr fontId="1" type="noConversion"/>
  </si>
  <si>
    <t>ToKeika_normal</t>
    <phoneticPr fontId="1" type="noConversion"/>
  </si>
  <si>
    <t>ToKeika_active</t>
    <phoneticPr fontId="1" type="noConversion"/>
  </si>
  <si>
    <t>Bathory_active</t>
    <phoneticPr fontId="1" type="noConversion"/>
  </si>
  <si>
    <t>Bathory_normal</t>
    <phoneticPr fontId="1" type="noConversion"/>
  </si>
  <si>
    <t>Bathory_passive</t>
    <phoneticPr fontId="1" type="noConversion"/>
  </si>
  <si>
    <t>brownie_active</t>
    <phoneticPr fontId="1" type="noConversion"/>
  </si>
  <si>
    <t>brownie_normal</t>
    <phoneticPr fontId="1" type="noConversion"/>
  </si>
  <si>
    <t>brownie_passive</t>
    <phoneticPr fontId="1" type="noConversion"/>
  </si>
  <si>
    <t>Cain_active</t>
    <phoneticPr fontId="1" type="noConversion"/>
  </si>
  <si>
    <t>Cain_normal</t>
    <phoneticPr fontId="1" type="noConversion"/>
  </si>
  <si>
    <t>Cain_passive</t>
    <phoneticPr fontId="1" type="noConversion"/>
  </si>
  <si>
    <t>charlotte_active</t>
    <phoneticPr fontId="1" type="noConversion"/>
  </si>
  <si>
    <t>charlotte_normal</t>
    <phoneticPr fontId="1" type="noConversion"/>
  </si>
  <si>
    <t>charlotte_passive</t>
    <phoneticPr fontId="1" type="noConversion"/>
  </si>
  <si>
    <t>dana_active</t>
    <phoneticPr fontId="1" type="noConversion"/>
  </si>
  <si>
    <t>dana_normal</t>
    <phoneticPr fontId="1" type="noConversion"/>
  </si>
  <si>
    <t>dana_passive</t>
    <phoneticPr fontId="1" type="noConversion"/>
  </si>
  <si>
    <t>davi_active</t>
    <phoneticPr fontId="1" type="noConversion"/>
  </si>
  <si>
    <t>demeter_normal</t>
    <phoneticPr fontId="1" type="noConversion"/>
  </si>
  <si>
    <t>demeter_passive</t>
    <phoneticPr fontId="1" type="noConversion"/>
  </si>
  <si>
    <t>Elizabeth_active</t>
    <phoneticPr fontId="1" type="noConversion"/>
  </si>
  <si>
    <t>Elizabeth_normal</t>
    <phoneticPr fontId="1" type="noConversion"/>
  </si>
  <si>
    <t>Elizabeth_passive</t>
    <phoneticPr fontId="1" type="noConversion"/>
  </si>
  <si>
    <t>Eve_active</t>
    <phoneticPr fontId="1" type="noConversion"/>
  </si>
  <si>
    <t>Eve_normal</t>
    <phoneticPr fontId="1" type="noConversion"/>
  </si>
  <si>
    <t>Eve_passive</t>
    <phoneticPr fontId="1" type="noConversion"/>
  </si>
  <si>
    <t>frej_active</t>
    <phoneticPr fontId="1" type="noConversion"/>
  </si>
  <si>
    <t>frej_normal</t>
    <phoneticPr fontId="1" type="noConversion"/>
  </si>
  <si>
    <t>frej_passive</t>
    <phoneticPr fontId="1" type="noConversion"/>
  </si>
  <si>
    <t>Grilla_active</t>
    <phoneticPr fontId="1" type="noConversion"/>
  </si>
  <si>
    <t>Grilla_normal</t>
    <phoneticPr fontId="1" type="noConversion"/>
  </si>
  <si>
    <t>Grilla_passive</t>
    <phoneticPr fontId="1" type="noConversion"/>
  </si>
  <si>
    <t>hildr_active</t>
    <phoneticPr fontId="1" type="noConversion"/>
  </si>
  <si>
    <t>hildr_normal</t>
    <phoneticPr fontId="1" type="noConversion"/>
  </si>
  <si>
    <t>hildr_passive</t>
    <phoneticPr fontId="1" type="noConversion"/>
  </si>
  <si>
    <t>Kubaba_active</t>
    <phoneticPr fontId="1" type="noConversion"/>
  </si>
  <si>
    <t>Kubaba_normal</t>
    <phoneticPr fontId="1" type="noConversion"/>
  </si>
  <si>
    <t>Kubaba_passive</t>
    <phoneticPr fontId="1" type="noConversion"/>
  </si>
  <si>
    <t>Lisa_active</t>
    <phoneticPr fontId="1" type="noConversion"/>
  </si>
  <si>
    <t>Lisa_normal</t>
    <phoneticPr fontId="1" type="noConversion"/>
  </si>
  <si>
    <t>Lisa_passive</t>
    <phoneticPr fontId="1" type="noConversion"/>
  </si>
  <si>
    <t>Mommon_active</t>
    <phoneticPr fontId="1" type="noConversion"/>
  </si>
  <si>
    <t>Mommon_normal</t>
    <phoneticPr fontId="1" type="noConversion"/>
  </si>
  <si>
    <t>Mommon_passive</t>
    <phoneticPr fontId="1" type="noConversion"/>
  </si>
  <si>
    <t>Mona_active</t>
    <phoneticPr fontId="1" type="noConversion"/>
  </si>
  <si>
    <t>Mona_normal</t>
    <phoneticPr fontId="1" type="noConversion"/>
  </si>
  <si>
    <t>Mona_passive</t>
    <phoneticPr fontId="1" type="noConversion"/>
  </si>
  <si>
    <t>Nirrti_active</t>
    <phoneticPr fontId="1" type="noConversion"/>
  </si>
  <si>
    <t>Nirrti_normal</t>
    <phoneticPr fontId="1" type="noConversion"/>
  </si>
  <si>
    <t>Nirrti_passive</t>
    <phoneticPr fontId="1" type="noConversion"/>
  </si>
  <si>
    <t>Ragaraja_active</t>
    <phoneticPr fontId="1" type="noConversion"/>
  </si>
  <si>
    <t>Ragaraja_normal</t>
    <phoneticPr fontId="1" type="noConversion"/>
  </si>
  <si>
    <t>Ragaraja_passive</t>
    <phoneticPr fontId="1" type="noConversion"/>
  </si>
  <si>
    <t>sytry_active</t>
    <phoneticPr fontId="1" type="noConversion"/>
  </si>
  <si>
    <t>sytry_normal</t>
    <phoneticPr fontId="1" type="noConversion"/>
  </si>
  <si>
    <t>sytry_passive</t>
    <phoneticPr fontId="1" type="noConversion"/>
  </si>
  <si>
    <t>Tamamo_active</t>
    <phoneticPr fontId="1" type="noConversion"/>
  </si>
  <si>
    <t>Tamamo_normal</t>
    <phoneticPr fontId="1" type="noConversion"/>
  </si>
  <si>
    <t>Tamamo_passive</t>
    <phoneticPr fontId="1" type="noConversion"/>
  </si>
  <si>
    <t>brownie_Ultimate</t>
  </si>
  <si>
    <t>brownie_Ultimate</t>
    <phoneticPr fontId="1" type="noConversion"/>
  </si>
  <si>
    <t>charlotte_Ultimate</t>
  </si>
  <si>
    <t>charlotte_Ultimate</t>
    <phoneticPr fontId="1" type="noConversion"/>
  </si>
  <si>
    <t>Demeter_active</t>
  </si>
  <si>
    <t>Demeter_active</t>
    <phoneticPr fontId="1" type="noConversion"/>
  </si>
  <si>
    <t>Davi_normal</t>
    <phoneticPr fontId="1" type="noConversion"/>
  </si>
  <si>
    <t>ThirdRow</t>
  </si>
  <si>
    <t>All</t>
  </si>
  <si>
    <t>All</t>
    <phoneticPr fontId="1" type="noConversion"/>
  </si>
  <si>
    <t>Move</t>
    <phoneticPr fontId="1" type="noConversion"/>
  </si>
  <si>
    <t>Static</t>
    <phoneticPr fontId="1" type="noConversion"/>
  </si>
  <si>
    <t>모든 적</t>
  </si>
  <si>
    <t>체력이 가장 낮은 아군 1명에게 &lt;color=#67FC4B&gt;{buff:main}_{value:1}%&lt;/color&gt; 회복</t>
  </si>
  <si>
    <t>Move</t>
    <phoneticPr fontId="1" type="noConversion"/>
  </si>
  <si>
    <t>모든 아군</t>
  </si>
  <si>
    <t>KillEnemyOnce</t>
  </si>
  <si>
    <t>Stand</t>
  </si>
  <si>
    <t>공격 적중 시 15% 확률로 2턴 동안 &lt;color=#F69041&gt;30%&lt;/color&gt; 대미지 중독 부여</t>
  </si>
  <si>
    <t>자신에게 {buff:main}_{turn}턴 동안 체력의 &lt;color=#67FC4B&gt;{buff:main}_{value:1}%&lt;/color&gt; 보호막 부여</t>
  </si>
  <si>
    <t>대상 중심 십자 적에게 &lt;color=#F69041&gt;{buff:main}_{value:1}%&lt;/color&gt; 대미지를 주고 자신의 최대 체력의 &lt;color=#67FC4B&gt;{buff:post}_{value:1}%&lt;/color&gt; 즉시 회복</t>
  </si>
  <si>
    <t>대상 중심 모든 적에게 &lt;color=#F69041&gt;{buff:main}_{value:1}%&lt;/color&gt; 대미지를 주고 자신의 최대 체력의 &lt;color=#67FC4B&gt;{buff:post}_{value:1}%&lt;/color&gt; 즉시 회복</t>
  </si>
  <si>
    <t>대상에게 &lt;color=#F69041&gt;{buff:main}_{value:1}%&lt;/color&gt; 대미지를 주고 적중 시 {buff:post}_{turn}턴 동안 &lt;color=#F69041&gt;{buff:post}_{value:1}%&lt;/color&gt; 대미지 화상 부여</t>
  </si>
  <si>
    <t>모든 적에게 &lt;color=#F69041&gt;{buff:main}_{value:1}%&lt;/color&gt; 대미지를 주고 적중 시 {buff:post}_{turn}턴 동안 &lt;color=#F69041&gt;{buff:post}_{value:1}%&lt;/color&gt; 대미지 화상 부여</t>
  </si>
  <si>
    <t>모든 적에게 &lt;color=#F69041&gt;{buff:main}_{value:1}%&lt;/color&gt; 대미지를 주고 무작위 아군 1명에게 &lt;color=#67FC4B&gt;{buff:post}_{value:1}%&lt;/color&gt; 회복</t>
  </si>
  <si>
    <t>직선의 적에게 &lt;color=#F69041&gt;{buff:main}_{value:1}%&lt;/color&gt; 대미지를 주고 적중 시 {buff:post}_{turn}턴 동안 &lt;color=#F69041&gt;{buff:post}_{value:1}%&lt;/color&gt; 대미지 출혈 부여</t>
  </si>
  <si>
    <t>모든 적에게 &lt;color=#F69041&gt;{buff:main}_{value:1}%&lt;/color&gt; 대미지를 주고 적중 시 {buff:post}_{rate}% 확률로 {buff:post}_{turn}턴 동안 &lt;color=#F69041&gt;{buff:post}_{value:1}%&lt;/color&gt; 대미지 화상 부여</t>
  </si>
  <si>
    <t>액티브 스킬 및 얼티밋 스킬 적중 시 10% 확률로 3턴 동안 &lt;color=#F69041&gt;30%&lt;/color&gt; 대미지 화상 부여</t>
  </si>
  <si>
    <t>모든 적에게 &lt;color=#F69041&gt;{buff:main}_{value:1}%&lt;/color&gt; 대미지를 주고 적중 시 {buff:post}_{rate}% 확률로 {buff:post}_{turn}턴 동안 &lt;color=#F69041&gt;도발&lt;/color&gt; 부여</t>
  </si>
  <si>
    <t>Move</t>
    <phoneticPr fontId="1" type="noConversion"/>
  </si>
  <si>
    <t>Skill_Area_Icon_Pivot_Back</t>
  </si>
  <si>
    <t>Skill_Area_Icon_Pivot_Front</t>
  </si>
  <si>
    <t>트릭룸 효과 {buff:main}_{turn}턴 동안 전개</t>
  </si>
  <si>
    <t>Davi_passive</t>
    <phoneticPr fontId="1" type="noConversion"/>
  </si>
  <si>
    <t>직선의 적에게 &lt;color=#F69041&gt;{buff:main}_{value:1}%&lt;/color&gt; 대미지를 주고 대상 처치 시 즉시 1회 추가 발동 (1회만 적용)</t>
  </si>
  <si>
    <t>직선의 적에게 &lt;color=#F69041&gt;{buff:main}_{value:1}%&lt;/color&gt; 대미지를 주고 적중 시 {buff:post}_{rate}% 확률로 {buff:post}_{turn}턴 동안 &lt;color=#F69041&gt;{buff:post}_{value:1}%&lt;/color&gt; 대미지 출혈 부여</t>
  </si>
  <si>
    <t>StartRound</t>
    <phoneticPr fontId="1" type="noConversion"/>
  </si>
  <si>
    <t xml:space="preserve">사망한 아군 1명당 공격력, 방어력, 체력 &lt;color=#87cefa&gt;{buff:main}_{value:1}%&lt;/color&gt; 증가 </t>
  </si>
  <si>
    <t xml:space="preserve">모든 아군에게 {buff:main}_{turn}턴 동안 방어력 &lt;color=#87cefa&gt;{buff:main}_{value:1}%&lt;/color&gt; 증가 </t>
  </si>
  <si>
    <t xml:space="preserve">전투 시작 시 자신 앞에 위치한 아군 1명에게 공격력 &lt;color=#87cefa&gt;{buff:main}_{value:1}%&lt;/color&gt; 및 방어력 &lt;color=#87cefa&gt;{buff:main}_{value:4}%&lt;/color&gt; 증가 </t>
  </si>
  <si>
    <t>시트리 속도 증가</t>
  </si>
  <si>
    <t>모든 적에게 &lt;color=#F69041&gt;{buff:main}_{value:1}%&lt;/color&gt; 5회 대미지를 주고 적중 시 {buff:post}_{rate}% 확률로 {buff:post}_{turn}턴 동안 &lt;color=#F69041&gt;{buff:post}_{value:1}%&lt;/color&gt; 대미지 화상 부여</t>
  </si>
  <si>
    <t>모든 적에게 &lt;color=#F69041&gt;{buff:main}_{value:1}%&lt;/color&gt; 4회 대미지를 주고 적중 시 {buff:post}_{rate}% 확률로 {buff:post}_{turn}턴 동안 &lt;color=#F69041&gt;{buff:post}_{value:1}%&lt;/color&gt; 대미지 중독 부여</t>
  </si>
  <si>
    <t>직선의 적에게 &lt;color=#F69041&gt;{buff:main}_{value:1}%&lt;/color&gt; 대미지를 주고 적중한 적에게 {buff:post}_{turn}턴 동안 방어력 &lt;color=#F69041&gt;{buff:post}_{value:1}%&lt;/color&gt; 감소 및 감소한 방어력만큼 자신의 방어력 증가</t>
  </si>
  <si>
    <t xml:space="preserve">대상에게 &lt;color=#F69041&gt;{buff:main}_{value:1}%&lt;/color&gt; 대미지를 주고 화속성 아군 1명에게 {buff:post}_{turn}턴 동안 공격력 &lt;color=#87cefa&gt;{buff:post}_{value:1}%&lt;/color&gt; 증가 및 속도 &lt;color=#87cefa&gt;20&lt;/color&gt; 증가 </t>
  </si>
  <si>
    <t>모든 적에게 &lt;color=#F69041&gt;{buff:main}_{value:1}%&lt;/color&gt; 4회 대미지를 주고 적중 시 {buff:post}_{turn}턴 동안 공격력 &lt;color=#F69041&gt;{buff:post}_{value:1}%&lt;/color&gt; 감소</t>
  </si>
  <si>
    <t>모든 아군 잃은 체력의 &lt;color=#67FC4B&gt;{buff:main}_{value:1}%&lt;/color&gt; 회복 및 모든 아군에게 {buff:post}_{turn}턴 동안 속도 &lt;color=#F69041&gt;-20&lt;/color&gt; 감소</t>
  </si>
  <si>
    <t>직선의 적에게 &lt;color=#F69041&gt;{buff:main}_{value:1}%&lt;/color&gt; 대미지를 주고 후열의 아군에게 {buff:post}_{turn}턴 동안 체력의 &lt;color=#67FC4B&gt;{buff:post}_{value:1}%&lt;/color&gt; 보호막 부여</t>
  </si>
  <si>
    <t>체력이 가장 낮은 아군 3명에게 &lt;color=#67FC4B&gt;{buff:main}_{value:1}%&lt;/color&gt; 회복 및 후열에 위치한 무작위 아군 1명에게 {buff:post}_{turn}턴 동안 공격력 &lt;color=#87cefa&gt;{buff:post}_{value:1}%&lt;/color&gt; 증가</t>
  </si>
  <si>
    <t>모든 적의 방어력 &lt;color=#F69041&gt;{buff:main}_{value:1}%&lt;/color&gt; 감소</t>
  </si>
  <si>
    <t>화상 중 적 공격 시 &lt;color=#F69041&gt;30%&lt;/color&gt; 확률로 1턴 동안 기절 부여</t>
  </si>
  <si>
    <t>대상에게 &lt;color=#F69041&gt;{buff:main}_{value:1}%&lt;/color&gt; 치명타 대미지를 주고 적중 시 자신에게 {buff:post}_{turn}턴 동안 속도 &lt;color=#87cefa&gt;15&lt;/color&gt; 증가</t>
  </si>
  <si>
    <t>모든 적에게 &lt;color=#F69041&gt;{buff:main}_{value:1}%&lt;/color&gt; 대미지를 주고 아군 1명에게 공격력의 &lt;color=#67FC4B&gt;{buff:post}_{value:1}%&lt;/color&gt; x 적중한 적 수 만큼 회복</t>
  </si>
  <si>
    <t xml:space="preserve">모든 적에게 &lt;color=#F69041&gt;{buff:main}_{value:1}%&lt;/color&gt; 대미지를 주고 공격력이 가장 높은 아군 1명에게 {buff:post}_{turn}턴 동안 공격력 &lt;color=#87cefa&gt;{buff:post}_{value:1}%&lt;/color&gt; 증가 </t>
  </si>
  <si>
    <t>화속성 적 우선 대상에게 &lt;color=#F69041&gt;{buff:main}_{value:1}%&lt;/color&gt; 대미지를 주고 적중 시 {buff:post}_{turn}턴 동안 &lt;color=#F69041&gt;{buff:post}_{value:1}%&lt;/color&gt; 대미지 중독 부여</t>
  </si>
  <si>
    <t>모든 적에게 &lt;color=#F69041&gt;{buff:main}_{value:1}%&lt;/color&gt; 3회 대미지</t>
  </si>
  <si>
    <t>모든 적에게 &lt;color=#F69041&gt;{buff:main}_{value:1}%&lt;/color&gt; 대미지를 주고 모든 아군에게 2턴간 공격력, 방어력, 체력 &lt;color=#87cefa&gt;25%&lt;/color&gt; 증가</t>
  </si>
  <si>
    <t>후열의 적에게 &lt;color=#F69041&gt;{buff:main}_{value:1}%&lt;/color&gt; 대미지를 주고 중독 상태의 대상에게는 대미지 &lt;color=#F69041&gt;{buff:prev}_{value:1}%&lt;/color&gt; 증가</t>
  </si>
  <si>
    <t>대상에게 &lt;color=#F69041&gt;{buff:main}_{value:1}%&lt;/color&gt; 대미지를 주고 적중 시 {buff:post}_{turn}턴 동안 반격불가 부여</t>
  </si>
  <si>
    <t>대상에게 &lt;color=#F69041&gt;{buff:main}_{value:1}%&lt;/color&gt; 3회 대미지</t>
  </si>
  <si>
    <t>치명타 적중 시 2턴 동안 &lt;color=#F69041&gt;30%&lt;/color&gt; 대미지 화상 부여</t>
  </si>
  <si>
    <t>체력이 가장 낮은 아군 2명에게 {buff:main}_{turn}턴간 &lt;color=#67FC4B&gt;[재생]&lt;/color&gt; 효과 부여\n &lt;color=#67FC4B&gt;[재생]&lt;/color&gt; : 매 턴 공격력 &lt;color=#67FC4B&gt;{buff:main}_{value:1}%&lt;/color&gt; 회복</t>
  </si>
  <si>
    <t>대상에게 &lt;color=#F69041&gt;{buff:main}_{value:1}%&lt;/color&gt; 2회 대미지</t>
  </si>
  <si>
    <t>대상에게 &lt;color=#F69041&gt;{buff:main}_{value:1}%&lt;/color&gt; 대미지를 주고 자신에게 {buff:post}_{turn}턴간 방어력 &lt;color=#87cefa&gt;{buff:post}_{value:1}%&lt;/color&gt; 증가 및 회피 &lt;color=#87cefa&gt;{buff:post}_{value:1}%&lt;/color&gt; 증가</t>
  </si>
  <si>
    <t>대상 처치 시 십자범위 대상에게 {buff:main}_{rate}% 확률로 2턴 동안 &lt;color=#F69041&gt;30%&lt;/color&gt; 대미지 화상 부여</t>
  </si>
  <si>
    <t>자신에게 {buff:main}_{turn}턴 동안 &lt;color=#87cefa&gt;[관음]&lt;/color&gt; 부여\n&lt;color=#87cefa&gt;[관음]&lt;/color&gt; : 방어력 100% 증가</t>
  </si>
  <si>
    <t>대상에게 &lt;color=#F69041&gt;{buff:main}_{value:1}%&lt;/color&gt; 대미지를 주고 적중 시 {buff:post}_{turn}턴 동안 빙결 부여</t>
  </si>
  <si>
    <t>대상에게 &lt;color=#F69041&gt;{buff:main}_{value:1}%&lt;/color&gt; 대미지 및 1칸 넉백 및 적중 시  {buff:postend}_{rate}% 확률로 {buff:postend}_{turn}턴 동안 기절 부여</t>
  </si>
  <si>
    <t>체력 비율이 낮을수록 방어력 증가 &lt;color=#87cefa&gt;(비율당 1%)&lt;/color&gt;</t>
  </si>
  <si>
    <t>파티 내 화속성 아군 1명당 회복량 &lt;color=#67FC4B&gt;{buff:main}_{value:1}%&lt;/color&gt; 증가</t>
  </si>
  <si>
    <t>체력 비율이 높을수록 회복량 증가 &lt;color=#87cefa&gt;(비율당 1%)&lt;/color&gt;</t>
  </si>
  <si>
    <t>보호막 상태인 동안 받는 회복량 &lt;color=#67FC4B&gt;{buff:main}_{value:1}%&lt;/color&gt; 증가</t>
  </si>
  <si>
    <t>[트릭룸] 효과 {buff:main}_{turn}턴 동안 전개\n[트릭룸] : 전투 중인 모든 캐릭터의 속도 반전</t>
  </si>
  <si>
    <t>모든 적에게 &lt;color=#F69041&gt;{buff:main}_{value:1}%&lt;/color&gt; 대미지를 주고 적중 시 {buff:post}_{turn}턴 동안 방어력 &lt;color=#F69041&gt;{buff:post}_{value:1}%&lt;/color&gt; 감소</t>
  </si>
  <si>
    <t>매 턴 시작시 50% 확률로 아군 1명 체력 &lt;color=#67FC4B&gt;5%&lt;/color&gt; 상태로 부활</t>
  </si>
  <si>
    <t xml:space="preserve">SP &lt;color=#87cefa&gt;20&lt;/color&gt; 회복하고 자신에게 {buff:main}_{turn}턴 동안 공격력 &lt;color=#87cefa&gt;{buff:main}_{value:1}%&lt;/color&gt; 증가 </t>
  </si>
  <si>
    <t>대상에게 &lt;color=#F69041&gt;{buff:main}_{value:1}%&lt;/color&gt; 대미지를 주고 적중 시 {buff:post}_{rate}% 확률로 {buff:post}_{turn}턴 동안 기절 부여</t>
  </si>
  <si>
    <t xml:space="preserve">모든 적에게 &lt;color=#F69041&gt;{buff:main}_{value:1}%&lt;/color&gt; 6회 대미지를 주고 자신이 위치한 열의 아군 1명에게 {buff:post}_{turn}턴 동안 치명타 확률 &lt;color=#87cefa&gt;{buff:main}_{value:1}%&lt;/color&gt; 증가 및 치명타 피해량 &lt;color=#87cefa&gt;{buff:post}_{value:1}%&lt;/color&gt; 증가 </t>
  </si>
  <si>
    <t>체력 비율이 낮을수록 얼티밋 피해량 증가, &lt;color=#87cefa&gt;(비율당 1%)&lt;/color&gt;</t>
  </si>
  <si>
    <t>자신 뒤에 위치한 아군 1명에게 &lt;color=#87cefa&gt;[계약자]&lt;/color&gt; 버프 부여\n&lt;color=#87cefa&gt;[계약자]&lt;/color&gt; : 공격력, 방어력, 체력 20% 증가</t>
  </si>
  <si>
    <t xml:space="preserve">모든 적에게 &lt;color=#F69041&gt;{buff:main}_{value:1}%&lt;/color&gt; 대미지를 주고 모든 아군에게 {buff:post}_{turn}턴 동안 속도 &lt;color=#87cefa&gt;20&lt;/color&gt; 증가 </t>
  </si>
  <si>
    <t>사망 시 계약자 잃은 체력의 &lt;color=#67FC4B&gt;50%&lt;/color&gt; 회복</t>
  </si>
  <si>
    <t>#</t>
    <phoneticPr fontId="1" type="noConversion"/>
  </si>
  <si>
    <t>대상에게 &lt;color=#F69041&gt;{buff:main}_{value:1}%&lt;/color&gt; 대미지를 주고 동일 대상 공격마다 피해량 &lt;color=#87cefa&gt;10%&lt;/color&gt; 씩 증가</t>
  </si>
  <si>
    <t>대상에게 &lt;color=#F69041&gt;{buff:main}_{value:1}%&lt;/color&gt; 대미지를 주고 동일 대상 공격마다 피해량 &lt;color=#87cefa&gt;10%&lt;/color&gt; 씩 증가</t>
    <phoneticPr fontId="1" type="noConversion"/>
  </si>
  <si>
    <t>모든 적에게 &lt;color=#F69041&gt;{buff:main}_{value:1}%&lt;/color&gt; 4회 대미지를 주고 사용 시마다 피해량 &lt;color=#F69041&gt;3%&lt;/color&gt;씩 증가</t>
  </si>
  <si>
    <t>모든 적에게 &lt;color=#F69041&gt;{buff:main}_{value:1}%&lt;/color&gt; 4회 대미지를 주고 사용 시마다 피해량 &lt;color=#F69041&gt;3%&lt;/color&gt;씩 증가</t>
    <phoneticPr fontId="1" type="noConversion"/>
  </si>
  <si>
    <t>얼티밋 스킬 사용 시마다 공격력 &lt;color=#87cefa&gt;5%&lt;/color&gt; 증가 및 속도 &lt;color=#F69041&gt;-5&lt;/color&gt; 감소</t>
    <phoneticPr fontId="1" type="noConversion"/>
  </si>
  <si>
    <t>대상에게 &lt;color=#F69041&gt;{buff:main}_{value:1}%&lt;/color&gt; 대미지를 주고 적중 시 {buff:post}_{turn}턴 동안 방어력 &lt;color=#F69041&gt;{buff:post}_{value:1}%&lt;/color&gt; 감소</t>
  </si>
  <si>
    <t>대상에게 &lt;color=#F69041&gt;{buff:main}_{value:1}%&lt;/color&gt; 대미지를 주고 적중 시 {buff:post}_{turn}턴 동안 방어력 &lt;color=#F69041&gt;{buff:post}_{value:1}%&lt;/color&gt; 감소</t>
    <phoneticPr fontId="1" type="noConversion"/>
  </si>
  <si>
    <t>대상에게 &lt;color=#F69041&gt;{buff:main}_{value:1}%&lt;/color&gt; 7회 대미지를 주고 {buff:post}_{turn}턴 동안 속도 &lt;color=#F69041&gt;20&lt;/color&gt; 감소</t>
    <phoneticPr fontId="1" type="noConversion"/>
  </si>
  <si>
    <t>모든 적에게 &lt;color=#F69041&gt;{buff:main}_{value:1}%&lt;/color&gt; 5회 치명타 대미지를 주고 화상 상태의 대상에게는 대미지 &lt;color=#F69041&gt;{buff:prev}_{value:1}%&lt;/color&gt; 증가</t>
  </si>
  <si>
    <t>모든 적에게 &lt;color=#F69041&gt;{buff:main}_{value:1}%&lt;/color&gt; 5회 치명타 대미지를 주고 화상 상태의 대상에게는 대미지 &lt;color=#F69041&gt;{buff:prev}_{value:1}%&lt;/color&gt; 증가</t>
    <phoneticPr fontId="1" type="noConversion"/>
  </si>
  <si>
    <t xml:space="preserve">대상에게 &lt;color=#F69041&gt;{buff:main}_{value:1}%&lt;/color&gt; 7회 대미지를 주고 자신에게 {buff:post}_{turn}턴 동안 공격력 &lt;color=#87cefa&gt;{buff:post}_{value:1}%&lt;/color&gt; 증가 </t>
  </si>
  <si>
    <t xml:space="preserve">대상에게 &lt;color=#F69041&gt;{buff:main}_{value:1}%&lt;/color&gt; 7회 대미지를 주고 자신에게 {buff:post}_{turn}턴 동안 공격력 &lt;color=#87cefa&gt;{buff:post}_{value:1}%&lt;/color&gt; 증가 </t>
    <phoneticPr fontId="1" type="noConversion"/>
  </si>
  <si>
    <t>대상 처치 시 속도 &lt;color=#87cefa&gt;15&lt;/color&gt; 증가 방어력 &lt;color=#F69041&gt;10%&lt;/color&gt; 감소</t>
  </si>
  <si>
    <t>대상 처치 시 속도 &lt;color=#87cefa&gt;15&lt;/color&gt; 증가 방어력 &lt;color=#F69041&gt;10%&lt;/color&gt; 감소</t>
    <phoneticPr fontId="1" type="noConversion"/>
  </si>
  <si>
    <t>자신에게 &lt;color=#F69041&gt;{buff:main}_{value:1}%&lt;/color&gt; 및 &lt;color=#87cefa&gt;[의심]&lt;/color&gt; 부여\n&lt;color=#87cefa&gt;[의심]&lt;/color&gt; : 자신에게 최대 체력의 20% 대미지 및 얼티밋 대미지 50% 증가</t>
  </si>
  <si>
    <t>자신에게 &lt;color=#F69041&gt;{buff:main}_{value:1}%&lt;/color&gt; 및 &lt;color=#87cefa&gt;[의심]&lt;/color&gt; 부여\n&lt;color=#87cefa&gt;[의심]&lt;/color&gt; : 자신에게 최대 체력의 20% 대미지 및 얼티밋 대미지 50% 증가</t>
    <phoneticPr fontId="1" type="noConversion"/>
  </si>
  <si>
    <t>Far</t>
    <phoneticPr fontId="1" type="noConversion"/>
  </si>
  <si>
    <t>먼 아군 1열</t>
    <phoneticPr fontId="1" type="noConversion"/>
  </si>
  <si>
    <t>먼 아군 1행</t>
    <phoneticPr fontId="1" type="noConversion"/>
  </si>
  <si>
    <t>Level</t>
    <phoneticPr fontId="1" type="noConversion"/>
  </si>
  <si>
    <t>Target</t>
    <phoneticPr fontId="1" type="noConversion"/>
  </si>
  <si>
    <t>BuffValue</t>
    <phoneticPr fontId="1" type="noConversion"/>
  </si>
  <si>
    <t>Target</t>
    <phoneticPr fontId="1" type="noConversion"/>
  </si>
  <si>
    <t>ActionTriggerType</t>
  </si>
  <si>
    <t>RemoveTriggerType</t>
    <phoneticPr fontId="1" type="noConversion"/>
  </si>
  <si>
    <t>RemoveTriggerParam</t>
    <phoneticPr fontId="1" type="noConversion"/>
  </si>
  <si>
    <t>판</t>
  </si>
  <si>
    <t>판</t>
    <phoneticPr fontId="1" type="noConversion"/>
  </si>
  <si>
    <t>목동의 휘파람</t>
    <phoneticPr fontId="1" type="noConversion"/>
  </si>
  <si>
    <t>작은 양을 위한 굴레</t>
    <phoneticPr fontId="1" type="noConversion"/>
  </si>
  <si>
    <t>작은 양을 위한 굴레</t>
    <phoneticPr fontId="1" type="noConversion"/>
  </si>
  <si>
    <t>고요한 봄의 들판</t>
  </si>
  <si>
    <t>고요한 봄의 들판</t>
    <phoneticPr fontId="1" type="noConversion"/>
  </si>
  <si>
    <t>pan_normal</t>
    <phoneticPr fontId="1" type="noConversion"/>
  </si>
  <si>
    <t>pan_active</t>
    <phoneticPr fontId="1" type="noConversion"/>
  </si>
  <si>
    <t>pan_Ultimate</t>
    <phoneticPr fontId="1" type="noConversion"/>
  </si>
  <si>
    <t>pan_passive</t>
    <phoneticPr fontId="1" type="noConversion"/>
  </si>
  <si>
    <t>카라라트리</t>
  </si>
  <si>
    <t>카라라트리</t>
    <phoneticPr fontId="1" type="noConversion"/>
  </si>
  <si>
    <t>무기법</t>
  </si>
  <si>
    <t>무루의 고통</t>
  </si>
  <si>
    <t>출세간의 선법</t>
  </si>
  <si>
    <t>아우로라</t>
  </si>
  <si>
    <t>아우로라</t>
    <phoneticPr fontId="1" type="noConversion"/>
  </si>
  <si>
    <t>기다림의 끝</t>
    <phoneticPr fontId="1" type="noConversion"/>
  </si>
  <si>
    <t>지켜주는 나무</t>
  </si>
  <si>
    <t>지켜주는 나무</t>
    <phoneticPr fontId="1" type="noConversion"/>
  </si>
  <si>
    <t>당신을 향한 고백</t>
  </si>
  <si>
    <t>당신을 향한 고백</t>
    <phoneticPr fontId="1" type="noConversion"/>
  </si>
  <si>
    <t>모건</t>
  </si>
  <si>
    <t>모건</t>
    <phoneticPr fontId="1" type="noConversion"/>
  </si>
  <si>
    <t>홍염의 비도</t>
  </si>
  <si>
    <t>화도난무</t>
  </si>
  <si>
    <t>철화의 검</t>
  </si>
  <si>
    <t>반시</t>
  </si>
  <si>
    <t>반시</t>
    <phoneticPr fontId="1" type="noConversion"/>
  </si>
  <si>
    <t>진혼</t>
    <phoneticPr fontId="1" type="noConversion"/>
  </si>
  <si>
    <t>나비의 춤</t>
  </si>
  <si>
    <t>나비의 춤</t>
    <phoneticPr fontId="1" type="noConversion"/>
  </si>
  <si>
    <t>나비의 애곡</t>
  </si>
  <si>
    <t>나비의 애곡</t>
    <phoneticPr fontId="1" type="noConversion"/>
  </si>
  <si>
    <t>웨이팅 포 딜</t>
    <phoneticPr fontId="1" type="noConversion"/>
  </si>
  <si>
    <t>크로스 더 루비콘</t>
  </si>
  <si>
    <t>크로스 더 루비콘</t>
    <phoneticPr fontId="1" type="noConversion"/>
  </si>
  <si>
    <t>퓨리오스</t>
  </si>
  <si>
    <t>퓨리오스</t>
    <phoneticPr fontId="1" type="noConversion"/>
  </si>
  <si>
    <t>패시브</t>
    <phoneticPr fontId="1" type="noConversion"/>
  </si>
  <si>
    <t>미리암</t>
  </si>
  <si>
    <t>미리암</t>
    <phoneticPr fontId="1" type="noConversion"/>
  </si>
  <si>
    <t>데레사</t>
    <phoneticPr fontId="1" type="noConversion"/>
  </si>
  <si>
    <t>스틸 웨일링</t>
    <phoneticPr fontId="1" type="noConversion"/>
  </si>
  <si>
    <t>데털민트 소드</t>
  </si>
  <si>
    <t>새크리파이스</t>
  </si>
  <si>
    <t>데레사</t>
    <phoneticPr fontId="1" type="noConversion"/>
  </si>
  <si>
    <t>티스베</t>
    <phoneticPr fontId="1" type="noConversion"/>
  </si>
  <si>
    <t>오아시스</t>
    <phoneticPr fontId="1" type="noConversion"/>
  </si>
  <si>
    <t>하늘의 창문</t>
    <phoneticPr fontId="1" type="noConversion"/>
  </si>
  <si>
    <t>헤븐리 웰</t>
    <phoneticPr fontId="1" type="noConversion"/>
  </si>
  <si>
    <t>두엣샤</t>
    <phoneticPr fontId="1" type="noConversion"/>
  </si>
  <si>
    <t>매직 클럽</t>
    <phoneticPr fontId="1" type="noConversion"/>
  </si>
  <si>
    <t>내가 누구게?</t>
    <phoneticPr fontId="1" type="noConversion"/>
  </si>
  <si>
    <t>블랙 라이</t>
    <phoneticPr fontId="1" type="noConversion"/>
  </si>
  <si>
    <t>Item</t>
    <phoneticPr fontId="1" type="noConversion"/>
  </si>
  <si>
    <t>CompareType</t>
  </si>
  <si>
    <t>지바</t>
  </si>
  <si>
    <t>지바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</si>
</sst>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9"/>
      <name val="맑은 고딕"/>
      <family val="2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6" fillId="5" borderId="0" applyNumberFormat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3" fillId="3" borderId="0" xfId="0" applyFont="1" applyFill="1">
      <alignment vertical="center"/>
    </xf>
    <xf numFmtId="0" fontId="2" fillId="3" borderId="1" xfId="0" applyFont="1" applyFill="1" applyBorder="1">
      <alignment vertical="center"/>
    </xf>
    <xf numFmtId="0" fontId="2" fillId="3" borderId="0" xfId="0" applyFont="1" applyFill="1">
      <alignment vertical="center"/>
    </xf>
    <xf numFmtId="0" fontId="4" fillId="0" borderId="0" xfId="0" applyFont="1">
      <alignment vertical="center"/>
    </xf>
    <xf numFmtId="0" fontId="4" fillId="0" borderId="1" xfId="0" applyFont="1" applyBorder="1">
      <alignment vertical="center"/>
    </xf>
    <xf numFmtId="0" fontId="4" fillId="0" borderId="4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3" fillId="0" borderId="4" xfId="0" applyFont="1" applyBorder="1">
      <alignment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0" xfId="1" applyFont="1" applyFill="1" applyBorder="1" applyAlignment="1">
      <alignment horizontal="center" vertical="center"/>
    </xf>
    <xf numFmtId="0" fontId="7" fillId="0" borderId="0" xfId="1" applyFont="1" applyFill="1" applyBorder="1" applyAlignment="1">
      <alignment horizontal="center" vertical="center"/>
    </xf>
    <xf numFmtId="0" fontId="4" fillId="3" borderId="0" xfId="0" applyFont="1" applyFill="1">
      <alignment vertical="center"/>
    </xf>
    <xf numFmtId="0" fontId="4" fillId="3" borderId="1" xfId="0" applyFont="1" applyFill="1" applyBorder="1">
      <alignment vertical="center"/>
    </xf>
    <xf numFmtId="0" fontId="4" fillId="0" borderId="6" xfId="0" applyFont="1" applyBorder="1">
      <alignment vertical="center"/>
    </xf>
    <xf numFmtId="0" fontId="7" fillId="0" borderId="11" xfId="1" applyFont="1" applyFill="1" applyBorder="1" applyAlignment="1">
      <alignment horizontal="center" vertical="center"/>
    </xf>
    <xf numFmtId="0" fontId="4" fillId="3" borderId="4" xfId="0" applyFont="1" applyFill="1" applyBorder="1">
      <alignment vertical="center"/>
    </xf>
    <xf numFmtId="0" fontId="3" fillId="6" borderId="0" xfId="0" applyFont="1" applyFill="1">
      <alignment vertical="center"/>
    </xf>
    <xf numFmtId="0" fontId="2" fillId="6" borderId="0" xfId="0" applyFont="1" applyFill="1">
      <alignment vertical="center"/>
    </xf>
    <xf numFmtId="0" fontId="2" fillId="6" borderId="4" xfId="0" applyFont="1" applyFill="1" applyBorder="1">
      <alignment vertical="center"/>
    </xf>
    <xf numFmtId="0" fontId="3" fillId="6" borderId="2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2" xfId="0" applyFont="1" applyFill="1" applyBorder="1">
      <alignment vertical="center"/>
    </xf>
    <xf numFmtId="0" fontId="2" fillId="6" borderId="5" xfId="0" applyFont="1" applyFill="1" applyBorder="1">
      <alignment vertical="center"/>
    </xf>
    <xf numFmtId="0" fontId="3" fillId="7" borderId="0" xfId="0" applyFont="1" applyFill="1">
      <alignment vertical="center"/>
    </xf>
    <xf numFmtId="0" fontId="2" fillId="7" borderId="1" xfId="0" applyFont="1" applyFill="1" applyBorder="1">
      <alignment vertical="center"/>
    </xf>
    <xf numFmtId="0" fontId="2" fillId="7" borderId="0" xfId="0" applyFont="1" applyFill="1">
      <alignment vertical="center"/>
    </xf>
    <xf numFmtId="0" fontId="4" fillId="8" borderId="0" xfId="0" applyFont="1" applyFill="1">
      <alignment vertical="center"/>
    </xf>
    <xf numFmtId="0" fontId="2" fillId="0" borderId="0" xfId="0" applyFont="1" applyAlignment="1">
      <alignment horizontal="center" vertical="center"/>
    </xf>
    <xf numFmtId="0" fontId="0" fillId="3" borderId="0" xfId="0" applyFill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4" fillId="0" borderId="3" xfId="0" applyFont="1" applyBorder="1">
      <alignment vertical="center"/>
    </xf>
    <xf numFmtId="0" fontId="4" fillId="0" borderId="5" xfId="0" applyFont="1" applyBorder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3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8" borderId="0" xfId="0" applyFont="1" applyFill="1">
      <alignment vertical="center"/>
    </xf>
    <xf numFmtId="0" fontId="11" fillId="0" borderId="0" xfId="0" applyFont="1" applyAlignment="1">
      <alignment horizontal="center" vertical="center"/>
    </xf>
    <xf numFmtId="0" fontId="12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3" borderId="0" xfId="0" applyFont="1" applyFill="1">
      <alignment vertical="center"/>
    </xf>
    <xf numFmtId="0" fontId="13" fillId="0" borderId="0" xfId="0" applyFont="1">
      <alignment vertical="center"/>
    </xf>
    <xf numFmtId="0" fontId="13" fillId="6" borderId="2" xfId="0" applyFont="1" applyFill="1" applyBorder="1">
      <alignment vertical="center"/>
    </xf>
    <xf numFmtId="0" fontId="13" fillId="6" borderId="0" xfId="0" applyFont="1" applyFill="1">
      <alignment vertical="center"/>
    </xf>
    <xf numFmtId="0" fontId="12" fillId="0" borderId="2" xfId="0" applyFont="1" applyBorder="1">
      <alignment vertical="center"/>
    </xf>
    <xf numFmtId="0" fontId="13" fillId="0" borderId="0" xfId="0" applyFont="1" applyAlignment="1">
      <alignment horizontal="center" vertical="center"/>
    </xf>
    <xf numFmtId="0" fontId="4" fillId="0" borderId="15" xfId="0" applyFont="1" applyBorder="1">
      <alignment vertical="center"/>
    </xf>
    <xf numFmtId="0" fontId="3" fillId="10" borderId="0" xfId="0" applyFont="1" applyFill="1">
      <alignment vertical="center"/>
    </xf>
    <xf numFmtId="0" fontId="2" fillId="10" borderId="0" xfId="0" applyFont="1" applyFill="1">
      <alignment vertical="center"/>
    </xf>
    <xf numFmtId="0" fontId="2" fillId="10" borderId="4" xfId="0" applyFont="1" applyFill="1" applyBorder="1">
      <alignment vertical="center"/>
    </xf>
    <xf numFmtId="0" fontId="13" fillId="10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10" borderId="0" xfId="0" applyFont="1" applyFill="1">
      <alignment vertical="center"/>
    </xf>
    <xf numFmtId="0" fontId="11" fillId="0" borderId="0" xfId="0" applyFont="1">
      <alignment vertical="center"/>
    </xf>
    <xf numFmtId="0" fontId="11" fillId="0" borderId="2" xfId="0" applyFont="1" applyBorder="1">
      <alignment vertical="center"/>
    </xf>
    <xf numFmtId="0" fontId="11" fillId="0" borderId="3" xfId="0" applyFont="1" applyBorder="1">
      <alignment vertical="center"/>
    </xf>
    <xf numFmtId="0" fontId="0" fillId="6" borderId="0" xfId="0" applyFill="1">
      <alignment vertical="center"/>
    </xf>
    <xf numFmtId="10" fontId="3" fillId="6" borderId="0" xfId="0" applyNumberFormat="1" applyFont="1" applyFill="1" applyAlignment="1"/>
    <xf numFmtId="0" fontId="2" fillId="3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나쁨" xfId="1" builtinId="27"/>
    <cellStyle name="표준" xfId="0" builtinId="0"/>
  </cellStyles>
  <dxfs count="9"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d\Design\Excel\Buff.xlsx" TargetMode="External"/><Relationship Id="rId1" Type="http://schemas.openxmlformats.org/officeDocument/2006/relationships/externalLinkPath" Target="Buf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d\Design\Excel\Character.xlsx" TargetMode="External"/><Relationship Id="rId1" Type="http://schemas.openxmlformats.org/officeDocument/2006/relationships/externalLinkPath" Target="Charac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#Outline"/>
      <sheetName val="Buff"/>
      <sheetName val="Logic"/>
      <sheetName val="#Sheet2"/>
      <sheetName val="#Sheet1"/>
    </sheetNames>
    <sheetDataSet>
      <sheetData sheetId="0"/>
      <sheetData sheetId="1">
        <row r="1">
          <cell r="A1" t="str">
            <v>Id</v>
          </cell>
          <cell r="E1" t="str">
            <v>#BuffName</v>
          </cell>
        </row>
        <row r="2">
          <cell r="A2" t="str">
            <v>int</v>
          </cell>
          <cell r="E2" t="str">
            <v>comment</v>
          </cell>
        </row>
        <row r="4">
          <cell r="A4">
            <v>5000000</v>
          </cell>
          <cell r="E4" t="str">
            <v>없음</v>
          </cell>
        </row>
        <row r="5">
          <cell r="A5">
            <v>2000101</v>
          </cell>
          <cell r="E5" t="str">
            <v>공격력 증가</v>
          </cell>
        </row>
        <row r="6">
          <cell r="A6">
            <v>2000102</v>
          </cell>
          <cell r="E6" t="str">
            <v>공격력 증가</v>
          </cell>
        </row>
        <row r="7">
          <cell r="A7">
            <v>2000103</v>
          </cell>
          <cell r="E7" t="str">
            <v>공격력 증가</v>
          </cell>
        </row>
        <row r="8">
          <cell r="A8">
            <v>2000104</v>
          </cell>
          <cell r="E8" t="str">
            <v>공격력 증가</v>
          </cell>
        </row>
        <row r="9">
          <cell r="A9">
            <v>2000105</v>
          </cell>
          <cell r="E9" t="str">
            <v>리자 공격력 증가</v>
          </cell>
        </row>
        <row r="10">
          <cell r="A10">
            <v>2000106</v>
          </cell>
          <cell r="E10" t="str">
            <v>바토리 공증</v>
          </cell>
        </row>
        <row r="11">
          <cell r="A11">
            <v>2000107</v>
          </cell>
          <cell r="E11" t="str">
            <v>에르제베트 공증</v>
          </cell>
        </row>
        <row r="12">
          <cell r="A12">
            <v>2000108</v>
          </cell>
          <cell r="E12" t="str">
            <v>소울카르타 pc246 공증</v>
          </cell>
        </row>
        <row r="13">
          <cell r="A13">
            <v>2000109</v>
          </cell>
          <cell r="E13" t="str">
            <v>소울카르타 pc180 공증</v>
          </cell>
        </row>
        <row r="14">
          <cell r="A14">
            <v>2000110</v>
          </cell>
          <cell r="E14" t="str">
            <v>소울카르타 pc081 공증</v>
          </cell>
        </row>
        <row r="15">
          <cell r="A15">
            <v>2000112</v>
          </cell>
          <cell r="E15" t="str">
            <v>소울카르타 pc187 공증</v>
          </cell>
        </row>
        <row r="16">
          <cell r="A16">
            <v>2000113</v>
          </cell>
          <cell r="E16" t="str">
            <v>소울카르타 pc202 공증</v>
          </cell>
        </row>
        <row r="17">
          <cell r="A17">
            <v>2000114</v>
          </cell>
          <cell r="E17" t="str">
            <v>악마스킬 3 공격력 증가</v>
          </cell>
        </row>
        <row r="18">
          <cell r="A18">
            <v>2000115</v>
          </cell>
          <cell r="E18" t="str">
            <v>재능 피의 복수 공격력 증가</v>
          </cell>
        </row>
        <row r="19">
          <cell r="A19">
            <v>2000116</v>
          </cell>
          <cell r="E19" t="str">
            <v>재능 투쟁심 공증 중첩</v>
          </cell>
        </row>
        <row r="20">
          <cell r="A20">
            <v>2000117</v>
          </cell>
          <cell r="E20" t="str">
            <v>그릴라 공격력 증가 1</v>
          </cell>
        </row>
        <row r="21">
          <cell r="A21">
            <v>2000118</v>
          </cell>
          <cell r="E21" t="str">
            <v>그릴라 공격력 증가 2</v>
          </cell>
        </row>
        <row r="22">
          <cell r="A22">
            <v>2000119</v>
          </cell>
          <cell r="E22" t="str">
            <v>재능 투쟁심 공증 도트</v>
          </cell>
        </row>
        <row r="23">
          <cell r="A23">
            <v>2000199</v>
          </cell>
          <cell r="E23" t="str">
            <v>유물 버프</v>
          </cell>
        </row>
        <row r="24">
          <cell r="A24">
            <v>2000111</v>
          </cell>
          <cell r="E24" t="str">
            <v>공격력 증가(아군 비례)</v>
          </cell>
        </row>
        <row r="25">
          <cell r="A25">
            <v>2000201</v>
          </cell>
          <cell r="E25" t="str">
            <v>방어력 증가</v>
          </cell>
        </row>
        <row r="26">
          <cell r="A26">
            <v>2000202</v>
          </cell>
          <cell r="E26" t="str">
            <v>방어력 증가</v>
          </cell>
        </row>
        <row r="27">
          <cell r="A27">
            <v>2000203</v>
          </cell>
          <cell r="E27" t="str">
            <v>모나 얼티밋 방어력 증가</v>
          </cell>
        </row>
        <row r="28">
          <cell r="A28">
            <v>2000204</v>
          </cell>
          <cell r="E28" t="str">
            <v>시트리 방어력 증가</v>
          </cell>
        </row>
        <row r="29">
          <cell r="A29">
            <v>2000205</v>
          </cell>
          <cell r="E29" t="str">
            <v>소울카르타 pc052 방어력 증가</v>
          </cell>
        </row>
        <row r="30">
          <cell r="A30">
            <v>2000206</v>
          </cell>
          <cell r="E30" t="str">
            <v>악마 스킬 5 방어력 증가</v>
          </cell>
        </row>
        <row r="31">
          <cell r="A31">
            <v>2000207</v>
          </cell>
          <cell r="E31" t="str">
            <v>소울카르타 pc246 방증</v>
          </cell>
        </row>
        <row r="32">
          <cell r="A32">
            <v>2000208</v>
          </cell>
          <cell r="E32" t="str">
            <v>보스 크리스탈 방어력 중첩</v>
          </cell>
        </row>
        <row r="33">
          <cell r="A33">
            <v>2000209</v>
          </cell>
          <cell r="E33" t="str">
            <v>재능 인내심 방어력 중첩</v>
          </cell>
        </row>
        <row r="34">
          <cell r="A34">
            <v>2000210</v>
          </cell>
          <cell r="E34" t="str">
            <v>그릴라 방어력 증가 1</v>
          </cell>
        </row>
        <row r="35">
          <cell r="A35">
            <v>2000211</v>
          </cell>
          <cell r="E35" t="str">
            <v>그릴라 방어력 증가 2</v>
          </cell>
        </row>
        <row r="36">
          <cell r="A36">
            <v>2000212</v>
          </cell>
          <cell r="E36" t="str">
            <v>재능 인내심 방증 도트</v>
          </cell>
        </row>
        <row r="37">
          <cell r="A37">
            <v>2000299</v>
          </cell>
          <cell r="E37" t="str">
            <v>유물 버프</v>
          </cell>
        </row>
        <row r="38">
          <cell r="A38">
            <v>2000301</v>
          </cell>
          <cell r="E38" t="str">
            <v>최대 체력 증가</v>
          </cell>
        </row>
        <row r="39">
          <cell r="A39">
            <v>2000302</v>
          </cell>
          <cell r="E39" t="str">
            <v>그릴라 최대 체력 증가 1</v>
          </cell>
        </row>
        <row r="40">
          <cell r="A40">
            <v>2000303</v>
          </cell>
          <cell r="E40" t="str">
            <v>그릴라 최대 체력 증가 2</v>
          </cell>
        </row>
        <row r="41">
          <cell r="A41">
            <v>2000399</v>
          </cell>
          <cell r="E41" t="str">
            <v>유물 최대 체력 증가</v>
          </cell>
        </row>
        <row r="42">
          <cell r="A42">
            <v>2000311</v>
          </cell>
          <cell r="E42" t="str">
            <v>최대 체력 증가(아군비례)</v>
          </cell>
        </row>
        <row r="43">
          <cell r="A43">
            <v>2000401</v>
          </cell>
          <cell r="E43" t="str">
            <v>치명타 확률 증가</v>
          </cell>
        </row>
        <row r="44">
          <cell r="A44">
            <v>2000402</v>
          </cell>
          <cell r="E44" t="str">
            <v>재능 축척된 분노 치확 증가</v>
          </cell>
        </row>
        <row r="45">
          <cell r="A45">
            <v>2000501</v>
          </cell>
          <cell r="E45" t="str">
            <v>치명타 피해량 증가</v>
          </cell>
        </row>
        <row r="46">
          <cell r="A46">
            <v>2000502</v>
          </cell>
          <cell r="E46" t="str">
            <v>pc198 치명타 피해량 증가</v>
          </cell>
        </row>
        <row r="47">
          <cell r="A47">
            <v>2000503</v>
          </cell>
          <cell r="E47" t="str">
            <v>pc238 치명타 피해량 증가</v>
          </cell>
        </row>
        <row r="48">
          <cell r="A48">
            <v>2000504</v>
          </cell>
          <cell r="E48" t="str">
            <v>악마3 치명타 피해량 증가</v>
          </cell>
        </row>
        <row r="49">
          <cell r="A49">
            <v>2000505</v>
          </cell>
          <cell r="E49" t="str">
            <v>악마4 치명타 피해량 증가</v>
          </cell>
        </row>
        <row r="50">
          <cell r="A50">
            <v>2000601</v>
          </cell>
          <cell r="E50" t="str">
            <v>회피율 증가</v>
          </cell>
        </row>
        <row r="51">
          <cell r="A51">
            <v>2000701</v>
          </cell>
          <cell r="E51" t="str">
            <v>적중률 증가</v>
          </cell>
        </row>
        <row r="52">
          <cell r="A52">
            <v>2000702</v>
          </cell>
          <cell r="E52" t="str">
            <v>재능 정밀조준 적중증가</v>
          </cell>
        </row>
        <row r="53">
          <cell r="A53">
            <v>2000801</v>
          </cell>
          <cell r="E53" t="str">
            <v>보스 대미지 증가</v>
          </cell>
        </row>
        <row r="54">
          <cell r="A54">
            <v>2000901</v>
          </cell>
          <cell r="E54" t="str">
            <v>스킬 피해량 증가</v>
          </cell>
        </row>
        <row r="55">
          <cell r="A55">
            <v>2000902</v>
          </cell>
          <cell r="E55" t="str">
            <v>아라한 피해량 증가</v>
          </cell>
        </row>
        <row r="56">
          <cell r="A56">
            <v>2000903</v>
          </cell>
          <cell r="E56" t="str">
            <v>PC234 피해량 증가</v>
          </cell>
        </row>
        <row r="57">
          <cell r="A57">
            <v>2000904</v>
          </cell>
          <cell r="E57" t="str">
            <v>쿠바바 피해량 증가</v>
          </cell>
        </row>
        <row r="58">
          <cell r="A58">
            <v>2001001</v>
          </cell>
          <cell r="E58" t="str">
            <v>속도 증가</v>
          </cell>
        </row>
        <row r="59">
          <cell r="A59">
            <v>2001002</v>
          </cell>
          <cell r="E59" t="str">
            <v>시트리 속도 증가</v>
          </cell>
        </row>
        <row r="60">
          <cell r="A60">
            <v>2001003</v>
          </cell>
          <cell r="E60" t="str">
            <v>아슈토레스 패시브 속도 증가</v>
          </cell>
        </row>
        <row r="61">
          <cell r="A61">
            <v>2001004</v>
          </cell>
          <cell r="E61" t="str">
            <v>에르제베트 액티브 속도 증가</v>
          </cell>
        </row>
        <row r="62">
          <cell r="A62">
            <v>2001005</v>
          </cell>
          <cell r="E62" t="str">
            <v>프레이 얼티밋 속도 증가</v>
          </cell>
        </row>
        <row r="63">
          <cell r="A63">
            <v>2001006</v>
          </cell>
          <cell r="E63" t="str">
            <v>힐드 속도 증가</v>
          </cell>
        </row>
        <row r="64">
          <cell r="A64">
            <v>2001007</v>
          </cell>
          <cell r="E64" t="str">
            <v>소울카르타 p188 속도 증가</v>
          </cell>
        </row>
        <row r="65">
          <cell r="A65">
            <v>2001008</v>
          </cell>
          <cell r="E65" t="str">
            <v>재능 교란 가속 속도 증가 중첩</v>
          </cell>
        </row>
        <row r="66">
          <cell r="A66">
            <v>2001009</v>
          </cell>
          <cell r="E66" t="str">
            <v>후발주자 속도 증가</v>
          </cell>
        </row>
        <row r="67">
          <cell r="A67">
            <v>2001010</v>
          </cell>
          <cell r="E67" t="str">
            <v>선발주자 속도 증가</v>
          </cell>
        </row>
        <row r="68">
          <cell r="A68">
            <v>2001011</v>
          </cell>
          <cell r="E68" t="str">
            <v>속도 증가(아군 비례)</v>
          </cell>
        </row>
        <row r="69">
          <cell r="A69">
            <v>2001101</v>
          </cell>
          <cell r="E69" t="str">
            <v>치명타 저항 증가</v>
          </cell>
        </row>
        <row r="70">
          <cell r="A70">
            <v>2001102</v>
          </cell>
          <cell r="E70" t="str">
            <v>재능 두꺼운 갑옷 치명타 저항</v>
          </cell>
        </row>
        <row r="71">
          <cell r="A71">
            <v>2001201</v>
          </cell>
          <cell r="E71" t="str">
            <v>반격 확률 증가</v>
          </cell>
        </row>
        <row r="72">
          <cell r="A72">
            <v>2001202</v>
          </cell>
          <cell r="E72" t="str">
            <v>pc100 반격확률 증가</v>
          </cell>
        </row>
        <row r="73">
          <cell r="A73">
            <v>2001203</v>
          </cell>
          <cell r="E73" t="str">
            <v>악마스킬 2 반격확률 증가</v>
          </cell>
        </row>
        <row r="74">
          <cell r="A74">
            <v>2001301</v>
          </cell>
          <cell r="E74" t="str">
            <v>노멀 대미지 증가</v>
          </cell>
        </row>
        <row r="75">
          <cell r="A75">
            <v>2001401</v>
          </cell>
          <cell r="E75" t="str">
            <v>액티브 대미지 증가</v>
          </cell>
        </row>
        <row r="76">
          <cell r="A76">
            <v>2001411</v>
          </cell>
          <cell r="E76" t="str">
            <v>쿠바바 액티브 대미지 증가(중첩)</v>
          </cell>
        </row>
        <row r="77">
          <cell r="A77">
            <v>2001501</v>
          </cell>
          <cell r="E77" t="str">
            <v>얼티밋 대미지 증가</v>
          </cell>
        </row>
        <row r="78">
          <cell r="A78">
            <v>2001502</v>
          </cell>
          <cell r="E78" t="str">
            <v>카인 얼티밋 대미지 증가(중첩)</v>
          </cell>
        </row>
        <row r="79">
          <cell r="A79">
            <v>2001503</v>
          </cell>
          <cell r="E79" t="str">
            <v>Pc156 얼티밋 대미지 증가</v>
          </cell>
        </row>
        <row r="80">
          <cell r="A80">
            <v>2001601</v>
          </cell>
          <cell r="E80" t="str">
            <v>주는 치유량</v>
          </cell>
        </row>
        <row r="81">
          <cell r="A81">
            <v>2001701</v>
          </cell>
          <cell r="E81" t="str">
            <v>스킬 대미지</v>
          </cell>
        </row>
        <row r="82">
          <cell r="A82">
            <v>2001801</v>
          </cell>
          <cell r="E82" t="str">
            <v>약점 대미지</v>
          </cell>
        </row>
        <row r="83">
          <cell r="A83">
            <v>2001802</v>
          </cell>
          <cell r="E83" t="str">
            <v>Pc068 약점 대미지</v>
          </cell>
        </row>
        <row r="84">
          <cell r="A84">
            <v>2001901</v>
          </cell>
          <cell r="E84" t="str">
            <v>방어력 무시 증가</v>
          </cell>
        </row>
        <row r="85">
          <cell r="A85">
            <v>2002001</v>
          </cell>
          <cell r="E85" t="str">
            <v>생명력 회복 증가</v>
          </cell>
        </row>
        <row r="86">
          <cell r="A86">
            <v>2002101</v>
          </cell>
          <cell r="E86" t="str">
            <v>부활</v>
          </cell>
        </row>
        <row r="87">
          <cell r="A87">
            <v>2002102</v>
          </cell>
          <cell r="E87" t="str">
            <v>부활</v>
          </cell>
        </row>
        <row r="88">
          <cell r="A88">
            <v>2002201</v>
          </cell>
          <cell r="E88" t="str">
            <v>지속 회복</v>
          </cell>
        </row>
        <row r="89">
          <cell r="A89">
            <v>2002202</v>
          </cell>
          <cell r="E89" t="str">
            <v>재능 턴 마다 회복</v>
          </cell>
        </row>
        <row r="90">
          <cell r="A90">
            <v>2002203</v>
          </cell>
          <cell r="E90" t="str">
            <v>악마 지속 회복</v>
          </cell>
        </row>
        <row r="91">
          <cell r="A91">
            <v>2002301</v>
          </cell>
          <cell r="E91" t="str">
            <v>해로운 효과 제거</v>
          </cell>
        </row>
        <row r="92">
          <cell r="A92">
            <v>2002401</v>
          </cell>
          <cell r="E92" t="str">
            <v>액티브 쿨타임 감소</v>
          </cell>
        </row>
        <row r="93">
          <cell r="A93">
            <v>2002402</v>
          </cell>
          <cell r="E93" t="str">
            <v>pc153 액티브 쿨타임 감소</v>
          </cell>
        </row>
        <row r="94">
          <cell r="A94">
            <v>2002601</v>
          </cell>
          <cell r="E94" t="str">
            <v>반격 확률 증가(중첩)</v>
          </cell>
        </row>
        <row r="95">
          <cell r="A95">
            <v>2002701</v>
          </cell>
          <cell r="E95" t="str">
            <v>회복</v>
          </cell>
        </row>
        <row r="96">
          <cell r="A96">
            <v>2002702</v>
          </cell>
          <cell r="E96" t="str">
            <v>브라우니 회복</v>
          </cell>
        </row>
        <row r="97">
          <cell r="A97">
            <v>2002801</v>
          </cell>
          <cell r="E97" t="str">
            <v>쿨타임 가속</v>
          </cell>
        </row>
        <row r="98">
          <cell r="A98">
            <v>2002901</v>
          </cell>
          <cell r="E98" t="str">
            <v>보호막</v>
          </cell>
        </row>
        <row r="99">
          <cell r="A99">
            <v>2003001</v>
          </cell>
          <cell r="E99" t="str">
            <v>회복%</v>
          </cell>
        </row>
        <row r="100">
          <cell r="A100">
            <v>2003002</v>
          </cell>
          <cell r="E100" t="str">
            <v>pc134 회복%</v>
          </cell>
        </row>
        <row r="101">
          <cell r="A101">
            <v>2003003</v>
          </cell>
          <cell r="E101" t="str">
            <v>악마스킬 2 회복</v>
          </cell>
        </row>
        <row r="102">
          <cell r="A102">
            <v>2003004</v>
          </cell>
          <cell r="E102" t="str">
            <v>재능 전우 재활용 회복</v>
          </cell>
        </row>
        <row r="103">
          <cell r="A103">
            <v>2003101</v>
          </cell>
          <cell r="E103" t="str">
            <v>보호막%</v>
          </cell>
        </row>
        <row r="104">
          <cell r="A104">
            <v>2003102</v>
          </cell>
          <cell r="E104" t="str">
            <v>악마스킬 5 보호막%</v>
          </cell>
        </row>
        <row r="105">
          <cell r="A105">
            <v>2003103</v>
          </cell>
          <cell r="E105" t="str">
            <v>샤를 보호막%</v>
          </cell>
        </row>
        <row r="106">
          <cell r="A106">
            <v>2003201</v>
          </cell>
          <cell r="E106" t="str">
            <v>맹독 중 적 대미지 증가</v>
          </cell>
        </row>
        <row r="107">
          <cell r="A107">
            <v>2003202</v>
          </cell>
          <cell r="E107" t="str">
            <v>화상 중 적 대미지 증가</v>
          </cell>
        </row>
        <row r="108">
          <cell r="A108">
            <v>2003203</v>
          </cell>
          <cell r="E108" t="str">
            <v>기절 중 적 대미지 증가</v>
          </cell>
        </row>
        <row r="109">
          <cell r="A109">
            <v>2003301</v>
          </cell>
          <cell r="E109" t="str">
            <v>스킬 게이지 충전속도 증가</v>
          </cell>
        </row>
        <row r="110">
          <cell r="A110">
            <v>2003401</v>
          </cell>
          <cell r="E110" t="str">
            <v>이동속도 증가</v>
          </cell>
        </row>
        <row r="111">
          <cell r="A111">
            <v>2003501</v>
          </cell>
          <cell r="E111" t="str">
            <v>공,방,체 증가</v>
          </cell>
        </row>
        <row r="112">
          <cell r="A112">
            <v>2003502</v>
          </cell>
          <cell r="E112" t="str">
            <v>공,방,체 증가</v>
          </cell>
        </row>
        <row r="113">
          <cell r="A113">
            <v>2003601</v>
          </cell>
          <cell r="E113" t="str">
            <v>SP 충전</v>
          </cell>
        </row>
        <row r="114">
          <cell r="A114">
            <v>2003602</v>
          </cell>
          <cell r="E114" t="str">
            <v>아르테미스 SP 회복</v>
          </cell>
        </row>
        <row r="115">
          <cell r="A115">
            <v>2003603</v>
          </cell>
          <cell r="E115" t="str">
            <v>힐드 Sp 추가</v>
          </cell>
        </row>
        <row r="116">
          <cell r="A116">
            <v>2003604</v>
          </cell>
          <cell r="E116" t="str">
            <v>소울카르타 pc233 Sp추가</v>
          </cell>
        </row>
        <row r="117">
          <cell r="A117">
            <v>2003605</v>
          </cell>
          <cell r="E117" t="str">
            <v>소울카르타 pc051 Sp추가</v>
          </cell>
        </row>
        <row r="118">
          <cell r="A118">
            <v>2003606</v>
          </cell>
          <cell r="E118" t="str">
            <v>소울카르타 pc062 Sp추가</v>
          </cell>
        </row>
        <row r="119">
          <cell r="A119">
            <v>2003607</v>
          </cell>
          <cell r="E119" t="str">
            <v>소울카르타 pc143 Sp추가</v>
          </cell>
        </row>
        <row r="120">
          <cell r="A120">
            <v>2003608</v>
          </cell>
          <cell r="E120" t="str">
            <v>악마스킬 2 Sp 추가</v>
          </cell>
        </row>
        <row r="121">
          <cell r="A121">
            <v>2003609</v>
          </cell>
          <cell r="E121" t="str">
            <v>재능 선제 동력 Sp 추가</v>
          </cell>
        </row>
        <row r="122">
          <cell r="A122">
            <v>2003610</v>
          </cell>
          <cell r="E122" t="str">
            <v>재능 마력전이 Sp 추가</v>
          </cell>
        </row>
        <row r="123">
          <cell r="A123">
            <v>2003611</v>
          </cell>
          <cell r="E123" t="str">
            <v>보호막 파동 sp추가</v>
          </cell>
        </row>
        <row r="124">
          <cell r="A124">
            <v>2003701</v>
          </cell>
          <cell r="E124" t="str">
            <v>면역</v>
          </cell>
        </row>
        <row r="125">
          <cell r="A125">
            <v>2003801</v>
          </cell>
          <cell r="E125" t="str">
            <v>보석 던전 크리스탈 무적</v>
          </cell>
        </row>
        <row r="126">
          <cell r="A126">
            <v>2004401</v>
          </cell>
          <cell r="E126" t="str">
            <v>잃은 체력 비례 회복</v>
          </cell>
        </row>
        <row r="127">
          <cell r="A127">
            <v>2004402</v>
          </cell>
          <cell r="E127" t="str">
            <v>브라우니 얼티밋 회복</v>
          </cell>
        </row>
        <row r="128">
          <cell r="A128">
            <v>2004403</v>
          </cell>
          <cell r="E128" t="str">
            <v>이브 패시브 회복</v>
          </cell>
        </row>
        <row r="129">
          <cell r="A129">
            <v>2004404</v>
          </cell>
          <cell r="E129" t="str">
            <v>프레이 패시브 회복</v>
          </cell>
        </row>
        <row r="130">
          <cell r="A130">
            <v>2004405</v>
          </cell>
          <cell r="E130" t="str">
            <v>소울카르타 pc050 회복</v>
          </cell>
        </row>
        <row r="131">
          <cell r="A131">
            <v>2004406</v>
          </cell>
          <cell r="E131" t="str">
            <v>회복</v>
          </cell>
        </row>
        <row r="132">
          <cell r="A132">
            <v>2004501</v>
          </cell>
          <cell r="E132" t="str">
            <v>스탯변화(디버프 중 대상 대미지)</v>
          </cell>
        </row>
        <row r="133">
          <cell r="A133">
            <v>2004502</v>
          </cell>
          <cell r="E133" t="str">
            <v>스탯변화(디버프 중 대상 대미지)</v>
          </cell>
        </row>
        <row r="134">
          <cell r="A134">
            <v>2004601</v>
          </cell>
          <cell r="E134" t="str">
            <v>공격력 비례 방어력 증가</v>
          </cell>
        </row>
        <row r="135">
          <cell r="A135">
            <v>2004701</v>
          </cell>
          <cell r="E135" t="str">
            <v>방어력 비례 공격력 증가</v>
          </cell>
        </row>
        <row r="136">
          <cell r="A136">
            <v>2004801</v>
          </cell>
          <cell r="E136" t="str">
            <v>방어력 비례 공격력 증가</v>
          </cell>
        </row>
        <row r="137">
          <cell r="A137">
            <v>2004901</v>
          </cell>
          <cell r="E137" t="str">
            <v>방어력, 회피율 증가</v>
          </cell>
        </row>
        <row r="138">
          <cell r="A138">
            <v>2005001</v>
          </cell>
          <cell r="E138" t="str">
            <v>사망한 아군 당 공,방,체 증가</v>
          </cell>
        </row>
        <row r="139">
          <cell r="A139">
            <v>2005002</v>
          </cell>
          <cell r="E139" t="str">
            <v>소울카르타 pc033 공증</v>
          </cell>
        </row>
        <row r="140">
          <cell r="A140">
            <v>2005003</v>
          </cell>
          <cell r="E140" t="str">
            <v>소울카르타 pc033 공증</v>
          </cell>
        </row>
        <row r="141">
          <cell r="A141">
            <v>2005101</v>
          </cell>
          <cell r="E141" t="str">
            <v>도계화 패시브 (공증, 속감)</v>
          </cell>
        </row>
        <row r="142">
          <cell r="A142">
            <v>2005201</v>
          </cell>
          <cell r="E142" t="str">
            <v>도발 개수 비례 방어력 증가</v>
          </cell>
        </row>
        <row r="143">
          <cell r="A143">
            <v>2005202</v>
          </cell>
          <cell r="E143" t="str">
            <v>Pc186 치명타 피해량 증가</v>
          </cell>
        </row>
        <row r="144">
          <cell r="A144">
            <v>2005203</v>
          </cell>
          <cell r="E144" t="str">
            <v>pc201 디버프 비례 공격력 약화</v>
          </cell>
        </row>
        <row r="145">
          <cell r="A145">
            <v>2005204</v>
          </cell>
          <cell r="E145" t="str">
            <v>pc277 죽은 아군이 많을 수록 치명타 피해량 증가</v>
          </cell>
        </row>
        <row r="146">
          <cell r="A146">
            <v>2005301</v>
          </cell>
          <cell r="E146" t="str">
            <v>바리 공증, 속증</v>
          </cell>
        </row>
        <row r="147">
          <cell r="A147">
            <v>2005302</v>
          </cell>
          <cell r="E147" t="str">
            <v>이브 치확, 치피증</v>
          </cell>
        </row>
        <row r="148">
          <cell r="A148">
            <v>2005303</v>
          </cell>
          <cell r="E148" t="str">
            <v>쿠바바 공증, 방증</v>
          </cell>
        </row>
        <row r="149">
          <cell r="A149">
            <v>2005304</v>
          </cell>
          <cell r="E149" t="str">
            <v>소울카르타 pc049 공증, 속증</v>
          </cell>
        </row>
        <row r="150">
          <cell r="A150">
            <v>2005305</v>
          </cell>
          <cell r="E150" t="str">
            <v>재능 긴축 방어 버프</v>
          </cell>
        </row>
        <row r="151">
          <cell r="A151">
            <v>2005306</v>
          </cell>
          <cell r="E151" t="str">
            <v>재능 위험한 거래 버프</v>
          </cell>
        </row>
        <row r="152">
          <cell r="A152">
            <v>2005401</v>
          </cell>
          <cell r="E152" t="str">
            <v>바리 회복</v>
          </cell>
        </row>
        <row r="153">
          <cell r="A153">
            <v>2005501</v>
          </cell>
          <cell r="E153" t="str">
            <v>바리 패시브 회복량 증가</v>
          </cell>
        </row>
        <row r="154">
          <cell r="A154">
            <v>2005601</v>
          </cell>
          <cell r="E154" t="str">
            <v>힐드 패시브 버프당 치명타 확률 증가</v>
          </cell>
        </row>
        <row r="155">
          <cell r="A155">
            <v>2005701</v>
          </cell>
          <cell r="E155" t="str">
            <v>몬스터 크리스탈 불사</v>
          </cell>
        </row>
        <row r="156">
          <cell r="A156">
            <v>2005702</v>
          </cell>
          <cell r="E156" t="str">
            <v>재능 불굴의 의지 불사</v>
          </cell>
        </row>
        <row r="157">
          <cell r="A157">
            <v>2005801</v>
          </cell>
          <cell r="E157" t="str">
            <v>열위 주는 피해 증가</v>
          </cell>
        </row>
        <row r="158">
          <cell r="A158">
            <v>2005901</v>
          </cell>
          <cell r="E158" t="str">
            <v>열위 받는 피해 감소</v>
          </cell>
        </row>
        <row r="159">
          <cell r="A159">
            <v>2006001</v>
          </cell>
          <cell r="E159" t="str">
            <v>pc153 디버프 중 대상 대미지 증가</v>
          </cell>
        </row>
        <row r="160">
          <cell r="A160">
            <v>2006101</v>
          </cell>
          <cell r="E160" t="str">
            <v>pc190 속성개수 비례 스킬 피해량 증가</v>
          </cell>
        </row>
        <row r="161">
          <cell r="A161">
            <v>2006201</v>
          </cell>
          <cell r="E161" t="str">
            <v>브라우니 패시브 체력비례 치유량 증가</v>
          </cell>
        </row>
        <row r="162">
          <cell r="A162">
            <v>2006301</v>
          </cell>
          <cell r="E162" t="str">
            <v>모나 패시브 체력낮을수록 방어력 증가</v>
          </cell>
        </row>
        <row r="163">
          <cell r="A163">
            <v>2006302</v>
          </cell>
          <cell r="E163" t="str">
            <v>카인 패시브 체력낮을수록 얼티밋 증가</v>
          </cell>
        </row>
        <row r="164">
          <cell r="A164">
            <v>2006401</v>
          </cell>
          <cell r="E164" t="str">
            <v>악마스킬 1 버프 턴 증가</v>
          </cell>
        </row>
        <row r="165">
          <cell r="A165">
            <v>2006501</v>
          </cell>
          <cell r="E165" t="str">
            <v>악마스킬 5 재생 효과</v>
          </cell>
        </row>
        <row r="166">
          <cell r="A166">
            <v>2006601</v>
          </cell>
          <cell r="E166" t="str">
            <v>재능 액티브 봉인(SP 회복)</v>
          </cell>
        </row>
        <row r="167">
          <cell r="A167">
            <v>2006701</v>
          </cell>
          <cell r="E167" t="str">
            <v>액티브 봉인</v>
          </cell>
        </row>
        <row r="168">
          <cell r="A168">
            <v>2006801</v>
          </cell>
          <cell r="E168" t="str">
            <v>재능 바위처럼 단단하게 받피감</v>
          </cell>
        </row>
        <row r="169">
          <cell r="A169">
            <v>2006901</v>
          </cell>
          <cell r="E169" t="str">
            <v>재능 생존 본능 회복</v>
          </cell>
        </row>
        <row r="170">
          <cell r="A170">
            <v>2007001</v>
          </cell>
          <cell r="E170" t="str">
            <v>재능 집중 SP 회복</v>
          </cell>
        </row>
        <row r="171">
          <cell r="A171">
            <v>2007101</v>
          </cell>
          <cell r="E171" t="str">
            <v>소울카르타 pc105 도트 잃은 체력 비례 회복</v>
          </cell>
        </row>
        <row r="172">
          <cell r="A172">
            <v>2007201</v>
          </cell>
          <cell r="E172" t="str">
            <v>재능 투쟁심 공증 도트</v>
          </cell>
        </row>
        <row r="173">
          <cell r="A173">
            <v>2007202</v>
          </cell>
          <cell r="E173" t="str">
            <v>재능 인내심 방증 도트</v>
          </cell>
        </row>
        <row r="174">
          <cell r="A174">
            <v>2007301</v>
          </cell>
          <cell r="E174" t="str">
            <v>꽃의 여왕 치명타 피해량 * 죽은 아군 수</v>
          </cell>
        </row>
        <row r="175">
          <cell r="A175">
            <v>2007302</v>
          </cell>
          <cell r="E175" t="str">
            <v>니르티 패시브 * 죽은 아군 수</v>
          </cell>
        </row>
        <row r="176">
          <cell r="A176">
            <v>2007401</v>
          </cell>
          <cell r="E176" t="str">
            <v>샤를 받는 회복량 증가</v>
          </cell>
        </row>
        <row r="177">
          <cell r="A177">
            <v>2000000</v>
          </cell>
          <cell r="E177" t="str">
            <v>방어력, 회피율 증가</v>
          </cell>
        </row>
        <row r="178">
          <cell r="A178">
            <v>3000101</v>
          </cell>
          <cell r="E178" t="str">
            <v>공격력 감소</v>
          </cell>
        </row>
        <row r="179">
          <cell r="A179">
            <v>3000102</v>
          </cell>
          <cell r="E179" t="str">
            <v>아슈토레스 얼티밋 공격력 감소</v>
          </cell>
        </row>
        <row r="180">
          <cell r="A180">
            <v>3000201</v>
          </cell>
          <cell r="E180" t="str">
            <v>방어력 감소</v>
          </cell>
        </row>
        <row r="181">
          <cell r="A181">
            <v>3000202</v>
          </cell>
          <cell r="E181" t="str">
            <v>드미테르 방어력 감소</v>
          </cell>
        </row>
        <row r="182">
          <cell r="A182">
            <v>3000203</v>
          </cell>
          <cell r="E182" t="str">
            <v>모나 방어력 감소</v>
          </cell>
        </row>
        <row r="183">
          <cell r="A183">
            <v>3000204</v>
          </cell>
          <cell r="E183" t="str">
            <v>아라한 방어력 감소</v>
          </cell>
        </row>
        <row r="184">
          <cell r="A184">
            <v>3000205</v>
          </cell>
          <cell r="E184" t="str">
            <v>아르테미스 방어력 감소</v>
          </cell>
        </row>
        <row r="185">
          <cell r="A185">
            <v>3000206</v>
          </cell>
          <cell r="E185" t="str">
            <v>아슈토레스 방어력 감소</v>
          </cell>
        </row>
        <row r="186">
          <cell r="A186">
            <v>3000207</v>
          </cell>
        </row>
        <row r="187">
          <cell r="A187">
            <v>3000208</v>
          </cell>
          <cell r="E187" t="str">
            <v>재능 타입 내성 방어력 감소</v>
          </cell>
        </row>
        <row r="188">
          <cell r="A188">
            <v>3000209</v>
          </cell>
          <cell r="E188" t="str">
            <v>고모라 방어력 감소</v>
          </cell>
        </row>
        <row r="189">
          <cell r="A189">
            <v>3000301</v>
          </cell>
          <cell r="E189" t="str">
            <v>최대 체력 감소</v>
          </cell>
        </row>
        <row r="190">
          <cell r="A190">
            <v>3000401</v>
          </cell>
          <cell r="E190" t="str">
            <v>치명타 확률 감소</v>
          </cell>
        </row>
        <row r="191">
          <cell r="A191">
            <v>3000501</v>
          </cell>
          <cell r="E191" t="str">
            <v>치명타 피해량 감소</v>
          </cell>
        </row>
        <row r="192">
          <cell r="A192">
            <v>3000601</v>
          </cell>
          <cell r="E192" t="str">
            <v>회피율 감소</v>
          </cell>
        </row>
        <row r="193">
          <cell r="A193">
            <v>3000701</v>
          </cell>
          <cell r="E193" t="str">
            <v>명중률 감소</v>
          </cell>
        </row>
        <row r="194">
          <cell r="A194">
            <v>3000702</v>
          </cell>
          <cell r="E194" t="str">
            <v>몬스터 픽시 명중률 감소</v>
          </cell>
        </row>
        <row r="195">
          <cell r="A195">
            <v>3000703</v>
          </cell>
          <cell r="E195" t="str">
            <v>고모라 적중률 감소</v>
          </cell>
        </row>
        <row r="196">
          <cell r="A196">
            <v>3000801</v>
          </cell>
          <cell r="E196" t="str">
            <v>보스 대미지 감소</v>
          </cell>
        </row>
        <row r="197">
          <cell r="A197">
            <v>3000901</v>
          </cell>
          <cell r="E197" t="str">
            <v>스킬 피해량 감소</v>
          </cell>
        </row>
        <row r="198">
          <cell r="A198">
            <v>3001001</v>
          </cell>
          <cell r="E198" t="str">
            <v>속도 감소</v>
          </cell>
        </row>
        <row r="199">
          <cell r="A199">
            <v>3001002</v>
          </cell>
          <cell r="E199" t="str">
            <v>브라우니 얼티밋 속도 감소</v>
          </cell>
        </row>
        <row r="200">
          <cell r="A200">
            <v>3001003</v>
          </cell>
          <cell r="E200" t="str">
            <v>악마 스킬 4 속도 감소</v>
          </cell>
        </row>
        <row r="201">
          <cell r="A201">
            <v>3001004</v>
          </cell>
          <cell r="E201" t="str">
            <v>재능 바위처럼 단단하게 속도 감소</v>
          </cell>
        </row>
        <row r="202">
          <cell r="A202">
            <v>3001005</v>
          </cell>
          <cell r="E202" t="str">
            <v>몬스터 픽시 속도 감소</v>
          </cell>
        </row>
        <row r="203">
          <cell r="A203">
            <v>3001006</v>
          </cell>
          <cell r="E203" t="str">
            <v>재능 후발주자 속도 감소</v>
          </cell>
        </row>
        <row r="204">
          <cell r="A204">
            <v>3001007</v>
          </cell>
          <cell r="E204" t="str">
            <v>재능 선발주자 속도 감소 도트</v>
          </cell>
        </row>
        <row r="205">
          <cell r="A205">
            <v>3001008</v>
          </cell>
          <cell r="E205" t="str">
            <v>힐드 속도 감소</v>
          </cell>
        </row>
        <row r="206">
          <cell r="A206">
            <v>3001101</v>
          </cell>
          <cell r="E206" t="str">
            <v>치명타 저항 감소</v>
          </cell>
        </row>
        <row r="207">
          <cell r="A207">
            <v>3001102</v>
          </cell>
          <cell r="E207" t="str">
            <v>pc071 치명타 저항 감소</v>
          </cell>
        </row>
        <row r="208">
          <cell r="A208">
            <v>3001201</v>
          </cell>
          <cell r="E208" t="str">
            <v>반격 확률 감소</v>
          </cell>
        </row>
        <row r="209">
          <cell r="A209">
            <v>3001301</v>
          </cell>
          <cell r="E209" t="str">
            <v>반격 대미지 감소</v>
          </cell>
        </row>
        <row r="210">
          <cell r="A210">
            <v>3001401</v>
          </cell>
          <cell r="E210" t="str">
            <v>디버프 회피율 감소</v>
          </cell>
        </row>
        <row r="211">
          <cell r="A211">
            <v>3001501</v>
          </cell>
          <cell r="E211" t="str">
            <v>디버프 적중률 감소</v>
          </cell>
        </row>
        <row r="212">
          <cell r="A212">
            <v>3001601</v>
          </cell>
          <cell r="E212" t="str">
            <v>주는 치유량 감소</v>
          </cell>
        </row>
        <row r="213">
          <cell r="A213">
            <v>3001701</v>
          </cell>
          <cell r="E213" t="str">
            <v>받는 치유량 감소</v>
          </cell>
        </row>
        <row r="214">
          <cell r="A214">
            <v>3001801</v>
          </cell>
          <cell r="E214" t="str">
            <v>피해  무시 감소</v>
          </cell>
        </row>
        <row r="215">
          <cell r="A215">
            <v>3001901</v>
          </cell>
          <cell r="E215" t="str">
            <v>방어력 무시 감소</v>
          </cell>
        </row>
        <row r="216">
          <cell r="A216">
            <v>3002001</v>
          </cell>
          <cell r="E216" t="str">
            <v>생명력 회복 감소</v>
          </cell>
        </row>
        <row r="217">
          <cell r="A217">
            <v>3002201</v>
          </cell>
          <cell r="E217" t="str">
            <v>재능 출혈</v>
          </cell>
        </row>
        <row r="218">
          <cell r="A218">
            <v>3002202</v>
          </cell>
          <cell r="E218" t="str">
            <v>바토리 출혈</v>
          </cell>
        </row>
        <row r="219">
          <cell r="A219">
            <v>3002203</v>
          </cell>
          <cell r="E219" t="str">
            <v>쿠바바 출혈</v>
          </cell>
        </row>
        <row r="220">
          <cell r="A220">
            <v>3002301</v>
          </cell>
          <cell r="E220" t="str">
            <v>다비 액티브 화상</v>
          </cell>
        </row>
        <row r="221">
          <cell r="A221">
            <v>3002302</v>
          </cell>
          <cell r="E221" t="str">
            <v>다비 얼티밋</v>
          </cell>
        </row>
        <row r="222">
          <cell r="A222">
            <v>3002303</v>
          </cell>
          <cell r="E222" t="str">
            <v>구미호 패시브 화상</v>
          </cell>
        </row>
        <row r="223">
          <cell r="A223">
            <v>3002304</v>
          </cell>
          <cell r="E223" t="str">
            <v>드미테르 액티브 화상</v>
          </cell>
        </row>
        <row r="224">
          <cell r="A224">
            <v>3002305</v>
          </cell>
          <cell r="E224" t="str">
            <v>라가라자 얼티밋 화상</v>
          </cell>
        </row>
        <row r="225">
          <cell r="A225">
            <v>3002306</v>
          </cell>
          <cell r="E225" t="str">
            <v>드미테르 패시브 화상</v>
          </cell>
        </row>
        <row r="226">
          <cell r="A226">
            <v>3002307</v>
          </cell>
          <cell r="E226" t="str">
            <v>재능 화상</v>
          </cell>
        </row>
        <row r="227">
          <cell r="A227">
            <v>3002401</v>
          </cell>
          <cell r="E227" t="str">
            <v>이로운 효과 제거</v>
          </cell>
        </row>
        <row r="228">
          <cell r="A228">
            <v>3002501</v>
          </cell>
          <cell r="E228" t="str">
            <v>재능 중독</v>
          </cell>
        </row>
        <row r="229">
          <cell r="A229">
            <v>3002502</v>
          </cell>
          <cell r="E229" t="str">
            <v>바토리 패시브 중독</v>
          </cell>
        </row>
        <row r="230">
          <cell r="A230">
            <v>3002503</v>
          </cell>
          <cell r="E230" t="str">
            <v>에르제베트 얼티밋 중독</v>
          </cell>
        </row>
        <row r="231">
          <cell r="A231">
            <v>3002601</v>
          </cell>
          <cell r="E231" t="str">
            <v>기절</v>
          </cell>
        </row>
        <row r="232">
          <cell r="A232">
            <v>3002801</v>
          </cell>
          <cell r="E232" t="str">
            <v>빙결</v>
          </cell>
        </row>
        <row r="233">
          <cell r="A233">
            <v>3002901</v>
          </cell>
          <cell r="E233" t="str">
            <v>석화</v>
          </cell>
        </row>
        <row r="234">
          <cell r="A234">
            <v>3003001</v>
          </cell>
          <cell r="E234" t="str">
            <v>도발</v>
          </cell>
        </row>
        <row r="235">
          <cell r="A235">
            <v>3003101</v>
          </cell>
          <cell r="E235" t="str">
            <v>둔화</v>
          </cell>
        </row>
        <row r="236">
          <cell r="A236">
            <v>3003201</v>
          </cell>
          <cell r="E236" t="str">
            <v>넉백</v>
          </cell>
        </row>
        <row r="237">
          <cell r="A237">
            <v>3003301</v>
          </cell>
          <cell r="E237" t="str">
            <v>SP 감소</v>
          </cell>
        </row>
        <row r="238">
          <cell r="A238">
            <v>3003302</v>
          </cell>
          <cell r="E238" t="str">
            <v>체인킬러 SP 감소</v>
          </cell>
        </row>
        <row r="239">
          <cell r="A239">
            <v>3003401</v>
          </cell>
          <cell r="E239" t="str">
            <v>회복 불가</v>
          </cell>
        </row>
        <row r="240">
          <cell r="A240">
            <v>3003501</v>
          </cell>
          <cell r="E240" t="str">
            <v>반격 불가</v>
          </cell>
        </row>
        <row r="241">
          <cell r="A241">
            <v>3003601</v>
          </cell>
          <cell r="E241" t="str">
            <v>힐드 Sp 충전 불가</v>
          </cell>
        </row>
        <row r="242">
          <cell r="A242">
            <v>3003701</v>
          </cell>
          <cell r="E242" t="str">
            <v>pc068 열위 주는 피해 감소</v>
          </cell>
        </row>
        <row r="243">
          <cell r="A243">
            <v>3003801</v>
          </cell>
          <cell r="E243" t="str">
            <v>열위 받는 피해 증가</v>
          </cell>
        </row>
        <row r="244">
          <cell r="A244">
            <v>3003901</v>
          </cell>
          <cell r="E244" t="str">
            <v>pc238 공,방깎</v>
          </cell>
        </row>
        <row r="245">
          <cell r="A245">
            <v>3004001</v>
          </cell>
          <cell r="E245" t="str">
            <v>악마스킬 1 디버프 턴 증가</v>
          </cell>
        </row>
        <row r="246">
          <cell r="A246">
            <v>3004101</v>
          </cell>
          <cell r="E246" t="str">
            <v>두꺼운 값옷 받는 상성피해 증가</v>
          </cell>
        </row>
        <row r="247">
          <cell r="A247">
            <v>3004201</v>
          </cell>
          <cell r="E247" t="str">
            <v>재능 액티브 봉인(액티브 쿨 증가)</v>
          </cell>
        </row>
        <row r="248">
          <cell r="A248">
            <v>3004301</v>
          </cell>
          <cell r="E248" t="str">
            <v>재능 긴축 방어 디버프</v>
          </cell>
        </row>
        <row r="249">
          <cell r="A249">
            <v>3004302</v>
          </cell>
          <cell r="E249" t="str">
            <v>재능 위험한 거래 디버프</v>
          </cell>
        </row>
        <row r="250">
          <cell r="A250">
            <v>3004401</v>
          </cell>
          <cell r="E250" t="str">
            <v>재능 피의 저주 받피증</v>
          </cell>
        </row>
        <row r="251">
          <cell r="A251">
            <v>3004501</v>
          </cell>
          <cell r="E251" t="str">
            <v>재능 불글의 의지 불사 금지</v>
          </cell>
        </row>
        <row r="252">
          <cell r="A252">
            <v>3004601</v>
          </cell>
          <cell r="E252" t="str">
            <v>PC 202 체력 비례 도트대미지</v>
          </cell>
        </row>
        <row r="253">
          <cell r="A253">
            <v>3004701</v>
          </cell>
          <cell r="E253" t="str">
            <v>화상 중 기절 (라가라자)</v>
          </cell>
        </row>
        <row r="254">
          <cell r="A254">
            <v>4000101</v>
          </cell>
          <cell r="E254" t="str">
            <v>스킬 사용</v>
          </cell>
        </row>
        <row r="255">
          <cell r="A255">
            <v>4000102</v>
          </cell>
          <cell r="E255" t="str">
            <v>반격시 스킬 사용</v>
          </cell>
        </row>
        <row r="256">
          <cell r="A256">
            <v>4000106</v>
          </cell>
          <cell r="E256" t="str">
            <v>트릭룸</v>
          </cell>
        </row>
        <row r="257">
          <cell r="A257">
            <v>4000107</v>
          </cell>
          <cell r="E257" t="str">
            <v>프레이 계약</v>
          </cell>
        </row>
        <row r="258">
          <cell r="A258">
            <v>5000001</v>
          </cell>
          <cell r="E258" t="str">
            <v>양날의 검</v>
          </cell>
        </row>
        <row r="259">
          <cell r="A259">
            <v>1000001</v>
          </cell>
          <cell r="E259" t="str">
            <v>공용 대미지</v>
          </cell>
        </row>
        <row r="260">
          <cell r="A260">
            <v>1000002</v>
          </cell>
          <cell r="E260" t="str">
            <v>액티브 대미지</v>
          </cell>
        </row>
        <row r="261">
          <cell r="A261">
            <v>1000003</v>
          </cell>
          <cell r="E261" t="str">
            <v>얼티밋 대미지</v>
          </cell>
        </row>
        <row r="262">
          <cell r="A262">
            <v>1000004</v>
          </cell>
          <cell r="E262" t="str">
            <v>대미지(4회)</v>
          </cell>
        </row>
        <row r="263">
          <cell r="A263">
            <v>1000005</v>
          </cell>
          <cell r="E263" t="str">
            <v>대미지(5회)</v>
          </cell>
        </row>
        <row r="264">
          <cell r="A264">
            <v>1000011</v>
          </cell>
          <cell r="E264" t="str">
            <v>방어 무시 대미지</v>
          </cell>
        </row>
        <row r="265">
          <cell r="A265">
            <v>1000012</v>
          </cell>
          <cell r="E265" t="str">
            <v>체력 비례 대미지</v>
          </cell>
        </row>
        <row r="266">
          <cell r="A266">
            <v>1000013</v>
          </cell>
          <cell r="E266" t="str">
            <v>대미지(기절 시 대미지)</v>
          </cell>
        </row>
        <row r="267">
          <cell r="A267">
            <v>1000014</v>
          </cell>
          <cell r="E267" t="str">
            <v>대미지(치명타)</v>
          </cell>
        </row>
        <row r="268">
          <cell r="A268">
            <v>1000015</v>
          </cell>
          <cell r="E268" t="str">
            <v>체인 라이트닝 대미지</v>
          </cell>
        </row>
        <row r="269">
          <cell r="A269">
            <v>1000016</v>
          </cell>
          <cell r="E269" t="str">
            <v>대미지(치명타 액티브)</v>
          </cell>
        </row>
        <row r="270">
          <cell r="A270">
            <v>1000017</v>
          </cell>
          <cell r="E270" t="str">
            <v>대미지(치명타 얼티밋)</v>
          </cell>
        </row>
        <row r="271">
          <cell r="A271">
            <v>1000018</v>
          </cell>
          <cell r="E271" t="str">
            <v>악마 스킬 4 체력 비례 대미지</v>
          </cell>
        </row>
        <row r="272">
          <cell r="A272">
            <v>1000101</v>
          </cell>
          <cell r="E272" t="str">
            <v>화속성 공용 대미지</v>
          </cell>
        </row>
        <row r="273">
          <cell r="A273">
            <v>1000201</v>
          </cell>
          <cell r="E273" t="str">
            <v>수속성 공용 대미지</v>
          </cell>
        </row>
        <row r="274">
          <cell r="A274">
            <v>1000301</v>
          </cell>
          <cell r="E274" t="str">
            <v>목속성 공용 대미지</v>
          </cell>
        </row>
        <row r="275">
          <cell r="A275">
            <v>1000401</v>
          </cell>
          <cell r="E275" t="str">
            <v>빛속성 공용 대미지</v>
          </cell>
        </row>
        <row r="276">
          <cell r="A276">
            <v>1000501</v>
          </cell>
          <cell r="E276" t="str">
            <v>암속성 공용 대미지</v>
          </cell>
        </row>
        <row r="277">
          <cell r="A277">
            <v>1000102</v>
          </cell>
          <cell r="E277" t="str">
            <v>화속성 공용 대미지</v>
          </cell>
        </row>
        <row r="278">
          <cell r="A278">
            <v>1000202</v>
          </cell>
          <cell r="E278" t="str">
            <v>수속성 공용 대미지</v>
          </cell>
        </row>
        <row r="279">
          <cell r="A279">
            <v>1000302</v>
          </cell>
          <cell r="E279" t="str">
            <v>목속성 공용 대미지</v>
          </cell>
        </row>
        <row r="280">
          <cell r="A280">
            <v>1000402</v>
          </cell>
          <cell r="E280" t="str">
            <v>빛속성 공용 대미지</v>
          </cell>
        </row>
        <row r="281">
          <cell r="A281">
            <v>1000502</v>
          </cell>
          <cell r="E281" t="str">
            <v>암속성 공용 대미지</v>
          </cell>
        </row>
        <row r="282">
          <cell r="A282">
            <v>1000103</v>
          </cell>
          <cell r="E282" t="str">
            <v>화속성 공용 대미지</v>
          </cell>
        </row>
        <row r="283">
          <cell r="A283">
            <v>1000203</v>
          </cell>
          <cell r="E283" t="str">
            <v>수속성 공용 대미지</v>
          </cell>
        </row>
        <row r="284">
          <cell r="A284">
            <v>1000303</v>
          </cell>
          <cell r="E284" t="str">
            <v>목속성 공용 대미지</v>
          </cell>
        </row>
        <row r="285">
          <cell r="A285">
            <v>1000403</v>
          </cell>
          <cell r="E285" t="str">
            <v>빛속성 공용 대미지</v>
          </cell>
        </row>
        <row r="286">
          <cell r="A286">
            <v>1000503</v>
          </cell>
          <cell r="E286" t="str">
            <v>암속성 공용 대미지</v>
          </cell>
        </row>
        <row r="287">
          <cell r="A287">
            <v>1100001</v>
          </cell>
          <cell r="E287" t="str">
            <v>화상 중 치명타 대미지</v>
          </cell>
        </row>
        <row r="288">
          <cell r="A288">
            <v>9900001</v>
          </cell>
          <cell r="E288" t="str">
            <v>다나 전용 회복</v>
          </cell>
        </row>
        <row r="289">
          <cell r="A289">
            <v>9900002</v>
          </cell>
          <cell r="E289" t="str">
            <v>천수관음</v>
          </cell>
        </row>
        <row r="290">
          <cell r="A290">
            <v>4000001</v>
          </cell>
          <cell r="E290" t="str">
            <v>햄버거 버프(공방체)</v>
          </cell>
        </row>
        <row r="291">
          <cell r="A291">
            <v>4000002</v>
          </cell>
          <cell r="E291" t="str">
            <v>비타민 음료 버프(치확/치피)</v>
          </cell>
        </row>
        <row r="292">
          <cell r="A292">
            <v>4000003</v>
          </cell>
          <cell r="E292" t="str">
            <v>김밥 버프(체/회피/적중)</v>
          </cell>
        </row>
        <row r="293">
          <cell r="A293">
            <v>6000001</v>
          </cell>
          <cell r="E293" t="str">
            <v>스킬 사용</v>
          </cell>
        </row>
        <row r="294">
          <cell r="A294">
            <v>6000002</v>
          </cell>
          <cell r="E294" t="str">
            <v>리자 패시브 스킬 사용</v>
          </cell>
        </row>
        <row r="295">
          <cell r="A295">
            <v>6000003</v>
          </cell>
          <cell r="E295" t="str">
            <v>시트리 패시브 스킬 사용</v>
          </cell>
        </row>
        <row r="296">
          <cell r="A296">
            <v>6000004</v>
          </cell>
          <cell r="E296" t="str">
            <v>아라한 패시브 스킬 사용</v>
          </cell>
        </row>
        <row r="297">
          <cell r="A297">
            <v>6000005</v>
          </cell>
          <cell r="E297" t="str">
            <v>아슈토레스 패시브 스킬 사용</v>
          </cell>
        </row>
        <row r="298">
          <cell r="A298">
            <v>6000006</v>
          </cell>
          <cell r="E298" t="str">
            <v>프레이 패시브 스킬 사용</v>
          </cell>
        </row>
        <row r="299">
          <cell r="A299">
            <v>6000007</v>
          </cell>
          <cell r="E299" t="str">
            <v>솔카 빛나는 파도를 향해 스킬 사용</v>
          </cell>
        </row>
        <row r="300">
          <cell r="A300">
            <v>6000008</v>
          </cell>
          <cell r="E300" t="str">
            <v>솔카 미인 강림 스킬 사용</v>
          </cell>
        </row>
        <row r="301">
          <cell r="A301">
            <v>6000009</v>
          </cell>
          <cell r="E301" t="str">
            <v>솔카 두뇌싸움 스킬 사용</v>
          </cell>
        </row>
        <row r="302">
          <cell r="A302">
            <v>6000010</v>
          </cell>
          <cell r="E302" t="str">
            <v>솔카 당신과 티타임 스킬 사용</v>
          </cell>
        </row>
        <row r="303">
          <cell r="A303">
            <v>6000011</v>
          </cell>
          <cell r="E303" t="str">
            <v>솔카 뱀파이어 레이디 스킬 사용</v>
          </cell>
        </row>
        <row r="304">
          <cell r="A304">
            <v>6000012</v>
          </cell>
          <cell r="E304" t="str">
            <v>솔카 깊은 계속의 함정 스킬 사용</v>
          </cell>
        </row>
        <row r="305">
          <cell r="A305">
            <v>6000013</v>
          </cell>
          <cell r="E305" t="str">
            <v>복수심</v>
          </cell>
        </row>
        <row r="306">
          <cell r="A306">
            <v>6000014</v>
          </cell>
          <cell r="E306" t="str">
            <v>결벽증</v>
          </cell>
        </row>
        <row r="307">
          <cell r="A307">
            <v>6000015</v>
          </cell>
          <cell r="E307" t="str">
            <v>허영심</v>
          </cell>
        </row>
        <row r="308">
          <cell r="A308">
            <v>6000016</v>
          </cell>
          <cell r="E308" t="str">
            <v>완벽주의자</v>
          </cell>
        </row>
        <row r="309">
          <cell r="A309">
            <v>6000017</v>
          </cell>
          <cell r="E309" t="str">
            <v>성급</v>
          </cell>
        </row>
        <row r="310">
          <cell r="A310">
            <v>6000018</v>
          </cell>
          <cell r="E310" t="str">
            <v>만전태세</v>
          </cell>
        </row>
        <row r="311">
          <cell r="A311">
            <v>6000019</v>
          </cell>
          <cell r="E311" t="str">
            <v>성화</v>
          </cell>
        </row>
        <row r="312">
          <cell r="A312">
            <v>6000020</v>
          </cell>
          <cell r="E312" t="str">
            <v>표독</v>
          </cell>
        </row>
        <row r="313">
          <cell r="A313">
            <v>6000021</v>
          </cell>
          <cell r="E313" t="str">
            <v>혈투</v>
          </cell>
        </row>
        <row r="314">
          <cell r="A314">
            <v>6000022</v>
          </cell>
          <cell r="E314" t="str">
            <v>난동</v>
          </cell>
        </row>
        <row r="315">
          <cell r="A315">
            <v>6000023</v>
          </cell>
          <cell r="E315" t="str">
            <v>열혈한</v>
          </cell>
        </row>
        <row r="316">
          <cell r="A316">
            <v>6000024</v>
          </cell>
          <cell r="E316" t="str">
            <v>독설가</v>
          </cell>
        </row>
        <row r="317">
          <cell r="A317">
            <v>6000025</v>
          </cell>
          <cell r="E317" t="str">
            <v>폭력성</v>
          </cell>
        </row>
        <row r="318">
          <cell r="A318">
            <v>6000026</v>
          </cell>
          <cell r="E318" t="str">
            <v>트러블 메이커</v>
          </cell>
        </row>
        <row r="319">
          <cell r="A319">
            <v>6000027</v>
          </cell>
          <cell r="E319" t="str">
            <v>후발주자</v>
          </cell>
        </row>
        <row r="320">
          <cell r="A320">
            <v>6000028</v>
          </cell>
          <cell r="E320" t="str">
            <v>후발주자</v>
          </cell>
        </row>
        <row r="321">
          <cell r="A321">
            <v>6000029</v>
          </cell>
          <cell r="E321" t="str">
            <v>선발주자</v>
          </cell>
        </row>
        <row r="322">
          <cell r="A322">
            <v>6000030</v>
          </cell>
          <cell r="E322" t="str">
            <v>선발주자</v>
          </cell>
        </row>
        <row r="323">
          <cell r="A323">
            <v>6000031</v>
          </cell>
          <cell r="E323" t="str">
            <v>불굴의 의지</v>
          </cell>
        </row>
        <row r="324">
          <cell r="A324">
            <v>6000032</v>
          </cell>
          <cell r="E324" t="str">
            <v>불굴의 의지</v>
          </cell>
        </row>
        <row r="325">
          <cell r="A325">
            <v>6000033</v>
          </cell>
          <cell r="E325" t="str">
            <v>냉혈한</v>
          </cell>
        </row>
        <row r="326">
          <cell r="A326">
            <v>6000034</v>
          </cell>
          <cell r="E326" t="str">
            <v>헌신</v>
          </cell>
        </row>
        <row r="327">
          <cell r="A327">
            <v>6000035</v>
          </cell>
          <cell r="E327" t="str">
            <v>둔감</v>
          </cell>
        </row>
        <row r="328">
          <cell r="A328">
            <v>6000036</v>
          </cell>
          <cell r="E328" t="str">
            <v>독기</v>
          </cell>
        </row>
        <row r="329">
          <cell r="A329">
            <v>6000037</v>
          </cell>
          <cell r="E329" t="str">
            <v>자비</v>
          </cell>
        </row>
        <row r="330">
          <cell r="A330">
            <v>6000038</v>
          </cell>
          <cell r="E330" t="str">
            <v>가학성애</v>
          </cell>
        </row>
        <row r="331">
          <cell r="A331">
            <v>6000039</v>
          </cell>
          <cell r="E331" t="str">
            <v>우월감</v>
          </cell>
        </row>
        <row r="332">
          <cell r="A332">
            <v>6000040</v>
          </cell>
          <cell r="E332" t="str">
            <v>기선제압</v>
          </cell>
        </row>
        <row r="333">
          <cell r="A333">
            <v>6000041</v>
          </cell>
          <cell r="E333" t="str">
            <v>의기투합</v>
          </cell>
        </row>
        <row r="334">
          <cell r="A334">
            <v>6000042</v>
          </cell>
          <cell r="E334" t="str">
            <v>원한</v>
          </cell>
        </row>
        <row r="335">
          <cell r="A335">
            <v>6000043</v>
          </cell>
          <cell r="E335" t="str">
            <v>계산가</v>
          </cell>
        </row>
        <row r="336">
          <cell r="A336">
            <v>6000044</v>
          </cell>
          <cell r="E336" t="str">
            <v>소울카르타 pc050 회복</v>
          </cell>
        </row>
        <row r="337">
          <cell r="A337">
            <v>6000045</v>
          </cell>
          <cell r="E337" t="str">
            <v>그릴라 공방체 증가</v>
          </cell>
        </row>
        <row r="338">
          <cell r="A338">
            <v>6000046</v>
          </cell>
          <cell r="E338" t="str">
            <v>그릴라 공방체 증가</v>
          </cell>
        </row>
        <row r="339">
          <cell r="A339">
            <v>6000047</v>
          </cell>
          <cell r="E339" t="str">
            <v>기회주의자</v>
          </cell>
        </row>
        <row r="340">
          <cell r="A340">
            <v>6000048</v>
          </cell>
          <cell r="E340" t="str">
            <v>책략가</v>
          </cell>
        </row>
        <row r="341">
          <cell r="A341">
            <v>6000049</v>
          </cell>
          <cell r="E341" t="str">
            <v>착취</v>
          </cell>
        </row>
        <row r="342">
          <cell r="A342">
            <v>6000050</v>
          </cell>
          <cell r="E342" t="str">
            <v>투정</v>
          </cell>
        </row>
        <row r="343">
          <cell r="A343">
            <v>6000051</v>
          </cell>
          <cell r="E343" t="str">
            <v>수완가</v>
          </cell>
        </row>
        <row r="344">
          <cell r="A344">
            <v>6000052</v>
          </cell>
          <cell r="E344" t="str">
            <v>이기주의</v>
          </cell>
        </row>
        <row r="345">
          <cell r="A345">
            <v>6000053</v>
          </cell>
          <cell r="E345" t="str">
            <v>애증</v>
          </cell>
        </row>
        <row r="346">
          <cell r="A346">
            <v>6000054</v>
          </cell>
          <cell r="E346" t="str">
            <v>드미테르 패시브 화상</v>
          </cell>
        </row>
        <row r="347">
          <cell r="A347">
            <v>6000055</v>
          </cell>
          <cell r="E347" t="str">
            <v>도계화 패시브 (공증, 속감)</v>
          </cell>
        </row>
        <row r="348">
          <cell r="A348">
            <v>6000056</v>
          </cell>
          <cell r="E348" t="str">
            <v>아라한 피해량 증가</v>
          </cell>
        </row>
        <row r="349">
          <cell r="A349">
            <v>6000057</v>
          </cell>
          <cell r="E349" t="str">
            <v>쿠바바 피해량 증가</v>
          </cell>
        </row>
        <row r="350">
          <cell r="A350">
            <v>6100001</v>
          </cell>
          <cell r="E350" t="str">
            <v>재능 투쟁심 공증 도트</v>
          </cell>
        </row>
        <row r="351">
          <cell r="A351">
            <v>6100002</v>
          </cell>
          <cell r="E351" t="str">
            <v>재능 인내심 방증 도트</v>
          </cell>
        </row>
        <row r="352">
          <cell r="A352">
            <v>6100003</v>
          </cell>
          <cell r="E352" t="str">
            <v>재능 후발주자 속도 증가</v>
          </cell>
        </row>
        <row r="353">
          <cell r="A353">
            <v>6100004</v>
          </cell>
          <cell r="E353" t="str">
            <v>재능 선발주자 속도 감소</v>
          </cell>
        </row>
        <row r="354">
          <cell r="A354">
            <v>6100005</v>
          </cell>
          <cell r="E354" t="str">
            <v>아라한 패시브 스킬 사용</v>
          </cell>
        </row>
        <row r="355">
          <cell r="A355">
            <v>8000001</v>
          </cell>
          <cell r="E355" t="str">
            <v>던전 버프 - 화속성 대미지 증가</v>
          </cell>
        </row>
        <row r="356">
          <cell r="A356">
            <v>8000002</v>
          </cell>
          <cell r="E356" t="str">
            <v>던전 버프 - 수속성 대미지 증가</v>
          </cell>
        </row>
        <row r="357">
          <cell r="A357">
            <v>8000003</v>
          </cell>
          <cell r="E357" t="str">
            <v>던전 버프 - 목속성 대미지 증가</v>
          </cell>
        </row>
        <row r="358">
          <cell r="A358">
            <v>8000004</v>
          </cell>
          <cell r="E358" t="str">
            <v>던전 버프 - 광속성 대미지 증가</v>
          </cell>
        </row>
        <row r="359">
          <cell r="A359">
            <v>8000005</v>
          </cell>
          <cell r="E359" t="str">
            <v>던전 버프 - 암속성 대미지 증가</v>
          </cell>
        </row>
        <row r="360">
          <cell r="A360">
            <v>8000006</v>
          </cell>
          <cell r="E360" t="str">
            <v>던전 버프 - 공격력 증가</v>
          </cell>
        </row>
        <row r="361">
          <cell r="A361">
            <v>8000007</v>
          </cell>
          <cell r="E361" t="str">
            <v>던전 버프 - 방어력 증가</v>
          </cell>
        </row>
        <row r="362">
          <cell r="A362">
            <v>8000008</v>
          </cell>
          <cell r="E362" t="str">
            <v>던전 버프 - 최대 체력 증가</v>
          </cell>
        </row>
        <row r="363">
          <cell r="A363">
            <v>8011001</v>
          </cell>
          <cell r="E363" t="str">
            <v>노멀 대미지 증가-피규어 보유 효과 (마법봉)</v>
          </cell>
        </row>
        <row r="364">
          <cell r="A364">
            <v>8012001</v>
          </cell>
          <cell r="E364" t="str">
            <v>노멀 대미지 증가-피규어 보유 효과 (전기 체인톱)</v>
          </cell>
        </row>
        <row r="365">
          <cell r="A365">
            <v>8013001</v>
          </cell>
          <cell r="E365" t="str">
            <v>노멀 대미지 증가-피규어 보유 효과 (웨딩 드레스)</v>
          </cell>
        </row>
        <row r="366">
          <cell r="A366">
            <v>8014001</v>
          </cell>
          <cell r="E366" t="str">
            <v>노멀 대미지 증가-피규어 보유 효과 (비키니 수영복)</v>
          </cell>
        </row>
        <row r="367">
          <cell r="A367">
            <v>8014002</v>
          </cell>
          <cell r="E367" t="str">
            <v>노멀 대미지 증가-피규어 보유 효과 (신성한 석장)</v>
          </cell>
        </row>
        <row r="368">
          <cell r="A368">
            <v>8015001</v>
          </cell>
          <cell r="E368" t="str">
            <v>액티브 대미지 증가-피규어 보유 효과 (고딕 로리타)</v>
          </cell>
        </row>
        <row r="369">
          <cell r="A369">
            <v>8015002</v>
          </cell>
          <cell r="E369" t="str">
            <v>액티브 대미지 증가-피규어 보유 효과 (각시탈)</v>
          </cell>
        </row>
        <row r="370">
          <cell r="A370">
            <v>8016001</v>
          </cell>
          <cell r="E370" t="str">
            <v>액티브 대미지 증가-피규어 보유 효과 (동방 삼신기)</v>
          </cell>
        </row>
        <row r="371">
          <cell r="A371">
            <v>8016002</v>
          </cell>
          <cell r="E371" t="str">
            <v>액티브 대미지 증가-피규어 보유 효과 (오를레앙)</v>
          </cell>
        </row>
        <row r="372">
          <cell r="A372">
            <v>8016003</v>
          </cell>
          <cell r="E372" t="str">
            <v>얼티밋 대미지 증가-피규어 보유 효과 (피라미드 토템)</v>
          </cell>
        </row>
        <row r="373">
          <cell r="A373">
            <v>8021001</v>
          </cell>
          <cell r="E373" t="str">
            <v>얼티밋 대미지 증가-피규어 보유 효과 (반반 백작의 성검)</v>
          </cell>
        </row>
        <row r="374">
          <cell r="A374">
            <v>8022001</v>
          </cell>
          <cell r="E374" t="str">
            <v>얼티밋 대미지 증가-피규어 보유 효과 (요정의 서클릿)</v>
          </cell>
        </row>
        <row r="375">
          <cell r="A375">
            <v>8023001</v>
          </cell>
          <cell r="E375" t="str">
            <v>얼티밋 대미지 증가-피규어 보유 효과 (칠마패)</v>
          </cell>
        </row>
        <row r="376">
          <cell r="A376">
            <v>8024001</v>
          </cell>
          <cell r="E376" t="str">
            <v>보스 대미지 증가-피규어 보유 효과 (흡혈귀 퇴치 세트)</v>
          </cell>
        </row>
        <row r="377">
          <cell r="A377">
            <v>8024002</v>
          </cell>
          <cell r="E377" t="str">
            <v>약점 대미지-피규어 보유 효과 (흡혈귀 퇴치 세트 옵션2)</v>
          </cell>
        </row>
        <row r="378">
          <cell r="A378">
            <v>8025001</v>
          </cell>
          <cell r="E378" t="str">
            <v>스킬 대미지-피규어 보유 효과 (죄인의 반지)</v>
          </cell>
        </row>
        <row r="379">
          <cell r="A379">
            <v>8025002</v>
          </cell>
          <cell r="E379" t="str">
            <v>치명타 피해량 증가-피규어 보유 효과 (죄인의 반지 옵션2)</v>
          </cell>
        </row>
        <row r="380">
          <cell r="A380">
            <v>8026001</v>
          </cell>
          <cell r="E380" t="str">
            <v>보스 대미지 증가-피규어 보유 효과 (역습의 리노토로스)</v>
          </cell>
        </row>
        <row r="381">
          <cell r="A381">
            <v>8026002</v>
          </cell>
          <cell r="E381" t="str">
            <v>약점 대미지-피규어 보유 효과 (역습의 리노토로스 옵션2)</v>
          </cell>
        </row>
        <row r="382">
          <cell r="A382">
            <v>8026003</v>
          </cell>
          <cell r="E382" t="str">
            <v>스킬 대미지-피규어 보유 효과 (작열하는 아르드바드)</v>
          </cell>
        </row>
        <row r="383">
          <cell r="A383">
            <v>8031001</v>
          </cell>
          <cell r="E383" t="str">
            <v>치명타 피해량 증가-피규어 보유 효과 (작열하는 아르드바드 옵션2)</v>
          </cell>
        </row>
        <row r="384">
          <cell r="A384">
            <v>8032001</v>
          </cell>
          <cell r="E384" t="str">
            <v>보스 대미지 증가-피규어 보유 효과 (난폭한 메깅요르드)</v>
          </cell>
        </row>
        <row r="385">
          <cell r="A385">
            <v>8033001</v>
          </cell>
          <cell r="E385" t="str">
            <v>약점 대미지-피규어 보유 효과 (난폭한 메깅요르드 옵션2)</v>
          </cell>
        </row>
        <row r="386">
          <cell r="A386">
            <v>8034001</v>
          </cell>
          <cell r="E386" t="str">
            <v>노멀 대미지 증가-피규어 보유 효과 (죄악의 레메게톤)</v>
          </cell>
        </row>
        <row r="387">
          <cell r="A387">
            <v>8034002</v>
          </cell>
          <cell r="E387" t="str">
            <v>액티브 대미지 증가-피규어 보유 효과 (죄악의 레메게톤 옵션2)</v>
          </cell>
        </row>
        <row r="388">
          <cell r="A388">
            <v>8041001</v>
          </cell>
          <cell r="E388" t="str">
            <v>보스 대미지 증가-피규어 보유 효과 (죄악의 레메게톤 옵션3)</v>
          </cell>
        </row>
        <row r="389">
          <cell r="A389">
            <v>8042001</v>
          </cell>
          <cell r="E389" t="str">
            <v>얼티밋 대미지 증가-피규어 보유 효과 (철벽의 힐데그림)</v>
          </cell>
        </row>
        <row r="390">
          <cell r="A390">
            <v>8043001</v>
          </cell>
          <cell r="E390" t="str">
            <v>약점 대미지-피규어 보유 효과 (철벽의 힐데그림 옵션2)</v>
          </cell>
        </row>
        <row r="391">
          <cell r="A391">
            <v>8051001</v>
          </cell>
          <cell r="E391" t="str">
            <v>치명타 피해량 증가-피규어 보유 효과 (철벽의 힐데그림 옵션3)</v>
          </cell>
        </row>
        <row r="392">
          <cell r="A392">
            <v>8500001</v>
          </cell>
          <cell r="E392" t="str">
            <v>치명타 확률 증가-피규어 세트 효과 (내맘대로 세트1)</v>
          </cell>
        </row>
        <row r="393">
          <cell r="A393">
            <v>8500002</v>
          </cell>
          <cell r="E393" t="str">
            <v>치명타 확률 증가-피규어 세트 효과 (내맘대로 세트1)</v>
          </cell>
        </row>
        <row r="394">
          <cell r="A394">
            <v>8500003</v>
          </cell>
          <cell r="E394" t="str">
            <v>치명타 확률 증가-피규어 세트 효과 (내맘대로 세트1)</v>
          </cell>
        </row>
        <row r="395">
          <cell r="A395">
            <v>8500004</v>
          </cell>
          <cell r="E395" t="str">
            <v>치명타 확률 증가-피규어 세트 효과 (내맘대로 세트1)</v>
          </cell>
        </row>
        <row r="396">
          <cell r="A396">
            <v>8500005</v>
          </cell>
          <cell r="E396" t="str">
            <v>치명타 확률 증가-피규어 세트 효과 (내맘대로 세트1)</v>
          </cell>
        </row>
        <row r="397">
          <cell r="A397">
            <v>8500101</v>
          </cell>
          <cell r="E397" t="str">
            <v>회피율 증가-피규어 세트 효과 (내맘대로 세트2)</v>
          </cell>
        </row>
        <row r="398">
          <cell r="A398">
            <v>8500102</v>
          </cell>
          <cell r="E398" t="str">
            <v>회피율 증가-피규어 세트 효과 (내맘대로 세트2)</v>
          </cell>
        </row>
        <row r="399">
          <cell r="A399">
            <v>8500103</v>
          </cell>
          <cell r="E399" t="str">
            <v>회피율 증가-피규어 세트 효과 (내맘대로 세트2)</v>
          </cell>
        </row>
        <row r="400">
          <cell r="A400">
            <v>8500104</v>
          </cell>
          <cell r="E400" t="str">
            <v>회피율 증가-피규어 세트 효과 (내맘대로 세트2)</v>
          </cell>
        </row>
        <row r="401">
          <cell r="A401">
            <v>8500105</v>
          </cell>
          <cell r="E401" t="str">
            <v>회피율 증가-피규어 세트 효과 (내맘대로 세트2)</v>
          </cell>
        </row>
        <row r="402">
          <cell r="A402">
            <v>8500201</v>
          </cell>
          <cell r="E402" t="str">
            <v>적중률 증가-피규어 세트 효과 (내맘대로 세트3)</v>
          </cell>
        </row>
        <row r="403">
          <cell r="A403">
            <v>8500202</v>
          </cell>
          <cell r="E403" t="str">
            <v>적중률 증가-피규어 세트 효과 (내맘대로 세트3)</v>
          </cell>
        </row>
        <row r="404">
          <cell r="A404">
            <v>8500203</v>
          </cell>
          <cell r="E404" t="str">
            <v>적중률 증가-피규어 세트 효과 (내맘대로 세트3)</v>
          </cell>
        </row>
        <row r="405">
          <cell r="A405">
            <v>8500204</v>
          </cell>
          <cell r="E405" t="str">
            <v>적중률 증가-피규어 세트 효과 (내맘대로 세트3)</v>
          </cell>
        </row>
        <row r="406">
          <cell r="A406">
            <v>8500205</v>
          </cell>
          <cell r="E406" t="str">
            <v>적중률 증가-피규어 세트 효과 (내맘대로 세트3)</v>
          </cell>
        </row>
        <row r="407">
          <cell r="A407">
            <v>8500301</v>
          </cell>
          <cell r="E407" t="str">
            <v>치명타 저항 증가-피규어 세트 효과 (내맘대로 세트4)</v>
          </cell>
        </row>
        <row r="408">
          <cell r="A408">
            <v>8500302</v>
          </cell>
          <cell r="E408" t="str">
            <v>치명타 저항 증가-피규어 세트 효과 (내맘대로 세트4)</v>
          </cell>
        </row>
        <row r="409">
          <cell r="A409">
            <v>8500303</v>
          </cell>
          <cell r="E409" t="str">
            <v>치명타 저항 증가-피규어 세트 효과 (내맘대로 세트4)</v>
          </cell>
        </row>
        <row r="410">
          <cell r="A410">
            <v>8500304</v>
          </cell>
          <cell r="E410" t="str">
            <v>치명타 저항 증가-피규어 세트 효과 (내맘대로 세트4)</v>
          </cell>
        </row>
        <row r="411">
          <cell r="A411">
            <v>8500305</v>
          </cell>
          <cell r="E411" t="str">
            <v>치명타 저항 증가-피규어 세트 효과 (내맘대로 세트4)</v>
          </cell>
        </row>
        <row r="412">
          <cell r="A412">
            <v>8500401</v>
          </cell>
          <cell r="E412" t="str">
            <v>반격 확률 증가-피규어 세트 효과 (내맘대로 세트5)</v>
          </cell>
        </row>
        <row r="413">
          <cell r="A413">
            <v>8500402</v>
          </cell>
          <cell r="E413" t="str">
            <v>반격 확률 증가-피규어 세트 효과 (내맘대로 세트5)</v>
          </cell>
        </row>
        <row r="414">
          <cell r="A414">
            <v>8500403</v>
          </cell>
          <cell r="E414" t="str">
            <v>반격 확률 증가-피규어 세트 효과 (내맘대로 세트5)</v>
          </cell>
        </row>
        <row r="415">
          <cell r="A415">
            <v>8500404</v>
          </cell>
          <cell r="E415" t="str">
            <v>반격 확률 증가-피규어 세트 효과 (내맘대로 세트5)</v>
          </cell>
        </row>
        <row r="416">
          <cell r="A416">
            <v>8500405</v>
          </cell>
          <cell r="E416" t="str">
            <v>반격 확률 증가-피규어 세트 효과 (내맘대로 세트5)</v>
          </cell>
        </row>
        <row r="417">
          <cell r="A417">
            <v>8500501</v>
          </cell>
          <cell r="E417" t="str">
            <v>최대 체력 증가-피규어 세트 효과 (내맘대로 세트6)</v>
          </cell>
        </row>
        <row r="418">
          <cell r="A418">
            <v>8500502</v>
          </cell>
          <cell r="E418" t="str">
            <v>최대 체력 증가-피규어 세트 효과 (내맘대로 세트6)</v>
          </cell>
        </row>
        <row r="419">
          <cell r="A419">
            <v>8500503</v>
          </cell>
          <cell r="E419" t="str">
            <v>최대 체력 증가-피규어 세트 효과 (내맘대로 세트6)</v>
          </cell>
        </row>
        <row r="420">
          <cell r="A420">
            <v>8500504</v>
          </cell>
          <cell r="E420" t="str">
            <v>최대 체력 증가-피규어 세트 효과 (내맘대로 세트6)</v>
          </cell>
        </row>
        <row r="421">
          <cell r="A421">
            <v>8500505</v>
          </cell>
          <cell r="E421" t="str">
            <v>최대 체력 증가-피규어 세트 효과 (내맘대로 세트6)</v>
          </cell>
        </row>
        <row r="422">
          <cell r="A422">
            <v>8600003</v>
          </cell>
          <cell r="E422" t="str">
            <v>방어력, 회피율 증가-피규어 보유 효과 (마법봉)</v>
          </cell>
        </row>
      </sheetData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#summury"/>
      <sheetName val="Detail&lt;Child&gt;"/>
      <sheetName val="Detail&lt;Monster&gt;"/>
      <sheetName val="Skin"/>
      <sheetName val="Timeline"/>
      <sheetName val="Level"/>
      <sheetName val="LevelUp"/>
      <sheetName val="GradeUp"/>
      <sheetName val="Info"/>
      <sheetName val="#Base"/>
      <sheetName val="#Skin"/>
      <sheetName val="#등급업 재료 개수"/>
      <sheetName val="#Level 계산"/>
    </sheetNames>
    <sheetDataSet>
      <sheetData sheetId="0"/>
      <sheetData sheetId="1">
        <row r="1">
          <cell r="A1" t="str">
            <v>Id</v>
          </cell>
          <cell r="B1" t="str">
            <v>#이름</v>
          </cell>
          <cell r="M1" t="str">
            <v>Element</v>
          </cell>
          <cell r="N1" t="str">
            <v>Role</v>
          </cell>
        </row>
        <row r="3">
          <cell r="M3" t="str">
            <v>속성</v>
          </cell>
          <cell r="N3" t="str">
            <v>직업</v>
          </cell>
        </row>
        <row r="4">
          <cell r="B4" t="str">
            <v>드미테르</v>
          </cell>
          <cell r="M4" t="str">
            <v>Fire</v>
          </cell>
          <cell r="N4" t="str">
            <v>Attacker</v>
          </cell>
        </row>
        <row r="5">
          <cell r="B5" t="str">
            <v>힐드</v>
          </cell>
          <cell r="M5" t="str">
            <v>Light</v>
          </cell>
          <cell r="N5" t="str">
            <v>Attacker</v>
          </cell>
        </row>
        <row r="6">
          <cell r="B6" t="str">
            <v>다비</v>
          </cell>
          <cell r="M6" t="str">
            <v>Fire</v>
          </cell>
          <cell r="N6" t="str">
            <v>Supporter</v>
          </cell>
        </row>
        <row r="7">
          <cell r="B7" t="str">
            <v>아라한</v>
          </cell>
          <cell r="M7" t="str">
            <v>Water</v>
          </cell>
          <cell r="N7" t="str">
            <v>Supporter</v>
          </cell>
        </row>
        <row r="8">
          <cell r="B8" t="str">
            <v>샤를</v>
          </cell>
          <cell r="M8" t="str">
            <v>Light</v>
          </cell>
          <cell r="N8" t="str">
            <v>Defender</v>
          </cell>
        </row>
        <row r="9">
          <cell r="B9" t="str">
            <v>브라우니</v>
          </cell>
          <cell r="M9" t="str">
            <v>Forest</v>
          </cell>
          <cell r="N9" t="str">
            <v>Healer</v>
          </cell>
        </row>
        <row r="10">
          <cell r="B10" t="str">
            <v>맘몬</v>
          </cell>
          <cell r="M10" t="str">
            <v>Forest</v>
          </cell>
          <cell r="N10" t="str">
            <v>Defender</v>
          </cell>
        </row>
        <row r="11">
          <cell r="B11" t="str">
            <v>다나</v>
          </cell>
          <cell r="M11" t="str">
            <v>Light</v>
          </cell>
          <cell r="N11" t="str">
            <v>Healer</v>
          </cell>
        </row>
        <row r="12">
          <cell r="B12" t="str">
            <v>프레이</v>
          </cell>
          <cell r="M12" t="str">
            <v>Dark</v>
          </cell>
          <cell r="N12" t="str">
            <v>Defender</v>
          </cell>
        </row>
        <row r="13">
          <cell r="B13" t="str">
            <v>시트리</v>
          </cell>
          <cell r="M13" t="str">
            <v>Light</v>
          </cell>
          <cell r="N13" t="str">
            <v>Supporter</v>
          </cell>
        </row>
        <row r="14">
          <cell r="B14" t="str">
            <v>리자</v>
          </cell>
          <cell r="M14" t="str">
            <v>Water</v>
          </cell>
          <cell r="N14" t="str">
            <v>Magician</v>
          </cell>
        </row>
        <row r="15">
          <cell r="B15" t="str">
            <v>구미호</v>
          </cell>
          <cell r="M15" t="str">
            <v>Fire</v>
          </cell>
          <cell r="N15" t="str">
            <v>Attacker</v>
          </cell>
        </row>
        <row r="16">
          <cell r="B16" t="str">
            <v>아르테미스</v>
          </cell>
          <cell r="M16" t="str">
            <v>Dark</v>
          </cell>
          <cell r="N16" t="str">
            <v>Attacker</v>
          </cell>
        </row>
        <row r="17">
          <cell r="B17" t="str">
            <v>쿠바바</v>
          </cell>
          <cell r="M17" t="str">
            <v>Dark</v>
          </cell>
          <cell r="N17" t="str">
            <v>Attacker</v>
          </cell>
        </row>
        <row r="18">
          <cell r="B18" t="str">
            <v>바토리</v>
          </cell>
          <cell r="M18" t="str">
            <v>Forest</v>
          </cell>
          <cell r="N18" t="str">
            <v>Supporter</v>
          </cell>
        </row>
        <row r="19">
          <cell r="B19" t="str">
            <v>라가라자</v>
          </cell>
          <cell r="M19" t="str">
            <v>Fire</v>
          </cell>
          <cell r="N19" t="str">
            <v>Defender</v>
          </cell>
        </row>
        <row r="20">
          <cell r="B20" t="str">
            <v>모나</v>
          </cell>
          <cell r="M20" t="str">
            <v>Dark</v>
          </cell>
          <cell r="N20" t="str">
            <v>Defender</v>
          </cell>
        </row>
        <row r="21">
          <cell r="B21" t="str">
            <v>도계화</v>
          </cell>
          <cell r="M21" t="str">
            <v>Water</v>
          </cell>
          <cell r="N21" t="str">
            <v>Attacker</v>
          </cell>
        </row>
        <row r="22">
          <cell r="B22" t="str">
            <v>카인</v>
          </cell>
          <cell r="M22" t="str">
            <v>Fire</v>
          </cell>
          <cell r="N22" t="str">
            <v>Attacker</v>
          </cell>
        </row>
        <row r="23">
          <cell r="B23" t="str">
            <v>에르제베트</v>
          </cell>
          <cell r="M23" t="str">
            <v>Dark</v>
          </cell>
          <cell r="N23" t="str">
            <v>Attacker</v>
          </cell>
        </row>
        <row r="24">
          <cell r="B24" t="str">
            <v>바리</v>
          </cell>
          <cell r="M24" t="str">
            <v>Water</v>
          </cell>
          <cell r="N24" t="str">
            <v>Healer</v>
          </cell>
        </row>
        <row r="25">
          <cell r="B25" t="str">
            <v>그릴라</v>
          </cell>
          <cell r="M25" t="str">
            <v>Forest</v>
          </cell>
          <cell r="N25" t="str">
            <v>Healer</v>
          </cell>
        </row>
        <row r="26">
          <cell r="B26" t="str">
            <v>니르티</v>
          </cell>
          <cell r="M26" t="str">
            <v>Water</v>
          </cell>
          <cell r="N26" t="str">
            <v>Attacker</v>
          </cell>
        </row>
        <row r="27">
          <cell r="B27" t="str">
            <v>아슈토레스</v>
          </cell>
          <cell r="M27" t="str">
            <v>Light</v>
          </cell>
          <cell r="N27" t="str">
            <v>Attacker</v>
          </cell>
        </row>
        <row r="28">
          <cell r="B28" t="str">
            <v>이브</v>
          </cell>
          <cell r="M28" t="str">
            <v>Water</v>
          </cell>
          <cell r="N28" t="str">
            <v>Supporter</v>
          </cell>
        </row>
        <row r="29">
          <cell r="B29" t="str">
            <v>판</v>
          </cell>
          <cell r="M29" t="str">
            <v>Forest</v>
          </cell>
          <cell r="N29" t="str">
            <v>Supporter</v>
          </cell>
        </row>
        <row r="30">
          <cell r="B30" t="str">
            <v>카라라트리</v>
          </cell>
          <cell r="M30" t="str">
            <v>Fire</v>
          </cell>
          <cell r="N30" t="str">
            <v>Attacker</v>
          </cell>
        </row>
        <row r="31">
          <cell r="B31" t="str">
            <v>아우로라</v>
          </cell>
          <cell r="M31" t="str">
            <v>Forest</v>
          </cell>
          <cell r="N31" t="str">
            <v>Supporter</v>
          </cell>
        </row>
        <row r="32">
          <cell r="B32" t="str">
            <v>모건</v>
          </cell>
          <cell r="M32" t="str">
            <v>Fire</v>
          </cell>
          <cell r="N32" t="str">
            <v>Attacker</v>
          </cell>
        </row>
        <row r="33">
          <cell r="B33" t="str">
            <v>반시</v>
          </cell>
          <cell r="M33" t="str">
            <v>Dark</v>
          </cell>
          <cell r="N33" t="str">
            <v>Attacker</v>
          </cell>
        </row>
        <row r="34">
          <cell r="B34" t="str">
            <v>미리암</v>
          </cell>
          <cell r="M34" t="str">
            <v>Forest</v>
          </cell>
          <cell r="N34" t="str">
            <v>Supporter</v>
          </cell>
        </row>
        <row r="35">
          <cell r="B35" t="str">
            <v>데레사</v>
          </cell>
          <cell r="M35" t="str">
            <v>Fire</v>
          </cell>
          <cell r="N35" t="str">
            <v>Defender</v>
          </cell>
        </row>
        <row r="36">
          <cell r="B36" t="str">
            <v>티스베</v>
          </cell>
          <cell r="M36" t="str">
            <v>Water</v>
          </cell>
          <cell r="N36" t="str">
            <v>Supporter</v>
          </cell>
        </row>
        <row r="37">
          <cell r="B37" t="str">
            <v>두엣샤</v>
          </cell>
          <cell r="M37" t="str">
            <v>Dark</v>
          </cell>
          <cell r="N37" t="str">
            <v>Attacker</v>
          </cell>
        </row>
        <row r="38">
          <cell r="B38" t="str">
            <v>지바</v>
          </cell>
          <cell r="M38" t="str">
            <v>Fire</v>
          </cell>
          <cell r="N38" t="str">
            <v>Supporter</v>
          </cell>
        </row>
      </sheetData>
      <sheetData sheetId="2"/>
      <sheetData sheetId="3"/>
      <sheetData sheetId="4">
        <row r="1">
          <cell r="A1" t="str">
            <v>Id</v>
          </cell>
          <cell r="B1" t="str">
            <v>#캐릭터</v>
          </cell>
        </row>
        <row r="4">
          <cell r="A4">
            <v>1300011</v>
          </cell>
          <cell r="B4" t="str">
            <v>모나</v>
          </cell>
        </row>
        <row r="5">
          <cell r="A5">
            <v>2300011</v>
          </cell>
          <cell r="B5" t="str">
            <v>모나</v>
          </cell>
        </row>
        <row r="6">
          <cell r="A6">
            <v>3300011</v>
          </cell>
          <cell r="B6" t="str">
            <v>모나</v>
          </cell>
        </row>
        <row r="7">
          <cell r="A7">
            <v>4300011</v>
          </cell>
          <cell r="B7" t="str">
            <v>모나</v>
          </cell>
        </row>
        <row r="8">
          <cell r="A8">
            <v>1300021</v>
          </cell>
          <cell r="B8" t="str">
            <v>리자</v>
          </cell>
        </row>
        <row r="9">
          <cell r="A9">
            <v>2300021</v>
          </cell>
          <cell r="B9" t="str">
            <v>리자</v>
          </cell>
        </row>
        <row r="10">
          <cell r="A10">
            <v>3300021</v>
          </cell>
          <cell r="B10" t="str">
            <v>리자</v>
          </cell>
        </row>
        <row r="11">
          <cell r="A11">
            <v>4300021</v>
          </cell>
          <cell r="B11" t="str">
            <v>리자</v>
          </cell>
        </row>
        <row r="12">
          <cell r="A12">
            <v>1300031</v>
          </cell>
          <cell r="B12" t="str">
            <v>다비</v>
          </cell>
        </row>
        <row r="13">
          <cell r="A13">
            <v>2300031</v>
          </cell>
          <cell r="B13" t="str">
            <v>다비</v>
          </cell>
        </row>
        <row r="14">
          <cell r="A14">
            <v>3300031</v>
          </cell>
          <cell r="B14" t="str">
            <v>다비</v>
          </cell>
        </row>
        <row r="15">
          <cell r="A15">
            <v>4300031</v>
          </cell>
          <cell r="B15" t="str">
            <v>다비</v>
          </cell>
        </row>
        <row r="16">
          <cell r="A16">
            <v>1300511</v>
          </cell>
          <cell r="B16" t="str">
            <v>프레이</v>
          </cell>
        </row>
        <row r="17">
          <cell r="A17">
            <v>2300511</v>
          </cell>
          <cell r="B17" t="str">
            <v>프레이</v>
          </cell>
        </row>
        <row r="18">
          <cell r="A18">
            <v>3300511</v>
          </cell>
          <cell r="B18" t="str">
            <v>프레이</v>
          </cell>
        </row>
        <row r="19">
          <cell r="A19">
            <v>4300511</v>
          </cell>
          <cell r="B19" t="str">
            <v>프레이</v>
          </cell>
        </row>
        <row r="20">
          <cell r="A20">
            <v>1301241</v>
          </cell>
          <cell r="B20" t="str">
            <v>이브</v>
          </cell>
        </row>
        <row r="21">
          <cell r="A21">
            <v>2301241</v>
          </cell>
          <cell r="B21" t="str">
            <v>이브</v>
          </cell>
        </row>
        <row r="22">
          <cell r="A22">
            <v>3301241</v>
          </cell>
          <cell r="B22" t="str">
            <v>이브</v>
          </cell>
        </row>
        <row r="23">
          <cell r="A23">
            <v>4301241</v>
          </cell>
          <cell r="B23" t="str">
            <v>이브</v>
          </cell>
        </row>
        <row r="24">
          <cell r="A24">
            <v>1301561</v>
          </cell>
          <cell r="B24" t="str">
            <v>에르제베트</v>
          </cell>
        </row>
        <row r="25">
          <cell r="A25">
            <v>2301561</v>
          </cell>
          <cell r="B25" t="str">
            <v>에르제베트</v>
          </cell>
        </row>
        <row r="26">
          <cell r="A26">
            <v>3301561</v>
          </cell>
          <cell r="B26" t="str">
            <v>에르제베트</v>
          </cell>
        </row>
        <row r="27">
          <cell r="A27">
            <v>4301561</v>
          </cell>
          <cell r="B27" t="str">
            <v>에르제베트</v>
          </cell>
        </row>
        <row r="28">
          <cell r="A28">
            <v>1301801</v>
          </cell>
          <cell r="B28" t="str">
            <v>맘몬</v>
          </cell>
        </row>
        <row r="29">
          <cell r="A29">
            <v>2301801</v>
          </cell>
          <cell r="B29" t="str">
            <v>맘몬</v>
          </cell>
        </row>
        <row r="30">
          <cell r="A30">
            <v>3301801</v>
          </cell>
          <cell r="B30" t="str">
            <v>맘몬</v>
          </cell>
        </row>
        <row r="31">
          <cell r="A31">
            <v>4301801</v>
          </cell>
          <cell r="B31" t="str">
            <v>맘몬</v>
          </cell>
        </row>
        <row r="32">
          <cell r="A32">
            <v>3532079</v>
          </cell>
          <cell r="B32" t="str">
            <v>맘몬</v>
          </cell>
        </row>
        <row r="33">
          <cell r="A33">
            <v>1932071</v>
          </cell>
          <cell r="B33" t="str">
            <v>맘몬</v>
          </cell>
        </row>
        <row r="34">
          <cell r="A34">
            <v>2932071</v>
          </cell>
          <cell r="B34" t="str">
            <v>맘몬</v>
          </cell>
        </row>
        <row r="35">
          <cell r="A35">
            <v>3932079</v>
          </cell>
          <cell r="B35" t="str">
            <v>맘몬</v>
          </cell>
        </row>
        <row r="36">
          <cell r="A36">
            <v>4932071</v>
          </cell>
          <cell r="B36" t="str">
            <v>맘몬</v>
          </cell>
        </row>
        <row r="37">
          <cell r="A37">
            <v>1301831</v>
          </cell>
          <cell r="B37" t="str">
            <v>다나</v>
          </cell>
        </row>
        <row r="38">
          <cell r="A38">
            <v>2301831</v>
          </cell>
          <cell r="B38" t="str">
            <v>다나</v>
          </cell>
        </row>
        <row r="39">
          <cell r="A39">
            <v>3301831</v>
          </cell>
          <cell r="B39" t="str">
            <v>다나</v>
          </cell>
        </row>
        <row r="40">
          <cell r="A40">
            <v>4301831</v>
          </cell>
          <cell r="B40" t="str">
            <v>다나</v>
          </cell>
        </row>
        <row r="41">
          <cell r="A41">
            <v>1301941</v>
          </cell>
          <cell r="B41" t="str">
            <v>아슈토레스</v>
          </cell>
        </row>
        <row r="42">
          <cell r="A42">
            <v>2301941</v>
          </cell>
          <cell r="B42" t="str">
            <v>아슈토레스</v>
          </cell>
        </row>
        <row r="43">
          <cell r="A43">
            <v>3301941</v>
          </cell>
          <cell r="B43" t="str">
            <v>아슈토레스</v>
          </cell>
        </row>
        <row r="44">
          <cell r="A44">
            <v>4301941</v>
          </cell>
          <cell r="B44" t="str">
            <v>아슈토레스</v>
          </cell>
        </row>
        <row r="45">
          <cell r="A45">
            <v>1942041</v>
          </cell>
          <cell r="B45" t="str">
            <v>로키</v>
          </cell>
        </row>
        <row r="46">
          <cell r="A46">
            <v>3942041</v>
          </cell>
          <cell r="B46" t="str">
            <v>로키</v>
          </cell>
        </row>
        <row r="47">
          <cell r="A47">
            <v>1302291</v>
          </cell>
          <cell r="B47" t="str">
            <v>브라우니</v>
          </cell>
        </row>
        <row r="48">
          <cell r="A48">
            <v>2302291</v>
          </cell>
          <cell r="B48" t="str">
            <v>브라우니</v>
          </cell>
        </row>
        <row r="49">
          <cell r="A49">
            <v>3302291</v>
          </cell>
          <cell r="B49" t="str">
            <v>브라우니</v>
          </cell>
        </row>
        <row r="50">
          <cell r="A50">
            <v>4302291</v>
          </cell>
          <cell r="B50" t="str">
            <v>브라우니</v>
          </cell>
        </row>
        <row r="51">
          <cell r="A51">
            <v>1302811</v>
          </cell>
          <cell r="B51" t="str">
            <v>티스베</v>
          </cell>
        </row>
        <row r="52">
          <cell r="A52">
            <v>2302811</v>
          </cell>
          <cell r="B52" t="str">
            <v>티스베</v>
          </cell>
        </row>
        <row r="53">
          <cell r="A53">
            <v>3302811</v>
          </cell>
          <cell r="B53" t="str">
            <v>티스베</v>
          </cell>
        </row>
        <row r="54">
          <cell r="A54">
            <v>4302811</v>
          </cell>
          <cell r="B54" t="str">
            <v>티스베</v>
          </cell>
        </row>
        <row r="55">
          <cell r="A55">
            <v>1302831</v>
          </cell>
          <cell r="B55" t="str">
            <v>모건</v>
          </cell>
        </row>
        <row r="56">
          <cell r="A56">
            <v>2302831</v>
          </cell>
          <cell r="B56" t="str">
            <v>모건</v>
          </cell>
        </row>
        <row r="57">
          <cell r="A57">
            <v>3302831</v>
          </cell>
          <cell r="B57" t="str">
            <v>모건</v>
          </cell>
        </row>
        <row r="58">
          <cell r="A58">
            <v>4302831</v>
          </cell>
          <cell r="B58" t="str">
            <v>모건</v>
          </cell>
        </row>
        <row r="59">
          <cell r="A59">
            <v>1302941</v>
          </cell>
          <cell r="B59" t="str">
            <v>바토리</v>
          </cell>
        </row>
        <row r="60">
          <cell r="A60">
            <v>2302941</v>
          </cell>
          <cell r="B60" t="str">
            <v>바토리</v>
          </cell>
        </row>
        <row r="61">
          <cell r="A61">
            <v>3302941</v>
          </cell>
          <cell r="B61" t="str">
            <v>바토리</v>
          </cell>
        </row>
        <row r="62">
          <cell r="A62">
            <v>4302941</v>
          </cell>
          <cell r="B62" t="str">
            <v>바토리</v>
          </cell>
        </row>
        <row r="63">
          <cell r="A63">
            <v>1302961</v>
          </cell>
          <cell r="B63" t="str">
            <v>힐드</v>
          </cell>
        </row>
        <row r="64">
          <cell r="A64">
            <v>2302961</v>
          </cell>
          <cell r="B64" t="str">
            <v>힐드</v>
          </cell>
        </row>
        <row r="65">
          <cell r="A65">
            <v>3302961</v>
          </cell>
          <cell r="B65" t="str">
            <v>힐드</v>
          </cell>
        </row>
        <row r="66">
          <cell r="A66">
            <v>4302961</v>
          </cell>
          <cell r="B66" t="str">
            <v>힐드</v>
          </cell>
        </row>
        <row r="67">
          <cell r="A67">
            <v>1303181</v>
          </cell>
          <cell r="B67" t="str">
            <v>바리</v>
          </cell>
        </row>
        <row r="68">
          <cell r="A68">
            <v>2303181</v>
          </cell>
          <cell r="B68" t="str">
            <v>바리</v>
          </cell>
        </row>
        <row r="69">
          <cell r="A69">
            <v>3303181</v>
          </cell>
          <cell r="B69" t="str">
            <v>바리</v>
          </cell>
        </row>
        <row r="70">
          <cell r="A70">
            <v>4303181</v>
          </cell>
          <cell r="B70" t="str">
            <v>바리</v>
          </cell>
        </row>
        <row r="71">
          <cell r="A71">
            <v>1303361</v>
          </cell>
          <cell r="B71" t="str">
            <v>판</v>
          </cell>
        </row>
        <row r="72">
          <cell r="A72">
            <v>2303361</v>
          </cell>
          <cell r="B72" t="str">
            <v>판</v>
          </cell>
        </row>
        <row r="73">
          <cell r="A73">
            <v>3303361</v>
          </cell>
          <cell r="B73" t="str">
            <v>판</v>
          </cell>
        </row>
        <row r="74">
          <cell r="A74">
            <v>4303361</v>
          </cell>
          <cell r="B74" t="str">
            <v>판</v>
          </cell>
        </row>
        <row r="75">
          <cell r="A75">
            <v>1303531</v>
          </cell>
          <cell r="B75" t="str">
            <v>샤를</v>
          </cell>
        </row>
        <row r="76">
          <cell r="A76">
            <v>2303531</v>
          </cell>
          <cell r="B76" t="str">
            <v>샤를</v>
          </cell>
        </row>
        <row r="77">
          <cell r="A77">
            <v>3303531</v>
          </cell>
          <cell r="B77" t="str">
            <v>샤를</v>
          </cell>
        </row>
        <row r="78">
          <cell r="A78">
            <v>4303531</v>
          </cell>
          <cell r="B78" t="str">
            <v>샤를</v>
          </cell>
        </row>
        <row r="79">
          <cell r="A79">
            <v>1303541</v>
          </cell>
          <cell r="B79" t="str">
            <v>드미테르</v>
          </cell>
        </row>
        <row r="80">
          <cell r="A80">
            <v>2303541</v>
          </cell>
          <cell r="B80" t="str">
            <v>드미테르</v>
          </cell>
        </row>
        <row r="81">
          <cell r="A81">
            <v>3303541</v>
          </cell>
          <cell r="B81" t="str">
            <v>드미테르</v>
          </cell>
        </row>
        <row r="82">
          <cell r="A82">
            <v>4303541</v>
          </cell>
          <cell r="B82" t="str">
            <v>드미테르</v>
          </cell>
        </row>
        <row r="83">
          <cell r="A83">
            <v>1303641</v>
          </cell>
          <cell r="B83" t="str">
            <v>시트리</v>
          </cell>
        </row>
        <row r="84">
          <cell r="A84">
            <v>2303641</v>
          </cell>
          <cell r="B84" t="str">
            <v>시트리</v>
          </cell>
        </row>
        <row r="85">
          <cell r="A85">
            <v>3303641</v>
          </cell>
          <cell r="B85" t="str">
            <v>시트리</v>
          </cell>
        </row>
        <row r="86">
          <cell r="A86">
            <v>4303641</v>
          </cell>
          <cell r="B86" t="str">
            <v>시트리</v>
          </cell>
        </row>
        <row r="87">
          <cell r="A87">
            <v>1304001</v>
          </cell>
          <cell r="B87" t="str">
            <v>반시</v>
          </cell>
        </row>
        <row r="88">
          <cell r="A88">
            <v>2304001</v>
          </cell>
          <cell r="B88" t="str">
            <v>반시</v>
          </cell>
        </row>
        <row r="89">
          <cell r="A89">
            <v>3304001</v>
          </cell>
          <cell r="B89" t="str">
            <v>반시</v>
          </cell>
        </row>
        <row r="90">
          <cell r="A90">
            <v>4304001</v>
          </cell>
          <cell r="B90" t="str">
            <v>반시</v>
          </cell>
        </row>
        <row r="91">
          <cell r="A91">
            <v>1304121</v>
          </cell>
          <cell r="B91" t="str">
            <v>카인</v>
          </cell>
        </row>
        <row r="92">
          <cell r="A92">
            <v>2304121</v>
          </cell>
          <cell r="B92" t="str">
            <v>카인</v>
          </cell>
        </row>
        <row r="93">
          <cell r="A93">
            <v>3304121</v>
          </cell>
          <cell r="B93" t="str">
            <v>카인</v>
          </cell>
        </row>
        <row r="94">
          <cell r="A94">
            <v>4304121</v>
          </cell>
          <cell r="B94" t="str">
            <v>카인</v>
          </cell>
        </row>
        <row r="95">
          <cell r="A95">
            <v>1304171</v>
          </cell>
          <cell r="B95" t="str">
            <v>구미호</v>
          </cell>
        </row>
        <row r="96">
          <cell r="A96">
            <v>2304171</v>
          </cell>
          <cell r="B96" t="str">
            <v>구미호</v>
          </cell>
        </row>
        <row r="97">
          <cell r="A97">
            <v>3304171</v>
          </cell>
          <cell r="B97" t="str">
            <v>구미호</v>
          </cell>
        </row>
        <row r="98">
          <cell r="A98">
            <v>4304171</v>
          </cell>
          <cell r="B98" t="str">
            <v>구미호</v>
          </cell>
        </row>
        <row r="99">
          <cell r="A99">
            <v>1304321</v>
          </cell>
          <cell r="B99" t="str">
            <v>아르테미스</v>
          </cell>
        </row>
        <row r="100">
          <cell r="A100">
            <v>2304321</v>
          </cell>
          <cell r="B100" t="str">
            <v>아르테미스</v>
          </cell>
        </row>
        <row r="101">
          <cell r="A101">
            <v>3304321</v>
          </cell>
          <cell r="B101" t="str">
            <v>아르테미스</v>
          </cell>
        </row>
        <row r="102">
          <cell r="A102">
            <v>4304321</v>
          </cell>
          <cell r="B102" t="str">
            <v>아르테미스</v>
          </cell>
        </row>
        <row r="103">
          <cell r="A103">
            <v>1304421</v>
          </cell>
          <cell r="B103" t="str">
            <v>니르티</v>
          </cell>
        </row>
        <row r="104">
          <cell r="A104">
            <v>2304421</v>
          </cell>
          <cell r="B104" t="str">
            <v>니르티</v>
          </cell>
        </row>
        <row r="105">
          <cell r="A105">
            <v>3304421</v>
          </cell>
          <cell r="B105" t="str">
            <v>니르티</v>
          </cell>
        </row>
        <row r="106">
          <cell r="A106">
            <v>4304421</v>
          </cell>
          <cell r="B106" t="str">
            <v>니르티</v>
          </cell>
        </row>
        <row r="107">
          <cell r="A107">
            <v>1304451</v>
          </cell>
          <cell r="B107" t="str">
            <v>카라라트리</v>
          </cell>
        </row>
        <row r="108">
          <cell r="A108">
            <v>2304451</v>
          </cell>
          <cell r="B108" t="str">
            <v>카라라트리</v>
          </cell>
        </row>
        <row r="109">
          <cell r="A109">
            <v>3304451</v>
          </cell>
          <cell r="B109" t="str">
            <v>카라라트리</v>
          </cell>
        </row>
        <row r="110">
          <cell r="A110">
            <v>4304451</v>
          </cell>
          <cell r="B110" t="str">
            <v>카라라트리</v>
          </cell>
        </row>
        <row r="111">
          <cell r="A111">
            <v>1304471</v>
          </cell>
          <cell r="B111" t="str">
            <v>미리암</v>
          </cell>
        </row>
        <row r="112">
          <cell r="A112">
            <v>2304471</v>
          </cell>
          <cell r="B112" t="str">
            <v>미리암</v>
          </cell>
        </row>
        <row r="113">
          <cell r="A113">
            <v>3304471</v>
          </cell>
          <cell r="B113" t="str">
            <v>미리암</v>
          </cell>
        </row>
        <row r="114">
          <cell r="A114">
            <v>4304471</v>
          </cell>
          <cell r="B114" t="str">
            <v>미리암</v>
          </cell>
        </row>
        <row r="115">
          <cell r="A115">
            <v>1304611</v>
          </cell>
          <cell r="B115" t="str">
            <v>아우로라</v>
          </cell>
        </row>
        <row r="116">
          <cell r="A116">
            <v>2304611</v>
          </cell>
          <cell r="B116" t="str">
            <v>아우로라</v>
          </cell>
        </row>
        <row r="117">
          <cell r="A117">
            <v>3304611</v>
          </cell>
          <cell r="B117" t="str">
            <v>아우로라</v>
          </cell>
        </row>
        <row r="118">
          <cell r="A118">
            <v>4304611</v>
          </cell>
          <cell r="B118" t="str">
            <v>아우로라</v>
          </cell>
        </row>
        <row r="119">
          <cell r="A119">
            <v>1304621</v>
          </cell>
          <cell r="B119" t="str">
            <v>데레사</v>
          </cell>
        </row>
        <row r="120">
          <cell r="A120">
            <v>2304621</v>
          </cell>
          <cell r="B120" t="str">
            <v>데레사</v>
          </cell>
        </row>
        <row r="121">
          <cell r="A121">
            <v>3304621</v>
          </cell>
          <cell r="B121" t="str">
            <v>데레사</v>
          </cell>
        </row>
        <row r="122">
          <cell r="A122">
            <v>4304621</v>
          </cell>
          <cell r="B122" t="str">
            <v>데레사</v>
          </cell>
        </row>
        <row r="123">
          <cell r="A123">
            <v>1304641</v>
          </cell>
          <cell r="B123" t="str">
            <v>아라한</v>
          </cell>
        </row>
        <row r="124">
          <cell r="A124">
            <v>2304641</v>
          </cell>
          <cell r="B124" t="str">
            <v>아라한</v>
          </cell>
        </row>
        <row r="125">
          <cell r="A125">
            <v>3304641</v>
          </cell>
          <cell r="B125" t="str">
            <v>아라한</v>
          </cell>
        </row>
        <row r="126">
          <cell r="A126">
            <v>4304641</v>
          </cell>
          <cell r="B126" t="str">
            <v>아라한</v>
          </cell>
        </row>
        <row r="127">
          <cell r="A127">
            <v>1304861</v>
          </cell>
          <cell r="B127" t="str">
            <v>쿠바바</v>
          </cell>
        </row>
        <row r="128">
          <cell r="A128">
            <v>2304861</v>
          </cell>
          <cell r="B128" t="str">
            <v>쿠바바</v>
          </cell>
        </row>
        <row r="129">
          <cell r="A129">
            <v>3304861</v>
          </cell>
          <cell r="B129" t="str">
            <v>쿠바바</v>
          </cell>
        </row>
        <row r="130">
          <cell r="A130">
            <v>4304861</v>
          </cell>
          <cell r="B130" t="str">
            <v>쿠바바</v>
          </cell>
        </row>
        <row r="131">
          <cell r="A131">
            <v>1305011</v>
          </cell>
          <cell r="B131" t="str">
            <v>라가라자</v>
          </cell>
        </row>
        <row r="132">
          <cell r="A132">
            <v>2305011</v>
          </cell>
          <cell r="B132" t="str">
            <v>라가라자</v>
          </cell>
        </row>
        <row r="133">
          <cell r="A133">
            <v>3305011</v>
          </cell>
          <cell r="B133" t="str">
            <v>라가라자</v>
          </cell>
        </row>
        <row r="134">
          <cell r="A134">
            <v>4305011</v>
          </cell>
          <cell r="B134" t="str">
            <v>라가라자</v>
          </cell>
        </row>
        <row r="135">
          <cell r="A135">
            <v>1305021</v>
          </cell>
          <cell r="B135" t="str">
            <v>도계화</v>
          </cell>
        </row>
        <row r="136">
          <cell r="A136">
            <v>2305021</v>
          </cell>
          <cell r="B136" t="str">
            <v>도계화</v>
          </cell>
        </row>
        <row r="137">
          <cell r="A137">
            <v>3305021</v>
          </cell>
          <cell r="B137" t="str">
            <v>도계화</v>
          </cell>
        </row>
        <row r="138">
          <cell r="A138">
            <v>4305021</v>
          </cell>
          <cell r="B138" t="str">
            <v>도계화</v>
          </cell>
        </row>
        <row r="139">
          <cell r="A139">
            <v>1305141</v>
          </cell>
          <cell r="B139" t="str">
            <v>두엣샤</v>
          </cell>
        </row>
        <row r="140">
          <cell r="A140">
            <v>2305141</v>
          </cell>
          <cell r="B140" t="str">
            <v>두엣샤</v>
          </cell>
        </row>
        <row r="141">
          <cell r="A141">
            <v>3305141</v>
          </cell>
          <cell r="B141" t="str">
            <v>두엣샤</v>
          </cell>
        </row>
        <row r="142">
          <cell r="A142">
            <v>4305141</v>
          </cell>
          <cell r="B142" t="str">
            <v>두엣샤</v>
          </cell>
        </row>
        <row r="143">
          <cell r="A143">
            <v>1305251</v>
          </cell>
          <cell r="B143" t="str">
            <v>그릴라</v>
          </cell>
        </row>
        <row r="144">
          <cell r="A144">
            <v>2305251</v>
          </cell>
          <cell r="B144" t="str">
            <v>그릴라</v>
          </cell>
        </row>
        <row r="145">
          <cell r="A145">
            <v>3305251</v>
          </cell>
          <cell r="B145" t="str">
            <v>그릴라</v>
          </cell>
        </row>
        <row r="146">
          <cell r="A146">
            <v>4305251</v>
          </cell>
          <cell r="B146" t="str">
            <v>그릴라</v>
          </cell>
        </row>
        <row r="147">
          <cell r="A147">
            <v>1304291</v>
          </cell>
          <cell r="B147" t="str">
            <v>지바</v>
          </cell>
        </row>
        <row r="148">
          <cell r="A148">
            <v>2304291</v>
          </cell>
          <cell r="B148" t="str">
            <v>지바</v>
          </cell>
        </row>
        <row r="149">
          <cell r="A149">
            <v>3304291</v>
          </cell>
          <cell r="B149" t="str">
            <v>지바</v>
          </cell>
        </row>
        <row r="150">
          <cell r="A150">
            <v>4304291</v>
          </cell>
          <cell r="B150" t="str">
            <v>지바</v>
          </cell>
        </row>
        <row r="151">
          <cell r="A151">
            <v>1842051</v>
          </cell>
          <cell r="B151" t="str">
            <v>봉제인형</v>
          </cell>
        </row>
        <row r="152">
          <cell r="A152">
            <v>2842051</v>
          </cell>
          <cell r="B152" t="str">
            <v>봉제인형</v>
          </cell>
        </row>
        <row r="153">
          <cell r="A153">
            <v>3842051</v>
          </cell>
          <cell r="B153" t="str">
            <v>봉제인형</v>
          </cell>
        </row>
        <row r="154">
          <cell r="A154">
            <v>1942011</v>
          </cell>
          <cell r="B154" t="str">
            <v>디아블로</v>
          </cell>
        </row>
        <row r="155">
          <cell r="A155">
            <v>3942011</v>
          </cell>
          <cell r="B155" t="str">
            <v>디아블로</v>
          </cell>
        </row>
        <row r="156">
          <cell r="A156">
            <v>1942021</v>
          </cell>
          <cell r="B156" t="str">
            <v>체인킬러</v>
          </cell>
        </row>
        <row r="157">
          <cell r="A157">
            <v>2942021</v>
          </cell>
          <cell r="B157" t="str">
            <v>체인킬러</v>
          </cell>
        </row>
        <row r="158">
          <cell r="A158">
            <v>3942021</v>
          </cell>
          <cell r="B158" t="str">
            <v>체인킬러</v>
          </cell>
        </row>
        <row r="159">
          <cell r="A159">
            <v>1942031</v>
          </cell>
          <cell r="B159" t="str">
            <v>하데스</v>
          </cell>
        </row>
        <row r="160">
          <cell r="A160">
            <v>3942031</v>
          </cell>
          <cell r="B160" t="str">
            <v>하데스</v>
          </cell>
        </row>
        <row r="161">
          <cell r="A161">
            <v>1942051</v>
          </cell>
          <cell r="B161" t="str">
            <v>고모라</v>
          </cell>
        </row>
        <row r="162">
          <cell r="A162">
            <v>2942051</v>
          </cell>
          <cell r="B162" t="str">
            <v>고모라</v>
          </cell>
        </row>
        <row r="163">
          <cell r="A163">
            <v>3942051</v>
          </cell>
          <cell r="B163" t="str">
            <v>고모라</v>
          </cell>
        </row>
        <row r="164">
          <cell r="A164">
            <v>4942051</v>
          </cell>
          <cell r="B164" t="str">
            <v>고모라</v>
          </cell>
        </row>
        <row r="165">
          <cell r="A165">
            <v>1811041</v>
          </cell>
          <cell r="B165" t="str">
            <v>큐브-화</v>
          </cell>
        </row>
        <row r="166">
          <cell r="A166">
            <v>3811041</v>
          </cell>
          <cell r="B166" t="str">
            <v>큐브-화</v>
          </cell>
        </row>
        <row r="167">
          <cell r="A167">
            <v>2811041</v>
          </cell>
          <cell r="B167" t="str">
            <v>큐브-화</v>
          </cell>
        </row>
        <row r="168">
          <cell r="A168">
            <v>1821041</v>
          </cell>
          <cell r="B168" t="str">
            <v>큐브-화</v>
          </cell>
        </row>
        <row r="169">
          <cell r="A169">
            <v>3821041</v>
          </cell>
          <cell r="B169" t="str">
            <v>큐브-화</v>
          </cell>
        </row>
        <row r="170">
          <cell r="A170">
            <v>2821041</v>
          </cell>
          <cell r="B170" t="str">
            <v>큐브-화</v>
          </cell>
        </row>
        <row r="171">
          <cell r="A171">
            <v>1831041</v>
          </cell>
          <cell r="B171" t="str">
            <v>큐브-화</v>
          </cell>
        </row>
        <row r="172">
          <cell r="A172">
            <v>3831041</v>
          </cell>
          <cell r="B172" t="str">
            <v>큐브-화</v>
          </cell>
        </row>
        <row r="173">
          <cell r="A173">
            <v>2831041</v>
          </cell>
          <cell r="B173" t="str">
            <v>큐브-화</v>
          </cell>
        </row>
        <row r="174">
          <cell r="A174">
            <v>1841041</v>
          </cell>
          <cell r="B174" t="str">
            <v>큐브-화</v>
          </cell>
        </row>
        <row r="175">
          <cell r="A175">
            <v>3841041</v>
          </cell>
          <cell r="B175" t="str">
            <v>큐브-화</v>
          </cell>
        </row>
        <row r="176">
          <cell r="A176">
            <v>2841041</v>
          </cell>
          <cell r="B176" t="str">
            <v>큐브-화</v>
          </cell>
        </row>
        <row r="177">
          <cell r="A177">
            <v>1851041</v>
          </cell>
          <cell r="B177" t="str">
            <v>큐브-화</v>
          </cell>
        </row>
        <row r="178">
          <cell r="A178">
            <v>3851041</v>
          </cell>
          <cell r="B178" t="str">
            <v>큐브-화</v>
          </cell>
        </row>
        <row r="179">
          <cell r="A179">
            <v>2851041</v>
          </cell>
          <cell r="B179" t="str">
            <v>큐브-화</v>
          </cell>
        </row>
        <row r="180">
          <cell r="A180">
            <v>1812011</v>
          </cell>
          <cell r="B180" t="str">
            <v>슬라임-화</v>
          </cell>
        </row>
        <row r="181">
          <cell r="A181">
            <v>2812011</v>
          </cell>
          <cell r="B181" t="str">
            <v>슬라임-화</v>
          </cell>
        </row>
        <row r="182">
          <cell r="A182">
            <v>1822011</v>
          </cell>
          <cell r="B182" t="str">
            <v>슬라임-화</v>
          </cell>
        </row>
        <row r="183">
          <cell r="A183">
            <v>2822011</v>
          </cell>
          <cell r="B183" t="str">
            <v>슬라임-화</v>
          </cell>
        </row>
        <row r="184">
          <cell r="A184">
            <v>1832011</v>
          </cell>
          <cell r="B184" t="str">
            <v>슬라임-화</v>
          </cell>
        </row>
        <row r="185">
          <cell r="A185">
            <v>2832011</v>
          </cell>
          <cell r="B185" t="str">
            <v>슬라임-화</v>
          </cell>
        </row>
        <row r="186">
          <cell r="A186">
            <v>1842011</v>
          </cell>
          <cell r="B186" t="str">
            <v>슬라임-화</v>
          </cell>
        </row>
        <row r="187">
          <cell r="A187">
            <v>2842011</v>
          </cell>
          <cell r="B187" t="str">
            <v>슬라임-화</v>
          </cell>
        </row>
        <row r="188">
          <cell r="A188">
            <v>1852011</v>
          </cell>
          <cell r="B188" t="str">
            <v>슬라임-화</v>
          </cell>
        </row>
        <row r="189">
          <cell r="A189">
            <v>2852011</v>
          </cell>
          <cell r="B189" t="str">
            <v>슬라임-화</v>
          </cell>
        </row>
        <row r="190">
          <cell r="A190">
            <v>1842061</v>
          </cell>
          <cell r="B190" t="str">
            <v>보물상자</v>
          </cell>
        </row>
        <row r="191">
          <cell r="A191">
            <v>2842061</v>
          </cell>
          <cell r="B191" t="str">
            <v>보물상자</v>
          </cell>
        </row>
        <row r="192">
          <cell r="A192">
            <v>3842061</v>
          </cell>
          <cell r="B192" t="str">
            <v>보물상자</v>
          </cell>
        </row>
        <row r="193">
          <cell r="A193">
            <v>1811031</v>
          </cell>
          <cell r="B193" t="str">
            <v>픽시-화</v>
          </cell>
        </row>
        <row r="194">
          <cell r="A194">
            <v>2811031</v>
          </cell>
          <cell r="B194" t="str">
            <v>픽시-화</v>
          </cell>
        </row>
        <row r="195">
          <cell r="A195">
            <v>3811031</v>
          </cell>
          <cell r="B195" t="str">
            <v>픽시-화</v>
          </cell>
        </row>
        <row r="196">
          <cell r="A196">
            <v>1821031</v>
          </cell>
          <cell r="B196" t="str">
            <v>픽시-화</v>
          </cell>
        </row>
        <row r="197">
          <cell r="A197">
            <v>2821031</v>
          </cell>
          <cell r="B197" t="str">
            <v>픽시-화</v>
          </cell>
        </row>
        <row r="198">
          <cell r="A198">
            <v>3821031</v>
          </cell>
          <cell r="B198" t="str">
            <v>픽시-화</v>
          </cell>
        </row>
        <row r="199">
          <cell r="A199">
            <v>1831031</v>
          </cell>
          <cell r="B199" t="str">
            <v>픽시-화</v>
          </cell>
        </row>
        <row r="200">
          <cell r="A200">
            <v>2831031</v>
          </cell>
          <cell r="B200" t="str">
            <v>픽시-화</v>
          </cell>
        </row>
        <row r="201">
          <cell r="A201">
            <v>3831031</v>
          </cell>
          <cell r="B201" t="str">
            <v>픽시-화</v>
          </cell>
        </row>
        <row r="202">
          <cell r="A202">
            <v>1841031</v>
          </cell>
          <cell r="B202" t="str">
            <v>픽시-화</v>
          </cell>
        </row>
        <row r="203">
          <cell r="A203">
            <v>2841031</v>
          </cell>
          <cell r="B203" t="str">
            <v>픽시-화</v>
          </cell>
        </row>
        <row r="204">
          <cell r="A204">
            <v>3841031</v>
          </cell>
          <cell r="B204" t="str">
            <v>픽시-화</v>
          </cell>
        </row>
        <row r="205">
          <cell r="A205">
            <v>1851031</v>
          </cell>
          <cell r="B205" t="str">
            <v>픽시-화</v>
          </cell>
        </row>
        <row r="206">
          <cell r="A206">
            <v>2851031</v>
          </cell>
          <cell r="B206" t="str">
            <v>픽시-화</v>
          </cell>
        </row>
        <row r="207">
          <cell r="A207">
            <v>3851031</v>
          </cell>
          <cell r="B207" t="str">
            <v>픽시-화</v>
          </cell>
        </row>
        <row r="208">
          <cell r="A208">
            <v>1812021</v>
          </cell>
          <cell r="B208" t="str">
            <v>슬라임킹-화</v>
          </cell>
        </row>
        <row r="209">
          <cell r="A209">
            <v>3812021</v>
          </cell>
          <cell r="B209" t="str">
            <v>슬라임킹-화</v>
          </cell>
        </row>
        <row r="210">
          <cell r="A210">
            <v>1822021</v>
          </cell>
          <cell r="B210" t="str">
            <v>슬라임킹-화</v>
          </cell>
        </row>
        <row r="211">
          <cell r="A211">
            <v>3822021</v>
          </cell>
          <cell r="B211" t="str">
            <v>슬라임킹-화</v>
          </cell>
        </row>
        <row r="212">
          <cell r="A212">
            <v>1832021</v>
          </cell>
          <cell r="B212" t="str">
            <v>슬라임킹-화</v>
          </cell>
        </row>
        <row r="213">
          <cell r="A213">
            <v>3832021</v>
          </cell>
          <cell r="B213" t="str">
            <v>슬라임킹-화</v>
          </cell>
        </row>
        <row r="214">
          <cell r="A214">
            <v>1842021</v>
          </cell>
          <cell r="B214" t="str">
            <v>슬라임킹-화</v>
          </cell>
        </row>
        <row r="215">
          <cell r="A215">
            <v>3842021</v>
          </cell>
          <cell r="B215" t="str">
            <v>슬라임킹-화</v>
          </cell>
        </row>
        <row r="216">
          <cell r="A216">
            <v>1852021</v>
          </cell>
          <cell r="B216" t="str">
            <v>슬라임킹-화</v>
          </cell>
        </row>
        <row r="217">
          <cell r="A217">
            <v>3852021</v>
          </cell>
          <cell r="B217" t="str">
            <v>슬라임킹-화</v>
          </cell>
        </row>
        <row r="218">
          <cell r="A218">
            <v>1966011</v>
          </cell>
          <cell r="B218" t="str">
            <v>크리스탈</v>
          </cell>
        </row>
        <row r="219">
          <cell r="A219">
            <v>2966011</v>
          </cell>
          <cell r="B219" t="str">
            <v>크리스탈</v>
          </cell>
        </row>
        <row r="220">
          <cell r="A220">
            <v>3966011</v>
          </cell>
          <cell r="B220" t="str">
            <v>크리스탈</v>
          </cell>
        </row>
        <row r="221">
          <cell r="A221">
            <v>4966011</v>
          </cell>
          <cell r="B221" t="str">
            <v>크리스탈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385C-0289-4C55-ABD5-F5A25EDD6E61}">
  <sheetPr codeName="Sheet2"/>
  <dimension ref="A1:AY283"/>
  <sheetViews>
    <sheetView zoomScaleNormal="100" workbookViewId="0">
      <selection activeCell="C54" sqref="C54"/>
    </sheetView>
  </sheetViews>
  <sheetFormatPr defaultRowHeight="12" outlineLevelCol="1" x14ac:dyDescent="0.3"/>
  <cols>
    <col min="1" max="1" width="7.625" style="1" bestFit="1" customWidth="1"/>
    <col min="2" max="2" width="9" style="7" bestFit="1" customWidth="1"/>
    <col min="3" max="3" width="14.375" style="7" customWidth="1"/>
    <col min="4" max="4" width="15.75" style="7" customWidth="1"/>
    <col min="5" max="5" width="15.625" style="1" hidden="1" customWidth="1" outlineLevel="1"/>
    <col min="6" max="6" width="7.5" style="1" hidden="1" customWidth="1" outlineLevel="1"/>
    <col min="7" max="7" width="14.625" style="1" hidden="1" customWidth="1" outlineLevel="1"/>
    <col min="8" max="8" width="14.875" style="1" hidden="1" customWidth="1" outlineLevel="1"/>
    <col min="9" max="9" width="8.875" style="1" hidden="1" customWidth="1" outlineLevel="1"/>
    <col min="10" max="10" width="26.75" style="1" hidden="1" customWidth="1" outlineLevel="1"/>
    <col min="11" max="11" width="12.125" style="1" hidden="1" customWidth="1" outlineLevel="1"/>
    <col min="12" max="12" width="31.125" style="1" hidden="1" customWidth="1" outlineLevel="1"/>
    <col min="13" max="13" width="6.875" style="1" hidden="1" customWidth="1" outlineLevel="1"/>
    <col min="14" max="14" width="45.625" style="1" hidden="1" customWidth="1" outlineLevel="1"/>
    <col min="15" max="15" width="7.375" style="1" customWidth="1" collapsed="1"/>
    <col min="16" max="16" width="7.625" style="33" customWidth="1"/>
    <col min="17" max="17" width="9.75" style="68" bestFit="1" customWidth="1"/>
    <col min="18" max="18" width="12.5" style="1" customWidth="1" outlineLevel="1"/>
    <col min="19" max="19" width="10.5" style="1" customWidth="1" outlineLevel="1"/>
    <col min="20" max="20" width="15.375" style="8" bestFit="1" customWidth="1" outlineLevel="1"/>
    <col min="21" max="21" width="16.75" style="8" bestFit="1" customWidth="1" outlineLevel="1"/>
    <col min="22" max="22" width="16.75" style="8" customWidth="1" outlineLevel="1"/>
    <col min="23" max="23" width="10" style="8" customWidth="1" outlineLevel="1"/>
    <col min="24" max="24" width="12.25" style="8" customWidth="1" outlineLevel="1"/>
    <col min="25" max="25" width="15.375" style="1" bestFit="1" customWidth="1" outlineLevel="1"/>
    <col min="26" max="26" width="16.75" style="8" bestFit="1" customWidth="1" outlineLevel="1"/>
    <col min="27" max="27" width="16.75" style="8" customWidth="1" outlineLevel="1"/>
    <col min="28" max="28" width="9.5" style="1" customWidth="1" outlineLevel="1"/>
    <col min="29" max="29" width="11.625" style="8" customWidth="1" outlineLevel="1"/>
    <col min="30" max="30" width="15.375" style="8" bestFit="1" customWidth="1" outlineLevel="1"/>
    <col min="31" max="31" width="16.75" style="8" bestFit="1" customWidth="1" outlineLevel="1"/>
    <col min="32" max="32" width="16.75" style="8" customWidth="1" outlineLevel="1"/>
    <col min="33" max="33" width="9.5" style="8" customWidth="1" outlineLevel="1"/>
    <col min="34" max="34" width="11.625" style="8" customWidth="1" outlineLevel="1"/>
    <col min="35" max="35" width="15.375" style="8" bestFit="1" customWidth="1" outlineLevel="1"/>
    <col min="36" max="36" width="16.75" style="8" bestFit="1" customWidth="1" outlineLevel="1"/>
    <col min="37" max="37" width="16.75" style="8" customWidth="1" outlineLevel="1"/>
    <col min="38" max="38" width="12.375" style="8" customWidth="1" outlineLevel="1"/>
    <col min="39" max="39" width="14.625" style="48" customWidth="1" outlineLevel="1"/>
    <col min="40" max="40" width="18.75" style="45" bestFit="1" customWidth="1"/>
    <col min="41" max="41" width="20.5" style="43" bestFit="1" customWidth="1"/>
    <col min="42" max="42" width="9.5" style="43" bestFit="1" customWidth="1"/>
    <col min="43" max="43" width="15.375" style="43" customWidth="1"/>
    <col min="44" max="44" width="17.75" style="45" customWidth="1"/>
    <col min="45" max="45" width="9" style="45" bestFit="1" customWidth="1"/>
    <col min="46" max="46" width="18.75" style="43" bestFit="1" customWidth="1"/>
    <col min="47" max="47" width="19.375" style="43" bestFit="1" customWidth="1"/>
    <col min="48" max="48" width="9" style="43"/>
    <col min="49" max="49" width="18.75" style="43" bestFit="1" customWidth="1"/>
    <col min="50" max="50" width="19.375" style="43" bestFit="1" customWidth="1"/>
    <col min="51" max="51" width="9" style="43"/>
    <col min="52" max="16384" width="9" style="1"/>
  </cols>
  <sheetData>
    <row r="1" spans="1:51" x14ac:dyDescent="0.3">
      <c r="A1" s="1" t="s">
        <v>0</v>
      </c>
      <c r="B1" s="5" t="s">
        <v>4</v>
      </c>
      <c r="C1" s="5" t="s">
        <v>245</v>
      </c>
      <c r="D1" s="5" t="s">
        <v>9</v>
      </c>
      <c r="E1" s="2" t="s">
        <v>116</v>
      </c>
      <c r="F1" s="2" t="s">
        <v>206</v>
      </c>
      <c r="G1" s="2" t="s">
        <v>117</v>
      </c>
      <c r="H1" s="2" t="s">
        <v>209</v>
      </c>
      <c r="I1" s="2" t="s">
        <v>207</v>
      </c>
      <c r="J1" s="2" t="s">
        <v>205</v>
      </c>
      <c r="K1" s="2" t="s">
        <v>208</v>
      </c>
      <c r="L1" s="2" t="s">
        <v>210</v>
      </c>
      <c r="M1" s="1" t="s">
        <v>44</v>
      </c>
      <c r="N1" s="2" t="s">
        <v>18</v>
      </c>
      <c r="O1" s="2" t="s">
        <v>118</v>
      </c>
      <c r="P1" s="32" t="s">
        <v>45</v>
      </c>
      <c r="Q1" s="67" t="s">
        <v>348</v>
      </c>
      <c r="R1" s="2" t="s">
        <v>135</v>
      </c>
      <c r="S1" s="2" t="s">
        <v>138</v>
      </c>
      <c r="T1" s="8" t="s">
        <v>588</v>
      </c>
      <c r="U1" s="8" t="s">
        <v>589</v>
      </c>
      <c r="V1" s="8" t="s">
        <v>590</v>
      </c>
      <c r="W1" s="8" t="s">
        <v>585</v>
      </c>
      <c r="X1" s="8" t="s">
        <v>586</v>
      </c>
      <c r="Y1" s="8" t="s">
        <v>588</v>
      </c>
      <c r="Z1" s="8" t="s">
        <v>589</v>
      </c>
      <c r="AA1" s="8" t="s">
        <v>590</v>
      </c>
      <c r="AB1" s="8" t="s">
        <v>585</v>
      </c>
      <c r="AC1" s="8" t="s">
        <v>586</v>
      </c>
      <c r="AD1" s="8" t="s">
        <v>588</v>
      </c>
      <c r="AE1" s="8" t="s">
        <v>589</v>
      </c>
      <c r="AF1" s="8" t="s">
        <v>590</v>
      </c>
      <c r="AG1" s="8" t="s">
        <v>585</v>
      </c>
      <c r="AH1" s="8" t="s">
        <v>586</v>
      </c>
      <c r="AI1" s="8" t="s">
        <v>588</v>
      </c>
      <c r="AJ1" s="8" t="s">
        <v>589</v>
      </c>
      <c r="AK1" s="8" t="s">
        <v>590</v>
      </c>
      <c r="AL1" s="8" t="s">
        <v>587</v>
      </c>
      <c r="AM1" s="48" t="s">
        <v>17</v>
      </c>
      <c r="AN1" s="45" t="s">
        <v>201</v>
      </c>
      <c r="AO1" s="43" t="s">
        <v>196</v>
      </c>
      <c r="AP1" s="43" t="s">
        <v>197</v>
      </c>
      <c r="AQ1" s="43" t="s">
        <v>200</v>
      </c>
      <c r="AR1" s="45" t="s">
        <v>194</v>
      </c>
      <c r="AS1" s="45" t="s">
        <v>195</v>
      </c>
      <c r="AT1" s="43" t="s">
        <v>202</v>
      </c>
      <c r="AU1" s="43" t="s">
        <v>198</v>
      </c>
      <c r="AV1" s="43" t="s">
        <v>199</v>
      </c>
      <c r="AW1" s="43" t="s">
        <v>202</v>
      </c>
      <c r="AX1" s="43" t="s">
        <v>198</v>
      </c>
      <c r="AY1" s="43" t="s">
        <v>199</v>
      </c>
    </row>
    <row r="2" spans="1:51" x14ac:dyDescent="0.3">
      <c r="A2" s="1" t="s">
        <v>1</v>
      </c>
      <c r="B2" s="7" t="s">
        <v>2</v>
      </c>
      <c r="D2" s="7" t="s">
        <v>2</v>
      </c>
      <c r="E2" s="1" t="s">
        <v>3</v>
      </c>
      <c r="G2" s="1" t="s">
        <v>77</v>
      </c>
      <c r="H2" s="1" t="s">
        <v>77</v>
      </c>
      <c r="I2" s="4"/>
      <c r="J2" s="4"/>
      <c r="K2" s="4"/>
      <c r="L2" s="4"/>
      <c r="M2" s="1" t="s">
        <v>44</v>
      </c>
      <c r="N2" s="1" t="s">
        <v>18</v>
      </c>
      <c r="O2" s="1" t="s">
        <v>11</v>
      </c>
      <c r="P2" s="33" t="s">
        <v>12</v>
      </c>
      <c r="R2" s="1" t="s">
        <v>37</v>
      </c>
      <c r="X2" s="8" t="s">
        <v>1</v>
      </c>
      <c r="AC2" s="8" t="s">
        <v>1</v>
      </c>
      <c r="AH2" s="8" t="s">
        <v>1</v>
      </c>
    </row>
    <row r="4" spans="1:51" s="11" customFormat="1" x14ac:dyDescent="0.3">
      <c r="A4" s="11">
        <f>INT(1&amp;MID(_xlfn.XLOOKUP(B4,[2]Timeline!$B:$B,[2]Timeline!$A:$A),2,5)&amp;1)</f>
        <v>1304171</v>
      </c>
      <c r="B4" s="12" t="s">
        <v>145</v>
      </c>
      <c r="C4" s="12" t="s">
        <v>282</v>
      </c>
      <c r="D4" s="12" t="s">
        <v>541</v>
      </c>
      <c r="E4" s="11" t="str">
        <f t="shared" ref="E4:E35" si="0">"skill_name_"&amp;A4</f>
        <v>skill_name_1304171</v>
      </c>
      <c r="F4" s="11" t="s">
        <v>117</v>
      </c>
      <c r="G4" s="11" t="s">
        <v>480</v>
      </c>
      <c r="H4" s="11" t="str">
        <f t="shared" ref="H4:H35" si="1">"skill_desc_"&amp;$A4</f>
        <v>skill_desc_1304171</v>
      </c>
      <c r="I4" s="11" t="s">
        <v>205</v>
      </c>
      <c r="J4" s="11" t="str">
        <f>IFERROR(_xlfn.XLOOKUP(W4,Target!A:A,Target!J:J),"")</f>
        <v>Skill_Target_Icon_Enemy_Near_One</v>
      </c>
      <c r="K4" s="11" t="s">
        <v>205</v>
      </c>
      <c r="L4" s="11" t="str">
        <f>IFERROR(_xlfn.XLOOKUP(W4,Target!A:A,Target!K:K),"")</f>
        <v>Skill_Area_Icon_Pivot_Centor</v>
      </c>
      <c r="M4" s="11" t="str">
        <f>_xlfn.XLOOKUP(B4,'[2]Detail&lt;Child&gt;'!$B:$B,'[2]Detail&lt;Child&gt;'!$M:$M)</f>
        <v>Fire</v>
      </c>
      <c r="N4" s="11" t="str">
        <f>_xlfn.XLOOKUP(B4,'[2]Detail&lt;Child&gt;'!$B:$B,'[2]Detail&lt;Child&gt;'!$N:$N)</f>
        <v>Attacker</v>
      </c>
      <c r="O4" s="11" t="s">
        <v>30</v>
      </c>
      <c r="P4" s="34">
        <v>0</v>
      </c>
      <c r="Q4" s="69" t="str" cm="1">
        <f t="array" ref="Q4">_xlfn.IFS(R4="Move","Move",R4="NonTargetMove","Move",R4="Static","Stand",R4="None","Stand")</f>
        <v>Move</v>
      </c>
      <c r="R4" s="11" t="s">
        <v>144</v>
      </c>
      <c r="S4" s="11">
        <f>IF(R4="Static",0,1)</f>
        <v>1</v>
      </c>
      <c r="T4" s="15" t="str">
        <f>IF(X4=0,"Immediately",IF($O4="Passive","Immediately",IF(W4=0,"None","SignalHit")))</f>
        <v>SignalHit</v>
      </c>
      <c r="U4" s="15" t="str" cm="1">
        <f t="array" ref="U4">_xlfn.IFS(T4="SignalHIt","TurnEnd",T4="AttackBegin","TurnEnd",T4="AttackEnd","TurnEnd",T4="Immediately","Applied",T4="None","None")</f>
        <v>TurnEnd</v>
      </c>
      <c r="V4" s="15">
        <v>0</v>
      </c>
      <c r="W4" s="11">
        <v>2000011</v>
      </c>
      <c r="X4" s="10">
        <v>13041711</v>
      </c>
      <c r="Y4" s="11" t="str">
        <f>IF($O4="Passive","Immediately",IF(AB4=0,"Immediately","AttackBegin"))</f>
        <v>Immediately</v>
      </c>
      <c r="Z4" s="15" t="str" cm="1">
        <f t="array" ref="Z4">_xlfn.IFS(Y4="SignalHIt","TurnEnd",Y4="AttackBegin","TurnEnd",Y4="AttackEnd","TurnEnd",Y4="Immediately","Applied",Y4="None","None")</f>
        <v>Applied</v>
      </c>
      <c r="AA4" s="15">
        <v>0</v>
      </c>
      <c r="AB4" s="11">
        <v>0</v>
      </c>
      <c r="AC4" s="10">
        <v>0</v>
      </c>
      <c r="AD4" s="15" t="str">
        <f>IF($O4="Passive","Immediately",IF(AG4=0,"Immediately","AttackEnd"))</f>
        <v>AttackEnd</v>
      </c>
      <c r="AE4" s="15" t="str" cm="1">
        <f t="array" ref="AE4">_xlfn.IFS(AD4="SignalHIt","TurnEnd",AD4="AttackBegin","TurnEnd",AD4="AttackEnd","TurnEnd",AD4="Immediately","Applied",AD4="None","None")</f>
        <v>TurnEnd</v>
      </c>
      <c r="AF4" s="15">
        <v>0</v>
      </c>
      <c r="AG4" s="11">
        <v>2000011</v>
      </c>
      <c r="AH4" s="10">
        <f t="shared" ref="AH4:AH9" si="2">X4+1</f>
        <v>13041712</v>
      </c>
      <c r="AI4" s="15" t="str">
        <f>IF($O4="Passive","Immediately",IF(AL4=0,"Immediately","AttackEnd"))</f>
        <v>Immediately</v>
      </c>
      <c r="AJ4" s="15" t="str" cm="1">
        <f t="array" ref="AJ4">_xlfn.IFS(AI4="SignalHIt","TurnEnd",AI4="AttackBegin","TurnEnd",AI4="AttackEnd","TurnEnd",AI4="Immediately","Applied",AI4="None","None")</f>
        <v>Applied</v>
      </c>
      <c r="AK4" s="15">
        <v>0</v>
      </c>
      <c r="AL4" s="10">
        <v>0</v>
      </c>
      <c r="AM4" s="50">
        <v>0</v>
      </c>
      <c r="AN4" s="46" t="str">
        <f>IFERROR(_xlfn.XLOOKUP(W4,Target!$A:$A,Target!$B:$B),"None")</f>
        <v xml:space="preserve">가까운 적 1명 </v>
      </c>
      <c r="AO4" s="47" t="str">
        <f>IFERROR(_xlfn.XLOOKUP($X4,'BuffValue&lt;Child&gt;'!$A:$A,'BuffValue&lt;Child&gt;'!$F:$F),"None")</f>
        <v>공용 대미지</v>
      </c>
      <c r="AP4" s="47">
        <f>IFERROR(_xlfn.XLOOKUP($X4,#REF!,#REF!),0)</f>
        <v>0</v>
      </c>
      <c r="AQ4" s="47" t="str">
        <f>IFERROR(_xlfn.XLOOKUP(AB4,Target!$A:$A,Target!$B:$B),"None")</f>
        <v>None</v>
      </c>
      <c r="AR4" s="46" t="str">
        <f>IFERROR(_xlfn.XLOOKUP($AC4,#REF!,#REF!),"None")</f>
        <v>None</v>
      </c>
      <c r="AS4" s="46">
        <f>IFERROR(_xlfn.XLOOKUP($AC4,#REF!,#REF!),0)</f>
        <v>0</v>
      </c>
      <c r="AT4" s="47" t="str">
        <f>IFERROR(_xlfn.XLOOKUP(AG4,Target!$A:$A,Target!$B:$B),"None")</f>
        <v xml:space="preserve">가까운 적 1명 </v>
      </c>
      <c r="AU4" s="47" t="str">
        <f>IFERROR(_xlfn.XLOOKUP($AH4,'BuffValue&lt;Child&gt;'!$A:$A,'BuffValue&lt;Child&gt;'!$F:$F),"None")</f>
        <v>구미호 패시브 화상</v>
      </c>
      <c r="AV4" s="47">
        <f>IFERROR(_xlfn.XLOOKUP($AH4,'BuffValue&lt;Child&gt;'!$A:$A,'BuffValue&lt;Child&gt;'!$K:$K),0)</f>
        <v>30000</v>
      </c>
      <c r="AW4" s="47" t="str">
        <f>IFERROR(_xlfn.XLOOKUP(AL4,Target!$A:$A,Target!$B:$B),"None")</f>
        <v>None</v>
      </c>
      <c r="AX4" s="47" t="str">
        <f>IFERROR(_xlfn.XLOOKUP($AM4,'BuffValue&lt;Child&gt;'!$A:$A,'BuffValue&lt;Child&gt;'!$F:$F),"None")</f>
        <v>None</v>
      </c>
      <c r="AY4" s="47">
        <f>IFERROR(_xlfn.XLOOKUP($AM4,#REF!,#REF!),0)</f>
        <v>0</v>
      </c>
    </row>
    <row r="5" spans="1:51" x14ac:dyDescent="0.3">
      <c r="A5" s="1">
        <f>INT(2&amp;MID(_xlfn.XLOOKUP(B5,[2]Timeline!$B:$B,[2]Timeline!$A:$A),2,5)&amp;1)</f>
        <v>2304171</v>
      </c>
      <c r="B5" s="7" t="s">
        <v>145</v>
      </c>
      <c r="C5" s="7" t="s">
        <v>283</v>
      </c>
      <c r="D5" s="7" t="s">
        <v>537</v>
      </c>
      <c r="E5" s="1" t="str">
        <f t="shared" si="0"/>
        <v>skill_name_2304171</v>
      </c>
      <c r="F5" s="1" t="s">
        <v>117</v>
      </c>
      <c r="G5" s="1" t="s">
        <v>479</v>
      </c>
      <c r="H5" s="1" t="str">
        <f t="shared" si="1"/>
        <v>skill_desc_2304171</v>
      </c>
      <c r="I5" s="1" t="s">
        <v>205</v>
      </c>
      <c r="J5" s="1" t="str">
        <f>IFERROR(_xlfn.XLOOKUP(W5,Target!A:A,Target!J:J),"")</f>
        <v>Skill_Target_Icon_Enemy</v>
      </c>
      <c r="K5" s="1" t="s">
        <v>205</v>
      </c>
      <c r="L5" s="1" t="str">
        <f>IFERROR(_xlfn.XLOOKUP(W5,Target!A:A,Target!K:K),"")</f>
        <v>Skill_Area_Icon_NonTarget_All</v>
      </c>
      <c r="M5" s="1" t="str">
        <f>_xlfn.XLOOKUP(B5,'[2]Detail&lt;Child&gt;'!$B:$B,'[2]Detail&lt;Child&gt;'!$M:$M)</f>
        <v>Fire</v>
      </c>
      <c r="N5" s="1" t="str">
        <f>_xlfn.XLOOKUP(B5,'[2]Detail&lt;Child&gt;'!$B:$B,'[2]Detail&lt;Child&gt;'!$N:$N)</f>
        <v>Attacker</v>
      </c>
      <c r="O5" s="1" t="s">
        <v>33</v>
      </c>
      <c r="P5" s="33">
        <v>2</v>
      </c>
      <c r="Q5" s="68" t="str" cm="1">
        <f t="array" ref="Q5">_xlfn.IFS(R5="Move","Move",R5="NonTargetMove","Move",R5="Static","Stand",R5="None","Stand")</f>
        <v>Move</v>
      </c>
      <c r="R5" s="1" t="s">
        <v>153</v>
      </c>
      <c r="S5" s="1">
        <v>4</v>
      </c>
      <c r="T5" s="2" t="str">
        <f t="shared" ref="T5:T68" si="3">IF(X5=0,"Immediately",IF($O5="Passive","Immediately",IF(W5=0,"None","SignalHit")))</f>
        <v>SignalHit</v>
      </c>
      <c r="U5" s="2" t="str" cm="1">
        <f t="array" ref="U5">_xlfn.IFS(T5="SignalHIt","TurnEnd",T5="AttackBegin","TurnEnd",T5="AttackEnd","TurnEnd",T5="Immediately","Applied",T5="None","None")</f>
        <v>TurnEnd</v>
      </c>
      <c r="V5" s="2">
        <v>0</v>
      </c>
      <c r="W5" s="1">
        <v>920001</v>
      </c>
      <c r="X5" s="8">
        <v>23041711</v>
      </c>
      <c r="Y5" s="1" t="str">
        <f t="shared" ref="Y5:Y68" si="4">IF($O5="Passive","Immediately",IF(AB5=0,"Immediately","AttackBegin"))</f>
        <v>Immediately</v>
      </c>
      <c r="Z5" s="2" t="str" cm="1">
        <f t="array" ref="Z5">_xlfn.IFS(Y5="SignalHIt","TurnEnd",Y5="AttackBegin","TurnEnd",Y5="AttackEnd","TurnEnd",Y5="Immediately","Applied",Y5="None","None")</f>
        <v>Applied</v>
      </c>
      <c r="AA5" s="2">
        <v>0</v>
      </c>
      <c r="AB5" s="1">
        <v>0</v>
      </c>
      <c r="AC5" s="8">
        <v>0</v>
      </c>
      <c r="AD5" s="2" t="str">
        <f t="shared" ref="AD5:AD68" si="5">IF($O5="Passive","Immediately",IF(AG5=0,"Immediately","AttackEnd"))</f>
        <v>AttackEnd</v>
      </c>
      <c r="AE5" s="2" t="str" cm="1">
        <f t="array" ref="AE5">_xlfn.IFS(AD5="SignalHIt","TurnEnd",AD5="AttackBegin","TurnEnd",AD5="AttackEnd","TurnEnd",AD5="Immediately","Applied",AD5="None","None")</f>
        <v>TurnEnd</v>
      </c>
      <c r="AF5" s="2">
        <v>0</v>
      </c>
      <c r="AG5" s="1">
        <v>920001</v>
      </c>
      <c r="AH5" s="8">
        <f t="shared" si="2"/>
        <v>23041712</v>
      </c>
      <c r="AI5" s="2" t="str">
        <f t="shared" ref="AI5:AI68" si="6">IF($O5="Passive","Immediately",IF(AL5=0,"Immediately","AttackEnd"))</f>
        <v>Immediately</v>
      </c>
      <c r="AJ5" s="2" t="str" cm="1">
        <f t="array" ref="AJ5">_xlfn.IFS(AI5="SignalHIt","TurnEnd",AI5="AttackBegin","TurnEnd",AI5="AttackEnd","TurnEnd",AI5="Immediately","Applied",AI5="None","None")</f>
        <v>Applied</v>
      </c>
      <c r="AK5" s="2">
        <v>0</v>
      </c>
      <c r="AL5" s="8">
        <v>0</v>
      </c>
      <c r="AM5" s="48">
        <v>0</v>
      </c>
      <c r="AN5" s="45" t="str">
        <f>IFERROR(_xlfn.XLOOKUP(W5,Target!$A:$A,Target!$B:$B),"None")</f>
        <v>논타겟 적 9칸</v>
      </c>
      <c r="AO5" s="43" t="str">
        <f>IFERROR(_xlfn.XLOOKUP($X5,'BuffValue&lt;Child&gt;'!$A:$A,'BuffValue&lt;Child&gt;'!$F:$F),"None")</f>
        <v>액티브 대미지</v>
      </c>
      <c r="AP5" s="43">
        <f>IFERROR(_xlfn.XLOOKUP($X5,'BuffValue&lt;Child&gt;'!$A:$A,'BuffValue&lt;Child&gt;'!$K:$K),0)</f>
        <v>30000</v>
      </c>
      <c r="AQ5" s="43" t="str">
        <f>IFERROR(_xlfn.XLOOKUP(AB5,Target!$A:$A,Target!$B:$B),"None")</f>
        <v>None</v>
      </c>
      <c r="AR5" s="45" t="str">
        <f>IFERROR(_xlfn.XLOOKUP($AC5,'BuffValue&lt;Child&gt;'!$A:$A,'BuffValue&lt;Child&gt;'!$F:$F),"None")</f>
        <v>None</v>
      </c>
      <c r="AS5" s="45">
        <f>IFERROR(_xlfn.XLOOKUP($AC5,'BuffValue&lt;Child&gt;'!$A:$A,'BuffValue&lt;Child&gt;'!$K:$K),0)</f>
        <v>0</v>
      </c>
      <c r="AT5" s="43" t="str">
        <f>IFERROR(_xlfn.XLOOKUP(AG5,Target!$A:$A,Target!$B:$B),"None")</f>
        <v>논타겟 적 9칸</v>
      </c>
      <c r="AU5" s="43" t="str">
        <f>IFERROR(_xlfn.XLOOKUP($AH5,'BuffValue&lt;Child&gt;'!$A:$A,'BuffValue&lt;Child&gt;'!$F:$F),"None")</f>
        <v>구미호 패시브 화상</v>
      </c>
      <c r="AV5" s="43">
        <f>IFERROR(_xlfn.XLOOKUP($AH5,'BuffValue&lt;Child&gt;'!$A:$A,'BuffValue&lt;Child&gt;'!$K:$K),0)</f>
        <v>30000</v>
      </c>
      <c r="AW5" s="43" t="str">
        <f>IFERROR(_xlfn.XLOOKUP(AL5,Target!$A:$A,Target!$B:$B),"None")</f>
        <v>None</v>
      </c>
      <c r="AX5" s="43" t="str">
        <f>IFERROR(_xlfn.XLOOKUP($AM5,'BuffValue&lt;Child&gt;'!$A:$A,'BuffValue&lt;Child&gt;'!$F:$F),"None")</f>
        <v>None</v>
      </c>
      <c r="AY5" s="43">
        <f>IFERROR(_xlfn.XLOOKUP($AM5,#REF!,#REF!),0)</f>
        <v>0</v>
      </c>
    </row>
    <row r="6" spans="1:51" x14ac:dyDescent="0.3">
      <c r="A6" s="1">
        <f>INT(2&amp;MID(_xlfn.XLOOKUP(B6,[2]Timeline!$B:$B,[2]Timeline!$A:$A),2,5)&amp;2)</f>
        <v>2304172</v>
      </c>
      <c r="B6" s="7" t="s">
        <v>145</v>
      </c>
      <c r="C6" s="7" t="s">
        <v>283</v>
      </c>
      <c r="D6" s="7" t="s">
        <v>537</v>
      </c>
      <c r="E6" s="1" t="str">
        <f t="shared" si="0"/>
        <v>skill_name_2304172</v>
      </c>
      <c r="F6" s="1" t="s">
        <v>117</v>
      </c>
      <c r="G6" s="1" t="s">
        <v>479</v>
      </c>
      <c r="H6" s="1" t="str">
        <f t="shared" si="1"/>
        <v>skill_desc_2304172</v>
      </c>
      <c r="I6" s="1" t="s">
        <v>205</v>
      </c>
      <c r="J6" s="1" t="str">
        <f>IFERROR(_xlfn.XLOOKUP(W6,Target!A:A,Target!J:J),"")</f>
        <v>Skill_Target_Icon_Enemy</v>
      </c>
      <c r="K6" s="1" t="s">
        <v>205</v>
      </c>
      <c r="L6" s="1" t="str">
        <f>IFERROR(_xlfn.XLOOKUP(W6,Target!A:A,Target!K:K),"")</f>
        <v>Skill_Area_Icon_NonTarget_All</v>
      </c>
      <c r="M6" s="1" t="str">
        <f>_xlfn.XLOOKUP(B6,'[2]Detail&lt;Child&gt;'!$B:$B,'[2]Detail&lt;Child&gt;'!$M:$M)</f>
        <v>Fire</v>
      </c>
      <c r="N6" s="1" t="str">
        <f>_xlfn.XLOOKUP(B6,'[2]Detail&lt;Child&gt;'!$B:$B,'[2]Detail&lt;Child&gt;'!$N:$N)</f>
        <v>Attacker</v>
      </c>
      <c r="O6" s="1" t="s">
        <v>33</v>
      </c>
      <c r="P6" s="33">
        <v>2</v>
      </c>
      <c r="Q6" s="68" t="str" cm="1">
        <f t="array" ref="Q6">_xlfn.IFS(R6="Move","Move",R6="NonTargetMove","Move",R6="Static","Stand",R6="None","Stand")</f>
        <v>Move</v>
      </c>
      <c r="R6" s="1" t="s">
        <v>153</v>
      </c>
      <c r="S6" s="1">
        <v>4</v>
      </c>
      <c r="T6" s="2" t="str">
        <f t="shared" si="3"/>
        <v>SignalHit</v>
      </c>
      <c r="U6" s="2" t="str" cm="1">
        <f t="array" ref="U6">_xlfn.IFS(T6="SignalHIt","TurnEnd",T6="AttackBegin","TurnEnd",T6="AttackEnd","TurnEnd",T6="Immediately","Applied",T6="None","None")</f>
        <v>TurnEnd</v>
      </c>
      <c r="V6" s="2">
        <v>0</v>
      </c>
      <c r="W6" s="1">
        <v>920001</v>
      </c>
      <c r="X6" s="8">
        <v>23041721</v>
      </c>
      <c r="Y6" s="1" t="str">
        <f t="shared" si="4"/>
        <v>Immediately</v>
      </c>
      <c r="Z6" s="2" t="str" cm="1">
        <f t="array" ref="Z6">_xlfn.IFS(Y6="SignalHIt","TurnEnd",Y6="AttackBegin","TurnEnd",Y6="AttackEnd","TurnEnd",Y6="Immediately","Applied",Y6="None","None")</f>
        <v>Applied</v>
      </c>
      <c r="AA6" s="2">
        <v>0</v>
      </c>
      <c r="AB6" s="1">
        <v>0</v>
      </c>
      <c r="AC6" s="8">
        <v>0</v>
      </c>
      <c r="AD6" s="2" t="str">
        <f t="shared" si="5"/>
        <v>AttackEnd</v>
      </c>
      <c r="AE6" s="2" t="str" cm="1">
        <f t="array" ref="AE6">_xlfn.IFS(AD6="SignalHIt","TurnEnd",AD6="AttackBegin","TurnEnd",AD6="AttackEnd","TurnEnd",AD6="Immediately","Applied",AD6="None","None")</f>
        <v>TurnEnd</v>
      </c>
      <c r="AF6" s="2">
        <v>0</v>
      </c>
      <c r="AG6" s="1">
        <v>920001</v>
      </c>
      <c r="AH6" s="8">
        <f t="shared" si="2"/>
        <v>23041722</v>
      </c>
      <c r="AI6" s="2" t="str">
        <f t="shared" si="6"/>
        <v>Immediately</v>
      </c>
      <c r="AJ6" s="2" t="str" cm="1">
        <f t="array" ref="AJ6">_xlfn.IFS(AI6="SignalHIt","TurnEnd",AI6="AttackBegin","TurnEnd",AI6="AttackEnd","TurnEnd",AI6="Immediately","Applied",AI6="None","None")</f>
        <v>Applied</v>
      </c>
      <c r="AK6" s="2">
        <v>0</v>
      </c>
      <c r="AL6" s="8">
        <v>0</v>
      </c>
      <c r="AM6" s="48">
        <v>0</v>
      </c>
      <c r="AN6" s="45" t="str">
        <f>IFERROR(_xlfn.XLOOKUP(W6,Target!$A:$A,Target!$B:$B),"None")</f>
        <v>논타겟 적 9칸</v>
      </c>
      <c r="AO6" s="43" t="str">
        <f>IFERROR(_xlfn.XLOOKUP($X6,'BuffValue&lt;Child&gt;'!$A:$A,'BuffValue&lt;Child&gt;'!$F:$F),"None")</f>
        <v>액티브 대미지</v>
      </c>
      <c r="AP6" s="43">
        <f>IFERROR(_xlfn.XLOOKUP($X6,'BuffValue&lt;Child&gt;'!$A:$A,'BuffValue&lt;Child&gt;'!$K:$K),0)</f>
        <v>30000</v>
      </c>
      <c r="AQ6" s="43" t="str">
        <f>IFERROR(_xlfn.XLOOKUP(AB6,Target!$A:$A,Target!$B:$B),"None")</f>
        <v>None</v>
      </c>
      <c r="AR6" s="45" t="str">
        <f>IFERROR(_xlfn.XLOOKUP($AC6,'BuffValue&lt;Child&gt;'!$A:$A,'BuffValue&lt;Child&gt;'!$F:$F),"None")</f>
        <v>None</v>
      </c>
      <c r="AS6" s="45">
        <f>IFERROR(_xlfn.XLOOKUP($AC6,'BuffValue&lt;Child&gt;'!$A:$A,'BuffValue&lt;Child&gt;'!$K:$K),0)</f>
        <v>0</v>
      </c>
      <c r="AT6" s="43" t="str">
        <f>IFERROR(_xlfn.XLOOKUP(AG6,Target!$A:$A,Target!$B:$B),"None")</f>
        <v>논타겟 적 9칸</v>
      </c>
      <c r="AU6" s="43" t="str">
        <f>IFERROR(_xlfn.XLOOKUP($AH6,'BuffValue&lt;Child&gt;'!$A:$A,'BuffValue&lt;Child&gt;'!$F:$F),"None")</f>
        <v>구미호 패시브 화상</v>
      </c>
      <c r="AV6" s="43">
        <f>IFERROR(_xlfn.XLOOKUP($AH6,'BuffValue&lt;Child&gt;'!$A:$A,'BuffValue&lt;Child&gt;'!$K:$K),0)</f>
        <v>30000</v>
      </c>
      <c r="AW6" s="43" t="str">
        <f>IFERROR(_xlfn.XLOOKUP(AL6,Target!$A:$A,Target!$B:$B),"None")</f>
        <v>None</v>
      </c>
      <c r="AX6" s="43" t="str">
        <f>IFERROR(_xlfn.XLOOKUP($AM6,'BuffValue&lt;Child&gt;'!$A:$A,'BuffValue&lt;Child&gt;'!$F:$F),"None")</f>
        <v>None</v>
      </c>
      <c r="AY6" s="43">
        <f>IFERROR(_xlfn.XLOOKUP($AM6,#REF!,#REF!),0)</f>
        <v>0</v>
      </c>
    </row>
    <row r="7" spans="1:51" x14ac:dyDescent="0.3">
      <c r="A7" s="1">
        <f>INT(3&amp;MID(_xlfn.XLOOKUP(B7,[2]Timeline!$B:$B,[2]Timeline!$A:$A),2,5)&amp;1)</f>
        <v>3304171</v>
      </c>
      <c r="B7" s="7" t="s">
        <v>145</v>
      </c>
      <c r="C7" s="7" t="s">
        <v>284</v>
      </c>
      <c r="D7" s="7" t="s">
        <v>574</v>
      </c>
      <c r="E7" s="1" t="str">
        <f t="shared" si="0"/>
        <v>skill_name_3304171</v>
      </c>
      <c r="F7" s="1" t="s">
        <v>117</v>
      </c>
      <c r="G7" s="1" t="s">
        <v>386</v>
      </c>
      <c r="H7" s="1" t="str">
        <f t="shared" si="1"/>
        <v>skill_desc_3304171</v>
      </c>
      <c r="I7" s="1" t="s">
        <v>205</v>
      </c>
      <c r="J7" s="1" t="str">
        <f>IFERROR(_xlfn.XLOOKUP(W7,Target!A:A,Target!J:J),"")</f>
        <v>Skill_Target_Icon_Enemy</v>
      </c>
      <c r="K7" s="1" t="s">
        <v>205</v>
      </c>
      <c r="L7" s="1" t="str">
        <f>IFERROR(_xlfn.XLOOKUP(W7,Target!A:A,Target!K:K),"")</f>
        <v>Skill_Area_Icon_NonTarget_All</v>
      </c>
      <c r="M7" s="1" t="str">
        <f>_xlfn.XLOOKUP(B7,'[2]Detail&lt;Child&gt;'!$B:$B,'[2]Detail&lt;Child&gt;'!$M:$M)</f>
        <v>Fire</v>
      </c>
      <c r="N7" s="1" t="str">
        <f>_xlfn.XLOOKUP(B7,'[2]Detail&lt;Child&gt;'!$B:$B,'[2]Detail&lt;Child&gt;'!$N:$N)</f>
        <v>Attacker</v>
      </c>
      <c r="O7" s="1" t="s">
        <v>141</v>
      </c>
      <c r="P7" s="33">
        <v>0</v>
      </c>
      <c r="Q7" s="68" t="str" cm="1">
        <f t="array" ref="Q7">_xlfn.IFS(R7="Move","Move",R7="NonTargetMove","Move",R7="Static","Stand",R7="None","Stand")</f>
        <v>Move</v>
      </c>
      <c r="R7" s="1" t="s">
        <v>193</v>
      </c>
      <c r="S7" s="1">
        <v>4</v>
      </c>
      <c r="T7" s="2" t="str">
        <f t="shared" si="3"/>
        <v>SignalHit</v>
      </c>
      <c r="U7" s="2" t="str" cm="1">
        <f t="array" ref="U7">_xlfn.IFS(T7="SignalHIt","TurnEnd",T7="AttackBegin","TurnEnd",T7="AttackEnd","TurnEnd",T7="Immediately","Applied",T7="None","None")</f>
        <v>TurnEnd</v>
      </c>
      <c r="V7" s="2">
        <v>0</v>
      </c>
      <c r="W7" s="1">
        <v>920001</v>
      </c>
      <c r="X7" s="8">
        <v>33041711</v>
      </c>
      <c r="Y7" s="1" t="str">
        <f t="shared" si="4"/>
        <v>AttackBegin</v>
      </c>
      <c r="Z7" s="2" t="str" cm="1">
        <f t="array" ref="Z7">_xlfn.IFS(Y7="SignalHIt","TurnEnd",Y7="AttackBegin","TurnEnd",Y7="AttackEnd","TurnEnd",Y7="Immediately","Applied",Y7="None","None")</f>
        <v>TurnEnd</v>
      </c>
      <c r="AA7" s="2">
        <v>0</v>
      </c>
      <c r="AB7" s="1">
        <v>1</v>
      </c>
      <c r="AC7" s="8">
        <f>X7-1</f>
        <v>33041710</v>
      </c>
      <c r="AD7" s="2" t="str">
        <f t="shared" si="5"/>
        <v>AttackEnd</v>
      </c>
      <c r="AE7" s="2" t="str" cm="1">
        <f t="array" ref="AE7">_xlfn.IFS(AD7="SignalHIt","TurnEnd",AD7="AttackBegin","TurnEnd",AD7="AttackEnd","TurnEnd",AD7="Immediately","Applied",AD7="None","None")</f>
        <v>TurnEnd</v>
      </c>
      <c r="AF7" s="2">
        <v>0</v>
      </c>
      <c r="AG7" s="1">
        <v>920001</v>
      </c>
      <c r="AH7" s="8">
        <f t="shared" si="2"/>
        <v>33041712</v>
      </c>
      <c r="AI7" s="2" t="str">
        <f t="shared" si="6"/>
        <v>Immediately</v>
      </c>
      <c r="AJ7" s="2" t="str" cm="1">
        <f t="array" ref="AJ7">_xlfn.IFS(AI7="SignalHIt","TurnEnd",AI7="AttackBegin","TurnEnd",AI7="AttackEnd","TurnEnd",AI7="Immediately","Applied",AI7="None","None")</f>
        <v>Applied</v>
      </c>
      <c r="AK7" s="2">
        <v>0</v>
      </c>
      <c r="AL7" s="8">
        <v>0</v>
      </c>
      <c r="AM7" s="48">
        <v>0</v>
      </c>
      <c r="AN7" s="45" t="str">
        <f>IFERROR(_xlfn.XLOOKUP(W7,Target!$A:$A,Target!$B:$B),"None")</f>
        <v>논타겟 적 9칸</v>
      </c>
      <c r="AO7" s="43" t="str">
        <f>IFERROR(_xlfn.XLOOKUP($X7,'BuffValue&lt;Child&gt;'!$A:$A,'BuffValue&lt;Child&gt;'!$F:$F),"None")</f>
        <v>대미지(치명타)</v>
      </c>
      <c r="AP7" s="43">
        <f>IFERROR(_xlfn.XLOOKUP($X7,'BuffValue&lt;Child&gt;'!$A:$A,'BuffValue&lt;Child&gt;'!$K:$K),0)</f>
        <v>25000</v>
      </c>
      <c r="AQ7" s="43" t="str">
        <f>IFERROR(_xlfn.XLOOKUP(AB7,Target!$A:$A,Target!$B:$B),"None")</f>
        <v xml:space="preserve"> 자신 1명 </v>
      </c>
      <c r="AR7" s="45" t="str">
        <f>IFERROR(_xlfn.XLOOKUP($AC7,'BuffValue&lt;Child&gt;'!$A:$A,'BuffValue&lt;Child&gt;'!$F:$F),"None")</f>
        <v>화상 중 적 대미지 증가</v>
      </c>
      <c r="AS7" s="45">
        <f>IFERROR(_xlfn.XLOOKUP($AC7,'BuffValue&lt;Child&gt;'!$A:$A,'BuffValue&lt;Child&gt;'!$K:$K),0)</f>
        <v>30000</v>
      </c>
      <c r="AT7" s="43" t="str">
        <f>IFERROR(_xlfn.XLOOKUP(AG7,Target!$A:$A,Target!$B:$B),"None")</f>
        <v>논타겟 적 9칸</v>
      </c>
      <c r="AU7" s="43" t="str">
        <f>IFERROR(_xlfn.XLOOKUP($AH7,'BuffValue&lt;Child&gt;'!$A:$A,'BuffValue&lt;Child&gt;'!$F:$F),"None")</f>
        <v>구미호 패시브 화상</v>
      </c>
      <c r="AV7" s="43">
        <f>IFERROR(_xlfn.XLOOKUP($AH7,'BuffValue&lt;Child&gt;'!$A:$A,'BuffValue&lt;Child&gt;'!$K:$K),0)</f>
        <v>30000</v>
      </c>
      <c r="AW7" s="43" t="str">
        <f>IFERROR(_xlfn.XLOOKUP(AL7,Target!$A:$A,Target!$B:$B),"None")</f>
        <v>None</v>
      </c>
      <c r="AX7" s="43" t="str">
        <f>IFERROR(_xlfn.XLOOKUP($AM7,'BuffValue&lt;Child&gt;'!$A:$A,'BuffValue&lt;Child&gt;'!$F:$F),"None")</f>
        <v>None</v>
      </c>
      <c r="AY7" s="43">
        <f>IFERROR(_xlfn.XLOOKUP($AM7,#REF!,#REF!),0)</f>
        <v>0</v>
      </c>
    </row>
    <row r="8" spans="1:51" x14ac:dyDescent="0.3">
      <c r="A8" s="1">
        <f>INT(3&amp;MID(_xlfn.XLOOKUP(B8,[2]Timeline!$B:$B,[2]Timeline!$A:$A),2,5)&amp;2)</f>
        <v>3304172</v>
      </c>
      <c r="B8" s="7" t="s">
        <v>145</v>
      </c>
      <c r="C8" s="7" t="s">
        <v>284</v>
      </c>
      <c r="D8" s="7" t="s">
        <v>573</v>
      </c>
      <c r="E8" s="1" t="str">
        <f t="shared" si="0"/>
        <v>skill_name_3304172</v>
      </c>
      <c r="F8" s="1" t="s">
        <v>117</v>
      </c>
      <c r="G8" s="1" t="s">
        <v>386</v>
      </c>
      <c r="H8" s="1" t="str">
        <f t="shared" si="1"/>
        <v>skill_desc_3304172</v>
      </c>
      <c r="I8" s="1" t="s">
        <v>205</v>
      </c>
      <c r="J8" s="1" t="str">
        <f>IFERROR(_xlfn.XLOOKUP(W8,Target!A:A,Target!J:J),"")</f>
        <v>Skill_Target_Icon_Enemy</v>
      </c>
      <c r="K8" s="1" t="s">
        <v>205</v>
      </c>
      <c r="L8" s="1" t="str">
        <f>IFERROR(_xlfn.XLOOKUP(W8,Target!A:A,Target!K:K),"")</f>
        <v>Skill_Area_Icon_NonTarget_All</v>
      </c>
      <c r="M8" s="1" t="str">
        <f>_xlfn.XLOOKUP(B8,'[2]Detail&lt;Child&gt;'!$B:$B,'[2]Detail&lt;Child&gt;'!$M:$M)</f>
        <v>Fire</v>
      </c>
      <c r="N8" s="1" t="str">
        <f>_xlfn.XLOOKUP(B8,'[2]Detail&lt;Child&gt;'!$B:$B,'[2]Detail&lt;Child&gt;'!$N:$N)</f>
        <v>Attacker</v>
      </c>
      <c r="O8" s="1" t="s">
        <v>141</v>
      </c>
      <c r="P8" s="33">
        <v>0</v>
      </c>
      <c r="Q8" s="68" t="str" cm="1">
        <f t="array" ref="Q8">_xlfn.IFS(R8="Move","Move",R8="NonTargetMove","Move",R8="Static","Stand",R8="None","Stand")</f>
        <v>Move</v>
      </c>
      <c r="R8" s="1" t="s">
        <v>153</v>
      </c>
      <c r="S8" s="1">
        <v>4</v>
      </c>
      <c r="T8" s="2" t="str">
        <f t="shared" si="3"/>
        <v>SignalHit</v>
      </c>
      <c r="U8" s="2" t="str" cm="1">
        <f t="array" ref="U8">_xlfn.IFS(T8="SignalHIt","TurnEnd",T8="AttackBegin","TurnEnd",T8="AttackEnd","TurnEnd",T8="Immediately","Applied",T8="None","None")</f>
        <v>TurnEnd</v>
      </c>
      <c r="V8" s="2">
        <v>0</v>
      </c>
      <c r="W8" s="1">
        <v>920001</v>
      </c>
      <c r="X8" s="8">
        <v>33041721</v>
      </c>
      <c r="Y8" s="1" t="str">
        <f t="shared" si="4"/>
        <v>AttackBegin</v>
      </c>
      <c r="Z8" s="2" t="str" cm="1">
        <f t="array" ref="Z8">_xlfn.IFS(Y8="SignalHIt","TurnEnd",Y8="AttackBegin","TurnEnd",Y8="AttackEnd","TurnEnd",Y8="Immediately","Applied",Y8="None","None")</f>
        <v>TurnEnd</v>
      </c>
      <c r="AA8" s="2">
        <v>0</v>
      </c>
      <c r="AB8" s="1">
        <v>1</v>
      </c>
      <c r="AC8" s="8">
        <f>X8-1</f>
        <v>33041720</v>
      </c>
      <c r="AD8" s="2" t="str">
        <f t="shared" si="5"/>
        <v>AttackEnd</v>
      </c>
      <c r="AE8" s="2" t="str" cm="1">
        <f t="array" ref="AE8">_xlfn.IFS(AD8="SignalHIt","TurnEnd",AD8="AttackBegin","TurnEnd",AD8="AttackEnd","TurnEnd",AD8="Immediately","Applied",AD8="None","None")</f>
        <v>TurnEnd</v>
      </c>
      <c r="AF8" s="2">
        <v>0</v>
      </c>
      <c r="AG8" s="1">
        <v>920001</v>
      </c>
      <c r="AH8" s="8">
        <f t="shared" si="2"/>
        <v>33041722</v>
      </c>
      <c r="AI8" s="2" t="str">
        <f t="shared" si="6"/>
        <v>Immediately</v>
      </c>
      <c r="AJ8" s="2" t="str" cm="1">
        <f t="array" ref="AJ8">_xlfn.IFS(AI8="SignalHIt","TurnEnd",AI8="AttackBegin","TurnEnd",AI8="AttackEnd","TurnEnd",AI8="Immediately","Applied",AI8="None","None")</f>
        <v>Applied</v>
      </c>
      <c r="AK8" s="2">
        <v>0</v>
      </c>
      <c r="AL8" s="8">
        <v>0</v>
      </c>
      <c r="AM8" s="48">
        <v>0</v>
      </c>
      <c r="AN8" s="45" t="str">
        <f>IFERROR(_xlfn.XLOOKUP(W8,Target!$A:$A,Target!$B:$B),"None")</f>
        <v>논타겟 적 9칸</v>
      </c>
      <c r="AO8" s="43" t="str">
        <f>IFERROR(_xlfn.XLOOKUP($X8,'BuffValue&lt;Child&gt;'!$A:$A,'BuffValue&lt;Child&gt;'!$F:$F),"None")</f>
        <v>대미지(치명타)</v>
      </c>
      <c r="AP8" s="43">
        <f>IFERROR(_xlfn.XLOOKUP($X8,'BuffValue&lt;Child&gt;'!$A:$A,'BuffValue&lt;Child&gt;'!$K:$K),0)</f>
        <v>25000</v>
      </c>
      <c r="AQ8" s="43" t="str">
        <f>IFERROR(_xlfn.XLOOKUP(AB8,Target!$A:$A,Target!$B:$B),"None")</f>
        <v xml:space="preserve"> 자신 1명 </v>
      </c>
      <c r="AR8" s="45" t="str">
        <f>IFERROR(_xlfn.XLOOKUP($AC8,'BuffValue&lt;Child&gt;'!$A:$A,'BuffValue&lt;Child&gt;'!$F:$F),"None")</f>
        <v>화상 중 적 대미지 증가</v>
      </c>
      <c r="AS8" s="45">
        <f>IFERROR(_xlfn.XLOOKUP($AC8,'BuffValue&lt;Child&gt;'!$A:$A,'BuffValue&lt;Child&gt;'!$K:$K),0)</f>
        <v>30000</v>
      </c>
      <c r="AT8" s="43" t="str">
        <f>IFERROR(_xlfn.XLOOKUP(AG8,Target!$A:$A,Target!$B:$B),"None")</f>
        <v>논타겟 적 9칸</v>
      </c>
      <c r="AU8" s="43" t="str">
        <f>IFERROR(_xlfn.XLOOKUP($AH8,'BuffValue&lt;Child&gt;'!$A:$A,'BuffValue&lt;Child&gt;'!$F:$F),"None")</f>
        <v>구미호 패시브 화상</v>
      </c>
      <c r="AV8" s="43">
        <f>IFERROR(_xlfn.XLOOKUP($AH8,'BuffValue&lt;Child&gt;'!$A:$A,'BuffValue&lt;Child&gt;'!$K:$K),0)</f>
        <v>30000</v>
      </c>
      <c r="AW8" s="43" t="str">
        <f>IFERROR(_xlfn.XLOOKUP(AL8,Target!$A:$A,Target!$B:$B),"None")</f>
        <v>None</v>
      </c>
      <c r="AX8" s="43" t="str">
        <f>IFERROR(_xlfn.XLOOKUP($AM8,'BuffValue&lt;Child&gt;'!$A:$A,'BuffValue&lt;Child&gt;'!$F:$F),"None")</f>
        <v>None</v>
      </c>
      <c r="AY8" s="43">
        <f>IFERROR(_xlfn.XLOOKUP($AM8,#REF!,#REF!),0)</f>
        <v>0</v>
      </c>
    </row>
    <row r="9" spans="1:51" x14ac:dyDescent="0.3">
      <c r="A9" s="1">
        <f>INT(3&amp;MID(_xlfn.XLOOKUP(B9,[2]Timeline!$B:$B,[2]Timeline!$A:$A),2,5)&amp;3)</f>
        <v>3304173</v>
      </c>
      <c r="B9" s="7" t="s">
        <v>145</v>
      </c>
      <c r="C9" s="7" t="s">
        <v>284</v>
      </c>
      <c r="D9" s="7" t="s">
        <v>573</v>
      </c>
      <c r="E9" s="1" t="str">
        <f t="shared" si="0"/>
        <v>skill_name_3304173</v>
      </c>
      <c r="F9" s="1" t="s">
        <v>117</v>
      </c>
      <c r="G9" s="1" t="s">
        <v>386</v>
      </c>
      <c r="H9" s="1" t="str">
        <f t="shared" si="1"/>
        <v>skill_desc_3304173</v>
      </c>
      <c r="I9" s="1" t="s">
        <v>205</v>
      </c>
      <c r="J9" s="1" t="str">
        <f>IFERROR(_xlfn.XLOOKUP(W9,Target!A:A,Target!J:J),"")</f>
        <v>Skill_Target_Icon_Enemy</v>
      </c>
      <c r="K9" s="1" t="s">
        <v>205</v>
      </c>
      <c r="L9" s="1" t="str">
        <f>IFERROR(_xlfn.XLOOKUP(W9,Target!A:A,Target!K:K),"")</f>
        <v>Skill_Area_Icon_NonTarget_All</v>
      </c>
      <c r="M9" s="1" t="str">
        <f>_xlfn.XLOOKUP(B9,'[2]Detail&lt;Child&gt;'!$B:$B,'[2]Detail&lt;Child&gt;'!$M:$M)</f>
        <v>Fire</v>
      </c>
      <c r="N9" s="1" t="str">
        <f>_xlfn.XLOOKUP(B9,'[2]Detail&lt;Child&gt;'!$B:$B,'[2]Detail&lt;Child&gt;'!$N:$N)</f>
        <v>Attacker</v>
      </c>
      <c r="O9" s="1" t="s">
        <v>141</v>
      </c>
      <c r="P9" s="33">
        <v>0</v>
      </c>
      <c r="Q9" s="68" t="str" cm="1">
        <f t="array" ref="Q9">_xlfn.IFS(R9="Move","Move",R9="NonTargetMove","Move",R9="Static","Stand",R9="None","Stand")</f>
        <v>Move</v>
      </c>
      <c r="R9" s="1" t="s">
        <v>153</v>
      </c>
      <c r="S9" s="1">
        <v>4</v>
      </c>
      <c r="T9" s="2" t="str">
        <f t="shared" si="3"/>
        <v>SignalHit</v>
      </c>
      <c r="U9" s="2" t="str" cm="1">
        <f t="array" ref="U9">_xlfn.IFS(T9="SignalHIt","TurnEnd",T9="AttackBegin","TurnEnd",T9="AttackEnd","TurnEnd",T9="Immediately","Applied",T9="None","None")</f>
        <v>TurnEnd</v>
      </c>
      <c r="V9" s="2">
        <v>0</v>
      </c>
      <c r="W9" s="1">
        <v>920001</v>
      </c>
      <c r="X9" s="8">
        <v>33041731</v>
      </c>
      <c r="Y9" s="1" t="str">
        <f t="shared" si="4"/>
        <v>AttackBegin</v>
      </c>
      <c r="Z9" s="2" t="str" cm="1">
        <f t="array" ref="Z9">_xlfn.IFS(Y9="SignalHIt","TurnEnd",Y9="AttackBegin","TurnEnd",Y9="AttackEnd","TurnEnd",Y9="Immediately","Applied",Y9="None","None")</f>
        <v>TurnEnd</v>
      </c>
      <c r="AA9" s="2">
        <v>0</v>
      </c>
      <c r="AB9" s="1">
        <v>1</v>
      </c>
      <c r="AC9" s="8">
        <f>X9-1</f>
        <v>33041730</v>
      </c>
      <c r="AD9" s="2" t="str">
        <f t="shared" si="5"/>
        <v>AttackEnd</v>
      </c>
      <c r="AE9" s="2" t="str" cm="1">
        <f t="array" ref="AE9">_xlfn.IFS(AD9="SignalHIt","TurnEnd",AD9="AttackBegin","TurnEnd",AD9="AttackEnd","TurnEnd",AD9="Immediately","Applied",AD9="None","None")</f>
        <v>TurnEnd</v>
      </c>
      <c r="AF9" s="2">
        <v>0</v>
      </c>
      <c r="AG9" s="1">
        <v>920001</v>
      </c>
      <c r="AH9" s="8">
        <f t="shared" si="2"/>
        <v>33041732</v>
      </c>
      <c r="AI9" s="2" t="str">
        <f t="shared" si="6"/>
        <v>Immediately</v>
      </c>
      <c r="AJ9" s="2" t="str" cm="1">
        <f t="array" ref="AJ9">_xlfn.IFS(AI9="SignalHIt","TurnEnd",AI9="AttackBegin","TurnEnd",AI9="AttackEnd","TurnEnd",AI9="Immediately","Applied",AI9="None","None")</f>
        <v>Applied</v>
      </c>
      <c r="AK9" s="2">
        <v>0</v>
      </c>
      <c r="AL9" s="8">
        <v>0</v>
      </c>
      <c r="AM9" s="48">
        <v>0</v>
      </c>
      <c r="AN9" s="45" t="str">
        <f>IFERROR(_xlfn.XLOOKUP(W9,Target!$A:$A,Target!$B:$B),"None")</f>
        <v>논타겟 적 9칸</v>
      </c>
      <c r="AO9" s="43" t="str">
        <f>IFERROR(_xlfn.XLOOKUP($X9,'BuffValue&lt;Child&gt;'!$A:$A,'BuffValue&lt;Child&gt;'!$F:$F),"None")</f>
        <v>대미지(치명타)</v>
      </c>
      <c r="AP9" s="43">
        <f>IFERROR(_xlfn.XLOOKUP($X9,'BuffValue&lt;Child&gt;'!$A:$A,'BuffValue&lt;Child&gt;'!$K:$K),0)</f>
        <v>25000</v>
      </c>
      <c r="AQ9" s="43" t="str">
        <f>IFERROR(_xlfn.XLOOKUP(AB9,Target!$A:$A,Target!$B:$B),"None")</f>
        <v xml:space="preserve"> 자신 1명 </v>
      </c>
      <c r="AR9" s="45" t="str">
        <f>IFERROR(_xlfn.XLOOKUP($AC9,'BuffValue&lt;Child&gt;'!$A:$A,'BuffValue&lt;Child&gt;'!$F:$F),"None")</f>
        <v>화상 중 적 대미지 증가</v>
      </c>
      <c r="AS9" s="45">
        <f>IFERROR(_xlfn.XLOOKUP($AC9,'BuffValue&lt;Child&gt;'!$A:$A,'BuffValue&lt;Child&gt;'!$K:$K),0)</f>
        <v>30000</v>
      </c>
      <c r="AT9" s="43" t="str">
        <f>IFERROR(_xlfn.XLOOKUP(AG9,Target!$A:$A,Target!$B:$B),"None")</f>
        <v>논타겟 적 9칸</v>
      </c>
      <c r="AU9" s="43" t="str">
        <f>IFERROR(_xlfn.XLOOKUP($AH9,'BuffValue&lt;Child&gt;'!$A:$A,'BuffValue&lt;Child&gt;'!$F:$F),"None")</f>
        <v>구미호 패시브 화상</v>
      </c>
      <c r="AV9" s="43">
        <f>IFERROR(_xlfn.XLOOKUP($AH9,'BuffValue&lt;Child&gt;'!$A:$A,'BuffValue&lt;Child&gt;'!$K:$K),0)</f>
        <v>30000</v>
      </c>
      <c r="AW9" s="43" t="str">
        <f>IFERROR(_xlfn.XLOOKUP(AL9,Target!$A:$A,Target!$B:$B),"None")</f>
        <v>None</v>
      </c>
      <c r="AX9" s="43" t="str">
        <f>IFERROR(_xlfn.XLOOKUP($AM9,'BuffValue&lt;Child&gt;'!$A:$A,'BuffValue&lt;Child&gt;'!$F:$F),"None")</f>
        <v>None</v>
      </c>
      <c r="AY9" s="43">
        <f>IFERROR(_xlfn.XLOOKUP($AM9,#REF!,#REF!),0)</f>
        <v>0</v>
      </c>
    </row>
    <row r="10" spans="1:51" x14ac:dyDescent="0.3">
      <c r="A10" s="1">
        <f>INT(4&amp;MID(_xlfn.XLOOKUP(B10,[2]Timeline!$B:$B,[2]Timeline!$A:$A),2,5)&amp;1)</f>
        <v>4304171</v>
      </c>
      <c r="B10" s="7" t="s">
        <v>145</v>
      </c>
      <c r="C10" s="7" t="s">
        <v>122</v>
      </c>
      <c r="D10" s="7" t="s">
        <v>542</v>
      </c>
      <c r="E10" s="1" t="str">
        <f t="shared" si="0"/>
        <v>skill_name_4304171</v>
      </c>
      <c r="F10" s="1" t="s">
        <v>117</v>
      </c>
      <c r="G10" s="1" t="s">
        <v>481</v>
      </c>
      <c r="H10" s="1" t="str">
        <f t="shared" si="1"/>
        <v>skill_desc_4304171</v>
      </c>
      <c r="I10" s="1" t="s">
        <v>205</v>
      </c>
      <c r="J10" s="1" t="s">
        <v>366</v>
      </c>
      <c r="K10" s="1" t="s">
        <v>205</v>
      </c>
      <c r="L10" s="1" t="s">
        <v>365</v>
      </c>
      <c r="M10" s="1" t="str">
        <f>_xlfn.XLOOKUP(B10,'[2]Detail&lt;Child&gt;'!$B:$B,'[2]Detail&lt;Child&gt;'!$M:$M)</f>
        <v>Fire</v>
      </c>
      <c r="N10" s="1" t="str">
        <f>_xlfn.XLOOKUP(B10,'[2]Detail&lt;Child&gt;'!$B:$B,'[2]Detail&lt;Child&gt;'!$N:$N)</f>
        <v>Attacker</v>
      </c>
      <c r="O10" s="1" t="s">
        <v>167</v>
      </c>
      <c r="P10" s="33">
        <v>0</v>
      </c>
      <c r="Q10" s="68" t="str" cm="1">
        <f t="array" ref="Q10">_xlfn.IFS(R10="Move","Move",R10="NonTargetMove","Move",R10="Static","Stand",R10="None","Stand")</f>
        <v>Stand</v>
      </c>
      <c r="R10" s="1" t="s">
        <v>136</v>
      </c>
      <c r="S10" s="1">
        <v>0</v>
      </c>
      <c r="T10" s="2" t="str">
        <f t="shared" si="3"/>
        <v>Immediately</v>
      </c>
      <c r="U10" s="2" t="str" cm="1">
        <f t="array" ref="U10">_xlfn.IFS(T10="SignalHIt","TurnEnd",T10="AttackBegin","TurnEnd",T10="AttackEnd","TurnEnd",T10="Immediately","Applied",T10="None","None")</f>
        <v>Applied</v>
      </c>
      <c r="V10" s="2">
        <v>0</v>
      </c>
      <c r="W10" s="1">
        <v>0</v>
      </c>
      <c r="X10" s="8">
        <v>0</v>
      </c>
      <c r="Y10" s="1" t="str">
        <f t="shared" si="4"/>
        <v>Immediately</v>
      </c>
      <c r="Z10" s="2" t="str" cm="1">
        <f t="array" ref="Z10">_xlfn.IFS(Y10="SignalHIt","TurnEnd",Y10="AttackBegin","TurnEnd",Y10="AttackEnd","TurnEnd",Y10="Immediately","Applied",Y10="None","None")</f>
        <v>Applied</v>
      </c>
      <c r="AA10" s="2">
        <v>0</v>
      </c>
      <c r="AB10" s="1">
        <v>0</v>
      </c>
      <c r="AC10" s="8">
        <v>0</v>
      </c>
      <c r="AD10" s="2" t="str">
        <f t="shared" si="5"/>
        <v>Immediately</v>
      </c>
      <c r="AE10" s="2" t="str" cm="1">
        <f t="array" ref="AE10">_xlfn.IFS(AD10="SignalHIt","TurnEnd",AD10="AttackBegin","TurnEnd",AD10="AttackEnd","TurnEnd",AD10="Immediately","Applied",AD10="None","None")</f>
        <v>Applied</v>
      </c>
      <c r="AF10" s="2">
        <v>0</v>
      </c>
      <c r="AG10" s="1">
        <v>0</v>
      </c>
      <c r="AH10" s="8">
        <v>0</v>
      </c>
      <c r="AI10" s="2" t="str">
        <f t="shared" si="6"/>
        <v>Immediately</v>
      </c>
      <c r="AJ10" s="2" t="str" cm="1">
        <f t="array" ref="AJ10">_xlfn.IFS(AI10="SignalHIt","TurnEnd",AI10="AttackBegin","TurnEnd",AI10="AttackEnd","TurnEnd",AI10="Immediately","Applied",AI10="None","None")</f>
        <v>Applied</v>
      </c>
      <c r="AK10" s="2">
        <v>0</v>
      </c>
      <c r="AL10" s="8">
        <v>0</v>
      </c>
      <c r="AM10" s="48">
        <v>0</v>
      </c>
      <c r="AN10" s="45" t="str">
        <f>IFERROR(_xlfn.XLOOKUP(W10,Target!$A:$A,Target!$B:$B),"None")</f>
        <v>None</v>
      </c>
      <c r="AO10" s="43" t="str">
        <f>IFERROR(_xlfn.XLOOKUP($X10,'BuffValue&lt;Child&gt;'!$A:$A,'BuffValue&lt;Child&gt;'!$F:$F),"None")</f>
        <v>None</v>
      </c>
      <c r="AP10" s="43">
        <f>IFERROR(_xlfn.XLOOKUP($X10,'BuffValue&lt;Child&gt;'!$A:$A,'BuffValue&lt;Child&gt;'!$K:$K),0)</f>
        <v>0</v>
      </c>
      <c r="AQ10" s="43" t="str">
        <f>IFERROR(_xlfn.XLOOKUP(AB10,Target!$A:$A,Target!$B:$B),"None")</f>
        <v>None</v>
      </c>
      <c r="AR10" s="45" t="str">
        <f>IFERROR(_xlfn.XLOOKUP($AC10,'BuffValue&lt;Child&gt;'!$A:$A,'BuffValue&lt;Child&gt;'!$F:$F),"None")</f>
        <v>None</v>
      </c>
      <c r="AS10" s="45">
        <f>IFERROR(_xlfn.XLOOKUP($AC10,'BuffValue&lt;Child&gt;'!$A:$A,'BuffValue&lt;Child&gt;'!$K:$K),0)</f>
        <v>0</v>
      </c>
      <c r="AT10" s="43" t="str">
        <f>IFERROR(_xlfn.XLOOKUP(AG10,Target!$A:$A,Target!$B:$B),"None")</f>
        <v>None</v>
      </c>
      <c r="AU10" s="43" t="str">
        <f>IFERROR(_xlfn.XLOOKUP($AH10,'BuffValue&lt;Child&gt;'!$A:$A,'BuffValue&lt;Child&gt;'!$F:$F),"None")</f>
        <v>None</v>
      </c>
      <c r="AV10" s="43">
        <f>IFERROR(_xlfn.XLOOKUP($AH10,'BuffValue&lt;Child&gt;'!$A:$A,'BuffValue&lt;Child&gt;'!$K:$K),0)</f>
        <v>0</v>
      </c>
      <c r="AW10" s="43" t="str">
        <f>IFERROR(_xlfn.XLOOKUP(AL10,Target!$A:$A,Target!$B:$B),"None")</f>
        <v>None</v>
      </c>
      <c r="AX10" s="43" t="str">
        <f>IFERROR(_xlfn.XLOOKUP($AM10,'BuffValue&lt;Child&gt;'!$A:$A,'BuffValue&lt;Child&gt;'!$F:$F),"None")</f>
        <v>None</v>
      </c>
      <c r="AY10" s="43">
        <f>IFERROR(_xlfn.XLOOKUP($AM10,#REF!,#REF!),0)</f>
        <v>0</v>
      </c>
    </row>
    <row r="11" spans="1:51" x14ac:dyDescent="0.3">
      <c r="A11" s="1">
        <f>INT(4&amp;MID(_xlfn.XLOOKUP(B11,[2]Timeline!$B:$B,[2]Timeline!$A:$A),2,5)&amp;2)</f>
        <v>4304172</v>
      </c>
      <c r="B11" s="7" t="s">
        <v>145</v>
      </c>
      <c r="C11" s="7" t="s">
        <v>122</v>
      </c>
      <c r="D11" s="7" t="s">
        <v>542</v>
      </c>
      <c r="E11" s="1" t="str">
        <f t="shared" si="0"/>
        <v>skill_name_4304172</v>
      </c>
      <c r="F11" s="1" t="s">
        <v>117</v>
      </c>
      <c r="G11" s="1" t="s">
        <v>481</v>
      </c>
      <c r="H11" s="1" t="str">
        <f t="shared" si="1"/>
        <v>skill_desc_4304172</v>
      </c>
      <c r="I11" s="1" t="s">
        <v>205</v>
      </c>
      <c r="J11" s="1" t="s">
        <v>366</v>
      </c>
      <c r="K11" s="1" t="s">
        <v>205</v>
      </c>
      <c r="L11" s="1" t="s">
        <v>365</v>
      </c>
      <c r="M11" s="1" t="str">
        <f>_xlfn.XLOOKUP(B11,'[2]Detail&lt;Child&gt;'!$B:$B,'[2]Detail&lt;Child&gt;'!$M:$M)</f>
        <v>Fire</v>
      </c>
      <c r="N11" s="1" t="str">
        <f>_xlfn.XLOOKUP(B11,'[2]Detail&lt;Child&gt;'!$B:$B,'[2]Detail&lt;Child&gt;'!$N:$N)</f>
        <v>Attacker</v>
      </c>
      <c r="O11" s="1" t="s">
        <v>167</v>
      </c>
      <c r="P11" s="33">
        <v>0</v>
      </c>
      <c r="Q11" s="68" t="str" cm="1">
        <f t="array" ref="Q11">_xlfn.IFS(R11="Move","Move",R11="NonTargetMove","Move",R11="Static","Stand",R11="None","Stand")</f>
        <v>Stand</v>
      </c>
      <c r="R11" s="1" t="s">
        <v>136</v>
      </c>
      <c r="S11" s="1">
        <f>IF(R11="Static",0,1)</f>
        <v>0</v>
      </c>
      <c r="T11" s="2" t="str">
        <f t="shared" si="3"/>
        <v>Immediately</v>
      </c>
      <c r="U11" s="2" t="str" cm="1">
        <f t="array" ref="U11">_xlfn.IFS(T11="SignalHIt","TurnEnd",T11="AttackBegin","TurnEnd",T11="AttackEnd","TurnEnd",T11="Immediately","Applied",T11="None","None")</f>
        <v>Applied</v>
      </c>
      <c r="V11" s="2">
        <v>0</v>
      </c>
      <c r="W11" s="1">
        <v>0</v>
      </c>
      <c r="X11" s="8">
        <v>0</v>
      </c>
      <c r="Y11" s="1" t="str">
        <f t="shared" si="4"/>
        <v>Immediately</v>
      </c>
      <c r="Z11" s="2" t="str" cm="1">
        <f t="array" ref="Z11">_xlfn.IFS(Y11="SignalHIt","TurnEnd",Y11="AttackBegin","TurnEnd",Y11="AttackEnd","TurnEnd",Y11="Immediately","Applied",Y11="None","None")</f>
        <v>Applied</v>
      </c>
      <c r="AA11" s="2">
        <v>0</v>
      </c>
      <c r="AB11" s="1">
        <v>0</v>
      </c>
      <c r="AC11" s="8">
        <v>0</v>
      </c>
      <c r="AD11" s="2" t="str">
        <f t="shared" si="5"/>
        <v>Immediately</v>
      </c>
      <c r="AE11" s="2" t="str" cm="1">
        <f t="array" ref="AE11">_xlfn.IFS(AD11="SignalHIt","TurnEnd",AD11="AttackBegin","TurnEnd",AD11="AttackEnd","TurnEnd",AD11="Immediately","Applied",AD11="None","None")</f>
        <v>Applied</v>
      </c>
      <c r="AF11" s="2">
        <v>0</v>
      </c>
      <c r="AG11" s="1">
        <v>0</v>
      </c>
      <c r="AH11" s="8">
        <v>0</v>
      </c>
      <c r="AI11" s="2" t="str">
        <f t="shared" si="6"/>
        <v>Immediately</v>
      </c>
      <c r="AJ11" s="2" t="str" cm="1">
        <f t="array" ref="AJ11">_xlfn.IFS(AI11="SignalHIt","TurnEnd",AI11="AttackBegin","TurnEnd",AI11="AttackEnd","TurnEnd",AI11="Immediately","Applied",AI11="None","None")</f>
        <v>Applied</v>
      </c>
      <c r="AK11" s="2">
        <v>0</v>
      </c>
      <c r="AL11" s="8">
        <v>0</v>
      </c>
      <c r="AM11" s="48">
        <v>0</v>
      </c>
      <c r="AN11" s="45" t="str">
        <f>IFERROR(_xlfn.XLOOKUP(W11,Target!$A:$A,Target!$B:$B),"None")</f>
        <v>None</v>
      </c>
      <c r="AO11" s="43" t="str">
        <f>IFERROR(_xlfn.XLOOKUP($X11,'BuffValue&lt;Child&gt;'!$A:$A,'BuffValue&lt;Child&gt;'!$F:$F),"None")</f>
        <v>None</v>
      </c>
      <c r="AP11" s="43">
        <f>IFERROR(_xlfn.XLOOKUP($X11,'BuffValue&lt;Child&gt;'!$A:$A,'BuffValue&lt;Child&gt;'!$K:$K),0)</f>
        <v>0</v>
      </c>
      <c r="AQ11" s="43" t="str">
        <f>IFERROR(_xlfn.XLOOKUP(AB11,Target!$A:$A,Target!$B:$B),"None")</f>
        <v>None</v>
      </c>
      <c r="AR11" s="45" t="str">
        <f>IFERROR(_xlfn.XLOOKUP($AC11,'BuffValue&lt;Child&gt;'!$A:$A,'BuffValue&lt;Child&gt;'!$F:$F),"None")</f>
        <v>None</v>
      </c>
      <c r="AS11" s="45">
        <f>IFERROR(_xlfn.XLOOKUP($AC11,'BuffValue&lt;Child&gt;'!$A:$A,'BuffValue&lt;Child&gt;'!$K:$K),0)</f>
        <v>0</v>
      </c>
      <c r="AT11" s="43" t="str">
        <f>IFERROR(_xlfn.XLOOKUP(AG11,Target!$A:$A,Target!$B:$B),"None")</f>
        <v>None</v>
      </c>
      <c r="AU11" s="43" t="str">
        <f>IFERROR(_xlfn.XLOOKUP($AH11,'BuffValue&lt;Child&gt;'!$A:$A,'BuffValue&lt;Child&gt;'!$F:$F),"None")</f>
        <v>None</v>
      </c>
      <c r="AV11" s="43">
        <f>IFERROR(_xlfn.XLOOKUP($AH11,'BuffValue&lt;Child&gt;'!$A:$A,'BuffValue&lt;Child&gt;'!$K:$K),0)</f>
        <v>0</v>
      </c>
      <c r="AW11" s="43" t="str">
        <f>IFERROR(_xlfn.XLOOKUP(AL11,Target!$A:$A,Target!$B:$B),"None")</f>
        <v>None</v>
      </c>
      <c r="AX11" s="43" t="str">
        <f>IFERROR(_xlfn.XLOOKUP($AM11,'BuffValue&lt;Child&gt;'!$A:$A,'BuffValue&lt;Child&gt;'!$F:$F),"None")</f>
        <v>None</v>
      </c>
      <c r="AY11" s="43">
        <f>IFERROR(_xlfn.XLOOKUP($AM11,#REF!,#REF!),0)</f>
        <v>0</v>
      </c>
    </row>
    <row r="12" spans="1:51" s="11" customFormat="1" x14ac:dyDescent="0.3">
      <c r="A12" s="11">
        <f>INT(1&amp;MID(_xlfn.XLOOKUP(B12,[2]Timeline!$B:$B,[2]Timeline!$A:$A),2,5)&amp;1)</f>
        <v>1305251</v>
      </c>
      <c r="B12" s="12" t="s">
        <v>204</v>
      </c>
      <c r="C12" s="12" t="s">
        <v>309</v>
      </c>
      <c r="D12" s="12" t="s">
        <v>341</v>
      </c>
      <c r="E12" s="11" t="str">
        <f t="shared" si="0"/>
        <v>skill_name_1305251</v>
      </c>
      <c r="F12" s="11" t="s">
        <v>117</v>
      </c>
      <c r="G12" s="11" t="s">
        <v>453</v>
      </c>
      <c r="H12" s="11" t="str">
        <f t="shared" si="1"/>
        <v>skill_desc_1305251</v>
      </c>
      <c r="I12" s="11" t="s">
        <v>205</v>
      </c>
      <c r="J12" s="11" t="str">
        <f>IFERROR(_xlfn.XLOOKUP(W12,Target!A:A,Target!J:J),"")</f>
        <v>Skill_Target_Icon_Enemy_Near_One</v>
      </c>
      <c r="K12" s="11" t="s">
        <v>205</v>
      </c>
      <c r="L12" s="11" t="str">
        <f>IFERROR(_xlfn.XLOOKUP(W12,Target!A:A,Target!K:K),"")</f>
        <v>Skill_Area_Icon_Pivot_Centor</v>
      </c>
      <c r="M12" s="11" t="str">
        <f>_xlfn.XLOOKUP(B12,'[2]Detail&lt;Child&gt;'!$B:$B,'[2]Detail&lt;Child&gt;'!$M:$M)</f>
        <v>Forest</v>
      </c>
      <c r="N12" s="11" t="str">
        <f>_xlfn.XLOOKUP(B12,'[2]Detail&lt;Child&gt;'!$B:$B,'[2]Detail&lt;Child&gt;'!$N:$N)</f>
        <v>Healer</v>
      </c>
      <c r="O12" s="11" t="s">
        <v>30</v>
      </c>
      <c r="P12" s="34">
        <v>0</v>
      </c>
      <c r="Q12" s="69" t="str" cm="1">
        <f t="array" ref="Q12">_xlfn.IFS(R12="Move","Move",R12="NonTargetMove","Move",R12="Static","Stand",R12="None","Stand")</f>
        <v>Stand</v>
      </c>
      <c r="R12" s="11" t="s">
        <v>136</v>
      </c>
      <c r="S12" s="11">
        <f>IF(R12="Static",0,1)</f>
        <v>0</v>
      </c>
      <c r="T12" s="15" t="str">
        <f t="shared" si="3"/>
        <v>SignalHit</v>
      </c>
      <c r="U12" s="15" t="str" cm="1">
        <f t="array" ref="U12">_xlfn.IFS(T12="SignalHIt","TurnEnd",T12="AttackBegin","TurnEnd",T12="AttackEnd","TurnEnd",T12="Immediately","Applied",T12="None","None")</f>
        <v>TurnEnd</v>
      </c>
      <c r="V12" s="15">
        <v>0</v>
      </c>
      <c r="W12" s="11">
        <v>2000011</v>
      </c>
      <c r="X12" s="10">
        <f>INT(A12&amp;1)</f>
        <v>13052511</v>
      </c>
      <c r="Y12" s="11" t="str">
        <f t="shared" si="4"/>
        <v>Immediately</v>
      </c>
      <c r="Z12" s="15" t="str" cm="1">
        <f t="array" ref="Z12">_xlfn.IFS(Y12="SignalHIt","TurnEnd",Y12="AttackBegin","TurnEnd",Y12="AttackEnd","TurnEnd",Y12="Immediately","Applied",Y12="None","None")</f>
        <v>Applied</v>
      </c>
      <c r="AA12" s="15">
        <v>0</v>
      </c>
      <c r="AB12" s="11">
        <v>0</v>
      </c>
      <c r="AC12" s="10">
        <v>0</v>
      </c>
      <c r="AD12" s="15" t="str">
        <f t="shared" si="5"/>
        <v>Immediately</v>
      </c>
      <c r="AE12" s="15" t="str" cm="1">
        <f t="array" ref="AE12">_xlfn.IFS(AD12="SignalHIt","TurnEnd",AD12="AttackBegin","TurnEnd",AD12="AttackEnd","TurnEnd",AD12="Immediately","Applied",AD12="None","None")</f>
        <v>Applied</v>
      </c>
      <c r="AF12" s="15">
        <v>0</v>
      </c>
      <c r="AG12" s="11">
        <v>0</v>
      </c>
      <c r="AH12" s="10">
        <v>0</v>
      </c>
      <c r="AI12" s="15" t="str">
        <f t="shared" si="6"/>
        <v>Immediately</v>
      </c>
      <c r="AJ12" s="15" t="str" cm="1">
        <f t="array" ref="AJ12">_xlfn.IFS(AI12="SignalHIt","TurnEnd",AI12="AttackBegin","TurnEnd",AI12="AttackEnd","TurnEnd",AI12="Immediately","Applied",AI12="None","None")</f>
        <v>Applied</v>
      </c>
      <c r="AK12" s="15">
        <v>0</v>
      </c>
      <c r="AL12" s="10">
        <v>0</v>
      </c>
      <c r="AM12" s="50">
        <v>0</v>
      </c>
      <c r="AN12" s="46" t="str">
        <f>IFERROR(_xlfn.XLOOKUP(W12,Target!$A:$A,Target!$B:$B),"None")</f>
        <v xml:space="preserve">가까운 적 1명 </v>
      </c>
      <c r="AO12" s="47" t="str">
        <f>IFERROR(_xlfn.XLOOKUP($X12,'BuffValue&lt;Child&gt;'!$A:$A,'BuffValue&lt;Child&gt;'!$F:$F),"None")</f>
        <v>공용 대미지</v>
      </c>
      <c r="AP12" s="47">
        <f>IFERROR(_xlfn.XLOOKUP($X12,'BuffValue&lt;Child&gt;'!$A:$A,'BuffValue&lt;Child&gt;'!$K:$K),0)</f>
        <v>170000</v>
      </c>
      <c r="AQ12" s="47" t="str">
        <f>IFERROR(_xlfn.XLOOKUP(AB12,Target!$A:$A,Target!$B:$B),"None")</f>
        <v>None</v>
      </c>
      <c r="AR12" s="46" t="str">
        <f>IFERROR(_xlfn.XLOOKUP($AC12,'BuffValue&lt;Child&gt;'!$A:$A,'BuffValue&lt;Child&gt;'!$F:$F),"None")</f>
        <v>None</v>
      </c>
      <c r="AS12" s="46">
        <f>IFERROR(_xlfn.XLOOKUP($AC12,'BuffValue&lt;Child&gt;'!$A:$A,'BuffValue&lt;Child&gt;'!$K:$K),0)</f>
        <v>0</v>
      </c>
      <c r="AT12" s="47" t="str">
        <f>IFERROR(_xlfn.XLOOKUP(AG12,Target!$A:$A,Target!$B:$B),"None")</f>
        <v>None</v>
      </c>
      <c r="AU12" s="47" t="str">
        <f>IFERROR(_xlfn.XLOOKUP($AH12,'BuffValue&lt;Child&gt;'!$A:$A,'BuffValue&lt;Child&gt;'!$F:$F),"None")</f>
        <v>None</v>
      </c>
      <c r="AV12" s="47">
        <f>IFERROR(_xlfn.XLOOKUP($AH12,'BuffValue&lt;Child&gt;'!$A:$A,'BuffValue&lt;Child&gt;'!$K:$K),0)</f>
        <v>0</v>
      </c>
      <c r="AW12" s="47" t="str">
        <f>IFERROR(_xlfn.XLOOKUP(AL12,Target!$A:$A,Target!$B:$B),"None")</f>
        <v>None</v>
      </c>
      <c r="AX12" s="47" t="str">
        <f>IFERROR(_xlfn.XLOOKUP($AM12,'BuffValue&lt;Child&gt;'!$A:$A,'BuffValue&lt;Child&gt;'!$F:$F),"None")</f>
        <v>None</v>
      </c>
      <c r="AY12" s="47">
        <f>IFERROR(_xlfn.XLOOKUP($AM12,#REF!,#REF!),0)</f>
        <v>0</v>
      </c>
    </row>
    <row r="13" spans="1:51" x14ac:dyDescent="0.3">
      <c r="A13" s="1">
        <f>INT(2&amp;MID(_xlfn.XLOOKUP(B13,[2]Timeline!$B:$B,[2]Timeline!$A:$A),2,5)&amp;1)</f>
        <v>2305251</v>
      </c>
      <c r="B13" s="7" t="s">
        <v>162</v>
      </c>
      <c r="C13" s="7" t="s">
        <v>310</v>
      </c>
      <c r="D13" s="7" t="s">
        <v>543</v>
      </c>
      <c r="E13" s="1" t="str">
        <f t="shared" si="0"/>
        <v>skill_name_2305251</v>
      </c>
      <c r="F13" s="1" t="s">
        <v>117</v>
      </c>
      <c r="G13" s="1" t="s">
        <v>452</v>
      </c>
      <c r="H13" s="1" t="str">
        <f t="shared" si="1"/>
        <v>skill_desc_2305251</v>
      </c>
      <c r="I13" s="1" t="s">
        <v>205</v>
      </c>
      <c r="J13" s="1" t="str">
        <f>IFERROR(_xlfn.XLOOKUP(W13,Target!A:A,Target!J:J),"")</f>
        <v>Skill_Target_Icon_Ally_LowHp_One</v>
      </c>
      <c r="K13" s="1" t="s">
        <v>205</v>
      </c>
      <c r="L13" s="1" t="str">
        <f>IFERROR(_xlfn.XLOOKUP(W13,Target!A:A,Target!K:K),"")</f>
        <v>Skill_Area_Icon_Pivot_Centor</v>
      </c>
      <c r="M13" s="1" t="str">
        <f>_xlfn.XLOOKUP(B13,'[2]Detail&lt;Child&gt;'!$B:$B,'[2]Detail&lt;Child&gt;'!$M:$M)</f>
        <v>Forest</v>
      </c>
      <c r="N13" s="1" t="str">
        <f>_xlfn.XLOOKUP(B13,'[2]Detail&lt;Child&gt;'!$B:$B,'[2]Detail&lt;Child&gt;'!$N:$N)</f>
        <v>Healer</v>
      </c>
      <c r="O13" s="1" t="s">
        <v>33</v>
      </c>
      <c r="P13" s="33">
        <v>3</v>
      </c>
      <c r="Q13" s="68" t="s">
        <v>496</v>
      </c>
      <c r="R13" s="1" t="s">
        <v>136</v>
      </c>
      <c r="S13" s="1">
        <f>IF(R13="Static",0,1)</f>
        <v>0</v>
      </c>
      <c r="T13" s="2" t="str">
        <f t="shared" si="3"/>
        <v>SignalHit</v>
      </c>
      <c r="U13" s="2" t="str" cm="1">
        <f t="array" ref="U13">_xlfn.IFS(T13="SignalHIt","TurnEnd",T13="AttackBegin","TurnEnd",T13="AttackEnd","TurnEnd",T13="Immediately","Applied",T13="None","None")</f>
        <v>TurnEnd</v>
      </c>
      <c r="V13" s="2">
        <v>0</v>
      </c>
      <c r="W13" s="1">
        <v>1000102</v>
      </c>
      <c r="X13" s="8">
        <f>INT(A13&amp;1)</f>
        <v>23052511</v>
      </c>
      <c r="Y13" s="1" t="str">
        <f t="shared" si="4"/>
        <v>Immediately</v>
      </c>
      <c r="Z13" s="2" t="str" cm="1">
        <f t="array" ref="Z13">_xlfn.IFS(Y13="SignalHIt","TurnEnd",Y13="AttackBegin","TurnEnd",Y13="AttackEnd","TurnEnd",Y13="Immediately","Applied",Y13="None","None")</f>
        <v>Applied</v>
      </c>
      <c r="AA13" s="2">
        <v>0</v>
      </c>
      <c r="AB13" s="1">
        <v>0</v>
      </c>
      <c r="AC13" s="8">
        <v>0</v>
      </c>
      <c r="AD13" s="2" t="str">
        <f t="shared" si="5"/>
        <v>Immediately</v>
      </c>
      <c r="AE13" s="2" t="str" cm="1">
        <f t="array" ref="AE13">_xlfn.IFS(AD13="SignalHIt","TurnEnd",AD13="AttackBegin","TurnEnd",AD13="AttackEnd","TurnEnd",AD13="Immediately","Applied",AD13="None","None")</f>
        <v>Applied</v>
      </c>
      <c r="AF13" s="2">
        <v>0</v>
      </c>
      <c r="AG13" s="1">
        <v>0</v>
      </c>
      <c r="AH13" s="8">
        <v>0</v>
      </c>
      <c r="AI13" s="2" t="str">
        <f t="shared" si="6"/>
        <v>Immediately</v>
      </c>
      <c r="AJ13" s="2" t="str" cm="1">
        <f t="array" ref="AJ13">_xlfn.IFS(AI13="SignalHIt","TurnEnd",AI13="AttackBegin","TurnEnd",AI13="AttackEnd","TurnEnd",AI13="Immediately","Applied",AI13="None","None")</f>
        <v>Applied</v>
      </c>
      <c r="AK13" s="2">
        <v>0</v>
      </c>
      <c r="AL13" s="8">
        <v>0</v>
      </c>
      <c r="AM13" s="48">
        <v>0</v>
      </c>
      <c r="AN13" s="45" t="str">
        <f>IFERROR(_xlfn.XLOOKUP(W13,Target!$A:$A,Target!$B:$B),"None")</f>
        <v xml:space="preserve">체력 낮은 아군 2명 </v>
      </c>
      <c r="AO13" s="43" t="str">
        <f>IFERROR(_xlfn.XLOOKUP($X13,'BuffValue&lt;Child&gt;'!$A:$A,'BuffValue&lt;Child&gt;'!$F:$F),"None")</f>
        <v>지속 회복</v>
      </c>
      <c r="AP13" s="43">
        <f>IFERROR(_xlfn.XLOOKUP($X13,'BuffValue&lt;Child&gt;'!$A:$A,'BuffValue&lt;Child&gt;'!$K:$K),0)</f>
        <v>100000</v>
      </c>
      <c r="AQ13" s="43" t="str">
        <f>IFERROR(_xlfn.XLOOKUP(AB13,Target!$A:$A,Target!$B:$B),"None")</f>
        <v>None</v>
      </c>
      <c r="AR13" s="45" t="str">
        <f>IFERROR(_xlfn.XLOOKUP($AC13,'BuffValue&lt;Child&gt;'!$A:$A,'BuffValue&lt;Child&gt;'!$F:$F),"None")</f>
        <v>None</v>
      </c>
      <c r="AS13" s="45">
        <f>IFERROR(_xlfn.XLOOKUP($AC13,'BuffValue&lt;Child&gt;'!$A:$A,'BuffValue&lt;Child&gt;'!$K:$K),0)</f>
        <v>0</v>
      </c>
      <c r="AT13" s="43" t="str">
        <f>IFERROR(_xlfn.XLOOKUP(AG13,Target!$A:$A,Target!$B:$B),"None")</f>
        <v>None</v>
      </c>
      <c r="AU13" s="43" t="str">
        <f>IFERROR(_xlfn.XLOOKUP($AH13,'BuffValue&lt;Child&gt;'!$A:$A,'BuffValue&lt;Child&gt;'!$F:$F),"None")</f>
        <v>None</v>
      </c>
      <c r="AV13" s="43">
        <f>IFERROR(_xlfn.XLOOKUP($AH13,'BuffValue&lt;Child&gt;'!$A:$A,'BuffValue&lt;Child&gt;'!$K:$K),0)</f>
        <v>0</v>
      </c>
      <c r="AW13" s="43" t="str">
        <f>IFERROR(_xlfn.XLOOKUP(AL13,Target!$A:$A,Target!$B:$B),"None")</f>
        <v>None</v>
      </c>
      <c r="AX13" s="43" t="str">
        <f>IFERROR(_xlfn.XLOOKUP($AM13,'BuffValue&lt;Child&gt;'!$A:$A,'BuffValue&lt;Child&gt;'!$F:$F),"None")</f>
        <v>None</v>
      </c>
      <c r="AY13" s="43">
        <f>IFERROR(_xlfn.XLOOKUP($AM13,#REF!,#REF!),0)</f>
        <v>0</v>
      </c>
    </row>
    <row r="14" spans="1:51" x14ac:dyDescent="0.3">
      <c r="A14" s="1">
        <f>INT(2&amp;MID(_xlfn.XLOOKUP(B14,[2]Timeline!$B:$B,[2]Timeline!$A:$A),2,5)&amp;2)</f>
        <v>2305252</v>
      </c>
      <c r="B14" s="7" t="s">
        <v>162</v>
      </c>
      <c r="C14" s="7" t="s">
        <v>310</v>
      </c>
      <c r="D14" s="7" t="s">
        <v>543</v>
      </c>
      <c r="E14" s="1" t="str">
        <f t="shared" si="0"/>
        <v>skill_name_2305252</v>
      </c>
      <c r="F14" s="1" t="s">
        <v>117</v>
      </c>
      <c r="G14" s="1" t="s">
        <v>452</v>
      </c>
      <c r="H14" s="1" t="str">
        <f t="shared" si="1"/>
        <v>skill_desc_2305252</v>
      </c>
      <c r="I14" s="1" t="s">
        <v>205</v>
      </c>
      <c r="J14" s="1" t="str">
        <f>IFERROR(_xlfn.XLOOKUP(W14,Target!A:A,Target!J:J),"")</f>
        <v>Skill_Target_Icon_Ally_LowHp_One</v>
      </c>
      <c r="K14" s="1" t="s">
        <v>205</v>
      </c>
      <c r="L14" s="1" t="str">
        <f>IFERROR(_xlfn.XLOOKUP(W14,Target!A:A,Target!K:K),"")</f>
        <v>Skill_Area_Icon_Pivot_Centor</v>
      </c>
      <c r="M14" s="1" t="str">
        <f>_xlfn.XLOOKUP(B14,'[2]Detail&lt;Child&gt;'!$B:$B,'[2]Detail&lt;Child&gt;'!$M:$M)</f>
        <v>Forest</v>
      </c>
      <c r="N14" s="1" t="str">
        <f>_xlfn.XLOOKUP(B14,'[2]Detail&lt;Child&gt;'!$B:$B,'[2]Detail&lt;Child&gt;'!$N:$N)</f>
        <v>Healer</v>
      </c>
      <c r="O14" s="1" t="s">
        <v>33</v>
      </c>
      <c r="P14" s="33">
        <v>2</v>
      </c>
      <c r="Q14" s="68" t="s">
        <v>137</v>
      </c>
      <c r="R14" s="1" t="s">
        <v>136</v>
      </c>
      <c r="S14" s="1">
        <f>IF(R14="Static",0,1)</f>
        <v>0</v>
      </c>
      <c r="T14" s="2" t="str">
        <f t="shared" si="3"/>
        <v>SignalHit</v>
      </c>
      <c r="U14" s="2" t="str" cm="1">
        <f t="array" ref="U14">_xlfn.IFS(T14="SignalHIt","TurnEnd",T14="AttackBegin","TurnEnd",T14="AttackEnd","TurnEnd",T14="Immediately","Applied",T14="None","None")</f>
        <v>TurnEnd</v>
      </c>
      <c r="V14" s="2">
        <v>0</v>
      </c>
      <c r="W14" s="1">
        <v>1000102</v>
      </c>
      <c r="X14" s="8">
        <f>INT(A14&amp;1)</f>
        <v>23052521</v>
      </c>
      <c r="Y14" s="1" t="str">
        <f t="shared" si="4"/>
        <v>Immediately</v>
      </c>
      <c r="Z14" s="2" t="str" cm="1">
        <f t="array" ref="Z14">_xlfn.IFS(Y14="SignalHIt","TurnEnd",Y14="AttackBegin","TurnEnd",Y14="AttackEnd","TurnEnd",Y14="Immediately","Applied",Y14="None","None")</f>
        <v>Applied</v>
      </c>
      <c r="AA14" s="2">
        <v>0</v>
      </c>
      <c r="AB14" s="1">
        <v>0</v>
      </c>
      <c r="AC14" s="8">
        <v>0</v>
      </c>
      <c r="AD14" s="2" t="str">
        <f t="shared" si="5"/>
        <v>Immediately</v>
      </c>
      <c r="AE14" s="2" t="str" cm="1">
        <f t="array" ref="AE14">_xlfn.IFS(AD14="SignalHIt","TurnEnd",AD14="AttackBegin","TurnEnd",AD14="AttackEnd","TurnEnd",AD14="Immediately","Applied",AD14="None","None")</f>
        <v>Applied</v>
      </c>
      <c r="AF14" s="2">
        <v>0</v>
      </c>
      <c r="AG14" s="1">
        <v>0</v>
      </c>
      <c r="AH14" s="8">
        <v>0</v>
      </c>
      <c r="AI14" s="2" t="str">
        <f t="shared" si="6"/>
        <v>Immediately</v>
      </c>
      <c r="AJ14" s="2" t="str" cm="1">
        <f t="array" ref="AJ14">_xlfn.IFS(AI14="SignalHIt","TurnEnd",AI14="AttackBegin","TurnEnd",AI14="AttackEnd","TurnEnd",AI14="Immediately","Applied",AI14="None","None")</f>
        <v>Applied</v>
      </c>
      <c r="AK14" s="2">
        <v>0</v>
      </c>
      <c r="AL14" s="8">
        <v>0</v>
      </c>
      <c r="AM14" s="48">
        <v>0</v>
      </c>
      <c r="AN14" s="45" t="str">
        <f>IFERROR(_xlfn.XLOOKUP(W14,Target!$A:$A,Target!$B:$B),"None")</f>
        <v xml:space="preserve">체력 낮은 아군 2명 </v>
      </c>
      <c r="AO14" s="43" t="str">
        <f>IFERROR(_xlfn.XLOOKUP($X14,'BuffValue&lt;Child&gt;'!$A:$A,'BuffValue&lt;Child&gt;'!$F:$F),"None")</f>
        <v>지속 회복</v>
      </c>
      <c r="AP14" s="43">
        <f>IFERROR(_xlfn.XLOOKUP($X14,'BuffValue&lt;Child&gt;'!$A:$A,'BuffValue&lt;Child&gt;'!$K:$K),0)</f>
        <v>100000</v>
      </c>
      <c r="AQ14" s="43" t="str">
        <f>IFERROR(_xlfn.XLOOKUP(AB14,Target!$A:$A,Target!$B:$B),"None")</f>
        <v>None</v>
      </c>
      <c r="AR14" s="45" t="str">
        <f>IFERROR(_xlfn.XLOOKUP($AC14,'BuffValue&lt;Child&gt;'!$A:$A,'BuffValue&lt;Child&gt;'!$F:$F),"None")</f>
        <v>None</v>
      </c>
      <c r="AS14" s="45">
        <f>IFERROR(_xlfn.XLOOKUP($AC14,'BuffValue&lt;Child&gt;'!$A:$A,'BuffValue&lt;Child&gt;'!$K:$K),0)</f>
        <v>0</v>
      </c>
      <c r="AT14" s="43" t="str">
        <f>IFERROR(_xlfn.XLOOKUP(AG14,Target!$A:$A,Target!$B:$B),"None")</f>
        <v>None</v>
      </c>
      <c r="AU14" s="43" t="str">
        <f>IFERROR(_xlfn.XLOOKUP($AH14,'BuffValue&lt;Child&gt;'!$A:$A,'BuffValue&lt;Child&gt;'!$F:$F),"None")</f>
        <v>None</v>
      </c>
      <c r="AV14" s="43">
        <f>IFERROR(_xlfn.XLOOKUP($AH14,'BuffValue&lt;Child&gt;'!$A:$A,'BuffValue&lt;Child&gt;'!$K:$K),0)</f>
        <v>0</v>
      </c>
      <c r="AW14" s="43" t="str">
        <f>IFERROR(_xlfn.XLOOKUP(AL14,Target!$A:$A,Target!$B:$B),"None")</f>
        <v>None</v>
      </c>
      <c r="AX14" s="43" t="str">
        <f>IFERROR(_xlfn.XLOOKUP($AM14,'BuffValue&lt;Child&gt;'!$A:$A,'BuffValue&lt;Child&gt;'!$F:$F),"None")</f>
        <v>None</v>
      </c>
      <c r="AY14" s="43">
        <f>IFERROR(_xlfn.XLOOKUP($AM14,#REF!,#REF!),0)</f>
        <v>0</v>
      </c>
    </row>
    <row r="15" spans="1:51" x14ac:dyDescent="0.3">
      <c r="A15" s="1">
        <f>INT(3&amp;MID(_xlfn.XLOOKUP(B15,[2]Timeline!$B:$B,[2]Timeline!$A:$A),2,5)&amp;1)</f>
        <v>3305251</v>
      </c>
      <c r="B15" s="7" t="s">
        <v>162</v>
      </c>
      <c r="C15" s="7" t="s">
        <v>311</v>
      </c>
      <c r="D15" s="7" t="s">
        <v>538</v>
      </c>
      <c r="E15" s="1" t="str">
        <f t="shared" si="0"/>
        <v>skill_name_3305251</v>
      </c>
      <c r="F15" s="1" t="s">
        <v>117</v>
      </c>
      <c r="G15" s="1" t="s">
        <v>387</v>
      </c>
      <c r="H15" s="1" t="str">
        <f t="shared" si="1"/>
        <v>skill_desc_3305251</v>
      </c>
      <c r="I15" s="1" t="s">
        <v>205</v>
      </c>
      <c r="J15" s="1" t="str">
        <f>IFERROR(_xlfn.XLOOKUP(W15,Target!A:A,Target!J:J),"")</f>
        <v>Skill_Target_Icon_Enemy</v>
      </c>
      <c r="K15" s="1" t="s">
        <v>205</v>
      </c>
      <c r="L15" s="1" t="str">
        <f>IFERROR(_xlfn.XLOOKUP(W15,Target!A:A,Target!K:K),"")</f>
        <v>Skill_Area_Icon_NonTarget_All</v>
      </c>
      <c r="M15" s="1" t="str">
        <f>_xlfn.XLOOKUP(B15,'[2]Detail&lt;Child&gt;'!$B:$B,'[2]Detail&lt;Child&gt;'!$M:$M)</f>
        <v>Forest</v>
      </c>
      <c r="N15" s="1" t="str">
        <f>_xlfn.XLOOKUP(B15,'[2]Detail&lt;Child&gt;'!$B:$B,'[2]Detail&lt;Child&gt;'!$N:$N)</f>
        <v>Healer</v>
      </c>
      <c r="O15" s="1" t="s">
        <v>141</v>
      </c>
      <c r="P15" s="33">
        <v>0</v>
      </c>
      <c r="Q15" s="68" t="str" cm="1">
        <f t="array" ref="Q15">_xlfn.IFS(R15="Move","Move",R15="NonTargetMove","Move",R15="Static","Stand",R15="None","Stand")</f>
        <v>Stand</v>
      </c>
      <c r="R15" s="1" t="s">
        <v>136</v>
      </c>
      <c r="S15" s="1">
        <v>0</v>
      </c>
      <c r="T15" s="2" t="str">
        <f t="shared" si="3"/>
        <v>SignalHit</v>
      </c>
      <c r="U15" s="2" t="str" cm="1">
        <f t="array" ref="U15">_xlfn.IFS(T15="SignalHIt","TurnEnd",T15="AttackBegin","TurnEnd",T15="AttackEnd","TurnEnd",T15="Immediately","Applied",T15="None","None")</f>
        <v>TurnEnd</v>
      </c>
      <c r="V15" s="2">
        <v>0</v>
      </c>
      <c r="W15" s="1">
        <v>920001</v>
      </c>
      <c r="X15" s="8">
        <v>33052511</v>
      </c>
      <c r="Y15" s="1" t="str">
        <f t="shared" si="4"/>
        <v>Immediately</v>
      </c>
      <c r="Z15" s="2" t="str" cm="1">
        <f t="array" ref="Z15">_xlfn.IFS(Y15="SignalHIt","TurnEnd",Y15="AttackBegin","TurnEnd",Y15="AttackEnd","TurnEnd",Y15="Immediately","Applied",Y15="None","None")</f>
        <v>Applied</v>
      </c>
      <c r="AA15" s="2">
        <v>0</v>
      </c>
      <c r="AB15" s="1">
        <v>0</v>
      </c>
      <c r="AC15" s="8">
        <v>0</v>
      </c>
      <c r="AD15" s="2" t="str">
        <f t="shared" si="5"/>
        <v>AttackEnd</v>
      </c>
      <c r="AE15" s="2" t="str" cm="1">
        <f t="array" ref="AE15">_xlfn.IFS(AD15="SignalHIt","TurnEnd",AD15="AttackBegin","TurnEnd",AD15="AttackEnd","TurnEnd",AD15="Immediately","Applied",AD15="None","None")</f>
        <v>TurnEnd</v>
      </c>
      <c r="AF15" s="2">
        <v>0</v>
      </c>
      <c r="AG15" s="1">
        <v>1000000</v>
      </c>
      <c r="AH15" s="8">
        <f>X15+1</f>
        <v>33052512</v>
      </c>
      <c r="AI15" s="2" t="str">
        <f t="shared" si="6"/>
        <v>AttackEnd</v>
      </c>
      <c r="AJ15" s="2" t="str" cm="1">
        <f t="array" ref="AJ15">_xlfn.IFS(AI15="SignalHIt","TurnEnd",AI15="AttackBegin","TurnEnd",AI15="AttackEnd","TurnEnd",AI15="Immediately","Applied",AI15="None","None")</f>
        <v>TurnEnd</v>
      </c>
      <c r="AK15" s="2">
        <v>0</v>
      </c>
      <c r="AL15" s="1">
        <v>1000000</v>
      </c>
      <c r="AM15" s="48">
        <f>AH15+1</f>
        <v>33052513</v>
      </c>
      <c r="AN15" s="45" t="str">
        <f>IFERROR(_xlfn.XLOOKUP(W15,Target!$A:$A,Target!$B:$B),"None")</f>
        <v>논타겟 적 9칸</v>
      </c>
      <c r="AO15" s="43" t="str">
        <f>IFERROR(_xlfn.XLOOKUP($X15,'BuffValue&lt;Child&gt;'!$A:$A,'BuffValue&lt;Child&gt;'!$F:$F),"None")</f>
        <v>얼티밋 대미지</v>
      </c>
      <c r="AP15" s="43">
        <f>IFERROR(_xlfn.XLOOKUP($X15,'BuffValue&lt;Child&gt;'!$A:$A,'BuffValue&lt;Child&gt;'!$K:$K),0)</f>
        <v>80000</v>
      </c>
      <c r="AQ15" s="43" t="str">
        <f>IFERROR(_xlfn.XLOOKUP(AB15,Target!$A:$A,Target!$B:$B),"None")</f>
        <v>None</v>
      </c>
      <c r="AR15" s="45" t="str">
        <f>IFERROR(_xlfn.XLOOKUP($AC15,'BuffValue&lt;Child&gt;'!$A:$A,'BuffValue&lt;Child&gt;'!$F:$F),"None")</f>
        <v>None</v>
      </c>
      <c r="AS15" s="45">
        <f>IFERROR(_xlfn.XLOOKUP($AC15,'BuffValue&lt;Child&gt;'!$A:$A,'BuffValue&lt;Child&gt;'!$K:$K),0)</f>
        <v>0</v>
      </c>
      <c r="AT15" s="43" t="str">
        <f>IFERROR(_xlfn.XLOOKUP(AG15,Target!$A:$A,Target!$B:$B),"None")</f>
        <v>모든 아군</v>
      </c>
      <c r="AU15" s="43" t="str">
        <f>IFERROR(_xlfn.XLOOKUP($AH15,'BuffValue&lt;Child&gt;'!$A:$A,'BuffValue&lt;Child&gt;'!$F:$F),"None")</f>
        <v>그릴라 공방체 증가</v>
      </c>
      <c r="AV15" s="43">
        <f>IFERROR(_xlfn.XLOOKUP($AH15,'BuffValue&lt;Child&gt;'!$A:$A,'BuffValue&lt;Child&gt;'!$K:$K),0)</f>
        <v>9100051</v>
      </c>
      <c r="AW15" s="43" t="str">
        <f>IFERROR(_xlfn.XLOOKUP(AL15,Target!$A:$A,Target!$B:$B),"None")</f>
        <v>모든 아군</v>
      </c>
      <c r="AX15" s="43" t="str">
        <f>IFERROR(_xlfn.XLOOKUP($AM15,'BuffValue&lt;Child&gt;'!$A:$A,'BuffValue&lt;Child&gt;'!$F:$F),"None")</f>
        <v>그릴라 공방체 증가</v>
      </c>
      <c r="AY15" s="43">
        <f>IFERROR(_xlfn.XLOOKUP($AM15,#REF!,#REF!),0)</f>
        <v>0</v>
      </c>
    </row>
    <row r="16" spans="1:51" x14ac:dyDescent="0.3">
      <c r="A16" s="1">
        <f>INT(3&amp;MID(_xlfn.XLOOKUP(B16,[2]Timeline!$B:$B,[2]Timeline!$A:$A),2,5)&amp;2)</f>
        <v>3305252</v>
      </c>
      <c r="B16" s="7" t="s">
        <v>162</v>
      </c>
      <c r="C16" s="7" t="s">
        <v>311</v>
      </c>
      <c r="D16" s="7" t="s">
        <v>538</v>
      </c>
      <c r="E16" s="1" t="str">
        <f t="shared" si="0"/>
        <v>skill_name_3305252</v>
      </c>
      <c r="F16" s="1" t="s">
        <v>117</v>
      </c>
      <c r="G16" s="1" t="s">
        <v>387</v>
      </c>
      <c r="H16" s="1" t="str">
        <f t="shared" si="1"/>
        <v>skill_desc_3305252</v>
      </c>
      <c r="I16" s="1" t="s">
        <v>205</v>
      </c>
      <c r="J16" s="1" t="str">
        <f>IFERROR(_xlfn.XLOOKUP(W16,Target!A:A,Target!J:J),"")</f>
        <v>Skill_Target_Icon_Enemy</v>
      </c>
      <c r="K16" s="1" t="s">
        <v>205</v>
      </c>
      <c r="L16" s="1" t="str">
        <f>IFERROR(_xlfn.XLOOKUP(W16,Target!A:A,Target!K:K),"")</f>
        <v>Skill_Area_Icon_NonTarget_All</v>
      </c>
      <c r="M16" s="1" t="str">
        <f>_xlfn.XLOOKUP(B16,'[2]Detail&lt;Child&gt;'!$B:$B,'[2]Detail&lt;Child&gt;'!$M:$M)</f>
        <v>Forest</v>
      </c>
      <c r="N16" s="1" t="str">
        <f>_xlfn.XLOOKUP(B16,'[2]Detail&lt;Child&gt;'!$B:$B,'[2]Detail&lt;Child&gt;'!$N:$N)</f>
        <v>Healer</v>
      </c>
      <c r="O16" s="1" t="s">
        <v>140</v>
      </c>
      <c r="P16" s="33">
        <v>0</v>
      </c>
      <c r="Q16" s="68" t="str" cm="1">
        <f t="array" ref="Q16">_xlfn.IFS(R16="Move","Move",R16="NonTargetMove","Move",R16="Static","Stand",R16="None","Stand")</f>
        <v>Stand</v>
      </c>
      <c r="R16" s="1" t="s">
        <v>136</v>
      </c>
      <c r="S16" s="1">
        <v>0</v>
      </c>
      <c r="T16" s="2" t="str">
        <f t="shared" si="3"/>
        <v>SignalHit</v>
      </c>
      <c r="U16" s="2" t="str" cm="1">
        <f t="array" ref="U16">_xlfn.IFS(T16="SignalHIt","TurnEnd",T16="AttackBegin","TurnEnd",T16="AttackEnd","TurnEnd",T16="Immediately","Applied",T16="None","None")</f>
        <v>TurnEnd</v>
      </c>
      <c r="V16" s="2">
        <v>0</v>
      </c>
      <c r="W16" s="1">
        <v>920001</v>
      </c>
      <c r="X16" s="8">
        <v>33052521</v>
      </c>
      <c r="Y16" s="1" t="str">
        <f t="shared" si="4"/>
        <v>Immediately</v>
      </c>
      <c r="Z16" s="2" t="str" cm="1">
        <f t="array" ref="Z16">_xlfn.IFS(Y16="SignalHIt","TurnEnd",Y16="AttackBegin","TurnEnd",Y16="AttackEnd","TurnEnd",Y16="Immediately","Applied",Y16="None","None")</f>
        <v>Applied</v>
      </c>
      <c r="AA16" s="2">
        <v>0</v>
      </c>
      <c r="AB16" s="1">
        <v>0</v>
      </c>
      <c r="AC16" s="8">
        <v>0</v>
      </c>
      <c r="AD16" s="2" t="str">
        <f t="shared" si="5"/>
        <v>AttackEnd</v>
      </c>
      <c r="AE16" s="2" t="str" cm="1">
        <f t="array" ref="AE16">_xlfn.IFS(AD16="SignalHIt","TurnEnd",AD16="AttackBegin","TurnEnd",AD16="AttackEnd","TurnEnd",AD16="Immediately","Applied",AD16="None","None")</f>
        <v>TurnEnd</v>
      </c>
      <c r="AF16" s="2">
        <v>0</v>
      </c>
      <c r="AG16" s="1">
        <v>1000000</v>
      </c>
      <c r="AH16" s="8">
        <f>X16+1</f>
        <v>33052522</v>
      </c>
      <c r="AI16" s="2" t="str">
        <f t="shared" si="6"/>
        <v>AttackEnd</v>
      </c>
      <c r="AJ16" s="2" t="str" cm="1">
        <f t="array" ref="AJ16">_xlfn.IFS(AI16="SignalHIt","TurnEnd",AI16="AttackBegin","TurnEnd",AI16="AttackEnd","TurnEnd",AI16="Immediately","Applied",AI16="None","None")</f>
        <v>TurnEnd</v>
      </c>
      <c r="AK16" s="2">
        <v>0</v>
      </c>
      <c r="AL16" s="1">
        <v>1000000</v>
      </c>
      <c r="AM16" s="48">
        <f>AH16+1</f>
        <v>33052523</v>
      </c>
      <c r="AN16" s="45" t="str">
        <f>IFERROR(_xlfn.XLOOKUP(W16,Target!$A:$A,Target!$B:$B),"None")</f>
        <v>논타겟 적 9칸</v>
      </c>
      <c r="AO16" s="43" t="str">
        <f>IFERROR(_xlfn.XLOOKUP($X16,'BuffValue&lt;Child&gt;'!$A:$A,'BuffValue&lt;Child&gt;'!$F:$F),"None")</f>
        <v>얼티밋 대미지</v>
      </c>
      <c r="AP16" s="43">
        <f>IFERROR(_xlfn.XLOOKUP($X16,'BuffValue&lt;Child&gt;'!$A:$A,'BuffValue&lt;Child&gt;'!$K:$K),0)</f>
        <v>80000</v>
      </c>
      <c r="AQ16" s="43" t="str">
        <f>IFERROR(_xlfn.XLOOKUP(AB16,Target!$A:$A,Target!$B:$B),"None")</f>
        <v>None</v>
      </c>
      <c r="AR16" s="45" t="str">
        <f>IFERROR(_xlfn.XLOOKUP($AC16,'BuffValue&lt;Child&gt;'!$A:$A,'BuffValue&lt;Child&gt;'!$F:$F),"None")</f>
        <v>None</v>
      </c>
      <c r="AS16" s="45">
        <f>IFERROR(_xlfn.XLOOKUP($AC16,'BuffValue&lt;Child&gt;'!$A:$A,'BuffValue&lt;Child&gt;'!$K:$K),0)</f>
        <v>0</v>
      </c>
      <c r="AT16" s="43" t="str">
        <f>IFERROR(_xlfn.XLOOKUP(AG16,Target!$A:$A,Target!$B:$B),"None")</f>
        <v>모든 아군</v>
      </c>
      <c r="AU16" s="43" t="str">
        <f>IFERROR(_xlfn.XLOOKUP($AH16,'BuffValue&lt;Child&gt;'!$A:$A,'BuffValue&lt;Child&gt;'!$F:$F),"None")</f>
        <v>그릴라 공방체 증가</v>
      </c>
      <c r="AV16" s="43">
        <f>IFERROR(_xlfn.XLOOKUP($AH16,'BuffValue&lt;Child&gt;'!$A:$A,'BuffValue&lt;Child&gt;'!$K:$K),0)</f>
        <v>9100051</v>
      </c>
      <c r="AW16" s="43" t="str">
        <f>IFERROR(_xlfn.XLOOKUP(AL16,Target!$A:$A,Target!$B:$B),"None")</f>
        <v>모든 아군</v>
      </c>
      <c r="AX16" s="43" t="str">
        <f>IFERROR(_xlfn.XLOOKUP($AM16,'BuffValue&lt;Child&gt;'!$A:$A,'BuffValue&lt;Child&gt;'!$F:$F),"None")</f>
        <v>그릴라 공방체 증가</v>
      </c>
      <c r="AY16" s="43">
        <f>IFERROR(_xlfn.XLOOKUP($AM16,#REF!,#REF!),0)</f>
        <v>0</v>
      </c>
    </row>
    <row r="17" spans="1:51" x14ac:dyDescent="0.3">
      <c r="A17" s="1">
        <f>INT(3&amp;MID(_xlfn.XLOOKUP(B17,[2]Timeline!$B:$B,[2]Timeline!$A:$A),2,5)&amp;3)</f>
        <v>3305253</v>
      </c>
      <c r="B17" s="7" t="s">
        <v>162</v>
      </c>
      <c r="C17" s="7" t="s">
        <v>311</v>
      </c>
      <c r="D17" s="7" t="s">
        <v>538</v>
      </c>
      <c r="E17" s="1" t="str">
        <f t="shared" si="0"/>
        <v>skill_name_3305253</v>
      </c>
      <c r="F17" s="1" t="s">
        <v>117</v>
      </c>
      <c r="G17" s="1" t="s">
        <v>387</v>
      </c>
      <c r="H17" s="1" t="str">
        <f t="shared" si="1"/>
        <v>skill_desc_3305253</v>
      </c>
      <c r="I17" s="1" t="s">
        <v>205</v>
      </c>
      <c r="J17" s="1" t="str">
        <f>IFERROR(_xlfn.XLOOKUP(W17,Target!A:A,Target!J:J),"")</f>
        <v>Skill_Target_Icon_Enemy</v>
      </c>
      <c r="K17" s="1" t="s">
        <v>205</v>
      </c>
      <c r="L17" s="1" t="str">
        <f>IFERROR(_xlfn.XLOOKUP(W17,Target!A:A,Target!K:K),"")</f>
        <v>Skill_Area_Icon_NonTarget_All</v>
      </c>
      <c r="M17" s="1" t="str">
        <f>_xlfn.XLOOKUP(B17,'[2]Detail&lt;Child&gt;'!$B:$B,'[2]Detail&lt;Child&gt;'!$M:$M)</f>
        <v>Forest</v>
      </c>
      <c r="N17" s="1" t="str">
        <f>_xlfn.XLOOKUP(B17,'[2]Detail&lt;Child&gt;'!$B:$B,'[2]Detail&lt;Child&gt;'!$N:$N)</f>
        <v>Healer</v>
      </c>
      <c r="O17" s="1" t="s">
        <v>140</v>
      </c>
      <c r="P17" s="33">
        <v>0</v>
      </c>
      <c r="Q17" s="68" t="str" cm="1">
        <f t="array" ref="Q17">_xlfn.IFS(R17="Move","Move",R17="NonTargetMove","Move",R17="Static","Stand",R17="None","Stand")</f>
        <v>Stand</v>
      </c>
      <c r="R17" s="1" t="s">
        <v>136</v>
      </c>
      <c r="S17" s="1">
        <v>0</v>
      </c>
      <c r="T17" s="2" t="str">
        <f t="shared" si="3"/>
        <v>SignalHit</v>
      </c>
      <c r="U17" s="2" t="str" cm="1">
        <f t="array" ref="U17">_xlfn.IFS(T17="SignalHIt","TurnEnd",T17="AttackBegin","TurnEnd",T17="AttackEnd","TurnEnd",T17="Immediately","Applied",T17="None","None")</f>
        <v>TurnEnd</v>
      </c>
      <c r="V17" s="2">
        <v>0</v>
      </c>
      <c r="W17" s="1">
        <v>920001</v>
      </c>
      <c r="X17" s="8">
        <v>33052531</v>
      </c>
      <c r="Y17" s="1" t="str">
        <f t="shared" si="4"/>
        <v>Immediately</v>
      </c>
      <c r="Z17" s="2" t="str" cm="1">
        <f t="array" ref="Z17">_xlfn.IFS(Y17="SignalHIt","TurnEnd",Y17="AttackBegin","TurnEnd",Y17="AttackEnd","TurnEnd",Y17="Immediately","Applied",Y17="None","None")</f>
        <v>Applied</v>
      </c>
      <c r="AA17" s="2">
        <v>0</v>
      </c>
      <c r="AB17" s="1">
        <v>0</v>
      </c>
      <c r="AC17" s="8">
        <v>0</v>
      </c>
      <c r="AD17" s="2" t="str">
        <f t="shared" si="5"/>
        <v>AttackEnd</v>
      </c>
      <c r="AE17" s="2" t="str" cm="1">
        <f t="array" ref="AE17">_xlfn.IFS(AD17="SignalHIt","TurnEnd",AD17="AttackBegin","TurnEnd",AD17="AttackEnd","TurnEnd",AD17="Immediately","Applied",AD17="None","None")</f>
        <v>TurnEnd</v>
      </c>
      <c r="AF17" s="2">
        <v>0</v>
      </c>
      <c r="AG17" s="1">
        <v>1000000</v>
      </c>
      <c r="AH17" s="8">
        <f>X17+1</f>
        <v>33052532</v>
      </c>
      <c r="AI17" s="2" t="str">
        <f t="shared" si="6"/>
        <v>AttackEnd</v>
      </c>
      <c r="AJ17" s="2" t="str" cm="1">
        <f t="array" ref="AJ17">_xlfn.IFS(AI17="SignalHIt","TurnEnd",AI17="AttackBegin","TurnEnd",AI17="AttackEnd","TurnEnd",AI17="Immediately","Applied",AI17="None","None")</f>
        <v>TurnEnd</v>
      </c>
      <c r="AK17" s="2">
        <v>0</v>
      </c>
      <c r="AL17" s="1">
        <v>1000000</v>
      </c>
      <c r="AM17" s="48">
        <f>AH17+1</f>
        <v>33052533</v>
      </c>
      <c r="AN17" s="45" t="str">
        <f>IFERROR(_xlfn.XLOOKUP(W17,Target!$A:$A,Target!$B:$B),"None")</f>
        <v>논타겟 적 9칸</v>
      </c>
      <c r="AO17" s="43" t="str">
        <f>IFERROR(_xlfn.XLOOKUP($X17,'BuffValue&lt;Child&gt;'!$A:$A,'BuffValue&lt;Child&gt;'!$F:$F),"None")</f>
        <v>얼티밋 대미지</v>
      </c>
      <c r="AP17" s="43">
        <f>IFERROR(_xlfn.XLOOKUP($X17,'BuffValue&lt;Child&gt;'!$A:$A,'BuffValue&lt;Child&gt;'!$K:$K),0)</f>
        <v>80000</v>
      </c>
      <c r="AQ17" s="43" t="str">
        <f>IFERROR(_xlfn.XLOOKUP(AB17,Target!$A:$A,Target!$B:$B),"None")</f>
        <v>None</v>
      </c>
      <c r="AR17" s="45" t="str">
        <f>IFERROR(_xlfn.XLOOKUP($AC17,'BuffValue&lt;Child&gt;'!$A:$A,'BuffValue&lt;Child&gt;'!$F:$F),"None")</f>
        <v>None</v>
      </c>
      <c r="AS17" s="45">
        <f>IFERROR(_xlfn.XLOOKUP($AC17,'BuffValue&lt;Child&gt;'!$A:$A,'BuffValue&lt;Child&gt;'!$K:$K),0)</f>
        <v>0</v>
      </c>
      <c r="AT17" s="43" t="str">
        <f>IFERROR(_xlfn.XLOOKUP(AG17,Target!$A:$A,Target!$B:$B),"None")</f>
        <v>모든 아군</v>
      </c>
      <c r="AU17" s="43" t="str">
        <f>IFERROR(_xlfn.XLOOKUP($AH17,'BuffValue&lt;Child&gt;'!$A:$A,'BuffValue&lt;Child&gt;'!$F:$F),"None")</f>
        <v>그릴라 공방체 증가</v>
      </c>
      <c r="AV17" s="43">
        <f>IFERROR(_xlfn.XLOOKUP($AH17,'BuffValue&lt;Child&gt;'!$A:$A,'BuffValue&lt;Child&gt;'!$K:$K),0)</f>
        <v>9100051</v>
      </c>
      <c r="AW17" s="43" t="str">
        <f>IFERROR(_xlfn.XLOOKUP(AL17,Target!$A:$A,Target!$B:$B),"None")</f>
        <v>모든 아군</v>
      </c>
      <c r="AX17" s="43" t="str">
        <f>IFERROR(_xlfn.XLOOKUP($AM17,'BuffValue&lt;Child&gt;'!$A:$A,'BuffValue&lt;Child&gt;'!$F:$F),"None")</f>
        <v>그릴라 공방체 증가</v>
      </c>
      <c r="AY17" s="43">
        <f>IFERROR(_xlfn.XLOOKUP($AM17,#REF!,#REF!),0)</f>
        <v>0</v>
      </c>
    </row>
    <row r="18" spans="1:51" x14ac:dyDescent="0.3">
      <c r="A18" s="1">
        <f>INT(4&amp;MID(_xlfn.XLOOKUP(B18,[2]Timeline!$B:$B,[2]Timeline!$A:$A),2,5)&amp;1)</f>
        <v>4305251</v>
      </c>
      <c r="B18" s="7" t="s">
        <v>162</v>
      </c>
      <c r="C18" s="7" t="s">
        <v>122</v>
      </c>
      <c r="D18" s="7" t="s">
        <v>338</v>
      </c>
      <c r="E18" s="1" t="str">
        <f t="shared" si="0"/>
        <v>skill_name_4305251</v>
      </c>
      <c r="F18" s="1" t="s">
        <v>117</v>
      </c>
      <c r="G18" s="1" t="s">
        <v>454</v>
      </c>
      <c r="H18" s="1" t="str">
        <f t="shared" si="1"/>
        <v>skill_desc_4305251</v>
      </c>
      <c r="I18" s="1" t="s">
        <v>205</v>
      </c>
      <c r="J18" s="1" t="str">
        <f>IFERROR(_xlfn.XLOOKUP(W18,Target!A:A,Target!J:J),"")</f>
        <v>Skill_Target_Icon_Mine</v>
      </c>
      <c r="K18" s="1" t="s">
        <v>205</v>
      </c>
      <c r="L18" s="1" t="str">
        <f>IFERROR(_xlfn.XLOOKUP(W18,Target!A:A,Target!K:K),"")</f>
        <v>Skill_Area_Icon_Pivot_Centor</v>
      </c>
      <c r="M18" s="1" t="str">
        <f>_xlfn.XLOOKUP(B18,'[2]Detail&lt;Child&gt;'!$B:$B,'[2]Detail&lt;Child&gt;'!$M:$M)</f>
        <v>Forest</v>
      </c>
      <c r="N18" s="1" t="str">
        <f>_xlfn.XLOOKUP(B18,'[2]Detail&lt;Child&gt;'!$B:$B,'[2]Detail&lt;Child&gt;'!$N:$N)</f>
        <v>Healer</v>
      </c>
      <c r="O18" s="1" t="s">
        <v>167</v>
      </c>
      <c r="P18" s="33">
        <v>0</v>
      </c>
      <c r="Q18" s="68" t="str" cm="1">
        <f t="array" ref="Q18">_xlfn.IFS(R18="Move","Move",R18="NonTargetMove","Move",R18="Static","Stand",R18="None","Stand")</f>
        <v>Stand</v>
      </c>
      <c r="R18" s="1" t="s">
        <v>136</v>
      </c>
      <c r="S18" s="1">
        <v>0</v>
      </c>
      <c r="T18" s="2" t="str">
        <f t="shared" si="3"/>
        <v>Immediately</v>
      </c>
      <c r="U18" s="2" t="str" cm="1">
        <f t="array" ref="U18">_xlfn.IFS(T18="SignalHIt","TurnEnd",T18="AttackBegin","TurnEnd",T18="AttackEnd","TurnEnd",T18="Immediately","Applied",T18="None","None")</f>
        <v>Applied</v>
      </c>
      <c r="V18" s="2">
        <v>0</v>
      </c>
      <c r="W18" s="1">
        <v>1</v>
      </c>
      <c r="X18" s="8">
        <f t="shared" ref="X18:X27" si="7">INT(A18&amp;1)</f>
        <v>43052511</v>
      </c>
      <c r="Y18" s="1" t="str">
        <f t="shared" si="4"/>
        <v>Immediately</v>
      </c>
      <c r="Z18" s="2" t="str" cm="1">
        <f t="array" ref="Z18">_xlfn.IFS(Y18="SignalHIt","TurnEnd",Y18="AttackBegin","TurnEnd",Y18="AttackEnd","TurnEnd",Y18="Immediately","Applied",Y18="None","None")</f>
        <v>Applied</v>
      </c>
      <c r="AA18" s="2">
        <v>0</v>
      </c>
      <c r="AB18" s="1">
        <v>0</v>
      </c>
      <c r="AC18" s="8">
        <v>0</v>
      </c>
      <c r="AD18" s="2" t="str">
        <f t="shared" si="5"/>
        <v>Immediately</v>
      </c>
      <c r="AE18" s="2" t="str" cm="1">
        <f t="array" ref="AE18">_xlfn.IFS(AD18="SignalHIt","TurnEnd",AD18="AttackBegin","TurnEnd",AD18="AttackEnd","TurnEnd",AD18="Immediately","Applied",AD18="None","None")</f>
        <v>Applied</v>
      </c>
      <c r="AF18" s="2">
        <v>0</v>
      </c>
      <c r="AG18" s="1">
        <v>0</v>
      </c>
      <c r="AH18" s="8">
        <v>0</v>
      </c>
      <c r="AI18" s="2" t="str">
        <f t="shared" si="6"/>
        <v>Immediately</v>
      </c>
      <c r="AJ18" s="2" t="str" cm="1">
        <f t="array" ref="AJ18">_xlfn.IFS(AI18="SignalHIt","TurnEnd",AI18="AttackBegin","TurnEnd",AI18="AttackEnd","TurnEnd",AI18="Immediately","Applied",AI18="None","None")</f>
        <v>Applied</v>
      </c>
      <c r="AK18" s="2">
        <v>0</v>
      </c>
      <c r="AL18" s="8">
        <v>0</v>
      </c>
      <c r="AM18" s="48">
        <v>0</v>
      </c>
      <c r="AN18" s="45" t="str">
        <f>IFERROR(_xlfn.XLOOKUP(W18,Target!$A:$A,Target!$B:$B),"None")</f>
        <v xml:space="preserve"> 자신 1명 </v>
      </c>
      <c r="AO18" s="43" t="str">
        <f>IFERROR(_xlfn.XLOOKUP($X18,'BuffValue&lt;Child&gt;'!$A:$A,'BuffValue&lt;Child&gt;'!$F:$F),"None")</f>
        <v>없음</v>
      </c>
      <c r="AP18" s="43">
        <f>IFERROR(_xlfn.XLOOKUP($X18,'BuffValue&lt;Child&gt;'!$A:$A,'BuffValue&lt;Child&gt;'!$K:$K),0)</f>
        <v>0</v>
      </c>
      <c r="AQ18" s="43" t="str">
        <f>IFERROR(_xlfn.XLOOKUP(AB18,Target!$A:$A,Target!$B:$B),"None")</f>
        <v>None</v>
      </c>
      <c r="AR18" s="45" t="str">
        <f>IFERROR(_xlfn.XLOOKUP($AC18,'BuffValue&lt;Child&gt;'!$A:$A,'BuffValue&lt;Child&gt;'!$F:$F),"None")</f>
        <v>None</v>
      </c>
      <c r="AS18" s="45">
        <f>IFERROR(_xlfn.XLOOKUP($AC18,'BuffValue&lt;Child&gt;'!$A:$A,'BuffValue&lt;Child&gt;'!$K:$K),0)</f>
        <v>0</v>
      </c>
      <c r="AT18" s="43" t="str">
        <f>IFERROR(_xlfn.XLOOKUP(AG18,Target!$A:$A,Target!$B:$B),"None")</f>
        <v>None</v>
      </c>
      <c r="AU18" s="43" t="str">
        <f>IFERROR(_xlfn.XLOOKUP($AH18,'BuffValue&lt;Child&gt;'!$A:$A,'BuffValue&lt;Child&gt;'!$F:$F),"None")</f>
        <v>None</v>
      </c>
      <c r="AV18" s="43">
        <f>IFERROR(_xlfn.XLOOKUP($AH18,'BuffValue&lt;Child&gt;'!$A:$A,'BuffValue&lt;Child&gt;'!$K:$K),0)</f>
        <v>0</v>
      </c>
      <c r="AW18" s="43" t="str">
        <f>IFERROR(_xlfn.XLOOKUP(AL18,Target!$A:$A,Target!$B:$B),"None")</f>
        <v>None</v>
      </c>
      <c r="AX18" s="43" t="str">
        <f>IFERROR(_xlfn.XLOOKUP($AM18,'BuffValue&lt;Child&gt;'!$A:$A,'BuffValue&lt;Child&gt;'!$F:$F),"None")</f>
        <v>None</v>
      </c>
      <c r="AY18" s="43">
        <f>IFERROR(_xlfn.XLOOKUP($AM18,#REF!,#REF!),0)</f>
        <v>0</v>
      </c>
    </row>
    <row r="19" spans="1:51" x14ac:dyDescent="0.3">
      <c r="A19" s="1">
        <f>INT(4&amp;MID(_xlfn.XLOOKUP(B19,[2]Timeline!$B:$B,[2]Timeline!$A:$A),2,5)&amp;2)</f>
        <v>4305252</v>
      </c>
      <c r="B19" s="7" t="s">
        <v>162</v>
      </c>
      <c r="C19" s="7" t="s">
        <v>122</v>
      </c>
      <c r="D19" s="7" t="s">
        <v>338</v>
      </c>
      <c r="E19" s="1" t="str">
        <f t="shared" si="0"/>
        <v>skill_name_4305252</v>
      </c>
      <c r="F19" s="1" t="s">
        <v>117</v>
      </c>
      <c r="G19" s="1" t="s">
        <v>454</v>
      </c>
      <c r="H19" s="1" t="str">
        <f t="shared" si="1"/>
        <v>skill_desc_4305252</v>
      </c>
      <c r="I19" s="1" t="s">
        <v>205</v>
      </c>
      <c r="J19" s="1" t="str">
        <f>IFERROR(_xlfn.XLOOKUP(W19,Target!A:A,Target!J:J),"")</f>
        <v>Skill_Target_Icon_Mine</v>
      </c>
      <c r="K19" s="1" t="s">
        <v>205</v>
      </c>
      <c r="L19" s="1" t="str">
        <f>IFERROR(_xlfn.XLOOKUP(W19,Target!A:A,Target!K:K),"")</f>
        <v>Skill_Area_Icon_Pivot_Centor</v>
      </c>
      <c r="M19" s="1" t="str">
        <f>_xlfn.XLOOKUP(B19,'[2]Detail&lt;Child&gt;'!$B:$B,'[2]Detail&lt;Child&gt;'!$M:$M)</f>
        <v>Forest</v>
      </c>
      <c r="N19" s="1" t="str">
        <f>_xlfn.XLOOKUP(B19,'[2]Detail&lt;Child&gt;'!$B:$B,'[2]Detail&lt;Child&gt;'!$N:$N)</f>
        <v>Healer</v>
      </c>
      <c r="O19" s="1" t="s">
        <v>167</v>
      </c>
      <c r="P19" s="33">
        <v>0</v>
      </c>
      <c r="Q19" s="68" t="str" cm="1">
        <f t="array" ref="Q19">_xlfn.IFS(R19="Move","Move",R19="NonTargetMove","Move",R19="Static","Stand",R19="None","Stand")</f>
        <v>Stand</v>
      </c>
      <c r="R19" s="1" t="s">
        <v>136</v>
      </c>
      <c r="S19" s="1">
        <f>IF(R19="Static",0,1)</f>
        <v>0</v>
      </c>
      <c r="T19" s="2" t="str">
        <f t="shared" si="3"/>
        <v>Immediately</v>
      </c>
      <c r="U19" s="2" t="str" cm="1">
        <f t="array" ref="U19">_xlfn.IFS(T19="SignalHIt","TurnEnd",T19="AttackBegin","TurnEnd",T19="AttackEnd","TurnEnd",T19="Immediately","Applied",T19="None","None")</f>
        <v>Applied</v>
      </c>
      <c r="V19" s="2">
        <v>0</v>
      </c>
      <c r="W19" s="1">
        <v>1</v>
      </c>
      <c r="X19" s="8">
        <f t="shared" si="7"/>
        <v>43052521</v>
      </c>
      <c r="Y19" s="1" t="str">
        <f t="shared" si="4"/>
        <v>Immediately</v>
      </c>
      <c r="Z19" s="2" t="str" cm="1">
        <f t="array" ref="Z19">_xlfn.IFS(Y19="SignalHIt","TurnEnd",Y19="AttackBegin","TurnEnd",Y19="AttackEnd","TurnEnd",Y19="Immediately","Applied",Y19="None","None")</f>
        <v>Applied</v>
      </c>
      <c r="AA19" s="2">
        <v>0</v>
      </c>
      <c r="AB19" s="1">
        <v>0</v>
      </c>
      <c r="AC19" s="8">
        <v>0</v>
      </c>
      <c r="AD19" s="2" t="str">
        <f t="shared" si="5"/>
        <v>Immediately</v>
      </c>
      <c r="AE19" s="2" t="str" cm="1">
        <f t="array" ref="AE19">_xlfn.IFS(AD19="SignalHIt","TurnEnd",AD19="AttackBegin","TurnEnd",AD19="AttackEnd","TurnEnd",AD19="Immediately","Applied",AD19="None","None")</f>
        <v>Applied</v>
      </c>
      <c r="AF19" s="2">
        <v>0</v>
      </c>
      <c r="AG19" s="1">
        <v>0</v>
      </c>
      <c r="AH19" s="8">
        <v>0</v>
      </c>
      <c r="AI19" s="2" t="str">
        <f t="shared" si="6"/>
        <v>Immediately</v>
      </c>
      <c r="AJ19" s="2" t="str" cm="1">
        <f t="array" ref="AJ19">_xlfn.IFS(AI19="SignalHIt","TurnEnd",AI19="AttackBegin","TurnEnd",AI19="AttackEnd","TurnEnd",AI19="Immediately","Applied",AI19="None","None")</f>
        <v>Applied</v>
      </c>
      <c r="AK19" s="2">
        <v>0</v>
      </c>
      <c r="AL19" s="8">
        <v>0</v>
      </c>
      <c r="AM19" s="48">
        <v>0</v>
      </c>
      <c r="AN19" s="45" t="str">
        <f>IFERROR(_xlfn.XLOOKUP(W19,Target!$A:$A,Target!$B:$B),"None")</f>
        <v xml:space="preserve"> 자신 1명 </v>
      </c>
      <c r="AO19" s="43" t="str">
        <f>IFERROR(_xlfn.XLOOKUP($X19,'BuffValue&lt;Child&gt;'!$A:$A,'BuffValue&lt;Child&gt;'!$F:$F),"None")</f>
        <v>없음</v>
      </c>
      <c r="AP19" s="43">
        <f>IFERROR(_xlfn.XLOOKUP($X19,'BuffValue&lt;Child&gt;'!$A:$A,'BuffValue&lt;Child&gt;'!$K:$K),0)</f>
        <v>0</v>
      </c>
      <c r="AQ19" s="43" t="str">
        <f>IFERROR(_xlfn.XLOOKUP(AB19,Target!$A:$A,Target!$B:$B),"None")</f>
        <v>None</v>
      </c>
      <c r="AR19" s="45" t="str">
        <f>IFERROR(_xlfn.XLOOKUP($AC19,'BuffValue&lt;Child&gt;'!$A:$A,'BuffValue&lt;Child&gt;'!$F:$F),"None")</f>
        <v>None</v>
      </c>
      <c r="AS19" s="45">
        <f>IFERROR(_xlfn.XLOOKUP($AC19,'BuffValue&lt;Child&gt;'!$A:$A,'BuffValue&lt;Child&gt;'!$K:$K),0)</f>
        <v>0</v>
      </c>
      <c r="AT19" s="43" t="str">
        <f>IFERROR(_xlfn.XLOOKUP(AG19,Target!$A:$A,Target!$B:$B),"None")</f>
        <v>None</v>
      </c>
      <c r="AU19" s="43" t="str">
        <f>IFERROR(_xlfn.XLOOKUP($AH19,'BuffValue&lt;Child&gt;'!$A:$A,'BuffValue&lt;Child&gt;'!$F:$F),"None")</f>
        <v>None</v>
      </c>
      <c r="AV19" s="43">
        <f>IFERROR(_xlfn.XLOOKUP($AH19,'BuffValue&lt;Child&gt;'!$A:$A,'BuffValue&lt;Child&gt;'!$K:$K),0)</f>
        <v>0</v>
      </c>
      <c r="AW19" s="43" t="str">
        <f>IFERROR(_xlfn.XLOOKUP(AL19,Target!$A:$A,Target!$B:$B),"None")</f>
        <v>None</v>
      </c>
      <c r="AX19" s="43" t="str">
        <f>IFERROR(_xlfn.XLOOKUP($AM19,'BuffValue&lt;Child&gt;'!$A:$A,'BuffValue&lt;Child&gt;'!$F:$F),"None")</f>
        <v>None</v>
      </c>
      <c r="AY19" s="43">
        <f>IFERROR(_xlfn.XLOOKUP($AM19,#REF!,#REF!),0)</f>
        <v>0</v>
      </c>
    </row>
    <row r="20" spans="1:51" s="11" customFormat="1" x14ac:dyDescent="0.3">
      <c r="A20" s="11">
        <f>INT(1&amp;MID(_xlfn.XLOOKUP(B20,[2]Timeline!$B:$B,[2]Timeline!$A:$A),2,5)&amp;1)</f>
        <v>1304421</v>
      </c>
      <c r="B20" s="12" t="s">
        <v>211</v>
      </c>
      <c r="C20" s="12" t="s">
        <v>312</v>
      </c>
      <c r="D20" s="12" t="s">
        <v>544</v>
      </c>
      <c r="E20" s="11" t="str">
        <f t="shared" si="0"/>
        <v>skill_name_1304421</v>
      </c>
      <c r="F20" s="11" t="s">
        <v>117</v>
      </c>
      <c r="G20" s="11" t="s">
        <v>471</v>
      </c>
      <c r="H20" s="11" t="str">
        <f t="shared" si="1"/>
        <v>skill_desc_1304421</v>
      </c>
      <c r="I20" s="11" t="s">
        <v>205</v>
      </c>
      <c r="J20" s="11" t="str">
        <f>IFERROR(_xlfn.XLOOKUP(W20,Target!A:A,Target!J:J),"")</f>
        <v>Skill_Target_Icon_Enemy_Near_One</v>
      </c>
      <c r="K20" s="11" t="s">
        <v>205</v>
      </c>
      <c r="L20" s="11" t="str">
        <f>IFERROR(_xlfn.XLOOKUP(W20,Target!A:A,Target!K:K),"")</f>
        <v>Skill_Area_Icon_Pivot_Centor</v>
      </c>
      <c r="M20" s="11" t="str">
        <f>_xlfn.XLOOKUP(B20,'[2]Detail&lt;Child&gt;'!$B:$B,'[2]Detail&lt;Child&gt;'!$M:$M)</f>
        <v>Water</v>
      </c>
      <c r="N20" s="11" t="str">
        <f>_xlfn.XLOOKUP(B20,'[2]Detail&lt;Child&gt;'!$B:$B,'[2]Detail&lt;Child&gt;'!$N:$N)</f>
        <v>Attacker</v>
      </c>
      <c r="O20" s="11" t="s">
        <v>30</v>
      </c>
      <c r="P20" s="34">
        <v>0</v>
      </c>
      <c r="Q20" s="69" t="str" cm="1">
        <f t="array" ref="Q20">_xlfn.IFS(R20="Move","Move",R20="NonTargetMove","Move",R20="Static","Stand",R20="None","Stand")</f>
        <v>Move</v>
      </c>
      <c r="R20" s="11" t="s">
        <v>144</v>
      </c>
      <c r="S20" s="11">
        <v>1</v>
      </c>
      <c r="T20" s="15" t="str">
        <f t="shared" si="3"/>
        <v>SignalHit</v>
      </c>
      <c r="U20" s="15" t="str" cm="1">
        <f t="array" ref="U20">_xlfn.IFS(T20="SignalHIt","TurnEnd",T20="AttackBegin","TurnEnd",T20="AttackEnd","TurnEnd",T20="Immediately","Applied",T20="None","None")</f>
        <v>TurnEnd</v>
      </c>
      <c r="V20" s="15">
        <v>0</v>
      </c>
      <c r="W20" s="11">
        <v>2000011</v>
      </c>
      <c r="X20" s="10">
        <f t="shared" si="7"/>
        <v>13044211</v>
      </c>
      <c r="Y20" s="11" t="str">
        <f t="shared" si="4"/>
        <v>Immediately</v>
      </c>
      <c r="Z20" s="15" t="str" cm="1">
        <f t="array" ref="Z20">_xlfn.IFS(Y20="SignalHIt","TurnEnd",Y20="AttackBegin","TurnEnd",Y20="AttackEnd","TurnEnd",Y20="Immediately","Applied",Y20="None","None")</f>
        <v>Applied</v>
      </c>
      <c r="AA20" s="15">
        <v>0</v>
      </c>
      <c r="AB20" s="11">
        <v>0</v>
      </c>
      <c r="AC20" s="10">
        <v>0</v>
      </c>
      <c r="AD20" s="15" t="str">
        <f t="shared" si="5"/>
        <v>Immediately</v>
      </c>
      <c r="AE20" s="15" t="str" cm="1">
        <f t="array" ref="AE20">_xlfn.IFS(AD20="SignalHIt","TurnEnd",AD20="AttackBegin","TurnEnd",AD20="AttackEnd","TurnEnd",AD20="Immediately","Applied",AD20="None","None")</f>
        <v>Applied</v>
      </c>
      <c r="AF20" s="15">
        <v>0</v>
      </c>
      <c r="AG20" s="11">
        <v>0</v>
      </c>
      <c r="AH20" s="10">
        <v>0</v>
      </c>
      <c r="AI20" s="15" t="str">
        <f t="shared" si="6"/>
        <v>Immediately</v>
      </c>
      <c r="AJ20" s="15" t="str" cm="1">
        <f t="array" ref="AJ20">_xlfn.IFS(AI20="SignalHIt","TurnEnd",AI20="AttackBegin","TurnEnd",AI20="AttackEnd","TurnEnd",AI20="Immediately","Applied",AI20="None","None")</f>
        <v>Applied</v>
      </c>
      <c r="AK20" s="15">
        <v>0</v>
      </c>
      <c r="AL20" s="10">
        <v>0</v>
      </c>
      <c r="AM20" s="50">
        <v>0</v>
      </c>
      <c r="AN20" s="46" t="str">
        <f>IFERROR(_xlfn.XLOOKUP(W20,Target!$A:$A,Target!$B:$B),"None")</f>
        <v xml:space="preserve">가까운 적 1명 </v>
      </c>
      <c r="AO20" s="47" t="str">
        <f>IFERROR(_xlfn.XLOOKUP($X20,'BuffValue&lt;Child&gt;'!$A:$A,'BuffValue&lt;Child&gt;'!$F:$F),"None")</f>
        <v>공용 대미지</v>
      </c>
      <c r="AP20" s="47">
        <f>IFERROR(_xlfn.XLOOKUP($X20,'BuffValue&lt;Child&gt;'!$A:$A,'BuffValue&lt;Child&gt;'!$K:$K),0)</f>
        <v>150000</v>
      </c>
      <c r="AQ20" s="47" t="str">
        <f>IFERROR(_xlfn.XLOOKUP(AB20,Target!$A:$A,Target!$B:$B),"None")</f>
        <v>None</v>
      </c>
      <c r="AR20" s="46" t="str">
        <f>IFERROR(_xlfn.XLOOKUP($AC20,'BuffValue&lt;Child&gt;'!$A:$A,'BuffValue&lt;Child&gt;'!$F:$F),"None")</f>
        <v>None</v>
      </c>
      <c r="AS20" s="46">
        <f>IFERROR(_xlfn.XLOOKUP($AC20,'BuffValue&lt;Child&gt;'!$A:$A,'BuffValue&lt;Child&gt;'!$K:$K),0)</f>
        <v>0</v>
      </c>
      <c r="AT20" s="47" t="str">
        <f>IFERROR(_xlfn.XLOOKUP(AG20,Target!$A:$A,Target!$B:$B),"None")</f>
        <v>None</v>
      </c>
      <c r="AU20" s="47" t="str">
        <f>IFERROR(_xlfn.XLOOKUP($AH20,'BuffValue&lt;Child&gt;'!$A:$A,'BuffValue&lt;Child&gt;'!$F:$F),"None")</f>
        <v>None</v>
      </c>
      <c r="AV20" s="47">
        <f>IFERROR(_xlfn.XLOOKUP($AH20,'BuffValue&lt;Child&gt;'!$A:$A,'BuffValue&lt;Child&gt;'!$K:$K),0)</f>
        <v>0</v>
      </c>
      <c r="AW20" s="47" t="str">
        <f>IFERROR(_xlfn.XLOOKUP(AL20,Target!$A:$A,Target!$B:$B),"None")</f>
        <v>None</v>
      </c>
      <c r="AX20" s="47" t="str">
        <f>IFERROR(_xlfn.XLOOKUP($AM20,'BuffValue&lt;Child&gt;'!$A:$A,'BuffValue&lt;Child&gt;'!$F:$F),"None")</f>
        <v>None</v>
      </c>
      <c r="AY20" s="47">
        <f>IFERROR(_xlfn.XLOOKUP($AM20,#REF!,#REF!),0)</f>
        <v>0</v>
      </c>
    </row>
    <row r="21" spans="1:51" x14ac:dyDescent="0.3">
      <c r="A21" s="1">
        <f>INT(2&amp;MID(_xlfn.XLOOKUP(B21,[2]Timeline!$B:$B,[2]Timeline!$A:$A),2,5)&amp;1)</f>
        <v>2304421</v>
      </c>
      <c r="B21" s="7" t="s">
        <v>157</v>
      </c>
      <c r="C21" s="7" t="s">
        <v>313</v>
      </c>
      <c r="D21" s="7" t="s">
        <v>545</v>
      </c>
      <c r="E21" s="1" t="str">
        <f t="shared" si="0"/>
        <v>skill_name_2304421</v>
      </c>
      <c r="F21" s="1" t="s">
        <v>117</v>
      </c>
      <c r="G21" s="1" t="s">
        <v>470</v>
      </c>
      <c r="H21" s="1" t="str">
        <f t="shared" si="1"/>
        <v>skill_desc_2304421</v>
      </c>
      <c r="I21" s="1" t="s">
        <v>205</v>
      </c>
      <c r="J21" s="1" t="str">
        <f>IFERROR(_xlfn.XLOOKUP(W21,Target!A:A,Target!J:J),"")</f>
        <v>Skill_Target_Icon_Enemy_Near_One</v>
      </c>
      <c r="K21" s="1" t="s">
        <v>205</v>
      </c>
      <c r="L21" s="1" t="str">
        <f>IFERROR(_xlfn.XLOOKUP(W21,Target!A:A,Target!K:K),"")</f>
        <v>Skill_Area_Icon_Pivot_Centor</v>
      </c>
      <c r="M21" s="1" t="str">
        <f>_xlfn.XLOOKUP(B21,'[2]Detail&lt;Child&gt;'!$B:$B,'[2]Detail&lt;Child&gt;'!$M:$M)</f>
        <v>Water</v>
      </c>
      <c r="N21" s="1" t="str">
        <f>_xlfn.XLOOKUP(B21,'[2]Detail&lt;Child&gt;'!$B:$B,'[2]Detail&lt;Child&gt;'!$N:$N)</f>
        <v>Attacker</v>
      </c>
      <c r="O21" s="1" t="s">
        <v>33</v>
      </c>
      <c r="P21" s="33">
        <v>3</v>
      </c>
      <c r="Q21" s="68" t="str" cm="1">
        <f t="array" ref="Q21">_xlfn.IFS(R21="Move","Move",R21="NonTargetMove","Move",R21="Static","Stand",R21="None","Stand")</f>
        <v>Move</v>
      </c>
      <c r="R21" s="1" t="s">
        <v>137</v>
      </c>
      <c r="S21" s="1">
        <f>IF(R21="Static",0,1)</f>
        <v>1</v>
      </c>
      <c r="T21" s="2" t="str">
        <f t="shared" si="3"/>
        <v>SignalHit</v>
      </c>
      <c r="U21" s="2" t="str" cm="1">
        <f t="array" ref="U21">_xlfn.IFS(T21="SignalHIt","TurnEnd",T21="AttackBegin","TurnEnd",T21="AttackEnd","TurnEnd",T21="Immediately","Applied",T21="None","None")</f>
        <v>TurnEnd</v>
      </c>
      <c r="V21" s="2">
        <v>0</v>
      </c>
      <c r="W21" s="1">
        <v>2000011</v>
      </c>
      <c r="X21" s="8">
        <f t="shared" si="7"/>
        <v>23044211</v>
      </c>
      <c r="Y21" s="1" t="str">
        <f t="shared" si="4"/>
        <v>Immediately</v>
      </c>
      <c r="Z21" s="2" t="str" cm="1">
        <f t="array" ref="Z21">_xlfn.IFS(Y21="SignalHIt","TurnEnd",Y21="AttackBegin","TurnEnd",Y21="AttackEnd","TurnEnd",Y21="Immediately","Applied",Y21="None","None")</f>
        <v>Applied</v>
      </c>
      <c r="AA21" s="2">
        <v>0</v>
      </c>
      <c r="AB21" s="1">
        <v>0</v>
      </c>
      <c r="AC21" s="8">
        <v>0</v>
      </c>
      <c r="AD21" s="2" t="str">
        <f t="shared" si="5"/>
        <v>AttackEnd</v>
      </c>
      <c r="AE21" s="2" t="str" cm="1">
        <f t="array" ref="AE21">_xlfn.IFS(AD21="SignalHIt","TurnEnd",AD21="AttackBegin","TurnEnd",AD21="AttackEnd","TurnEnd",AD21="Immediately","Applied",AD21="None","None")</f>
        <v>TurnEnd</v>
      </c>
      <c r="AF21" s="2">
        <v>0</v>
      </c>
      <c r="AG21" s="1">
        <v>1</v>
      </c>
      <c r="AH21" s="8">
        <f>X21+1</f>
        <v>23044212</v>
      </c>
      <c r="AI21" s="2" t="str">
        <f t="shared" si="6"/>
        <v>Immediately</v>
      </c>
      <c r="AJ21" s="2" t="str" cm="1">
        <f t="array" ref="AJ21">_xlfn.IFS(AI21="SignalHIt","TurnEnd",AI21="AttackBegin","TurnEnd",AI21="AttackEnd","TurnEnd",AI21="Immediately","Applied",AI21="None","None")</f>
        <v>Applied</v>
      </c>
      <c r="AK21" s="2">
        <v>0</v>
      </c>
      <c r="AL21" s="8">
        <v>0</v>
      </c>
      <c r="AM21" s="48">
        <v>0</v>
      </c>
      <c r="AN21" s="45" t="str">
        <f>IFERROR(_xlfn.XLOOKUP(W21,Target!$A:$A,Target!$B:$B),"None")</f>
        <v xml:space="preserve">가까운 적 1명 </v>
      </c>
      <c r="AO21" s="43" t="str">
        <f>IFERROR(_xlfn.XLOOKUP($X21,'BuffValue&lt;Child&gt;'!$A:$A,'BuffValue&lt;Child&gt;'!$F:$F),"None")</f>
        <v>액티브 대미지</v>
      </c>
      <c r="AP21" s="43">
        <f>IFERROR(_xlfn.XLOOKUP($X21,'BuffValue&lt;Child&gt;'!$A:$A,'BuffValue&lt;Child&gt;'!$K:$K),0)</f>
        <v>350000</v>
      </c>
      <c r="AQ21" s="43" t="str">
        <f>IFERROR(_xlfn.XLOOKUP(AB21,Target!$A:$A,Target!$B:$B),"None")</f>
        <v>None</v>
      </c>
      <c r="AR21" s="45" t="str">
        <f>IFERROR(_xlfn.XLOOKUP($AC21,'BuffValue&lt;Child&gt;'!$A:$A,'BuffValue&lt;Child&gt;'!$F:$F),"None")</f>
        <v>None</v>
      </c>
      <c r="AS21" s="45">
        <f>IFERROR(_xlfn.XLOOKUP($AC21,'BuffValue&lt;Child&gt;'!$A:$A,'BuffValue&lt;Child&gt;'!$K:$K),0)</f>
        <v>0</v>
      </c>
      <c r="AT21" s="43" t="str">
        <f>IFERROR(_xlfn.XLOOKUP(AG21,Target!$A:$A,Target!$B:$B),"None")</f>
        <v xml:space="preserve"> 자신 1명 </v>
      </c>
      <c r="AU21" s="43" t="str">
        <f>IFERROR(_xlfn.XLOOKUP($AH21,'BuffValue&lt;Child&gt;'!$A:$A,'BuffValue&lt;Child&gt;'!$F:$F),"None")</f>
        <v>방어력, 회피율 증가</v>
      </c>
      <c r="AV21" s="43">
        <f>IFERROR(_xlfn.XLOOKUP($AH21,'BuffValue&lt;Child&gt;'!$A:$A,'BuffValue&lt;Child&gt;'!$K:$K),0)</f>
        <v>15000</v>
      </c>
      <c r="AW21" s="43" t="str">
        <f>IFERROR(_xlfn.XLOOKUP(AL21,Target!$A:$A,Target!$B:$B),"None")</f>
        <v>None</v>
      </c>
      <c r="AX21" s="43" t="str">
        <f>IFERROR(_xlfn.XLOOKUP($AM21,'BuffValue&lt;Child&gt;'!$A:$A,'BuffValue&lt;Child&gt;'!$F:$F),"None")</f>
        <v>None</v>
      </c>
      <c r="AY21" s="43">
        <f>IFERROR(_xlfn.XLOOKUP($AM21,#REF!,#REF!),0)</f>
        <v>0</v>
      </c>
    </row>
    <row r="22" spans="1:51" x14ac:dyDescent="0.3">
      <c r="A22" s="1">
        <f>INT(2&amp;MID(_xlfn.XLOOKUP(B22,[2]Timeline!$B:$B,[2]Timeline!$A:$A),2,5)&amp;2)</f>
        <v>2304422</v>
      </c>
      <c r="B22" s="7" t="s">
        <v>157</v>
      </c>
      <c r="C22" s="7" t="s">
        <v>313</v>
      </c>
      <c r="D22" s="7" t="s">
        <v>545</v>
      </c>
      <c r="E22" s="1" t="str">
        <f t="shared" si="0"/>
        <v>skill_name_2304422</v>
      </c>
      <c r="F22" s="1" t="s">
        <v>117</v>
      </c>
      <c r="G22" s="1" t="s">
        <v>470</v>
      </c>
      <c r="H22" s="1" t="str">
        <f t="shared" si="1"/>
        <v>skill_desc_2304422</v>
      </c>
      <c r="I22" s="1" t="s">
        <v>205</v>
      </c>
      <c r="J22" s="1" t="str">
        <f>IFERROR(_xlfn.XLOOKUP(W22,Target!A:A,Target!J:J),"")</f>
        <v>Skill_Target_Icon_Enemy_Near_One</v>
      </c>
      <c r="K22" s="1" t="s">
        <v>205</v>
      </c>
      <c r="L22" s="1" t="str">
        <f>IFERROR(_xlfn.XLOOKUP(W22,Target!A:A,Target!K:K),"")</f>
        <v>Skill_Area_Icon_Pivot_Centor</v>
      </c>
      <c r="M22" s="1" t="str">
        <f>_xlfn.XLOOKUP(B22,'[2]Detail&lt;Child&gt;'!$B:$B,'[2]Detail&lt;Child&gt;'!$M:$M)</f>
        <v>Water</v>
      </c>
      <c r="N22" s="1" t="str">
        <f>_xlfn.XLOOKUP(B22,'[2]Detail&lt;Child&gt;'!$B:$B,'[2]Detail&lt;Child&gt;'!$N:$N)</f>
        <v>Attacker</v>
      </c>
      <c r="O22" s="1" t="s">
        <v>33</v>
      </c>
      <c r="P22" s="33">
        <v>2</v>
      </c>
      <c r="Q22" s="68" t="str" cm="1">
        <f t="array" ref="Q22">_xlfn.IFS(R22="Move","Move",R22="NonTargetMove","Move",R22="Static","Stand",R22="None","Stand")</f>
        <v>Move</v>
      </c>
      <c r="R22" s="1" t="s">
        <v>137</v>
      </c>
      <c r="S22" s="1">
        <f>IF(R22="Static",0,1)</f>
        <v>1</v>
      </c>
      <c r="T22" s="2" t="str">
        <f t="shared" si="3"/>
        <v>SignalHit</v>
      </c>
      <c r="U22" s="2" t="str" cm="1">
        <f t="array" ref="U22">_xlfn.IFS(T22="SignalHIt","TurnEnd",T22="AttackBegin","TurnEnd",T22="AttackEnd","TurnEnd",T22="Immediately","Applied",T22="None","None")</f>
        <v>TurnEnd</v>
      </c>
      <c r="V22" s="2">
        <v>0</v>
      </c>
      <c r="W22" s="1">
        <v>2000011</v>
      </c>
      <c r="X22" s="8">
        <f t="shared" si="7"/>
        <v>23044221</v>
      </c>
      <c r="Y22" s="1" t="str">
        <f t="shared" si="4"/>
        <v>Immediately</v>
      </c>
      <c r="Z22" s="2" t="str" cm="1">
        <f t="array" ref="Z22">_xlfn.IFS(Y22="SignalHIt","TurnEnd",Y22="AttackBegin","TurnEnd",Y22="AttackEnd","TurnEnd",Y22="Immediately","Applied",Y22="None","None")</f>
        <v>Applied</v>
      </c>
      <c r="AA22" s="2">
        <v>0</v>
      </c>
      <c r="AB22" s="1">
        <v>0</v>
      </c>
      <c r="AC22" s="8">
        <v>0</v>
      </c>
      <c r="AD22" s="2" t="str">
        <f t="shared" si="5"/>
        <v>AttackEnd</v>
      </c>
      <c r="AE22" s="2" t="str" cm="1">
        <f t="array" ref="AE22">_xlfn.IFS(AD22="SignalHIt","TurnEnd",AD22="AttackBegin","TurnEnd",AD22="AttackEnd","TurnEnd",AD22="Immediately","Applied",AD22="None","None")</f>
        <v>TurnEnd</v>
      </c>
      <c r="AF22" s="2">
        <v>0</v>
      </c>
      <c r="AG22" s="1">
        <v>1</v>
      </c>
      <c r="AH22" s="8">
        <f>X22+1</f>
        <v>23044222</v>
      </c>
      <c r="AI22" s="2" t="str">
        <f t="shared" si="6"/>
        <v>Immediately</v>
      </c>
      <c r="AJ22" s="2" t="str" cm="1">
        <f t="array" ref="AJ22">_xlfn.IFS(AI22="SignalHIt","TurnEnd",AI22="AttackBegin","TurnEnd",AI22="AttackEnd","TurnEnd",AI22="Immediately","Applied",AI22="None","None")</f>
        <v>Applied</v>
      </c>
      <c r="AK22" s="2">
        <v>0</v>
      </c>
      <c r="AL22" s="8">
        <v>0</v>
      </c>
      <c r="AM22" s="48">
        <v>0</v>
      </c>
      <c r="AN22" s="45" t="str">
        <f>IFERROR(_xlfn.XLOOKUP(W22,Target!$A:$A,Target!$B:$B),"None")</f>
        <v xml:space="preserve">가까운 적 1명 </v>
      </c>
      <c r="AO22" s="43" t="str">
        <f>IFERROR(_xlfn.XLOOKUP($X22,'BuffValue&lt;Child&gt;'!$A:$A,'BuffValue&lt;Child&gt;'!$F:$F),"None")</f>
        <v>액티브 대미지</v>
      </c>
      <c r="AP22" s="43">
        <f>IFERROR(_xlfn.XLOOKUP($X22,'BuffValue&lt;Child&gt;'!$A:$A,'BuffValue&lt;Child&gt;'!$K:$K),0)</f>
        <v>350000</v>
      </c>
      <c r="AQ22" s="43" t="str">
        <f>IFERROR(_xlfn.XLOOKUP(AB22,Target!$A:$A,Target!$B:$B),"None")</f>
        <v>None</v>
      </c>
      <c r="AR22" s="45" t="str">
        <f>IFERROR(_xlfn.XLOOKUP($AC22,'BuffValue&lt;Child&gt;'!$A:$A,'BuffValue&lt;Child&gt;'!$F:$F),"None")</f>
        <v>None</v>
      </c>
      <c r="AS22" s="45">
        <f>IFERROR(_xlfn.XLOOKUP($AC22,'BuffValue&lt;Child&gt;'!$A:$A,'BuffValue&lt;Child&gt;'!$K:$K),0)</f>
        <v>0</v>
      </c>
      <c r="AT22" s="43" t="str">
        <f>IFERROR(_xlfn.XLOOKUP(AG22,Target!$A:$A,Target!$B:$B),"None")</f>
        <v xml:space="preserve"> 자신 1명 </v>
      </c>
      <c r="AU22" s="43" t="str">
        <f>IFERROR(_xlfn.XLOOKUP($AH22,'BuffValue&lt;Child&gt;'!$A:$A,'BuffValue&lt;Child&gt;'!$F:$F),"None")</f>
        <v>방어력, 회피율 증가</v>
      </c>
      <c r="AV22" s="43">
        <f>IFERROR(_xlfn.XLOOKUP($AH22,'BuffValue&lt;Child&gt;'!$A:$A,'BuffValue&lt;Child&gt;'!$K:$K),0)</f>
        <v>15000</v>
      </c>
      <c r="AW22" s="43" t="str">
        <f>IFERROR(_xlfn.XLOOKUP(AL22,Target!$A:$A,Target!$B:$B),"None")</f>
        <v>None</v>
      </c>
      <c r="AX22" s="43" t="str">
        <f>IFERROR(_xlfn.XLOOKUP($AM22,'BuffValue&lt;Child&gt;'!$A:$A,'BuffValue&lt;Child&gt;'!$F:$F),"None")</f>
        <v>None</v>
      </c>
      <c r="AY22" s="43">
        <f>IFERROR(_xlfn.XLOOKUP($AM22,#REF!,#REF!),0)</f>
        <v>0</v>
      </c>
    </row>
    <row r="23" spans="1:51" x14ac:dyDescent="0.3">
      <c r="A23" s="1">
        <f>INT(3&amp;MID(_xlfn.XLOOKUP(B23,[2]Timeline!$B:$B,[2]Timeline!$A:$A),2,5)&amp;1)</f>
        <v>3304421</v>
      </c>
      <c r="B23" s="7" t="s">
        <v>157</v>
      </c>
      <c r="C23" s="7" t="s">
        <v>314</v>
      </c>
      <c r="D23" s="7" t="s">
        <v>502</v>
      </c>
      <c r="E23" s="1" t="str">
        <f t="shared" si="0"/>
        <v>skill_name_3304421</v>
      </c>
      <c r="F23" s="1" t="s">
        <v>117</v>
      </c>
      <c r="G23" s="1" t="s">
        <v>388</v>
      </c>
      <c r="H23" s="1" t="str">
        <f t="shared" si="1"/>
        <v>skill_desc_3304421</v>
      </c>
      <c r="I23" s="1" t="s">
        <v>205</v>
      </c>
      <c r="J23" s="1" t="str">
        <f>IFERROR(_xlfn.XLOOKUP(W23,Target!A:A,Target!J:J),"")</f>
        <v>Skill_Target_Icon_Enemy_Near_One</v>
      </c>
      <c r="K23" s="1" t="s">
        <v>205</v>
      </c>
      <c r="L23" s="1" t="str">
        <f>IFERROR(_xlfn.XLOOKUP(W23,Target!A:A,Target!K:K),"")</f>
        <v>Skill_Area_Icon_Pivot_Cross</v>
      </c>
      <c r="M23" s="1" t="str">
        <f>_xlfn.XLOOKUP(B23,'[2]Detail&lt;Child&gt;'!$B:$B,'[2]Detail&lt;Child&gt;'!$M:$M)</f>
        <v>Water</v>
      </c>
      <c r="N23" s="1" t="str">
        <f>_xlfn.XLOOKUP(B23,'[2]Detail&lt;Child&gt;'!$B:$B,'[2]Detail&lt;Child&gt;'!$N:$N)</f>
        <v>Attacker</v>
      </c>
      <c r="O23" s="1" t="s">
        <v>141</v>
      </c>
      <c r="P23" s="33">
        <v>0</v>
      </c>
      <c r="Q23" s="68" t="str" cm="1">
        <f t="array" ref="Q23">_xlfn.IFS(R23="Move","Move",R23="NonTargetMove","Move",R23="Static","Stand",R23="None","Stand")</f>
        <v>Move</v>
      </c>
      <c r="R23" s="1" t="s">
        <v>492</v>
      </c>
      <c r="S23" s="1">
        <v>2</v>
      </c>
      <c r="T23" s="2" t="str">
        <f t="shared" si="3"/>
        <v>SignalHit</v>
      </c>
      <c r="U23" s="2" t="str" cm="1">
        <f t="array" ref="U23">_xlfn.IFS(T23="SignalHIt","TurnEnd",T23="AttackBegin","TurnEnd",T23="AttackEnd","TurnEnd",T23="Immediately","Applied",T23="None","None")</f>
        <v>TurnEnd</v>
      </c>
      <c r="V23" s="2">
        <v>0</v>
      </c>
      <c r="W23" s="1">
        <v>2000016</v>
      </c>
      <c r="X23" s="8">
        <f t="shared" si="7"/>
        <v>33044211</v>
      </c>
      <c r="Y23" s="1" t="str">
        <f t="shared" si="4"/>
        <v>Immediately</v>
      </c>
      <c r="Z23" s="2" t="str" cm="1">
        <f t="array" ref="Z23">_xlfn.IFS(Y23="SignalHIt","TurnEnd",Y23="AttackBegin","TurnEnd",Y23="AttackEnd","TurnEnd",Y23="Immediately","Applied",Y23="None","None")</f>
        <v>Applied</v>
      </c>
      <c r="AA23" s="2">
        <v>0</v>
      </c>
      <c r="AB23" s="1">
        <v>0</v>
      </c>
      <c r="AC23" s="8">
        <v>0</v>
      </c>
      <c r="AD23" s="2" t="str">
        <f t="shared" si="5"/>
        <v>AttackEnd</v>
      </c>
      <c r="AE23" s="2" t="str" cm="1">
        <f t="array" ref="AE23">_xlfn.IFS(AD23="SignalHIt","TurnEnd",AD23="AttackBegin","TurnEnd",AD23="AttackEnd","TurnEnd",AD23="Immediately","Applied",AD23="None","None")</f>
        <v>TurnEnd</v>
      </c>
      <c r="AF23" s="2">
        <v>0</v>
      </c>
      <c r="AG23" s="1">
        <v>1</v>
      </c>
      <c r="AH23" s="8">
        <f>X23+1</f>
        <v>33044212</v>
      </c>
      <c r="AI23" s="2" t="str">
        <f t="shared" si="6"/>
        <v>Immediately</v>
      </c>
      <c r="AJ23" s="2" t="str" cm="1">
        <f t="array" ref="AJ23">_xlfn.IFS(AI23="SignalHIt","TurnEnd",AI23="AttackBegin","TurnEnd",AI23="AttackEnd","TurnEnd",AI23="Immediately","Applied",AI23="None","None")</f>
        <v>Applied</v>
      </c>
      <c r="AK23" s="2">
        <v>0</v>
      </c>
      <c r="AL23" s="8">
        <v>0</v>
      </c>
      <c r="AM23" s="48">
        <v>0</v>
      </c>
      <c r="AN23" s="45" t="str">
        <f>IFERROR(_xlfn.XLOOKUP(W23,Target!$A:$A,Target!$B:$B),"None")</f>
        <v>가까운 적 1명 십자</v>
      </c>
      <c r="AO23" s="43" t="str">
        <f>IFERROR(_xlfn.XLOOKUP($X23,'BuffValue&lt;Child&gt;'!$A:$A,'BuffValue&lt;Child&gt;'!$F:$F),"None")</f>
        <v>얼티밋 대미지</v>
      </c>
      <c r="AP23" s="43">
        <f>IFERROR(_xlfn.XLOOKUP($X23,'BuffValue&lt;Child&gt;'!$A:$A,'BuffValue&lt;Child&gt;'!$K:$K),0)</f>
        <v>190000</v>
      </c>
      <c r="AQ23" s="43" t="str">
        <f>IFERROR(_xlfn.XLOOKUP(AB23,Target!$A:$A,Target!$B:$B),"None")</f>
        <v>None</v>
      </c>
      <c r="AR23" s="45" t="str">
        <f>IFERROR(_xlfn.XLOOKUP($AC23,'BuffValue&lt;Child&gt;'!$A:$A,'BuffValue&lt;Child&gt;'!$F:$F),"None")</f>
        <v>None</v>
      </c>
      <c r="AS23" s="45">
        <f>IFERROR(_xlfn.XLOOKUP($AC23,'BuffValue&lt;Child&gt;'!$A:$A,'BuffValue&lt;Child&gt;'!$K:$K),0)</f>
        <v>0</v>
      </c>
      <c r="AT23" s="43" t="str">
        <f>IFERROR(_xlfn.XLOOKUP(AG23,Target!$A:$A,Target!$B:$B),"None")</f>
        <v xml:space="preserve"> 자신 1명 </v>
      </c>
      <c r="AU23" s="43" t="str">
        <f>IFERROR(_xlfn.XLOOKUP($AH23,'BuffValue&lt;Child&gt;'!$A:$A,'BuffValue&lt;Child&gt;'!$F:$F),"None")</f>
        <v>회복%</v>
      </c>
      <c r="AV23" s="43">
        <f>IFERROR(_xlfn.XLOOKUP($AH23,'BuffValue&lt;Child&gt;'!$A:$A,'BuffValue&lt;Child&gt;'!$K:$K),0)</f>
        <v>20000</v>
      </c>
      <c r="AW23" s="43" t="str">
        <f>IFERROR(_xlfn.XLOOKUP(AL23,Target!$A:$A,Target!$B:$B),"None")</f>
        <v>None</v>
      </c>
      <c r="AX23" s="43" t="str">
        <f>IFERROR(_xlfn.XLOOKUP($AM23,'BuffValue&lt;Child&gt;'!$A:$A,'BuffValue&lt;Child&gt;'!$F:$F),"None")</f>
        <v>None</v>
      </c>
      <c r="AY23" s="43">
        <f>IFERROR(_xlfn.XLOOKUP($AM23,#REF!,#REF!),0)</f>
        <v>0</v>
      </c>
    </row>
    <row r="24" spans="1:51" x14ac:dyDescent="0.3">
      <c r="A24" s="1">
        <f>INT(3&amp;MID(_xlfn.XLOOKUP(B24,[2]Timeline!$B:$B,[2]Timeline!$A:$A),2,5)&amp;2)</f>
        <v>3304422</v>
      </c>
      <c r="B24" s="7" t="s">
        <v>157</v>
      </c>
      <c r="C24" s="7" t="s">
        <v>314</v>
      </c>
      <c r="D24" s="7" t="s">
        <v>502</v>
      </c>
      <c r="E24" s="1" t="str">
        <f t="shared" si="0"/>
        <v>skill_name_3304422</v>
      </c>
      <c r="F24" s="1" t="s">
        <v>117</v>
      </c>
      <c r="G24" s="1" t="s">
        <v>388</v>
      </c>
      <c r="H24" s="1" t="str">
        <f t="shared" si="1"/>
        <v>skill_desc_3304422</v>
      </c>
      <c r="I24" s="1" t="s">
        <v>205</v>
      </c>
      <c r="J24" s="1" t="str">
        <f>IFERROR(_xlfn.XLOOKUP(W24,Target!A:A,Target!J:J),"")</f>
        <v>Skill_Target_Icon_Enemy_Near_One</v>
      </c>
      <c r="K24" s="1" t="s">
        <v>205</v>
      </c>
      <c r="L24" s="1" t="str">
        <f>IFERROR(_xlfn.XLOOKUP(W24,Target!A:A,Target!K:K),"")</f>
        <v>Skill_Area_Icon_Pivot_Cross</v>
      </c>
      <c r="M24" s="1" t="str">
        <f>_xlfn.XLOOKUP(B24,'[2]Detail&lt;Child&gt;'!$B:$B,'[2]Detail&lt;Child&gt;'!$M:$M)</f>
        <v>Water</v>
      </c>
      <c r="N24" s="1" t="str">
        <f>_xlfn.XLOOKUP(B24,'[2]Detail&lt;Child&gt;'!$B:$B,'[2]Detail&lt;Child&gt;'!$N:$N)</f>
        <v>Attacker</v>
      </c>
      <c r="O24" s="1" t="s">
        <v>140</v>
      </c>
      <c r="P24" s="33">
        <v>0</v>
      </c>
      <c r="Q24" s="68" t="str" cm="1">
        <f t="array" ref="Q24">_xlfn.IFS(R24="Move","Move",R24="NonTargetMove","Move",R24="Static","Stand",R24="None","Stand")</f>
        <v>Move</v>
      </c>
      <c r="R24" s="1" t="s">
        <v>137</v>
      </c>
      <c r="S24" s="1">
        <v>2</v>
      </c>
      <c r="T24" s="2" t="str">
        <f t="shared" si="3"/>
        <v>SignalHit</v>
      </c>
      <c r="U24" s="2" t="str" cm="1">
        <f t="array" ref="U24">_xlfn.IFS(T24="SignalHIt","TurnEnd",T24="AttackBegin","TurnEnd",T24="AttackEnd","TurnEnd",T24="Immediately","Applied",T24="None","None")</f>
        <v>TurnEnd</v>
      </c>
      <c r="V24" s="2">
        <v>0</v>
      </c>
      <c r="W24" s="1">
        <v>2000016</v>
      </c>
      <c r="X24" s="8">
        <f t="shared" si="7"/>
        <v>33044221</v>
      </c>
      <c r="Y24" s="1" t="str">
        <f t="shared" si="4"/>
        <v>Immediately</v>
      </c>
      <c r="Z24" s="2" t="str" cm="1">
        <f t="array" ref="Z24">_xlfn.IFS(Y24="SignalHIt","TurnEnd",Y24="AttackBegin","TurnEnd",Y24="AttackEnd","TurnEnd",Y24="Immediately","Applied",Y24="None","None")</f>
        <v>Applied</v>
      </c>
      <c r="AA24" s="2">
        <v>0</v>
      </c>
      <c r="AB24" s="1">
        <v>0</v>
      </c>
      <c r="AC24" s="8">
        <v>0</v>
      </c>
      <c r="AD24" s="2" t="str">
        <f t="shared" si="5"/>
        <v>AttackEnd</v>
      </c>
      <c r="AE24" s="2" t="str" cm="1">
        <f t="array" ref="AE24">_xlfn.IFS(AD24="SignalHIt","TurnEnd",AD24="AttackBegin","TurnEnd",AD24="AttackEnd","TurnEnd",AD24="Immediately","Applied",AD24="None","None")</f>
        <v>TurnEnd</v>
      </c>
      <c r="AF24" s="2">
        <v>0</v>
      </c>
      <c r="AG24" s="1">
        <v>1</v>
      </c>
      <c r="AH24" s="8">
        <f>X24+1</f>
        <v>33044222</v>
      </c>
      <c r="AI24" s="2" t="str">
        <f t="shared" si="6"/>
        <v>Immediately</v>
      </c>
      <c r="AJ24" s="2" t="str" cm="1">
        <f t="array" ref="AJ24">_xlfn.IFS(AI24="SignalHIt","TurnEnd",AI24="AttackBegin","TurnEnd",AI24="AttackEnd","TurnEnd",AI24="Immediately","Applied",AI24="None","None")</f>
        <v>Applied</v>
      </c>
      <c r="AK24" s="2">
        <v>0</v>
      </c>
      <c r="AL24" s="8">
        <v>0</v>
      </c>
      <c r="AM24" s="48">
        <v>0</v>
      </c>
      <c r="AN24" s="45" t="str">
        <f>IFERROR(_xlfn.XLOOKUP(W24,Target!$A:$A,Target!$B:$B),"None")</f>
        <v>가까운 적 1명 십자</v>
      </c>
      <c r="AO24" s="43" t="str">
        <f>IFERROR(_xlfn.XLOOKUP($X24,'BuffValue&lt;Child&gt;'!$A:$A,'BuffValue&lt;Child&gt;'!$F:$F),"None")</f>
        <v>얼티밋 대미지</v>
      </c>
      <c r="AP24" s="43">
        <f>IFERROR(_xlfn.XLOOKUP($X24,'BuffValue&lt;Child&gt;'!$A:$A,'BuffValue&lt;Child&gt;'!$K:$K),0)</f>
        <v>190000</v>
      </c>
      <c r="AQ24" s="43" t="str">
        <f>IFERROR(_xlfn.XLOOKUP(AB24,Target!$A:$A,Target!$B:$B),"None")</f>
        <v>None</v>
      </c>
      <c r="AR24" s="45" t="str">
        <f>IFERROR(_xlfn.XLOOKUP($AC24,'BuffValue&lt;Child&gt;'!$A:$A,'BuffValue&lt;Child&gt;'!$F:$F),"None")</f>
        <v>None</v>
      </c>
      <c r="AS24" s="45">
        <f>IFERROR(_xlfn.XLOOKUP($AC24,'BuffValue&lt;Child&gt;'!$A:$A,'BuffValue&lt;Child&gt;'!$K:$K),0)</f>
        <v>0</v>
      </c>
      <c r="AT24" s="43" t="str">
        <f>IFERROR(_xlfn.XLOOKUP(AG24,Target!$A:$A,Target!$B:$B),"None")</f>
        <v xml:space="preserve"> 자신 1명 </v>
      </c>
      <c r="AU24" s="43" t="str">
        <f>IFERROR(_xlfn.XLOOKUP($AH24,'BuffValue&lt;Child&gt;'!$A:$A,'BuffValue&lt;Child&gt;'!$F:$F),"None")</f>
        <v>회복%</v>
      </c>
      <c r="AV24" s="43">
        <f>IFERROR(_xlfn.XLOOKUP($AH24,'BuffValue&lt;Child&gt;'!$A:$A,'BuffValue&lt;Child&gt;'!$K:$K),0)</f>
        <v>20000</v>
      </c>
      <c r="AW24" s="43" t="str">
        <f>IFERROR(_xlfn.XLOOKUP(AL24,Target!$A:$A,Target!$B:$B),"None")</f>
        <v>None</v>
      </c>
      <c r="AX24" s="43" t="str">
        <f>IFERROR(_xlfn.XLOOKUP($AM24,'BuffValue&lt;Child&gt;'!$A:$A,'BuffValue&lt;Child&gt;'!$F:$F),"None")</f>
        <v>None</v>
      </c>
      <c r="AY24" s="43">
        <f>IFERROR(_xlfn.XLOOKUP($AM24,#REF!,#REF!),0)</f>
        <v>0</v>
      </c>
    </row>
    <row r="25" spans="1:51" x14ac:dyDescent="0.3">
      <c r="A25" s="1">
        <f>INT(3&amp;MID(_xlfn.XLOOKUP(B25,[2]Timeline!$B:$B,[2]Timeline!$A:$A),2,5)&amp;3)</f>
        <v>3304423</v>
      </c>
      <c r="B25" s="7" t="s">
        <v>157</v>
      </c>
      <c r="C25" s="7" t="s">
        <v>314</v>
      </c>
      <c r="D25" s="7" t="s">
        <v>503</v>
      </c>
      <c r="E25" s="1" t="str">
        <f t="shared" si="0"/>
        <v>skill_name_3304423</v>
      </c>
      <c r="F25" s="1" t="s">
        <v>117</v>
      </c>
      <c r="G25" s="1" t="s">
        <v>388</v>
      </c>
      <c r="H25" s="1" t="str">
        <f t="shared" si="1"/>
        <v>skill_desc_3304423</v>
      </c>
      <c r="I25" s="1" t="s">
        <v>205</v>
      </c>
      <c r="J25" s="1" t="str">
        <f>IFERROR(_xlfn.XLOOKUP(W25,Target!A:A,Target!J:J),"")</f>
        <v>Skill_Target_Icon_Enemy_Near_One</v>
      </c>
      <c r="K25" s="1" t="s">
        <v>205</v>
      </c>
      <c r="L25" s="1" t="str">
        <f>IFERROR(_xlfn.XLOOKUP(W25,Target!A:A,Target!K:K),"")</f>
        <v>Skill_Area_Icon_Pivot_Cross</v>
      </c>
      <c r="M25" s="1" t="str">
        <f>_xlfn.XLOOKUP(B25,'[2]Detail&lt;Child&gt;'!$B:$B,'[2]Detail&lt;Child&gt;'!$M:$M)</f>
        <v>Water</v>
      </c>
      <c r="N25" s="1" t="str">
        <f>_xlfn.XLOOKUP(B25,'[2]Detail&lt;Child&gt;'!$B:$B,'[2]Detail&lt;Child&gt;'!$N:$N)</f>
        <v>Attacker</v>
      </c>
      <c r="O25" s="1" t="s">
        <v>140</v>
      </c>
      <c r="P25" s="33">
        <v>0</v>
      </c>
      <c r="Q25" s="68" t="str" cm="1">
        <f t="array" ref="Q25">_xlfn.IFS(R25="Move","Move",R25="NonTargetMove","Move",R25="Static","Stand",R25="None","Stand")</f>
        <v>Move</v>
      </c>
      <c r="R25" s="1" t="s">
        <v>137</v>
      </c>
      <c r="S25" s="1">
        <v>2</v>
      </c>
      <c r="T25" s="2" t="str">
        <f t="shared" si="3"/>
        <v>SignalHit</v>
      </c>
      <c r="U25" s="2" t="str" cm="1">
        <f t="array" ref="U25">_xlfn.IFS(T25="SignalHIt","TurnEnd",T25="AttackBegin","TurnEnd",T25="AttackEnd","TurnEnd",T25="Immediately","Applied",T25="None","None")</f>
        <v>TurnEnd</v>
      </c>
      <c r="V25" s="2">
        <v>0</v>
      </c>
      <c r="W25" s="1">
        <v>2000016</v>
      </c>
      <c r="X25" s="8">
        <f t="shared" si="7"/>
        <v>33044231</v>
      </c>
      <c r="Y25" s="1" t="str">
        <f t="shared" si="4"/>
        <v>Immediately</v>
      </c>
      <c r="Z25" s="2" t="str" cm="1">
        <f t="array" ref="Z25">_xlfn.IFS(Y25="SignalHIt","TurnEnd",Y25="AttackBegin","TurnEnd",Y25="AttackEnd","TurnEnd",Y25="Immediately","Applied",Y25="None","None")</f>
        <v>Applied</v>
      </c>
      <c r="AA25" s="2">
        <v>0</v>
      </c>
      <c r="AB25" s="1">
        <v>0</v>
      </c>
      <c r="AC25" s="8">
        <v>0</v>
      </c>
      <c r="AD25" s="2" t="str">
        <f t="shared" si="5"/>
        <v>AttackEnd</v>
      </c>
      <c r="AE25" s="2" t="str" cm="1">
        <f t="array" ref="AE25">_xlfn.IFS(AD25="SignalHIt","TurnEnd",AD25="AttackBegin","TurnEnd",AD25="AttackEnd","TurnEnd",AD25="Immediately","Applied",AD25="None","None")</f>
        <v>TurnEnd</v>
      </c>
      <c r="AF25" s="2">
        <v>0</v>
      </c>
      <c r="AG25" s="1">
        <v>1</v>
      </c>
      <c r="AH25" s="8">
        <f>X25+1</f>
        <v>33044232</v>
      </c>
      <c r="AI25" s="2" t="str">
        <f t="shared" si="6"/>
        <v>Immediately</v>
      </c>
      <c r="AJ25" s="2" t="str" cm="1">
        <f t="array" ref="AJ25">_xlfn.IFS(AI25="SignalHIt","TurnEnd",AI25="AttackBegin","TurnEnd",AI25="AttackEnd","TurnEnd",AI25="Immediately","Applied",AI25="None","None")</f>
        <v>Applied</v>
      </c>
      <c r="AK25" s="2">
        <v>0</v>
      </c>
      <c r="AL25" s="8">
        <v>0</v>
      </c>
      <c r="AM25" s="48">
        <v>0</v>
      </c>
      <c r="AN25" s="45" t="str">
        <f>IFERROR(_xlfn.XLOOKUP(W25,Target!$A:$A,Target!$B:$B),"None")</f>
        <v>가까운 적 1명 십자</v>
      </c>
      <c r="AO25" s="43" t="str">
        <f>IFERROR(_xlfn.XLOOKUP($X25,'BuffValue&lt;Child&gt;'!$A:$A,'BuffValue&lt;Child&gt;'!$F:$F),"None")</f>
        <v>얼티밋 대미지</v>
      </c>
      <c r="AP25" s="43">
        <f>IFERROR(_xlfn.XLOOKUP($X25,'BuffValue&lt;Child&gt;'!$A:$A,'BuffValue&lt;Child&gt;'!$K:$K),0)</f>
        <v>190000</v>
      </c>
      <c r="AQ25" s="43" t="str">
        <f>IFERROR(_xlfn.XLOOKUP(AB25,Target!$A:$A,Target!$B:$B),"None")</f>
        <v>None</v>
      </c>
      <c r="AR25" s="45" t="str">
        <f>IFERROR(_xlfn.XLOOKUP($AC25,'BuffValue&lt;Child&gt;'!$A:$A,'BuffValue&lt;Child&gt;'!$F:$F),"None")</f>
        <v>None</v>
      </c>
      <c r="AS25" s="45">
        <f>IFERROR(_xlfn.XLOOKUP($AC25,'BuffValue&lt;Child&gt;'!$A:$A,'BuffValue&lt;Child&gt;'!$K:$K),0)</f>
        <v>0</v>
      </c>
      <c r="AT25" s="43" t="str">
        <f>IFERROR(_xlfn.XLOOKUP(AG25,Target!$A:$A,Target!$B:$B),"None")</f>
        <v xml:space="preserve"> 자신 1명 </v>
      </c>
      <c r="AU25" s="43" t="str">
        <f>IFERROR(_xlfn.XLOOKUP($AH25,'BuffValue&lt;Child&gt;'!$A:$A,'BuffValue&lt;Child&gt;'!$F:$F),"None")</f>
        <v>회복%</v>
      </c>
      <c r="AV25" s="43">
        <f>IFERROR(_xlfn.XLOOKUP($AH25,'BuffValue&lt;Child&gt;'!$A:$A,'BuffValue&lt;Child&gt;'!$K:$K),0)</f>
        <v>20000</v>
      </c>
      <c r="AW25" s="43" t="str">
        <f>IFERROR(_xlfn.XLOOKUP(AL25,Target!$A:$A,Target!$B:$B),"None")</f>
        <v>None</v>
      </c>
      <c r="AX25" s="43" t="str">
        <f>IFERROR(_xlfn.XLOOKUP($AM25,'BuffValue&lt;Child&gt;'!$A:$A,'BuffValue&lt;Child&gt;'!$F:$F),"None")</f>
        <v>None</v>
      </c>
      <c r="AY25" s="43">
        <f>IFERROR(_xlfn.XLOOKUP($AM25,#REF!,#REF!),0)</f>
        <v>0</v>
      </c>
    </row>
    <row r="26" spans="1:51" x14ac:dyDescent="0.3">
      <c r="A26" s="1">
        <f>INT(4&amp;MID(_xlfn.XLOOKUP(B26,[2]Timeline!$B:$B,[2]Timeline!$A:$A),2,5)&amp;1)</f>
        <v>4304421</v>
      </c>
      <c r="B26" s="7" t="s">
        <v>157</v>
      </c>
      <c r="C26" s="7" t="s">
        <v>122</v>
      </c>
      <c r="D26" s="7" t="s">
        <v>519</v>
      </c>
      <c r="E26" s="1" t="str">
        <f t="shared" si="0"/>
        <v>skill_name_4304421</v>
      </c>
      <c r="F26" s="1" t="s">
        <v>117</v>
      </c>
      <c r="G26" s="1" t="s">
        <v>472</v>
      </c>
      <c r="H26" s="1" t="str">
        <f t="shared" si="1"/>
        <v>skill_desc_4304421</v>
      </c>
      <c r="I26" s="1" t="s">
        <v>205</v>
      </c>
      <c r="J26" s="1" t="str">
        <f>IFERROR(_xlfn.XLOOKUP(W26,Target!A:A,Target!J:J),"")</f>
        <v>Skill_Target_Icon_Mine</v>
      </c>
      <c r="K26" s="1" t="s">
        <v>205</v>
      </c>
      <c r="L26" s="1" t="str">
        <f>IFERROR(_xlfn.XLOOKUP(W26,Target!A:A,Target!K:K),"")</f>
        <v>Skill_Area_Icon_Pivot_Centor</v>
      </c>
      <c r="M26" s="1" t="str">
        <f>_xlfn.XLOOKUP(B26,'[2]Detail&lt;Child&gt;'!$B:$B,'[2]Detail&lt;Child&gt;'!$M:$M)</f>
        <v>Water</v>
      </c>
      <c r="N26" s="1" t="str">
        <f>_xlfn.XLOOKUP(B26,'[2]Detail&lt;Child&gt;'!$B:$B,'[2]Detail&lt;Child&gt;'!$N:$N)</f>
        <v>Attacker</v>
      </c>
      <c r="O26" s="1" t="s">
        <v>167</v>
      </c>
      <c r="P26" s="33">
        <v>0</v>
      </c>
      <c r="Q26" s="68" t="str" cm="1">
        <f t="array" ref="Q26">_xlfn.IFS(R26="Move","Move",R26="NonTargetMove","Move",R26="Static","Stand",R26="None","Stand")</f>
        <v>Stand</v>
      </c>
      <c r="R26" s="1" t="s">
        <v>136</v>
      </c>
      <c r="S26" s="1">
        <v>0</v>
      </c>
      <c r="T26" s="2" t="str">
        <f t="shared" si="3"/>
        <v>Immediately</v>
      </c>
      <c r="U26" s="2" t="str" cm="1">
        <f t="array" ref="U26">_xlfn.IFS(T26="SignalHIt","TurnEnd",T26="AttackBegin","TurnEnd",T26="AttackEnd","TurnEnd",T26="Immediately","Applied",T26="None","None")</f>
        <v>Applied</v>
      </c>
      <c r="V26" s="2">
        <v>0</v>
      </c>
      <c r="W26" s="1">
        <v>1</v>
      </c>
      <c r="X26" s="8">
        <f t="shared" si="7"/>
        <v>43044211</v>
      </c>
      <c r="Y26" s="1" t="str">
        <f t="shared" si="4"/>
        <v>Immediately</v>
      </c>
      <c r="Z26" s="2" t="str" cm="1">
        <f t="array" ref="Z26">_xlfn.IFS(Y26="SignalHIt","TurnEnd",Y26="AttackBegin","TurnEnd",Y26="AttackEnd","TurnEnd",Y26="Immediately","Applied",Y26="None","None")</f>
        <v>Applied</v>
      </c>
      <c r="AA26" s="2">
        <v>0</v>
      </c>
      <c r="AB26" s="1">
        <v>0</v>
      </c>
      <c r="AC26" s="8">
        <v>0</v>
      </c>
      <c r="AD26" s="2" t="str">
        <f t="shared" si="5"/>
        <v>Immediately</v>
      </c>
      <c r="AE26" s="2" t="str" cm="1">
        <f t="array" ref="AE26">_xlfn.IFS(AD26="SignalHIt","TurnEnd",AD26="AttackBegin","TurnEnd",AD26="AttackEnd","TurnEnd",AD26="Immediately","Applied",AD26="None","None")</f>
        <v>Applied</v>
      </c>
      <c r="AF26" s="2">
        <v>0</v>
      </c>
      <c r="AG26" s="1">
        <v>0</v>
      </c>
      <c r="AH26" s="8">
        <v>0</v>
      </c>
      <c r="AI26" s="2" t="str">
        <f t="shared" si="6"/>
        <v>Immediately</v>
      </c>
      <c r="AJ26" s="2" t="str" cm="1">
        <f t="array" ref="AJ26">_xlfn.IFS(AI26="SignalHIt","TurnEnd",AI26="AttackBegin","TurnEnd",AI26="AttackEnd","TurnEnd",AI26="Immediately","Applied",AI26="None","None")</f>
        <v>Applied</v>
      </c>
      <c r="AK26" s="2">
        <v>0</v>
      </c>
      <c r="AL26" s="8">
        <v>0</v>
      </c>
      <c r="AM26" s="48">
        <v>0</v>
      </c>
      <c r="AN26" s="45" t="str">
        <f>IFERROR(_xlfn.XLOOKUP(W26,Target!$A:$A,Target!$B:$B),"None")</f>
        <v xml:space="preserve"> 자신 1명 </v>
      </c>
      <c r="AO26" s="43" t="str">
        <f>IFERROR(_xlfn.XLOOKUP($X26,'BuffValue&lt;Child&gt;'!$A:$A,'BuffValue&lt;Child&gt;'!$F:$F),"None")</f>
        <v>니르티 패시브 * 죽은 아군 수</v>
      </c>
      <c r="AP26" s="43">
        <f>IFERROR(_xlfn.XLOOKUP($X26,'BuffValue&lt;Child&gt;'!$A:$A,'BuffValue&lt;Child&gt;'!$K:$K),0)</f>
        <v>30000</v>
      </c>
      <c r="AQ26" s="43" t="str">
        <f>IFERROR(_xlfn.XLOOKUP(AB26,Target!$A:$A,Target!$B:$B),"None")</f>
        <v>None</v>
      </c>
      <c r="AR26" s="45" t="str">
        <f>IFERROR(_xlfn.XLOOKUP($AC26,'BuffValue&lt;Child&gt;'!$A:$A,'BuffValue&lt;Child&gt;'!$F:$F),"None")</f>
        <v>None</v>
      </c>
      <c r="AS26" s="45">
        <f>IFERROR(_xlfn.XLOOKUP($AC26,'BuffValue&lt;Child&gt;'!$A:$A,'BuffValue&lt;Child&gt;'!$K:$K),0)</f>
        <v>0</v>
      </c>
      <c r="AT26" s="43" t="str">
        <f>IFERROR(_xlfn.XLOOKUP(AG26,Target!$A:$A,Target!$B:$B),"None")</f>
        <v>None</v>
      </c>
      <c r="AU26" s="43" t="str">
        <f>IFERROR(_xlfn.XLOOKUP($AH26,'BuffValue&lt;Child&gt;'!$A:$A,'BuffValue&lt;Child&gt;'!$F:$F),"None")</f>
        <v>None</v>
      </c>
      <c r="AV26" s="43">
        <f>IFERROR(_xlfn.XLOOKUP($AH26,'BuffValue&lt;Child&gt;'!$A:$A,'BuffValue&lt;Child&gt;'!$K:$K),0)</f>
        <v>0</v>
      </c>
      <c r="AW26" s="43" t="str">
        <f>IFERROR(_xlfn.XLOOKUP(AL26,Target!$A:$A,Target!$B:$B),"None")</f>
        <v>None</v>
      </c>
      <c r="AX26" s="43" t="str">
        <f>IFERROR(_xlfn.XLOOKUP($AM26,'BuffValue&lt;Child&gt;'!$A:$A,'BuffValue&lt;Child&gt;'!$F:$F),"None")</f>
        <v>None</v>
      </c>
      <c r="AY26" s="43">
        <f>IFERROR(_xlfn.XLOOKUP($AM26,#REF!,#REF!),0)</f>
        <v>0</v>
      </c>
    </row>
    <row r="27" spans="1:51" x14ac:dyDescent="0.3">
      <c r="A27" s="1">
        <f>INT(4&amp;MID(_xlfn.XLOOKUP(B27,[2]Timeline!$B:$B,[2]Timeline!$A:$A),2,5)&amp;2)</f>
        <v>4304422</v>
      </c>
      <c r="B27" s="7" t="s">
        <v>157</v>
      </c>
      <c r="C27" s="7" t="s">
        <v>122</v>
      </c>
      <c r="D27" s="7" t="s">
        <v>519</v>
      </c>
      <c r="E27" s="1" t="str">
        <f t="shared" si="0"/>
        <v>skill_name_4304422</v>
      </c>
      <c r="F27" s="1" t="s">
        <v>117</v>
      </c>
      <c r="G27" s="1" t="s">
        <v>472</v>
      </c>
      <c r="H27" s="1" t="str">
        <f t="shared" si="1"/>
        <v>skill_desc_4304422</v>
      </c>
      <c r="I27" s="1" t="s">
        <v>205</v>
      </c>
      <c r="J27" s="1" t="str">
        <f>IFERROR(_xlfn.XLOOKUP(W27,Target!A:A,Target!J:J),"")</f>
        <v>Skill_Target_Icon_Mine</v>
      </c>
      <c r="K27" s="1" t="s">
        <v>205</v>
      </c>
      <c r="L27" s="1" t="str">
        <f>IFERROR(_xlfn.XLOOKUP(W27,Target!A:A,Target!K:K),"")</f>
        <v>Skill_Area_Icon_Pivot_Centor</v>
      </c>
      <c r="M27" s="1" t="str">
        <f>_xlfn.XLOOKUP(B27,'[2]Detail&lt;Child&gt;'!$B:$B,'[2]Detail&lt;Child&gt;'!$M:$M)</f>
        <v>Water</v>
      </c>
      <c r="N27" s="1" t="str">
        <f>_xlfn.XLOOKUP(B27,'[2]Detail&lt;Child&gt;'!$B:$B,'[2]Detail&lt;Child&gt;'!$N:$N)</f>
        <v>Attacker</v>
      </c>
      <c r="O27" s="1" t="s">
        <v>167</v>
      </c>
      <c r="P27" s="33">
        <v>0</v>
      </c>
      <c r="Q27" s="68" t="str" cm="1">
        <f t="array" ref="Q27">_xlfn.IFS(R27="Move","Move",R27="NonTargetMove","Move",R27="Static","Stand",R27="None","Stand")</f>
        <v>Stand</v>
      </c>
      <c r="R27" s="1" t="s">
        <v>136</v>
      </c>
      <c r="S27" s="1">
        <f>IF(R27="Static",0,1)</f>
        <v>0</v>
      </c>
      <c r="T27" s="2" t="str">
        <f t="shared" si="3"/>
        <v>Immediately</v>
      </c>
      <c r="U27" s="2" t="str" cm="1">
        <f t="array" ref="U27">_xlfn.IFS(T27="SignalHIt","TurnEnd",T27="AttackBegin","TurnEnd",T27="AttackEnd","TurnEnd",T27="Immediately","Applied",T27="None","None")</f>
        <v>Applied</v>
      </c>
      <c r="V27" s="2">
        <v>0</v>
      </c>
      <c r="W27" s="1">
        <v>1</v>
      </c>
      <c r="X27" s="8">
        <f t="shared" si="7"/>
        <v>43044221</v>
      </c>
      <c r="Y27" s="1" t="str">
        <f t="shared" si="4"/>
        <v>Immediately</v>
      </c>
      <c r="Z27" s="2" t="str" cm="1">
        <f t="array" ref="Z27">_xlfn.IFS(Y27="SignalHIt","TurnEnd",Y27="AttackBegin","TurnEnd",Y27="AttackEnd","TurnEnd",Y27="Immediately","Applied",Y27="None","None")</f>
        <v>Applied</v>
      </c>
      <c r="AA27" s="2">
        <v>0</v>
      </c>
      <c r="AB27" s="1">
        <v>0</v>
      </c>
      <c r="AC27" s="8">
        <v>0</v>
      </c>
      <c r="AD27" s="2" t="str">
        <f t="shared" si="5"/>
        <v>Immediately</v>
      </c>
      <c r="AE27" s="2" t="str" cm="1">
        <f t="array" ref="AE27">_xlfn.IFS(AD27="SignalHIt","TurnEnd",AD27="AttackBegin","TurnEnd",AD27="AttackEnd","TurnEnd",AD27="Immediately","Applied",AD27="None","None")</f>
        <v>Applied</v>
      </c>
      <c r="AF27" s="2">
        <v>0</v>
      </c>
      <c r="AG27" s="1">
        <v>0</v>
      </c>
      <c r="AH27" s="8">
        <v>0</v>
      </c>
      <c r="AI27" s="2" t="str">
        <f t="shared" si="6"/>
        <v>Immediately</v>
      </c>
      <c r="AJ27" s="2" t="str" cm="1">
        <f t="array" ref="AJ27">_xlfn.IFS(AI27="SignalHIt","TurnEnd",AI27="AttackBegin","TurnEnd",AI27="AttackEnd","TurnEnd",AI27="Immediately","Applied",AI27="None","None")</f>
        <v>Applied</v>
      </c>
      <c r="AK27" s="2">
        <v>0</v>
      </c>
      <c r="AL27" s="8">
        <v>0</v>
      </c>
      <c r="AM27" s="48">
        <v>0</v>
      </c>
      <c r="AN27" s="45" t="str">
        <f>IFERROR(_xlfn.XLOOKUP(W27,Target!$A:$A,Target!$B:$B),"None")</f>
        <v xml:space="preserve"> 자신 1명 </v>
      </c>
      <c r="AO27" s="43" t="str">
        <f>IFERROR(_xlfn.XLOOKUP($X27,'BuffValue&lt;Child&gt;'!$A:$A,'BuffValue&lt;Child&gt;'!$F:$F),"None")</f>
        <v>니르티 패시브 * 죽은 아군 수</v>
      </c>
      <c r="AP27" s="43">
        <f>IFERROR(_xlfn.XLOOKUP($X27,'BuffValue&lt;Child&gt;'!$A:$A,'BuffValue&lt;Child&gt;'!$K:$K),0)</f>
        <v>30000</v>
      </c>
      <c r="AQ27" s="43" t="str">
        <f>IFERROR(_xlfn.XLOOKUP(AB27,Target!$A:$A,Target!$B:$B),"None")</f>
        <v>None</v>
      </c>
      <c r="AR27" s="45" t="str">
        <f>IFERROR(_xlfn.XLOOKUP($AC27,'BuffValue&lt;Child&gt;'!$A:$A,'BuffValue&lt;Child&gt;'!$F:$F),"None")</f>
        <v>None</v>
      </c>
      <c r="AS27" s="45">
        <f>IFERROR(_xlfn.XLOOKUP($AC27,'BuffValue&lt;Child&gt;'!$A:$A,'BuffValue&lt;Child&gt;'!$K:$K),0)</f>
        <v>0</v>
      </c>
      <c r="AT27" s="43" t="str">
        <f>IFERROR(_xlfn.XLOOKUP(AG27,Target!$A:$A,Target!$B:$B),"None")</f>
        <v>None</v>
      </c>
      <c r="AU27" s="43" t="str">
        <f>IFERROR(_xlfn.XLOOKUP($AH27,'BuffValue&lt;Child&gt;'!$A:$A,'BuffValue&lt;Child&gt;'!$F:$F),"None")</f>
        <v>None</v>
      </c>
      <c r="AV27" s="43">
        <f>IFERROR(_xlfn.XLOOKUP($AH27,'BuffValue&lt;Child&gt;'!$A:$A,'BuffValue&lt;Child&gt;'!$K:$K),0)</f>
        <v>0</v>
      </c>
      <c r="AW27" s="43" t="str">
        <f>IFERROR(_xlfn.XLOOKUP(AL27,Target!$A:$A,Target!$B:$B),"None")</f>
        <v>None</v>
      </c>
      <c r="AX27" s="43" t="str">
        <f>IFERROR(_xlfn.XLOOKUP($AM27,'BuffValue&lt;Child&gt;'!$A:$A,'BuffValue&lt;Child&gt;'!$F:$F),"None")</f>
        <v>None</v>
      </c>
      <c r="AY27" s="43">
        <f>IFERROR(_xlfn.XLOOKUP($AM27,#REF!,#REF!),0)</f>
        <v>0</v>
      </c>
    </row>
    <row r="28" spans="1:51" s="11" customFormat="1" x14ac:dyDescent="0.3">
      <c r="A28" s="11">
        <f>INT(1&amp;MID(_xlfn.XLOOKUP(B28,[2]Timeline!$B:$B,[2]Timeline!$A:$A),2,5)&amp;1)</f>
        <v>1301831</v>
      </c>
      <c r="B28" s="12" t="s">
        <v>102</v>
      </c>
      <c r="C28" s="12" t="s">
        <v>114</v>
      </c>
      <c r="D28" s="12" t="s">
        <v>341</v>
      </c>
      <c r="E28" s="11" t="str">
        <f t="shared" si="0"/>
        <v>skill_name_1301831</v>
      </c>
      <c r="F28" s="11" t="s">
        <v>117</v>
      </c>
      <c r="G28" s="11" t="s">
        <v>438</v>
      </c>
      <c r="H28" s="11" t="str">
        <f t="shared" si="1"/>
        <v>skill_desc_1301831</v>
      </c>
      <c r="I28" s="11" t="s">
        <v>205</v>
      </c>
      <c r="J28" s="11" t="str">
        <f>IFERROR(_xlfn.XLOOKUP(W28,Target!A:A,Target!J:J),"")</f>
        <v>Skill_Target_Icon_Enemy_Near_One</v>
      </c>
      <c r="K28" s="11" t="s">
        <v>205</v>
      </c>
      <c r="L28" s="11" t="str">
        <f>IFERROR(_xlfn.XLOOKUP(W28,Target!A:A,Target!K:K),"")</f>
        <v>Skill_Area_Icon_Pivot_Centor</v>
      </c>
      <c r="M28" s="11" t="str">
        <f>_xlfn.XLOOKUP(B28,'[2]Detail&lt;Child&gt;'!$B:$B,'[2]Detail&lt;Child&gt;'!$M:$M)</f>
        <v>Light</v>
      </c>
      <c r="N28" s="11" t="str">
        <f>_xlfn.XLOOKUP(B28,'[2]Detail&lt;Child&gt;'!$B:$B,'[2]Detail&lt;Child&gt;'!$N:$N)</f>
        <v>Healer</v>
      </c>
      <c r="O28" s="11" t="s">
        <v>31</v>
      </c>
      <c r="P28" s="34">
        <v>0</v>
      </c>
      <c r="Q28" s="69" t="str" cm="1">
        <f t="array" ref="Q28">_xlfn.IFS(R28="Move","Move",R28="NonTargetMove","Move",R28="Static","Stand",R28="None","Stand")</f>
        <v>Stand</v>
      </c>
      <c r="R28" s="11" t="s">
        <v>139</v>
      </c>
      <c r="S28" s="11">
        <f>IF(R28="Static",0,1)</f>
        <v>0</v>
      </c>
      <c r="T28" s="15" t="str">
        <f t="shared" si="3"/>
        <v>SignalHit</v>
      </c>
      <c r="U28" s="15" t="str" cm="1">
        <f t="array" ref="U28">_xlfn.IFS(T28="SignalHIt","TurnEnd",T28="AttackBegin","TurnEnd",T28="AttackEnd","TurnEnd",T28="Immediately","Applied",T28="None","None")</f>
        <v>TurnEnd</v>
      </c>
      <c r="V28" s="15">
        <v>0</v>
      </c>
      <c r="W28" s="15">
        <v>2000011</v>
      </c>
      <c r="X28" s="10">
        <v>13018311</v>
      </c>
      <c r="Y28" s="11" t="str">
        <f t="shared" si="4"/>
        <v>Immediately</v>
      </c>
      <c r="Z28" s="15" t="str" cm="1">
        <f t="array" ref="Z28">_xlfn.IFS(Y28="SignalHIt","TurnEnd",Y28="AttackBegin","TurnEnd",Y28="AttackEnd","TurnEnd",Y28="Immediately","Applied",Y28="None","None")</f>
        <v>Applied</v>
      </c>
      <c r="AA28" s="15">
        <v>0</v>
      </c>
      <c r="AB28" s="10">
        <v>0</v>
      </c>
      <c r="AC28" s="10">
        <v>0</v>
      </c>
      <c r="AD28" s="15" t="str">
        <f t="shared" si="5"/>
        <v>Immediately</v>
      </c>
      <c r="AE28" s="15" t="str" cm="1">
        <f t="array" ref="AE28">_xlfn.IFS(AD28="SignalHIt","TurnEnd",AD28="AttackBegin","TurnEnd",AD28="AttackEnd","TurnEnd",AD28="Immediately","Applied",AD28="None","None")</f>
        <v>Applied</v>
      </c>
      <c r="AF28" s="15">
        <v>0</v>
      </c>
      <c r="AG28" s="10">
        <v>0</v>
      </c>
      <c r="AH28" s="10">
        <v>0</v>
      </c>
      <c r="AI28" s="15" t="str">
        <f t="shared" si="6"/>
        <v>Immediately</v>
      </c>
      <c r="AJ28" s="15" t="str" cm="1">
        <f t="array" ref="AJ28">_xlfn.IFS(AI28="SignalHIt","TurnEnd",AI28="AttackBegin","TurnEnd",AI28="AttackEnd","TurnEnd",AI28="Immediately","Applied",AI28="None","None")</f>
        <v>Applied</v>
      </c>
      <c r="AK28" s="15">
        <v>0</v>
      </c>
      <c r="AL28" s="10">
        <v>0</v>
      </c>
      <c r="AM28" s="50">
        <v>0</v>
      </c>
      <c r="AN28" s="46" t="str">
        <f>IFERROR(_xlfn.XLOOKUP(W28,Target!$A:$A,Target!$B:$B),"None")</f>
        <v xml:space="preserve">가까운 적 1명 </v>
      </c>
      <c r="AO28" s="47" t="str">
        <f>IFERROR(_xlfn.XLOOKUP($X28,'BuffValue&lt;Child&gt;'!$A:$A,'BuffValue&lt;Child&gt;'!$F:$F),"None")</f>
        <v>공용 대미지</v>
      </c>
      <c r="AP28" s="47">
        <f>IFERROR(_xlfn.XLOOKUP($X28,'BuffValue&lt;Child&gt;'!$A:$A,'BuffValue&lt;Child&gt;'!$K:$K),0)</f>
        <v>285000</v>
      </c>
      <c r="AQ28" s="47" t="str">
        <f>IFERROR(_xlfn.XLOOKUP(AB28,Target!$A:$A,Target!$B:$B),"None")</f>
        <v>None</v>
      </c>
      <c r="AR28" s="46" t="str">
        <f>IFERROR(_xlfn.XLOOKUP($AC28,'BuffValue&lt;Child&gt;'!$A:$A,'BuffValue&lt;Child&gt;'!$F:$F),"None")</f>
        <v>None</v>
      </c>
      <c r="AS28" s="46">
        <f>IFERROR(_xlfn.XLOOKUP($AC28,'BuffValue&lt;Child&gt;'!$A:$A,'BuffValue&lt;Child&gt;'!$K:$K),0)</f>
        <v>0</v>
      </c>
      <c r="AT28" s="47" t="str">
        <f>IFERROR(_xlfn.XLOOKUP(AG28,Target!$A:$A,Target!$B:$B),"None")</f>
        <v>None</v>
      </c>
      <c r="AU28" s="47" t="str">
        <f>IFERROR(_xlfn.XLOOKUP($AH28,'BuffValue&lt;Child&gt;'!$A:$A,'BuffValue&lt;Child&gt;'!$F:$F),"None")</f>
        <v>None</v>
      </c>
      <c r="AV28" s="47">
        <f>IFERROR(_xlfn.XLOOKUP($AH28,'BuffValue&lt;Child&gt;'!$A:$A,'BuffValue&lt;Child&gt;'!$K:$K),0)</f>
        <v>0</v>
      </c>
      <c r="AW28" s="47" t="str">
        <f>IFERROR(_xlfn.XLOOKUP(AL28,Target!$A:$A,Target!$B:$B),"None")</f>
        <v>None</v>
      </c>
      <c r="AX28" s="47" t="str">
        <f>IFERROR(_xlfn.XLOOKUP($AM28,'BuffValue&lt;Child&gt;'!$A:$A,'BuffValue&lt;Child&gt;'!$F:$F),"None")</f>
        <v>None</v>
      </c>
      <c r="AY28" s="47">
        <f>IFERROR(_xlfn.XLOOKUP($AM28,#REF!,#REF!),0)</f>
        <v>0</v>
      </c>
    </row>
    <row r="29" spans="1:51" x14ac:dyDescent="0.3">
      <c r="A29" s="1">
        <f>INT(2&amp;MID(_xlfn.XLOOKUP(B29,[2]Timeline!$B:$B,[2]Timeline!$A:$A),2,5)&amp;1)</f>
        <v>2301831</v>
      </c>
      <c r="B29" s="7" t="s">
        <v>101</v>
      </c>
      <c r="C29" s="7" t="s">
        <v>246</v>
      </c>
      <c r="D29" s="7" t="s">
        <v>495</v>
      </c>
      <c r="E29" s="1" t="str">
        <f t="shared" si="0"/>
        <v>skill_name_2301831</v>
      </c>
      <c r="F29" s="1" t="s">
        <v>117</v>
      </c>
      <c r="G29" s="1" t="s">
        <v>437</v>
      </c>
      <c r="H29" s="1" t="str">
        <f t="shared" si="1"/>
        <v>skill_desc_2301831</v>
      </c>
      <c r="I29" s="1" t="s">
        <v>205</v>
      </c>
      <c r="J29" s="1" t="str">
        <f>IFERROR(_xlfn.XLOOKUP(W29,Target!A:A,Target!J:J),"")</f>
        <v>Skill_Target_Icon_Ally_LowHp_One</v>
      </c>
      <c r="K29" s="1" t="s">
        <v>205</v>
      </c>
      <c r="L29" s="1" t="str">
        <f>IFERROR(_xlfn.XLOOKUP(W29,Target!A:A,Target!K:K),"")</f>
        <v>Skill_Area_Icon_Pivot_Centor</v>
      </c>
      <c r="M29" s="1" t="str">
        <f>_xlfn.XLOOKUP(B29,'[2]Detail&lt;Child&gt;'!$B:$B,'[2]Detail&lt;Child&gt;'!$M:$M)</f>
        <v>Light</v>
      </c>
      <c r="N29" s="1" t="str">
        <f>_xlfn.XLOOKUP(B29,'[2]Detail&lt;Child&gt;'!$B:$B,'[2]Detail&lt;Child&gt;'!$N:$N)</f>
        <v>Healer</v>
      </c>
      <c r="O29" s="1" t="s">
        <v>33</v>
      </c>
      <c r="P29" s="33">
        <v>3</v>
      </c>
      <c r="Q29" s="68" t="s">
        <v>496</v>
      </c>
      <c r="R29" s="1" t="s">
        <v>136</v>
      </c>
      <c r="S29" s="1">
        <f>IF(R29="Static",0,1)</f>
        <v>0</v>
      </c>
      <c r="T29" s="2" t="str">
        <f t="shared" si="3"/>
        <v>SignalHit</v>
      </c>
      <c r="U29" s="2" t="str" cm="1">
        <f t="array" ref="U29">_xlfn.IFS(T29="SignalHIt","TurnEnd",T29="AttackBegin","TurnEnd",T29="AttackEnd","TurnEnd",T29="Immediately","Applied",T29="None","None")</f>
        <v>TurnEnd</v>
      </c>
      <c r="V29" s="2">
        <v>0</v>
      </c>
      <c r="W29" s="1">
        <v>1000101</v>
      </c>
      <c r="X29" s="8">
        <v>23018311</v>
      </c>
      <c r="Y29" s="1" t="str">
        <f t="shared" si="4"/>
        <v>Immediately</v>
      </c>
      <c r="Z29" s="2" t="str" cm="1">
        <f t="array" ref="Z29">_xlfn.IFS(Y29="SignalHIt","TurnEnd",Y29="AttackBegin","TurnEnd",Y29="AttackEnd","TurnEnd",Y29="Immediately","Applied",Y29="None","None")</f>
        <v>Applied</v>
      </c>
      <c r="AA29" s="2">
        <v>0</v>
      </c>
      <c r="AB29" s="1">
        <v>0</v>
      </c>
      <c r="AC29" s="8">
        <v>0</v>
      </c>
      <c r="AD29" s="2" t="str">
        <f t="shared" si="5"/>
        <v>Immediately</v>
      </c>
      <c r="AE29" s="2" t="str" cm="1">
        <f t="array" ref="AE29">_xlfn.IFS(AD29="SignalHIt","TurnEnd",AD29="AttackBegin","TurnEnd",AD29="AttackEnd","TurnEnd",AD29="Immediately","Applied",AD29="None","None")</f>
        <v>Applied</v>
      </c>
      <c r="AF29" s="2">
        <v>0</v>
      </c>
      <c r="AG29" s="1">
        <v>0</v>
      </c>
      <c r="AH29" s="8">
        <v>0</v>
      </c>
      <c r="AI29" s="2" t="str">
        <f t="shared" si="6"/>
        <v>Immediately</v>
      </c>
      <c r="AJ29" s="2" t="str" cm="1">
        <f t="array" ref="AJ29">_xlfn.IFS(AI29="SignalHIt","TurnEnd",AI29="AttackBegin","TurnEnd",AI29="AttackEnd","TurnEnd",AI29="Immediately","Applied",AI29="None","None")</f>
        <v>Applied</v>
      </c>
      <c r="AK29" s="2">
        <v>0</v>
      </c>
      <c r="AL29" s="8">
        <v>0</v>
      </c>
      <c r="AM29" s="48">
        <v>0</v>
      </c>
      <c r="AN29" s="51" t="str">
        <f>IFERROR(_xlfn.XLOOKUP(W29,Target!$A:$A,Target!$B:$B),"None")</f>
        <v xml:space="preserve">체력 낮은 아군 1명 </v>
      </c>
      <c r="AO29" s="51" t="str">
        <f>IFERROR(_xlfn.XLOOKUP($X29,'BuffValue&lt;Child&gt;'!$A:$A,'BuffValue&lt;Child&gt;'!$F:$F),"None")</f>
        <v>다나 전용 회복</v>
      </c>
      <c r="AP29" s="51">
        <f>IFERROR(_xlfn.XLOOKUP($X29,'BuffValue&lt;Child&gt;'!$A:$A,'BuffValue&lt;Child&gt;'!$K:$K),0)</f>
        <v>25000</v>
      </c>
      <c r="AQ29" s="51" t="str">
        <f>IFERROR(_xlfn.XLOOKUP(AB29,Target!$A:$A,Target!$B:$B),"None")</f>
        <v>None</v>
      </c>
      <c r="AR29" s="51" t="str">
        <f>IFERROR(_xlfn.XLOOKUP($AC29,'BuffValue&lt;Child&gt;'!$A:$A,'BuffValue&lt;Child&gt;'!$F:$F),"None")</f>
        <v>None</v>
      </c>
      <c r="AS29" s="51">
        <f>IFERROR(_xlfn.XLOOKUP($AC29,'BuffValue&lt;Child&gt;'!$A:$A,'BuffValue&lt;Child&gt;'!$K:$K),0)</f>
        <v>0</v>
      </c>
      <c r="AT29" s="43" t="str">
        <f>IFERROR(_xlfn.XLOOKUP(AG29,Target!$A:$A,Target!$B:$B),"None")</f>
        <v>None</v>
      </c>
      <c r="AU29" s="43" t="str">
        <f>IFERROR(_xlfn.XLOOKUP($AH29,'BuffValue&lt;Child&gt;'!$A:$A,'BuffValue&lt;Child&gt;'!$F:$F),"None")</f>
        <v>None</v>
      </c>
      <c r="AV29" s="43">
        <f>IFERROR(_xlfn.XLOOKUP($AH29,'BuffValue&lt;Child&gt;'!$A:$A,'BuffValue&lt;Child&gt;'!$K:$K),0)</f>
        <v>0</v>
      </c>
      <c r="AW29" s="43" t="str">
        <f>IFERROR(_xlfn.XLOOKUP(AL29,Target!$A:$A,Target!$B:$B),"None")</f>
        <v>None</v>
      </c>
      <c r="AX29" s="43" t="str">
        <f>IFERROR(_xlfn.XLOOKUP($AM29,'BuffValue&lt;Child&gt;'!$A:$A,'BuffValue&lt;Child&gt;'!$F:$F),"None")</f>
        <v>None</v>
      </c>
      <c r="AY29" s="43">
        <f>IFERROR(_xlfn.XLOOKUP($AM29,#REF!,#REF!),0)</f>
        <v>0</v>
      </c>
    </row>
    <row r="30" spans="1:51" x14ac:dyDescent="0.3">
      <c r="A30" s="1">
        <f>INT(2&amp;MID(_xlfn.XLOOKUP(B30,[2]Timeline!$B:$B,[2]Timeline!$A:$A),2,5)&amp;2)</f>
        <v>2301832</v>
      </c>
      <c r="B30" s="7" t="s">
        <v>101</v>
      </c>
      <c r="C30" s="7" t="s">
        <v>246</v>
      </c>
      <c r="D30" s="7" t="s">
        <v>495</v>
      </c>
      <c r="E30" s="1" t="str">
        <f t="shared" si="0"/>
        <v>skill_name_2301832</v>
      </c>
      <c r="F30" s="1" t="s">
        <v>117</v>
      </c>
      <c r="G30" s="1" t="s">
        <v>125</v>
      </c>
      <c r="H30" s="1" t="str">
        <f t="shared" si="1"/>
        <v>skill_desc_2301832</v>
      </c>
      <c r="I30" s="1" t="s">
        <v>205</v>
      </c>
      <c r="J30" s="1" t="str">
        <f>IFERROR(_xlfn.XLOOKUP(W30,Target!A:A,Target!J:J),"")</f>
        <v>Skill_Target_Icon_Ally_LowHp_One</v>
      </c>
      <c r="K30" s="1" t="s">
        <v>205</v>
      </c>
      <c r="L30" s="1" t="str">
        <f>IFERROR(_xlfn.XLOOKUP(W30,Target!A:A,Target!K:K),"")</f>
        <v>Skill_Area_Icon_Pivot_Centor</v>
      </c>
      <c r="M30" s="1" t="str">
        <f>_xlfn.XLOOKUP(B30,'[2]Detail&lt;Child&gt;'!$B:$B,'[2]Detail&lt;Child&gt;'!$M:$M)</f>
        <v>Light</v>
      </c>
      <c r="N30" s="1" t="str">
        <f>_xlfn.XLOOKUP(B30,'[2]Detail&lt;Child&gt;'!$B:$B,'[2]Detail&lt;Child&gt;'!$N:$N)</f>
        <v>Healer</v>
      </c>
      <c r="O30" s="1" t="s">
        <v>33</v>
      </c>
      <c r="P30" s="33">
        <v>2</v>
      </c>
      <c r="Q30" s="68" t="s">
        <v>137</v>
      </c>
      <c r="R30" s="1" t="s">
        <v>136</v>
      </c>
      <c r="S30" s="1">
        <f>IF(R30="Static",0,1)</f>
        <v>0</v>
      </c>
      <c r="T30" s="2" t="str">
        <f t="shared" si="3"/>
        <v>SignalHit</v>
      </c>
      <c r="U30" s="2" t="str" cm="1">
        <f t="array" ref="U30">_xlfn.IFS(T30="SignalHIt","TurnEnd",T30="AttackBegin","TurnEnd",T30="AttackEnd","TurnEnd",T30="Immediately","Applied",T30="None","None")</f>
        <v>TurnEnd</v>
      </c>
      <c r="V30" s="2">
        <v>0</v>
      </c>
      <c r="W30" s="1">
        <v>1000101</v>
      </c>
      <c r="X30" s="8">
        <v>23018321</v>
      </c>
      <c r="Y30" s="1" t="str">
        <f t="shared" si="4"/>
        <v>Immediately</v>
      </c>
      <c r="Z30" s="2" t="str" cm="1">
        <f t="array" ref="Z30">_xlfn.IFS(Y30="SignalHIt","TurnEnd",Y30="AttackBegin","TurnEnd",Y30="AttackEnd","TurnEnd",Y30="Immediately","Applied",Y30="None","None")</f>
        <v>Applied</v>
      </c>
      <c r="AA30" s="2">
        <v>0</v>
      </c>
      <c r="AB30" s="1">
        <v>0</v>
      </c>
      <c r="AC30" s="8">
        <v>0</v>
      </c>
      <c r="AD30" s="2" t="str">
        <f t="shared" si="5"/>
        <v>Immediately</v>
      </c>
      <c r="AE30" s="2" t="str" cm="1">
        <f t="array" ref="AE30">_xlfn.IFS(AD30="SignalHIt","TurnEnd",AD30="AttackBegin","TurnEnd",AD30="AttackEnd","TurnEnd",AD30="Immediately","Applied",AD30="None","None")</f>
        <v>Applied</v>
      </c>
      <c r="AF30" s="2">
        <v>0</v>
      </c>
      <c r="AG30" s="1">
        <v>0</v>
      </c>
      <c r="AH30" s="8">
        <v>0</v>
      </c>
      <c r="AI30" s="2" t="str">
        <f t="shared" si="6"/>
        <v>Immediately</v>
      </c>
      <c r="AJ30" s="2" t="str" cm="1">
        <f t="array" ref="AJ30">_xlfn.IFS(AI30="SignalHIt","TurnEnd",AI30="AttackBegin","TurnEnd",AI30="AttackEnd","TurnEnd",AI30="Immediately","Applied",AI30="None","None")</f>
        <v>Applied</v>
      </c>
      <c r="AK30" s="2">
        <v>0</v>
      </c>
      <c r="AL30" s="8">
        <v>0</v>
      </c>
      <c r="AM30" s="48">
        <v>0</v>
      </c>
      <c r="AN30" s="51" t="str">
        <f>IFERROR(_xlfn.XLOOKUP(W30,Target!$A:$A,Target!$B:$B),"None")</f>
        <v xml:space="preserve">체력 낮은 아군 1명 </v>
      </c>
      <c r="AO30" s="51" t="str">
        <f>IFERROR(_xlfn.XLOOKUP($X30,'BuffValue&lt;Child&gt;'!$A:$A,'BuffValue&lt;Child&gt;'!$F:$F),"None")</f>
        <v>다나 전용 회복</v>
      </c>
      <c r="AP30" s="51">
        <f>IFERROR(_xlfn.XLOOKUP($X30,'BuffValue&lt;Child&gt;'!$A:$A,'BuffValue&lt;Child&gt;'!$K:$K),0)</f>
        <v>25000</v>
      </c>
      <c r="AQ30" s="51" t="str">
        <f>IFERROR(_xlfn.XLOOKUP(AB30,Target!$A:$A,Target!$B:$B),"None")</f>
        <v>None</v>
      </c>
      <c r="AR30" s="51" t="str">
        <f>IFERROR(_xlfn.XLOOKUP($AC30,'BuffValue&lt;Child&gt;'!$A:$A,'BuffValue&lt;Child&gt;'!$F:$F),"None")</f>
        <v>None</v>
      </c>
      <c r="AS30" s="51">
        <f>IFERROR(_xlfn.XLOOKUP($AC30,'BuffValue&lt;Child&gt;'!$A:$A,'BuffValue&lt;Child&gt;'!$K:$K),0)</f>
        <v>0</v>
      </c>
      <c r="AT30" s="43" t="str">
        <f>IFERROR(_xlfn.XLOOKUP(AG30,Target!$A:$A,Target!$B:$B),"None")</f>
        <v>None</v>
      </c>
      <c r="AU30" s="43" t="str">
        <f>IFERROR(_xlfn.XLOOKUP($AH30,'BuffValue&lt;Child&gt;'!$A:$A,'BuffValue&lt;Child&gt;'!$F:$F),"None")</f>
        <v>None</v>
      </c>
      <c r="AV30" s="43">
        <f>IFERROR(_xlfn.XLOOKUP($AH30,'BuffValue&lt;Child&gt;'!$A:$A,'BuffValue&lt;Child&gt;'!$K:$K),0)</f>
        <v>0</v>
      </c>
      <c r="AW30" s="43" t="str">
        <f>IFERROR(_xlfn.XLOOKUP(AL30,Target!$A:$A,Target!$B:$B),"None")</f>
        <v>None</v>
      </c>
      <c r="AX30" s="43" t="str">
        <f>IFERROR(_xlfn.XLOOKUP($AM30,'BuffValue&lt;Child&gt;'!$A:$A,'BuffValue&lt;Child&gt;'!$F:$F),"None")</f>
        <v>None</v>
      </c>
      <c r="AY30" s="43">
        <f>IFERROR(_xlfn.XLOOKUP($AM30,#REF!,#REF!),0)</f>
        <v>0</v>
      </c>
    </row>
    <row r="31" spans="1:51" x14ac:dyDescent="0.3">
      <c r="A31" s="1">
        <f>INT(3&amp;MID(_xlfn.XLOOKUP(B31,[2]Timeline!$B:$B,[2]Timeline!$A:$A),2,5)&amp;1)</f>
        <v>3301831</v>
      </c>
      <c r="B31" s="7" t="s">
        <v>101</v>
      </c>
      <c r="C31" s="7" t="s">
        <v>247</v>
      </c>
      <c r="D31" s="7" t="s">
        <v>530</v>
      </c>
      <c r="E31" s="1" t="str">
        <f t="shared" si="0"/>
        <v>skill_name_3301831</v>
      </c>
      <c r="F31" s="1" t="s">
        <v>117</v>
      </c>
      <c r="G31" s="1" t="s">
        <v>389</v>
      </c>
      <c r="H31" s="1" t="str">
        <f t="shared" si="1"/>
        <v>skill_desc_3301831</v>
      </c>
      <c r="I31" s="1" t="s">
        <v>205</v>
      </c>
      <c r="J31" s="1" t="str">
        <f>IFERROR(_xlfn.XLOOKUP(W31,Target!A:A,Target!J:J),"")</f>
        <v>Skill_Target_Icon_Ally_LowHp_One</v>
      </c>
      <c r="K31" s="1" t="s">
        <v>205</v>
      </c>
      <c r="L31" s="1" t="str">
        <f>IFERROR(_xlfn.XLOOKUP(W31,Target!A:A,Target!K:K),"")</f>
        <v>Skill_Area_Icon_Pivot_Centor</v>
      </c>
      <c r="M31" s="1" t="str">
        <f>_xlfn.XLOOKUP(B31,'[2]Detail&lt;Child&gt;'!$B:$B,'[2]Detail&lt;Child&gt;'!$M:$M)</f>
        <v>Light</v>
      </c>
      <c r="N31" s="1" t="str">
        <f>_xlfn.XLOOKUP(B31,'[2]Detail&lt;Child&gt;'!$B:$B,'[2]Detail&lt;Child&gt;'!$N:$N)</f>
        <v>Healer</v>
      </c>
      <c r="O31" s="1" t="s">
        <v>140</v>
      </c>
      <c r="P31" s="33">
        <v>0</v>
      </c>
      <c r="Q31" s="68" t="s">
        <v>137</v>
      </c>
      <c r="R31" s="1" t="s">
        <v>136</v>
      </c>
      <c r="S31" s="1">
        <v>0</v>
      </c>
      <c r="T31" s="2" t="str">
        <f t="shared" si="3"/>
        <v>SignalHit</v>
      </c>
      <c r="U31" s="2" t="str" cm="1">
        <f t="array" ref="U31">_xlfn.IFS(T31="SignalHIt","TurnEnd",T31="AttackBegin","TurnEnd",T31="AttackEnd","TurnEnd",T31="Immediately","Applied",T31="None","None")</f>
        <v>TurnEnd</v>
      </c>
      <c r="V31" s="2">
        <v>0</v>
      </c>
      <c r="W31" s="1">
        <v>1000103</v>
      </c>
      <c r="X31" s="8">
        <v>33018311</v>
      </c>
      <c r="Y31" s="1" t="str">
        <f t="shared" si="4"/>
        <v>Immediately</v>
      </c>
      <c r="Z31" s="2" t="str" cm="1">
        <f t="array" ref="Z31">_xlfn.IFS(Y31="SignalHIt","TurnEnd",Y31="AttackBegin","TurnEnd",Y31="AttackEnd","TurnEnd",Y31="Immediately","Applied",Y31="None","None")</f>
        <v>Applied</v>
      </c>
      <c r="AA31" s="2">
        <v>0</v>
      </c>
      <c r="AB31" s="1">
        <v>0</v>
      </c>
      <c r="AC31" s="8">
        <v>0</v>
      </c>
      <c r="AD31" s="2" t="str">
        <f t="shared" si="5"/>
        <v>AttackEnd</v>
      </c>
      <c r="AE31" s="2" t="str" cm="1">
        <f t="array" ref="AE31">_xlfn.IFS(AD31="SignalHIt","TurnEnd",AD31="AttackBegin","TurnEnd",AD31="AttackEnd","TurnEnd",AD31="Immediately","Applied",AD31="None","None")</f>
        <v>TurnEnd</v>
      </c>
      <c r="AF31" s="2">
        <v>0</v>
      </c>
      <c r="AG31" s="1">
        <v>1000103</v>
      </c>
      <c r="AH31" s="8">
        <f>X31+1</f>
        <v>33018312</v>
      </c>
      <c r="AI31" s="2" t="str">
        <f t="shared" si="6"/>
        <v>Immediately</v>
      </c>
      <c r="AJ31" s="2" t="str" cm="1">
        <f t="array" ref="AJ31">_xlfn.IFS(AI31="SignalHIt","TurnEnd",AI31="AttackBegin","TurnEnd",AI31="AttackEnd","TurnEnd",AI31="Immediately","Applied",AI31="None","None")</f>
        <v>Applied</v>
      </c>
      <c r="AK31" s="2">
        <v>0</v>
      </c>
      <c r="AL31" s="8">
        <v>0</v>
      </c>
      <c r="AM31" s="48">
        <v>0</v>
      </c>
      <c r="AN31" s="45" t="str">
        <f>IFERROR(_xlfn.XLOOKUP(W31,Target!$A:$A,Target!$B:$B),"None")</f>
        <v xml:space="preserve">체력 낮은 아군 3명 </v>
      </c>
      <c r="AO31" s="43" t="str">
        <f>IFERROR(_xlfn.XLOOKUP($X31,'BuffValue&lt;Child&gt;'!$A:$A,'BuffValue&lt;Child&gt;'!$F:$F),"None")</f>
        <v>다나 전용 회복</v>
      </c>
      <c r="AP31" s="43">
        <f>IFERROR(_xlfn.XLOOKUP($X31,'BuffValue&lt;Child&gt;'!$A:$A,'BuffValue&lt;Child&gt;'!$K:$K),0)</f>
        <v>30000</v>
      </c>
      <c r="AQ31" s="43" t="str">
        <f>IFERROR(_xlfn.XLOOKUP(AB31,Target!$A:$A,Target!$B:$B),"None")</f>
        <v>None</v>
      </c>
      <c r="AR31" s="45" t="str">
        <f>IFERROR(_xlfn.XLOOKUP($AC31,'BuffValue&lt;Child&gt;'!$A:$A,'BuffValue&lt;Child&gt;'!$F:$F),"None")</f>
        <v>None</v>
      </c>
      <c r="AS31" s="45">
        <f>IFERROR(_xlfn.XLOOKUP($AC31,'BuffValue&lt;Child&gt;'!$A:$A,'BuffValue&lt;Child&gt;'!$K:$K),0)</f>
        <v>0</v>
      </c>
      <c r="AT31" s="43" t="str">
        <f>IFERROR(_xlfn.XLOOKUP(AG31,Target!$A:$A,Target!$B:$B),"None")</f>
        <v xml:space="preserve">체력 낮은 아군 3명 </v>
      </c>
      <c r="AU31" s="43" t="str">
        <f>IFERROR(_xlfn.XLOOKUP($AH31,'BuffValue&lt;Child&gt;'!$A:$A,'BuffValue&lt;Child&gt;'!$F:$F),"None")</f>
        <v>공격력 증가</v>
      </c>
      <c r="AV31" s="43">
        <f>IFERROR(_xlfn.XLOOKUP($AH31,'BuffValue&lt;Child&gt;'!$A:$A,'BuffValue&lt;Child&gt;'!$K:$K),0)</f>
        <v>20000</v>
      </c>
      <c r="AW31" s="43" t="str">
        <f>IFERROR(_xlfn.XLOOKUP(AL31,Target!$A:$A,Target!$B:$B),"None")</f>
        <v>None</v>
      </c>
      <c r="AX31" s="43" t="str">
        <f>IFERROR(_xlfn.XLOOKUP($AM31,'BuffValue&lt;Child&gt;'!$A:$A,'BuffValue&lt;Child&gt;'!$F:$F),"None")</f>
        <v>None</v>
      </c>
      <c r="AY31" s="43">
        <f>IFERROR(_xlfn.XLOOKUP($AM31,#REF!,#REF!),0)</f>
        <v>0</v>
      </c>
    </row>
    <row r="32" spans="1:51" x14ac:dyDescent="0.3">
      <c r="A32" s="1">
        <f>INT(3&amp;MID(_xlfn.XLOOKUP(B32,[2]Timeline!$B:$B,[2]Timeline!$A:$A),2,5)&amp;2)</f>
        <v>3301832</v>
      </c>
      <c r="B32" s="7" t="s">
        <v>101</v>
      </c>
      <c r="C32" s="7" t="s">
        <v>247</v>
      </c>
      <c r="D32" s="7" t="s">
        <v>530</v>
      </c>
      <c r="E32" s="1" t="str">
        <f t="shared" si="0"/>
        <v>skill_name_3301832</v>
      </c>
      <c r="F32" s="1" t="s">
        <v>117</v>
      </c>
      <c r="G32" s="1" t="s">
        <v>389</v>
      </c>
      <c r="H32" s="1" t="str">
        <f t="shared" si="1"/>
        <v>skill_desc_3301832</v>
      </c>
      <c r="I32" s="1" t="s">
        <v>205</v>
      </c>
      <c r="J32" s="1" t="str">
        <f>IFERROR(_xlfn.XLOOKUP(W32,Target!A:A,Target!J:J),"")</f>
        <v>Skill_Target_Icon_Ally_LowHp_One</v>
      </c>
      <c r="K32" s="1" t="s">
        <v>205</v>
      </c>
      <c r="L32" s="1" t="str">
        <f>IFERROR(_xlfn.XLOOKUP(W32,Target!A:A,Target!K:K),"")</f>
        <v>Skill_Area_Icon_Pivot_Centor</v>
      </c>
      <c r="M32" s="1" t="str">
        <f>_xlfn.XLOOKUP(B32,'[2]Detail&lt;Child&gt;'!$B:$B,'[2]Detail&lt;Child&gt;'!$M:$M)</f>
        <v>Light</v>
      </c>
      <c r="N32" s="1" t="str">
        <f>_xlfn.XLOOKUP(B32,'[2]Detail&lt;Child&gt;'!$B:$B,'[2]Detail&lt;Child&gt;'!$N:$N)</f>
        <v>Healer</v>
      </c>
      <c r="O32" s="1" t="s">
        <v>140</v>
      </c>
      <c r="P32" s="33">
        <v>0</v>
      </c>
      <c r="Q32" s="68" t="s">
        <v>137</v>
      </c>
      <c r="R32" s="1" t="s">
        <v>136</v>
      </c>
      <c r="S32" s="1">
        <f>IF(R32="Static",0,1)</f>
        <v>0</v>
      </c>
      <c r="T32" s="2" t="str">
        <f t="shared" si="3"/>
        <v>SignalHit</v>
      </c>
      <c r="U32" s="2" t="str" cm="1">
        <f t="array" ref="U32">_xlfn.IFS(T32="SignalHIt","TurnEnd",T32="AttackBegin","TurnEnd",T32="AttackEnd","TurnEnd",T32="Immediately","Applied",T32="None","None")</f>
        <v>TurnEnd</v>
      </c>
      <c r="V32" s="2">
        <v>0</v>
      </c>
      <c r="W32" s="1">
        <v>1000103</v>
      </c>
      <c r="X32" s="8">
        <v>33018321</v>
      </c>
      <c r="Y32" s="1" t="str">
        <f t="shared" si="4"/>
        <v>Immediately</v>
      </c>
      <c r="Z32" s="2" t="str" cm="1">
        <f t="array" ref="Z32">_xlfn.IFS(Y32="SignalHIt","TurnEnd",Y32="AttackBegin","TurnEnd",Y32="AttackEnd","TurnEnd",Y32="Immediately","Applied",Y32="None","None")</f>
        <v>Applied</v>
      </c>
      <c r="AA32" s="2">
        <v>0</v>
      </c>
      <c r="AB32" s="1">
        <v>0</v>
      </c>
      <c r="AC32" s="8">
        <v>0</v>
      </c>
      <c r="AD32" s="2" t="str">
        <f t="shared" si="5"/>
        <v>AttackEnd</v>
      </c>
      <c r="AE32" s="2" t="str" cm="1">
        <f t="array" ref="AE32">_xlfn.IFS(AD32="SignalHIt","TurnEnd",AD32="AttackBegin","TurnEnd",AD32="AttackEnd","TurnEnd",AD32="Immediately","Applied",AD32="None","None")</f>
        <v>TurnEnd</v>
      </c>
      <c r="AF32" s="2">
        <v>0</v>
      </c>
      <c r="AG32" s="1">
        <v>1000103</v>
      </c>
      <c r="AH32" s="8">
        <f>X32+1</f>
        <v>33018322</v>
      </c>
      <c r="AI32" s="2" t="str">
        <f t="shared" si="6"/>
        <v>Immediately</v>
      </c>
      <c r="AJ32" s="2" t="str" cm="1">
        <f t="array" ref="AJ32">_xlfn.IFS(AI32="SignalHIt","TurnEnd",AI32="AttackBegin","TurnEnd",AI32="AttackEnd","TurnEnd",AI32="Immediately","Applied",AI32="None","None")</f>
        <v>Applied</v>
      </c>
      <c r="AK32" s="2">
        <v>0</v>
      </c>
      <c r="AL32" s="8">
        <v>0</v>
      </c>
      <c r="AM32" s="48">
        <v>0</v>
      </c>
      <c r="AN32" s="45" t="str">
        <f>IFERROR(_xlfn.XLOOKUP(W32,Target!$A:$A,Target!$B:$B),"None")</f>
        <v xml:space="preserve">체력 낮은 아군 3명 </v>
      </c>
      <c r="AO32" s="43" t="str">
        <f>IFERROR(_xlfn.XLOOKUP($X32,'BuffValue&lt;Child&gt;'!$A:$A,'BuffValue&lt;Child&gt;'!$F:$F),"None")</f>
        <v>다나 전용 회복</v>
      </c>
      <c r="AP32" s="43">
        <f>IFERROR(_xlfn.XLOOKUP($X32,'BuffValue&lt;Child&gt;'!$A:$A,'BuffValue&lt;Child&gt;'!$K:$K),0)</f>
        <v>30000</v>
      </c>
      <c r="AQ32" s="43" t="str">
        <f>IFERROR(_xlfn.XLOOKUP(AB32,Target!$A:$A,Target!$B:$B),"None")</f>
        <v>None</v>
      </c>
      <c r="AR32" s="45" t="str">
        <f>IFERROR(_xlfn.XLOOKUP($AC32,'BuffValue&lt;Child&gt;'!$A:$A,'BuffValue&lt;Child&gt;'!$F:$F),"None")</f>
        <v>None</v>
      </c>
      <c r="AS32" s="45">
        <f>IFERROR(_xlfn.XLOOKUP($AC32,'BuffValue&lt;Child&gt;'!$A:$A,'BuffValue&lt;Child&gt;'!$K:$K),0)</f>
        <v>0</v>
      </c>
      <c r="AT32" s="43" t="str">
        <f>IFERROR(_xlfn.XLOOKUP(AG32,Target!$A:$A,Target!$B:$B),"None")</f>
        <v xml:space="preserve">체력 낮은 아군 3명 </v>
      </c>
      <c r="AU32" s="43" t="str">
        <f>IFERROR(_xlfn.XLOOKUP($AH32,'BuffValue&lt;Child&gt;'!$A:$A,'BuffValue&lt;Child&gt;'!$F:$F),"None")</f>
        <v>공격력 증가</v>
      </c>
      <c r="AV32" s="43">
        <f>IFERROR(_xlfn.XLOOKUP($AH32,'BuffValue&lt;Child&gt;'!$A:$A,'BuffValue&lt;Child&gt;'!$K:$K),0)</f>
        <v>20000</v>
      </c>
      <c r="AW32" s="43" t="str">
        <f>IFERROR(_xlfn.XLOOKUP(AL32,Target!$A:$A,Target!$B:$B),"None")</f>
        <v>None</v>
      </c>
      <c r="AX32" s="43" t="str">
        <f>IFERROR(_xlfn.XLOOKUP($AM32,'BuffValue&lt;Child&gt;'!$A:$A,'BuffValue&lt;Child&gt;'!$F:$F),"None")</f>
        <v>None</v>
      </c>
      <c r="AY32" s="43">
        <f>IFERROR(_xlfn.XLOOKUP($AM32,#REF!,#REF!),0)</f>
        <v>0</v>
      </c>
    </row>
    <row r="33" spans="1:51" x14ac:dyDescent="0.3">
      <c r="A33" s="1">
        <f>INT(3&amp;MID(_xlfn.XLOOKUP(B33,[2]Timeline!$B:$B,[2]Timeline!$A:$A),2,5)&amp;3)</f>
        <v>3301833</v>
      </c>
      <c r="B33" s="7" t="s">
        <v>101</v>
      </c>
      <c r="C33" s="7" t="s">
        <v>247</v>
      </c>
      <c r="D33" s="7" t="s">
        <v>530</v>
      </c>
      <c r="E33" s="1" t="str">
        <f t="shared" si="0"/>
        <v>skill_name_3301833</v>
      </c>
      <c r="F33" s="1" t="s">
        <v>117</v>
      </c>
      <c r="G33" s="1" t="s">
        <v>389</v>
      </c>
      <c r="H33" s="1" t="str">
        <f t="shared" si="1"/>
        <v>skill_desc_3301833</v>
      </c>
      <c r="I33" s="1" t="s">
        <v>205</v>
      </c>
      <c r="J33" s="1" t="str">
        <f>IFERROR(_xlfn.XLOOKUP(W33,Target!A:A,Target!J:J),"")</f>
        <v>Skill_Target_Icon_Ally_LowHp_One</v>
      </c>
      <c r="K33" s="1" t="s">
        <v>205</v>
      </c>
      <c r="L33" s="1" t="str">
        <f>IFERROR(_xlfn.XLOOKUP(W33,Target!A:A,Target!K:K),"")</f>
        <v>Skill_Area_Icon_Pivot_Centor</v>
      </c>
      <c r="M33" s="1" t="str">
        <f>_xlfn.XLOOKUP(B33,'[2]Detail&lt;Child&gt;'!$B:$B,'[2]Detail&lt;Child&gt;'!$M:$M)</f>
        <v>Light</v>
      </c>
      <c r="N33" s="1" t="str">
        <f>_xlfn.XLOOKUP(B33,'[2]Detail&lt;Child&gt;'!$B:$B,'[2]Detail&lt;Child&gt;'!$N:$N)</f>
        <v>Healer</v>
      </c>
      <c r="O33" s="1" t="s">
        <v>140</v>
      </c>
      <c r="P33" s="33">
        <v>0</v>
      </c>
      <c r="Q33" s="68" t="s">
        <v>137</v>
      </c>
      <c r="R33" s="1" t="s">
        <v>136</v>
      </c>
      <c r="S33" s="1">
        <f>IF(R33="Static",0,1)</f>
        <v>0</v>
      </c>
      <c r="T33" s="2" t="str">
        <f t="shared" si="3"/>
        <v>SignalHit</v>
      </c>
      <c r="U33" s="2" t="str" cm="1">
        <f t="array" ref="U33">_xlfn.IFS(T33="SignalHIt","TurnEnd",T33="AttackBegin","TurnEnd",T33="AttackEnd","TurnEnd",T33="Immediately","Applied",T33="None","None")</f>
        <v>TurnEnd</v>
      </c>
      <c r="V33" s="2">
        <v>0</v>
      </c>
      <c r="W33" s="1">
        <v>1000103</v>
      </c>
      <c r="X33" s="8">
        <v>33018331</v>
      </c>
      <c r="Y33" s="1" t="str">
        <f t="shared" si="4"/>
        <v>Immediately</v>
      </c>
      <c r="Z33" s="2" t="str" cm="1">
        <f t="array" ref="Z33">_xlfn.IFS(Y33="SignalHIt","TurnEnd",Y33="AttackBegin","TurnEnd",Y33="AttackEnd","TurnEnd",Y33="Immediately","Applied",Y33="None","None")</f>
        <v>Applied</v>
      </c>
      <c r="AA33" s="2">
        <v>0</v>
      </c>
      <c r="AB33" s="1">
        <v>0</v>
      </c>
      <c r="AC33" s="8">
        <v>0</v>
      </c>
      <c r="AD33" s="2" t="str">
        <f t="shared" si="5"/>
        <v>AttackEnd</v>
      </c>
      <c r="AE33" s="2" t="str" cm="1">
        <f t="array" ref="AE33">_xlfn.IFS(AD33="SignalHIt","TurnEnd",AD33="AttackBegin","TurnEnd",AD33="AttackEnd","TurnEnd",AD33="Immediately","Applied",AD33="None","None")</f>
        <v>TurnEnd</v>
      </c>
      <c r="AF33" s="2">
        <v>0</v>
      </c>
      <c r="AG33" s="1">
        <v>1000103</v>
      </c>
      <c r="AH33" s="8">
        <f>X33+1</f>
        <v>33018332</v>
      </c>
      <c r="AI33" s="2" t="str">
        <f t="shared" si="6"/>
        <v>Immediately</v>
      </c>
      <c r="AJ33" s="2" t="str" cm="1">
        <f t="array" ref="AJ33">_xlfn.IFS(AI33="SignalHIt","TurnEnd",AI33="AttackBegin","TurnEnd",AI33="AttackEnd","TurnEnd",AI33="Immediately","Applied",AI33="None","None")</f>
        <v>Applied</v>
      </c>
      <c r="AK33" s="2">
        <v>0</v>
      </c>
      <c r="AL33" s="8">
        <v>0</v>
      </c>
      <c r="AM33" s="48">
        <v>0</v>
      </c>
      <c r="AN33" s="45" t="str">
        <f>IFERROR(_xlfn.XLOOKUP(W33,Target!$A:$A,Target!$B:$B),"None")</f>
        <v xml:space="preserve">체력 낮은 아군 3명 </v>
      </c>
      <c r="AO33" s="43" t="str">
        <f>IFERROR(_xlfn.XLOOKUP($X33,'BuffValue&lt;Child&gt;'!$A:$A,'BuffValue&lt;Child&gt;'!$F:$F),"None")</f>
        <v>다나 전용 회복</v>
      </c>
      <c r="AP33" s="43">
        <f>IFERROR(_xlfn.XLOOKUP($X33,'BuffValue&lt;Child&gt;'!$A:$A,'BuffValue&lt;Child&gt;'!$K:$K),0)</f>
        <v>30000</v>
      </c>
      <c r="AQ33" s="43" t="str">
        <f>IFERROR(_xlfn.XLOOKUP(AB33,Target!$A:$A,Target!$B:$B),"None")</f>
        <v>None</v>
      </c>
      <c r="AR33" s="45" t="str">
        <f>IFERROR(_xlfn.XLOOKUP($AC33,'BuffValue&lt;Child&gt;'!$A:$A,'BuffValue&lt;Child&gt;'!$F:$F),"None")</f>
        <v>None</v>
      </c>
      <c r="AS33" s="45">
        <f>IFERROR(_xlfn.XLOOKUP($AC33,'BuffValue&lt;Child&gt;'!$A:$A,'BuffValue&lt;Child&gt;'!$K:$K),0)</f>
        <v>0</v>
      </c>
      <c r="AT33" s="43" t="str">
        <f>IFERROR(_xlfn.XLOOKUP(AG33,Target!$A:$A,Target!$B:$B),"None")</f>
        <v xml:space="preserve">체력 낮은 아군 3명 </v>
      </c>
      <c r="AU33" s="43" t="str">
        <f>IFERROR(_xlfn.XLOOKUP($AH33,'BuffValue&lt;Child&gt;'!$A:$A,'BuffValue&lt;Child&gt;'!$F:$F),"None")</f>
        <v>공격력 증가</v>
      </c>
      <c r="AV33" s="43">
        <f>IFERROR(_xlfn.XLOOKUP($AH33,'BuffValue&lt;Child&gt;'!$A:$A,'BuffValue&lt;Child&gt;'!$K:$K),0)</f>
        <v>20000</v>
      </c>
      <c r="AW33" s="43" t="str">
        <f>IFERROR(_xlfn.XLOOKUP(AL33,Target!$A:$A,Target!$B:$B),"None")</f>
        <v>None</v>
      </c>
      <c r="AX33" s="43" t="str">
        <f>IFERROR(_xlfn.XLOOKUP($AM33,'BuffValue&lt;Child&gt;'!$A:$A,'BuffValue&lt;Child&gt;'!$F:$F),"None")</f>
        <v>None</v>
      </c>
      <c r="AY33" s="43">
        <f>IFERROR(_xlfn.XLOOKUP($AM33,#REF!,#REF!),0)</f>
        <v>0</v>
      </c>
    </row>
    <row r="34" spans="1:51" x14ac:dyDescent="0.3">
      <c r="A34" s="1">
        <f>INT(4&amp;MID(_xlfn.XLOOKUP(B34,[2]Timeline!$B:$B,[2]Timeline!$A:$A),2,5)&amp;1)</f>
        <v>4301831</v>
      </c>
      <c r="B34" s="7" t="s">
        <v>101</v>
      </c>
      <c r="C34" s="7" t="s">
        <v>122</v>
      </c>
      <c r="D34" s="7" t="s">
        <v>531</v>
      </c>
      <c r="E34" s="1" t="str">
        <f t="shared" si="0"/>
        <v>skill_name_4301831</v>
      </c>
      <c r="F34" s="1" t="s">
        <v>117</v>
      </c>
      <c r="G34" s="1" t="s">
        <v>439</v>
      </c>
      <c r="H34" s="1" t="str">
        <f t="shared" si="1"/>
        <v>skill_desc_4301831</v>
      </c>
      <c r="I34" s="1" t="s">
        <v>205</v>
      </c>
      <c r="J34" s="1" t="str">
        <f>IFERROR(_xlfn.XLOOKUP(W34,Target!A:A,Target!J:J),"")</f>
        <v>Skill_Target_Icon_Ally</v>
      </c>
      <c r="K34" s="1" t="s">
        <v>205</v>
      </c>
      <c r="L34" s="1" t="str">
        <f>IFERROR(_xlfn.XLOOKUP(W34,Target!A:A,Target!K:K),"")</f>
        <v>Skill_Area_Icon_Pivot_Centor</v>
      </c>
      <c r="M34" s="1" t="str">
        <f>_xlfn.XLOOKUP(B34,'[2]Detail&lt;Child&gt;'!$B:$B,'[2]Detail&lt;Child&gt;'!$M:$M)</f>
        <v>Light</v>
      </c>
      <c r="N34" s="1" t="str">
        <f>_xlfn.XLOOKUP(B34,'[2]Detail&lt;Child&gt;'!$B:$B,'[2]Detail&lt;Child&gt;'!$N:$N)</f>
        <v>Healer</v>
      </c>
      <c r="O34" s="1" t="s">
        <v>167</v>
      </c>
      <c r="P34" s="33">
        <v>0</v>
      </c>
      <c r="Q34" s="68" t="str" cm="1">
        <f t="array" ref="Q34">_xlfn.IFS(R34="Move","Move",R34="NonTargetMove","Move",R34="Static","Stand",R34="None","Stand")</f>
        <v>Stand</v>
      </c>
      <c r="R34" s="1" t="s">
        <v>136</v>
      </c>
      <c r="S34" s="1">
        <f>IF(R34="Static",0,1)</f>
        <v>0</v>
      </c>
      <c r="T34" s="2" t="str">
        <f t="shared" si="3"/>
        <v>Immediately</v>
      </c>
      <c r="U34" s="2" t="str" cm="1">
        <f t="array" ref="U34">_xlfn.IFS(T34="SignalHIt","TurnEnd",T34="AttackBegin","TurnEnd",T34="AttackEnd","TurnEnd",T34="Immediately","Applied",T34="None","None")</f>
        <v>Applied</v>
      </c>
      <c r="V34" s="2">
        <v>0</v>
      </c>
      <c r="W34" s="1">
        <v>1000000</v>
      </c>
      <c r="X34" s="8">
        <v>43018311</v>
      </c>
      <c r="Y34" s="1" t="str">
        <f t="shared" si="4"/>
        <v>Immediately</v>
      </c>
      <c r="Z34" s="2" t="str" cm="1">
        <f t="array" ref="Z34">_xlfn.IFS(Y34="SignalHIt","TurnEnd",Y34="AttackBegin","TurnEnd",Y34="AttackEnd","TurnEnd",Y34="Immediately","Applied",Y34="None","None")</f>
        <v>Applied</v>
      </c>
      <c r="AA34" s="2">
        <v>0</v>
      </c>
      <c r="AB34" s="1">
        <v>0</v>
      </c>
      <c r="AC34" s="8">
        <v>0</v>
      </c>
      <c r="AD34" s="2" t="str">
        <f t="shared" si="5"/>
        <v>Immediately</v>
      </c>
      <c r="AE34" s="2" t="str" cm="1">
        <f t="array" ref="AE34">_xlfn.IFS(AD34="SignalHIt","TurnEnd",AD34="AttackBegin","TurnEnd",AD34="AttackEnd","TurnEnd",AD34="Immediately","Applied",AD34="None","None")</f>
        <v>Applied</v>
      </c>
      <c r="AF34" s="2">
        <v>0</v>
      </c>
      <c r="AG34" s="1">
        <v>0</v>
      </c>
      <c r="AH34" s="8">
        <v>0</v>
      </c>
      <c r="AI34" s="2" t="str">
        <f t="shared" si="6"/>
        <v>Immediately</v>
      </c>
      <c r="AJ34" s="2" t="str" cm="1">
        <f t="array" ref="AJ34">_xlfn.IFS(AI34="SignalHIt","TurnEnd",AI34="AttackBegin","TurnEnd",AI34="AttackEnd","TurnEnd",AI34="Immediately","Applied",AI34="None","None")</f>
        <v>Applied</v>
      </c>
      <c r="AK34" s="2">
        <v>0</v>
      </c>
      <c r="AL34" s="8">
        <v>0</v>
      </c>
      <c r="AM34" s="48">
        <v>0</v>
      </c>
      <c r="AN34" s="45" t="str">
        <f>IFERROR(_xlfn.XLOOKUP(W34,Target!$A:$A,Target!$B:$B),"None")</f>
        <v>모든 아군</v>
      </c>
      <c r="AO34" s="43" t="str">
        <f>IFERROR(_xlfn.XLOOKUP($X34,'BuffValue&lt;Child&gt;'!$A:$A,'BuffValue&lt;Child&gt;'!$F:$F),"None")</f>
        <v>방어력 감소</v>
      </c>
      <c r="AP34" s="43">
        <f>IFERROR(_xlfn.XLOOKUP($X34,'BuffValue&lt;Child&gt;'!$A:$A,'BuffValue&lt;Child&gt;'!$K:$K),0)</f>
        <v>-15000</v>
      </c>
      <c r="AQ34" s="43" t="str">
        <f>IFERROR(_xlfn.XLOOKUP(AB34,Target!$A:$A,Target!$B:$B),"None")</f>
        <v>None</v>
      </c>
      <c r="AR34" s="45" t="str">
        <f>IFERROR(_xlfn.XLOOKUP($AC34,'BuffValue&lt;Child&gt;'!$A:$A,'BuffValue&lt;Child&gt;'!$F:$F),"None")</f>
        <v>None</v>
      </c>
      <c r="AS34" s="45">
        <f>IFERROR(_xlfn.XLOOKUP($AC34,'BuffValue&lt;Child&gt;'!$A:$A,'BuffValue&lt;Child&gt;'!$K:$K),0)</f>
        <v>0</v>
      </c>
      <c r="AT34" s="43" t="str">
        <f>IFERROR(_xlfn.XLOOKUP(AG34,Target!$A:$A,Target!$B:$B),"None")</f>
        <v>None</v>
      </c>
      <c r="AU34" s="43" t="str">
        <f>IFERROR(_xlfn.XLOOKUP($AH34,'BuffValue&lt;Child&gt;'!$A:$A,'BuffValue&lt;Child&gt;'!$F:$F),"None")</f>
        <v>None</v>
      </c>
      <c r="AV34" s="43">
        <f>IFERROR(_xlfn.XLOOKUP($AH34,'BuffValue&lt;Child&gt;'!$A:$A,'BuffValue&lt;Child&gt;'!$K:$K),0)</f>
        <v>0</v>
      </c>
      <c r="AW34" s="43" t="str">
        <f>IFERROR(_xlfn.XLOOKUP(AL34,Target!$A:$A,Target!$B:$B),"None")</f>
        <v>None</v>
      </c>
      <c r="AX34" s="43" t="str">
        <f>IFERROR(_xlfn.XLOOKUP($AM34,'BuffValue&lt;Child&gt;'!$A:$A,'BuffValue&lt;Child&gt;'!$F:$F),"None")</f>
        <v>None</v>
      </c>
      <c r="AY34" s="43">
        <f>IFERROR(_xlfn.XLOOKUP($AM34,#REF!,#REF!),0)</f>
        <v>0</v>
      </c>
    </row>
    <row r="35" spans="1:51" x14ac:dyDescent="0.3">
      <c r="A35" s="1">
        <f>INT(4&amp;MID(_xlfn.XLOOKUP(B35,[2]Timeline!$B:$B,[2]Timeline!$A:$A),2,5)&amp;2)</f>
        <v>4301832</v>
      </c>
      <c r="B35" s="7" t="s">
        <v>101</v>
      </c>
      <c r="C35" s="7" t="s">
        <v>122</v>
      </c>
      <c r="D35" s="7" t="s">
        <v>531</v>
      </c>
      <c r="E35" s="1" t="str">
        <f t="shared" si="0"/>
        <v>skill_name_4301832</v>
      </c>
      <c r="F35" s="1" t="s">
        <v>117</v>
      </c>
      <c r="G35" s="1" t="s">
        <v>439</v>
      </c>
      <c r="H35" s="1" t="str">
        <f t="shared" si="1"/>
        <v>skill_desc_4301832</v>
      </c>
      <c r="I35" s="1" t="s">
        <v>205</v>
      </c>
      <c r="J35" s="1" t="str">
        <f>IFERROR(_xlfn.XLOOKUP(W35,Target!A:A,Target!J:J),"")</f>
        <v>Skill_Target_Icon_Ally</v>
      </c>
      <c r="K35" s="1" t="s">
        <v>205</v>
      </c>
      <c r="L35" s="1" t="str">
        <f>IFERROR(_xlfn.XLOOKUP(W35,Target!A:A,Target!K:K),"")</f>
        <v>Skill_Area_Icon_Pivot_Centor</v>
      </c>
      <c r="M35" s="1" t="str">
        <f>_xlfn.XLOOKUP(B35,'[2]Detail&lt;Child&gt;'!$B:$B,'[2]Detail&lt;Child&gt;'!$M:$M)</f>
        <v>Light</v>
      </c>
      <c r="N35" s="1" t="str">
        <f>_xlfn.XLOOKUP(B35,'[2]Detail&lt;Child&gt;'!$B:$B,'[2]Detail&lt;Child&gt;'!$N:$N)</f>
        <v>Healer</v>
      </c>
      <c r="O35" s="1" t="s">
        <v>167</v>
      </c>
      <c r="P35" s="33">
        <v>0</v>
      </c>
      <c r="Q35" s="68" t="str" cm="1">
        <f t="array" ref="Q35">_xlfn.IFS(R35="Move","Move",R35="NonTargetMove","Move",R35="Static","Stand",R35="None","Stand")</f>
        <v>Stand</v>
      </c>
      <c r="R35" s="1" t="s">
        <v>136</v>
      </c>
      <c r="S35" s="1">
        <f>IF(R35="Static",0,1)</f>
        <v>0</v>
      </c>
      <c r="T35" s="2" t="str">
        <f t="shared" si="3"/>
        <v>Immediately</v>
      </c>
      <c r="U35" s="2" t="str" cm="1">
        <f t="array" ref="U35">_xlfn.IFS(T35="SignalHIt","TurnEnd",T35="AttackBegin","TurnEnd",T35="AttackEnd","TurnEnd",T35="Immediately","Applied",T35="None","None")</f>
        <v>Applied</v>
      </c>
      <c r="V35" s="2">
        <v>0</v>
      </c>
      <c r="W35" s="1">
        <v>1000000</v>
      </c>
      <c r="X35" s="8">
        <v>43018321</v>
      </c>
      <c r="Y35" s="1" t="str">
        <f t="shared" si="4"/>
        <v>Immediately</v>
      </c>
      <c r="Z35" s="2" t="str" cm="1">
        <f t="array" ref="Z35">_xlfn.IFS(Y35="SignalHIt","TurnEnd",Y35="AttackBegin","TurnEnd",Y35="AttackEnd","TurnEnd",Y35="Immediately","Applied",Y35="None","None")</f>
        <v>Applied</v>
      </c>
      <c r="AA35" s="2">
        <v>0</v>
      </c>
      <c r="AB35" s="1">
        <v>0</v>
      </c>
      <c r="AC35" s="8">
        <v>0</v>
      </c>
      <c r="AD35" s="2" t="str">
        <f t="shared" si="5"/>
        <v>Immediately</v>
      </c>
      <c r="AE35" s="2" t="str" cm="1">
        <f t="array" ref="AE35">_xlfn.IFS(AD35="SignalHIt","TurnEnd",AD35="AttackBegin","TurnEnd",AD35="AttackEnd","TurnEnd",AD35="Immediately","Applied",AD35="None","None")</f>
        <v>Applied</v>
      </c>
      <c r="AF35" s="2">
        <v>0</v>
      </c>
      <c r="AG35" s="1">
        <v>0</v>
      </c>
      <c r="AH35" s="8">
        <v>0</v>
      </c>
      <c r="AI35" s="2" t="str">
        <f t="shared" si="6"/>
        <v>Immediately</v>
      </c>
      <c r="AJ35" s="2" t="str" cm="1">
        <f t="array" ref="AJ35">_xlfn.IFS(AI35="SignalHIt","TurnEnd",AI35="AttackBegin","TurnEnd",AI35="AttackEnd","TurnEnd",AI35="Immediately","Applied",AI35="None","None")</f>
        <v>Applied</v>
      </c>
      <c r="AK35" s="2">
        <v>0</v>
      </c>
      <c r="AL35" s="8">
        <v>0</v>
      </c>
      <c r="AM35" s="48">
        <v>0</v>
      </c>
      <c r="AN35" s="45" t="str">
        <f>IFERROR(_xlfn.XLOOKUP(W35,Target!$A:$A,Target!$B:$B),"None")</f>
        <v>모든 아군</v>
      </c>
      <c r="AO35" s="43" t="str">
        <f>IFERROR(_xlfn.XLOOKUP($X35,'BuffValue&lt;Child&gt;'!$A:$A,'BuffValue&lt;Child&gt;'!$F:$F),"None")</f>
        <v>방어력 감소</v>
      </c>
      <c r="AP35" s="43">
        <f>IFERROR(_xlfn.XLOOKUP($X35,'BuffValue&lt;Child&gt;'!$A:$A,'BuffValue&lt;Child&gt;'!$K:$K),0)</f>
        <v>-15000</v>
      </c>
      <c r="AQ35" s="43" t="str">
        <f>IFERROR(_xlfn.XLOOKUP(AB35,Target!$A:$A,Target!$B:$B),"None")</f>
        <v>None</v>
      </c>
      <c r="AR35" s="45" t="str">
        <f>IFERROR(_xlfn.XLOOKUP($AC35,'BuffValue&lt;Child&gt;'!$A:$A,'BuffValue&lt;Child&gt;'!$F:$F),"None")</f>
        <v>None</v>
      </c>
      <c r="AS35" s="45">
        <f>IFERROR(_xlfn.XLOOKUP($AC35,'BuffValue&lt;Child&gt;'!$A:$A,'BuffValue&lt;Child&gt;'!$K:$K),0)</f>
        <v>0</v>
      </c>
      <c r="AT35" s="43" t="str">
        <f>IFERROR(_xlfn.XLOOKUP(AG35,Target!$A:$A,Target!$B:$B),"None")</f>
        <v>None</v>
      </c>
      <c r="AU35" s="43" t="str">
        <f>IFERROR(_xlfn.XLOOKUP($AH35,'BuffValue&lt;Child&gt;'!$A:$A,'BuffValue&lt;Child&gt;'!$F:$F),"None")</f>
        <v>None</v>
      </c>
      <c r="AV35" s="43">
        <f>IFERROR(_xlfn.XLOOKUP($AH35,'BuffValue&lt;Child&gt;'!$A:$A,'BuffValue&lt;Child&gt;'!$K:$K),0)</f>
        <v>0</v>
      </c>
      <c r="AW35" s="43" t="str">
        <f>IFERROR(_xlfn.XLOOKUP(AL35,Target!$A:$A,Target!$B:$B),"None")</f>
        <v>None</v>
      </c>
      <c r="AX35" s="43" t="str">
        <f>IFERROR(_xlfn.XLOOKUP($AM35,'BuffValue&lt;Child&gt;'!$A:$A,'BuffValue&lt;Child&gt;'!$F:$F),"None")</f>
        <v>None</v>
      </c>
      <c r="AY35" s="43">
        <f>IFERROR(_xlfn.XLOOKUP($AM35,#REF!,#REF!),0)</f>
        <v>0</v>
      </c>
    </row>
    <row r="36" spans="1:51" s="11" customFormat="1" x14ac:dyDescent="0.3">
      <c r="A36" s="11">
        <f>INT(1&amp;MID(_xlfn.XLOOKUP(B36,[2]Timeline!$B:$B,[2]Timeline!$A:$A),2,5)&amp;1)</f>
        <v>1300031</v>
      </c>
      <c r="B36" s="12" t="s">
        <v>7</v>
      </c>
      <c r="C36" s="12" t="s">
        <v>249</v>
      </c>
      <c r="D36" s="12" t="s">
        <v>341</v>
      </c>
      <c r="E36" s="11" t="str">
        <f t="shared" ref="E36:E67" si="8">"skill_name_"&amp;A36</f>
        <v>skill_name_1300031</v>
      </c>
      <c r="F36" s="11" t="s">
        <v>117</v>
      </c>
      <c r="G36" s="11" t="s">
        <v>488</v>
      </c>
      <c r="H36" s="11" t="str">
        <f t="shared" ref="H36:H67" si="9">"skill_desc_"&amp;$A36</f>
        <v>skill_desc_1300031</v>
      </c>
      <c r="I36" s="11" t="s">
        <v>205</v>
      </c>
      <c r="J36" s="11" t="str">
        <f>IFERROR(_xlfn.XLOOKUP(W36,Target!A:A,Target!J:J),"")</f>
        <v>Skill_Target_Icon_Enemy_Near_One</v>
      </c>
      <c r="K36" s="11" t="s">
        <v>205</v>
      </c>
      <c r="L36" s="11" t="str">
        <f>IFERROR(_xlfn.XLOOKUP(W36,Target!A:A,Target!K:K),"")</f>
        <v>Skill_Area_Icon_Pivot_Centor</v>
      </c>
      <c r="M36" s="11" t="str">
        <f>_xlfn.XLOOKUP(B36,'[2]Detail&lt;Child&gt;'!$B:$B,'[2]Detail&lt;Child&gt;'!$M:$M)</f>
        <v>Fire</v>
      </c>
      <c r="N36" s="11" t="str">
        <f>_xlfn.XLOOKUP(B36,'[2]Detail&lt;Child&gt;'!$B:$B,'[2]Detail&lt;Child&gt;'!$N:$N)</f>
        <v>Supporter</v>
      </c>
      <c r="O36" s="11" t="s">
        <v>30</v>
      </c>
      <c r="P36" s="34">
        <v>0</v>
      </c>
      <c r="Q36" s="69" t="str" cm="1">
        <f t="array" ref="Q36">_xlfn.IFS(R36="Move","Move",R36="NonTargetMove","Move",R36="Static","Stand",R36="None","Stand")</f>
        <v>Stand</v>
      </c>
      <c r="R36" s="11" t="s">
        <v>136</v>
      </c>
      <c r="S36" s="11">
        <f>IF(R36="Static",0,1)</f>
        <v>0</v>
      </c>
      <c r="T36" s="15" t="str">
        <f t="shared" si="3"/>
        <v>SignalHit</v>
      </c>
      <c r="U36" s="15" t="str" cm="1">
        <f t="array" ref="U36">_xlfn.IFS(T36="SignalHIt","TurnEnd",T36="AttackBegin","TurnEnd",T36="AttackEnd","TurnEnd",T36="Immediately","Applied",T36="None","None")</f>
        <v>TurnEnd</v>
      </c>
      <c r="V36" s="15">
        <v>0</v>
      </c>
      <c r="W36" s="11">
        <v>2000011</v>
      </c>
      <c r="X36" s="10">
        <v>13000311</v>
      </c>
      <c r="Y36" s="11" t="str">
        <f t="shared" si="4"/>
        <v>Immediately</v>
      </c>
      <c r="Z36" s="15" t="str" cm="1">
        <f t="array" ref="Z36">_xlfn.IFS(Y36="SignalHIt","TurnEnd",Y36="AttackBegin","TurnEnd",Y36="AttackEnd","TurnEnd",Y36="Immediately","Applied",Y36="None","None")</f>
        <v>Applied</v>
      </c>
      <c r="AA36" s="15">
        <v>0</v>
      </c>
      <c r="AB36" s="11">
        <v>0</v>
      </c>
      <c r="AC36" s="10">
        <v>0</v>
      </c>
      <c r="AD36" s="15" t="str">
        <f t="shared" si="5"/>
        <v>Immediately</v>
      </c>
      <c r="AE36" s="15" t="str" cm="1">
        <f t="array" ref="AE36">_xlfn.IFS(AD36="SignalHIt","TurnEnd",AD36="AttackBegin","TurnEnd",AD36="AttackEnd","TurnEnd",AD36="Immediately","Applied",AD36="None","None")</f>
        <v>Applied</v>
      </c>
      <c r="AF36" s="15">
        <v>0</v>
      </c>
      <c r="AG36" s="11">
        <v>0</v>
      </c>
      <c r="AH36" s="10">
        <v>0</v>
      </c>
      <c r="AI36" s="15" t="str">
        <f t="shared" si="6"/>
        <v>Immediately</v>
      </c>
      <c r="AJ36" s="15" t="str" cm="1">
        <f t="array" ref="AJ36">_xlfn.IFS(AI36="SignalHIt","TurnEnd",AI36="AttackBegin","TurnEnd",AI36="AttackEnd","TurnEnd",AI36="Immediately","Applied",AI36="None","None")</f>
        <v>Applied</v>
      </c>
      <c r="AK36" s="15">
        <v>0</v>
      </c>
      <c r="AL36" s="10">
        <v>0</v>
      </c>
      <c r="AM36" s="50">
        <v>0</v>
      </c>
      <c r="AN36" s="46" t="str">
        <f>IFERROR(_xlfn.XLOOKUP(W36,Target!$A:$A,Target!$B:$B),"None")</f>
        <v xml:space="preserve">가까운 적 1명 </v>
      </c>
      <c r="AO36" s="47" t="str">
        <f>IFERROR(_xlfn.XLOOKUP($X36,'BuffValue&lt;Child&gt;'!$A:$A,'BuffValue&lt;Child&gt;'!$F:$F),"None")</f>
        <v>공용 대미지</v>
      </c>
      <c r="AP36" s="47">
        <f>IFERROR(_xlfn.XLOOKUP($X36,'BuffValue&lt;Child&gt;'!$A:$A,'BuffValue&lt;Child&gt;'!$K:$K),0)</f>
        <v>120000</v>
      </c>
      <c r="AQ36" s="47" t="str">
        <f>IFERROR(_xlfn.XLOOKUP(AB36,Target!$A:$A,Target!$B:$B),"None")</f>
        <v>None</v>
      </c>
      <c r="AR36" s="46" t="str">
        <f>IFERROR(_xlfn.XLOOKUP($AC36,'BuffValue&lt;Child&gt;'!$A:$A,'BuffValue&lt;Child&gt;'!$F:$F),"None")</f>
        <v>None</v>
      </c>
      <c r="AS36" s="46">
        <f>IFERROR(_xlfn.XLOOKUP($AC36,'BuffValue&lt;Child&gt;'!$A:$A,'BuffValue&lt;Child&gt;'!$K:$K),0)</f>
        <v>0</v>
      </c>
      <c r="AT36" s="47" t="str">
        <f>IFERROR(_xlfn.XLOOKUP(AG36,Target!$A:$A,Target!$B:$B),"None")</f>
        <v>None</v>
      </c>
      <c r="AU36" s="47" t="str">
        <f>IFERROR(_xlfn.XLOOKUP($AH36,'BuffValue&lt;Child&gt;'!$A:$A,'BuffValue&lt;Child&gt;'!$F:$F),"None")</f>
        <v>None</v>
      </c>
      <c r="AV36" s="47">
        <f>IFERROR(_xlfn.XLOOKUP($AH36,'BuffValue&lt;Child&gt;'!$A:$A,'BuffValue&lt;Child&gt;'!$K:$K),0)</f>
        <v>0</v>
      </c>
      <c r="AW36" s="47" t="str">
        <f>IFERROR(_xlfn.XLOOKUP(AL36,Target!$A:$A,Target!$B:$B),"None")</f>
        <v>None</v>
      </c>
      <c r="AX36" s="47" t="str">
        <f>IFERROR(_xlfn.XLOOKUP($AM36,'BuffValue&lt;Child&gt;'!$A:$A,'BuffValue&lt;Child&gt;'!$F:$F),"None")</f>
        <v>None</v>
      </c>
      <c r="AY36" s="47">
        <f>IFERROR(_xlfn.XLOOKUP($AM36,#REF!,#REF!),0)</f>
        <v>0</v>
      </c>
    </row>
    <row r="37" spans="1:51" x14ac:dyDescent="0.3">
      <c r="A37" s="1">
        <f>INT(2&amp;MID(_xlfn.XLOOKUP(B37,[2]Timeline!$B:$B,[2]Timeline!$A:$A),2,5)&amp;1)</f>
        <v>2300031</v>
      </c>
      <c r="B37" s="7" t="s">
        <v>7</v>
      </c>
      <c r="C37" s="7" t="s">
        <v>248</v>
      </c>
      <c r="D37" s="7" t="s">
        <v>504</v>
      </c>
      <c r="E37" s="1" t="str">
        <f t="shared" si="8"/>
        <v>skill_name_2300031</v>
      </c>
      <c r="F37" s="1" t="s">
        <v>117</v>
      </c>
      <c r="G37" s="1" t="s">
        <v>440</v>
      </c>
      <c r="H37" s="1" t="str">
        <f t="shared" si="9"/>
        <v>skill_desc_2300031</v>
      </c>
      <c r="I37" s="1" t="s">
        <v>205</v>
      </c>
      <c r="J37" s="1" t="str">
        <f>IFERROR(_xlfn.XLOOKUP(W37,Target!A:A,Target!J:J),"")</f>
        <v>Skill_Target_Icon_Enemy_Near_One</v>
      </c>
      <c r="K37" s="1" t="s">
        <v>205</v>
      </c>
      <c r="L37" s="1" t="str">
        <f>IFERROR(_xlfn.XLOOKUP(W37,Target!A:A,Target!K:K),"")</f>
        <v>Skill_Area_Icon_Pivot_Centor</v>
      </c>
      <c r="M37" s="1" t="str">
        <f>_xlfn.XLOOKUP(B37,'[2]Detail&lt;Child&gt;'!$B:$B,'[2]Detail&lt;Child&gt;'!$M:$M)</f>
        <v>Fire</v>
      </c>
      <c r="N37" s="52" t="str">
        <f>_xlfn.XLOOKUP(B37,'[2]Detail&lt;Child&gt;'!$B:$B,'[2]Detail&lt;Child&gt;'!$N:$N)</f>
        <v>Supporter</v>
      </c>
      <c r="O37" s="1" t="s">
        <v>33</v>
      </c>
      <c r="P37" s="33">
        <v>3</v>
      </c>
      <c r="Q37" s="68" t="str" cm="1">
        <f t="array" ref="Q37">_xlfn.IFS(R37="Move","Move",R37="NonTargetMove","Move",R37="Static","Stand",R37="None","Stand")</f>
        <v>Move</v>
      </c>
      <c r="R37" s="1" t="s">
        <v>137</v>
      </c>
      <c r="S37" s="1">
        <v>2</v>
      </c>
      <c r="T37" s="2" t="str">
        <f t="shared" si="3"/>
        <v>SignalHit</v>
      </c>
      <c r="U37" s="2" t="str" cm="1">
        <f t="array" ref="U37">_xlfn.IFS(T37="SignalHIt","TurnEnd",T37="AttackBegin","TurnEnd",T37="AttackEnd","TurnEnd",T37="Immediately","Applied",T37="None","None")</f>
        <v>TurnEnd</v>
      </c>
      <c r="V37" s="2">
        <v>0</v>
      </c>
      <c r="W37" s="1">
        <v>2000011</v>
      </c>
      <c r="X37" s="8">
        <v>23000311</v>
      </c>
      <c r="Y37" s="1" t="str">
        <f t="shared" si="4"/>
        <v>Immediately</v>
      </c>
      <c r="Z37" s="2" t="str" cm="1">
        <f t="array" ref="Z37">_xlfn.IFS(Y37="SignalHIt","TurnEnd",Y37="AttackBegin","TurnEnd",Y37="AttackEnd","TurnEnd",Y37="Immediately","Applied",Y37="None","None")</f>
        <v>Applied</v>
      </c>
      <c r="AA37" s="2">
        <v>0</v>
      </c>
      <c r="AB37" s="1">
        <v>0</v>
      </c>
      <c r="AC37" s="8">
        <v>0</v>
      </c>
      <c r="AD37" s="2" t="str">
        <f t="shared" si="5"/>
        <v>AttackEnd</v>
      </c>
      <c r="AE37" s="2" t="str" cm="1">
        <f t="array" ref="AE37">_xlfn.IFS(AD37="SignalHIt","TurnEnd",AD37="AttackBegin","TurnEnd",AD37="AttackEnd","TurnEnd",AD37="Immediately","Applied",AD37="None","None")</f>
        <v>TurnEnd</v>
      </c>
      <c r="AF37" s="2">
        <v>0</v>
      </c>
      <c r="AG37" s="1">
        <v>2000011</v>
      </c>
      <c r="AH37" s="8">
        <f>X37+1</f>
        <v>23000312</v>
      </c>
      <c r="AI37" s="2" t="str">
        <f t="shared" si="6"/>
        <v>AttackEnd</v>
      </c>
      <c r="AJ37" s="2" t="str" cm="1">
        <f t="array" ref="AJ37">_xlfn.IFS(AI37="SignalHIt","TurnEnd",AI37="AttackBegin","TurnEnd",AI37="AttackEnd","TurnEnd",AI37="Immediately","Applied",AI37="None","None")</f>
        <v>TurnEnd</v>
      </c>
      <c r="AK37" s="2">
        <v>0</v>
      </c>
      <c r="AL37" s="1">
        <v>2000011</v>
      </c>
      <c r="AM37" s="48">
        <f>AH37+1</f>
        <v>23000313</v>
      </c>
      <c r="AN37" s="45" t="str">
        <f>IFERROR(_xlfn.XLOOKUP(W37,Target!$A:$A,Target!$B:$B),"None")</f>
        <v xml:space="preserve">가까운 적 1명 </v>
      </c>
      <c r="AO37" s="43" t="str">
        <f>IFERROR(_xlfn.XLOOKUP($X37,'BuffValue&lt;Child&gt;'!$A:$A,'BuffValue&lt;Child&gt;'!$F:$F),"None")</f>
        <v>액티브 대미지</v>
      </c>
      <c r="AP37" s="43">
        <f>IFERROR(_xlfn.XLOOKUP($X37,'BuffValue&lt;Child&gt;'!$A:$A,'BuffValue&lt;Child&gt;'!$K:$K),0)</f>
        <v>120000</v>
      </c>
      <c r="AQ37" s="43" t="str">
        <f>IFERROR(_xlfn.XLOOKUP(AB37,Target!$A:$A,Target!$B:$B),"None")</f>
        <v>None</v>
      </c>
      <c r="AR37" s="45" t="str">
        <f>IFERROR(_xlfn.XLOOKUP($AC37,'BuffValue&lt;Child&gt;'!$A:$A,'BuffValue&lt;Child&gt;'!$F:$F),"None")</f>
        <v>None</v>
      </c>
      <c r="AS37" s="45">
        <f>IFERROR(_xlfn.XLOOKUP($AC37,'BuffValue&lt;Child&gt;'!$A:$A,'BuffValue&lt;Child&gt;'!$K:$K),0)</f>
        <v>0</v>
      </c>
      <c r="AT37" s="43" t="str">
        <f>IFERROR(_xlfn.XLOOKUP(AG37,Target!$A:$A,Target!$B:$B),"None")</f>
        <v xml:space="preserve">가까운 적 1명 </v>
      </c>
      <c r="AU37" s="43" t="str">
        <f>IFERROR(_xlfn.XLOOKUP($AH37,'BuffValue&lt;Child&gt;'!$A:$A,'BuffValue&lt;Child&gt;'!$F:$F),"None")</f>
        <v>다비 액티브 화상</v>
      </c>
      <c r="AV37" s="43">
        <f>IFERROR(_xlfn.XLOOKUP($AH37,'BuffValue&lt;Child&gt;'!$A:$A,'BuffValue&lt;Child&gt;'!$K:$K),0)</f>
        <v>30000</v>
      </c>
      <c r="AW37" s="43" t="str">
        <f>IFERROR(_xlfn.XLOOKUP(AL37,Target!$A:$A,Target!$B:$B),"None")</f>
        <v xml:space="preserve">가까운 적 1명 </v>
      </c>
      <c r="AX37" s="43" t="str">
        <f>IFERROR(_xlfn.XLOOKUP($AM37,'BuffValue&lt;Child&gt;'!$A:$A,'BuffValue&lt;Child&gt;'!$F:$F),"None")</f>
        <v>다비 액티브 화상</v>
      </c>
      <c r="AY37" s="43">
        <f>IFERROR(_xlfn.XLOOKUP($AM37,#REF!,#REF!),0)</f>
        <v>0</v>
      </c>
    </row>
    <row r="38" spans="1:51" x14ac:dyDescent="0.3">
      <c r="A38" s="1">
        <f>INT(2&amp;MID(_xlfn.XLOOKUP(B38,[2]Timeline!$B:$B,[2]Timeline!$A:$A),2,5)&amp;2)</f>
        <v>2300032</v>
      </c>
      <c r="B38" s="7" t="s">
        <v>7</v>
      </c>
      <c r="C38" s="7" t="s">
        <v>248</v>
      </c>
      <c r="D38" s="7" t="s">
        <v>504</v>
      </c>
      <c r="E38" s="1" t="str">
        <f t="shared" si="8"/>
        <v>skill_name_2300032</v>
      </c>
      <c r="F38" s="1" t="s">
        <v>117</v>
      </c>
      <c r="G38" s="1" t="s">
        <v>440</v>
      </c>
      <c r="H38" s="1" t="str">
        <f t="shared" si="9"/>
        <v>skill_desc_2300032</v>
      </c>
      <c r="I38" s="1" t="s">
        <v>205</v>
      </c>
      <c r="J38" s="1" t="str">
        <f>IFERROR(_xlfn.XLOOKUP(W38,Target!A:A,Target!J:J),"")</f>
        <v>Skill_Target_Icon_Enemy_Near_One</v>
      </c>
      <c r="K38" s="1" t="s">
        <v>205</v>
      </c>
      <c r="L38" s="1" t="str">
        <f>IFERROR(_xlfn.XLOOKUP(W38,Target!A:A,Target!K:K),"")</f>
        <v>Skill_Area_Icon_Pivot_Centor</v>
      </c>
      <c r="M38" s="1" t="str">
        <f>_xlfn.XLOOKUP(B38,'[2]Detail&lt;Child&gt;'!$B:$B,'[2]Detail&lt;Child&gt;'!$M:$M)</f>
        <v>Fire</v>
      </c>
      <c r="N38" s="52" t="str">
        <f>_xlfn.XLOOKUP(B38,'[2]Detail&lt;Child&gt;'!$B:$B,'[2]Detail&lt;Child&gt;'!$N:$N)</f>
        <v>Supporter</v>
      </c>
      <c r="O38" s="1" t="s">
        <v>33</v>
      </c>
      <c r="P38" s="33">
        <v>2</v>
      </c>
      <c r="Q38" s="68" t="str" cm="1">
        <f t="array" ref="Q38">_xlfn.IFS(R38="Move","Move",R38="NonTargetMove","Move",R38="Static","Stand",R38="None","Stand")</f>
        <v>Move</v>
      </c>
      <c r="R38" s="1" t="s">
        <v>137</v>
      </c>
      <c r="S38" s="1">
        <v>2</v>
      </c>
      <c r="T38" s="2" t="str">
        <f t="shared" si="3"/>
        <v>SignalHit</v>
      </c>
      <c r="U38" s="2" t="str" cm="1">
        <f t="array" ref="U38">_xlfn.IFS(T38="SignalHIt","TurnEnd",T38="AttackBegin","TurnEnd",T38="AttackEnd","TurnEnd",T38="Immediately","Applied",T38="None","None")</f>
        <v>TurnEnd</v>
      </c>
      <c r="V38" s="2">
        <v>0</v>
      </c>
      <c r="W38" s="1">
        <v>2000011</v>
      </c>
      <c r="X38" s="8">
        <v>23000321</v>
      </c>
      <c r="Y38" s="1" t="str">
        <f t="shared" si="4"/>
        <v>Immediately</v>
      </c>
      <c r="Z38" s="2" t="str" cm="1">
        <f t="array" ref="Z38">_xlfn.IFS(Y38="SignalHIt","TurnEnd",Y38="AttackBegin","TurnEnd",Y38="AttackEnd","TurnEnd",Y38="Immediately","Applied",Y38="None","None")</f>
        <v>Applied</v>
      </c>
      <c r="AA38" s="2">
        <v>0</v>
      </c>
      <c r="AB38" s="1">
        <v>0</v>
      </c>
      <c r="AC38" s="8">
        <v>0</v>
      </c>
      <c r="AD38" s="2" t="str">
        <f t="shared" si="5"/>
        <v>AttackEnd</v>
      </c>
      <c r="AE38" s="2" t="str" cm="1">
        <f t="array" ref="AE38">_xlfn.IFS(AD38="SignalHIt","TurnEnd",AD38="AttackBegin","TurnEnd",AD38="AttackEnd","TurnEnd",AD38="Immediately","Applied",AD38="None","None")</f>
        <v>TurnEnd</v>
      </c>
      <c r="AF38" s="2">
        <v>0</v>
      </c>
      <c r="AG38" s="1">
        <v>2000011</v>
      </c>
      <c r="AH38" s="8">
        <f>X38+1</f>
        <v>23000322</v>
      </c>
      <c r="AI38" s="2" t="str">
        <f t="shared" si="6"/>
        <v>AttackEnd</v>
      </c>
      <c r="AJ38" s="2" t="str" cm="1">
        <f t="array" ref="AJ38">_xlfn.IFS(AI38="SignalHIt","TurnEnd",AI38="AttackBegin","TurnEnd",AI38="AttackEnd","TurnEnd",AI38="Immediately","Applied",AI38="None","None")</f>
        <v>TurnEnd</v>
      </c>
      <c r="AK38" s="2">
        <v>0</v>
      </c>
      <c r="AL38" s="1">
        <v>2000011</v>
      </c>
      <c r="AM38" s="48">
        <f>AH38+1</f>
        <v>23000323</v>
      </c>
      <c r="AN38" s="45" t="str">
        <f>IFERROR(_xlfn.XLOOKUP(W38,Target!$A:$A,Target!$B:$B),"None")</f>
        <v xml:space="preserve">가까운 적 1명 </v>
      </c>
      <c r="AO38" s="43" t="str">
        <f>IFERROR(_xlfn.XLOOKUP($X38,'BuffValue&lt;Child&gt;'!$A:$A,'BuffValue&lt;Child&gt;'!$F:$F),"None")</f>
        <v>액티브 대미지</v>
      </c>
      <c r="AP38" s="43">
        <f>IFERROR(_xlfn.XLOOKUP($X38,'BuffValue&lt;Child&gt;'!$A:$A,'BuffValue&lt;Child&gt;'!$K:$K),0)</f>
        <v>120000</v>
      </c>
      <c r="AQ38" s="43" t="str">
        <f>IFERROR(_xlfn.XLOOKUP(AB38,Target!$A:$A,Target!$B:$B),"None")</f>
        <v>None</v>
      </c>
      <c r="AR38" s="45" t="str">
        <f>IFERROR(_xlfn.XLOOKUP($AC38,'BuffValue&lt;Child&gt;'!$A:$A,'BuffValue&lt;Child&gt;'!$F:$F),"None")</f>
        <v>None</v>
      </c>
      <c r="AS38" s="45">
        <f>IFERROR(_xlfn.XLOOKUP($AC38,'BuffValue&lt;Child&gt;'!$A:$A,'BuffValue&lt;Child&gt;'!$K:$K),0)</f>
        <v>0</v>
      </c>
      <c r="AT38" s="43" t="str">
        <f>IFERROR(_xlfn.XLOOKUP(AG38,Target!$A:$A,Target!$B:$B),"None")</f>
        <v xml:space="preserve">가까운 적 1명 </v>
      </c>
      <c r="AU38" s="43" t="str">
        <f>IFERROR(_xlfn.XLOOKUP($AH38,'BuffValue&lt;Child&gt;'!$A:$A,'BuffValue&lt;Child&gt;'!$F:$F),"None")</f>
        <v>다비 액티브 화상</v>
      </c>
      <c r="AV38" s="43">
        <f>IFERROR(_xlfn.XLOOKUP($AH38,'BuffValue&lt;Child&gt;'!$A:$A,'BuffValue&lt;Child&gt;'!$K:$K),0)</f>
        <v>30000</v>
      </c>
      <c r="AW38" s="43" t="str">
        <f>IFERROR(_xlfn.XLOOKUP(AL38,Target!$A:$A,Target!$B:$B),"None")</f>
        <v xml:space="preserve">가까운 적 1명 </v>
      </c>
      <c r="AX38" s="43" t="str">
        <f>IFERROR(_xlfn.XLOOKUP($AM38,'BuffValue&lt;Child&gt;'!$A:$A,'BuffValue&lt;Child&gt;'!$F:$F),"None")</f>
        <v>다비 액티브 화상</v>
      </c>
      <c r="AY38" s="43">
        <f>IFERROR(_xlfn.XLOOKUP($AM38,#REF!,#REF!),0)</f>
        <v>0</v>
      </c>
    </row>
    <row r="39" spans="1:51" x14ac:dyDescent="0.3">
      <c r="A39" s="1">
        <f>INT(3&amp;MID(_xlfn.XLOOKUP(B39,[2]Timeline!$B:$B,[2]Timeline!$A:$A),2,5)&amp;1)</f>
        <v>3300031</v>
      </c>
      <c r="B39" s="7" t="s">
        <v>7</v>
      </c>
      <c r="C39" s="7" t="s">
        <v>250</v>
      </c>
      <c r="D39" s="7" t="s">
        <v>505</v>
      </c>
      <c r="E39" s="1" t="str">
        <f t="shared" si="8"/>
        <v>skill_name_3300031</v>
      </c>
      <c r="F39" s="1" t="s">
        <v>117</v>
      </c>
      <c r="G39" s="1" t="s">
        <v>390</v>
      </c>
      <c r="H39" s="1" t="str">
        <f t="shared" si="9"/>
        <v>skill_desc_3300031</v>
      </c>
      <c r="I39" s="1" t="s">
        <v>205</v>
      </c>
      <c r="J39" s="1" t="str">
        <f>IFERROR(_xlfn.XLOOKUP(W39,Target!A:A,Target!J:J),"")</f>
        <v>Skill_Target_Icon_Enemy</v>
      </c>
      <c r="K39" s="1" t="s">
        <v>205</v>
      </c>
      <c r="L39" s="1" t="str">
        <f>IFERROR(_xlfn.XLOOKUP(W39,Target!A:A,Target!K:K),"")</f>
        <v>Skill_Area_Icon_NonTarget_All</v>
      </c>
      <c r="M39" s="1" t="str">
        <f>_xlfn.XLOOKUP(B39,'[2]Detail&lt;Child&gt;'!$B:$B,'[2]Detail&lt;Child&gt;'!$M:$M)</f>
        <v>Fire</v>
      </c>
      <c r="N39" s="1" t="str">
        <f>_xlfn.XLOOKUP(B39,'[2]Detail&lt;Child&gt;'!$B:$B,'[2]Detail&lt;Child&gt;'!$N:$N)</f>
        <v>Supporter</v>
      </c>
      <c r="O39" s="1" t="s">
        <v>140</v>
      </c>
      <c r="P39" s="33">
        <v>0</v>
      </c>
      <c r="Q39" s="68" t="str" cm="1">
        <f t="array" ref="Q39">_xlfn.IFS(R39="Move","Move",R39="NonTargetMove","Move",R39="Static","Stand",R39="None","Stand")</f>
        <v>Move</v>
      </c>
      <c r="R39" s="1" t="s">
        <v>153</v>
      </c>
      <c r="S39" s="1">
        <v>1</v>
      </c>
      <c r="T39" s="2" t="str">
        <f t="shared" si="3"/>
        <v>SignalHit</v>
      </c>
      <c r="U39" s="2" t="str" cm="1">
        <f t="array" ref="U39">_xlfn.IFS(T39="SignalHIt","TurnEnd",T39="AttackBegin","TurnEnd",T39="AttackEnd","TurnEnd",T39="Immediately","Applied",T39="None","None")</f>
        <v>TurnEnd</v>
      </c>
      <c r="V39" s="2">
        <v>0</v>
      </c>
      <c r="W39" s="1">
        <v>920001</v>
      </c>
      <c r="X39" s="8">
        <v>33000311</v>
      </c>
      <c r="Y39" s="1" t="str">
        <f t="shared" si="4"/>
        <v>Immediately</v>
      </c>
      <c r="Z39" s="2" t="str" cm="1">
        <f t="array" ref="Z39">_xlfn.IFS(Y39="SignalHIt","TurnEnd",Y39="AttackBegin","TurnEnd",Y39="AttackEnd","TurnEnd",Y39="Immediately","Applied",Y39="None","None")</f>
        <v>Applied</v>
      </c>
      <c r="AA39" s="2">
        <v>0</v>
      </c>
      <c r="AB39" s="1">
        <v>0</v>
      </c>
      <c r="AC39" s="8">
        <v>0</v>
      </c>
      <c r="AD39" s="2" t="str">
        <f t="shared" si="5"/>
        <v>AttackEnd</v>
      </c>
      <c r="AE39" s="2" t="str" cm="1">
        <f t="array" ref="AE39">_xlfn.IFS(AD39="SignalHIt","TurnEnd",AD39="AttackBegin","TurnEnd",AD39="AttackEnd","TurnEnd",AD39="Immediately","Applied",AD39="None","None")</f>
        <v>TurnEnd</v>
      </c>
      <c r="AF39" s="2">
        <v>0</v>
      </c>
      <c r="AG39" s="1">
        <v>920001</v>
      </c>
      <c r="AH39" s="8">
        <v>33000312</v>
      </c>
      <c r="AI39" s="2" t="str">
        <f t="shared" si="6"/>
        <v>AttackEnd</v>
      </c>
      <c r="AJ39" s="2" t="str" cm="1">
        <f t="array" ref="AJ39">_xlfn.IFS(AI39="SignalHIt","TurnEnd",AI39="AttackBegin","TurnEnd",AI39="AttackEnd","TurnEnd",AI39="Immediately","Applied",AI39="None","None")</f>
        <v>TurnEnd</v>
      </c>
      <c r="AK39" s="2">
        <v>0</v>
      </c>
      <c r="AL39" s="1">
        <v>920001</v>
      </c>
      <c r="AM39" s="48">
        <f>AH39+1</f>
        <v>33000313</v>
      </c>
      <c r="AN39" s="45" t="str">
        <f>IFERROR(_xlfn.XLOOKUP(W39,Target!$A:$A,Target!$B:$B),"None")</f>
        <v>논타겟 적 9칸</v>
      </c>
      <c r="AO39" s="43" t="str">
        <f>IFERROR(_xlfn.XLOOKUP($X39,'BuffValue&lt;Child&gt;'!$A:$A,'BuffValue&lt;Child&gt;'!$F:$F),"None")</f>
        <v>얼티밋 대미지</v>
      </c>
      <c r="AP39" s="43">
        <f>IFERROR(_xlfn.XLOOKUP($X39,'BuffValue&lt;Child&gt;'!$A:$A,'BuffValue&lt;Child&gt;'!$K:$K),0)</f>
        <v>65000</v>
      </c>
      <c r="AQ39" s="43" t="str">
        <f>IFERROR(_xlfn.XLOOKUP(AB39,Target!$A:$A,Target!$B:$B),"None")</f>
        <v>None</v>
      </c>
      <c r="AR39" s="45" t="str">
        <f>IFERROR(_xlfn.XLOOKUP($AC39,'BuffValue&lt;Child&gt;'!$A:$A,'BuffValue&lt;Child&gt;'!$F:$F),"None")</f>
        <v>None</v>
      </c>
      <c r="AS39" s="45">
        <f>IFERROR(_xlfn.XLOOKUP($AC39,'BuffValue&lt;Child&gt;'!$A:$A,'BuffValue&lt;Child&gt;'!$K:$K),0)</f>
        <v>0</v>
      </c>
      <c r="AT39" s="43" t="str">
        <f>IFERROR(_xlfn.XLOOKUP(AG39,Target!$A:$A,Target!$B:$B),"None")</f>
        <v>논타겟 적 9칸</v>
      </c>
      <c r="AU39" s="43" t="str">
        <f>IFERROR(_xlfn.XLOOKUP($AH39,'BuffValue&lt;Child&gt;'!$A:$A,'BuffValue&lt;Child&gt;'!$F:$F),"None")</f>
        <v>다비 액티브 화상</v>
      </c>
      <c r="AV39" s="43">
        <f>IFERROR(_xlfn.XLOOKUP($AH39,'BuffValue&lt;Child&gt;'!$A:$A,'BuffValue&lt;Child&gt;'!$K:$K),0)</f>
        <v>30000</v>
      </c>
      <c r="AW39" s="43" t="str">
        <f>IFERROR(_xlfn.XLOOKUP(AL39,Target!$A:$A,Target!$B:$B),"None")</f>
        <v>논타겟 적 9칸</v>
      </c>
      <c r="AX39" s="43" t="str">
        <f>IFERROR(_xlfn.XLOOKUP($AM39,'BuffValue&lt;Child&gt;'!$A:$A,'BuffValue&lt;Child&gt;'!$F:$F),"None")</f>
        <v>다비 액티브 화상</v>
      </c>
      <c r="AY39" s="43">
        <f>IFERROR(_xlfn.XLOOKUP($AM39,#REF!,#REF!),0)</f>
        <v>0</v>
      </c>
    </row>
    <row r="40" spans="1:51" x14ac:dyDescent="0.3">
      <c r="A40" s="1">
        <f>INT(3&amp;MID(_xlfn.XLOOKUP(B40,[2]Timeline!$B:$B,[2]Timeline!$A:$A),2,5)&amp;2)</f>
        <v>3300032</v>
      </c>
      <c r="B40" s="7" t="s">
        <v>7</v>
      </c>
      <c r="C40" s="7" t="s">
        <v>250</v>
      </c>
      <c r="D40" s="7" t="s">
        <v>505</v>
      </c>
      <c r="E40" s="1" t="str">
        <f t="shared" si="8"/>
        <v>skill_name_3300032</v>
      </c>
      <c r="F40" s="1" t="s">
        <v>117</v>
      </c>
      <c r="G40" s="1" t="s">
        <v>390</v>
      </c>
      <c r="H40" s="1" t="str">
        <f t="shared" si="9"/>
        <v>skill_desc_3300032</v>
      </c>
      <c r="I40" s="1" t="s">
        <v>205</v>
      </c>
      <c r="J40" s="1" t="str">
        <f>IFERROR(_xlfn.XLOOKUP(W40,Target!A:A,Target!J:J),"")</f>
        <v>Skill_Target_Icon_Enemy</v>
      </c>
      <c r="K40" s="1" t="s">
        <v>205</v>
      </c>
      <c r="L40" s="1" t="str">
        <f>IFERROR(_xlfn.XLOOKUP(W40,Target!A:A,Target!K:K),"")</f>
        <v>Skill_Area_Icon_NonTarget_All</v>
      </c>
      <c r="M40" s="1" t="str">
        <f>_xlfn.XLOOKUP(B40,'[2]Detail&lt;Child&gt;'!$B:$B,'[2]Detail&lt;Child&gt;'!$M:$M)</f>
        <v>Fire</v>
      </c>
      <c r="N40" s="1" t="str">
        <f>_xlfn.XLOOKUP(B40,'[2]Detail&lt;Child&gt;'!$B:$B,'[2]Detail&lt;Child&gt;'!$N:$N)</f>
        <v>Supporter</v>
      </c>
      <c r="O40" s="1" t="s">
        <v>140</v>
      </c>
      <c r="P40" s="33">
        <v>0</v>
      </c>
      <c r="Q40" s="68" t="str" cm="1">
        <f t="array" ref="Q40">_xlfn.IFS(R40="Move","Move",R40="NonTargetMove","Move",R40="Static","Stand",R40="None","Stand")</f>
        <v>Move</v>
      </c>
      <c r="R40" s="1" t="s">
        <v>153</v>
      </c>
      <c r="S40" s="1">
        <v>1</v>
      </c>
      <c r="T40" s="2" t="str">
        <f t="shared" si="3"/>
        <v>SignalHit</v>
      </c>
      <c r="U40" s="2" t="str" cm="1">
        <f t="array" ref="U40">_xlfn.IFS(T40="SignalHIt","TurnEnd",T40="AttackBegin","TurnEnd",T40="AttackEnd","TurnEnd",T40="Immediately","Applied",T40="None","None")</f>
        <v>TurnEnd</v>
      </c>
      <c r="V40" s="2">
        <v>0</v>
      </c>
      <c r="W40" s="1">
        <v>920001</v>
      </c>
      <c r="X40" s="8">
        <v>33000321</v>
      </c>
      <c r="Y40" s="1" t="str">
        <f t="shared" si="4"/>
        <v>Immediately</v>
      </c>
      <c r="Z40" s="2" t="str" cm="1">
        <f t="array" ref="Z40">_xlfn.IFS(Y40="SignalHIt","TurnEnd",Y40="AttackBegin","TurnEnd",Y40="AttackEnd","TurnEnd",Y40="Immediately","Applied",Y40="None","None")</f>
        <v>Applied</v>
      </c>
      <c r="AA40" s="2">
        <v>0</v>
      </c>
      <c r="AB40" s="1">
        <v>0</v>
      </c>
      <c r="AC40" s="8">
        <v>0</v>
      </c>
      <c r="AD40" s="2" t="str">
        <f t="shared" si="5"/>
        <v>AttackEnd</v>
      </c>
      <c r="AE40" s="2" t="str" cm="1">
        <f t="array" ref="AE40">_xlfn.IFS(AD40="SignalHIt","TurnEnd",AD40="AttackBegin","TurnEnd",AD40="AttackEnd","TurnEnd",AD40="Immediately","Applied",AD40="None","None")</f>
        <v>TurnEnd</v>
      </c>
      <c r="AF40" s="2">
        <v>0</v>
      </c>
      <c r="AG40" s="1">
        <v>920001</v>
      </c>
      <c r="AH40" s="8">
        <v>33000322</v>
      </c>
      <c r="AI40" s="2" t="str">
        <f t="shared" si="6"/>
        <v>AttackEnd</v>
      </c>
      <c r="AJ40" s="2" t="str" cm="1">
        <f t="array" ref="AJ40">_xlfn.IFS(AI40="SignalHIt","TurnEnd",AI40="AttackBegin","TurnEnd",AI40="AttackEnd","TurnEnd",AI40="Immediately","Applied",AI40="None","None")</f>
        <v>TurnEnd</v>
      </c>
      <c r="AK40" s="2">
        <v>0</v>
      </c>
      <c r="AL40" s="1">
        <v>920001</v>
      </c>
      <c r="AM40" s="48">
        <f>AH40+1</f>
        <v>33000323</v>
      </c>
      <c r="AN40" s="45" t="str">
        <f>IFERROR(_xlfn.XLOOKUP(W40,Target!$A:$A,Target!$B:$B),"None")</f>
        <v>논타겟 적 9칸</v>
      </c>
      <c r="AO40" s="43" t="str">
        <f>IFERROR(_xlfn.XLOOKUP($X40,'BuffValue&lt;Child&gt;'!$A:$A,'BuffValue&lt;Child&gt;'!$F:$F),"None")</f>
        <v>얼티밋 대미지</v>
      </c>
      <c r="AP40" s="43">
        <f>IFERROR(_xlfn.XLOOKUP($X40,'BuffValue&lt;Child&gt;'!$A:$A,'BuffValue&lt;Child&gt;'!$K:$K),0)</f>
        <v>65000</v>
      </c>
      <c r="AQ40" s="43" t="str">
        <f>IFERROR(_xlfn.XLOOKUP(AB40,Target!$A:$A,Target!$B:$B),"None")</f>
        <v>None</v>
      </c>
      <c r="AR40" s="45" t="str">
        <f>IFERROR(_xlfn.XLOOKUP($AC40,'BuffValue&lt;Child&gt;'!$A:$A,'BuffValue&lt;Child&gt;'!$F:$F),"None")</f>
        <v>None</v>
      </c>
      <c r="AS40" s="45">
        <f>IFERROR(_xlfn.XLOOKUP($AC40,'BuffValue&lt;Child&gt;'!$A:$A,'BuffValue&lt;Child&gt;'!$K:$K),0)</f>
        <v>0</v>
      </c>
      <c r="AT40" s="43" t="str">
        <f>IFERROR(_xlfn.XLOOKUP(AG40,Target!$A:$A,Target!$B:$B),"None")</f>
        <v>논타겟 적 9칸</v>
      </c>
      <c r="AU40" s="43" t="str">
        <f>IFERROR(_xlfn.XLOOKUP($AH40,'BuffValue&lt;Child&gt;'!$A:$A,'BuffValue&lt;Child&gt;'!$F:$F),"None")</f>
        <v>다비 액티브 화상</v>
      </c>
      <c r="AV40" s="43">
        <f>IFERROR(_xlfn.XLOOKUP($AH40,'BuffValue&lt;Child&gt;'!$A:$A,'BuffValue&lt;Child&gt;'!$K:$K),0)</f>
        <v>30000</v>
      </c>
      <c r="AW40" s="43" t="str">
        <f>IFERROR(_xlfn.XLOOKUP(AL40,Target!$A:$A,Target!$B:$B),"None")</f>
        <v>논타겟 적 9칸</v>
      </c>
      <c r="AX40" s="43" t="str">
        <f>IFERROR(_xlfn.XLOOKUP($AM40,'BuffValue&lt;Child&gt;'!$A:$A,'BuffValue&lt;Child&gt;'!$F:$F),"None")</f>
        <v>다비 액티브 화상</v>
      </c>
      <c r="AY40" s="43">
        <f>IFERROR(_xlfn.XLOOKUP($AM40,#REF!,#REF!),0)</f>
        <v>0</v>
      </c>
    </row>
    <row r="41" spans="1:51" x14ac:dyDescent="0.3">
      <c r="A41" s="1">
        <f>INT(3&amp;MID(_xlfn.XLOOKUP(B41,[2]Timeline!$B:$B,[2]Timeline!$A:$A),2,5)&amp;3)</f>
        <v>3300033</v>
      </c>
      <c r="B41" s="7" t="s">
        <v>7</v>
      </c>
      <c r="C41" s="7" t="s">
        <v>250</v>
      </c>
      <c r="D41" s="7" t="s">
        <v>505</v>
      </c>
      <c r="E41" s="1" t="str">
        <f t="shared" si="8"/>
        <v>skill_name_3300033</v>
      </c>
      <c r="F41" s="1" t="s">
        <v>117</v>
      </c>
      <c r="G41" s="1" t="s">
        <v>390</v>
      </c>
      <c r="H41" s="1" t="str">
        <f t="shared" si="9"/>
        <v>skill_desc_3300033</v>
      </c>
      <c r="I41" s="1" t="s">
        <v>205</v>
      </c>
      <c r="J41" s="1" t="str">
        <f>IFERROR(_xlfn.XLOOKUP(W41,Target!A:A,Target!J:J),"")</f>
        <v>Skill_Target_Icon_Enemy</v>
      </c>
      <c r="K41" s="1" t="s">
        <v>205</v>
      </c>
      <c r="L41" s="1" t="str">
        <f>IFERROR(_xlfn.XLOOKUP(W41,Target!A:A,Target!K:K),"")</f>
        <v>Skill_Area_Icon_NonTarget_All</v>
      </c>
      <c r="M41" s="1" t="str">
        <f>_xlfn.XLOOKUP(B41,'[2]Detail&lt;Child&gt;'!$B:$B,'[2]Detail&lt;Child&gt;'!$M:$M)</f>
        <v>Fire</v>
      </c>
      <c r="N41" s="1" t="str">
        <f>_xlfn.XLOOKUP(B41,'[2]Detail&lt;Child&gt;'!$B:$B,'[2]Detail&lt;Child&gt;'!$N:$N)</f>
        <v>Supporter</v>
      </c>
      <c r="O41" s="1" t="s">
        <v>140</v>
      </c>
      <c r="P41" s="33">
        <v>0</v>
      </c>
      <c r="Q41" s="68" t="str" cm="1">
        <f t="array" ref="Q41">_xlfn.IFS(R41="Move","Move",R41="NonTargetMove","Move",R41="Static","Stand",R41="None","Stand")</f>
        <v>Move</v>
      </c>
      <c r="R41" s="1" t="s">
        <v>153</v>
      </c>
      <c r="S41" s="1">
        <v>1</v>
      </c>
      <c r="T41" s="2" t="str">
        <f t="shared" si="3"/>
        <v>SignalHit</v>
      </c>
      <c r="U41" s="2" t="str" cm="1">
        <f t="array" ref="U41">_xlfn.IFS(T41="SignalHIt","TurnEnd",T41="AttackBegin","TurnEnd",T41="AttackEnd","TurnEnd",T41="Immediately","Applied",T41="None","None")</f>
        <v>TurnEnd</v>
      </c>
      <c r="V41" s="2">
        <v>0</v>
      </c>
      <c r="W41" s="1">
        <v>920001</v>
      </c>
      <c r="X41" s="8">
        <v>33000331</v>
      </c>
      <c r="Y41" s="1" t="str">
        <f t="shared" si="4"/>
        <v>Immediately</v>
      </c>
      <c r="Z41" s="2" t="str" cm="1">
        <f t="array" ref="Z41">_xlfn.IFS(Y41="SignalHIt","TurnEnd",Y41="AttackBegin","TurnEnd",Y41="AttackEnd","TurnEnd",Y41="Immediately","Applied",Y41="None","None")</f>
        <v>Applied</v>
      </c>
      <c r="AA41" s="2">
        <v>0</v>
      </c>
      <c r="AB41" s="1">
        <v>0</v>
      </c>
      <c r="AC41" s="8">
        <v>0</v>
      </c>
      <c r="AD41" s="2" t="str">
        <f t="shared" si="5"/>
        <v>AttackEnd</v>
      </c>
      <c r="AE41" s="2" t="str" cm="1">
        <f t="array" ref="AE41">_xlfn.IFS(AD41="SignalHIt","TurnEnd",AD41="AttackBegin","TurnEnd",AD41="AttackEnd","TurnEnd",AD41="Immediately","Applied",AD41="None","None")</f>
        <v>TurnEnd</v>
      </c>
      <c r="AF41" s="2">
        <v>0</v>
      </c>
      <c r="AG41" s="1">
        <v>920001</v>
      </c>
      <c r="AH41" s="8">
        <v>33000332</v>
      </c>
      <c r="AI41" s="2" t="str">
        <f t="shared" si="6"/>
        <v>AttackEnd</v>
      </c>
      <c r="AJ41" s="2" t="str" cm="1">
        <f t="array" ref="AJ41">_xlfn.IFS(AI41="SignalHIt","TurnEnd",AI41="AttackBegin","TurnEnd",AI41="AttackEnd","TurnEnd",AI41="Immediately","Applied",AI41="None","None")</f>
        <v>TurnEnd</v>
      </c>
      <c r="AK41" s="2">
        <v>0</v>
      </c>
      <c r="AL41" s="1">
        <v>920001</v>
      </c>
      <c r="AM41" s="48">
        <f>AH41+1</f>
        <v>33000333</v>
      </c>
      <c r="AN41" s="45" t="str">
        <f>IFERROR(_xlfn.XLOOKUP(W41,Target!$A:$A,Target!$B:$B),"None")</f>
        <v>논타겟 적 9칸</v>
      </c>
      <c r="AO41" s="43" t="str">
        <f>IFERROR(_xlfn.XLOOKUP($X41,'BuffValue&lt;Child&gt;'!$A:$A,'BuffValue&lt;Child&gt;'!$F:$F),"None")</f>
        <v>얼티밋 대미지</v>
      </c>
      <c r="AP41" s="43">
        <f>IFERROR(_xlfn.XLOOKUP($X41,'BuffValue&lt;Child&gt;'!$A:$A,'BuffValue&lt;Child&gt;'!$K:$K),0)</f>
        <v>65000</v>
      </c>
      <c r="AQ41" s="43" t="str">
        <f>IFERROR(_xlfn.XLOOKUP(AB41,Target!$A:$A,Target!$B:$B),"None")</f>
        <v>None</v>
      </c>
      <c r="AR41" s="45" t="str">
        <f>IFERROR(_xlfn.XLOOKUP($AC41,'BuffValue&lt;Child&gt;'!$A:$A,'BuffValue&lt;Child&gt;'!$F:$F),"None")</f>
        <v>None</v>
      </c>
      <c r="AS41" s="45">
        <f>IFERROR(_xlfn.XLOOKUP($AC41,'BuffValue&lt;Child&gt;'!$A:$A,'BuffValue&lt;Child&gt;'!$K:$K),0)</f>
        <v>0</v>
      </c>
      <c r="AT41" s="43" t="str">
        <f>IFERROR(_xlfn.XLOOKUP(AG41,Target!$A:$A,Target!$B:$B),"None")</f>
        <v>논타겟 적 9칸</v>
      </c>
      <c r="AU41" s="43" t="str">
        <f>IFERROR(_xlfn.XLOOKUP($AH41,'BuffValue&lt;Child&gt;'!$A:$A,'BuffValue&lt;Child&gt;'!$F:$F),"None")</f>
        <v>다비 액티브 화상</v>
      </c>
      <c r="AV41" s="43">
        <f>IFERROR(_xlfn.XLOOKUP($AH41,'BuffValue&lt;Child&gt;'!$A:$A,'BuffValue&lt;Child&gt;'!$K:$K),0)</f>
        <v>30000</v>
      </c>
      <c r="AW41" s="43" t="str">
        <f>IFERROR(_xlfn.XLOOKUP(AL41,Target!$A:$A,Target!$B:$B),"None")</f>
        <v>논타겟 적 9칸</v>
      </c>
      <c r="AX41" s="43" t="str">
        <f>IFERROR(_xlfn.XLOOKUP($AM41,'BuffValue&lt;Child&gt;'!$A:$A,'BuffValue&lt;Child&gt;'!$F:$F),"None")</f>
        <v>다비 액티브 화상</v>
      </c>
      <c r="AY41" s="43">
        <f>IFERROR(_xlfn.XLOOKUP($AM41,#REF!,#REF!),0)</f>
        <v>0</v>
      </c>
    </row>
    <row r="42" spans="1:51" x14ac:dyDescent="0.3">
      <c r="A42" s="1">
        <f>INT(4&amp;MID(_xlfn.XLOOKUP(B42,[2]Timeline!$B:$B,[2]Timeline!$A:$A),2,5)&amp;1)</f>
        <v>4300031</v>
      </c>
      <c r="B42" s="7" t="s">
        <v>7</v>
      </c>
      <c r="C42" s="7" t="s">
        <v>122</v>
      </c>
      <c r="D42" s="7" t="s">
        <v>509</v>
      </c>
      <c r="E42" s="1" t="str">
        <f t="shared" si="8"/>
        <v>skill_name_4300031</v>
      </c>
      <c r="F42" s="1" t="s">
        <v>117</v>
      </c>
      <c r="G42" s="1" t="s">
        <v>515</v>
      </c>
      <c r="H42" s="1" t="str">
        <f t="shared" si="9"/>
        <v>skill_desc_4300031</v>
      </c>
      <c r="I42" s="1" t="s">
        <v>205</v>
      </c>
      <c r="J42" s="1" t="str">
        <f>IFERROR(_xlfn.XLOOKUP(W42,Target!A:A,Target!J:J),"")</f>
        <v>Skill_Target_Icon_Mine</v>
      </c>
      <c r="K42" s="1" t="s">
        <v>205</v>
      </c>
      <c r="L42" s="1" t="str">
        <f>IFERROR(_xlfn.XLOOKUP(W42,Target!A:A,Target!K:K),"")</f>
        <v>Skill_Area_Icon_Pivot_Centor</v>
      </c>
      <c r="M42" s="1" t="str">
        <f>_xlfn.XLOOKUP(B42,'[2]Detail&lt;Child&gt;'!$B:$B,'[2]Detail&lt;Child&gt;'!$M:$M)</f>
        <v>Fire</v>
      </c>
      <c r="N42" s="1" t="str">
        <f>_xlfn.XLOOKUP(B42,'[2]Detail&lt;Child&gt;'!$B:$B,'[2]Detail&lt;Child&gt;'!$N:$N)</f>
        <v>Supporter</v>
      </c>
      <c r="O42" s="1" t="s">
        <v>167</v>
      </c>
      <c r="P42" s="33">
        <v>0</v>
      </c>
      <c r="Q42" s="68" t="str" cm="1">
        <f t="array" ref="Q42">_xlfn.IFS(R42="Move","Move",R42="NonTargetMove","Move",R42="Static","Stand",R42="None","Stand")</f>
        <v>Stand</v>
      </c>
      <c r="R42" s="1" t="s">
        <v>136</v>
      </c>
      <c r="S42" s="1">
        <f t="shared" ref="S42:S47" si="10">IF(R42="Static",0,1)</f>
        <v>0</v>
      </c>
      <c r="T42" s="2" t="str">
        <f t="shared" si="3"/>
        <v>Immediately</v>
      </c>
      <c r="U42" s="2" t="str" cm="1">
        <f t="array" ref="U42">_xlfn.IFS(T42="SignalHIt","TurnEnd",T42="AttackBegin","TurnEnd",T42="AttackEnd","TurnEnd",T42="Immediately","Applied",T42="None","None")</f>
        <v>Applied</v>
      </c>
      <c r="V42" s="2">
        <v>0</v>
      </c>
      <c r="W42" s="1">
        <v>1</v>
      </c>
      <c r="X42" s="8">
        <v>43000311</v>
      </c>
      <c r="Y42" s="1" t="str">
        <f t="shared" si="4"/>
        <v>Immediately</v>
      </c>
      <c r="Z42" s="2" t="str" cm="1">
        <f t="array" ref="Z42">_xlfn.IFS(Y42="SignalHIt","TurnEnd",Y42="AttackBegin","TurnEnd",Y42="AttackEnd","TurnEnd",Y42="Immediately","Applied",Y42="None","None")</f>
        <v>Applied</v>
      </c>
      <c r="AA42" s="2">
        <v>0</v>
      </c>
      <c r="AB42" s="1">
        <v>0</v>
      </c>
      <c r="AC42" s="8">
        <v>0</v>
      </c>
      <c r="AD42" s="2" t="str">
        <f t="shared" si="5"/>
        <v>Immediately</v>
      </c>
      <c r="AE42" s="2" t="str" cm="1">
        <f t="array" ref="AE42">_xlfn.IFS(AD42="SignalHIt","TurnEnd",AD42="AttackBegin","TurnEnd",AD42="AttackEnd","TurnEnd",AD42="Immediately","Applied",AD42="None","None")</f>
        <v>Applied</v>
      </c>
      <c r="AF42" s="2">
        <v>0</v>
      </c>
      <c r="AG42" s="1">
        <v>0</v>
      </c>
      <c r="AH42" s="8">
        <v>0</v>
      </c>
      <c r="AI42" s="2" t="str">
        <f t="shared" si="6"/>
        <v>Immediately</v>
      </c>
      <c r="AJ42" s="2" t="str" cm="1">
        <f t="array" ref="AJ42">_xlfn.IFS(AI42="SignalHIt","TurnEnd",AI42="AttackBegin","TurnEnd",AI42="AttackEnd","TurnEnd",AI42="Immediately","Applied",AI42="None","None")</f>
        <v>Applied</v>
      </c>
      <c r="AK42" s="2">
        <v>0</v>
      </c>
      <c r="AL42" s="8">
        <v>0</v>
      </c>
      <c r="AM42" s="48">
        <v>0</v>
      </c>
      <c r="AN42" s="45" t="str">
        <f>IFERROR(_xlfn.XLOOKUP(W42,Target!$A:$A,Target!$B:$B),"None")</f>
        <v xml:space="preserve"> 자신 1명 </v>
      </c>
      <c r="AO42" s="43" t="str">
        <f>IFERROR(_xlfn.XLOOKUP($X42,'BuffValue&lt;Child&gt;'!$A:$A,'BuffValue&lt;Child&gt;'!$F:$F),"None")</f>
        <v>없음</v>
      </c>
      <c r="AP42" s="43">
        <f>IFERROR(_xlfn.XLOOKUP($X42,'BuffValue&lt;Child&gt;'!$A:$A,'BuffValue&lt;Child&gt;'!$K:$K),0)</f>
        <v>0</v>
      </c>
      <c r="AQ42" s="43" t="str">
        <f>IFERROR(_xlfn.XLOOKUP(AB42,Target!$A:$A,Target!$B:$B),"None")</f>
        <v>None</v>
      </c>
      <c r="AR42" s="45" t="str">
        <f>IFERROR(_xlfn.XLOOKUP($AC42,'BuffValue&lt;Child&gt;'!$A:$A,'BuffValue&lt;Child&gt;'!$F:$F),"None")</f>
        <v>None</v>
      </c>
      <c r="AS42" s="45">
        <f>IFERROR(_xlfn.XLOOKUP($AC42,'BuffValue&lt;Child&gt;'!$A:$A,'BuffValue&lt;Child&gt;'!$K:$K),0)</f>
        <v>0</v>
      </c>
      <c r="AT42" s="43" t="str">
        <f>IFERROR(_xlfn.XLOOKUP(AG42,Target!$A:$A,Target!$B:$B),"None")</f>
        <v>None</v>
      </c>
      <c r="AU42" s="43" t="str">
        <f>IFERROR(_xlfn.XLOOKUP($AH42,'BuffValue&lt;Child&gt;'!$A:$A,'BuffValue&lt;Child&gt;'!$F:$F),"None")</f>
        <v>None</v>
      </c>
      <c r="AV42" s="43">
        <f>IFERROR(_xlfn.XLOOKUP($AH42,'BuffValue&lt;Child&gt;'!$A:$A,'BuffValue&lt;Child&gt;'!$K:$K),0)</f>
        <v>0</v>
      </c>
      <c r="AW42" s="43" t="str">
        <f>IFERROR(_xlfn.XLOOKUP(AL42,Target!$A:$A,Target!$B:$B),"None")</f>
        <v>None</v>
      </c>
      <c r="AX42" s="43" t="str">
        <f>IFERROR(_xlfn.XLOOKUP($AM42,'BuffValue&lt;Child&gt;'!$A:$A,'BuffValue&lt;Child&gt;'!$F:$F),"None")</f>
        <v>None</v>
      </c>
      <c r="AY42" s="43">
        <f>IFERROR(_xlfn.XLOOKUP($AM42,#REF!,#REF!),0)</f>
        <v>0</v>
      </c>
    </row>
    <row r="43" spans="1:51" x14ac:dyDescent="0.3">
      <c r="A43" s="1">
        <f>INT(4&amp;MID(_xlfn.XLOOKUP(B43,[2]Timeline!$B:$B,[2]Timeline!$A:$A),2,5)&amp;2)</f>
        <v>4300032</v>
      </c>
      <c r="B43" s="7" t="s">
        <v>7</v>
      </c>
      <c r="C43" s="7" t="s">
        <v>122</v>
      </c>
      <c r="D43" s="7" t="s">
        <v>509</v>
      </c>
      <c r="E43" s="1" t="str">
        <f t="shared" si="8"/>
        <v>skill_name_4300032</v>
      </c>
      <c r="F43" s="1" t="s">
        <v>117</v>
      </c>
      <c r="G43" s="1" t="s">
        <v>515</v>
      </c>
      <c r="H43" s="1" t="str">
        <f t="shared" si="9"/>
        <v>skill_desc_4300032</v>
      </c>
      <c r="I43" s="1" t="s">
        <v>205</v>
      </c>
      <c r="J43" s="1" t="str">
        <f>IFERROR(_xlfn.XLOOKUP(W43,Target!A:A,Target!J:J),"")</f>
        <v>Skill_Target_Icon_Mine</v>
      </c>
      <c r="K43" s="1" t="s">
        <v>205</v>
      </c>
      <c r="L43" s="1" t="str">
        <f>IFERROR(_xlfn.XLOOKUP(W43,Target!A:A,Target!K:K),"")</f>
        <v>Skill_Area_Icon_Pivot_Centor</v>
      </c>
      <c r="M43" s="1" t="str">
        <f>_xlfn.XLOOKUP(B43,'[2]Detail&lt;Child&gt;'!$B:$B,'[2]Detail&lt;Child&gt;'!$M:$M)</f>
        <v>Fire</v>
      </c>
      <c r="N43" s="1" t="str">
        <f>_xlfn.XLOOKUP(B43,'[2]Detail&lt;Child&gt;'!$B:$B,'[2]Detail&lt;Child&gt;'!$N:$N)</f>
        <v>Supporter</v>
      </c>
      <c r="O43" s="1" t="s">
        <v>167</v>
      </c>
      <c r="P43" s="33">
        <v>0</v>
      </c>
      <c r="Q43" s="68" t="str" cm="1">
        <f t="array" ref="Q43">_xlfn.IFS(R43="Move","Move",R43="NonTargetMove","Move",R43="Static","Stand",R43="None","Stand")</f>
        <v>Stand</v>
      </c>
      <c r="R43" s="1" t="s">
        <v>136</v>
      </c>
      <c r="S43" s="1">
        <f t="shared" si="10"/>
        <v>0</v>
      </c>
      <c r="T43" s="2" t="str">
        <f t="shared" si="3"/>
        <v>Immediately</v>
      </c>
      <c r="U43" s="2" t="str" cm="1">
        <f t="array" ref="U43">_xlfn.IFS(T43="SignalHIt","TurnEnd",T43="AttackBegin","TurnEnd",T43="AttackEnd","TurnEnd",T43="Immediately","Applied",T43="None","None")</f>
        <v>Applied</v>
      </c>
      <c r="V43" s="2">
        <v>0</v>
      </c>
      <c r="W43" s="1">
        <v>1</v>
      </c>
      <c r="X43" s="8">
        <v>43000321</v>
      </c>
      <c r="Y43" s="1" t="str">
        <f t="shared" si="4"/>
        <v>Immediately</v>
      </c>
      <c r="Z43" s="2" t="str" cm="1">
        <f t="array" ref="Z43">_xlfn.IFS(Y43="SignalHIt","TurnEnd",Y43="AttackBegin","TurnEnd",Y43="AttackEnd","TurnEnd",Y43="Immediately","Applied",Y43="None","None")</f>
        <v>Applied</v>
      </c>
      <c r="AA43" s="2">
        <v>0</v>
      </c>
      <c r="AB43" s="1">
        <v>0</v>
      </c>
      <c r="AC43" s="8">
        <v>0</v>
      </c>
      <c r="AD43" s="2" t="str">
        <f t="shared" si="5"/>
        <v>Immediately</v>
      </c>
      <c r="AE43" s="2" t="str" cm="1">
        <f t="array" ref="AE43">_xlfn.IFS(AD43="SignalHIt","TurnEnd",AD43="AttackBegin","TurnEnd",AD43="AttackEnd","TurnEnd",AD43="Immediately","Applied",AD43="None","None")</f>
        <v>Applied</v>
      </c>
      <c r="AF43" s="2">
        <v>0</v>
      </c>
      <c r="AG43" s="1">
        <v>0</v>
      </c>
      <c r="AH43" s="8">
        <v>0</v>
      </c>
      <c r="AI43" s="2" t="str">
        <f t="shared" si="6"/>
        <v>Immediately</v>
      </c>
      <c r="AJ43" s="2" t="str" cm="1">
        <f t="array" ref="AJ43">_xlfn.IFS(AI43="SignalHIt","TurnEnd",AI43="AttackBegin","TurnEnd",AI43="AttackEnd","TurnEnd",AI43="Immediately","Applied",AI43="None","None")</f>
        <v>Applied</v>
      </c>
      <c r="AK43" s="2">
        <v>0</v>
      </c>
      <c r="AL43" s="8">
        <v>0</v>
      </c>
      <c r="AM43" s="48">
        <v>0</v>
      </c>
      <c r="AN43" s="45" t="str">
        <f>IFERROR(_xlfn.XLOOKUP(W43,Target!$A:$A,Target!$B:$B),"None")</f>
        <v xml:space="preserve"> 자신 1명 </v>
      </c>
      <c r="AO43" s="43" t="str">
        <f>IFERROR(_xlfn.XLOOKUP($X43,'BuffValue&lt;Child&gt;'!$A:$A,'BuffValue&lt;Child&gt;'!$F:$F),"None")</f>
        <v>없음</v>
      </c>
      <c r="AP43" s="43">
        <f>IFERROR(_xlfn.XLOOKUP($X43,'BuffValue&lt;Child&gt;'!$A:$A,'BuffValue&lt;Child&gt;'!$K:$K),0)</f>
        <v>0</v>
      </c>
      <c r="AQ43" s="43" t="str">
        <f>IFERROR(_xlfn.XLOOKUP(AB43,Target!$A:$A,Target!$B:$B),"None")</f>
        <v>None</v>
      </c>
      <c r="AR43" s="45" t="str">
        <f>IFERROR(_xlfn.XLOOKUP($AC43,'BuffValue&lt;Child&gt;'!$A:$A,'BuffValue&lt;Child&gt;'!$F:$F),"None")</f>
        <v>None</v>
      </c>
      <c r="AS43" s="45">
        <f>IFERROR(_xlfn.XLOOKUP($AC43,'BuffValue&lt;Child&gt;'!$A:$A,'BuffValue&lt;Child&gt;'!$K:$K),0)</f>
        <v>0</v>
      </c>
      <c r="AT43" s="43" t="str">
        <f>IFERROR(_xlfn.XLOOKUP(AG43,Target!$A:$A,Target!$B:$B),"None")</f>
        <v>None</v>
      </c>
      <c r="AU43" s="43" t="str">
        <f>IFERROR(_xlfn.XLOOKUP($AH43,'BuffValue&lt;Child&gt;'!$A:$A,'BuffValue&lt;Child&gt;'!$F:$F),"None")</f>
        <v>None</v>
      </c>
      <c r="AV43" s="43">
        <f>IFERROR(_xlfn.XLOOKUP($AH43,'BuffValue&lt;Child&gt;'!$A:$A,'BuffValue&lt;Child&gt;'!$K:$K),0)</f>
        <v>0</v>
      </c>
      <c r="AW43" s="43" t="str">
        <f>IFERROR(_xlfn.XLOOKUP(AL43,Target!$A:$A,Target!$B:$B),"None")</f>
        <v>None</v>
      </c>
      <c r="AX43" s="43" t="str">
        <f>IFERROR(_xlfn.XLOOKUP($AM43,'BuffValue&lt;Child&gt;'!$A:$A,'BuffValue&lt;Child&gt;'!$F:$F),"None")</f>
        <v>None</v>
      </c>
      <c r="AY43" s="43">
        <f>IFERROR(_xlfn.XLOOKUP($AM43,#REF!,#REF!),0)</f>
        <v>0</v>
      </c>
    </row>
    <row r="44" spans="1:51" s="11" customFormat="1" x14ac:dyDescent="0.3">
      <c r="A44" s="11">
        <f>INT(1&amp;MID(_xlfn.XLOOKUP(B44,[2]Timeline!$B:$B,[2]Timeline!$A:$A),2,5)&amp;1)</f>
        <v>1305021</v>
      </c>
      <c r="B44" s="12" t="s">
        <v>189</v>
      </c>
      <c r="C44" s="12" t="s">
        <v>297</v>
      </c>
      <c r="D44" s="12" t="s">
        <v>341</v>
      </c>
      <c r="E44" s="11" t="str">
        <f t="shared" si="8"/>
        <v>skill_name_1305021</v>
      </c>
      <c r="F44" s="11" t="s">
        <v>117</v>
      </c>
      <c r="G44" s="11" t="s">
        <v>423</v>
      </c>
      <c r="H44" s="11" t="str">
        <f t="shared" si="9"/>
        <v>skill_desc_1305021</v>
      </c>
      <c r="I44" s="11" t="s">
        <v>205</v>
      </c>
      <c r="J44" s="11" t="str">
        <f>IFERROR(_xlfn.XLOOKUP(W44,Target!A:A,Target!J:J),"")</f>
        <v>Skill_Target_Icon_Enemy_Near_One</v>
      </c>
      <c r="K44" s="11" t="s">
        <v>205</v>
      </c>
      <c r="L44" s="11" t="str">
        <f>IFERROR(_xlfn.XLOOKUP(W44,Target!A:A,Target!K:K),"")</f>
        <v>Skill_Area_Icon_Pivot_Centor</v>
      </c>
      <c r="M44" s="11" t="str">
        <f>_xlfn.XLOOKUP(B44,'[2]Detail&lt;Child&gt;'!$B:$B,'[2]Detail&lt;Child&gt;'!$M:$M)</f>
        <v>Water</v>
      </c>
      <c r="N44" s="11" t="str">
        <f>_xlfn.XLOOKUP(B44,'[2]Detail&lt;Child&gt;'!$B:$B,'[2]Detail&lt;Child&gt;'!$N:$N)</f>
        <v>Attacker</v>
      </c>
      <c r="O44" s="11" t="s">
        <v>30</v>
      </c>
      <c r="P44" s="34">
        <v>0</v>
      </c>
      <c r="Q44" s="69" t="str" cm="1">
        <f t="array" ref="Q44">_xlfn.IFS(R44="Move","Move",R44="NonTargetMove","Move",R44="Static","Stand",R44="None","Stand")</f>
        <v>Stand</v>
      </c>
      <c r="R44" s="11" t="s">
        <v>136</v>
      </c>
      <c r="S44" s="11">
        <f t="shared" si="10"/>
        <v>0</v>
      </c>
      <c r="T44" s="15" t="str">
        <f t="shared" si="3"/>
        <v>SignalHit</v>
      </c>
      <c r="U44" s="15" t="str" cm="1">
        <f t="array" ref="U44">_xlfn.IFS(T44="SignalHIt","TurnEnd",T44="AttackBegin","TurnEnd",T44="AttackEnd","TurnEnd",T44="Immediately","Applied",T44="None","None")</f>
        <v>TurnEnd</v>
      </c>
      <c r="V44" s="15">
        <v>0</v>
      </c>
      <c r="W44" s="11">
        <v>2000011</v>
      </c>
      <c r="X44" s="10">
        <v>13050211</v>
      </c>
      <c r="Y44" s="11" t="str">
        <f t="shared" si="4"/>
        <v>Immediately</v>
      </c>
      <c r="Z44" s="15" t="str" cm="1">
        <f t="array" ref="Z44">_xlfn.IFS(Y44="SignalHIt","TurnEnd",Y44="AttackBegin","TurnEnd",Y44="AttackEnd","TurnEnd",Y44="Immediately","Applied",Y44="None","None")</f>
        <v>Applied</v>
      </c>
      <c r="AA44" s="15">
        <v>0</v>
      </c>
      <c r="AB44" s="11">
        <v>0</v>
      </c>
      <c r="AC44" s="10">
        <v>0</v>
      </c>
      <c r="AD44" s="15" t="str">
        <f t="shared" si="5"/>
        <v>Immediately</v>
      </c>
      <c r="AE44" s="15" t="str" cm="1">
        <f t="array" ref="AE44">_xlfn.IFS(AD44="SignalHIt","TurnEnd",AD44="AttackBegin","TurnEnd",AD44="AttackEnd","TurnEnd",AD44="Immediately","Applied",AD44="None","None")</f>
        <v>Applied</v>
      </c>
      <c r="AF44" s="15">
        <v>0</v>
      </c>
      <c r="AG44" s="11">
        <v>0</v>
      </c>
      <c r="AH44" s="10">
        <v>0</v>
      </c>
      <c r="AI44" s="15" t="str">
        <f t="shared" si="6"/>
        <v>Immediately</v>
      </c>
      <c r="AJ44" s="15" t="str" cm="1">
        <f t="array" ref="AJ44">_xlfn.IFS(AI44="SignalHIt","TurnEnd",AI44="AttackBegin","TurnEnd",AI44="AttackEnd","TurnEnd",AI44="Immediately","Applied",AI44="None","None")</f>
        <v>Applied</v>
      </c>
      <c r="AK44" s="15">
        <v>0</v>
      </c>
      <c r="AL44" s="10">
        <v>0</v>
      </c>
      <c r="AM44" s="50">
        <v>0</v>
      </c>
      <c r="AN44" s="46" t="str">
        <f>IFERROR(_xlfn.XLOOKUP(W44,Target!$A:$A,Target!$B:$B),"None")</f>
        <v xml:space="preserve">가까운 적 1명 </v>
      </c>
      <c r="AO44" s="47" t="str">
        <f>IFERROR(_xlfn.XLOOKUP($X44,'BuffValue&lt;Child&gt;'!$A:$A,'BuffValue&lt;Child&gt;'!$F:$F),"None")</f>
        <v>공용 대미지</v>
      </c>
      <c r="AP44" s="47">
        <f>IFERROR(_xlfn.XLOOKUP($X44,'BuffValue&lt;Child&gt;'!$A:$A,'BuffValue&lt;Child&gt;'!$K:$K),0)</f>
        <v>175000</v>
      </c>
      <c r="AQ44" s="47" t="str">
        <f>IFERROR(_xlfn.XLOOKUP(AB44,Target!$A:$A,Target!$B:$B),"None")</f>
        <v>None</v>
      </c>
      <c r="AR44" s="46" t="str">
        <f>IFERROR(_xlfn.XLOOKUP($AC44,'BuffValue&lt;Child&gt;'!$A:$A,'BuffValue&lt;Child&gt;'!$F:$F),"None")</f>
        <v>None</v>
      </c>
      <c r="AS44" s="46">
        <f>IFERROR(_xlfn.XLOOKUP($AC44,'BuffValue&lt;Child&gt;'!$A:$A,'BuffValue&lt;Child&gt;'!$K:$K),0)</f>
        <v>0</v>
      </c>
      <c r="AT44" s="47" t="str">
        <f>IFERROR(_xlfn.XLOOKUP(AG44,Target!$A:$A,Target!$B:$B),"None")</f>
        <v>None</v>
      </c>
      <c r="AU44" s="47" t="str">
        <f>IFERROR(_xlfn.XLOOKUP($AH44,'BuffValue&lt;Child&gt;'!$A:$A,'BuffValue&lt;Child&gt;'!$F:$F),"None")</f>
        <v>None</v>
      </c>
      <c r="AV44" s="47">
        <f>IFERROR(_xlfn.XLOOKUP($AH44,'BuffValue&lt;Child&gt;'!$A:$A,'BuffValue&lt;Child&gt;'!$K:$K),0)</f>
        <v>0</v>
      </c>
      <c r="AW44" s="47" t="str">
        <f>IFERROR(_xlfn.XLOOKUP(AL44,Target!$A:$A,Target!$B:$B),"None")</f>
        <v>None</v>
      </c>
      <c r="AX44" s="47" t="str">
        <f>IFERROR(_xlfn.XLOOKUP($AM44,'BuffValue&lt;Child&gt;'!$A:$A,'BuffValue&lt;Child&gt;'!$F:$F),"None")</f>
        <v>None</v>
      </c>
      <c r="AY44" s="47">
        <f>IFERROR(_xlfn.XLOOKUP($AM44,#REF!,#REF!),0)</f>
        <v>0</v>
      </c>
    </row>
    <row r="45" spans="1:51" x14ac:dyDescent="0.3">
      <c r="A45" s="1">
        <f>INT(2&amp;MID(_xlfn.XLOOKUP(B45,[2]Timeline!$B:$B,[2]Timeline!$A:$A),2,5)&amp;1)</f>
        <v>2305021</v>
      </c>
      <c r="B45" s="7" t="s">
        <v>158</v>
      </c>
      <c r="C45" s="7" t="s">
        <v>298</v>
      </c>
      <c r="D45" s="7" t="s">
        <v>536</v>
      </c>
      <c r="E45" s="1" t="str">
        <f t="shared" si="8"/>
        <v>skill_name_2305021</v>
      </c>
      <c r="F45" s="1" t="s">
        <v>117</v>
      </c>
      <c r="G45" s="1" t="s">
        <v>424</v>
      </c>
      <c r="H45" s="1" t="str">
        <f t="shared" si="9"/>
        <v>skill_desc_2305021</v>
      </c>
      <c r="I45" s="1" t="s">
        <v>205</v>
      </c>
      <c r="J45" s="1" t="str">
        <f>IFERROR(_xlfn.XLOOKUP(W45,Target!A:A,Target!J:J),"")</f>
        <v>Skill_Target_Icon_Enemy</v>
      </c>
      <c r="K45" s="1" t="s">
        <v>205</v>
      </c>
      <c r="L45" s="1" t="str">
        <f>IFERROR(_xlfn.XLOOKUP(W45,Target!A:A,Target!K:K),"")</f>
        <v>Skill_Area_Icon_Pivot_Centor</v>
      </c>
      <c r="M45" s="1" t="str">
        <f>_xlfn.XLOOKUP(B45,'[2]Detail&lt;Child&gt;'!$B:$B,'[2]Detail&lt;Child&gt;'!$M:$M)</f>
        <v>Water</v>
      </c>
      <c r="N45" s="1" t="str">
        <f>_xlfn.XLOOKUP(B45,'[2]Detail&lt;Child&gt;'!$B:$B,'[2]Detail&lt;Child&gt;'!$N:$N)</f>
        <v>Attacker</v>
      </c>
      <c r="O45" s="1" t="s">
        <v>33</v>
      </c>
      <c r="P45" s="33">
        <v>3</v>
      </c>
      <c r="Q45" s="68" t="str" cm="1">
        <f t="array" ref="Q45">_xlfn.IFS(R45="Move","Move",R45="NonTargetMove","Move",R45="Static","Stand",R45="None","Stand")</f>
        <v>Stand</v>
      </c>
      <c r="R45" s="1" t="s">
        <v>136</v>
      </c>
      <c r="S45" s="1">
        <f t="shared" si="10"/>
        <v>0</v>
      </c>
      <c r="T45" s="2" t="str">
        <f t="shared" si="3"/>
        <v>SignalHit</v>
      </c>
      <c r="U45" s="2" t="str" cm="1">
        <f t="array" ref="U45">_xlfn.IFS(T45="SignalHIt","TurnEnd",T45="AttackBegin","TurnEnd",T45="AttackEnd","TurnEnd",T45="Immediately","Applied",T45="None","None")</f>
        <v>TurnEnd</v>
      </c>
      <c r="V45" s="2">
        <v>0</v>
      </c>
      <c r="W45" s="1">
        <v>2001101</v>
      </c>
      <c r="X45" s="8">
        <v>23050211</v>
      </c>
      <c r="Y45" s="1" t="str">
        <f t="shared" si="4"/>
        <v>Immediately</v>
      </c>
      <c r="Z45" s="2" t="str" cm="1">
        <f t="array" ref="Z45">_xlfn.IFS(Y45="SignalHIt","TurnEnd",Y45="AttackBegin","TurnEnd",Y45="AttackEnd","TurnEnd",Y45="Immediately","Applied",Y45="None","None")</f>
        <v>Applied</v>
      </c>
      <c r="AA45" s="2">
        <v>0</v>
      </c>
      <c r="AB45" s="1">
        <v>0</v>
      </c>
      <c r="AC45" s="8">
        <v>0</v>
      </c>
      <c r="AD45" s="2" t="str">
        <f t="shared" si="5"/>
        <v>AttackEnd</v>
      </c>
      <c r="AE45" s="2" t="str" cm="1">
        <f t="array" ref="AE45">_xlfn.IFS(AD45="SignalHIt","TurnEnd",AD45="AttackBegin","TurnEnd",AD45="AttackEnd","TurnEnd",AD45="Immediately","Applied",AD45="None","None")</f>
        <v>TurnEnd</v>
      </c>
      <c r="AF45" s="2">
        <v>0</v>
      </c>
      <c r="AG45" s="1">
        <v>2001101</v>
      </c>
      <c r="AH45" s="8">
        <f>X45+1</f>
        <v>23050212</v>
      </c>
      <c r="AI45" s="2" t="str">
        <f t="shared" si="6"/>
        <v>Immediately</v>
      </c>
      <c r="AJ45" s="2" t="str" cm="1">
        <f t="array" ref="AJ45">_xlfn.IFS(AI45="SignalHIt","TurnEnd",AI45="AttackBegin","TurnEnd",AI45="AttackEnd","TurnEnd",AI45="Immediately","Applied",AI45="None","None")</f>
        <v>Applied</v>
      </c>
      <c r="AK45" s="2">
        <v>0</v>
      </c>
      <c r="AL45" s="8">
        <v>0</v>
      </c>
      <c r="AM45" s="48">
        <v>0</v>
      </c>
      <c r="AN45" s="45" t="str">
        <f>IFERROR(_xlfn.XLOOKUP(W45,Target!$A:$A,Target!$B:$B),"None")</f>
        <v xml:space="preserve">화속성 무작위 적 1명 </v>
      </c>
      <c r="AO45" s="43" t="str">
        <f>IFERROR(_xlfn.XLOOKUP($X45,'BuffValue&lt;Child&gt;'!$A:$A,'BuffValue&lt;Child&gt;'!$F:$F),"None")</f>
        <v>액티브 대미지</v>
      </c>
      <c r="AP45" s="43">
        <f>IFERROR(_xlfn.XLOOKUP($X45,'BuffValue&lt;Child&gt;'!$A:$A,'BuffValue&lt;Child&gt;'!$K:$K),0)</f>
        <v>200000</v>
      </c>
      <c r="AQ45" s="43" t="str">
        <f>IFERROR(_xlfn.XLOOKUP(AB45,Target!$A:$A,Target!$B:$B),"None")</f>
        <v>None</v>
      </c>
      <c r="AR45" s="45" t="str">
        <f>IFERROR(_xlfn.XLOOKUP($AC45,'BuffValue&lt;Child&gt;'!$A:$A,'BuffValue&lt;Child&gt;'!$F:$F),"None")</f>
        <v>None</v>
      </c>
      <c r="AS45" s="45">
        <f>IFERROR(_xlfn.XLOOKUP($AC45,'BuffValue&lt;Child&gt;'!$A:$A,'BuffValue&lt;Child&gt;'!$K:$K),0)</f>
        <v>0</v>
      </c>
      <c r="AT45" s="43" t="str">
        <f>IFERROR(_xlfn.XLOOKUP(AG45,Target!$A:$A,Target!$B:$B),"None")</f>
        <v xml:space="preserve">화속성 무작위 적 1명 </v>
      </c>
      <c r="AU45" s="43" t="str">
        <f>IFERROR(_xlfn.XLOOKUP($AH45,'BuffValue&lt;Child&gt;'!$A:$A,'BuffValue&lt;Child&gt;'!$F:$F),"None")</f>
        <v>재능 중독</v>
      </c>
      <c r="AV45" s="43">
        <f>IFERROR(_xlfn.XLOOKUP($AH45,'BuffValue&lt;Child&gt;'!$A:$A,'BuffValue&lt;Child&gt;'!$K:$K),0)</f>
        <v>15000</v>
      </c>
      <c r="AW45" s="43" t="str">
        <f>IFERROR(_xlfn.XLOOKUP(AL45,Target!$A:$A,Target!$B:$B),"None")</f>
        <v>None</v>
      </c>
      <c r="AX45" s="43" t="str">
        <f>IFERROR(_xlfn.XLOOKUP($AM45,'BuffValue&lt;Child&gt;'!$A:$A,'BuffValue&lt;Child&gt;'!$F:$F),"None")</f>
        <v>None</v>
      </c>
      <c r="AY45" s="43">
        <f>IFERROR(_xlfn.XLOOKUP($AM45,#REF!,#REF!),0)</f>
        <v>0</v>
      </c>
    </row>
    <row r="46" spans="1:51" x14ac:dyDescent="0.3">
      <c r="A46" s="1">
        <f>INT(2&amp;MID(_xlfn.XLOOKUP(B46,[2]Timeline!$B:$B,[2]Timeline!$A:$A),2,5)&amp;2)</f>
        <v>2305022</v>
      </c>
      <c r="B46" s="7" t="s">
        <v>158</v>
      </c>
      <c r="C46" s="7" t="s">
        <v>298</v>
      </c>
      <c r="D46" s="7" t="s">
        <v>536</v>
      </c>
      <c r="E46" s="1" t="str">
        <f t="shared" si="8"/>
        <v>skill_name_2305022</v>
      </c>
      <c r="F46" s="1" t="s">
        <v>117</v>
      </c>
      <c r="G46" s="1" t="s">
        <v>424</v>
      </c>
      <c r="H46" s="1" t="str">
        <f t="shared" si="9"/>
        <v>skill_desc_2305022</v>
      </c>
      <c r="I46" s="1" t="s">
        <v>205</v>
      </c>
      <c r="J46" s="1" t="str">
        <f>IFERROR(_xlfn.XLOOKUP(W46,Target!A:A,Target!J:J),"")</f>
        <v>Skill_Target_Icon_Enemy</v>
      </c>
      <c r="K46" s="1" t="s">
        <v>205</v>
      </c>
      <c r="L46" s="1" t="str">
        <f>IFERROR(_xlfn.XLOOKUP(W46,Target!A:A,Target!K:K),"")</f>
        <v>Skill_Area_Icon_Pivot_Centor</v>
      </c>
      <c r="M46" s="1" t="str">
        <f>_xlfn.XLOOKUP(B46,'[2]Detail&lt;Child&gt;'!$B:$B,'[2]Detail&lt;Child&gt;'!$M:$M)</f>
        <v>Water</v>
      </c>
      <c r="N46" s="1" t="str">
        <f>_xlfn.XLOOKUP(B46,'[2]Detail&lt;Child&gt;'!$B:$B,'[2]Detail&lt;Child&gt;'!$N:$N)</f>
        <v>Attacker</v>
      </c>
      <c r="O46" s="1" t="s">
        <v>33</v>
      </c>
      <c r="P46" s="33">
        <v>2</v>
      </c>
      <c r="Q46" s="68" t="str" cm="1">
        <f t="array" ref="Q46">_xlfn.IFS(R46="Move","Move",R46="NonTargetMove","Move",R46="Static","Stand",R46="None","Stand")</f>
        <v>Stand</v>
      </c>
      <c r="R46" s="1" t="s">
        <v>136</v>
      </c>
      <c r="S46" s="1">
        <f t="shared" si="10"/>
        <v>0</v>
      </c>
      <c r="T46" s="2" t="str">
        <f t="shared" si="3"/>
        <v>SignalHit</v>
      </c>
      <c r="U46" s="2" t="str" cm="1">
        <f t="array" ref="U46">_xlfn.IFS(T46="SignalHIt","TurnEnd",T46="AttackBegin","TurnEnd",T46="AttackEnd","TurnEnd",T46="Immediately","Applied",T46="None","None")</f>
        <v>TurnEnd</v>
      </c>
      <c r="V46" s="2">
        <v>0</v>
      </c>
      <c r="W46" s="1">
        <v>2001101</v>
      </c>
      <c r="X46" s="8">
        <v>23050221</v>
      </c>
      <c r="Y46" s="1" t="str">
        <f t="shared" si="4"/>
        <v>Immediately</v>
      </c>
      <c r="Z46" s="2" t="str" cm="1">
        <f t="array" ref="Z46">_xlfn.IFS(Y46="SignalHIt","TurnEnd",Y46="AttackBegin","TurnEnd",Y46="AttackEnd","TurnEnd",Y46="Immediately","Applied",Y46="None","None")</f>
        <v>Applied</v>
      </c>
      <c r="AA46" s="2">
        <v>0</v>
      </c>
      <c r="AB46" s="1">
        <v>0</v>
      </c>
      <c r="AC46" s="8">
        <v>0</v>
      </c>
      <c r="AD46" s="2" t="str">
        <f t="shared" si="5"/>
        <v>AttackEnd</v>
      </c>
      <c r="AE46" s="2" t="str" cm="1">
        <f t="array" ref="AE46">_xlfn.IFS(AD46="SignalHIt","TurnEnd",AD46="AttackBegin","TurnEnd",AD46="AttackEnd","TurnEnd",AD46="Immediately","Applied",AD46="None","None")</f>
        <v>TurnEnd</v>
      </c>
      <c r="AF46" s="2">
        <v>0</v>
      </c>
      <c r="AG46" s="1">
        <v>2001101</v>
      </c>
      <c r="AH46" s="8">
        <f>X46+1</f>
        <v>23050222</v>
      </c>
      <c r="AI46" s="2" t="str">
        <f t="shared" si="6"/>
        <v>Immediately</v>
      </c>
      <c r="AJ46" s="2" t="str" cm="1">
        <f t="array" ref="AJ46">_xlfn.IFS(AI46="SignalHIt","TurnEnd",AI46="AttackBegin","TurnEnd",AI46="AttackEnd","TurnEnd",AI46="Immediately","Applied",AI46="None","None")</f>
        <v>Applied</v>
      </c>
      <c r="AK46" s="2">
        <v>0</v>
      </c>
      <c r="AL46" s="8">
        <v>0</v>
      </c>
      <c r="AM46" s="48">
        <v>0</v>
      </c>
      <c r="AN46" s="45" t="str">
        <f>IFERROR(_xlfn.XLOOKUP(W46,Target!$A:$A,Target!$B:$B),"None")</f>
        <v xml:space="preserve">화속성 무작위 적 1명 </v>
      </c>
      <c r="AO46" s="43" t="str">
        <f>IFERROR(_xlfn.XLOOKUP($X46,'BuffValue&lt;Child&gt;'!$A:$A,'BuffValue&lt;Child&gt;'!$F:$F),"None")</f>
        <v>액티브 대미지</v>
      </c>
      <c r="AP46" s="43">
        <f>IFERROR(_xlfn.XLOOKUP($X46,'BuffValue&lt;Child&gt;'!$A:$A,'BuffValue&lt;Child&gt;'!$K:$K),0)</f>
        <v>200000</v>
      </c>
      <c r="AQ46" s="43" t="str">
        <f>IFERROR(_xlfn.XLOOKUP(AB46,Target!$A:$A,Target!$B:$B),"None")</f>
        <v>None</v>
      </c>
      <c r="AR46" s="45" t="str">
        <f>IFERROR(_xlfn.XLOOKUP($AC46,'BuffValue&lt;Child&gt;'!$A:$A,'BuffValue&lt;Child&gt;'!$F:$F),"None")</f>
        <v>None</v>
      </c>
      <c r="AS46" s="45">
        <f>IFERROR(_xlfn.XLOOKUP($AC46,'BuffValue&lt;Child&gt;'!$A:$A,'BuffValue&lt;Child&gt;'!$K:$K),0)</f>
        <v>0</v>
      </c>
      <c r="AT46" s="43" t="str">
        <f>IFERROR(_xlfn.XLOOKUP(AG46,Target!$A:$A,Target!$B:$B),"None")</f>
        <v xml:space="preserve">화속성 무작위 적 1명 </v>
      </c>
      <c r="AU46" s="43" t="str">
        <f>IFERROR(_xlfn.XLOOKUP($AH46,'BuffValue&lt;Child&gt;'!$A:$A,'BuffValue&lt;Child&gt;'!$F:$F),"None")</f>
        <v>재능 중독</v>
      </c>
      <c r="AV46" s="43">
        <f>IFERROR(_xlfn.XLOOKUP($AH46,'BuffValue&lt;Child&gt;'!$A:$A,'BuffValue&lt;Child&gt;'!$K:$K),0)</f>
        <v>15000</v>
      </c>
      <c r="AW46" s="43" t="str">
        <f>IFERROR(_xlfn.XLOOKUP(AL46,Target!$A:$A,Target!$B:$B),"None")</f>
        <v>None</v>
      </c>
      <c r="AX46" s="43" t="str">
        <f>IFERROR(_xlfn.XLOOKUP($AM46,'BuffValue&lt;Child&gt;'!$A:$A,'BuffValue&lt;Child&gt;'!$F:$F),"None")</f>
        <v>None</v>
      </c>
      <c r="AY46" s="43">
        <f>IFERROR(_xlfn.XLOOKUP($AM46,#REF!,#REF!),0)</f>
        <v>0</v>
      </c>
    </row>
    <row r="47" spans="1:51" x14ac:dyDescent="0.3">
      <c r="A47" s="1">
        <f>INT(3&amp;MID(_xlfn.XLOOKUP(B47,[2]Timeline!$B:$B,[2]Timeline!$A:$A),2,5)&amp;1)</f>
        <v>3305021</v>
      </c>
      <c r="B47" s="7" t="s">
        <v>158</v>
      </c>
      <c r="C47" s="7" t="s">
        <v>299</v>
      </c>
      <c r="D47" s="7" t="s">
        <v>539</v>
      </c>
      <c r="E47" s="1" t="str">
        <f t="shared" si="8"/>
        <v>skill_name_3305021</v>
      </c>
      <c r="F47" s="1" t="s">
        <v>117</v>
      </c>
      <c r="G47" s="1" t="s">
        <v>391</v>
      </c>
      <c r="H47" s="1" t="str">
        <f t="shared" si="9"/>
        <v>skill_desc_3305021</v>
      </c>
      <c r="I47" s="1" t="s">
        <v>205</v>
      </c>
      <c r="J47" s="1" t="str">
        <f>IFERROR(_xlfn.XLOOKUP(W47,Target!A:A,Target!J:J),"")</f>
        <v>Skill_Target_Icon_Enemy</v>
      </c>
      <c r="K47" s="1" t="s">
        <v>205</v>
      </c>
      <c r="L47" s="1" t="str">
        <f>IFERROR(_xlfn.XLOOKUP(W47,Target!A:A,Target!K:K),"")</f>
        <v>Skill_Area_Icon_NonTarget_Third_Column</v>
      </c>
      <c r="M47" s="1" t="str">
        <f>_xlfn.XLOOKUP(B47,'[2]Detail&lt;Child&gt;'!$B:$B,'[2]Detail&lt;Child&gt;'!$M:$M)</f>
        <v>Water</v>
      </c>
      <c r="N47" s="1" t="str">
        <f>_xlfn.XLOOKUP(B47,'[2]Detail&lt;Child&gt;'!$B:$B,'[2]Detail&lt;Child&gt;'!$N:$N)</f>
        <v>Attacker</v>
      </c>
      <c r="O47" s="1" t="s">
        <v>141</v>
      </c>
      <c r="P47" s="33">
        <v>0</v>
      </c>
      <c r="Q47" s="68" t="str" cm="1">
        <f t="array" ref="Q47">_xlfn.IFS(R47="Move","Move",R47="NonTargetMove","Move",R47="Static","Stand",R47="None","Stand")</f>
        <v>Move</v>
      </c>
      <c r="R47" s="1" t="s">
        <v>153</v>
      </c>
      <c r="S47" s="1">
        <f t="shared" si="10"/>
        <v>1</v>
      </c>
      <c r="T47" s="2" t="str">
        <f t="shared" si="3"/>
        <v>SignalHit</v>
      </c>
      <c r="U47" s="2" t="str" cm="1">
        <f t="array" ref="U47">_xlfn.IFS(T47="SignalHIt","TurnEnd",T47="AttackBegin","TurnEnd",T47="AttackEnd","TurnEnd",T47="Immediately","Applied",T47="None","None")</f>
        <v>TurnEnd</v>
      </c>
      <c r="V47" s="2">
        <v>0</v>
      </c>
      <c r="W47" s="1">
        <v>920013</v>
      </c>
      <c r="X47" s="8">
        <v>33050211</v>
      </c>
      <c r="Y47" s="1" t="str">
        <f t="shared" si="4"/>
        <v>AttackBegin</v>
      </c>
      <c r="Z47" s="2" t="str" cm="1">
        <f t="array" ref="Z47">_xlfn.IFS(Y47="SignalHIt","TurnEnd",Y47="AttackBegin","TurnEnd",Y47="AttackEnd","TurnEnd",Y47="Immediately","Applied",Y47="None","None")</f>
        <v>TurnEnd</v>
      </c>
      <c r="AA47" s="2">
        <v>0</v>
      </c>
      <c r="AB47" s="1">
        <v>1</v>
      </c>
      <c r="AC47" s="8">
        <v>33050210</v>
      </c>
      <c r="AD47" s="2" t="str">
        <f t="shared" si="5"/>
        <v>Immediately</v>
      </c>
      <c r="AE47" s="2" t="str" cm="1">
        <f t="array" ref="AE47">_xlfn.IFS(AD47="SignalHIt","TurnEnd",AD47="AttackBegin","TurnEnd",AD47="AttackEnd","TurnEnd",AD47="Immediately","Applied",AD47="None","None")</f>
        <v>Applied</v>
      </c>
      <c r="AF47" s="2">
        <v>0</v>
      </c>
      <c r="AG47" s="1">
        <v>0</v>
      </c>
      <c r="AH47" s="8">
        <v>0</v>
      </c>
      <c r="AI47" s="2" t="str">
        <f t="shared" si="6"/>
        <v>Immediately</v>
      </c>
      <c r="AJ47" s="2" t="str" cm="1">
        <f t="array" ref="AJ47">_xlfn.IFS(AI47="SignalHIt","TurnEnd",AI47="AttackBegin","TurnEnd",AI47="AttackEnd","TurnEnd",AI47="Immediately","Applied",AI47="None","None")</f>
        <v>Applied</v>
      </c>
      <c r="AK47" s="2">
        <v>0</v>
      </c>
      <c r="AL47" s="8">
        <v>0</v>
      </c>
      <c r="AM47" s="48">
        <v>0</v>
      </c>
      <c r="AN47" s="45" t="str">
        <f>IFERROR(_xlfn.XLOOKUP(W47,Target!$A:$A,Target!$B:$B),"None")</f>
        <v>논타겟 적 3열</v>
      </c>
      <c r="AO47" s="43" t="str">
        <f>IFERROR(_xlfn.XLOOKUP($X47,'BuffValue&lt;Child&gt;'!$A:$A,'BuffValue&lt;Child&gt;'!$F:$F),"None")</f>
        <v>얼티밋 대미지</v>
      </c>
      <c r="AP47" s="43">
        <f>IFERROR(_xlfn.XLOOKUP($X47,'BuffValue&lt;Child&gt;'!$A:$A,'BuffValue&lt;Child&gt;'!$K:$K),0)</f>
        <v>220000</v>
      </c>
      <c r="AQ47" s="43" t="str">
        <f>IFERROR(_xlfn.XLOOKUP(AB47,Target!$A:$A,Target!$B:$B),"None")</f>
        <v xml:space="preserve"> 자신 1명 </v>
      </c>
      <c r="AR47" s="45" t="str">
        <f>IFERROR(_xlfn.XLOOKUP($AC47,'BuffValue&lt;Child&gt;'!$A:$A,'BuffValue&lt;Child&gt;'!$F:$F),"None")</f>
        <v>맹독 중 적 대미지 증가</v>
      </c>
      <c r="AS47" s="45">
        <f>IFERROR(_xlfn.XLOOKUP($AC47,'BuffValue&lt;Child&gt;'!$A:$A,'BuffValue&lt;Child&gt;'!$K:$K),0)</f>
        <v>30000</v>
      </c>
      <c r="AT47" s="43" t="str">
        <f>IFERROR(_xlfn.XLOOKUP(AG47,Target!$A:$A,Target!$B:$B),"None")</f>
        <v>None</v>
      </c>
      <c r="AU47" s="43" t="str">
        <f>IFERROR(_xlfn.XLOOKUP($AH47,'BuffValue&lt;Child&gt;'!$A:$A,'BuffValue&lt;Child&gt;'!$F:$F),"None")</f>
        <v>None</v>
      </c>
      <c r="AV47" s="43">
        <f>IFERROR(_xlfn.XLOOKUP($AH47,'BuffValue&lt;Child&gt;'!$A:$A,'BuffValue&lt;Child&gt;'!$K:$K),0)</f>
        <v>0</v>
      </c>
      <c r="AW47" s="43" t="str">
        <f>IFERROR(_xlfn.XLOOKUP(AL47,Target!$A:$A,Target!$B:$B),"None")</f>
        <v>None</v>
      </c>
      <c r="AX47" s="43" t="str">
        <f>IFERROR(_xlfn.XLOOKUP($AM47,'BuffValue&lt;Child&gt;'!$A:$A,'BuffValue&lt;Child&gt;'!$F:$F),"None")</f>
        <v>None</v>
      </c>
      <c r="AY47" s="43">
        <f>IFERROR(_xlfn.XLOOKUP($AM47,#REF!,#REF!),0)</f>
        <v>0</v>
      </c>
    </row>
    <row r="48" spans="1:51" x14ac:dyDescent="0.3">
      <c r="A48" s="1">
        <f>INT(3&amp;MID(_xlfn.XLOOKUP(B48,[2]Timeline!$B:$B,[2]Timeline!$A:$A),2,5)&amp;2)</f>
        <v>3305022</v>
      </c>
      <c r="B48" s="7" t="s">
        <v>158</v>
      </c>
      <c r="C48" s="7" t="s">
        <v>299</v>
      </c>
      <c r="D48" s="7" t="s">
        <v>539</v>
      </c>
      <c r="E48" s="1" t="str">
        <f t="shared" si="8"/>
        <v>skill_name_3305022</v>
      </c>
      <c r="F48" s="1" t="s">
        <v>117</v>
      </c>
      <c r="G48" s="1" t="s">
        <v>391</v>
      </c>
      <c r="H48" s="1" t="str">
        <f t="shared" si="9"/>
        <v>skill_desc_3305022</v>
      </c>
      <c r="I48" s="1" t="s">
        <v>205</v>
      </c>
      <c r="J48" s="1" t="str">
        <f>IFERROR(_xlfn.XLOOKUP(W48,Target!A:A,Target!J:J),"")</f>
        <v>Skill_Target_Icon_Enemy</v>
      </c>
      <c r="K48" s="1" t="s">
        <v>205</v>
      </c>
      <c r="L48" s="1" t="str">
        <f>IFERROR(_xlfn.XLOOKUP(W48,Target!A:A,Target!K:K),"")</f>
        <v>Skill_Area_Icon_NonTarget_Third_Column</v>
      </c>
      <c r="M48" s="1" t="str">
        <f>_xlfn.XLOOKUP(B48,'[2]Detail&lt;Child&gt;'!$B:$B,'[2]Detail&lt;Child&gt;'!$M:$M)</f>
        <v>Water</v>
      </c>
      <c r="N48" s="1" t="str">
        <f>_xlfn.XLOOKUP(B48,'[2]Detail&lt;Child&gt;'!$B:$B,'[2]Detail&lt;Child&gt;'!$N:$N)</f>
        <v>Attacker</v>
      </c>
      <c r="O48" s="1" t="s">
        <v>140</v>
      </c>
      <c r="P48" s="33">
        <v>0</v>
      </c>
      <c r="Q48" s="68" t="str" cm="1">
        <f t="array" ref="Q48">_xlfn.IFS(R48="Move","Move",R48="NonTargetMove","Move",R48="Static","Stand",R48="None","Stand")</f>
        <v>Move</v>
      </c>
      <c r="R48" s="1" t="s">
        <v>153</v>
      </c>
      <c r="S48" s="1">
        <v>1</v>
      </c>
      <c r="T48" s="2" t="str">
        <f t="shared" si="3"/>
        <v>SignalHit</v>
      </c>
      <c r="U48" s="2" t="str" cm="1">
        <f t="array" ref="U48">_xlfn.IFS(T48="SignalHIt","TurnEnd",T48="AttackBegin","TurnEnd",T48="AttackEnd","TurnEnd",T48="Immediately","Applied",T48="None","None")</f>
        <v>TurnEnd</v>
      </c>
      <c r="V48" s="2">
        <v>0</v>
      </c>
      <c r="W48" s="1">
        <v>920013</v>
      </c>
      <c r="X48" s="8">
        <v>33050221</v>
      </c>
      <c r="Y48" s="1" t="str">
        <f t="shared" si="4"/>
        <v>AttackBegin</v>
      </c>
      <c r="Z48" s="2" t="str" cm="1">
        <f t="array" ref="Z48">_xlfn.IFS(Y48="SignalHIt","TurnEnd",Y48="AttackBegin","TurnEnd",Y48="AttackEnd","TurnEnd",Y48="Immediately","Applied",Y48="None","None")</f>
        <v>TurnEnd</v>
      </c>
      <c r="AA48" s="2">
        <v>0</v>
      </c>
      <c r="AB48" s="1">
        <v>1</v>
      </c>
      <c r="AC48" s="8">
        <v>33050210</v>
      </c>
      <c r="AD48" s="2" t="str">
        <f t="shared" si="5"/>
        <v>Immediately</v>
      </c>
      <c r="AE48" s="2" t="str" cm="1">
        <f t="array" ref="AE48">_xlfn.IFS(AD48="SignalHIt","TurnEnd",AD48="AttackBegin","TurnEnd",AD48="AttackEnd","TurnEnd",AD48="Immediately","Applied",AD48="None","None")</f>
        <v>Applied</v>
      </c>
      <c r="AF48" s="2">
        <v>0</v>
      </c>
      <c r="AG48" s="1">
        <v>0</v>
      </c>
      <c r="AH48" s="8">
        <v>0</v>
      </c>
      <c r="AI48" s="2" t="str">
        <f t="shared" si="6"/>
        <v>Immediately</v>
      </c>
      <c r="AJ48" s="2" t="str" cm="1">
        <f t="array" ref="AJ48">_xlfn.IFS(AI48="SignalHIt","TurnEnd",AI48="AttackBegin","TurnEnd",AI48="AttackEnd","TurnEnd",AI48="Immediately","Applied",AI48="None","None")</f>
        <v>Applied</v>
      </c>
      <c r="AK48" s="2">
        <v>0</v>
      </c>
      <c r="AL48" s="8">
        <v>0</v>
      </c>
      <c r="AM48" s="48">
        <v>0</v>
      </c>
      <c r="AN48" s="45" t="str">
        <f>IFERROR(_xlfn.XLOOKUP(W48,Target!$A:$A,Target!$B:$B),"None")</f>
        <v>논타겟 적 3열</v>
      </c>
      <c r="AO48" s="43" t="str">
        <f>IFERROR(_xlfn.XLOOKUP($X48,'BuffValue&lt;Child&gt;'!$A:$A,'BuffValue&lt;Child&gt;'!$F:$F),"None")</f>
        <v>얼티밋 대미지</v>
      </c>
      <c r="AP48" s="43">
        <f>IFERROR(_xlfn.XLOOKUP($X48,'BuffValue&lt;Child&gt;'!$A:$A,'BuffValue&lt;Child&gt;'!$K:$K),0)</f>
        <v>220000</v>
      </c>
      <c r="AQ48" s="43" t="str">
        <f>IFERROR(_xlfn.XLOOKUP(AB48,Target!$A:$A,Target!$B:$B),"None")</f>
        <v xml:space="preserve"> 자신 1명 </v>
      </c>
      <c r="AR48" s="45" t="str">
        <f>IFERROR(_xlfn.XLOOKUP($AC48,'BuffValue&lt;Child&gt;'!$A:$A,'BuffValue&lt;Child&gt;'!$F:$F),"None")</f>
        <v>맹독 중 적 대미지 증가</v>
      </c>
      <c r="AS48" s="45">
        <f>IFERROR(_xlfn.XLOOKUP($AC48,'BuffValue&lt;Child&gt;'!$A:$A,'BuffValue&lt;Child&gt;'!$K:$K),0)</f>
        <v>30000</v>
      </c>
      <c r="AT48" s="43" t="str">
        <f>IFERROR(_xlfn.XLOOKUP(AG48,Target!$A:$A,Target!$B:$B),"None")</f>
        <v>None</v>
      </c>
      <c r="AU48" s="43" t="str">
        <f>IFERROR(_xlfn.XLOOKUP($AH48,'BuffValue&lt;Child&gt;'!$A:$A,'BuffValue&lt;Child&gt;'!$F:$F),"None")</f>
        <v>None</v>
      </c>
      <c r="AV48" s="43">
        <f>IFERROR(_xlfn.XLOOKUP($AH48,'BuffValue&lt;Child&gt;'!$A:$A,'BuffValue&lt;Child&gt;'!$K:$K),0)</f>
        <v>0</v>
      </c>
      <c r="AW48" s="43" t="str">
        <f>IFERROR(_xlfn.XLOOKUP(AL48,Target!$A:$A,Target!$B:$B),"None")</f>
        <v>None</v>
      </c>
      <c r="AX48" s="43" t="str">
        <f>IFERROR(_xlfn.XLOOKUP($AM48,'BuffValue&lt;Child&gt;'!$A:$A,'BuffValue&lt;Child&gt;'!$F:$F),"None")</f>
        <v>None</v>
      </c>
      <c r="AY48" s="43">
        <f>IFERROR(_xlfn.XLOOKUP($AM48,#REF!,#REF!),0)</f>
        <v>0</v>
      </c>
    </row>
    <row r="49" spans="1:51" x14ac:dyDescent="0.3">
      <c r="A49" s="1">
        <f>INT(3&amp;MID(_xlfn.XLOOKUP(B49,[2]Timeline!$B:$B,[2]Timeline!$A:$A),2,5)&amp;3)</f>
        <v>3305023</v>
      </c>
      <c r="B49" s="7" t="s">
        <v>158</v>
      </c>
      <c r="C49" s="7" t="s">
        <v>299</v>
      </c>
      <c r="D49" s="7" t="s">
        <v>539</v>
      </c>
      <c r="E49" s="1" t="str">
        <f t="shared" si="8"/>
        <v>skill_name_3305023</v>
      </c>
      <c r="F49" s="1" t="s">
        <v>117</v>
      </c>
      <c r="G49" s="1" t="s">
        <v>391</v>
      </c>
      <c r="H49" s="1" t="str">
        <f t="shared" si="9"/>
        <v>skill_desc_3305023</v>
      </c>
      <c r="I49" s="1" t="s">
        <v>205</v>
      </c>
      <c r="J49" s="1" t="str">
        <f>IFERROR(_xlfn.XLOOKUP(W49,Target!A:A,Target!J:J),"")</f>
        <v>Skill_Target_Icon_Enemy</v>
      </c>
      <c r="K49" s="1" t="s">
        <v>205</v>
      </c>
      <c r="L49" s="1" t="str">
        <f>IFERROR(_xlfn.XLOOKUP(W49,Target!A:A,Target!K:K),"")</f>
        <v>Skill_Area_Icon_NonTarget_Third_Column</v>
      </c>
      <c r="M49" s="1" t="str">
        <f>_xlfn.XLOOKUP(B49,'[2]Detail&lt;Child&gt;'!$B:$B,'[2]Detail&lt;Child&gt;'!$M:$M)</f>
        <v>Water</v>
      </c>
      <c r="N49" s="1" t="str">
        <f>_xlfn.XLOOKUP(B49,'[2]Detail&lt;Child&gt;'!$B:$B,'[2]Detail&lt;Child&gt;'!$N:$N)</f>
        <v>Attacker</v>
      </c>
      <c r="O49" s="1" t="s">
        <v>140</v>
      </c>
      <c r="P49" s="33">
        <v>0</v>
      </c>
      <c r="Q49" s="68" t="str" cm="1">
        <f t="array" ref="Q49">_xlfn.IFS(R49="Move","Move",R49="NonTargetMove","Move",R49="Static","Stand",R49="None","Stand")</f>
        <v>Move</v>
      </c>
      <c r="R49" s="1" t="s">
        <v>153</v>
      </c>
      <c r="S49" s="1">
        <v>1</v>
      </c>
      <c r="T49" s="2" t="str">
        <f t="shared" si="3"/>
        <v>SignalHit</v>
      </c>
      <c r="U49" s="2" t="str" cm="1">
        <f t="array" ref="U49">_xlfn.IFS(T49="SignalHIt","TurnEnd",T49="AttackBegin","TurnEnd",T49="AttackEnd","TurnEnd",T49="Immediately","Applied",T49="None","None")</f>
        <v>TurnEnd</v>
      </c>
      <c r="V49" s="2">
        <v>0</v>
      </c>
      <c r="W49" s="1">
        <v>920013</v>
      </c>
      <c r="X49" s="8">
        <v>33050231</v>
      </c>
      <c r="Y49" s="1" t="str">
        <f t="shared" si="4"/>
        <v>AttackBegin</v>
      </c>
      <c r="Z49" s="2" t="str" cm="1">
        <f t="array" ref="Z49">_xlfn.IFS(Y49="SignalHIt","TurnEnd",Y49="AttackBegin","TurnEnd",Y49="AttackEnd","TurnEnd",Y49="Immediately","Applied",Y49="None","None")</f>
        <v>TurnEnd</v>
      </c>
      <c r="AA49" s="2">
        <v>0</v>
      </c>
      <c r="AB49" s="1">
        <v>1</v>
      </c>
      <c r="AC49" s="8">
        <v>33050210</v>
      </c>
      <c r="AD49" s="2" t="str">
        <f t="shared" si="5"/>
        <v>Immediately</v>
      </c>
      <c r="AE49" s="2" t="str" cm="1">
        <f t="array" ref="AE49">_xlfn.IFS(AD49="SignalHIt","TurnEnd",AD49="AttackBegin","TurnEnd",AD49="AttackEnd","TurnEnd",AD49="Immediately","Applied",AD49="None","None")</f>
        <v>Applied</v>
      </c>
      <c r="AF49" s="2">
        <v>0</v>
      </c>
      <c r="AG49" s="1">
        <v>0</v>
      </c>
      <c r="AH49" s="8">
        <v>0</v>
      </c>
      <c r="AI49" s="2" t="str">
        <f t="shared" si="6"/>
        <v>Immediately</v>
      </c>
      <c r="AJ49" s="2" t="str" cm="1">
        <f t="array" ref="AJ49">_xlfn.IFS(AI49="SignalHIt","TurnEnd",AI49="AttackBegin","TurnEnd",AI49="AttackEnd","TurnEnd",AI49="Immediately","Applied",AI49="None","None")</f>
        <v>Applied</v>
      </c>
      <c r="AK49" s="2">
        <v>0</v>
      </c>
      <c r="AL49" s="8">
        <v>0</v>
      </c>
      <c r="AM49" s="48">
        <v>0</v>
      </c>
      <c r="AN49" s="45" t="str">
        <f>IFERROR(_xlfn.XLOOKUP(W49,Target!$A:$A,Target!$B:$B),"None")</f>
        <v>논타겟 적 3열</v>
      </c>
      <c r="AO49" s="43" t="str">
        <f>IFERROR(_xlfn.XLOOKUP($X49,'BuffValue&lt;Child&gt;'!$A:$A,'BuffValue&lt;Child&gt;'!$F:$F),"None")</f>
        <v>얼티밋 대미지</v>
      </c>
      <c r="AP49" s="43">
        <f>IFERROR(_xlfn.XLOOKUP($X49,'BuffValue&lt;Child&gt;'!$A:$A,'BuffValue&lt;Child&gt;'!$K:$K),0)</f>
        <v>220000</v>
      </c>
      <c r="AQ49" s="43" t="str">
        <f>IFERROR(_xlfn.XLOOKUP(AB49,Target!$A:$A,Target!$B:$B),"None")</f>
        <v xml:space="preserve"> 자신 1명 </v>
      </c>
      <c r="AR49" s="45" t="str">
        <f>IFERROR(_xlfn.XLOOKUP($AC49,'BuffValue&lt;Child&gt;'!$A:$A,'BuffValue&lt;Child&gt;'!$F:$F),"None")</f>
        <v>맹독 중 적 대미지 증가</v>
      </c>
      <c r="AS49" s="45">
        <f>IFERROR(_xlfn.XLOOKUP($AC49,'BuffValue&lt;Child&gt;'!$A:$A,'BuffValue&lt;Child&gt;'!$K:$K),0)</f>
        <v>30000</v>
      </c>
      <c r="AT49" s="43" t="str">
        <f>IFERROR(_xlfn.XLOOKUP(AG49,Target!$A:$A,Target!$B:$B),"None")</f>
        <v>None</v>
      </c>
      <c r="AU49" s="43" t="str">
        <f>IFERROR(_xlfn.XLOOKUP($AH49,'BuffValue&lt;Child&gt;'!$A:$A,'BuffValue&lt;Child&gt;'!$F:$F),"None")</f>
        <v>None</v>
      </c>
      <c r="AV49" s="43">
        <f>IFERROR(_xlfn.XLOOKUP($AH49,'BuffValue&lt;Child&gt;'!$A:$A,'BuffValue&lt;Child&gt;'!$K:$K),0)</f>
        <v>0</v>
      </c>
      <c r="AW49" s="43" t="str">
        <f>IFERROR(_xlfn.XLOOKUP(AL49,Target!$A:$A,Target!$B:$B),"None")</f>
        <v>None</v>
      </c>
      <c r="AX49" s="43" t="str">
        <f>IFERROR(_xlfn.XLOOKUP($AM49,'BuffValue&lt;Child&gt;'!$A:$A,'BuffValue&lt;Child&gt;'!$F:$F),"None")</f>
        <v>None</v>
      </c>
      <c r="AY49" s="43">
        <f>IFERROR(_xlfn.XLOOKUP($AM49,#REF!,#REF!),0)</f>
        <v>0</v>
      </c>
    </row>
    <row r="50" spans="1:51" x14ac:dyDescent="0.3">
      <c r="A50" s="1">
        <f>INT(4&amp;MID(_xlfn.XLOOKUP(B50,[2]Timeline!$B:$B,[2]Timeline!$A:$A),2,5)&amp;1)</f>
        <v>4305021</v>
      </c>
      <c r="B50" s="7" t="s">
        <v>158</v>
      </c>
      <c r="C50" s="7" t="s">
        <v>122</v>
      </c>
      <c r="D50" s="7" t="s">
        <v>569</v>
      </c>
      <c r="E50" s="1" t="str">
        <f t="shared" si="8"/>
        <v>skill_name_4305021</v>
      </c>
      <c r="F50" s="1" t="s">
        <v>117</v>
      </c>
      <c r="G50" s="1" t="s">
        <v>422</v>
      </c>
      <c r="H50" s="1" t="str">
        <f t="shared" si="9"/>
        <v>skill_desc_4305021</v>
      </c>
      <c r="I50" s="1" t="s">
        <v>205</v>
      </c>
      <c r="J50" s="1" t="str">
        <f>IFERROR(_xlfn.XLOOKUP(W50,Target!A:A,Target!J:J),"")</f>
        <v>Skill_Target_Icon_Mine</v>
      </c>
      <c r="K50" s="1" t="s">
        <v>205</v>
      </c>
      <c r="L50" s="1" t="str">
        <f>IFERROR(_xlfn.XLOOKUP(W50,Target!A:A,Target!K:K),"")</f>
        <v>Skill_Area_Icon_Pivot_Centor</v>
      </c>
      <c r="M50" s="1" t="str">
        <f>_xlfn.XLOOKUP(B50,'[2]Detail&lt;Child&gt;'!$B:$B,'[2]Detail&lt;Child&gt;'!$M:$M)</f>
        <v>Water</v>
      </c>
      <c r="N50" s="1" t="str">
        <f>_xlfn.XLOOKUP(B50,'[2]Detail&lt;Child&gt;'!$B:$B,'[2]Detail&lt;Child&gt;'!$N:$N)</f>
        <v>Attacker</v>
      </c>
      <c r="O50" s="1" t="s">
        <v>167</v>
      </c>
      <c r="P50" s="33">
        <v>0</v>
      </c>
      <c r="Q50" s="68" t="str" cm="1">
        <f t="array" ref="Q50">_xlfn.IFS(R50="Move","Move",R50="NonTargetMove","Move",R50="Static","Stand",R50="None","Stand")</f>
        <v>Stand</v>
      </c>
      <c r="R50" s="1" t="s">
        <v>136</v>
      </c>
      <c r="S50" s="1">
        <f>IF(R50="Static",0,1)</f>
        <v>0</v>
      </c>
      <c r="T50" s="2" t="str">
        <f t="shared" si="3"/>
        <v>Immediately</v>
      </c>
      <c r="U50" s="2" t="str" cm="1">
        <f t="array" ref="U50">_xlfn.IFS(T50="SignalHIt","TurnEnd",T50="AttackBegin","TurnEnd",T50="AttackEnd","TurnEnd",T50="Immediately","Applied",T50="None","None")</f>
        <v>Applied</v>
      </c>
      <c r="V50" s="2">
        <v>0</v>
      </c>
      <c r="W50" s="1">
        <v>1</v>
      </c>
      <c r="X50" s="8">
        <v>43050211</v>
      </c>
      <c r="Y50" s="1" t="str">
        <f t="shared" si="4"/>
        <v>Immediately</v>
      </c>
      <c r="Z50" s="2" t="str" cm="1">
        <f t="array" ref="Z50">_xlfn.IFS(Y50="SignalHIt","TurnEnd",Y50="AttackBegin","TurnEnd",Y50="AttackEnd","TurnEnd",Y50="Immediately","Applied",Y50="None","None")</f>
        <v>Applied</v>
      </c>
      <c r="AA50" s="2">
        <v>0</v>
      </c>
      <c r="AB50" s="1">
        <v>0</v>
      </c>
      <c r="AC50" s="8">
        <v>0</v>
      </c>
      <c r="AD50" s="2" t="str">
        <f t="shared" si="5"/>
        <v>Immediately</v>
      </c>
      <c r="AE50" s="2" t="str" cm="1">
        <f t="array" ref="AE50">_xlfn.IFS(AD50="SignalHIt","TurnEnd",AD50="AttackBegin","TurnEnd",AD50="AttackEnd","TurnEnd",AD50="Immediately","Applied",AD50="None","None")</f>
        <v>Applied</v>
      </c>
      <c r="AF50" s="2">
        <v>0</v>
      </c>
      <c r="AG50" s="1">
        <v>0</v>
      </c>
      <c r="AH50" s="8">
        <v>0</v>
      </c>
      <c r="AI50" s="2" t="str">
        <f t="shared" si="6"/>
        <v>Immediately</v>
      </c>
      <c r="AJ50" s="2" t="str" cm="1">
        <f t="array" ref="AJ50">_xlfn.IFS(AI50="SignalHIt","TurnEnd",AI50="AttackBegin","TurnEnd",AI50="AttackEnd","TurnEnd",AI50="Immediately","Applied",AI50="None","None")</f>
        <v>Applied</v>
      </c>
      <c r="AK50" s="2">
        <v>0</v>
      </c>
      <c r="AL50" s="8">
        <v>0</v>
      </c>
      <c r="AM50" s="48">
        <v>0</v>
      </c>
      <c r="AN50" s="45" t="str">
        <f>IFERROR(_xlfn.XLOOKUP(W50,Target!$A:$A,Target!$B:$B),"None")</f>
        <v xml:space="preserve"> 자신 1명 </v>
      </c>
      <c r="AO50" s="43" t="str">
        <f>IFERROR(_xlfn.XLOOKUP($X50,'BuffValue&lt;Child&gt;'!$A:$A,'BuffValue&lt;Child&gt;'!$F:$F),"None")</f>
        <v>도계화 패시브 (공증, 속감)</v>
      </c>
      <c r="AP50" s="43">
        <f>IFERROR(_xlfn.XLOOKUP($X50,'BuffValue&lt;Child&gt;'!$A:$A,'BuffValue&lt;Child&gt;'!$K:$K),0)</f>
        <v>9100071</v>
      </c>
      <c r="AQ50" s="43" t="str">
        <f>IFERROR(_xlfn.XLOOKUP(AB50,Target!$A:$A,Target!$B:$B),"None")</f>
        <v>None</v>
      </c>
      <c r="AR50" s="45" t="str">
        <f>IFERROR(_xlfn.XLOOKUP($AC50,'BuffValue&lt;Child&gt;'!$A:$A,'BuffValue&lt;Child&gt;'!$F:$F),"None")</f>
        <v>None</v>
      </c>
      <c r="AS50" s="45">
        <f>IFERROR(_xlfn.XLOOKUP($AC50,'BuffValue&lt;Child&gt;'!$A:$A,'BuffValue&lt;Child&gt;'!$K:$K),0)</f>
        <v>0</v>
      </c>
      <c r="AT50" s="43" t="str">
        <f>IFERROR(_xlfn.XLOOKUP(AG50,Target!$A:$A,Target!$B:$B),"None")</f>
        <v>None</v>
      </c>
      <c r="AU50" s="43" t="str">
        <f>IFERROR(_xlfn.XLOOKUP($AH50,'BuffValue&lt;Child&gt;'!$A:$A,'BuffValue&lt;Child&gt;'!$F:$F),"None")</f>
        <v>None</v>
      </c>
      <c r="AV50" s="43">
        <f>IFERROR(_xlfn.XLOOKUP($AH50,'BuffValue&lt;Child&gt;'!$A:$A,'BuffValue&lt;Child&gt;'!$K:$K),0)</f>
        <v>0</v>
      </c>
      <c r="AW50" s="43" t="str">
        <f>IFERROR(_xlfn.XLOOKUP(AL50,Target!$A:$A,Target!$B:$B),"None")</f>
        <v>None</v>
      </c>
      <c r="AX50" s="43" t="str">
        <f>IFERROR(_xlfn.XLOOKUP($AM50,'BuffValue&lt;Child&gt;'!$A:$A,'BuffValue&lt;Child&gt;'!$F:$F),"None")</f>
        <v>None</v>
      </c>
      <c r="AY50" s="43">
        <f>IFERROR(_xlfn.XLOOKUP($AM50,#REF!,#REF!),0)</f>
        <v>0</v>
      </c>
    </row>
    <row r="51" spans="1:51" x14ac:dyDescent="0.3">
      <c r="A51" s="1">
        <f>INT(4&amp;MID(_xlfn.XLOOKUP(B51,[2]Timeline!$B:$B,[2]Timeline!$A:$A),2,5)&amp;2)</f>
        <v>4305022</v>
      </c>
      <c r="B51" s="7" t="s">
        <v>158</v>
      </c>
      <c r="C51" s="7" t="s">
        <v>122</v>
      </c>
      <c r="D51" s="7" t="s">
        <v>569</v>
      </c>
      <c r="E51" s="1" t="str">
        <f t="shared" si="8"/>
        <v>skill_name_4305022</v>
      </c>
      <c r="F51" s="1" t="s">
        <v>117</v>
      </c>
      <c r="G51" s="1" t="s">
        <v>422</v>
      </c>
      <c r="H51" s="1" t="str">
        <f t="shared" si="9"/>
        <v>skill_desc_4305022</v>
      </c>
      <c r="I51" s="1" t="s">
        <v>205</v>
      </c>
      <c r="J51" s="1" t="str">
        <f>IFERROR(_xlfn.XLOOKUP(W51,Target!A:A,Target!J:J),"")</f>
        <v>Skill_Target_Icon_Mine</v>
      </c>
      <c r="K51" s="1" t="s">
        <v>205</v>
      </c>
      <c r="L51" s="1" t="str">
        <f>IFERROR(_xlfn.XLOOKUP(W51,Target!A:A,Target!K:K),"")</f>
        <v>Skill_Area_Icon_Pivot_Centor</v>
      </c>
      <c r="M51" s="1" t="str">
        <f>_xlfn.XLOOKUP(B51,'[2]Detail&lt;Child&gt;'!$B:$B,'[2]Detail&lt;Child&gt;'!$M:$M)</f>
        <v>Water</v>
      </c>
      <c r="N51" s="1" t="str">
        <f>_xlfn.XLOOKUP(B51,'[2]Detail&lt;Child&gt;'!$B:$B,'[2]Detail&lt;Child&gt;'!$N:$N)</f>
        <v>Attacker</v>
      </c>
      <c r="O51" s="1" t="s">
        <v>167</v>
      </c>
      <c r="P51" s="33">
        <v>0</v>
      </c>
      <c r="Q51" s="68" t="str" cm="1">
        <f t="array" ref="Q51">_xlfn.IFS(R51="Move","Move",R51="NonTargetMove","Move",R51="Static","Stand",R51="None","Stand")</f>
        <v>Stand</v>
      </c>
      <c r="R51" s="1" t="s">
        <v>136</v>
      </c>
      <c r="S51" s="1">
        <f>IF(R51="Static",0,1)</f>
        <v>0</v>
      </c>
      <c r="T51" s="2" t="str">
        <f t="shared" si="3"/>
        <v>Immediately</v>
      </c>
      <c r="U51" s="2" t="str" cm="1">
        <f t="array" ref="U51">_xlfn.IFS(T51="SignalHIt","TurnEnd",T51="AttackBegin","TurnEnd",T51="AttackEnd","TurnEnd",T51="Immediately","Applied",T51="None","None")</f>
        <v>Applied</v>
      </c>
      <c r="V51" s="2">
        <v>0</v>
      </c>
      <c r="W51" s="1">
        <v>1</v>
      </c>
      <c r="X51" s="8">
        <v>43050221</v>
      </c>
      <c r="Y51" s="1" t="str">
        <f t="shared" si="4"/>
        <v>Immediately</v>
      </c>
      <c r="Z51" s="2" t="str" cm="1">
        <f t="array" ref="Z51">_xlfn.IFS(Y51="SignalHIt","TurnEnd",Y51="AttackBegin","TurnEnd",Y51="AttackEnd","TurnEnd",Y51="Immediately","Applied",Y51="None","None")</f>
        <v>Applied</v>
      </c>
      <c r="AA51" s="2">
        <v>0</v>
      </c>
      <c r="AB51" s="1">
        <v>0</v>
      </c>
      <c r="AC51" s="8">
        <v>0</v>
      </c>
      <c r="AD51" s="2" t="str">
        <f t="shared" si="5"/>
        <v>Immediately</v>
      </c>
      <c r="AE51" s="2" t="str" cm="1">
        <f t="array" ref="AE51">_xlfn.IFS(AD51="SignalHIt","TurnEnd",AD51="AttackBegin","TurnEnd",AD51="AttackEnd","TurnEnd",AD51="Immediately","Applied",AD51="None","None")</f>
        <v>Applied</v>
      </c>
      <c r="AF51" s="2">
        <v>0</v>
      </c>
      <c r="AG51" s="1">
        <v>0</v>
      </c>
      <c r="AH51" s="8">
        <v>0</v>
      </c>
      <c r="AI51" s="2" t="str">
        <f t="shared" si="6"/>
        <v>Immediately</v>
      </c>
      <c r="AJ51" s="2" t="str" cm="1">
        <f t="array" ref="AJ51">_xlfn.IFS(AI51="SignalHIt","TurnEnd",AI51="AttackBegin","TurnEnd",AI51="AttackEnd","TurnEnd",AI51="Immediately","Applied",AI51="None","None")</f>
        <v>Applied</v>
      </c>
      <c r="AK51" s="2">
        <v>0</v>
      </c>
      <c r="AL51" s="8">
        <v>0</v>
      </c>
      <c r="AM51" s="48">
        <v>0</v>
      </c>
      <c r="AN51" s="45" t="str">
        <f>IFERROR(_xlfn.XLOOKUP(W51,Target!$A:$A,Target!$B:$B),"None")</f>
        <v xml:space="preserve"> 자신 1명 </v>
      </c>
      <c r="AO51" s="43" t="str">
        <f>IFERROR(_xlfn.XLOOKUP($X51,'BuffValue&lt;Child&gt;'!$A:$A,'BuffValue&lt;Child&gt;'!$F:$F),"None")</f>
        <v>도계화 패시브 (공증, 속감)</v>
      </c>
      <c r="AP51" s="43">
        <f>IFERROR(_xlfn.XLOOKUP($X51,'BuffValue&lt;Child&gt;'!$A:$A,'BuffValue&lt;Child&gt;'!$K:$K),0)</f>
        <v>9100071</v>
      </c>
      <c r="AQ51" s="43" t="str">
        <f>IFERROR(_xlfn.XLOOKUP(AB51,Target!$A:$A,Target!$B:$B),"None")</f>
        <v>None</v>
      </c>
      <c r="AR51" s="45" t="str">
        <f>IFERROR(_xlfn.XLOOKUP($AC51,'BuffValue&lt;Child&gt;'!$A:$A,'BuffValue&lt;Child&gt;'!$F:$F),"None")</f>
        <v>None</v>
      </c>
      <c r="AS51" s="45">
        <f>IFERROR(_xlfn.XLOOKUP($AC51,'BuffValue&lt;Child&gt;'!$A:$A,'BuffValue&lt;Child&gt;'!$K:$K),0)</f>
        <v>0</v>
      </c>
      <c r="AT51" s="43" t="str">
        <f>IFERROR(_xlfn.XLOOKUP(AG51,Target!$A:$A,Target!$B:$B),"None")</f>
        <v>None</v>
      </c>
      <c r="AU51" s="43" t="str">
        <f>IFERROR(_xlfn.XLOOKUP($AH51,'BuffValue&lt;Child&gt;'!$A:$A,'BuffValue&lt;Child&gt;'!$F:$F),"None")</f>
        <v>None</v>
      </c>
      <c r="AV51" s="43">
        <f>IFERROR(_xlfn.XLOOKUP($AH51,'BuffValue&lt;Child&gt;'!$A:$A,'BuffValue&lt;Child&gt;'!$K:$K),0)</f>
        <v>0</v>
      </c>
      <c r="AW51" s="43" t="str">
        <f>IFERROR(_xlfn.XLOOKUP(AL51,Target!$A:$A,Target!$B:$B),"None")</f>
        <v>None</v>
      </c>
      <c r="AX51" s="43" t="str">
        <f>IFERROR(_xlfn.XLOOKUP($AM51,'BuffValue&lt;Child&gt;'!$A:$A,'BuffValue&lt;Child&gt;'!$F:$F),"None")</f>
        <v>None</v>
      </c>
      <c r="AY51" s="43">
        <f>IFERROR(_xlfn.XLOOKUP($AM51,#REF!,#REF!),0)</f>
        <v>0</v>
      </c>
    </row>
    <row r="52" spans="1:51" s="11" customFormat="1" x14ac:dyDescent="0.3">
      <c r="A52" s="11">
        <f>INT(1&amp;MID(_xlfn.XLOOKUP(B52,[2]Timeline!$B:$B,[2]Timeline!$A:$A),2,5)&amp;1)</f>
        <v>1303541</v>
      </c>
      <c r="B52" s="12" t="s">
        <v>5</v>
      </c>
      <c r="C52" s="12" t="s">
        <v>251</v>
      </c>
      <c r="D52" s="12" t="s">
        <v>341</v>
      </c>
      <c r="E52" s="11" t="str">
        <f t="shared" si="8"/>
        <v>skill_name_1303541</v>
      </c>
      <c r="F52" s="11" t="s">
        <v>117</v>
      </c>
      <c r="G52" s="11" t="s">
        <v>441</v>
      </c>
      <c r="H52" s="11" t="str">
        <f t="shared" si="9"/>
        <v>skill_desc_1303541</v>
      </c>
      <c r="I52" s="11" t="s">
        <v>205</v>
      </c>
      <c r="J52" s="11" t="str">
        <f>IFERROR(_xlfn.XLOOKUP(W52,Target!A:A,Target!J:J),"")</f>
        <v>Skill_Target_Icon_Enemy_Near_One</v>
      </c>
      <c r="K52" s="11" t="s">
        <v>205</v>
      </c>
      <c r="L52" s="11" t="str">
        <f>IFERROR(_xlfn.XLOOKUP(W52,Target!A:A,Target!K:K),"")</f>
        <v>Skill_Area_Icon_Pivot_Centor</v>
      </c>
      <c r="M52" s="11" t="str">
        <f>_xlfn.XLOOKUP(B52,'[2]Detail&lt;Child&gt;'!$B:$B,'[2]Detail&lt;Child&gt;'!$M:$M)</f>
        <v>Fire</v>
      </c>
      <c r="N52" s="11" t="str">
        <f>_xlfn.XLOOKUP(B52,'[2]Detail&lt;Child&gt;'!$B:$B,'[2]Detail&lt;Child&gt;'!$N:$N)</f>
        <v>Attacker</v>
      </c>
      <c r="O52" s="11" t="s">
        <v>31</v>
      </c>
      <c r="P52" s="34">
        <v>0</v>
      </c>
      <c r="Q52" s="69" t="str" cm="1">
        <f t="array" ref="Q52">_xlfn.IFS(R52="Move","Move",R52="NonTargetMove","Move",R52="Static","Stand",R52="None","Stand")</f>
        <v>Move</v>
      </c>
      <c r="R52" s="11" t="s">
        <v>137</v>
      </c>
      <c r="S52" s="11">
        <f>IF(R52="Static",0,1)</f>
        <v>1</v>
      </c>
      <c r="T52" s="15" t="str">
        <f t="shared" si="3"/>
        <v>SignalHit</v>
      </c>
      <c r="U52" s="15" t="str" cm="1">
        <f t="array" ref="U52">_xlfn.IFS(T52="SignalHIt","TurnEnd",T52="AttackBegin","TurnEnd",T52="AttackEnd","TurnEnd",T52="Immediately","Applied",T52="None","None")</f>
        <v>TurnEnd</v>
      </c>
      <c r="V52" s="15">
        <v>0</v>
      </c>
      <c r="W52" s="11">
        <v>2000011</v>
      </c>
      <c r="X52" s="10">
        <v>13035411</v>
      </c>
      <c r="Y52" s="11" t="str">
        <f t="shared" si="4"/>
        <v>Immediately</v>
      </c>
      <c r="Z52" s="15" t="str" cm="1">
        <f t="array" ref="Z52">_xlfn.IFS(Y52="SignalHIt","TurnEnd",Y52="AttackBegin","TurnEnd",Y52="AttackEnd","TurnEnd",Y52="Immediately","Applied",Y52="None","None")</f>
        <v>Applied</v>
      </c>
      <c r="AA52" s="15">
        <v>0</v>
      </c>
      <c r="AB52" s="11">
        <v>0</v>
      </c>
      <c r="AC52" s="10">
        <v>0</v>
      </c>
      <c r="AD52" s="15" t="str">
        <f t="shared" si="5"/>
        <v>Immediately</v>
      </c>
      <c r="AE52" s="15" t="str" cm="1">
        <f t="array" ref="AE52">_xlfn.IFS(AD52="SignalHIt","TurnEnd",AD52="AttackBegin","TurnEnd",AD52="AttackEnd","TurnEnd",AD52="Immediately","Applied",AD52="None","None")</f>
        <v>Applied</v>
      </c>
      <c r="AF52" s="15">
        <v>0</v>
      </c>
      <c r="AG52" s="11">
        <v>0</v>
      </c>
      <c r="AH52" s="10">
        <v>0</v>
      </c>
      <c r="AI52" s="15" t="str">
        <f t="shared" si="6"/>
        <v>Immediately</v>
      </c>
      <c r="AJ52" s="15" t="str" cm="1">
        <f t="array" ref="AJ52">_xlfn.IFS(AI52="SignalHIt","TurnEnd",AI52="AttackBegin","TurnEnd",AI52="AttackEnd","TurnEnd",AI52="Immediately","Applied",AI52="None","None")</f>
        <v>Applied</v>
      </c>
      <c r="AK52" s="15">
        <v>0</v>
      </c>
      <c r="AL52" s="10">
        <v>0</v>
      </c>
      <c r="AM52" s="50">
        <v>0</v>
      </c>
      <c r="AN52" s="46" t="str">
        <f>IFERROR(_xlfn.XLOOKUP(W52,Target!$A:$A,Target!$B:$B),"None")</f>
        <v xml:space="preserve">가까운 적 1명 </v>
      </c>
      <c r="AO52" s="47" t="str">
        <f>IFERROR(_xlfn.XLOOKUP($X52,'BuffValue&lt;Child&gt;'!$A:$A,'BuffValue&lt;Child&gt;'!$F:$F),"None")</f>
        <v>공용 대미지</v>
      </c>
      <c r="AP52" s="47">
        <f>IFERROR(_xlfn.XLOOKUP($X52,'BuffValue&lt;Child&gt;'!$A:$A,'BuffValue&lt;Child&gt;'!$K:$K),0)</f>
        <v>120000</v>
      </c>
      <c r="AQ52" s="47" t="str">
        <f>IFERROR(_xlfn.XLOOKUP(AB52,Target!$A:$A,Target!$B:$B),"None")</f>
        <v>None</v>
      </c>
      <c r="AR52" s="46" t="str">
        <f>IFERROR(_xlfn.XLOOKUP($AC52,'BuffValue&lt;Child&gt;'!$A:$A,'BuffValue&lt;Child&gt;'!$F:$F),"None")</f>
        <v>None</v>
      </c>
      <c r="AS52" s="46">
        <f>IFERROR(_xlfn.XLOOKUP($AC52,'BuffValue&lt;Child&gt;'!$A:$A,'BuffValue&lt;Child&gt;'!$K:$K),0)</f>
        <v>0</v>
      </c>
      <c r="AT52" s="47" t="str">
        <f>IFERROR(_xlfn.XLOOKUP(AG52,Target!$A:$A,Target!$B:$B),"None")</f>
        <v>None</v>
      </c>
      <c r="AU52" s="47" t="str">
        <f>IFERROR(_xlfn.XLOOKUP($AH52,'BuffValue&lt;Child&gt;'!$A:$A,'BuffValue&lt;Child&gt;'!$F:$F),"None")</f>
        <v>None</v>
      </c>
      <c r="AV52" s="47">
        <f>IFERROR(_xlfn.XLOOKUP($AH52,'BuffValue&lt;Child&gt;'!$A:$A,'BuffValue&lt;Child&gt;'!$K:$K),0)</f>
        <v>0</v>
      </c>
      <c r="AW52" s="47" t="str">
        <f>IFERROR(_xlfn.XLOOKUP(AL52,Target!$A:$A,Target!$B:$B),"None")</f>
        <v>None</v>
      </c>
      <c r="AX52" s="47" t="str">
        <f>IFERROR(_xlfn.XLOOKUP($AM52,'BuffValue&lt;Child&gt;'!$A:$A,'BuffValue&lt;Child&gt;'!$F:$F),"None")</f>
        <v>None</v>
      </c>
      <c r="AY52" s="47">
        <f>IFERROR(_xlfn.XLOOKUP($AM52,#REF!,#REF!),0)</f>
        <v>0</v>
      </c>
    </row>
    <row r="53" spans="1:51" x14ac:dyDescent="0.3">
      <c r="A53" s="1">
        <f>INT(2&amp;MID(_xlfn.XLOOKUP(B53,[2]Timeline!$B:$B,[2]Timeline!$A:$A),2,5)&amp;1)</f>
        <v>2303541</v>
      </c>
      <c r="B53" s="53" t="s">
        <v>5</v>
      </c>
      <c r="C53" s="53" t="s">
        <v>253</v>
      </c>
      <c r="D53" s="53" t="s">
        <v>508</v>
      </c>
      <c r="E53" s="52" t="str">
        <f t="shared" si="8"/>
        <v>skill_name_2303541</v>
      </c>
      <c r="F53" s="52" t="s">
        <v>117</v>
      </c>
      <c r="G53" s="52" t="s">
        <v>487</v>
      </c>
      <c r="H53" s="52" t="str">
        <f t="shared" si="9"/>
        <v>skill_desc_2303541</v>
      </c>
      <c r="I53" s="1" t="s">
        <v>205</v>
      </c>
      <c r="J53" s="1" t="str">
        <f>IFERROR(_xlfn.XLOOKUP(W53,Target!A:A,Target!J:J),"")</f>
        <v>Skill_Target_Icon_Enemy</v>
      </c>
      <c r="K53" s="1" t="s">
        <v>205</v>
      </c>
      <c r="L53" s="1" t="str">
        <f>IFERROR(_xlfn.XLOOKUP(W53,Target!A:A,Target!K:K),"")</f>
        <v>Skill_Area_Icon_NonTarget_All</v>
      </c>
      <c r="M53" s="52" t="str">
        <f>_xlfn.XLOOKUP(B53,'[2]Detail&lt;Child&gt;'!$B:$B,'[2]Detail&lt;Child&gt;'!$M:$M)</f>
        <v>Fire</v>
      </c>
      <c r="N53" s="1" t="str">
        <f>_xlfn.XLOOKUP(B53,'[2]Detail&lt;Child&gt;'!$B:$B,'[2]Detail&lt;Child&gt;'!$N:$N)</f>
        <v>Attacker</v>
      </c>
      <c r="O53" s="52" t="s">
        <v>33</v>
      </c>
      <c r="P53" s="33">
        <v>3</v>
      </c>
      <c r="Q53" s="68" t="str" cm="1">
        <f t="array" ref="Q53">_xlfn.IFS(R53="Move","Move",R53="NonTargetMove","Move",R53="Static","Stand",R53="None","Stand")</f>
        <v>Move</v>
      </c>
      <c r="R53" s="1" t="s">
        <v>153</v>
      </c>
      <c r="S53" s="1">
        <f>IF(R53="Static",0,1)</f>
        <v>1</v>
      </c>
      <c r="T53" s="2" t="str">
        <f t="shared" si="3"/>
        <v>SignalHit</v>
      </c>
      <c r="U53" s="2" t="str" cm="1">
        <f t="array" ref="U53">_xlfn.IFS(T53="SignalHIt","TurnEnd",T53="AttackBegin","TurnEnd",T53="AttackEnd","TurnEnd",T53="Immediately","Applied",T53="None","None")</f>
        <v>TurnEnd</v>
      </c>
      <c r="V53" s="2">
        <v>0</v>
      </c>
      <c r="W53" s="1">
        <v>920001</v>
      </c>
      <c r="X53" s="8">
        <v>23035411</v>
      </c>
      <c r="Y53" s="1" t="str">
        <f t="shared" si="4"/>
        <v>Immediately</v>
      </c>
      <c r="Z53" s="2" t="str" cm="1">
        <f t="array" ref="Z53">_xlfn.IFS(Y53="SignalHIt","TurnEnd",Y53="AttackBegin","TurnEnd",Y53="AttackEnd","TurnEnd",Y53="Immediately","Applied",Y53="None","None")</f>
        <v>Applied</v>
      </c>
      <c r="AA53" s="2">
        <v>0</v>
      </c>
      <c r="AB53" s="1">
        <v>0</v>
      </c>
      <c r="AC53" s="8">
        <v>0</v>
      </c>
      <c r="AD53" s="2" t="str">
        <f t="shared" si="5"/>
        <v>AttackEnd</v>
      </c>
      <c r="AE53" s="2" t="str" cm="1">
        <f t="array" ref="AE53">_xlfn.IFS(AD53="SignalHIt","TurnEnd",AD53="AttackBegin","TurnEnd",AD53="AttackEnd","TurnEnd",AD53="Immediately","Applied",AD53="None","None")</f>
        <v>TurnEnd</v>
      </c>
      <c r="AF53" s="2">
        <v>0</v>
      </c>
      <c r="AG53" s="1">
        <v>920001</v>
      </c>
      <c r="AH53" s="8">
        <f>X53+1</f>
        <v>23035412</v>
      </c>
      <c r="AI53" s="2" t="str">
        <f t="shared" si="6"/>
        <v>Immediately</v>
      </c>
      <c r="AJ53" s="2" t="str" cm="1">
        <f t="array" ref="AJ53">_xlfn.IFS(AI53="SignalHIt","TurnEnd",AI53="AttackBegin","TurnEnd",AI53="AttackEnd","TurnEnd",AI53="Immediately","Applied",AI53="None","None")</f>
        <v>Applied</v>
      </c>
      <c r="AK53" s="2">
        <v>0</v>
      </c>
      <c r="AL53" s="8">
        <v>0</v>
      </c>
      <c r="AM53" s="48">
        <v>0</v>
      </c>
      <c r="AN53" s="45" t="str">
        <f>IFERROR(_xlfn.XLOOKUP(W53,Target!$A:$A,Target!$B:$B),"None")</f>
        <v>논타겟 적 9칸</v>
      </c>
      <c r="AO53" s="43" t="str">
        <f>IFERROR(_xlfn.XLOOKUP($X53,'BuffValue&lt;Child&gt;'!$A:$A,'BuffValue&lt;Child&gt;'!$F:$F),"None")</f>
        <v>액티브 대미지</v>
      </c>
      <c r="AP53" s="43">
        <f>IFERROR(_xlfn.XLOOKUP($X53,'BuffValue&lt;Child&gt;'!$A:$A,'BuffValue&lt;Child&gt;'!$K:$K),0)</f>
        <v>35000</v>
      </c>
      <c r="AQ53" s="43" t="str">
        <f>IFERROR(_xlfn.XLOOKUP(AB53,Target!$A:$A,Target!$B:$B),"None")</f>
        <v>None</v>
      </c>
      <c r="AR53" s="45" t="str">
        <f>IFERROR(_xlfn.XLOOKUP($AC53,'BuffValue&lt;Child&gt;'!$A:$A,'BuffValue&lt;Child&gt;'!$F:$F),"None")</f>
        <v>None</v>
      </c>
      <c r="AS53" s="45">
        <f>IFERROR(_xlfn.XLOOKUP($AC53,'BuffValue&lt;Child&gt;'!$A:$A,'BuffValue&lt;Child&gt;'!$K:$K),0)</f>
        <v>0</v>
      </c>
      <c r="AT53" s="43" t="str">
        <f>IFERROR(_xlfn.XLOOKUP(AG53,Target!$A:$A,Target!$B:$B),"None")</f>
        <v>논타겟 적 9칸</v>
      </c>
      <c r="AU53" s="43" t="str">
        <f>IFERROR(_xlfn.XLOOKUP($AH53,'BuffValue&lt;Child&gt;'!$A:$A,'BuffValue&lt;Child&gt;'!$F:$F),"None")</f>
        <v>드미테르 액티브 화상</v>
      </c>
      <c r="AV53" s="43">
        <f>IFERROR(_xlfn.XLOOKUP($AH53,'BuffValue&lt;Child&gt;'!$A:$A,'BuffValue&lt;Child&gt;'!$K:$K),0)</f>
        <v>30000</v>
      </c>
      <c r="AW53" s="43" t="str">
        <f>IFERROR(_xlfn.XLOOKUP(AL53,Target!$A:$A,Target!$B:$B),"None")</f>
        <v>None</v>
      </c>
      <c r="AX53" s="43" t="str">
        <f>IFERROR(_xlfn.XLOOKUP($AM53,'BuffValue&lt;Child&gt;'!$A:$A,'BuffValue&lt;Child&gt;'!$F:$F),"None")</f>
        <v>None</v>
      </c>
      <c r="AY53" s="43">
        <f>IFERROR(_xlfn.XLOOKUP($AM53,#REF!,#REF!),0)</f>
        <v>0</v>
      </c>
    </row>
    <row r="54" spans="1:51" x14ac:dyDescent="0.3">
      <c r="A54" s="1">
        <f>INT(2&amp;MID(_xlfn.XLOOKUP(B54,[2]Timeline!$B:$B,[2]Timeline!$A:$A),2,5)&amp;2)</f>
        <v>2303542</v>
      </c>
      <c r="B54" s="53" t="s">
        <v>5</v>
      </c>
      <c r="C54" s="53" t="s">
        <v>253</v>
      </c>
      <c r="D54" s="53" t="s">
        <v>508</v>
      </c>
      <c r="E54" s="52" t="str">
        <f t="shared" si="8"/>
        <v>skill_name_2303542</v>
      </c>
      <c r="F54" s="52" t="s">
        <v>117</v>
      </c>
      <c r="G54" s="52" t="s">
        <v>486</v>
      </c>
      <c r="H54" s="52" t="str">
        <f t="shared" si="9"/>
        <v>skill_desc_2303542</v>
      </c>
      <c r="I54" s="1" t="s">
        <v>205</v>
      </c>
      <c r="J54" s="1" t="str">
        <f>IFERROR(_xlfn.XLOOKUP(W54,Target!A:A,Target!J:J),"")</f>
        <v>Skill_Target_Icon_Enemy</v>
      </c>
      <c r="K54" s="1" t="s">
        <v>205</v>
      </c>
      <c r="L54" s="1" t="str">
        <f>IFERROR(_xlfn.XLOOKUP(W54,Target!A:A,Target!K:K),"")</f>
        <v>Skill_Area_Icon_NonTarget_All</v>
      </c>
      <c r="M54" s="52" t="str">
        <f>_xlfn.XLOOKUP(B54,'[2]Detail&lt;Child&gt;'!$B:$B,'[2]Detail&lt;Child&gt;'!$M:$M)</f>
        <v>Fire</v>
      </c>
      <c r="N54" s="1" t="str">
        <f>_xlfn.XLOOKUP(B54,'[2]Detail&lt;Child&gt;'!$B:$B,'[2]Detail&lt;Child&gt;'!$N:$N)</f>
        <v>Attacker</v>
      </c>
      <c r="O54" s="52" t="s">
        <v>33</v>
      </c>
      <c r="P54" s="33">
        <v>2</v>
      </c>
      <c r="Q54" s="68" t="str" cm="1">
        <f t="array" ref="Q54">_xlfn.IFS(R54="Move","Move",R54="NonTargetMove","Move",R54="Static","Stand",R54="None","Stand")</f>
        <v>Move</v>
      </c>
      <c r="R54" s="1" t="s">
        <v>153</v>
      </c>
      <c r="S54" s="1">
        <f>IF(R54="Static",0,1)</f>
        <v>1</v>
      </c>
      <c r="T54" s="2" t="str">
        <f t="shared" si="3"/>
        <v>SignalHit</v>
      </c>
      <c r="U54" s="2" t="str" cm="1">
        <f t="array" ref="U54">_xlfn.IFS(T54="SignalHIt","TurnEnd",T54="AttackBegin","TurnEnd",T54="AttackEnd","TurnEnd",T54="Immediately","Applied",T54="None","None")</f>
        <v>TurnEnd</v>
      </c>
      <c r="V54" s="2">
        <v>0</v>
      </c>
      <c r="W54" s="1">
        <v>920001</v>
      </c>
      <c r="X54" s="8">
        <v>23035421</v>
      </c>
      <c r="Y54" s="1" t="str">
        <f t="shared" si="4"/>
        <v>Immediately</v>
      </c>
      <c r="Z54" s="2" t="str" cm="1">
        <f t="array" ref="Z54">_xlfn.IFS(Y54="SignalHIt","TurnEnd",Y54="AttackBegin","TurnEnd",Y54="AttackEnd","TurnEnd",Y54="Immediately","Applied",Y54="None","None")</f>
        <v>Applied</v>
      </c>
      <c r="AA54" s="2">
        <v>0</v>
      </c>
      <c r="AB54" s="1">
        <v>0</v>
      </c>
      <c r="AC54" s="8">
        <v>0</v>
      </c>
      <c r="AD54" s="2" t="str">
        <f t="shared" si="5"/>
        <v>AttackEnd</v>
      </c>
      <c r="AE54" s="2" t="str" cm="1">
        <f t="array" ref="AE54">_xlfn.IFS(AD54="SignalHIt","TurnEnd",AD54="AttackBegin","TurnEnd",AD54="AttackEnd","TurnEnd",AD54="Immediately","Applied",AD54="None","None")</f>
        <v>TurnEnd</v>
      </c>
      <c r="AF54" s="2">
        <v>0</v>
      </c>
      <c r="AG54" s="1">
        <v>920001</v>
      </c>
      <c r="AH54" s="8">
        <f>X54+1</f>
        <v>23035422</v>
      </c>
      <c r="AI54" s="2" t="str">
        <f t="shared" si="6"/>
        <v>Immediately</v>
      </c>
      <c r="AJ54" s="2" t="str" cm="1">
        <f t="array" ref="AJ54">_xlfn.IFS(AI54="SignalHIt","TurnEnd",AI54="AttackBegin","TurnEnd",AI54="AttackEnd","TurnEnd",AI54="Immediately","Applied",AI54="None","None")</f>
        <v>Applied</v>
      </c>
      <c r="AK54" s="2">
        <v>0</v>
      </c>
      <c r="AL54" s="8">
        <v>0</v>
      </c>
      <c r="AM54" s="48">
        <v>0</v>
      </c>
      <c r="AN54" s="45" t="str">
        <f>IFERROR(_xlfn.XLOOKUP(W54,Target!$A:$A,Target!$B:$B),"None")</f>
        <v>논타겟 적 9칸</v>
      </c>
      <c r="AO54" s="43" t="str">
        <f>IFERROR(_xlfn.XLOOKUP($X54,'BuffValue&lt;Child&gt;'!$A:$A,'BuffValue&lt;Child&gt;'!$F:$F),"None")</f>
        <v>액티브 대미지</v>
      </c>
      <c r="AP54" s="43">
        <f>IFERROR(_xlfn.XLOOKUP($X54,'BuffValue&lt;Child&gt;'!$A:$A,'BuffValue&lt;Child&gt;'!$K:$K),0)</f>
        <v>35000</v>
      </c>
      <c r="AQ54" s="43" t="str">
        <f>IFERROR(_xlfn.XLOOKUP(AB54,Target!$A:$A,Target!$B:$B),"None")</f>
        <v>None</v>
      </c>
      <c r="AR54" s="45" t="str">
        <f>IFERROR(_xlfn.XLOOKUP($AC54,'BuffValue&lt;Child&gt;'!$A:$A,'BuffValue&lt;Child&gt;'!$F:$F),"None")</f>
        <v>None</v>
      </c>
      <c r="AS54" s="45">
        <f>IFERROR(_xlfn.XLOOKUP($AC54,'BuffValue&lt;Child&gt;'!$A:$A,'BuffValue&lt;Child&gt;'!$K:$K),0)</f>
        <v>0</v>
      </c>
      <c r="AT54" s="43" t="str">
        <f>IFERROR(_xlfn.XLOOKUP(AG54,Target!$A:$A,Target!$B:$B),"None")</f>
        <v>논타겟 적 9칸</v>
      </c>
      <c r="AU54" s="43" t="str">
        <f>IFERROR(_xlfn.XLOOKUP($AH54,'BuffValue&lt;Child&gt;'!$A:$A,'BuffValue&lt;Child&gt;'!$F:$F),"None")</f>
        <v>드미테르 액티브 화상</v>
      </c>
      <c r="AV54" s="43">
        <f>IFERROR(_xlfn.XLOOKUP($AH54,'BuffValue&lt;Child&gt;'!$A:$A,'BuffValue&lt;Child&gt;'!$K:$K),0)</f>
        <v>30000</v>
      </c>
      <c r="AW54" s="43" t="str">
        <f>IFERROR(_xlfn.XLOOKUP(AL54,Target!$A:$A,Target!$B:$B),"None")</f>
        <v>None</v>
      </c>
      <c r="AX54" s="43" t="str">
        <f>IFERROR(_xlfn.XLOOKUP($AM54,'BuffValue&lt;Child&gt;'!$A:$A,'BuffValue&lt;Child&gt;'!$F:$F),"None")</f>
        <v>None</v>
      </c>
      <c r="AY54" s="43">
        <f>IFERROR(_xlfn.XLOOKUP($AM54,#REF!,#REF!),0)</f>
        <v>0</v>
      </c>
    </row>
    <row r="55" spans="1:51" x14ac:dyDescent="0.3">
      <c r="A55" s="1">
        <f>INT(3&amp;MID(_xlfn.XLOOKUP(B55,[2]Timeline!$B:$B,[2]Timeline!$A:$A),2,5)&amp;1)</f>
        <v>3303541</v>
      </c>
      <c r="B55" s="7" t="s">
        <v>5</v>
      </c>
      <c r="C55" s="7" t="s">
        <v>252</v>
      </c>
      <c r="D55" s="7" t="s">
        <v>571</v>
      </c>
      <c r="E55" s="1" t="str">
        <f t="shared" si="8"/>
        <v>skill_name_3303541</v>
      </c>
      <c r="F55" s="1" t="s">
        <v>117</v>
      </c>
      <c r="G55" s="1" t="s">
        <v>392</v>
      </c>
      <c r="H55" s="1" t="str">
        <f t="shared" si="9"/>
        <v>skill_desc_3303541</v>
      </c>
      <c r="I55" s="1" t="s">
        <v>205</v>
      </c>
      <c r="J55" s="1" t="str">
        <f>IFERROR(_xlfn.XLOOKUP(W55,Target!A:A,Target!J:J),"")</f>
        <v>Skill_Target_Icon_Enemy_Near_One</v>
      </c>
      <c r="K55" s="1" t="s">
        <v>205</v>
      </c>
      <c r="L55" s="1" t="str">
        <f>IFERROR(_xlfn.XLOOKUP(W55,Target!A:A,Target!K:K),"")</f>
        <v>Skill_Area_Icon_Pivot_Centor</v>
      </c>
      <c r="M55" s="1" t="str">
        <f>_xlfn.XLOOKUP(B55,'[2]Detail&lt;Child&gt;'!$B:$B,'[2]Detail&lt;Child&gt;'!$M:$M)</f>
        <v>Fire</v>
      </c>
      <c r="N55" s="1" t="str">
        <f>_xlfn.XLOOKUP(B55,'[2]Detail&lt;Child&gt;'!$B:$B,'[2]Detail&lt;Child&gt;'!$N:$N)</f>
        <v>Attacker</v>
      </c>
      <c r="O55" s="1" t="s">
        <v>140</v>
      </c>
      <c r="P55" s="33">
        <v>0</v>
      </c>
      <c r="Q55" s="68" t="str" cm="1">
        <f t="array" ref="Q55">_xlfn.IFS(R55="Move","Move",R55="NonTargetMove","Move",R55="Static","Stand",R55="None","Stand")</f>
        <v>Move</v>
      </c>
      <c r="R55" s="1" t="s">
        <v>137</v>
      </c>
      <c r="S55" s="1">
        <v>2</v>
      </c>
      <c r="T55" s="2" t="str">
        <f t="shared" si="3"/>
        <v>SignalHit</v>
      </c>
      <c r="U55" s="2" t="str" cm="1">
        <f t="array" ref="U55">_xlfn.IFS(T55="SignalHIt","TurnEnd",T55="AttackBegin","TurnEnd",T55="AttackEnd","TurnEnd",T55="Immediately","Applied",T55="None","None")</f>
        <v>TurnEnd</v>
      </c>
      <c r="V55" s="2">
        <v>0</v>
      </c>
      <c r="W55" s="1">
        <v>2000011</v>
      </c>
      <c r="X55" s="8">
        <v>33035411</v>
      </c>
      <c r="Y55" s="1" t="str">
        <f t="shared" si="4"/>
        <v>Immediately</v>
      </c>
      <c r="Z55" s="2" t="str" cm="1">
        <f t="array" ref="Z55">_xlfn.IFS(Y55="SignalHIt","TurnEnd",Y55="AttackBegin","TurnEnd",Y55="AttackEnd","TurnEnd",Y55="Immediately","Applied",Y55="None","None")</f>
        <v>Applied</v>
      </c>
      <c r="AA55" s="2">
        <v>0</v>
      </c>
      <c r="AB55" s="1">
        <v>0</v>
      </c>
      <c r="AC55" s="8">
        <v>0</v>
      </c>
      <c r="AD55" s="2" t="str">
        <f t="shared" si="5"/>
        <v>AttackEnd</v>
      </c>
      <c r="AE55" s="2" t="str" cm="1">
        <f t="array" ref="AE55">_xlfn.IFS(AD55="SignalHIt","TurnEnd",AD55="AttackBegin","TurnEnd",AD55="AttackEnd","TurnEnd",AD55="Immediately","Applied",AD55="None","None")</f>
        <v>TurnEnd</v>
      </c>
      <c r="AF55" s="2">
        <v>0</v>
      </c>
      <c r="AG55" s="1">
        <v>2000011</v>
      </c>
      <c r="AH55" s="8">
        <v>33035412</v>
      </c>
      <c r="AI55" s="2" t="str">
        <f t="shared" si="6"/>
        <v>Immediately</v>
      </c>
      <c r="AJ55" s="2" t="str" cm="1">
        <f t="array" ref="AJ55">_xlfn.IFS(AI55="SignalHIt","TurnEnd",AI55="AttackBegin","TurnEnd",AI55="AttackEnd","TurnEnd",AI55="Immediately","Applied",AI55="None","None")</f>
        <v>Applied</v>
      </c>
      <c r="AK55" s="2">
        <v>0</v>
      </c>
      <c r="AL55" s="8">
        <v>0</v>
      </c>
      <c r="AM55" s="48">
        <v>0</v>
      </c>
      <c r="AN55" s="45" t="str">
        <f>IFERROR(_xlfn.XLOOKUP(W55,Target!$A:$A,Target!$B:$B),"None")</f>
        <v xml:space="preserve">가까운 적 1명 </v>
      </c>
      <c r="AO55" s="43" t="str">
        <f>IFERROR(_xlfn.XLOOKUP($X55,'BuffValue&lt;Child&gt;'!$A:$A,'BuffValue&lt;Child&gt;'!$F:$F),"None")</f>
        <v>얼티밋 대미지</v>
      </c>
      <c r="AP55" s="43">
        <f>IFERROR(_xlfn.XLOOKUP($X55,'BuffValue&lt;Child&gt;'!$A:$A,'BuffValue&lt;Child&gt;'!$K:$K),0)</f>
        <v>220000</v>
      </c>
      <c r="AQ55" s="43" t="str">
        <f>IFERROR(_xlfn.XLOOKUP(AB55,Target!$A:$A,Target!$B:$B),"None")</f>
        <v>None</v>
      </c>
      <c r="AR55" s="45" t="str">
        <f>IFERROR(_xlfn.XLOOKUP($AC55,'BuffValue&lt;Child&gt;'!$A:$A,'BuffValue&lt;Child&gt;'!$F:$F),"None")</f>
        <v>None</v>
      </c>
      <c r="AS55" s="45">
        <f>IFERROR(_xlfn.XLOOKUP($AC55,'BuffValue&lt;Child&gt;'!$A:$A,'BuffValue&lt;Child&gt;'!$K:$K),0)</f>
        <v>0</v>
      </c>
      <c r="AT55" s="43" t="str">
        <f>IFERROR(_xlfn.XLOOKUP(AG55,Target!$A:$A,Target!$B:$B),"None")</f>
        <v xml:space="preserve">가까운 적 1명 </v>
      </c>
      <c r="AU55" s="43" t="str">
        <f>IFERROR(_xlfn.XLOOKUP($AH55,'BuffValue&lt;Child&gt;'!$A:$A,'BuffValue&lt;Child&gt;'!$F:$F),"None")</f>
        <v>드미테르 방어력 감소</v>
      </c>
      <c r="AV55" s="43">
        <f>IFERROR(_xlfn.XLOOKUP($AH55,'BuffValue&lt;Child&gt;'!$A:$A,'BuffValue&lt;Child&gt;'!$K:$K),0)</f>
        <v>-20000</v>
      </c>
      <c r="AW55" s="43" t="str">
        <f>IFERROR(_xlfn.XLOOKUP(AL55,Target!$A:$A,Target!$B:$B),"None")</f>
        <v>None</v>
      </c>
      <c r="AX55" s="43" t="str">
        <f>IFERROR(_xlfn.XLOOKUP($AM55,'BuffValue&lt;Child&gt;'!$A:$A,'BuffValue&lt;Child&gt;'!$F:$F),"None")</f>
        <v>None</v>
      </c>
      <c r="AY55" s="43">
        <f>IFERROR(_xlfn.XLOOKUP($AM55,#REF!,#REF!),0)</f>
        <v>0</v>
      </c>
    </row>
    <row r="56" spans="1:51" x14ac:dyDescent="0.3">
      <c r="A56" s="1">
        <f>INT(3&amp;MID(_xlfn.XLOOKUP(B56,[2]Timeline!$B:$B,[2]Timeline!$A:$A),2,5)&amp;2)</f>
        <v>3303542</v>
      </c>
      <c r="B56" s="7" t="s">
        <v>5</v>
      </c>
      <c r="C56" s="7" t="s">
        <v>252</v>
      </c>
      <c r="D56" s="7" t="s">
        <v>570</v>
      </c>
      <c r="E56" s="1" t="str">
        <f t="shared" si="8"/>
        <v>skill_name_3303542</v>
      </c>
      <c r="F56" s="1" t="s">
        <v>117</v>
      </c>
      <c r="G56" s="1" t="s">
        <v>392</v>
      </c>
      <c r="H56" s="1" t="str">
        <f t="shared" si="9"/>
        <v>skill_desc_3303542</v>
      </c>
      <c r="I56" s="1" t="s">
        <v>205</v>
      </c>
      <c r="J56" s="1" t="str">
        <f>IFERROR(_xlfn.XLOOKUP(W56,Target!A:A,Target!J:J),"")</f>
        <v>Skill_Target_Icon_Enemy_Near_One</v>
      </c>
      <c r="K56" s="1" t="s">
        <v>205</v>
      </c>
      <c r="L56" s="1" t="str">
        <f>IFERROR(_xlfn.XLOOKUP(W56,Target!A:A,Target!K:K),"")</f>
        <v>Skill_Area_Icon_Pivot_Centor</v>
      </c>
      <c r="M56" s="1" t="str">
        <f>_xlfn.XLOOKUP(B56,'[2]Detail&lt;Child&gt;'!$B:$B,'[2]Detail&lt;Child&gt;'!$M:$M)</f>
        <v>Fire</v>
      </c>
      <c r="N56" s="1" t="str">
        <f>_xlfn.XLOOKUP(B56,'[2]Detail&lt;Child&gt;'!$B:$B,'[2]Detail&lt;Child&gt;'!$N:$N)</f>
        <v>Attacker</v>
      </c>
      <c r="O56" s="1" t="s">
        <v>140</v>
      </c>
      <c r="P56" s="33">
        <v>0</v>
      </c>
      <c r="Q56" s="68" t="str" cm="1">
        <f t="array" ref="Q56">_xlfn.IFS(R56="Move","Move",R56="NonTargetMove","Move",R56="Static","Stand",R56="None","Stand")</f>
        <v>Move</v>
      </c>
      <c r="R56" s="1" t="s">
        <v>137</v>
      </c>
      <c r="S56" s="1">
        <v>2</v>
      </c>
      <c r="T56" s="2" t="str">
        <f t="shared" si="3"/>
        <v>SignalHit</v>
      </c>
      <c r="U56" s="2" t="str" cm="1">
        <f t="array" ref="U56">_xlfn.IFS(T56="SignalHIt","TurnEnd",T56="AttackBegin","TurnEnd",T56="AttackEnd","TurnEnd",T56="Immediately","Applied",T56="None","None")</f>
        <v>TurnEnd</v>
      </c>
      <c r="V56" s="2">
        <v>0</v>
      </c>
      <c r="W56" s="1">
        <v>2000011</v>
      </c>
      <c r="X56" s="8">
        <v>33035421</v>
      </c>
      <c r="Y56" s="1" t="str">
        <f t="shared" si="4"/>
        <v>Immediately</v>
      </c>
      <c r="Z56" s="2" t="str" cm="1">
        <f t="array" ref="Z56">_xlfn.IFS(Y56="SignalHIt","TurnEnd",Y56="AttackBegin","TurnEnd",Y56="AttackEnd","TurnEnd",Y56="Immediately","Applied",Y56="None","None")</f>
        <v>Applied</v>
      </c>
      <c r="AA56" s="2">
        <v>0</v>
      </c>
      <c r="AB56" s="1">
        <v>0</v>
      </c>
      <c r="AC56" s="8">
        <v>0</v>
      </c>
      <c r="AD56" s="2" t="str">
        <f t="shared" si="5"/>
        <v>AttackEnd</v>
      </c>
      <c r="AE56" s="2" t="str" cm="1">
        <f t="array" ref="AE56">_xlfn.IFS(AD56="SignalHIt","TurnEnd",AD56="AttackBegin","TurnEnd",AD56="AttackEnd","TurnEnd",AD56="Immediately","Applied",AD56="None","None")</f>
        <v>TurnEnd</v>
      </c>
      <c r="AF56" s="2">
        <v>0</v>
      </c>
      <c r="AG56" s="1">
        <v>2000011</v>
      </c>
      <c r="AH56" s="8">
        <v>33035422</v>
      </c>
      <c r="AI56" s="2" t="str">
        <f t="shared" si="6"/>
        <v>Immediately</v>
      </c>
      <c r="AJ56" s="2" t="str" cm="1">
        <f t="array" ref="AJ56">_xlfn.IFS(AI56="SignalHIt","TurnEnd",AI56="AttackBegin","TurnEnd",AI56="AttackEnd","TurnEnd",AI56="Immediately","Applied",AI56="None","None")</f>
        <v>Applied</v>
      </c>
      <c r="AK56" s="2">
        <v>0</v>
      </c>
      <c r="AL56" s="8">
        <v>0</v>
      </c>
      <c r="AM56" s="48">
        <v>0</v>
      </c>
      <c r="AN56" s="45" t="str">
        <f>IFERROR(_xlfn.XLOOKUP(W56,Target!$A:$A,Target!$B:$B),"None")</f>
        <v xml:space="preserve">가까운 적 1명 </v>
      </c>
      <c r="AO56" s="43" t="str">
        <f>IFERROR(_xlfn.XLOOKUP($X56,'BuffValue&lt;Child&gt;'!$A:$A,'BuffValue&lt;Child&gt;'!$F:$F),"None")</f>
        <v>얼티밋 대미지</v>
      </c>
      <c r="AP56" s="43">
        <f>IFERROR(_xlfn.XLOOKUP($X56,'BuffValue&lt;Child&gt;'!$A:$A,'BuffValue&lt;Child&gt;'!$K:$K),0)</f>
        <v>220000</v>
      </c>
      <c r="AQ56" s="43" t="str">
        <f>IFERROR(_xlfn.XLOOKUP(AB56,Target!$A:$A,Target!$B:$B),"None")</f>
        <v>None</v>
      </c>
      <c r="AR56" s="45" t="str">
        <f>IFERROR(_xlfn.XLOOKUP($AC56,'BuffValue&lt;Child&gt;'!$A:$A,'BuffValue&lt;Child&gt;'!$F:$F),"None")</f>
        <v>None</v>
      </c>
      <c r="AS56" s="45">
        <f>IFERROR(_xlfn.XLOOKUP($AC56,'BuffValue&lt;Child&gt;'!$A:$A,'BuffValue&lt;Child&gt;'!$K:$K),0)</f>
        <v>0</v>
      </c>
      <c r="AT56" s="43" t="str">
        <f>IFERROR(_xlfn.XLOOKUP(AG56,Target!$A:$A,Target!$B:$B),"None")</f>
        <v xml:space="preserve">가까운 적 1명 </v>
      </c>
      <c r="AU56" s="43" t="str">
        <f>IFERROR(_xlfn.XLOOKUP($AH56,'BuffValue&lt;Child&gt;'!$A:$A,'BuffValue&lt;Child&gt;'!$F:$F),"None")</f>
        <v>드미테르 방어력 감소</v>
      </c>
      <c r="AV56" s="43">
        <f>IFERROR(_xlfn.XLOOKUP($AH56,'BuffValue&lt;Child&gt;'!$A:$A,'BuffValue&lt;Child&gt;'!$K:$K),0)</f>
        <v>-20000</v>
      </c>
      <c r="AW56" s="43" t="str">
        <f>IFERROR(_xlfn.XLOOKUP(AL56,Target!$A:$A,Target!$B:$B),"None")</f>
        <v>None</v>
      </c>
      <c r="AX56" s="43" t="str">
        <f>IFERROR(_xlfn.XLOOKUP($AM56,'BuffValue&lt;Child&gt;'!$A:$A,'BuffValue&lt;Child&gt;'!$F:$F),"None")</f>
        <v>None</v>
      </c>
      <c r="AY56" s="43">
        <f>IFERROR(_xlfn.XLOOKUP($AM56,#REF!,#REF!),0)</f>
        <v>0</v>
      </c>
    </row>
    <row r="57" spans="1:51" x14ac:dyDescent="0.3">
      <c r="A57" s="1">
        <f>INT(3&amp;MID(_xlfn.XLOOKUP(B57,[2]Timeline!$B:$B,[2]Timeline!$A:$A),2,5)&amp;3)</f>
        <v>3303543</v>
      </c>
      <c r="B57" s="7" t="s">
        <v>5</v>
      </c>
      <c r="C57" s="7" t="s">
        <v>252</v>
      </c>
      <c r="D57" s="7" t="s">
        <v>570</v>
      </c>
      <c r="E57" s="1" t="str">
        <f t="shared" si="8"/>
        <v>skill_name_3303543</v>
      </c>
      <c r="F57" s="1" t="s">
        <v>117</v>
      </c>
      <c r="G57" s="1" t="s">
        <v>392</v>
      </c>
      <c r="H57" s="1" t="str">
        <f t="shared" si="9"/>
        <v>skill_desc_3303543</v>
      </c>
      <c r="I57" s="1" t="s">
        <v>205</v>
      </c>
      <c r="J57" s="1" t="str">
        <f>IFERROR(_xlfn.XLOOKUP(W57,Target!A:A,Target!J:J),"")</f>
        <v>Skill_Target_Icon_Enemy_Near_One</v>
      </c>
      <c r="K57" s="1" t="s">
        <v>205</v>
      </c>
      <c r="L57" s="1" t="str">
        <f>IFERROR(_xlfn.XLOOKUP(W57,Target!A:A,Target!K:K),"")</f>
        <v>Skill_Area_Icon_Pivot_Centor</v>
      </c>
      <c r="M57" s="1" t="str">
        <f>_xlfn.XLOOKUP(B57,'[2]Detail&lt;Child&gt;'!$B:$B,'[2]Detail&lt;Child&gt;'!$M:$M)</f>
        <v>Fire</v>
      </c>
      <c r="N57" s="1" t="str">
        <f>_xlfn.XLOOKUP(B57,'[2]Detail&lt;Child&gt;'!$B:$B,'[2]Detail&lt;Child&gt;'!$N:$N)</f>
        <v>Attacker</v>
      </c>
      <c r="O57" s="1" t="s">
        <v>140</v>
      </c>
      <c r="P57" s="33">
        <v>0</v>
      </c>
      <c r="Q57" s="68" t="str" cm="1">
        <f t="array" ref="Q57">_xlfn.IFS(R57="Move","Move",R57="NonTargetMove","Move",R57="Static","Stand",R57="None","Stand")</f>
        <v>Move</v>
      </c>
      <c r="R57" s="1" t="s">
        <v>137</v>
      </c>
      <c r="S57" s="1">
        <v>2</v>
      </c>
      <c r="T57" s="2" t="str">
        <f t="shared" si="3"/>
        <v>SignalHit</v>
      </c>
      <c r="U57" s="2" t="str" cm="1">
        <f t="array" ref="U57">_xlfn.IFS(T57="SignalHIt","TurnEnd",T57="AttackBegin","TurnEnd",T57="AttackEnd","TurnEnd",T57="Immediately","Applied",T57="None","None")</f>
        <v>TurnEnd</v>
      </c>
      <c r="V57" s="2">
        <v>0</v>
      </c>
      <c r="W57" s="1">
        <v>2000011</v>
      </c>
      <c r="X57" s="8">
        <v>33035431</v>
      </c>
      <c r="Y57" s="1" t="str">
        <f t="shared" si="4"/>
        <v>Immediately</v>
      </c>
      <c r="Z57" s="2" t="str" cm="1">
        <f t="array" ref="Z57">_xlfn.IFS(Y57="SignalHIt","TurnEnd",Y57="AttackBegin","TurnEnd",Y57="AttackEnd","TurnEnd",Y57="Immediately","Applied",Y57="None","None")</f>
        <v>Applied</v>
      </c>
      <c r="AA57" s="2">
        <v>0</v>
      </c>
      <c r="AB57" s="1">
        <v>0</v>
      </c>
      <c r="AC57" s="8">
        <v>0</v>
      </c>
      <c r="AD57" s="2" t="str">
        <f t="shared" si="5"/>
        <v>AttackEnd</v>
      </c>
      <c r="AE57" s="2" t="str" cm="1">
        <f t="array" ref="AE57">_xlfn.IFS(AD57="SignalHIt","TurnEnd",AD57="AttackBegin","TurnEnd",AD57="AttackEnd","TurnEnd",AD57="Immediately","Applied",AD57="None","None")</f>
        <v>TurnEnd</v>
      </c>
      <c r="AF57" s="2">
        <v>0</v>
      </c>
      <c r="AG57" s="1">
        <v>2000011</v>
      </c>
      <c r="AH57" s="8">
        <v>33035432</v>
      </c>
      <c r="AI57" s="2" t="str">
        <f t="shared" si="6"/>
        <v>Immediately</v>
      </c>
      <c r="AJ57" s="2" t="str" cm="1">
        <f t="array" ref="AJ57">_xlfn.IFS(AI57="SignalHIt","TurnEnd",AI57="AttackBegin","TurnEnd",AI57="AttackEnd","TurnEnd",AI57="Immediately","Applied",AI57="None","None")</f>
        <v>Applied</v>
      </c>
      <c r="AK57" s="2">
        <v>0</v>
      </c>
      <c r="AL57" s="8">
        <v>0</v>
      </c>
      <c r="AM57" s="48">
        <v>0</v>
      </c>
      <c r="AN57" s="45" t="str">
        <f>IFERROR(_xlfn.XLOOKUP(W57,Target!$A:$A,Target!$B:$B),"None")</f>
        <v xml:space="preserve">가까운 적 1명 </v>
      </c>
      <c r="AO57" s="43" t="str">
        <f>IFERROR(_xlfn.XLOOKUP($X57,'BuffValue&lt;Child&gt;'!$A:$A,'BuffValue&lt;Child&gt;'!$F:$F),"None")</f>
        <v>얼티밋 대미지</v>
      </c>
      <c r="AP57" s="43">
        <f>IFERROR(_xlfn.XLOOKUP($X57,'BuffValue&lt;Child&gt;'!$A:$A,'BuffValue&lt;Child&gt;'!$K:$K),0)</f>
        <v>220000</v>
      </c>
      <c r="AQ57" s="43" t="str">
        <f>IFERROR(_xlfn.XLOOKUP(AB57,Target!$A:$A,Target!$B:$B),"None")</f>
        <v>None</v>
      </c>
      <c r="AR57" s="45" t="str">
        <f>IFERROR(_xlfn.XLOOKUP($AC57,'BuffValue&lt;Child&gt;'!$A:$A,'BuffValue&lt;Child&gt;'!$F:$F),"None")</f>
        <v>None</v>
      </c>
      <c r="AS57" s="45">
        <f>IFERROR(_xlfn.XLOOKUP($AC57,'BuffValue&lt;Child&gt;'!$A:$A,'BuffValue&lt;Child&gt;'!$K:$K),0)</f>
        <v>0</v>
      </c>
      <c r="AT57" s="43" t="str">
        <f>IFERROR(_xlfn.XLOOKUP(AG57,Target!$A:$A,Target!$B:$B),"None")</f>
        <v xml:space="preserve">가까운 적 1명 </v>
      </c>
      <c r="AU57" s="43" t="str">
        <f>IFERROR(_xlfn.XLOOKUP($AH57,'BuffValue&lt;Child&gt;'!$A:$A,'BuffValue&lt;Child&gt;'!$F:$F),"None")</f>
        <v>드미테르 방어력 감소</v>
      </c>
      <c r="AV57" s="43">
        <f>IFERROR(_xlfn.XLOOKUP($AH57,'BuffValue&lt;Child&gt;'!$A:$A,'BuffValue&lt;Child&gt;'!$K:$K),0)</f>
        <v>-20000</v>
      </c>
      <c r="AW57" s="43" t="str">
        <f>IFERROR(_xlfn.XLOOKUP(AL57,Target!$A:$A,Target!$B:$B),"None")</f>
        <v>None</v>
      </c>
      <c r="AX57" s="43" t="str">
        <f>IFERROR(_xlfn.XLOOKUP($AM57,'BuffValue&lt;Child&gt;'!$A:$A,'BuffValue&lt;Child&gt;'!$F:$F),"None")</f>
        <v>None</v>
      </c>
      <c r="AY57" s="43">
        <f>IFERROR(_xlfn.XLOOKUP($AM57,#REF!,#REF!),0)</f>
        <v>0</v>
      </c>
    </row>
    <row r="58" spans="1:51" s="61" customFormat="1" x14ac:dyDescent="0.3">
      <c r="A58" s="1">
        <f>INT(4&amp;MID(_xlfn.XLOOKUP(B58,[2]Timeline!$B:$B,[2]Timeline!$A:$A),2,5)&amp;1)</f>
        <v>4303541</v>
      </c>
      <c r="B58" s="60" t="s">
        <v>5</v>
      </c>
      <c r="C58" s="60" t="s">
        <v>122</v>
      </c>
      <c r="D58" s="60" t="s">
        <v>546</v>
      </c>
      <c r="E58" s="61" t="str">
        <f t="shared" si="8"/>
        <v>skill_name_4303541</v>
      </c>
      <c r="F58" s="61" t="s">
        <v>117</v>
      </c>
      <c r="G58" s="61" t="s">
        <v>442</v>
      </c>
      <c r="H58" s="61" t="str">
        <f t="shared" si="9"/>
        <v>skill_desc_4303541</v>
      </c>
      <c r="I58" s="61" t="s">
        <v>205</v>
      </c>
      <c r="J58" s="61" t="str">
        <f>IFERROR(_xlfn.XLOOKUP(W58,Target!A:A,Target!J:J),"")</f>
        <v>Skill_Target_Icon_Mine</v>
      </c>
      <c r="K58" s="61" t="s">
        <v>205</v>
      </c>
      <c r="L58" s="61" t="str">
        <f>IFERROR(_xlfn.XLOOKUP(W58,Target!A:A,Target!K:K),"")</f>
        <v>Skill_Area_Icon_Pivot_Centor</v>
      </c>
      <c r="M58" s="61" t="str">
        <f>_xlfn.XLOOKUP(B58,'[2]Detail&lt;Child&gt;'!$B:$B,'[2]Detail&lt;Child&gt;'!$M:$M)</f>
        <v>Fire</v>
      </c>
      <c r="N58" s="61" t="str">
        <f>_xlfn.XLOOKUP(B58,'[2]Detail&lt;Child&gt;'!$B:$B,'[2]Detail&lt;Child&gt;'!$N:$N)</f>
        <v>Attacker</v>
      </c>
      <c r="O58" s="61" t="s">
        <v>167</v>
      </c>
      <c r="P58" s="63">
        <v>0</v>
      </c>
      <c r="Q58" s="70" t="str" cm="1">
        <f t="array" ref="Q58">_xlfn.IFS(R58="Move","Move",R58="NonTargetMove","Move",R58="Static","Stand",R58="None","Stand")</f>
        <v>Stand</v>
      </c>
      <c r="R58" s="61" t="s">
        <v>136</v>
      </c>
      <c r="S58" s="61">
        <f>IF(R58="Static",0,1)</f>
        <v>0</v>
      </c>
      <c r="T58" s="61" t="str">
        <f t="shared" si="3"/>
        <v>Immediately</v>
      </c>
      <c r="U58" s="61" t="str" cm="1">
        <f t="array" ref="U58">_xlfn.IFS(T58="SignalHIt","TurnEnd",T58="AttackBegin","TurnEnd",T58="AttackEnd","TurnEnd",T58="Immediately","Applied",T58="None","None")</f>
        <v>Applied</v>
      </c>
      <c r="V58" s="61">
        <v>0</v>
      </c>
      <c r="W58" s="61">
        <v>1</v>
      </c>
      <c r="X58" s="59">
        <v>43035411</v>
      </c>
      <c r="Y58" s="61" t="str">
        <f t="shared" si="4"/>
        <v>Immediately</v>
      </c>
      <c r="Z58" s="61" t="str" cm="1">
        <f t="array" ref="Z58">_xlfn.IFS(Y58="SignalHIt","TurnEnd",Y58="AttackBegin","TurnEnd",Y58="AttackEnd","TurnEnd",Y58="Immediately","Applied",Y58="None","None")</f>
        <v>Applied</v>
      </c>
      <c r="AA58" s="61">
        <v>0</v>
      </c>
      <c r="AB58" s="61">
        <v>0</v>
      </c>
      <c r="AC58" s="59">
        <v>0</v>
      </c>
      <c r="AD58" s="61" t="str">
        <f t="shared" si="5"/>
        <v>Immediately</v>
      </c>
      <c r="AE58" s="61" t="str" cm="1">
        <f t="array" ref="AE58">_xlfn.IFS(AD58="SignalHIt","TurnEnd",AD58="AttackBegin","TurnEnd",AD58="AttackEnd","TurnEnd",AD58="Immediately","Applied",AD58="None","None")</f>
        <v>Applied</v>
      </c>
      <c r="AF58" s="61">
        <v>0</v>
      </c>
      <c r="AG58" s="61">
        <v>0</v>
      </c>
      <c r="AH58" s="59">
        <v>0</v>
      </c>
      <c r="AI58" s="61" t="str">
        <f t="shared" si="6"/>
        <v>Immediately</v>
      </c>
      <c r="AJ58" s="61" t="str" cm="1">
        <f t="array" ref="AJ58">_xlfn.IFS(AI58="SignalHIt","TurnEnd",AI58="AttackBegin","TurnEnd",AI58="AttackEnd","TurnEnd",AI58="Immediately","Applied",AI58="None","None")</f>
        <v>Applied</v>
      </c>
      <c r="AK58" s="61">
        <v>0</v>
      </c>
      <c r="AL58" s="59">
        <v>0</v>
      </c>
      <c r="AM58" s="64">
        <v>0</v>
      </c>
      <c r="AN58" s="65" t="str">
        <f>IFERROR(_xlfn.XLOOKUP(W58,Target!$A:$A,Target!$B:$B),"None")</f>
        <v xml:space="preserve"> 자신 1명 </v>
      </c>
      <c r="AO58" s="65" t="str">
        <f>IFERROR(_xlfn.XLOOKUP($X58,'BuffValue&lt;Child&gt;'!$A:$A,'BuffValue&lt;Child&gt;'!$F:$F),"None")</f>
        <v>드미테르 패시브 화상</v>
      </c>
      <c r="AP58" s="65">
        <f>IFERROR(_xlfn.XLOOKUP($X58,'BuffValue&lt;Child&gt;'!$A:$A,'BuffValue&lt;Child&gt;'!$K:$K),0)</f>
        <v>9100081</v>
      </c>
      <c r="AQ58" s="65" t="str">
        <f>IFERROR(_xlfn.XLOOKUP(AB58,Target!$A:$A,Target!$B:$B),"None")</f>
        <v>None</v>
      </c>
      <c r="AR58" s="65" t="str">
        <f>IFERROR(_xlfn.XLOOKUP($AC58,'BuffValue&lt;Child&gt;'!$A:$A,'BuffValue&lt;Child&gt;'!$F:$F),"None")</f>
        <v>None</v>
      </c>
      <c r="AS58" s="65">
        <f>IFERROR(_xlfn.XLOOKUP($AC58,'BuffValue&lt;Child&gt;'!$A:$A,'BuffValue&lt;Child&gt;'!$K:$K),0)</f>
        <v>0</v>
      </c>
      <c r="AT58" s="65" t="str">
        <f>IFERROR(_xlfn.XLOOKUP(AG58,Target!$A:$A,Target!$B:$B),"None")</f>
        <v>None</v>
      </c>
      <c r="AU58" s="65" t="str">
        <f>IFERROR(_xlfn.XLOOKUP($AH58,'BuffValue&lt;Child&gt;'!$A:$A,'BuffValue&lt;Child&gt;'!$F:$F),"None")</f>
        <v>None</v>
      </c>
      <c r="AV58" s="65">
        <f>IFERROR(_xlfn.XLOOKUP($AH58,'BuffValue&lt;Child&gt;'!$A:$A,'BuffValue&lt;Child&gt;'!$K:$K),0)</f>
        <v>0</v>
      </c>
      <c r="AW58" s="65" t="str">
        <f>IFERROR(_xlfn.XLOOKUP(AL58,Target!$A:$A,Target!$B:$B),"None")</f>
        <v>None</v>
      </c>
      <c r="AX58" s="65" t="str">
        <f>IFERROR(_xlfn.XLOOKUP($AM58,'BuffValue&lt;Child&gt;'!$A:$A,'BuffValue&lt;Child&gt;'!$F:$F),"None")</f>
        <v>None</v>
      </c>
      <c r="AY58" s="65">
        <f>IFERROR(_xlfn.XLOOKUP($AM58,#REF!,#REF!),0)</f>
        <v>0</v>
      </c>
    </row>
    <row r="59" spans="1:51" s="61" customFormat="1" x14ac:dyDescent="0.3">
      <c r="A59" s="1">
        <f>INT(4&amp;MID(_xlfn.XLOOKUP(B59,[2]Timeline!$B:$B,[2]Timeline!$A:$A),2,5)&amp;2)</f>
        <v>4303542</v>
      </c>
      <c r="B59" s="60" t="s">
        <v>5</v>
      </c>
      <c r="C59" s="60" t="s">
        <v>122</v>
      </c>
      <c r="D59" s="60" t="s">
        <v>546</v>
      </c>
      <c r="E59" s="61" t="str">
        <f t="shared" si="8"/>
        <v>skill_name_4303542</v>
      </c>
      <c r="F59" s="61" t="s">
        <v>117</v>
      </c>
      <c r="G59" s="61" t="s">
        <v>442</v>
      </c>
      <c r="H59" s="61" t="str">
        <f t="shared" si="9"/>
        <v>skill_desc_4303542</v>
      </c>
      <c r="I59" s="61" t="s">
        <v>205</v>
      </c>
      <c r="J59" s="61" t="str">
        <f>IFERROR(_xlfn.XLOOKUP(W59,Target!A:A,Target!J:J),"")</f>
        <v>Skill_Target_Icon_Mine</v>
      </c>
      <c r="K59" s="61" t="s">
        <v>205</v>
      </c>
      <c r="L59" s="61" t="str">
        <f>IFERROR(_xlfn.XLOOKUP(W59,Target!A:A,Target!K:K),"")</f>
        <v>Skill_Area_Icon_Pivot_Centor</v>
      </c>
      <c r="M59" s="61" t="str">
        <f>_xlfn.XLOOKUP(B59,'[2]Detail&lt;Child&gt;'!$B:$B,'[2]Detail&lt;Child&gt;'!$M:$M)</f>
        <v>Fire</v>
      </c>
      <c r="N59" s="61" t="str">
        <f>_xlfn.XLOOKUP(B59,'[2]Detail&lt;Child&gt;'!$B:$B,'[2]Detail&lt;Child&gt;'!$N:$N)</f>
        <v>Attacker</v>
      </c>
      <c r="O59" s="61" t="s">
        <v>167</v>
      </c>
      <c r="P59" s="63">
        <v>0</v>
      </c>
      <c r="Q59" s="70" t="str" cm="1">
        <f t="array" ref="Q59">_xlfn.IFS(R59="Move","Move",R59="NonTargetMove","Move",R59="Static","Stand",R59="None","Stand")</f>
        <v>Stand</v>
      </c>
      <c r="R59" s="61" t="s">
        <v>136</v>
      </c>
      <c r="S59" s="61">
        <f>IF(R59="Static",0,1)</f>
        <v>0</v>
      </c>
      <c r="T59" s="61" t="str">
        <f t="shared" si="3"/>
        <v>Immediately</v>
      </c>
      <c r="U59" s="61" t="str" cm="1">
        <f t="array" ref="U59">_xlfn.IFS(T59="SignalHIt","TurnEnd",T59="AttackBegin","TurnEnd",T59="AttackEnd","TurnEnd",T59="Immediately","Applied",T59="None","None")</f>
        <v>Applied</v>
      </c>
      <c r="V59" s="61">
        <v>0</v>
      </c>
      <c r="W59" s="61">
        <v>1</v>
      </c>
      <c r="X59" s="59">
        <v>43035421</v>
      </c>
      <c r="Y59" s="61" t="str">
        <f t="shared" si="4"/>
        <v>Immediately</v>
      </c>
      <c r="Z59" s="61" t="str" cm="1">
        <f t="array" ref="Z59">_xlfn.IFS(Y59="SignalHIt","TurnEnd",Y59="AttackBegin","TurnEnd",Y59="AttackEnd","TurnEnd",Y59="Immediately","Applied",Y59="None","None")</f>
        <v>Applied</v>
      </c>
      <c r="AA59" s="61">
        <v>0</v>
      </c>
      <c r="AB59" s="61">
        <v>0</v>
      </c>
      <c r="AC59" s="59">
        <v>0</v>
      </c>
      <c r="AD59" s="61" t="str">
        <f t="shared" si="5"/>
        <v>Immediately</v>
      </c>
      <c r="AE59" s="61" t="str" cm="1">
        <f t="array" ref="AE59">_xlfn.IFS(AD59="SignalHIt","TurnEnd",AD59="AttackBegin","TurnEnd",AD59="AttackEnd","TurnEnd",AD59="Immediately","Applied",AD59="None","None")</f>
        <v>Applied</v>
      </c>
      <c r="AF59" s="61">
        <v>0</v>
      </c>
      <c r="AG59" s="61">
        <v>0</v>
      </c>
      <c r="AH59" s="59">
        <v>0</v>
      </c>
      <c r="AI59" s="61" t="str">
        <f t="shared" si="6"/>
        <v>Immediately</v>
      </c>
      <c r="AJ59" s="61" t="str" cm="1">
        <f t="array" ref="AJ59">_xlfn.IFS(AI59="SignalHIt","TurnEnd",AI59="AttackBegin","TurnEnd",AI59="AttackEnd","TurnEnd",AI59="Immediately","Applied",AI59="None","None")</f>
        <v>Applied</v>
      </c>
      <c r="AK59" s="61">
        <v>0</v>
      </c>
      <c r="AL59" s="59">
        <v>0</v>
      </c>
      <c r="AM59" s="64">
        <v>0</v>
      </c>
      <c r="AN59" s="65" t="str">
        <f>IFERROR(_xlfn.XLOOKUP(W59,Target!$A:$A,Target!$B:$B),"None")</f>
        <v xml:space="preserve"> 자신 1명 </v>
      </c>
      <c r="AO59" s="65" t="str">
        <f>IFERROR(_xlfn.XLOOKUP($X59,'BuffValue&lt;Child&gt;'!$A:$A,'BuffValue&lt;Child&gt;'!$F:$F),"None")</f>
        <v>드미테르 패시브 화상</v>
      </c>
      <c r="AP59" s="65">
        <f>IFERROR(_xlfn.XLOOKUP($X59,'BuffValue&lt;Child&gt;'!$A:$A,'BuffValue&lt;Child&gt;'!$K:$K),0)</f>
        <v>9100081</v>
      </c>
      <c r="AQ59" s="65" t="str">
        <f>IFERROR(_xlfn.XLOOKUP(AB59,Target!$A:$A,Target!$B:$B),"None")</f>
        <v>None</v>
      </c>
      <c r="AR59" s="65" t="str">
        <f>IFERROR(_xlfn.XLOOKUP($AC59,'BuffValue&lt;Child&gt;'!$A:$A,'BuffValue&lt;Child&gt;'!$F:$F),"None")</f>
        <v>None</v>
      </c>
      <c r="AS59" s="65">
        <f>IFERROR(_xlfn.XLOOKUP($AC59,'BuffValue&lt;Child&gt;'!$A:$A,'BuffValue&lt;Child&gt;'!$K:$K),0)</f>
        <v>0</v>
      </c>
      <c r="AT59" s="65" t="str">
        <f>IFERROR(_xlfn.XLOOKUP(AG59,Target!$A:$A,Target!$B:$B),"None")</f>
        <v>None</v>
      </c>
      <c r="AU59" s="65" t="str">
        <f>IFERROR(_xlfn.XLOOKUP($AH59,'BuffValue&lt;Child&gt;'!$A:$A,'BuffValue&lt;Child&gt;'!$F:$F),"None")</f>
        <v>None</v>
      </c>
      <c r="AV59" s="65">
        <f>IFERROR(_xlfn.XLOOKUP($AH59,'BuffValue&lt;Child&gt;'!$A:$A,'BuffValue&lt;Child&gt;'!$K:$K),0)</f>
        <v>0</v>
      </c>
      <c r="AW59" s="65" t="str">
        <f>IFERROR(_xlfn.XLOOKUP(AL59,Target!$A:$A,Target!$B:$B),"None")</f>
        <v>None</v>
      </c>
      <c r="AX59" s="65" t="str">
        <f>IFERROR(_xlfn.XLOOKUP($AM59,'BuffValue&lt;Child&gt;'!$A:$A,'BuffValue&lt;Child&gt;'!$F:$F),"None")</f>
        <v>None</v>
      </c>
      <c r="AY59" s="65">
        <f>IFERROR(_xlfn.XLOOKUP($AM59,#REF!,#REF!),0)</f>
        <v>0</v>
      </c>
    </row>
    <row r="60" spans="1:51" s="11" customFormat="1" x14ac:dyDescent="0.3">
      <c r="A60" s="11">
        <f>INT(1&amp;MID(_xlfn.XLOOKUP(B60,[2]Timeline!$B:$B,[2]Timeline!$A:$A),2,5)&amp;1)</f>
        <v>1305011</v>
      </c>
      <c r="B60" s="12" t="s">
        <v>168</v>
      </c>
      <c r="C60" s="12" t="s">
        <v>291</v>
      </c>
      <c r="D60" s="12" t="s">
        <v>341</v>
      </c>
      <c r="E60" s="11" t="str">
        <f t="shared" si="8"/>
        <v>skill_name_1305011</v>
      </c>
      <c r="F60" s="11" t="s">
        <v>117</v>
      </c>
      <c r="G60" s="11" t="s">
        <v>474</v>
      </c>
      <c r="H60" s="11" t="str">
        <f t="shared" si="9"/>
        <v>skill_desc_1305011</v>
      </c>
      <c r="I60" s="11" t="s">
        <v>205</v>
      </c>
      <c r="J60" s="11" t="str">
        <f>IFERROR(_xlfn.XLOOKUP(W60,Target!A:A,Target!J:J),"")</f>
        <v>Skill_Target_Icon_Enemy_Near_One</v>
      </c>
      <c r="K60" s="11" t="s">
        <v>205</v>
      </c>
      <c r="L60" s="11" t="str">
        <f>IFERROR(_xlfn.XLOOKUP(W60,Target!A:A,Target!K:K),"")</f>
        <v>Skill_Area_Icon_Pivot_Centor</v>
      </c>
      <c r="M60" s="11" t="str">
        <f>_xlfn.XLOOKUP(B60,'[2]Detail&lt;Child&gt;'!$B:$B,'[2]Detail&lt;Child&gt;'!$M:$M)</f>
        <v>Fire</v>
      </c>
      <c r="N60" s="11" t="str">
        <f>_xlfn.XLOOKUP(B60,'[2]Detail&lt;Child&gt;'!$B:$B,'[2]Detail&lt;Child&gt;'!$N:$N)</f>
        <v>Defender</v>
      </c>
      <c r="O60" s="11" t="s">
        <v>30</v>
      </c>
      <c r="P60" s="34">
        <v>0</v>
      </c>
      <c r="Q60" s="69" t="str" cm="1">
        <f t="array" ref="Q60">_xlfn.IFS(R60="Move","Move",R60="NonTargetMove","Move",R60="Static","Stand",R60="None","Stand")</f>
        <v>Move</v>
      </c>
      <c r="R60" s="11" t="s">
        <v>144</v>
      </c>
      <c r="S60" s="11">
        <v>1</v>
      </c>
      <c r="T60" s="15" t="str">
        <f t="shared" si="3"/>
        <v>SignalHit</v>
      </c>
      <c r="U60" s="15" t="str" cm="1">
        <f t="array" ref="U60">_xlfn.IFS(T60="SignalHIt","TurnEnd",T60="AttackBegin","TurnEnd",T60="AttackEnd","TurnEnd",T60="Immediately","Applied",T60="None","None")</f>
        <v>TurnEnd</v>
      </c>
      <c r="V60" s="15">
        <v>0</v>
      </c>
      <c r="W60" s="11">
        <v>2000011</v>
      </c>
      <c r="X60" s="10">
        <v>13050111</v>
      </c>
      <c r="Y60" s="11" t="str">
        <f t="shared" si="4"/>
        <v>Immediately</v>
      </c>
      <c r="Z60" s="15" t="str" cm="1">
        <f t="array" ref="Z60">_xlfn.IFS(Y60="SignalHIt","TurnEnd",Y60="AttackBegin","TurnEnd",Y60="AttackEnd","TurnEnd",Y60="Immediately","Applied",Y60="None","None")</f>
        <v>Applied</v>
      </c>
      <c r="AA60" s="15">
        <v>0</v>
      </c>
      <c r="AB60" s="11">
        <v>0</v>
      </c>
      <c r="AC60" s="10">
        <v>0</v>
      </c>
      <c r="AD60" s="15" t="str">
        <f t="shared" si="5"/>
        <v>AttackEnd</v>
      </c>
      <c r="AE60" s="15" t="str" cm="1">
        <f t="array" ref="AE60">_xlfn.IFS(AD60="SignalHIt","TurnEnd",AD60="AttackBegin","TurnEnd",AD60="AttackEnd","TurnEnd",AD60="Immediately","Applied",AD60="None","None")</f>
        <v>TurnEnd</v>
      </c>
      <c r="AF60" s="15">
        <v>0</v>
      </c>
      <c r="AG60" s="11">
        <v>2000011</v>
      </c>
      <c r="AH60" s="10">
        <v>13050112</v>
      </c>
      <c r="AI60" s="15" t="str">
        <f t="shared" si="6"/>
        <v>Immediately</v>
      </c>
      <c r="AJ60" s="15" t="str" cm="1">
        <f t="array" ref="AJ60">_xlfn.IFS(AI60="SignalHIt","TurnEnd",AI60="AttackBegin","TurnEnd",AI60="AttackEnd","TurnEnd",AI60="Immediately","Applied",AI60="None","None")</f>
        <v>Applied</v>
      </c>
      <c r="AK60" s="15">
        <v>0</v>
      </c>
      <c r="AL60" s="10">
        <v>0</v>
      </c>
      <c r="AM60" s="50">
        <v>0</v>
      </c>
      <c r="AN60" s="46" t="str">
        <f>IFERROR(_xlfn.XLOOKUP(W60,Target!$A:$A,Target!$B:$B),"None")</f>
        <v xml:space="preserve">가까운 적 1명 </v>
      </c>
      <c r="AO60" s="47" t="str">
        <f>IFERROR(_xlfn.XLOOKUP($X60,'BuffValue&lt;Child&gt;'!$A:$A,'BuffValue&lt;Child&gt;'!$F:$F),"None")</f>
        <v>공용 대미지</v>
      </c>
      <c r="AP60" s="47">
        <f>IFERROR(_xlfn.XLOOKUP($X60,'BuffValue&lt;Child&gt;'!$A:$A,'BuffValue&lt;Child&gt;'!$K:$K),0)</f>
        <v>290000</v>
      </c>
      <c r="AQ60" s="47" t="str">
        <f>IFERROR(_xlfn.XLOOKUP(AB60,Target!$A:$A,Target!$B:$B),"None")</f>
        <v>None</v>
      </c>
      <c r="AR60" s="46" t="str">
        <f>IFERROR(_xlfn.XLOOKUP($AC60,'BuffValue&lt;Child&gt;'!$A:$A,'BuffValue&lt;Child&gt;'!$F:$F),"None")</f>
        <v>None</v>
      </c>
      <c r="AS60" s="46">
        <f>IFERROR(_xlfn.XLOOKUP($AC60,'BuffValue&lt;Child&gt;'!$A:$A,'BuffValue&lt;Child&gt;'!$K:$K),0)</f>
        <v>0</v>
      </c>
      <c r="AT60" s="47" t="str">
        <f>IFERROR(_xlfn.XLOOKUP(AG60,Target!$A:$A,Target!$B:$B),"None")</f>
        <v xml:space="preserve">가까운 적 1명 </v>
      </c>
      <c r="AU60" s="47" t="str">
        <f>IFERROR(_xlfn.XLOOKUP($AH60,'BuffValue&lt;Child&gt;'!$A:$A,'BuffValue&lt;Child&gt;'!$F:$F),"None")</f>
        <v>화상 중 기절 (라가라자)</v>
      </c>
      <c r="AV60" s="47">
        <f>IFERROR(_xlfn.XLOOKUP($AH60,'BuffValue&lt;Child&gt;'!$A:$A,'BuffValue&lt;Child&gt;'!$K:$K),0)</f>
        <v>0</v>
      </c>
      <c r="AW60" s="47" t="str">
        <f>IFERROR(_xlfn.XLOOKUP(AL60,Target!$A:$A,Target!$B:$B),"None")</f>
        <v>None</v>
      </c>
      <c r="AX60" s="47" t="str">
        <f>IFERROR(_xlfn.XLOOKUP($AM60,'BuffValue&lt;Child&gt;'!$A:$A,'BuffValue&lt;Child&gt;'!$F:$F),"None")</f>
        <v>None</v>
      </c>
      <c r="AY60" s="47">
        <f>IFERROR(_xlfn.XLOOKUP($AM60,#REF!,#REF!),0)</f>
        <v>0</v>
      </c>
    </row>
    <row r="61" spans="1:51" x14ac:dyDescent="0.3">
      <c r="A61" s="1">
        <f>INT(2&amp;MID(_xlfn.XLOOKUP(B61,[2]Timeline!$B:$B,[2]Timeline!$A:$A),2,5)&amp;1)</f>
        <v>2305011</v>
      </c>
      <c r="B61" s="7" t="s">
        <v>160</v>
      </c>
      <c r="C61" s="7" t="s">
        <v>292</v>
      </c>
      <c r="D61" s="7" t="s">
        <v>547</v>
      </c>
      <c r="E61" s="1" t="str">
        <f t="shared" si="8"/>
        <v>skill_name_2305011</v>
      </c>
      <c r="F61" s="1" t="s">
        <v>117</v>
      </c>
      <c r="G61" s="1" t="s">
        <v>473</v>
      </c>
      <c r="H61" s="1" t="str">
        <f t="shared" si="9"/>
        <v>skill_desc_2305011</v>
      </c>
      <c r="I61" s="1" t="s">
        <v>205</v>
      </c>
      <c r="J61" s="1" t="str">
        <f>IFERROR(_xlfn.XLOOKUP(W61,Target!A:A,Target!J:J),"")</f>
        <v>Skill_Target_Icon_Mine</v>
      </c>
      <c r="K61" s="1" t="s">
        <v>205</v>
      </c>
      <c r="L61" s="1" t="str">
        <f>IFERROR(_xlfn.XLOOKUP(W61,Target!A:A,Target!K:K),"")</f>
        <v>Skill_Area_Icon_Pivot_Centor</v>
      </c>
      <c r="M61" s="1" t="str">
        <f>_xlfn.XLOOKUP(B61,'[2]Detail&lt;Child&gt;'!$B:$B,'[2]Detail&lt;Child&gt;'!$M:$M)</f>
        <v>Fire</v>
      </c>
      <c r="N61" s="1" t="str">
        <f>_xlfn.XLOOKUP(B61,'[2]Detail&lt;Child&gt;'!$B:$B,'[2]Detail&lt;Child&gt;'!$N:$N)</f>
        <v>Defender</v>
      </c>
      <c r="O61" s="1" t="s">
        <v>33</v>
      </c>
      <c r="P61" s="33">
        <v>3</v>
      </c>
      <c r="Q61" s="68" t="s">
        <v>496</v>
      </c>
      <c r="R61" s="1" t="s">
        <v>136</v>
      </c>
      <c r="S61" s="1">
        <f>IF(R61="Static",0,1)</f>
        <v>0</v>
      </c>
      <c r="T61" s="2" t="str">
        <f t="shared" si="3"/>
        <v>SignalHit</v>
      </c>
      <c r="U61" s="2" t="str" cm="1">
        <f t="array" ref="U61">_xlfn.IFS(T61="SignalHIt","TurnEnd",T61="AttackBegin","TurnEnd",T61="AttackEnd","TurnEnd",T61="Immediately","Applied",T61="None","None")</f>
        <v>TurnEnd</v>
      </c>
      <c r="V61" s="2">
        <v>0</v>
      </c>
      <c r="W61" s="1">
        <v>1</v>
      </c>
      <c r="X61" s="8">
        <v>23050111</v>
      </c>
      <c r="Y61" s="1" t="str">
        <f t="shared" si="4"/>
        <v>Immediately</v>
      </c>
      <c r="Z61" s="2" t="str" cm="1">
        <f t="array" ref="Z61">_xlfn.IFS(Y61="SignalHIt","TurnEnd",Y61="AttackBegin","TurnEnd",Y61="AttackEnd","TurnEnd",Y61="Immediately","Applied",Y61="None","None")</f>
        <v>Applied</v>
      </c>
      <c r="AA61" s="2">
        <v>0</v>
      </c>
      <c r="AB61" s="1">
        <v>0</v>
      </c>
      <c r="AC61" s="8">
        <v>0</v>
      </c>
      <c r="AD61" s="2" t="str">
        <f t="shared" si="5"/>
        <v>Immediately</v>
      </c>
      <c r="AE61" s="2" t="str" cm="1">
        <f t="array" ref="AE61">_xlfn.IFS(AD61="SignalHIt","TurnEnd",AD61="AttackBegin","TurnEnd",AD61="AttackEnd","TurnEnd",AD61="Immediately","Applied",AD61="None","None")</f>
        <v>Applied</v>
      </c>
      <c r="AF61" s="2">
        <v>0</v>
      </c>
      <c r="AG61" s="1">
        <v>0</v>
      </c>
      <c r="AH61" s="8">
        <v>0</v>
      </c>
      <c r="AI61" s="2" t="str">
        <f t="shared" si="6"/>
        <v>Immediately</v>
      </c>
      <c r="AJ61" s="2" t="str" cm="1">
        <f t="array" ref="AJ61">_xlfn.IFS(AI61="SignalHIt","TurnEnd",AI61="AttackBegin","TurnEnd",AI61="AttackEnd","TurnEnd",AI61="Immediately","Applied",AI61="None","None")</f>
        <v>Applied</v>
      </c>
      <c r="AK61" s="2">
        <v>0</v>
      </c>
      <c r="AL61" s="8">
        <v>0</v>
      </c>
      <c r="AM61" s="48">
        <v>0</v>
      </c>
      <c r="AN61" s="45" t="str">
        <f>IFERROR(_xlfn.XLOOKUP(W61,Target!$A:$A,Target!$B:$B),"None")</f>
        <v xml:space="preserve"> 자신 1명 </v>
      </c>
      <c r="AO61" s="43" t="str">
        <f>IFERROR(_xlfn.XLOOKUP($X61,'BuffValue&lt;Child&gt;'!$A:$A,'BuffValue&lt;Child&gt;'!$F:$F),"None")</f>
        <v>천수관음</v>
      </c>
      <c r="AP61" s="43">
        <f>IFERROR(_xlfn.XLOOKUP($X61,'BuffValue&lt;Child&gt;'!$A:$A,'BuffValue&lt;Child&gt;'!$K:$K),0)</f>
        <v>100000</v>
      </c>
      <c r="AQ61" s="43" t="str">
        <f>IFERROR(_xlfn.XLOOKUP(AB61,Target!$A:$A,Target!$B:$B),"None")</f>
        <v>None</v>
      </c>
      <c r="AR61" s="45" t="str">
        <f>IFERROR(_xlfn.XLOOKUP($AC61,'BuffValue&lt;Child&gt;'!$A:$A,'BuffValue&lt;Child&gt;'!$F:$F),"None")</f>
        <v>None</v>
      </c>
      <c r="AS61" s="45">
        <f>IFERROR(_xlfn.XLOOKUP($AC61,'BuffValue&lt;Child&gt;'!$A:$A,'BuffValue&lt;Child&gt;'!$K:$K),0)</f>
        <v>0</v>
      </c>
      <c r="AT61" s="43" t="str">
        <f>IFERROR(_xlfn.XLOOKUP(AG61,Target!$A:$A,Target!$B:$B),"None")</f>
        <v>None</v>
      </c>
      <c r="AU61" s="43" t="str">
        <f>IFERROR(_xlfn.XLOOKUP($AH61,'BuffValue&lt;Child&gt;'!$A:$A,'BuffValue&lt;Child&gt;'!$F:$F),"None")</f>
        <v>None</v>
      </c>
      <c r="AV61" s="43">
        <f>IFERROR(_xlfn.XLOOKUP($AH61,'BuffValue&lt;Child&gt;'!$A:$A,'BuffValue&lt;Child&gt;'!$K:$K),0)</f>
        <v>0</v>
      </c>
      <c r="AW61" s="43" t="str">
        <f>IFERROR(_xlfn.XLOOKUP(AL61,Target!$A:$A,Target!$B:$B),"None")</f>
        <v>None</v>
      </c>
      <c r="AX61" s="43" t="str">
        <f>IFERROR(_xlfn.XLOOKUP($AM61,'BuffValue&lt;Child&gt;'!$A:$A,'BuffValue&lt;Child&gt;'!$F:$F),"None")</f>
        <v>None</v>
      </c>
      <c r="AY61" s="43">
        <f>IFERROR(_xlfn.XLOOKUP($AM61,#REF!,#REF!),0)</f>
        <v>0</v>
      </c>
    </row>
    <row r="62" spans="1:51" x14ac:dyDescent="0.3">
      <c r="A62" s="1">
        <f>INT(2&amp;MID(_xlfn.XLOOKUP(B62,[2]Timeline!$B:$B,[2]Timeline!$A:$A),2,5)&amp;2)</f>
        <v>2305012</v>
      </c>
      <c r="B62" s="7" t="s">
        <v>160</v>
      </c>
      <c r="C62" s="7" t="s">
        <v>292</v>
      </c>
      <c r="D62" s="7" t="s">
        <v>547</v>
      </c>
      <c r="E62" s="1" t="str">
        <f t="shared" si="8"/>
        <v>skill_name_2305012</v>
      </c>
      <c r="F62" s="1" t="s">
        <v>117</v>
      </c>
      <c r="G62" s="1" t="s">
        <v>473</v>
      </c>
      <c r="H62" s="1" t="str">
        <f t="shared" si="9"/>
        <v>skill_desc_2305012</v>
      </c>
      <c r="I62" s="1" t="s">
        <v>205</v>
      </c>
      <c r="J62" s="1" t="str">
        <f>IFERROR(_xlfn.XLOOKUP(W62,Target!A:A,Target!J:J),"")</f>
        <v>Skill_Target_Icon_Mine</v>
      </c>
      <c r="K62" s="1" t="s">
        <v>205</v>
      </c>
      <c r="L62" s="1" t="str">
        <f>IFERROR(_xlfn.XLOOKUP(W62,Target!A:A,Target!K:K),"")</f>
        <v>Skill_Area_Icon_Pivot_Centor</v>
      </c>
      <c r="M62" s="1" t="str">
        <f>_xlfn.XLOOKUP(B62,'[2]Detail&lt;Child&gt;'!$B:$B,'[2]Detail&lt;Child&gt;'!$M:$M)</f>
        <v>Fire</v>
      </c>
      <c r="N62" s="1" t="str">
        <f>_xlfn.XLOOKUP(B62,'[2]Detail&lt;Child&gt;'!$B:$B,'[2]Detail&lt;Child&gt;'!$N:$N)</f>
        <v>Defender</v>
      </c>
      <c r="O62" s="1" t="s">
        <v>33</v>
      </c>
      <c r="P62" s="33">
        <v>2</v>
      </c>
      <c r="Q62" s="68" t="s">
        <v>137</v>
      </c>
      <c r="R62" s="1" t="s">
        <v>136</v>
      </c>
      <c r="S62" s="1">
        <v>0</v>
      </c>
      <c r="T62" s="2" t="str">
        <f t="shared" si="3"/>
        <v>SignalHit</v>
      </c>
      <c r="U62" s="2" t="str" cm="1">
        <f t="array" ref="U62">_xlfn.IFS(T62="SignalHIt","TurnEnd",T62="AttackBegin","TurnEnd",T62="AttackEnd","TurnEnd",T62="Immediately","Applied",T62="None","None")</f>
        <v>TurnEnd</v>
      </c>
      <c r="V62" s="2">
        <v>0</v>
      </c>
      <c r="W62" s="1">
        <v>1</v>
      </c>
      <c r="X62" s="8">
        <v>23050121</v>
      </c>
      <c r="Y62" s="1" t="str">
        <f t="shared" si="4"/>
        <v>Immediately</v>
      </c>
      <c r="Z62" s="2" t="str" cm="1">
        <f t="array" ref="Z62">_xlfn.IFS(Y62="SignalHIt","TurnEnd",Y62="AttackBegin","TurnEnd",Y62="AttackEnd","TurnEnd",Y62="Immediately","Applied",Y62="None","None")</f>
        <v>Applied</v>
      </c>
      <c r="AA62" s="2">
        <v>0</v>
      </c>
      <c r="AB62" s="1">
        <v>0</v>
      </c>
      <c r="AC62" s="8">
        <v>0</v>
      </c>
      <c r="AD62" s="2" t="str">
        <f t="shared" si="5"/>
        <v>Immediately</v>
      </c>
      <c r="AE62" s="2" t="str" cm="1">
        <f t="array" ref="AE62">_xlfn.IFS(AD62="SignalHIt","TurnEnd",AD62="AttackBegin","TurnEnd",AD62="AttackEnd","TurnEnd",AD62="Immediately","Applied",AD62="None","None")</f>
        <v>Applied</v>
      </c>
      <c r="AF62" s="2">
        <v>0</v>
      </c>
      <c r="AG62" s="1">
        <v>0</v>
      </c>
      <c r="AH62" s="8">
        <v>0</v>
      </c>
      <c r="AI62" s="2" t="str">
        <f t="shared" si="6"/>
        <v>Immediately</v>
      </c>
      <c r="AJ62" s="2" t="str" cm="1">
        <f t="array" ref="AJ62">_xlfn.IFS(AI62="SignalHIt","TurnEnd",AI62="AttackBegin","TurnEnd",AI62="AttackEnd","TurnEnd",AI62="Immediately","Applied",AI62="None","None")</f>
        <v>Applied</v>
      </c>
      <c r="AK62" s="2">
        <v>0</v>
      </c>
      <c r="AL62" s="8">
        <v>0</v>
      </c>
      <c r="AM62" s="48">
        <v>0</v>
      </c>
      <c r="AN62" s="45" t="str">
        <f>IFERROR(_xlfn.XLOOKUP(W62,Target!$A:$A,Target!$B:$B),"None")</f>
        <v xml:space="preserve"> 자신 1명 </v>
      </c>
      <c r="AO62" s="43" t="str">
        <f>IFERROR(_xlfn.XLOOKUP($X62,'BuffValue&lt;Child&gt;'!$A:$A,'BuffValue&lt;Child&gt;'!$F:$F),"None")</f>
        <v>천수관음</v>
      </c>
      <c r="AP62" s="43">
        <f>IFERROR(_xlfn.XLOOKUP($X62,'BuffValue&lt;Child&gt;'!$A:$A,'BuffValue&lt;Child&gt;'!$K:$K),0)</f>
        <v>100000</v>
      </c>
      <c r="AQ62" s="43" t="str">
        <f>IFERROR(_xlfn.XLOOKUP(AB62,Target!$A:$A,Target!$B:$B),"None")</f>
        <v>None</v>
      </c>
      <c r="AR62" s="45" t="str">
        <f>IFERROR(_xlfn.XLOOKUP($AC62,'BuffValue&lt;Child&gt;'!$A:$A,'BuffValue&lt;Child&gt;'!$F:$F),"None")</f>
        <v>None</v>
      </c>
      <c r="AS62" s="45">
        <f>IFERROR(_xlfn.XLOOKUP($AC62,'BuffValue&lt;Child&gt;'!$A:$A,'BuffValue&lt;Child&gt;'!$K:$K),0)</f>
        <v>0</v>
      </c>
      <c r="AT62" s="43" t="str">
        <f>IFERROR(_xlfn.XLOOKUP(AG62,Target!$A:$A,Target!$B:$B),"None")</f>
        <v>None</v>
      </c>
      <c r="AU62" s="43" t="str">
        <f>IFERROR(_xlfn.XLOOKUP($AH62,'BuffValue&lt;Child&gt;'!$A:$A,'BuffValue&lt;Child&gt;'!$F:$F),"None")</f>
        <v>None</v>
      </c>
      <c r="AV62" s="43">
        <f>IFERROR(_xlfn.XLOOKUP($AH62,'BuffValue&lt;Child&gt;'!$A:$A,'BuffValue&lt;Child&gt;'!$K:$K),0)</f>
        <v>0</v>
      </c>
      <c r="AW62" s="43" t="str">
        <f>IFERROR(_xlfn.XLOOKUP(AL62,Target!$A:$A,Target!$B:$B),"None")</f>
        <v>None</v>
      </c>
      <c r="AX62" s="43" t="str">
        <f>IFERROR(_xlfn.XLOOKUP($AM62,'BuffValue&lt;Child&gt;'!$A:$A,'BuffValue&lt;Child&gt;'!$F:$F),"None")</f>
        <v>None</v>
      </c>
      <c r="AY62" s="43">
        <f>IFERROR(_xlfn.XLOOKUP($AM62,#REF!,#REF!),0)</f>
        <v>0</v>
      </c>
    </row>
    <row r="63" spans="1:51" x14ac:dyDescent="0.3">
      <c r="A63" s="1">
        <f>INT(3&amp;MID(_xlfn.XLOOKUP(B63,[2]Timeline!$B:$B,[2]Timeline!$A:$A),2,5)&amp;1)</f>
        <v>3305011</v>
      </c>
      <c r="B63" s="7" t="s">
        <v>160</v>
      </c>
      <c r="C63" s="7" t="s">
        <v>293</v>
      </c>
      <c r="D63" s="7" t="s">
        <v>523</v>
      </c>
      <c r="E63" s="1" t="str">
        <f t="shared" si="8"/>
        <v>skill_name_3305011</v>
      </c>
      <c r="F63" s="1" t="s">
        <v>117</v>
      </c>
      <c r="G63" s="1" t="s">
        <v>393</v>
      </c>
      <c r="H63" s="1" t="str">
        <f t="shared" si="9"/>
        <v>skill_desc_3305011</v>
      </c>
      <c r="I63" s="1" t="s">
        <v>205</v>
      </c>
      <c r="J63" s="1" t="str">
        <f>IFERROR(_xlfn.XLOOKUP(W63,Target!A:A,Target!J:J),"")</f>
        <v>Skill_Target_Icon_Enemy</v>
      </c>
      <c r="K63" s="1" t="s">
        <v>205</v>
      </c>
      <c r="L63" s="1" t="str">
        <f>IFERROR(_xlfn.XLOOKUP(W63,Target!A:A,Target!K:K),"")</f>
        <v>Skill_Area_Icon_NonTarget_All</v>
      </c>
      <c r="M63" s="1" t="str">
        <f>_xlfn.XLOOKUP(B63,'[2]Detail&lt;Child&gt;'!$B:$B,'[2]Detail&lt;Child&gt;'!$M:$M)</f>
        <v>Fire</v>
      </c>
      <c r="N63" s="1" t="str">
        <f>_xlfn.XLOOKUP(B63,'[2]Detail&lt;Child&gt;'!$B:$B,'[2]Detail&lt;Child&gt;'!$N:$N)</f>
        <v>Defender</v>
      </c>
      <c r="O63" s="1" t="s">
        <v>141</v>
      </c>
      <c r="P63" s="33">
        <v>0</v>
      </c>
      <c r="Q63" s="68" t="str" cm="1">
        <f t="array" ref="Q63">_xlfn.IFS(R63="Move","Move",R63="NonTargetMove","Move",R63="Static","Stand",R63="None","Stand")</f>
        <v>Move</v>
      </c>
      <c r="R63" s="1" t="s">
        <v>153</v>
      </c>
      <c r="S63" s="1">
        <v>1</v>
      </c>
      <c r="T63" s="2" t="str">
        <f t="shared" si="3"/>
        <v>SignalHit</v>
      </c>
      <c r="U63" s="2" t="str" cm="1">
        <f t="array" ref="U63">_xlfn.IFS(T63="SignalHIt","TurnEnd",T63="AttackBegin","TurnEnd",T63="AttackEnd","TurnEnd",T63="Immediately","Applied",T63="None","None")</f>
        <v>TurnEnd</v>
      </c>
      <c r="V63" s="2">
        <v>0</v>
      </c>
      <c r="W63" s="1">
        <v>920001</v>
      </c>
      <c r="X63" s="8">
        <v>33050111</v>
      </c>
      <c r="Y63" s="1" t="str">
        <f t="shared" si="4"/>
        <v>Immediately</v>
      </c>
      <c r="Z63" s="2" t="str" cm="1">
        <f t="array" ref="Z63">_xlfn.IFS(Y63="SignalHIt","TurnEnd",Y63="AttackBegin","TurnEnd",Y63="AttackEnd","TurnEnd",Y63="Immediately","Applied",Y63="None","None")</f>
        <v>Applied</v>
      </c>
      <c r="AA63" s="2">
        <v>0</v>
      </c>
      <c r="AB63" s="1">
        <v>0</v>
      </c>
      <c r="AC63" s="8">
        <v>0</v>
      </c>
      <c r="AD63" s="2" t="str">
        <f t="shared" si="5"/>
        <v>AttackEnd</v>
      </c>
      <c r="AE63" s="2" t="str" cm="1">
        <f t="array" ref="AE63">_xlfn.IFS(AD63="SignalHIt","TurnEnd",AD63="AttackBegin","TurnEnd",AD63="AttackEnd","TurnEnd",AD63="Immediately","Applied",AD63="None","None")</f>
        <v>TurnEnd</v>
      </c>
      <c r="AF63" s="2">
        <v>0</v>
      </c>
      <c r="AG63" s="1">
        <v>920001</v>
      </c>
      <c r="AH63" s="8">
        <f>X63+1</f>
        <v>33050112</v>
      </c>
      <c r="AI63" s="2" t="str">
        <f t="shared" si="6"/>
        <v>AttackEnd</v>
      </c>
      <c r="AJ63" s="2" t="str" cm="1">
        <f t="array" ref="AJ63">_xlfn.IFS(AI63="SignalHIt","TurnEnd",AI63="AttackBegin","TurnEnd",AI63="AttackEnd","TurnEnd",AI63="Immediately","Applied",AI63="None","None")</f>
        <v>TurnEnd</v>
      </c>
      <c r="AK63" s="2">
        <v>0</v>
      </c>
      <c r="AL63" s="1">
        <v>920001</v>
      </c>
      <c r="AM63" s="48">
        <f>AH63+1</f>
        <v>33050113</v>
      </c>
      <c r="AN63" s="45" t="str">
        <f>IFERROR(_xlfn.XLOOKUP(W63,Target!$A:$A,Target!$B:$B),"None")</f>
        <v>논타겟 적 9칸</v>
      </c>
      <c r="AO63" s="43" t="str">
        <f>IFERROR(_xlfn.XLOOKUP($X63,'BuffValue&lt;Child&gt;'!$A:$A,'BuffValue&lt;Child&gt;'!$F:$F),"None")</f>
        <v>얼티밋 대미지</v>
      </c>
      <c r="AP63" s="43">
        <f>IFERROR(_xlfn.XLOOKUP($X63,'BuffValue&lt;Child&gt;'!$A:$A,'BuffValue&lt;Child&gt;'!$K:$K),0)</f>
        <v>25000</v>
      </c>
      <c r="AQ63" s="43" t="str">
        <f>IFERROR(_xlfn.XLOOKUP(AB63,Target!$A:$A,Target!$B:$B),"None")</f>
        <v>None</v>
      </c>
      <c r="AR63" s="45" t="str">
        <f>IFERROR(_xlfn.XLOOKUP($AC63,'BuffValue&lt;Child&gt;'!$A:$A,'BuffValue&lt;Child&gt;'!$F:$F),"None")</f>
        <v>None</v>
      </c>
      <c r="AS63" s="45">
        <f>IFERROR(_xlfn.XLOOKUP($AC63,'BuffValue&lt;Child&gt;'!$A:$A,'BuffValue&lt;Child&gt;'!$K:$K),0)</f>
        <v>0</v>
      </c>
      <c r="AT63" s="43" t="str">
        <f>IFERROR(_xlfn.XLOOKUP(AG63,Target!$A:$A,Target!$B:$B),"None")</f>
        <v>논타겟 적 9칸</v>
      </c>
      <c r="AU63" s="43" t="str">
        <f>IFERROR(_xlfn.XLOOKUP($AH63,'BuffValue&lt;Child&gt;'!$A:$A,'BuffValue&lt;Child&gt;'!$F:$F),"None")</f>
        <v>라가라자 얼티밋 화상</v>
      </c>
      <c r="AV63" s="43">
        <f>IFERROR(_xlfn.XLOOKUP($AH63,'BuffValue&lt;Child&gt;'!$A:$A,'BuffValue&lt;Child&gt;'!$K:$K),0)</f>
        <v>20000</v>
      </c>
      <c r="AW63" s="43" t="str">
        <f>IFERROR(_xlfn.XLOOKUP(AL63,Target!$A:$A,Target!$B:$B),"None")</f>
        <v>논타겟 적 9칸</v>
      </c>
      <c r="AX63" s="43" t="str">
        <f>IFERROR(_xlfn.XLOOKUP($AM63,'BuffValue&lt;Child&gt;'!$A:$A,'BuffValue&lt;Child&gt;'!$F:$F),"None")</f>
        <v>화상 중 기절 (라가라자)</v>
      </c>
      <c r="AY63" s="43">
        <f>IFERROR(_xlfn.XLOOKUP($AM63,#REF!,#REF!),0)</f>
        <v>0</v>
      </c>
    </row>
    <row r="64" spans="1:51" x14ac:dyDescent="0.3">
      <c r="A64" s="1">
        <f>INT(3&amp;MID(_xlfn.XLOOKUP(B64,[2]Timeline!$B:$B,[2]Timeline!$A:$A),2,5)&amp;2)</f>
        <v>3305012</v>
      </c>
      <c r="B64" s="7" t="s">
        <v>160</v>
      </c>
      <c r="C64" s="7" t="s">
        <v>293</v>
      </c>
      <c r="D64" s="7" t="s">
        <v>523</v>
      </c>
      <c r="E64" s="1" t="str">
        <f t="shared" si="8"/>
        <v>skill_name_3305012</v>
      </c>
      <c r="F64" s="1" t="s">
        <v>117</v>
      </c>
      <c r="G64" s="1" t="s">
        <v>393</v>
      </c>
      <c r="H64" s="1" t="str">
        <f t="shared" si="9"/>
        <v>skill_desc_3305012</v>
      </c>
      <c r="I64" s="1" t="s">
        <v>205</v>
      </c>
      <c r="J64" s="1" t="str">
        <f>IFERROR(_xlfn.XLOOKUP(W64,Target!A:A,Target!J:J),"")</f>
        <v>Skill_Target_Icon_Enemy</v>
      </c>
      <c r="K64" s="1" t="s">
        <v>205</v>
      </c>
      <c r="L64" s="1" t="str">
        <f>IFERROR(_xlfn.XLOOKUP(W64,Target!A:A,Target!K:K),"")</f>
        <v>Skill_Area_Icon_NonTarget_All</v>
      </c>
      <c r="M64" s="1" t="str">
        <f>_xlfn.XLOOKUP(B64,'[2]Detail&lt;Child&gt;'!$B:$B,'[2]Detail&lt;Child&gt;'!$M:$M)</f>
        <v>Fire</v>
      </c>
      <c r="N64" s="1" t="str">
        <f>_xlfn.XLOOKUP(B64,'[2]Detail&lt;Child&gt;'!$B:$B,'[2]Detail&lt;Child&gt;'!$N:$N)</f>
        <v>Defender</v>
      </c>
      <c r="O64" s="1" t="s">
        <v>140</v>
      </c>
      <c r="P64" s="33">
        <v>0</v>
      </c>
      <c r="Q64" s="68" t="str" cm="1">
        <f t="array" ref="Q64">_xlfn.IFS(R64="Move","Move",R64="NonTargetMove","Move",R64="Static","Stand",R64="None","Stand")</f>
        <v>Move</v>
      </c>
      <c r="R64" s="1" t="s">
        <v>153</v>
      </c>
      <c r="S64" s="1">
        <f t="shared" ref="S64:S70" si="11">IF(R64="Static",0,1)</f>
        <v>1</v>
      </c>
      <c r="T64" s="2" t="str">
        <f t="shared" si="3"/>
        <v>SignalHit</v>
      </c>
      <c r="U64" s="2" t="str" cm="1">
        <f t="array" ref="U64">_xlfn.IFS(T64="SignalHIt","TurnEnd",T64="AttackBegin","TurnEnd",T64="AttackEnd","TurnEnd",T64="Immediately","Applied",T64="None","None")</f>
        <v>TurnEnd</v>
      </c>
      <c r="V64" s="2">
        <v>0</v>
      </c>
      <c r="W64" s="1">
        <v>920001</v>
      </c>
      <c r="X64" s="8">
        <v>33050121</v>
      </c>
      <c r="Y64" s="1" t="str">
        <f t="shared" si="4"/>
        <v>Immediately</v>
      </c>
      <c r="Z64" s="2" t="str" cm="1">
        <f t="array" ref="Z64">_xlfn.IFS(Y64="SignalHIt","TurnEnd",Y64="AttackBegin","TurnEnd",Y64="AttackEnd","TurnEnd",Y64="Immediately","Applied",Y64="None","None")</f>
        <v>Applied</v>
      </c>
      <c r="AA64" s="2">
        <v>0</v>
      </c>
      <c r="AB64" s="1">
        <v>0</v>
      </c>
      <c r="AC64" s="8">
        <v>0</v>
      </c>
      <c r="AD64" s="2" t="str">
        <f t="shared" si="5"/>
        <v>AttackEnd</v>
      </c>
      <c r="AE64" s="2" t="str" cm="1">
        <f t="array" ref="AE64">_xlfn.IFS(AD64="SignalHIt","TurnEnd",AD64="AttackBegin","TurnEnd",AD64="AttackEnd","TurnEnd",AD64="Immediately","Applied",AD64="None","None")</f>
        <v>TurnEnd</v>
      </c>
      <c r="AF64" s="2">
        <v>0</v>
      </c>
      <c r="AG64" s="1">
        <v>920001</v>
      </c>
      <c r="AH64" s="8">
        <f>X64+1</f>
        <v>33050122</v>
      </c>
      <c r="AI64" s="2" t="str">
        <f t="shared" si="6"/>
        <v>AttackEnd</v>
      </c>
      <c r="AJ64" s="2" t="str" cm="1">
        <f t="array" ref="AJ64">_xlfn.IFS(AI64="SignalHIt","TurnEnd",AI64="AttackBegin","TurnEnd",AI64="AttackEnd","TurnEnd",AI64="Immediately","Applied",AI64="None","None")</f>
        <v>TurnEnd</v>
      </c>
      <c r="AK64" s="2">
        <v>0</v>
      </c>
      <c r="AL64" s="1">
        <v>920001</v>
      </c>
      <c r="AM64" s="48">
        <f>AH64+1</f>
        <v>33050123</v>
      </c>
      <c r="AN64" s="45" t="str">
        <f>IFERROR(_xlfn.XLOOKUP(W64,Target!$A:$A,Target!$B:$B),"None")</f>
        <v>논타겟 적 9칸</v>
      </c>
      <c r="AO64" s="43" t="str">
        <f>IFERROR(_xlfn.XLOOKUP($X64,'BuffValue&lt;Child&gt;'!$A:$A,'BuffValue&lt;Child&gt;'!$F:$F),"None")</f>
        <v>얼티밋 대미지</v>
      </c>
      <c r="AP64" s="43">
        <f>IFERROR(_xlfn.XLOOKUP($X64,'BuffValue&lt;Child&gt;'!$A:$A,'BuffValue&lt;Child&gt;'!$K:$K),0)</f>
        <v>25000</v>
      </c>
      <c r="AQ64" s="43" t="str">
        <f>IFERROR(_xlfn.XLOOKUP(AB64,Target!$A:$A,Target!$B:$B),"None")</f>
        <v>None</v>
      </c>
      <c r="AR64" s="45" t="str">
        <f>IFERROR(_xlfn.XLOOKUP($AC64,'BuffValue&lt;Child&gt;'!$A:$A,'BuffValue&lt;Child&gt;'!$F:$F),"None")</f>
        <v>None</v>
      </c>
      <c r="AS64" s="45">
        <f>IFERROR(_xlfn.XLOOKUP($AC64,'BuffValue&lt;Child&gt;'!$A:$A,'BuffValue&lt;Child&gt;'!$K:$K),0)</f>
        <v>0</v>
      </c>
      <c r="AT64" s="43" t="str">
        <f>IFERROR(_xlfn.XLOOKUP(AG64,Target!$A:$A,Target!$B:$B),"None")</f>
        <v>논타겟 적 9칸</v>
      </c>
      <c r="AU64" s="43" t="str">
        <f>IFERROR(_xlfn.XLOOKUP($AH64,'BuffValue&lt;Child&gt;'!$A:$A,'BuffValue&lt;Child&gt;'!$F:$F),"None")</f>
        <v>라가라자 얼티밋 화상</v>
      </c>
      <c r="AV64" s="43">
        <f>IFERROR(_xlfn.XLOOKUP($AH64,'BuffValue&lt;Child&gt;'!$A:$A,'BuffValue&lt;Child&gt;'!$K:$K),0)</f>
        <v>20000</v>
      </c>
      <c r="AW64" s="43" t="str">
        <f>IFERROR(_xlfn.XLOOKUP(AL64,Target!$A:$A,Target!$B:$B),"None")</f>
        <v>논타겟 적 9칸</v>
      </c>
      <c r="AX64" s="43" t="str">
        <f>IFERROR(_xlfn.XLOOKUP($AM64,'BuffValue&lt;Child&gt;'!$A:$A,'BuffValue&lt;Child&gt;'!$F:$F),"None")</f>
        <v>화상 중 기절 (라가라자)</v>
      </c>
      <c r="AY64" s="43">
        <f>IFERROR(_xlfn.XLOOKUP($AM64,#REF!,#REF!),0)</f>
        <v>0</v>
      </c>
    </row>
    <row r="65" spans="1:51" x14ac:dyDescent="0.3">
      <c r="A65" s="1">
        <f>INT(3&amp;MID(_xlfn.XLOOKUP(B65,[2]Timeline!$B:$B,[2]Timeline!$A:$A),2,5)&amp;3)</f>
        <v>3305013</v>
      </c>
      <c r="B65" s="7" t="s">
        <v>160</v>
      </c>
      <c r="C65" s="7" t="s">
        <v>293</v>
      </c>
      <c r="D65" s="7" t="s">
        <v>523</v>
      </c>
      <c r="E65" s="1" t="str">
        <f t="shared" si="8"/>
        <v>skill_name_3305013</v>
      </c>
      <c r="F65" s="1" t="s">
        <v>117</v>
      </c>
      <c r="G65" s="1" t="s">
        <v>393</v>
      </c>
      <c r="H65" s="1" t="str">
        <f t="shared" si="9"/>
        <v>skill_desc_3305013</v>
      </c>
      <c r="I65" s="1" t="s">
        <v>205</v>
      </c>
      <c r="J65" s="1" t="str">
        <f>IFERROR(_xlfn.XLOOKUP(W65,Target!A:A,Target!J:J),"")</f>
        <v>Skill_Target_Icon_Enemy</v>
      </c>
      <c r="K65" s="1" t="s">
        <v>205</v>
      </c>
      <c r="L65" s="1" t="str">
        <f>IFERROR(_xlfn.XLOOKUP(W65,Target!A:A,Target!K:K),"")</f>
        <v>Skill_Area_Icon_NonTarget_All</v>
      </c>
      <c r="M65" s="1" t="str">
        <f>_xlfn.XLOOKUP(B65,'[2]Detail&lt;Child&gt;'!$B:$B,'[2]Detail&lt;Child&gt;'!$M:$M)</f>
        <v>Fire</v>
      </c>
      <c r="N65" s="1" t="str">
        <f>_xlfn.XLOOKUP(B65,'[2]Detail&lt;Child&gt;'!$B:$B,'[2]Detail&lt;Child&gt;'!$N:$N)</f>
        <v>Defender</v>
      </c>
      <c r="O65" s="1" t="s">
        <v>140</v>
      </c>
      <c r="P65" s="33">
        <v>0</v>
      </c>
      <c r="Q65" s="68" t="str" cm="1">
        <f t="array" ref="Q65">_xlfn.IFS(R65="Move","Move",R65="NonTargetMove","Move",R65="Static","Stand",R65="None","Stand")</f>
        <v>Move</v>
      </c>
      <c r="R65" s="1" t="s">
        <v>153</v>
      </c>
      <c r="S65" s="1">
        <f t="shared" si="11"/>
        <v>1</v>
      </c>
      <c r="T65" s="2" t="str">
        <f t="shared" si="3"/>
        <v>SignalHit</v>
      </c>
      <c r="U65" s="2" t="str" cm="1">
        <f t="array" ref="U65">_xlfn.IFS(T65="SignalHIt","TurnEnd",T65="AttackBegin","TurnEnd",T65="AttackEnd","TurnEnd",T65="Immediately","Applied",T65="None","None")</f>
        <v>TurnEnd</v>
      </c>
      <c r="V65" s="2">
        <v>0</v>
      </c>
      <c r="W65" s="1">
        <v>920001</v>
      </c>
      <c r="X65" s="8">
        <v>33050131</v>
      </c>
      <c r="Y65" s="1" t="str">
        <f t="shared" si="4"/>
        <v>Immediately</v>
      </c>
      <c r="Z65" s="2" t="str" cm="1">
        <f t="array" ref="Z65">_xlfn.IFS(Y65="SignalHIt","TurnEnd",Y65="AttackBegin","TurnEnd",Y65="AttackEnd","TurnEnd",Y65="Immediately","Applied",Y65="None","None")</f>
        <v>Applied</v>
      </c>
      <c r="AA65" s="2">
        <v>0</v>
      </c>
      <c r="AB65" s="1">
        <v>0</v>
      </c>
      <c r="AC65" s="8">
        <v>0</v>
      </c>
      <c r="AD65" s="2" t="str">
        <f t="shared" si="5"/>
        <v>AttackEnd</v>
      </c>
      <c r="AE65" s="2" t="str" cm="1">
        <f t="array" ref="AE65">_xlfn.IFS(AD65="SignalHIt","TurnEnd",AD65="AttackBegin","TurnEnd",AD65="AttackEnd","TurnEnd",AD65="Immediately","Applied",AD65="None","None")</f>
        <v>TurnEnd</v>
      </c>
      <c r="AF65" s="2">
        <v>0</v>
      </c>
      <c r="AG65" s="1">
        <v>920001</v>
      </c>
      <c r="AH65" s="8">
        <f>X65+1</f>
        <v>33050132</v>
      </c>
      <c r="AI65" s="2" t="str">
        <f t="shared" si="6"/>
        <v>AttackEnd</v>
      </c>
      <c r="AJ65" s="2" t="str" cm="1">
        <f t="array" ref="AJ65">_xlfn.IFS(AI65="SignalHIt","TurnEnd",AI65="AttackBegin","TurnEnd",AI65="AttackEnd","TurnEnd",AI65="Immediately","Applied",AI65="None","None")</f>
        <v>TurnEnd</v>
      </c>
      <c r="AK65" s="2">
        <v>0</v>
      </c>
      <c r="AL65" s="1">
        <v>920001</v>
      </c>
      <c r="AM65" s="48">
        <f>AH65+1</f>
        <v>33050133</v>
      </c>
      <c r="AN65" s="45" t="str">
        <f>IFERROR(_xlfn.XLOOKUP(W65,Target!$A:$A,Target!$B:$B),"None")</f>
        <v>논타겟 적 9칸</v>
      </c>
      <c r="AO65" s="43" t="str">
        <f>IFERROR(_xlfn.XLOOKUP($X65,'BuffValue&lt;Child&gt;'!$A:$A,'BuffValue&lt;Child&gt;'!$F:$F),"None")</f>
        <v>얼티밋 대미지</v>
      </c>
      <c r="AP65" s="43">
        <f>IFERROR(_xlfn.XLOOKUP($X65,'BuffValue&lt;Child&gt;'!$A:$A,'BuffValue&lt;Child&gt;'!$K:$K),0)</f>
        <v>25000</v>
      </c>
      <c r="AQ65" s="43" t="str">
        <f>IFERROR(_xlfn.XLOOKUP(AB65,Target!$A:$A,Target!$B:$B),"None")</f>
        <v>None</v>
      </c>
      <c r="AR65" s="45" t="str">
        <f>IFERROR(_xlfn.XLOOKUP($AC65,'BuffValue&lt;Child&gt;'!$A:$A,'BuffValue&lt;Child&gt;'!$F:$F),"None")</f>
        <v>None</v>
      </c>
      <c r="AS65" s="45">
        <f>IFERROR(_xlfn.XLOOKUP($AC65,'BuffValue&lt;Child&gt;'!$A:$A,'BuffValue&lt;Child&gt;'!$K:$K),0)</f>
        <v>0</v>
      </c>
      <c r="AT65" s="43" t="str">
        <f>IFERROR(_xlfn.XLOOKUP(AG65,Target!$A:$A,Target!$B:$B),"None")</f>
        <v>논타겟 적 9칸</v>
      </c>
      <c r="AU65" s="43" t="str">
        <f>IFERROR(_xlfn.XLOOKUP($AH65,'BuffValue&lt;Child&gt;'!$A:$A,'BuffValue&lt;Child&gt;'!$F:$F),"None")</f>
        <v>라가라자 얼티밋 화상</v>
      </c>
      <c r="AV65" s="43">
        <f>IFERROR(_xlfn.XLOOKUP($AH65,'BuffValue&lt;Child&gt;'!$A:$A,'BuffValue&lt;Child&gt;'!$K:$K),0)</f>
        <v>20000</v>
      </c>
      <c r="AW65" s="43" t="str">
        <f>IFERROR(_xlfn.XLOOKUP(AL65,Target!$A:$A,Target!$B:$B),"None")</f>
        <v>논타겟 적 9칸</v>
      </c>
      <c r="AX65" s="43" t="str">
        <f>IFERROR(_xlfn.XLOOKUP($AM65,'BuffValue&lt;Child&gt;'!$A:$A,'BuffValue&lt;Child&gt;'!$F:$F),"None")</f>
        <v>화상 중 기절 (라가라자)</v>
      </c>
      <c r="AY65" s="43">
        <f>IFERROR(_xlfn.XLOOKUP($AM65,#REF!,#REF!),0)</f>
        <v>0</v>
      </c>
    </row>
    <row r="66" spans="1:51" s="61" customFormat="1" x14ac:dyDescent="0.3">
      <c r="A66" s="1">
        <f>INT(4&amp;MID(_xlfn.XLOOKUP(B66,[2]Timeline!$B:$B,[2]Timeline!$A:$A),2,5)&amp;1)</f>
        <v>4305011</v>
      </c>
      <c r="B66" s="5" t="s">
        <v>160</v>
      </c>
      <c r="C66" s="5" t="s">
        <v>122</v>
      </c>
      <c r="D66" s="5" t="s">
        <v>532</v>
      </c>
      <c r="E66" s="61" t="str">
        <f t="shared" si="8"/>
        <v>skill_name_4305011</v>
      </c>
      <c r="F66" s="61" t="s">
        <v>117</v>
      </c>
      <c r="G66" s="61" t="s">
        <v>475</v>
      </c>
      <c r="H66" s="61" t="str">
        <f t="shared" si="9"/>
        <v>skill_desc_4305011</v>
      </c>
      <c r="I66" s="61" t="s">
        <v>205</v>
      </c>
      <c r="J66" s="61" t="str">
        <f>IFERROR(_xlfn.XLOOKUP(W66,Target!A:A,Target!J:J),"")</f>
        <v>Skill_Target_Icon_Mine</v>
      </c>
      <c r="K66" s="61" t="s">
        <v>205</v>
      </c>
      <c r="L66" s="61" t="str">
        <f>IFERROR(_xlfn.XLOOKUP(W66,Target!A:A,Target!K:K),"")</f>
        <v>Skill_Area_Icon_Pivot_Centor</v>
      </c>
      <c r="M66" s="61" t="str">
        <f>_xlfn.XLOOKUP(B66,'[2]Detail&lt;Child&gt;'!$B:$B,'[2]Detail&lt;Child&gt;'!$M:$M)</f>
        <v>Fire</v>
      </c>
      <c r="N66" s="61" t="str">
        <f>_xlfn.XLOOKUP(B66,'[2]Detail&lt;Child&gt;'!$B:$B,'[2]Detail&lt;Child&gt;'!$N:$N)</f>
        <v>Defender</v>
      </c>
      <c r="O66" s="61" t="s">
        <v>167</v>
      </c>
      <c r="P66" s="63">
        <v>0</v>
      </c>
      <c r="Q66" s="70" t="str" cm="1">
        <f t="array" ref="Q66">_xlfn.IFS(R66="Move","Move",R66="NonTargetMove","Move",R66="Static","Stand",R66="None","Stand")</f>
        <v>Stand</v>
      </c>
      <c r="R66" s="61" t="s">
        <v>136</v>
      </c>
      <c r="S66" s="61">
        <f t="shared" si="11"/>
        <v>0</v>
      </c>
      <c r="T66" s="61" t="str">
        <f t="shared" si="3"/>
        <v>Immediately</v>
      </c>
      <c r="U66" s="61" t="str" cm="1">
        <f t="array" ref="U66">_xlfn.IFS(T66="SignalHIt","TurnEnd",T66="AttackBegin","TurnEnd",T66="AttackEnd","TurnEnd",T66="Immediately","Applied",T66="None","None")</f>
        <v>Applied</v>
      </c>
      <c r="V66" s="61">
        <v>0</v>
      </c>
      <c r="W66" s="61">
        <v>1</v>
      </c>
      <c r="X66" s="59">
        <v>43050111</v>
      </c>
      <c r="Y66" s="61" t="str">
        <f t="shared" si="4"/>
        <v>Immediately</v>
      </c>
      <c r="Z66" s="61" t="str" cm="1">
        <f t="array" ref="Z66">_xlfn.IFS(Y66="SignalHIt","TurnEnd",Y66="AttackBegin","TurnEnd",Y66="AttackEnd","TurnEnd",Y66="Immediately","Applied",Y66="None","None")</f>
        <v>Applied</v>
      </c>
      <c r="AA66" s="61">
        <v>0</v>
      </c>
      <c r="AB66" s="61">
        <v>0</v>
      </c>
      <c r="AC66" s="59">
        <v>0</v>
      </c>
      <c r="AD66" s="61" t="str">
        <f t="shared" si="5"/>
        <v>Immediately</v>
      </c>
      <c r="AE66" s="61" t="str" cm="1">
        <f t="array" ref="AE66">_xlfn.IFS(AD66="SignalHIt","TurnEnd",AD66="AttackBegin","TurnEnd",AD66="AttackEnd","TurnEnd",AD66="Immediately","Applied",AD66="None","None")</f>
        <v>Applied</v>
      </c>
      <c r="AF66" s="61">
        <v>0</v>
      </c>
      <c r="AG66" s="61">
        <v>0</v>
      </c>
      <c r="AH66" s="59">
        <v>0</v>
      </c>
      <c r="AI66" s="61" t="str">
        <f t="shared" si="6"/>
        <v>Immediately</v>
      </c>
      <c r="AJ66" s="61" t="str" cm="1">
        <f t="array" ref="AJ66">_xlfn.IFS(AI66="SignalHIt","TurnEnd",AI66="AttackBegin","TurnEnd",AI66="AttackEnd","TurnEnd",AI66="Immediately","Applied",AI66="None","None")</f>
        <v>Applied</v>
      </c>
      <c r="AK66" s="61">
        <v>0</v>
      </c>
      <c r="AL66" s="59">
        <v>0</v>
      </c>
      <c r="AM66" s="64">
        <v>0</v>
      </c>
      <c r="AN66" s="65" t="str">
        <f>IFERROR(_xlfn.XLOOKUP(W66,Target!$A:$A,Target!$B:$B),"None")</f>
        <v xml:space="preserve"> 자신 1명 </v>
      </c>
      <c r="AO66" s="65" t="str">
        <f>IFERROR(_xlfn.XLOOKUP($X66,'BuffValue&lt;Child&gt;'!$A:$A,'BuffValue&lt;Child&gt;'!$F:$F),"None")</f>
        <v>없음</v>
      </c>
      <c r="AP66" s="65">
        <f>IFERROR(_xlfn.XLOOKUP($X66,'BuffValue&lt;Child&gt;'!$A:$A,'BuffValue&lt;Child&gt;'!$K:$K),0)</f>
        <v>0</v>
      </c>
      <c r="AQ66" s="65" t="str">
        <f>IFERROR(_xlfn.XLOOKUP(AB66,Target!$A:$A,Target!$B:$B),"None")</f>
        <v>None</v>
      </c>
      <c r="AR66" s="65" t="str">
        <f>IFERROR(_xlfn.XLOOKUP($AC66,'BuffValue&lt;Child&gt;'!$A:$A,'BuffValue&lt;Child&gt;'!$F:$F),"None")</f>
        <v>None</v>
      </c>
      <c r="AS66" s="65">
        <f>IFERROR(_xlfn.XLOOKUP($AC66,'BuffValue&lt;Child&gt;'!$A:$A,'BuffValue&lt;Child&gt;'!$K:$K),0)</f>
        <v>0</v>
      </c>
      <c r="AT66" s="65" t="str">
        <f>IFERROR(_xlfn.XLOOKUP(AG66,Target!$A:$A,Target!$B:$B),"None")</f>
        <v>None</v>
      </c>
      <c r="AU66" s="65" t="str">
        <f>IFERROR(_xlfn.XLOOKUP($AH66,'BuffValue&lt;Child&gt;'!$A:$A,'BuffValue&lt;Child&gt;'!$F:$F),"None")</f>
        <v>None</v>
      </c>
      <c r="AV66" s="65">
        <f>IFERROR(_xlfn.XLOOKUP($AH66,'BuffValue&lt;Child&gt;'!$A:$A,'BuffValue&lt;Child&gt;'!$K:$K),0)</f>
        <v>0</v>
      </c>
      <c r="AW66" s="65" t="str">
        <f>IFERROR(_xlfn.XLOOKUP(AL66,Target!$A:$A,Target!$B:$B),"None")</f>
        <v>None</v>
      </c>
      <c r="AX66" s="65" t="str">
        <f>IFERROR(_xlfn.XLOOKUP($AM66,'BuffValue&lt;Child&gt;'!$A:$A,'BuffValue&lt;Child&gt;'!$F:$F),"None")</f>
        <v>None</v>
      </c>
      <c r="AY66" s="65">
        <f>IFERROR(_xlfn.XLOOKUP($AM66,#REF!,#REF!),0)</f>
        <v>0</v>
      </c>
    </row>
    <row r="67" spans="1:51" s="61" customFormat="1" x14ac:dyDescent="0.3">
      <c r="A67" s="1">
        <f>INT(4&amp;MID(_xlfn.XLOOKUP(B67,[2]Timeline!$B:$B,[2]Timeline!$A:$A),2,5)&amp;2)</f>
        <v>4305012</v>
      </c>
      <c r="B67" s="5" t="s">
        <v>160</v>
      </c>
      <c r="C67" s="5" t="s">
        <v>122</v>
      </c>
      <c r="D67" s="5" t="s">
        <v>532</v>
      </c>
      <c r="E67" s="61" t="str">
        <f t="shared" si="8"/>
        <v>skill_name_4305012</v>
      </c>
      <c r="F67" s="61" t="s">
        <v>117</v>
      </c>
      <c r="G67" s="61" t="s">
        <v>475</v>
      </c>
      <c r="H67" s="61" t="str">
        <f t="shared" si="9"/>
        <v>skill_desc_4305012</v>
      </c>
      <c r="I67" s="61" t="s">
        <v>205</v>
      </c>
      <c r="J67" s="61" t="str">
        <f>IFERROR(_xlfn.XLOOKUP(W67,Target!A:A,Target!J:J),"")</f>
        <v>Skill_Target_Icon_Mine</v>
      </c>
      <c r="K67" s="61" t="s">
        <v>205</v>
      </c>
      <c r="L67" s="61" t="str">
        <f>IFERROR(_xlfn.XLOOKUP(W67,Target!A:A,Target!K:K),"")</f>
        <v>Skill_Area_Icon_Pivot_Centor</v>
      </c>
      <c r="M67" s="61" t="str">
        <f>_xlfn.XLOOKUP(B67,'[2]Detail&lt;Child&gt;'!$B:$B,'[2]Detail&lt;Child&gt;'!$M:$M)</f>
        <v>Fire</v>
      </c>
      <c r="N67" s="61" t="str">
        <f>_xlfn.XLOOKUP(B67,'[2]Detail&lt;Child&gt;'!$B:$B,'[2]Detail&lt;Child&gt;'!$N:$N)</f>
        <v>Defender</v>
      </c>
      <c r="O67" s="61" t="s">
        <v>167</v>
      </c>
      <c r="P67" s="63">
        <v>0</v>
      </c>
      <c r="Q67" s="70" t="str" cm="1">
        <f t="array" ref="Q67">_xlfn.IFS(R67="Move","Move",R67="NonTargetMove","Move",R67="Static","Stand",R67="None","Stand")</f>
        <v>Stand</v>
      </c>
      <c r="R67" s="61" t="s">
        <v>136</v>
      </c>
      <c r="S67" s="61">
        <f t="shared" si="11"/>
        <v>0</v>
      </c>
      <c r="T67" s="61" t="str">
        <f t="shared" si="3"/>
        <v>Immediately</v>
      </c>
      <c r="U67" s="61" t="str" cm="1">
        <f t="array" ref="U67">_xlfn.IFS(T67="SignalHIt","TurnEnd",T67="AttackBegin","TurnEnd",T67="AttackEnd","TurnEnd",T67="Immediately","Applied",T67="None","None")</f>
        <v>Applied</v>
      </c>
      <c r="V67" s="61">
        <v>0</v>
      </c>
      <c r="W67" s="61">
        <v>1</v>
      </c>
      <c r="X67" s="59">
        <v>43050121</v>
      </c>
      <c r="Y67" s="61" t="str">
        <f t="shared" si="4"/>
        <v>Immediately</v>
      </c>
      <c r="Z67" s="61" t="str" cm="1">
        <f t="array" ref="Z67">_xlfn.IFS(Y67="SignalHIt","TurnEnd",Y67="AttackBegin","TurnEnd",Y67="AttackEnd","TurnEnd",Y67="Immediately","Applied",Y67="None","None")</f>
        <v>Applied</v>
      </c>
      <c r="AA67" s="61">
        <v>0</v>
      </c>
      <c r="AB67" s="61">
        <v>0</v>
      </c>
      <c r="AC67" s="59">
        <v>0</v>
      </c>
      <c r="AD67" s="61" t="str">
        <f t="shared" si="5"/>
        <v>Immediately</v>
      </c>
      <c r="AE67" s="61" t="str" cm="1">
        <f t="array" ref="AE67">_xlfn.IFS(AD67="SignalHIt","TurnEnd",AD67="AttackBegin","TurnEnd",AD67="AttackEnd","TurnEnd",AD67="Immediately","Applied",AD67="None","None")</f>
        <v>Applied</v>
      </c>
      <c r="AF67" s="61">
        <v>0</v>
      </c>
      <c r="AG67" s="61">
        <v>0</v>
      </c>
      <c r="AH67" s="59">
        <v>0</v>
      </c>
      <c r="AI67" s="61" t="str">
        <f t="shared" si="6"/>
        <v>Immediately</v>
      </c>
      <c r="AJ67" s="61" t="str" cm="1">
        <f t="array" ref="AJ67">_xlfn.IFS(AI67="SignalHIt","TurnEnd",AI67="AttackBegin","TurnEnd",AI67="AttackEnd","TurnEnd",AI67="Immediately","Applied",AI67="None","None")</f>
        <v>Applied</v>
      </c>
      <c r="AK67" s="61">
        <v>0</v>
      </c>
      <c r="AL67" s="59">
        <v>0</v>
      </c>
      <c r="AM67" s="64">
        <v>0</v>
      </c>
      <c r="AN67" s="65" t="str">
        <f>IFERROR(_xlfn.XLOOKUP(W67,Target!$A:$A,Target!$B:$B),"None")</f>
        <v xml:space="preserve"> 자신 1명 </v>
      </c>
      <c r="AO67" s="65" t="str">
        <f>IFERROR(_xlfn.XLOOKUP($X67,'BuffValue&lt;Child&gt;'!$A:$A,'BuffValue&lt;Child&gt;'!$F:$F),"None")</f>
        <v>없음</v>
      </c>
      <c r="AP67" s="65">
        <f>IFERROR(_xlfn.XLOOKUP($X67,'BuffValue&lt;Child&gt;'!$A:$A,'BuffValue&lt;Child&gt;'!$K:$K),0)</f>
        <v>0</v>
      </c>
      <c r="AQ67" s="65" t="str">
        <f>IFERROR(_xlfn.XLOOKUP(AB67,Target!$A:$A,Target!$B:$B),"None")</f>
        <v>None</v>
      </c>
      <c r="AR67" s="65" t="str">
        <f>IFERROR(_xlfn.XLOOKUP($AC67,'BuffValue&lt;Child&gt;'!$A:$A,'BuffValue&lt;Child&gt;'!$F:$F),"None")</f>
        <v>None</v>
      </c>
      <c r="AS67" s="65">
        <f>IFERROR(_xlfn.XLOOKUP($AC67,'BuffValue&lt;Child&gt;'!$A:$A,'BuffValue&lt;Child&gt;'!$K:$K),0)</f>
        <v>0</v>
      </c>
      <c r="AT67" s="65" t="str">
        <f>IFERROR(_xlfn.XLOOKUP(AG67,Target!$A:$A,Target!$B:$B),"None")</f>
        <v>None</v>
      </c>
      <c r="AU67" s="65" t="str">
        <f>IFERROR(_xlfn.XLOOKUP($AH67,'BuffValue&lt;Child&gt;'!$A:$A,'BuffValue&lt;Child&gt;'!$F:$F),"None")</f>
        <v>None</v>
      </c>
      <c r="AV67" s="65">
        <f>IFERROR(_xlfn.XLOOKUP($AH67,'BuffValue&lt;Child&gt;'!$A:$A,'BuffValue&lt;Child&gt;'!$K:$K),0)</f>
        <v>0</v>
      </c>
      <c r="AW67" s="65" t="str">
        <f>IFERROR(_xlfn.XLOOKUP(AL67,Target!$A:$A,Target!$B:$B),"None")</f>
        <v>None</v>
      </c>
      <c r="AX67" s="65" t="str">
        <f>IFERROR(_xlfn.XLOOKUP($AM67,'BuffValue&lt;Child&gt;'!$A:$A,'BuffValue&lt;Child&gt;'!$F:$F),"None")</f>
        <v>None</v>
      </c>
      <c r="AY67" s="65">
        <f>IFERROR(_xlfn.XLOOKUP($AM67,#REF!,#REF!),0)</f>
        <v>0</v>
      </c>
    </row>
    <row r="68" spans="1:51" s="11" customFormat="1" x14ac:dyDescent="0.3">
      <c r="A68" s="11">
        <f>INT(1&amp;MID(_xlfn.XLOOKUP(B68,[2]Timeline!$B:$B,[2]Timeline!$A:$A),2,5)&amp;1)</f>
        <v>1300021</v>
      </c>
      <c r="B68" s="12" t="s">
        <v>143</v>
      </c>
      <c r="C68" s="12" t="s">
        <v>279</v>
      </c>
      <c r="D68" s="12" t="s">
        <v>541</v>
      </c>
      <c r="E68" s="11" t="str">
        <f t="shared" ref="E68:E99" si="12">"skill_name_"&amp;A68</f>
        <v>skill_name_1300021</v>
      </c>
      <c r="F68" s="11" t="s">
        <v>117</v>
      </c>
      <c r="G68" s="11" t="s">
        <v>462</v>
      </c>
      <c r="H68" s="11" t="str">
        <f t="shared" ref="H68:H99" si="13">"skill_desc_"&amp;$A68</f>
        <v>skill_desc_1300021</v>
      </c>
      <c r="I68" s="11" t="s">
        <v>205</v>
      </c>
      <c r="J68" s="11" t="str">
        <f>IFERROR(_xlfn.XLOOKUP(W68,Target!A:A,Target!J:J),"")</f>
        <v>Skill_Target_Icon_Enemy_Near_One</v>
      </c>
      <c r="K68" s="11" t="s">
        <v>205</v>
      </c>
      <c r="L68" s="11" t="str">
        <f>IFERROR(_xlfn.XLOOKUP(W68,Target!A:A,Target!K:K),"")</f>
        <v>Skill_Area_Icon_Pivot_Centor</v>
      </c>
      <c r="M68" s="11" t="str">
        <f>_xlfn.XLOOKUP(B68,'[2]Detail&lt;Child&gt;'!$B:$B,'[2]Detail&lt;Child&gt;'!$M:$M)</f>
        <v>Water</v>
      </c>
      <c r="N68" s="11" t="str">
        <f>_xlfn.XLOOKUP(B68,'[2]Detail&lt;Child&gt;'!$B:$B,'[2]Detail&lt;Child&gt;'!$N:$N)</f>
        <v>Magician</v>
      </c>
      <c r="O68" s="11" t="s">
        <v>30</v>
      </c>
      <c r="P68" s="34">
        <v>0</v>
      </c>
      <c r="Q68" s="69" t="str" cm="1">
        <f t="array" ref="Q68">_xlfn.IFS(R68="Move","Move",R68="NonTargetMove","Move",R68="Static","Stand",R68="None","Stand")</f>
        <v>Move</v>
      </c>
      <c r="R68" s="11" t="s">
        <v>144</v>
      </c>
      <c r="S68" s="11">
        <f t="shared" si="11"/>
        <v>1</v>
      </c>
      <c r="T68" s="15" t="str">
        <f t="shared" si="3"/>
        <v>SignalHit</v>
      </c>
      <c r="U68" s="15" t="str" cm="1">
        <f t="array" ref="U68">_xlfn.IFS(T68="SignalHIt","TurnEnd",T68="AttackBegin","TurnEnd",T68="AttackEnd","TurnEnd",T68="Immediately","Applied",T68="None","None")</f>
        <v>TurnEnd</v>
      </c>
      <c r="V68" s="15">
        <v>0</v>
      </c>
      <c r="W68" s="11">
        <v>2000011</v>
      </c>
      <c r="X68" s="10">
        <v>13000211</v>
      </c>
      <c r="Y68" s="11" t="str">
        <f t="shared" si="4"/>
        <v>Immediately</v>
      </c>
      <c r="Z68" s="15" t="str" cm="1">
        <f t="array" ref="Z68">_xlfn.IFS(Y68="SignalHIt","TurnEnd",Y68="AttackBegin","TurnEnd",Y68="AttackEnd","TurnEnd",Y68="Immediately","Applied",Y68="None","None")</f>
        <v>Applied</v>
      </c>
      <c r="AA68" s="15">
        <v>0</v>
      </c>
      <c r="AB68" s="11">
        <v>0</v>
      </c>
      <c r="AC68" s="10">
        <v>0</v>
      </c>
      <c r="AD68" s="15" t="str">
        <f t="shared" si="5"/>
        <v>Immediately</v>
      </c>
      <c r="AE68" s="15" t="str" cm="1">
        <f t="array" ref="AE68">_xlfn.IFS(AD68="SignalHIt","TurnEnd",AD68="AttackBegin","TurnEnd",AD68="AttackEnd","TurnEnd",AD68="Immediately","Applied",AD68="None","None")</f>
        <v>Applied</v>
      </c>
      <c r="AF68" s="15">
        <v>0</v>
      </c>
      <c r="AG68" s="11">
        <v>0</v>
      </c>
      <c r="AH68" s="10">
        <v>0</v>
      </c>
      <c r="AI68" s="15" t="str">
        <f t="shared" si="6"/>
        <v>Immediately</v>
      </c>
      <c r="AJ68" s="15" t="str" cm="1">
        <f t="array" ref="AJ68">_xlfn.IFS(AI68="SignalHIt","TurnEnd",AI68="AttackBegin","TurnEnd",AI68="AttackEnd","TurnEnd",AI68="Immediately","Applied",AI68="None","None")</f>
        <v>Applied</v>
      </c>
      <c r="AK68" s="15">
        <v>0</v>
      </c>
      <c r="AL68" s="10">
        <v>0</v>
      </c>
      <c r="AM68" s="50">
        <v>0</v>
      </c>
      <c r="AN68" s="46" t="str">
        <f>IFERROR(_xlfn.XLOOKUP(W68,Target!$A:$A,Target!$B:$B),"None")</f>
        <v xml:space="preserve">가까운 적 1명 </v>
      </c>
      <c r="AO68" s="47" t="str">
        <f>IFERROR(_xlfn.XLOOKUP($X68,'BuffValue&lt;Child&gt;'!$A:$A,'BuffValue&lt;Child&gt;'!$F:$F),"None")</f>
        <v>공용 대미지</v>
      </c>
      <c r="AP68" s="47">
        <f>IFERROR(_xlfn.XLOOKUP($X68,'BuffValue&lt;Child&gt;'!$A:$A,'BuffValue&lt;Child&gt;'!$K:$K),0)</f>
        <v>40000</v>
      </c>
      <c r="AQ68" s="47" t="str">
        <f>IFERROR(_xlfn.XLOOKUP(AB68,Target!$A:$A,Target!$B:$B),"None")</f>
        <v>None</v>
      </c>
      <c r="AR68" s="46" t="str">
        <f>IFERROR(_xlfn.XLOOKUP($AC68,'BuffValue&lt;Child&gt;'!$A:$A,'BuffValue&lt;Child&gt;'!$F:$F),"None")</f>
        <v>None</v>
      </c>
      <c r="AS68" s="46">
        <f>IFERROR(_xlfn.XLOOKUP($AC68,'BuffValue&lt;Child&gt;'!$A:$A,'BuffValue&lt;Child&gt;'!$K:$K),0)</f>
        <v>0</v>
      </c>
      <c r="AT68" s="47" t="str">
        <f>IFERROR(_xlfn.XLOOKUP(AG68,Target!$A:$A,Target!$B:$B),"None")</f>
        <v>None</v>
      </c>
      <c r="AU68" s="47" t="str">
        <f>IFERROR(_xlfn.XLOOKUP($AH68,'BuffValue&lt;Child&gt;'!$A:$A,'BuffValue&lt;Child&gt;'!$F:$F),"None")</f>
        <v>None</v>
      </c>
      <c r="AV68" s="47">
        <f>IFERROR(_xlfn.XLOOKUP($AH68,'BuffValue&lt;Child&gt;'!$A:$A,'BuffValue&lt;Child&gt;'!$K:$K),0)</f>
        <v>0</v>
      </c>
      <c r="AW68" s="47" t="str">
        <f>IFERROR(_xlfn.XLOOKUP(AL68,Target!$A:$A,Target!$B:$B),"None")</f>
        <v>None</v>
      </c>
      <c r="AX68" s="47" t="str">
        <f>IFERROR(_xlfn.XLOOKUP($AM68,'BuffValue&lt;Child&gt;'!$A:$A,'BuffValue&lt;Child&gt;'!$F:$F),"None")</f>
        <v>None</v>
      </c>
      <c r="AY68" s="47">
        <f>IFERROR(_xlfn.XLOOKUP($AM68,#REF!,#REF!),0)</f>
        <v>0</v>
      </c>
    </row>
    <row r="69" spans="1:51" x14ac:dyDescent="0.3">
      <c r="A69" s="1">
        <f>INT(2&amp;MID(_xlfn.XLOOKUP(B69,[2]Timeline!$B:$B,[2]Timeline!$A:$A),2,5)&amp;1)</f>
        <v>2300021</v>
      </c>
      <c r="B69" s="7" t="s">
        <v>142</v>
      </c>
      <c r="C69" s="7" t="s">
        <v>280</v>
      </c>
      <c r="D69" s="7" t="s">
        <v>548</v>
      </c>
      <c r="E69" s="1" t="str">
        <f t="shared" si="12"/>
        <v>skill_name_2300021</v>
      </c>
      <c r="F69" s="1" t="s">
        <v>117</v>
      </c>
      <c r="G69" s="1" t="s">
        <v>461</v>
      </c>
      <c r="H69" s="1" t="str">
        <f t="shared" si="13"/>
        <v>skill_desc_2300021</v>
      </c>
      <c r="I69" s="1" t="s">
        <v>205</v>
      </c>
      <c r="J69" s="1" t="str">
        <f>IFERROR(_xlfn.XLOOKUP(W69,Target!A:A,Target!J:J),"")</f>
        <v>Skill_Target_Icon_Enemy_Near_One</v>
      </c>
      <c r="K69" s="1" t="s">
        <v>205</v>
      </c>
      <c r="L69" s="1" t="str">
        <f>IFERROR(_xlfn.XLOOKUP(W69,Target!A:A,Target!K:K),"")</f>
        <v>Skill_Area_Icon_Pivot_Centor</v>
      </c>
      <c r="M69" s="1" t="str">
        <f>_xlfn.XLOOKUP(B69,'[2]Detail&lt;Child&gt;'!$B:$B,'[2]Detail&lt;Child&gt;'!$M:$M)</f>
        <v>Water</v>
      </c>
      <c r="N69" s="1" t="str">
        <f>_xlfn.XLOOKUP(B69,'[2]Detail&lt;Child&gt;'!$B:$B,'[2]Detail&lt;Child&gt;'!$N:$N)</f>
        <v>Magician</v>
      </c>
      <c r="O69" s="1" t="s">
        <v>33</v>
      </c>
      <c r="P69" s="33">
        <v>3</v>
      </c>
      <c r="Q69" s="68" t="str" cm="1">
        <f t="array" ref="Q69">_xlfn.IFS(R69="Move","Move",R69="NonTargetMove","Move",R69="Static","Stand",R69="None","Stand")</f>
        <v>Move</v>
      </c>
      <c r="R69" s="1" t="s">
        <v>144</v>
      </c>
      <c r="S69" s="1">
        <f t="shared" si="11"/>
        <v>1</v>
      </c>
      <c r="T69" s="2" t="str">
        <f t="shared" ref="T69:T132" si="14">IF(X69=0,"Immediately",IF($O69="Passive","Immediately",IF(W69=0,"None","SignalHit")))</f>
        <v>SignalHit</v>
      </c>
      <c r="U69" s="2" t="str" cm="1">
        <f t="array" ref="U69">_xlfn.IFS(T69="SignalHIt","TurnEnd",T69="AttackBegin","TurnEnd",T69="AttackEnd","TurnEnd",T69="Immediately","Applied",T69="None","None")</f>
        <v>TurnEnd</v>
      </c>
      <c r="V69" s="2">
        <v>0</v>
      </c>
      <c r="W69" s="1">
        <v>2000011</v>
      </c>
      <c r="X69" s="8">
        <v>23000211</v>
      </c>
      <c r="Y69" s="1" t="str">
        <f t="shared" ref="Y69:Y132" si="15">IF($O69="Passive","Immediately",IF(AB69=0,"Immediately","AttackBegin"))</f>
        <v>Immediately</v>
      </c>
      <c r="Z69" s="2" t="str" cm="1">
        <f t="array" ref="Z69">_xlfn.IFS(Y69="SignalHIt","TurnEnd",Y69="AttackBegin","TurnEnd",Y69="AttackEnd","TurnEnd",Y69="Immediately","Applied",Y69="None","None")</f>
        <v>Applied</v>
      </c>
      <c r="AA69" s="2">
        <v>0</v>
      </c>
      <c r="AB69" s="1">
        <v>0</v>
      </c>
      <c r="AC69" s="8">
        <v>0</v>
      </c>
      <c r="AD69" s="2" t="str">
        <f t="shared" ref="AD69:AD132" si="16">IF($O69="Passive","Immediately",IF(AG69=0,"Immediately","AttackEnd"))</f>
        <v>AttackEnd</v>
      </c>
      <c r="AE69" s="2" t="str" cm="1">
        <f t="array" ref="AE69">_xlfn.IFS(AD69="SignalHIt","TurnEnd",AD69="AttackBegin","TurnEnd",AD69="AttackEnd","TurnEnd",AD69="Immediately","Applied",AD69="None","None")</f>
        <v>TurnEnd</v>
      </c>
      <c r="AF69" s="2">
        <v>0</v>
      </c>
      <c r="AG69" s="1">
        <v>2000011</v>
      </c>
      <c r="AH69" s="8">
        <v>23000212</v>
      </c>
      <c r="AI69" s="2" t="str">
        <f t="shared" ref="AI69:AI132" si="17">IF($O69="Passive","Immediately",IF(AL69=0,"Immediately","AttackEnd"))</f>
        <v>Immediately</v>
      </c>
      <c r="AJ69" s="2" t="str" cm="1">
        <f t="array" ref="AJ69">_xlfn.IFS(AI69="SignalHIt","TurnEnd",AI69="AttackBegin","TurnEnd",AI69="AttackEnd","TurnEnd",AI69="Immediately","Applied",AI69="None","None")</f>
        <v>Applied</v>
      </c>
      <c r="AK69" s="2">
        <v>0</v>
      </c>
      <c r="AL69" s="8">
        <v>0</v>
      </c>
      <c r="AM69" s="48">
        <v>0</v>
      </c>
      <c r="AN69" s="45" t="str">
        <f>IFERROR(_xlfn.XLOOKUP(W69,Target!$A:$A,Target!$B:$B),"None")</f>
        <v xml:space="preserve">가까운 적 1명 </v>
      </c>
      <c r="AO69" s="43" t="str">
        <f>IFERROR(_xlfn.XLOOKUP($X69,'BuffValue&lt;Child&gt;'!$A:$A,'BuffValue&lt;Child&gt;'!$F:$F),"None")</f>
        <v>액티브 대미지</v>
      </c>
      <c r="AP69" s="43">
        <f>IFERROR(_xlfn.XLOOKUP($X69,'BuffValue&lt;Child&gt;'!$A:$A,'BuffValue&lt;Child&gt;'!$K:$K),0)</f>
        <v>135000</v>
      </c>
      <c r="AQ69" s="43" t="str">
        <f>IFERROR(_xlfn.XLOOKUP(AB69,Target!$A:$A,Target!$B:$B),"None")</f>
        <v>None</v>
      </c>
      <c r="AR69" s="45" t="str">
        <f>IFERROR(_xlfn.XLOOKUP($AC69,'BuffValue&lt;Child&gt;'!$A:$A,'BuffValue&lt;Child&gt;'!$F:$F),"None")</f>
        <v>None</v>
      </c>
      <c r="AS69" s="45">
        <f>IFERROR(_xlfn.XLOOKUP($AC69,'BuffValue&lt;Child&gt;'!$A:$A,'BuffValue&lt;Child&gt;'!$K:$K),0)</f>
        <v>0</v>
      </c>
      <c r="AT69" s="43" t="str">
        <f>IFERROR(_xlfn.XLOOKUP(AG69,Target!$A:$A,Target!$B:$B),"None")</f>
        <v xml:space="preserve">가까운 적 1명 </v>
      </c>
      <c r="AU69" s="43" t="str">
        <f>IFERROR(_xlfn.XLOOKUP($AH69,'BuffValue&lt;Child&gt;'!$A:$A,'BuffValue&lt;Child&gt;'!$F:$F),"None")</f>
        <v>빙결</v>
      </c>
      <c r="AV69" s="43">
        <f>IFERROR(_xlfn.XLOOKUP($AH69,'BuffValue&lt;Child&gt;'!$A:$A,'BuffValue&lt;Child&gt;'!$K:$K),0)</f>
        <v>0</v>
      </c>
      <c r="AW69" s="43" t="str">
        <f>IFERROR(_xlfn.XLOOKUP(AL69,Target!$A:$A,Target!$B:$B),"None")</f>
        <v>None</v>
      </c>
      <c r="AX69" s="43" t="str">
        <f>IFERROR(_xlfn.XLOOKUP($AM69,'BuffValue&lt;Child&gt;'!$A:$A,'BuffValue&lt;Child&gt;'!$F:$F),"None")</f>
        <v>None</v>
      </c>
      <c r="AY69" s="43">
        <f>IFERROR(_xlfn.XLOOKUP($AM69,#REF!,#REF!),0)</f>
        <v>0</v>
      </c>
    </row>
    <row r="70" spans="1:51" x14ac:dyDescent="0.3">
      <c r="A70" s="1">
        <f>INT(2&amp;MID(_xlfn.XLOOKUP(B70,[2]Timeline!$B:$B,[2]Timeline!$A:$A),2,5)&amp;2)</f>
        <v>2300022</v>
      </c>
      <c r="B70" s="7" t="s">
        <v>142</v>
      </c>
      <c r="C70" s="7" t="s">
        <v>280</v>
      </c>
      <c r="D70" s="7" t="s">
        <v>548</v>
      </c>
      <c r="E70" s="1" t="str">
        <f t="shared" si="12"/>
        <v>skill_name_2300022</v>
      </c>
      <c r="F70" s="1" t="s">
        <v>117</v>
      </c>
      <c r="G70" s="1" t="s">
        <v>461</v>
      </c>
      <c r="H70" s="1" t="str">
        <f t="shared" si="13"/>
        <v>skill_desc_2300022</v>
      </c>
      <c r="I70" s="1" t="s">
        <v>205</v>
      </c>
      <c r="J70" s="1" t="str">
        <f>IFERROR(_xlfn.XLOOKUP(W70,Target!A:A,Target!J:J),"")</f>
        <v>Skill_Target_Icon_Enemy_Near_One</v>
      </c>
      <c r="K70" s="1" t="s">
        <v>205</v>
      </c>
      <c r="L70" s="1" t="str">
        <f>IFERROR(_xlfn.XLOOKUP(W70,Target!A:A,Target!K:K),"")</f>
        <v>Skill_Area_Icon_Pivot_Centor</v>
      </c>
      <c r="M70" s="1" t="str">
        <f>_xlfn.XLOOKUP(B70,'[2]Detail&lt;Child&gt;'!$B:$B,'[2]Detail&lt;Child&gt;'!$M:$M)</f>
        <v>Water</v>
      </c>
      <c r="N70" s="1" t="str">
        <f>_xlfn.XLOOKUP(B70,'[2]Detail&lt;Child&gt;'!$B:$B,'[2]Detail&lt;Child&gt;'!$N:$N)</f>
        <v>Magician</v>
      </c>
      <c r="O70" s="1" t="s">
        <v>33</v>
      </c>
      <c r="P70" s="33">
        <v>2</v>
      </c>
      <c r="Q70" s="68" t="str" cm="1">
        <f t="array" ref="Q70">_xlfn.IFS(R70="Move","Move",R70="NonTargetMove","Move",R70="Static","Stand",R70="None","Stand")</f>
        <v>Move</v>
      </c>
      <c r="R70" s="1" t="s">
        <v>144</v>
      </c>
      <c r="S70" s="1">
        <f t="shared" si="11"/>
        <v>1</v>
      </c>
      <c r="T70" s="2" t="str">
        <f t="shared" si="14"/>
        <v>SignalHit</v>
      </c>
      <c r="U70" s="2" t="str" cm="1">
        <f t="array" ref="U70">_xlfn.IFS(T70="SignalHIt","TurnEnd",T70="AttackBegin","TurnEnd",T70="AttackEnd","TurnEnd",T70="Immediately","Applied",T70="None","None")</f>
        <v>TurnEnd</v>
      </c>
      <c r="V70" s="2">
        <v>0</v>
      </c>
      <c r="W70" s="1">
        <v>2000011</v>
      </c>
      <c r="X70" s="8">
        <v>23000221</v>
      </c>
      <c r="Y70" s="1" t="str">
        <f t="shared" si="15"/>
        <v>Immediately</v>
      </c>
      <c r="Z70" s="2" t="str" cm="1">
        <f t="array" ref="Z70">_xlfn.IFS(Y70="SignalHIt","TurnEnd",Y70="AttackBegin","TurnEnd",Y70="AttackEnd","TurnEnd",Y70="Immediately","Applied",Y70="None","None")</f>
        <v>Applied</v>
      </c>
      <c r="AA70" s="2">
        <v>0</v>
      </c>
      <c r="AB70" s="1">
        <v>0</v>
      </c>
      <c r="AC70" s="8">
        <v>0</v>
      </c>
      <c r="AD70" s="2" t="str">
        <f t="shared" si="16"/>
        <v>AttackEnd</v>
      </c>
      <c r="AE70" s="2" t="str" cm="1">
        <f t="array" ref="AE70">_xlfn.IFS(AD70="SignalHIt","TurnEnd",AD70="AttackBegin","TurnEnd",AD70="AttackEnd","TurnEnd",AD70="Immediately","Applied",AD70="None","None")</f>
        <v>TurnEnd</v>
      </c>
      <c r="AF70" s="2">
        <v>0</v>
      </c>
      <c r="AG70" s="1">
        <v>2000011</v>
      </c>
      <c r="AH70" s="8">
        <v>23000222</v>
      </c>
      <c r="AI70" s="2" t="str">
        <f t="shared" si="17"/>
        <v>Immediately</v>
      </c>
      <c r="AJ70" s="2" t="str" cm="1">
        <f t="array" ref="AJ70">_xlfn.IFS(AI70="SignalHIt","TurnEnd",AI70="AttackBegin","TurnEnd",AI70="AttackEnd","TurnEnd",AI70="Immediately","Applied",AI70="None","None")</f>
        <v>Applied</v>
      </c>
      <c r="AK70" s="2">
        <v>0</v>
      </c>
      <c r="AL70" s="8">
        <v>0</v>
      </c>
      <c r="AM70" s="48">
        <v>0</v>
      </c>
      <c r="AN70" s="45" t="str">
        <f>IFERROR(_xlfn.XLOOKUP(W70,Target!$A:$A,Target!$B:$B),"None")</f>
        <v xml:space="preserve">가까운 적 1명 </v>
      </c>
      <c r="AO70" s="43" t="str">
        <f>IFERROR(_xlfn.XLOOKUP($X70,'BuffValue&lt;Child&gt;'!$A:$A,'BuffValue&lt;Child&gt;'!$F:$F),"None")</f>
        <v>액티브 대미지</v>
      </c>
      <c r="AP70" s="43">
        <f>IFERROR(_xlfn.XLOOKUP($X70,'BuffValue&lt;Child&gt;'!$A:$A,'BuffValue&lt;Child&gt;'!$K:$K),0)</f>
        <v>135000</v>
      </c>
      <c r="AQ70" s="43" t="str">
        <f>IFERROR(_xlfn.XLOOKUP(AB70,Target!$A:$A,Target!$B:$B),"None")</f>
        <v>None</v>
      </c>
      <c r="AR70" s="45" t="str">
        <f>IFERROR(_xlfn.XLOOKUP($AC70,'BuffValue&lt;Child&gt;'!$A:$A,'BuffValue&lt;Child&gt;'!$F:$F),"None")</f>
        <v>None</v>
      </c>
      <c r="AS70" s="45">
        <f>IFERROR(_xlfn.XLOOKUP($AC70,'BuffValue&lt;Child&gt;'!$A:$A,'BuffValue&lt;Child&gt;'!$K:$K),0)</f>
        <v>0</v>
      </c>
      <c r="AT70" s="43" t="str">
        <f>IFERROR(_xlfn.XLOOKUP(AG70,Target!$A:$A,Target!$B:$B),"None")</f>
        <v xml:space="preserve">가까운 적 1명 </v>
      </c>
      <c r="AU70" s="43" t="str">
        <f>IFERROR(_xlfn.XLOOKUP($AH70,'BuffValue&lt;Child&gt;'!$A:$A,'BuffValue&lt;Child&gt;'!$F:$F),"None")</f>
        <v>빙결</v>
      </c>
      <c r="AV70" s="43">
        <f>IFERROR(_xlfn.XLOOKUP($AH70,'BuffValue&lt;Child&gt;'!$A:$A,'BuffValue&lt;Child&gt;'!$K:$K),0)</f>
        <v>0</v>
      </c>
      <c r="AW70" s="43" t="str">
        <f>IFERROR(_xlfn.XLOOKUP(AL70,Target!$A:$A,Target!$B:$B),"None")</f>
        <v>None</v>
      </c>
      <c r="AX70" s="43" t="str">
        <f>IFERROR(_xlfn.XLOOKUP($AM70,'BuffValue&lt;Child&gt;'!$A:$A,'BuffValue&lt;Child&gt;'!$F:$F),"None")</f>
        <v>None</v>
      </c>
      <c r="AY70" s="43">
        <f>IFERROR(_xlfn.XLOOKUP($AM70,#REF!,#REF!),0)</f>
        <v>0</v>
      </c>
    </row>
    <row r="71" spans="1:51" x14ac:dyDescent="0.3">
      <c r="A71" s="1">
        <f>INT(3&amp;MID(_xlfn.XLOOKUP(B71,[2]Timeline!$B:$B,[2]Timeline!$A:$A),2,5)&amp;1)</f>
        <v>3300021</v>
      </c>
      <c r="B71" s="7" t="s">
        <v>142</v>
      </c>
      <c r="C71" s="7" t="s">
        <v>281</v>
      </c>
      <c r="D71" s="7" t="s">
        <v>576</v>
      </c>
      <c r="E71" s="1" t="str">
        <f t="shared" si="12"/>
        <v>skill_name_3300021</v>
      </c>
      <c r="F71" s="1" t="s">
        <v>117</v>
      </c>
      <c r="G71" s="1" t="s">
        <v>394</v>
      </c>
      <c r="H71" s="1" t="str">
        <f t="shared" si="13"/>
        <v>skill_desc_3300021</v>
      </c>
      <c r="I71" s="1" t="s">
        <v>205</v>
      </c>
      <c r="J71" s="1" t="str">
        <f>IFERROR(_xlfn.XLOOKUP(W71,Target!A:A,Target!J:J),"")</f>
        <v>Skill_Target_Icon_Enemy_Near_One</v>
      </c>
      <c r="K71" s="1" t="s">
        <v>205</v>
      </c>
      <c r="L71" s="1" t="str">
        <f>IFERROR(_xlfn.XLOOKUP(W71,Target!A:A,Target!K:K),"")</f>
        <v>Skill_Area_Icon_Pivot_Centor</v>
      </c>
      <c r="M71" s="1" t="str">
        <f>_xlfn.XLOOKUP(B71,'[2]Detail&lt;Child&gt;'!$B:$B,'[2]Detail&lt;Child&gt;'!$M:$M)</f>
        <v>Water</v>
      </c>
      <c r="N71" s="1" t="str">
        <f>_xlfn.XLOOKUP(B71,'[2]Detail&lt;Child&gt;'!$B:$B,'[2]Detail&lt;Child&gt;'!$N:$N)</f>
        <v>Magician</v>
      </c>
      <c r="O71" s="1" t="s">
        <v>141</v>
      </c>
      <c r="P71" s="33">
        <v>0</v>
      </c>
      <c r="Q71" s="68" t="str" cm="1">
        <f t="array" ref="Q71">_xlfn.IFS(R71="Move","Move",R71="NonTargetMove","Move",R71="Static","Stand",R71="None","Stand")</f>
        <v>Move</v>
      </c>
      <c r="R71" s="1" t="s">
        <v>144</v>
      </c>
      <c r="S71" s="1">
        <v>2</v>
      </c>
      <c r="T71" s="2" t="str">
        <f t="shared" si="14"/>
        <v>SignalHit</v>
      </c>
      <c r="U71" s="2" t="str" cm="1">
        <f t="array" ref="U71">_xlfn.IFS(T71="SignalHIt","TurnEnd",T71="AttackBegin","TurnEnd",T71="AttackEnd","TurnEnd",T71="Immediately","Applied",T71="None","None")</f>
        <v>TurnEnd</v>
      </c>
      <c r="V71" s="2">
        <v>0</v>
      </c>
      <c r="W71" s="1">
        <v>2000011</v>
      </c>
      <c r="X71" s="8">
        <v>33000211</v>
      </c>
      <c r="Y71" s="1" t="str">
        <f t="shared" si="15"/>
        <v>Immediately</v>
      </c>
      <c r="Z71" s="2" t="str" cm="1">
        <f t="array" ref="Z71">_xlfn.IFS(Y71="SignalHIt","TurnEnd",Y71="AttackBegin","TurnEnd",Y71="AttackEnd","TurnEnd",Y71="Immediately","Applied",Y71="None","None")</f>
        <v>Applied</v>
      </c>
      <c r="AA71" s="2">
        <v>0</v>
      </c>
      <c r="AB71" s="1">
        <v>0</v>
      </c>
      <c r="AC71" s="8">
        <v>0</v>
      </c>
      <c r="AD71" s="2" t="str">
        <f t="shared" si="16"/>
        <v>AttackEnd</v>
      </c>
      <c r="AE71" s="2" t="str" cm="1">
        <f t="array" ref="AE71">_xlfn.IFS(AD71="SignalHIt","TurnEnd",AD71="AttackBegin","TurnEnd",AD71="AttackEnd","TurnEnd",AD71="Immediately","Applied",AD71="None","None")</f>
        <v>TurnEnd</v>
      </c>
      <c r="AF71" s="2">
        <v>0</v>
      </c>
      <c r="AG71" s="1">
        <v>1</v>
      </c>
      <c r="AH71" s="8">
        <v>33000212</v>
      </c>
      <c r="AI71" s="2" t="str">
        <f t="shared" si="17"/>
        <v>Immediately</v>
      </c>
      <c r="AJ71" s="2" t="str" cm="1">
        <f t="array" ref="AJ71">_xlfn.IFS(AI71="SignalHIt","TurnEnd",AI71="AttackBegin","TurnEnd",AI71="AttackEnd","TurnEnd",AI71="Immediately","Applied",AI71="None","None")</f>
        <v>Applied</v>
      </c>
      <c r="AK71" s="2">
        <v>0</v>
      </c>
      <c r="AL71" s="8">
        <v>0</v>
      </c>
      <c r="AM71" s="48">
        <v>0</v>
      </c>
      <c r="AN71" s="45" t="str">
        <f>IFERROR(_xlfn.XLOOKUP(W71,Target!$A:$A,Target!$B:$B),"None")</f>
        <v xml:space="preserve">가까운 적 1명 </v>
      </c>
      <c r="AO71" s="43" t="str">
        <f>IFERROR(_xlfn.XLOOKUP($X71,'BuffValue&lt;Child&gt;'!$A:$A,'BuffValue&lt;Child&gt;'!$F:$F),"None")</f>
        <v>얼티밋 대미지</v>
      </c>
      <c r="AP71" s="43">
        <f>IFERROR(_xlfn.XLOOKUP($X71,'BuffValue&lt;Child&gt;'!$A:$A,'BuffValue&lt;Child&gt;'!$K:$K),0)</f>
        <v>30000</v>
      </c>
      <c r="AQ71" s="43" t="str">
        <f>IFERROR(_xlfn.XLOOKUP(AB71,Target!$A:$A,Target!$B:$B),"None")</f>
        <v>None</v>
      </c>
      <c r="AR71" s="45" t="str">
        <f>IFERROR(_xlfn.XLOOKUP($AC71,'BuffValue&lt;Child&gt;'!$A:$A,'BuffValue&lt;Child&gt;'!$F:$F),"None")</f>
        <v>None</v>
      </c>
      <c r="AS71" s="45">
        <f>IFERROR(_xlfn.XLOOKUP($AC71,'BuffValue&lt;Child&gt;'!$A:$A,'BuffValue&lt;Child&gt;'!$K:$K),0)</f>
        <v>0</v>
      </c>
      <c r="AT71" s="43" t="str">
        <f>IFERROR(_xlfn.XLOOKUP(AG71,Target!$A:$A,Target!$B:$B),"None")</f>
        <v xml:space="preserve"> 자신 1명 </v>
      </c>
      <c r="AU71" s="43" t="str">
        <f>IFERROR(_xlfn.XLOOKUP($AH71,'BuffValue&lt;Child&gt;'!$A:$A,'BuffValue&lt;Child&gt;'!$F:$F),"None")</f>
        <v>리자 공격력 증가</v>
      </c>
      <c r="AV71" s="43">
        <f>IFERROR(_xlfn.XLOOKUP($AH71,'BuffValue&lt;Child&gt;'!$A:$A,'BuffValue&lt;Child&gt;'!$K:$K),0)</f>
        <v>15000</v>
      </c>
      <c r="AW71" s="43" t="str">
        <f>IFERROR(_xlfn.XLOOKUP(AL71,Target!$A:$A,Target!$B:$B),"None")</f>
        <v>None</v>
      </c>
      <c r="AX71" s="43" t="str">
        <f>IFERROR(_xlfn.XLOOKUP($AM71,'BuffValue&lt;Child&gt;'!$A:$A,'BuffValue&lt;Child&gt;'!$F:$F),"None")</f>
        <v>None</v>
      </c>
      <c r="AY71" s="43">
        <f>IFERROR(_xlfn.XLOOKUP($AM71,#REF!,#REF!),0)</f>
        <v>0</v>
      </c>
    </row>
    <row r="72" spans="1:51" x14ac:dyDescent="0.3">
      <c r="A72" s="1">
        <f>INT(3&amp;MID(_xlfn.XLOOKUP(B72,[2]Timeline!$B:$B,[2]Timeline!$A:$A),2,5)&amp;2)</f>
        <v>3300022</v>
      </c>
      <c r="B72" s="7" t="s">
        <v>142</v>
      </c>
      <c r="C72" s="7" t="s">
        <v>281</v>
      </c>
      <c r="D72" s="7" t="s">
        <v>575</v>
      </c>
      <c r="E72" s="1" t="str">
        <f t="shared" si="12"/>
        <v>skill_name_3300022</v>
      </c>
      <c r="F72" s="1" t="s">
        <v>117</v>
      </c>
      <c r="G72" s="1" t="s">
        <v>394</v>
      </c>
      <c r="H72" s="1" t="str">
        <f t="shared" si="13"/>
        <v>skill_desc_3300022</v>
      </c>
      <c r="I72" s="1" t="s">
        <v>205</v>
      </c>
      <c r="J72" s="1" t="str">
        <f>IFERROR(_xlfn.XLOOKUP(W72,Target!A:A,Target!J:J),"")</f>
        <v>Skill_Target_Icon_Enemy_Near_One</v>
      </c>
      <c r="K72" s="1" t="s">
        <v>205</v>
      </c>
      <c r="L72" s="1" t="str">
        <f>IFERROR(_xlfn.XLOOKUP(W72,Target!A:A,Target!K:K),"")</f>
        <v>Skill_Area_Icon_Pivot_Centor</v>
      </c>
      <c r="M72" s="1" t="str">
        <f>_xlfn.XLOOKUP(B72,'[2]Detail&lt;Child&gt;'!$B:$B,'[2]Detail&lt;Child&gt;'!$M:$M)</f>
        <v>Water</v>
      </c>
      <c r="N72" s="1" t="str">
        <f>_xlfn.XLOOKUP(B72,'[2]Detail&lt;Child&gt;'!$B:$B,'[2]Detail&lt;Child&gt;'!$N:$N)</f>
        <v>Magician</v>
      </c>
      <c r="O72" s="1" t="s">
        <v>140</v>
      </c>
      <c r="P72" s="33">
        <v>0</v>
      </c>
      <c r="Q72" s="68" t="str" cm="1">
        <f t="array" ref="Q72">_xlfn.IFS(R72="Move","Move",R72="NonTargetMove","Move",R72="Static","Stand",R72="None","Stand")</f>
        <v>Move</v>
      </c>
      <c r="R72" s="1" t="s">
        <v>144</v>
      </c>
      <c r="S72" s="1">
        <v>2</v>
      </c>
      <c r="T72" s="2" t="str">
        <f t="shared" si="14"/>
        <v>SignalHit</v>
      </c>
      <c r="U72" s="2" t="str" cm="1">
        <f t="array" ref="U72">_xlfn.IFS(T72="SignalHIt","TurnEnd",T72="AttackBegin","TurnEnd",T72="AttackEnd","TurnEnd",T72="Immediately","Applied",T72="None","None")</f>
        <v>TurnEnd</v>
      </c>
      <c r="V72" s="2">
        <v>0</v>
      </c>
      <c r="W72" s="1">
        <v>2000011</v>
      </c>
      <c r="X72" s="8">
        <v>33000221</v>
      </c>
      <c r="Y72" s="1" t="str">
        <f t="shared" si="15"/>
        <v>Immediately</v>
      </c>
      <c r="Z72" s="2" t="str" cm="1">
        <f t="array" ref="Z72">_xlfn.IFS(Y72="SignalHIt","TurnEnd",Y72="AttackBegin","TurnEnd",Y72="AttackEnd","TurnEnd",Y72="Immediately","Applied",Y72="None","None")</f>
        <v>Applied</v>
      </c>
      <c r="AA72" s="2">
        <v>0</v>
      </c>
      <c r="AB72" s="1">
        <v>0</v>
      </c>
      <c r="AC72" s="8">
        <v>0</v>
      </c>
      <c r="AD72" s="2" t="str">
        <f t="shared" si="16"/>
        <v>AttackEnd</v>
      </c>
      <c r="AE72" s="2" t="str" cm="1">
        <f t="array" ref="AE72">_xlfn.IFS(AD72="SignalHIt","TurnEnd",AD72="AttackBegin","TurnEnd",AD72="AttackEnd","TurnEnd",AD72="Immediately","Applied",AD72="None","None")</f>
        <v>TurnEnd</v>
      </c>
      <c r="AF72" s="2">
        <v>0</v>
      </c>
      <c r="AG72" s="1">
        <v>1</v>
      </c>
      <c r="AH72" s="8">
        <v>33000222</v>
      </c>
      <c r="AI72" s="2" t="str">
        <f t="shared" si="17"/>
        <v>Immediately</v>
      </c>
      <c r="AJ72" s="2" t="str" cm="1">
        <f t="array" ref="AJ72">_xlfn.IFS(AI72="SignalHIt","TurnEnd",AI72="AttackBegin","TurnEnd",AI72="AttackEnd","TurnEnd",AI72="Immediately","Applied",AI72="None","None")</f>
        <v>Applied</v>
      </c>
      <c r="AK72" s="2">
        <v>0</v>
      </c>
      <c r="AL72" s="8">
        <v>0</v>
      </c>
      <c r="AM72" s="48">
        <v>0</v>
      </c>
      <c r="AN72" s="45" t="str">
        <f>IFERROR(_xlfn.XLOOKUP(W72,Target!$A:$A,Target!$B:$B),"None")</f>
        <v xml:space="preserve">가까운 적 1명 </v>
      </c>
      <c r="AO72" s="43" t="str">
        <f>IFERROR(_xlfn.XLOOKUP($X72,'BuffValue&lt;Child&gt;'!$A:$A,'BuffValue&lt;Child&gt;'!$F:$F),"None")</f>
        <v>얼티밋 대미지</v>
      </c>
      <c r="AP72" s="43">
        <f>IFERROR(_xlfn.XLOOKUP($X72,'BuffValue&lt;Child&gt;'!$A:$A,'BuffValue&lt;Child&gt;'!$K:$K),0)</f>
        <v>30000</v>
      </c>
      <c r="AQ72" s="43" t="str">
        <f>IFERROR(_xlfn.XLOOKUP(AB72,Target!$A:$A,Target!$B:$B),"None")</f>
        <v>None</v>
      </c>
      <c r="AR72" s="45" t="str">
        <f>IFERROR(_xlfn.XLOOKUP($AC72,'BuffValue&lt;Child&gt;'!$A:$A,'BuffValue&lt;Child&gt;'!$F:$F),"None")</f>
        <v>None</v>
      </c>
      <c r="AS72" s="45">
        <f>IFERROR(_xlfn.XLOOKUP($AC72,'BuffValue&lt;Child&gt;'!$A:$A,'BuffValue&lt;Child&gt;'!$K:$K),0)</f>
        <v>0</v>
      </c>
      <c r="AT72" s="43" t="str">
        <f>IFERROR(_xlfn.XLOOKUP(AG72,Target!$A:$A,Target!$B:$B),"None")</f>
        <v xml:space="preserve"> 자신 1명 </v>
      </c>
      <c r="AU72" s="43" t="str">
        <f>IFERROR(_xlfn.XLOOKUP($AH72,'BuffValue&lt;Child&gt;'!$A:$A,'BuffValue&lt;Child&gt;'!$F:$F),"None")</f>
        <v>리자 공격력 증가</v>
      </c>
      <c r="AV72" s="43">
        <f>IFERROR(_xlfn.XLOOKUP($AH72,'BuffValue&lt;Child&gt;'!$A:$A,'BuffValue&lt;Child&gt;'!$K:$K),0)</f>
        <v>15000</v>
      </c>
      <c r="AW72" s="43" t="str">
        <f>IFERROR(_xlfn.XLOOKUP(AL72,Target!$A:$A,Target!$B:$B),"None")</f>
        <v>None</v>
      </c>
      <c r="AX72" s="43" t="str">
        <f>IFERROR(_xlfn.XLOOKUP($AM72,'BuffValue&lt;Child&gt;'!$A:$A,'BuffValue&lt;Child&gt;'!$F:$F),"None")</f>
        <v>None</v>
      </c>
      <c r="AY72" s="43">
        <f>IFERROR(_xlfn.XLOOKUP($AM72,#REF!,#REF!),0)</f>
        <v>0</v>
      </c>
    </row>
    <row r="73" spans="1:51" x14ac:dyDescent="0.3">
      <c r="A73" s="1">
        <f>INT(3&amp;MID(_xlfn.XLOOKUP(B73,[2]Timeline!$B:$B,[2]Timeline!$A:$A),2,5)&amp;3)</f>
        <v>3300023</v>
      </c>
      <c r="B73" s="7" t="s">
        <v>142</v>
      </c>
      <c r="C73" s="7" t="s">
        <v>281</v>
      </c>
      <c r="D73" s="7" t="s">
        <v>575</v>
      </c>
      <c r="E73" s="1" t="str">
        <f t="shared" si="12"/>
        <v>skill_name_3300023</v>
      </c>
      <c r="F73" s="1" t="s">
        <v>117</v>
      </c>
      <c r="G73" s="1" t="s">
        <v>394</v>
      </c>
      <c r="H73" s="1" t="str">
        <f t="shared" si="13"/>
        <v>skill_desc_3300023</v>
      </c>
      <c r="I73" s="1" t="s">
        <v>205</v>
      </c>
      <c r="J73" s="1" t="str">
        <f>IFERROR(_xlfn.XLOOKUP(W73,Target!A:A,Target!J:J),"")</f>
        <v>Skill_Target_Icon_Enemy_Near_One</v>
      </c>
      <c r="K73" s="1" t="s">
        <v>205</v>
      </c>
      <c r="L73" s="1" t="str">
        <f>IFERROR(_xlfn.XLOOKUP(W73,Target!A:A,Target!K:K),"")</f>
        <v>Skill_Area_Icon_Pivot_Centor</v>
      </c>
      <c r="M73" s="1" t="str">
        <f>_xlfn.XLOOKUP(B73,'[2]Detail&lt;Child&gt;'!$B:$B,'[2]Detail&lt;Child&gt;'!$M:$M)</f>
        <v>Water</v>
      </c>
      <c r="N73" s="1" t="str">
        <f>_xlfn.XLOOKUP(B73,'[2]Detail&lt;Child&gt;'!$B:$B,'[2]Detail&lt;Child&gt;'!$N:$N)</f>
        <v>Magician</v>
      </c>
      <c r="O73" s="1" t="s">
        <v>140</v>
      </c>
      <c r="P73" s="33">
        <v>0</v>
      </c>
      <c r="Q73" s="68" t="str" cm="1">
        <f t="array" ref="Q73">_xlfn.IFS(R73="Move","Move",R73="NonTargetMove","Move",R73="Static","Stand",R73="None","Stand")</f>
        <v>Move</v>
      </c>
      <c r="R73" s="1" t="s">
        <v>144</v>
      </c>
      <c r="S73" s="1">
        <v>2</v>
      </c>
      <c r="T73" s="2" t="str">
        <f t="shared" si="14"/>
        <v>SignalHit</v>
      </c>
      <c r="U73" s="2" t="str" cm="1">
        <f t="array" ref="U73">_xlfn.IFS(T73="SignalHIt","TurnEnd",T73="AttackBegin","TurnEnd",T73="AttackEnd","TurnEnd",T73="Immediately","Applied",T73="None","None")</f>
        <v>TurnEnd</v>
      </c>
      <c r="V73" s="2">
        <v>0</v>
      </c>
      <c r="W73" s="1">
        <v>2000011</v>
      </c>
      <c r="X73" s="8">
        <v>33000231</v>
      </c>
      <c r="Y73" s="1" t="str">
        <f t="shared" si="15"/>
        <v>Immediately</v>
      </c>
      <c r="Z73" s="2" t="str" cm="1">
        <f t="array" ref="Z73">_xlfn.IFS(Y73="SignalHIt","TurnEnd",Y73="AttackBegin","TurnEnd",Y73="AttackEnd","TurnEnd",Y73="Immediately","Applied",Y73="None","None")</f>
        <v>Applied</v>
      </c>
      <c r="AA73" s="2">
        <v>0</v>
      </c>
      <c r="AB73" s="1">
        <v>0</v>
      </c>
      <c r="AC73" s="8">
        <v>0</v>
      </c>
      <c r="AD73" s="2" t="str">
        <f t="shared" si="16"/>
        <v>AttackEnd</v>
      </c>
      <c r="AE73" s="2" t="str" cm="1">
        <f t="array" ref="AE73">_xlfn.IFS(AD73="SignalHIt","TurnEnd",AD73="AttackBegin","TurnEnd",AD73="AttackEnd","TurnEnd",AD73="Immediately","Applied",AD73="None","None")</f>
        <v>TurnEnd</v>
      </c>
      <c r="AF73" s="2">
        <v>0</v>
      </c>
      <c r="AG73" s="1">
        <v>1</v>
      </c>
      <c r="AH73" s="8">
        <v>33000232</v>
      </c>
      <c r="AI73" s="2" t="str">
        <f t="shared" si="17"/>
        <v>Immediately</v>
      </c>
      <c r="AJ73" s="2" t="str" cm="1">
        <f t="array" ref="AJ73">_xlfn.IFS(AI73="SignalHIt","TurnEnd",AI73="AttackBegin","TurnEnd",AI73="AttackEnd","TurnEnd",AI73="Immediately","Applied",AI73="None","None")</f>
        <v>Applied</v>
      </c>
      <c r="AK73" s="2">
        <v>0</v>
      </c>
      <c r="AL73" s="8">
        <v>0</v>
      </c>
      <c r="AM73" s="48">
        <v>0</v>
      </c>
      <c r="AN73" s="45" t="str">
        <f>IFERROR(_xlfn.XLOOKUP(W73,Target!$A:$A,Target!$B:$B),"None")</f>
        <v xml:space="preserve">가까운 적 1명 </v>
      </c>
      <c r="AO73" s="43" t="str">
        <f>IFERROR(_xlfn.XLOOKUP($X73,'BuffValue&lt;Child&gt;'!$A:$A,'BuffValue&lt;Child&gt;'!$F:$F),"None")</f>
        <v>얼티밋 대미지</v>
      </c>
      <c r="AP73" s="43">
        <f>IFERROR(_xlfn.XLOOKUP($X73,'BuffValue&lt;Child&gt;'!$A:$A,'BuffValue&lt;Child&gt;'!$K:$K),0)</f>
        <v>30000</v>
      </c>
      <c r="AQ73" s="43" t="str">
        <f>IFERROR(_xlfn.XLOOKUP(AB73,Target!$A:$A,Target!$B:$B),"None")</f>
        <v>None</v>
      </c>
      <c r="AR73" s="45" t="str">
        <f>IFERROR(_xlfn.XLOOKUP($AC73,'BuffValue&lt;Child&gt;'!$A:$A,'BuffValue&lt;Child&gt;'!$F:$F),"None")</f>
        <v>None</v>
      </c>
      <c r="AS73" s="45">
        <f>IFERROR(_xlfn.XLOOKUP($AC73,'BuffValue&lt;Child&gt;'!$A:$A,'BuffValue&lt;Child&gt;'!$K:$K),0)</f>
        <v>0</v>
      </c>
      <c r="AT73" s="43" t="str">
        <f>IFERROR(_xlfn.XLOOKUP(AG73,Target!$A:$A,Target!$B:$B),"None")</f>
        <v xml:space="preserve"> 자신 1명 </v>
      </c>
      <c r="AU73" s="43" t="str">
        <f>IFERROR(_xlfn.XLOOKUP($AH73,'BuffValue&lt;Child&gt;'!$A:$A,'BuffValue&lt;Child&gt;'!$F:$F),"None")</f>
        <v>리자 공격력 증가</v>
      </c>
      <c r="AV73" s="43">
        <f>IFERROR(_xlfn.XLOOKUP($AH73,'BuffValue&lt;Child&gt;'!$A:$A,'BuffValue&lt;Child&gt;'!$K:$K),0)</f>
        <v>15000</v>
      </c>
      <c r="AW73" s="43" t="str">
        <f>IFERROR(_xlfn.XLOOKUP(AL73,Target!$A:$A,Target!$B:$B),"None")</f>
        <v>None</v>
      </c>
      <c r="AX73" s="43" t="str">
        <f>IFERROR(_xlfn.XLOOKUP($AM73,'BuffValue&lt;Child&gt;'!$A:$A,'BuffValue&lt;Child&gt;'!$F:$F),"None")</f>
        <v>None</v>
      </c>
      <c r="AY73" s="43">
        <f>IFERROR(_xlfn.XLOOKUP($AM73,#REF!,#REF!),0)</f>
        <v>0</v>
      </c>
    </row>
    <row r="74" spans="1:51" x14ac:dyDescent="0.3">
      <c r="A74" s="1">
        <f>INT(4&amp;MID(_xlfn.XLOOKUP(B74,[2]Timeline!$B:$B,[2]Timeline!$A:$A),2,5)&amp;1)</f>
        <v>4300021</v>
      </c>
      <c r="B74" s="7" t="s">
        <v>142</v>
      </c>
      <c r="C74" s="7" t="s">
        <v>122</v>
      </c>
      <c r="D74" s="7" t="s">
        <v>339</v>
      </c>
      <c r="E74" s="1" t="str">
        <f t="shared" si="12"/>
        <v>skill_name_4300021</v>
      </c>
      <c r="F74" s="1" t="s">
        <v>117</v>
      </c>
      <c r="G74" s="1" t="s">
        <v>463</v>
      </c>
      <c r="H74" s="1" t="str">
        <f t="shared" si="13"/>
        <v>skill_desc_4300021</v>
      </c>
      <c r="I74" s="1" t="s">
        <v>205</v>
      </c>
      <c r="J74" s="1" t="str">
        <f>IFERROR(_xlfn.XLOOKUP(W74,Target!A:A,Target!J:J),"")</f>
        <v>Skill_Target_Icon_Mine</v>
      </c>
      <c r="K74" s="1" t="s">
        <v>205</v>
      </c>
      <c r="L74" s="1" t="str">
        <f>IFERROR(_xlfn.XLOOKUP(W74,Target!A:A,Target!K:K),"")</f>
        <v>Skill_Area_Icon_Pivot_Centor</v>
      </c>
      <c r="M74" s="1" t="str">
        <f>_xlfn.XLOOKUP(B74,'[2]Detail&lt;Child&gt;'!$B:$B,'[2]Detail&lt;Child&gt;'!$M:$M)</f>
        <v>Water</v>
      </c>
      <c r="N74" s="1" t="str">
        <f>_xlfn.XLOOKUP(B74,'[2]Detail&lt;Child&gt;'!$B:$B,'[2]Detail&lt;Child&gt;'!$N:$N)</f>
        <v>Magician</v>
      </c>
      <c r="O74" s="1" t="s">
        <v>167</v>
      </c>
      <c r="P74" s="33">
        <v>0</v>
      </c>
      <c r="Q74" s="68" t="str" cm="1">
        <f t="array" ref="Q74">_xlfn.IFS(R74="Move","Move",R74="NonTargetMove","Move",R74="Static","Stand",R74="None","Stand")</f>
        <v>Move</v>
      </c>
      <c r="R74" s="1" t="s">
        <v>144</v>
      </c>
      <c r="S74" s="1">
        <f>IF(R74="Static",0,1)</f>
        <v>1</v>
      </c>
      <c r="T74" s="2" t="str">
        <f t="shared" si="14"/>
        <v>Immediately</v>
      </c>
      <c r="U74" s="2" t="str" cm="1">
        <f t="array" ref="U74">_xlfn.IFS(T74="SignalHIt","TurnEnd",T74="AttackBegin","TurnEnd",T74="AttackEnd","TurnEnd",T74="Immediately","Applied",T74="None","None")</f>
        <v>Applied</v>
      </c>
      <c r="V74" s="2">
        <v>0</v>
      </c>
      <c r="W74" s="1">
        <v>1</v>
      </c>
      <c r="X74" s="8">
        <v>43000211</v>
      </c>
      <c r="Y74" s="1" t="str">
        <f t="shared" si="15"/>
        <v>Immediately</v>
      </c>
      <c r="Z74" s="2" t="str" cm="1">
        <f t="array" ref="Z74">_xlfn.IFS(Y74="SignalHIt","TurnEnd",Y74="AttackBegin","TurnEnd",Y74="AttackEnd","TurnEnd",Y74="Immediately","Applied",Y74="None","None")</f>
        <v>Applied</v>
      </c>
      <c r="AA74" s="2">
        <v>0</v>
      </c>
      <c r="AB74" s="1">
        <v>0</v>
      </c>
      <c r="AC74" s="8">
        <v>0</v>
      </c>
      <c r="AD74" s="2" t="str">
        <f t="shared" si="16"/>
        <v>Immediately</v>
      </c>
      <c r="AE74" s="2" t="str" cm="1">
        <f t="array" ref="AE74">_xlfn.IFS(AD74="SignalHIt","TurnEnd",AD74="AttackBegin","TurnEnd",AD74="AttackEnd","TurnEnd",AD74="Immediately","Applied",AD74="None","None")</f>
        <v>Applied</v>
      </c>
      <c r="AF74" s="2">
        <v>0</v>
      </c>
      <c r="AG74" s="1">
        <v>0</v>
      </c>
      <c r="AH74" s="8">
        <v>0</v>
      </c>
      <c r="AI74" s="2" t="str">
        <f t="shared" si="17"/>
        <v>Immediately</v>
      </c>
      <c r="AJ74" s="2" t="str" cm="1">
        <f t="array" ref="AJ74">_xlfn.IFS(AI74="SignalHIt","TurnEnd",AI74="AttackBegin","TurnEnd",AI74="AttackEnd","TurnEnd",AI74="Immediately","Applied",AI74="None","None")</f>
        <v>Applied</v>
      </c>
      <c r="AK74" s="2">
        <v>0</v>
      </c>
      <c r="AL74" s="8">
        <v>0</v>
      </c>
      <c r="AM74" s="48">
        <v>0</v>
      </c>
      <c r="AN74" s="45" t="str">
        <f>IFERROR(_xlfn.XLOOKUP(W74,Target!$A:$A,Target!$B:$B),"None")</f>
        <v xml:space="preserve"> 자신 1명 </v>
      </c>
      <c r="AO74" s="43" t="str">
        <f>IFERROR(_xlfn.XLOOKUP($X74,'BuffValue&lt;Child&gt;'!$A:$A,'BuffValue&lt;Child&gt;'!$F:$F),"None")</f>
        <v>리자 패시브 스킬 사용</v>
      </c>
      <c r="AP74" s="43">
        <f>IFERROR(_xlfn.XLOOKUP($X74,'BuffValue&lt;Child&gt;'!$A:$A,'BuffValue&lt;Child&gt;'!$K:$K),0)</f>
        <v>9100001</v>
      </c>
      <c r="AQ74" s="43" t="str">
        <f>IFERROR(_xlfn.XLOOKUP(AB74,Target!$A:$A,Target!$B:$B),"None")</f>
        <v>None</v>
      </c>
      <c r="AR74" s="45" t="str">
        <f>IFERROR(_xlfn.XLOOKUP($AC74,'BuffValue&lt;Child&gt;'!$A:$A,'BuffValue&lt;Child&gt;'!$F:$F),"None")</f>
        <v>None</v>
      </c>
      <c r="AS74" s="45">
        <f>IFERROR(_xlfn.XLOOKUP($AC74,'BuffValue&lt;Child&gt;'!$A:$A,'BuffValue&lt;Child&gt;'!$K:$K),0)</f>
        <v>0</v>
      </c>
      <c r="AT74" s="43" t="str">
        <f>IFERROR(_xlfn.XLOOKUP(AG74,Target!$A:$A,Target!$B:$B),"None")</f>
        <v>None</v>
      </c>
      <c r="AU74" s="43" t="str">
        <f>IFERROR(_xlfn.XLOOKUP($AH74,'BuffValue&lt;Child&gt;'!$A:$A,'BuffValue&lt;Child&gt;'!$F:$F),"None")</f>
        <v>None</v>
      </c>
      <c r="AV74" s="43">
        <f>IFERROR(_xlfn.XLOOKUP($AH74,'BuffValue&lt;Child&gt;'!$A:$A,'BuffValue&lt;Child&gt;'!$K:$K),0)</f>
        <v>0</v>
      </c>
      <c r="AW74" s="43" t="str">
        <f>IFERROR(_xlfn.XLOOKUP(AL74,Target!$A:$A,Target!$B:$B),"None")</f>
        <v>None</v>
      </c>
      <c r="AX74" s="43" t="str">
        <f>IFERROR(_xlfn.XLOOKUP($AM74,'BuffValue&lt;Child&gt;'!$A:$A,'BuffValue&lt;Child&gt;'!$F:$F),"None")</f>
        <v>None</v>
      </c>
      <c r="AY74" s="43">
        <f>IFERROR(_xlfn.XLOOKUP($AM74,#REF!,#REF!),0)</f>
        <v>0</v>
      </c>
    </row>
    <row r="75" spans="1:51" x14ac:dyDescent="0.3">
      <c r="A75" s="1">
        <f>INT(4&amp;MID(_xlfn.XLOOKUP(B75,[2]Timeline!$B:$B,[2]Timeline!$A:$A),2,5)&amp;2)</f>
        <v>4300022</v>
      </c>
      <c r="B75" s="7" t="s">
        <v>142</v>
      </c>
      <c r="C75" s="7" t="s">
        <v>122</v>
      </c>
      <c r="D75" s="7" t="s">
        <v>339</v>
      </c>
      <c r="E75" s="1" t="str">
        <f t="shared" si="12"/>
        <v>skill_name_4300022</v>
      </c>
      <c r="F75" s="1" t="s">
        <v>117</v>
      </c>
      <c r="G75" s="1" t="s">
        <v>463</v>
      </c>
      <c r="H75" s="1" t="str">
        <f t="shared" si="13"/>
        <v>skill_desc_4300022</v>
      </c>
      <c r="I75" s="1" t="s">
        <v>205</v>
      </c>
      <c r="J75" s="1" t="str">
        <f>IFERROR(_xlfn.XLOOKUP(W75,Target!A:A,Target!J:J),"")</f>
        <v>Skill_Target_Icon_Mine</v>
      </c>
      <c r="K75" s="1" t="s">
        <v>205</v>
      </c>
      <c r="L75" s="1" t="str">
        <f>IFERROR(_xlfn.XLOOKUP(W75,Target!A:A,Target!K:K),"")</f>
        <v>Skill_Area_Icon_Pivot_Centor</v>
      </c>
      <c r="M75" s="1" t="str">
        <f>_xlfn.XLOOKUP(B75,'[2]Detail&lt;Child&gt;'!$B:$B,'[2]Detail&lt;Child&gt;'!$M:$M)</f>
        <v>Water</v>
      </c>
      <c r="N75" s="1" t="str">
        <f>_xlfn.XLOOKUP(B75,'[2]Detail&lt;Child&gt;'!$B:$B,'[2]Detail&lt;Child&gt;'!$N:$N)</f>
        <v>Magician</v>
      </c>
      <c r="O75" s="1" t="s">
        <v>167</v>
      </c>
      <c r="P75" s="33">
        <v>0</v>
      </c>
      <c r="Q75" s="68" t="str" cm="1">
        <f t="array" ref="Q75">_xlfn.IFS(R75="Move","Move",R75="NonTargetMove","Move",R75="Static","Stand",R75="None","Stand")</f>
        <v>Stand</v>
      </c>
      <c r="R75" s="1" t="s">
        <v>136</v>
      </c>
      <c r="S75" s="1">
        <f>IF(R75="Static",0,1)</f>
        <v>0</v>
      </c>
      <c r="T75" s="2" t="str">
        <f t="shared" si="14"/>
        <v>Immediately</v>
      </c>
      <c r="U75" s="2" t="str" cm="1">
        <f t="array" ref="U75">_xlfn.IFS(T75="SignalHIt","TurnEnd",T75="AttackBegin","TurnEnd",T75="AttackEnd","TurnEnd",T75="Immediately","Applied",T75="None","None")</f>
        <v>Applied</v>
      </c>
      <c r="V75" s="2">
        <v>0</v>
      </c>
      <c r="W75" s="1">
        <v>1</v>
      </c>
      <c r="X75" s="8">
        <v>43000221</v>
      </c>
      <c r="Y75" s="1" t="str">
        <f t="shared" si="15"/>
        <v>Immediately</v>
      </c>
      <c r="Z75" s="2" t="str" cm="1">
        <f t="array" ref="Z75">_xlfn.IFS(Y75="SignalHIt","TurnEnd",Y75="AttackBegin","TurnEnd",Y75="AttackEnd","TurnEnd",Y75="Immediately","Applied",Y75="None","None")</f>
        <v>Applied</v>
      </c>
      <c r="AA75" s="2">
        <v>0</v>
      </c>
      <c r="AB75" s="1">
        <v>0</v>
      </c>
      <c r="AC75" s="8">
        <v>0</v>
      </c>
      <c r="AD75" s="2" t="str">
        <f t="shared" si="16"/>
        <v>Immediately</v>
      </c>
      <c r="AE75" s="2" t="str" cm="1">
        <f t="array" ref="AE75">_xlfn.IFS(AD75="SignalHIt","TurnEnd",AD75="AttackBegin","TurnEnd",AD75="AttackEnd","TurnEnd",AD75="Immediately","Applied",AD75="None","None")</f>
        <v>Applied</v>
      </c>
      <c r="AF75" s="2">
        <v>0</v>
      </c>
      <c r="AG75" s="1">
        <v>0</v>
      </c>
      <c r="AH75" s="8">
        <v>0</v>
      </c>
      <c r="AI75" s="2" t="str">
        <f t="shared" si="17"/>
        <v>Immediately</v>
      </c>
      <c r="AJ75" s="2" t="str" cm="1">
        <f t="array" ref="AJ75">_xlfn.IFS(AI75="SignalHIt","TurnEnd",AI75="AttackBegin","TurnEnd",AI75="AttackEnd","TurnEnd",AI75="Immediately","Applied",AI75="None","None")</f>
        <v>Applied</v>
      </c>
      <c r="AK75" s="2">
        <v>0</v>
      </c>
      <c r="AL75" s="8">
        <v>0</v>
      </c>
      <c r="AM75" s="48">
        <v>0</v>
      </c>
      <c r="AN75" s="45" t="str">
        <f>IFERROR(_xlfn.XLOOKUP(W75,Target!$A:$A,Target!$B:$B),"None")</f>
        <v xml:space="preserve"> 자신 1명 </v>
      </c>
      <c r="AO75" s="43" t="str">
        <f>IFERROR(_xlfn.XLOOKUP($X75,'BuffValue&lt;Child&gt;'!$A:$A,'BuffValue&lt;Child&gt;'!$F:$F),"None")</f>
        <v>리자 패시브 스킬 사용</v>
      </c>
      <c r="AP75" s="43">
        <f>IFERROR(_xlfn.XLOOKUP($X75,'BuffValue&lt;Child&gt;'!$A:$A,'BuffValue&lt;Child&gt;'!$K:$K),0)</f>
        <v>9100001</v>
      </c>
      <c r="AQ75" s="43" t="str">
        <f>IFERROR(_xlfn.XLOOKUP(AB75,Target!$A:$A,Target!$B:$B),"None")</f>
        <v>None</v>
      </c>
      <c r="AR75" s="45" t="str">
        <f>IFERROR(_xlfn.XLOOKUP($AC75,'BuffValue&lt;Child&gt;'!$A:$A,'BuffValue&lt;Child&gt;'!$F:$F),"None")</f>
        <v>None</v>
      </c>
      <c r="AS75" s="45">
        <f>IFERROR(_xlfn.XLOOKUP($AC75,'BuffValue&lt;Child&gt;'!$A:$A,'BuffValue&lt;Child&gt;'!$K:$K),0)</f>
        <v>0</v>
      </c>
      <c r="AT75" s="43" t="str">
        <f>IFERROR(_xlfn.XLOOKUP(AG75,Target!$A:$A,Target!$B:$B),"None")</f>
        <v>None</v>
      </c>
      <c r="AU75" s="43" t="str">
        <f>IFERROR(_xlfn.XLOOKUP($AH75,'BuffValue&lt;Child&gt;'!$A:$A,'BuffValue&lt;Child&gt;'!$F:$F),"None")</f>
        <v>None</v>
      </c>
      <c r="AV75" s="43">
        <f>IFERROR(_xlfn.XLOOKUP($AH75,'BuffValue&lt;Child&gt;'!$A:$A,'BuffValue&lt;Child&gt;'!$K:$K),0)</f>
        <v>0</v>
      </c>
      <c r="AW75" s="43" t="str">
        <f>IFERROR(_xlfn.XLOOKUP(AL75,Target!$A:$A,Target!$B:$B),"None")</f>
        <v>None</v>
      </c>
      <c r="AX75" s="43" t="str">
        <f>IFERROR(_xlfn.XLOOKUP($AM75,'BuffValue&lt;Child&gt;'!$A:$A,'BuffValue&lt;Child&gt;'!$F:$F),"None")</f>
        <v>None</v>
      </c>
      <c r="AY75" s="43">
        <f>IFERROR(_xlfn.XLOOKUP($AM75,#REF!,#REF!),0)</f>
        <v>0</v>
      </c>
    </row>
    <row r="76" spans="1:51" s="11" customFormat="1" x14ac:dyDescent="0.3">
      <c r="A76" s="11">
        <f>INT(1&amp;MID(_xlfn.XLOOKUP(B76,[2]Timeline!$B:$B,[2]Timeline!$A:$A),2,5)&amp;1)</f>
        <v>1301801</v>
      </c>
      <c r="B76" s="12" t="s">
        <v>100</v>
      </c>
      <c r="C76" s="12" t="s">
        <v>254</v>
      </c>
      <c r="D76" s="12" t="s">
        <v>341</v>
      </c>
      <c r="E76" s="11" t="str">
        <f t="shared" si="12"/>
        <v>skill_name_1301801</v>
      </c>
      <c r="F76" s="11" t="s">
        <v>117</v>
      </c>
      <c r="G76" s="11" t="s">
        <v>465</v>
      </c>
      <c r="H76" s="11" t="str">
        <f t="shared" si="13"/>
        <v>skill_desc_1301801</v>
      </c>
      <c r="I76" s="11" t="s">
        <v>205</v>
      </c>
      <c r="J76" s="11" t="str">
        <f>IFERROR(_xlfn.XLOOKUP(W76,Target!A:A,Target!J:J),"")</f>
        <v>Skill_Target_Icon_Enemy_Near_One</v>
      </c>
      <c r="K76" s="11" t="s">
        <v>205</v>
      </c>
      <c r="L76" s="11" t="str">
        <f>IFERROR(_xlfn.XLOOKUP(W76,Target!A:A,Target!K:K),"")</f>
        <v>Skill_Area_Icon_Pivot_Centor</v>
      </c>
      <c r="M76" s="11" t="str">
        <f>_xlfn.XLOOKUP(B76,'[2]Detail&lt;Child&gt;'!$B:$B,'[2]Detail&lt;Child&gt;'!$M:$M)</f>
        <v>Forest</v>
      </c>
      <c r="N76" s="11" t="str">
        <f>_xlfn.XLOOKUP(B76,'[2]Detail&lt;Child&gt;'!$B:$B,'[2]Detail&lt;Child&gt;'!$N:$N)</f>
        <v>Defender</v>
      </c>
      <c r="O76" s="11" t="s">
        <v>31</v>
      </c>
      <c r="P76" s="34">
        <v>0</v>
      </c>
      <c r="Q76" s="69" t="str" cm="1">
        <f t="array" ref="Q76">_xlfn.IFS(R76="Move","Move",R76="NonTargetMove","Move",R76="Static","Stand",R76="None","Stand")</f>
        <v>Move</v>
      </c>
      <c r="R76" s="11" t="s">
        <v>137</v>
      </c>
      <c r="S76" s="11">
        <f>IF(R76="Static",0,1)</f>
        <v>1</v>
      </c>
      <c r="T76" s="15" t="str">
        <f t="shared" si="14"/>
        <v>SignalHit</v>
      </c>
      <c r="U76" s="15" t="str" cm="1">
        <f t="array" ref="U76">_xlfn.IFS(T76="SignalHIt","TurnEnd",T76="AttackBegin","TurnEnd",T76="AttackEnd","TurnEnd",T76="Immediately","Applied",T76="None","None")</f>
        <v>TurnEnd</v>
      </c>
      <c r="V76" s="15">
        <v>0</v>
      </c>
      <c r="W76" s="11">
        <v>2000011</v>
      </c>
      <c r="X76" s="10">
        <v>13018011</v>
      </c>
      <c r="Y76" s="11" t="str">
        <f t="shared" si="15"/>
        <v>Immediately</v>
      </c>
      <c r="Z76" s="15" t="str" cm="1">
        <f t="array" ref="Z76">_xlfn.IFS(Y76="SignalHIt","TurnEnd",Y76="AttackBegin","TurnEnd",Y76="AttackEnd","TurnEnd",Y76="Immediately","Applied",Y76="None","None")</f>
        <v>Applied</v>
      </c>
      <c r="AA76" s="15">
        <v>0</v>
      </c>
      <c r="AB76" s="11">
        <v>0</v>
      </c>
      <c r="AC76" s="10">
        <v>0</v>
      </c>
      <c r="AD76" s="15" t="str">
        <f t="shared" si="16"/>
        <v>Immediately</v>
      </c>
      <c r="AE76" s="15" t="str" cm="1">
        <f t="array" ref="AE76">_xlfn.IFS(AD76="SignalHIt","TurnEnd",AD76="AttackBegin","TurnEnd",AD76="AttackEnd","TurnEnd",AD76="Immediately","Applied",AD76="None","None")</f>
        <v>Applied</v>
      </c>
      <c r="AF76" s="15">
        <v>0</v>
      </c>
      <c r="AG76" s="11">
        <v>0</v>
      </c>
      <c r="AH76" s="10">
        <v>0</v>
      </c>
      <c r="AI76" s="15" t="str">
        <f t="shared" si="17"/>
        <v>Immediately</v>
      </c>
      <c r="AJ76" s="15" t="str" cm="1">
        <f t="array" ref="AJ76">_xlfn.IFS(AI76="SignalHIt","TurnEnd",AI76="AttackBegin","TurnEnd",AI76="AttackEnd","TurnEnd",AI76="Immediately","Applied",AI76="None","None")</f>
        <v>Applied</v>
      </c>
      <c r="AK76" s="15">
        <v>0</v>
      </c>
      <c r="AL76" s="10">
        <v>0</v>
      </c>
      <c r="AM76" s="50">
        <v>0</v>
      </c>
      <c r="AN76" s="46" t="str">
        <f>IFERROR(_xlfn.XLOOKUP(W76,Target!$A:$A,Target!$B:$B),"None")</f>
        <v xml:space="preserve">가까운 적 1명 </v>
      </c>
      <c r="AO76" s="47" t="str">
        <f>IFERROR(_xlfn.XLOOKUP($X76,'BuffValue&lt;Child&gt;'!$A:$A,'BuffValue&lt;Child&gt;'!$F:$F),"None")</f>
        <v>공용 대미지</v>
      </c>
      <c r="AP76" s="47">
        <f>IFERROR(_xlfn.XLOOKUP($X76,'BuffValue&lt;Child&gt;'!$A:$A,'BuffValue&lt;Child&gt;'!$K:$K),0)</f>
        <v>120000</v>
      </c>
      <c r="AQ76" s="47" t="str">
        <f>IFERROR(_xlfn.XLOOKUP(AB76,Target!$A:$A,Target!$B:$B),"None")</f>
        <v>None</v>
      </c>
      <c r="AR76" s="46" t="str">
        <f>IFERROR(_xlfn.XLOOKUP($AC76,'BuffValue&lt;Child&gt;'!$A:$A,'BuffValue&lt;Child&gt;'!$F:$F),"None")</f>
        <v>None</v>
      </c>
      <c r="AS76" s="46">
        <f>IFERROR(_xlfn.XLOOKUP($AC76,'BuffValue&lt;Child&gt;'!$A:$A,'BuffValue&lt;Child&gt;'!$K:$K),0)</f>
        <v>0</v>
      </c>
      <c r="AT76" s="47" t="str">
        <f>IFERROR(_xlfn.XLOOKUP(AG76,Target!$A:$A,Target!$B:$B),"None")</f>
        <v>None</v>
      </c>
      <c r="AU76" s="47" t="str">
        <f>IFERROR(_xlfn.XLOOKUP($AH76,'BuffValue&lt;Child&gt;'!$A:$A,'BuffValue&lt;Child&gt;'!$F:$F),"None")</f>
        <v>None</v>
      </c>
      <c r="AV76" s="47">
        <f>IFERROR(_xlfn.XLOOKUP($AH76,'BuffValue&lt;Child&gt;'!$A:$A,'BuffValue&lt;Child&gt;'!$K:$K),0)</f>
        <v>0</v>
      </c>
      <c r="AW76" s="47" t="str">
        <f>IFERROR(_xlfn.XLOOKUP(AL76,Target!$A:$A,Target!$B:$B),"None")</f>
        <v>None</v>
      </c>
      <c r="AX76" s="47" t="str">
        <f>IFERROR(_xlfn.XLOOKUP($AM76,'BuffValue&lt;Child&gt;'!$A:$A,'BuffValue&lt;Child&gt;'!$F:$F),"None")</f>
        <v>None</v>
      </c>
      <c r="AY76" s="47">
        <f>IFERROR(_xlfn.XLOOKUP($AM76,#REF!,#REF!),0)</f>
        <v>0</v>
      </c>
    </row>
    <row r="77" spans="1:51" x14ac:dyDescent="0.3">
      <c r="A77" s="1">
        <f>INT(2&amp;MID(_xlfn.XLOOKUP(B77,[2]Timeline!$B:$B,[2]Timeline!$A:$A),2,5)&amp;1)</f>
        <v>2301801</v>
      </c>
      <c r="B77" s="7" t="s">
        <v>99</v>
      </c>
      <c r="C77" s="7" t="s">
        <v>255</v>
      </c>
      <c r="D77" s="7" t="s">
        <v>549</v>
      </c>
      <c r="E77" s="1" t="str">
        <f t="shared" si="12"/>
        <v>skill_name_2301801</v>
      </c>
      <c r="F77" s="1" t="s">
        <v>117</v>
      </c>
      <c r="G77" s="1" t="s">
        <v>464</v>
      </c>
      <c r="H77" s="1" t="str">
        <f t="shared" si="13"/>
        <v>skill_desc_2301801</v>
      </c>
      <c r="I77" s="1" t="s">
        <v>205</v>
      </c>
      <c r="J77" s="1" t="str">
        <f>IFERROR(_xlfn.XLOOKUP(W77,Target!A:A,Target!J:J),"")</f>
        <v>Skill_Target_Icon_Enemy_Near_One</v>
      </c>
      <c r="K77" s="1" t="s">
        <v>205</v>
      </c>
      <c r="L77" s="1" t="str">
        <f>IFERROR(_xlfn.XLOOKUP(W77,Target!A:A,Target!K:K),"")</f>
        <v>Skill_Area_Icon_Pivot_Centor</v>
      </c>
      <c r="M77" s="1" t="str">
        <f>_xlfn.XLOOKUP(B77,'[2]Detail&lt;Child&gt;'!$B:$B,'[2]Detail&lt;Child&gt;'!$M:$M)</f>
        <v>Forest</v>
      </c>
      <c r="N77" s="1" t="str">
        <f>_xlfn.XLOOKUP(B77,'[2]Detail&lt;Child&gt;'!$B:$B,'[2]Detail&lt;Child&gt;'!$N:$N)</f>
        <v>Defender</v>
      </c>
      <c r="O77" s="1" t="s">
        <v>33</v>
      </c>
      <c r="P77" s="33">
        <v>3</v>
      </c>
      <c r="Q77" s="68" t="str" cm="1">
        <f t="array" ref="Q77">_xlfn.IFS(R77="Move","Move",R77="NonTargetMove","Move",R77="Static","Stand",R77="None","Stand")</f>
        <v>Move</v>
      </c>
      <c r="R77" s="1" t="s">
        <v>137</v>
      </c>
      <c r="S77" s="1">
        <f>IF(R77="Static",0,1)</f>
        <v>1</v>
      </c>
      <c r="T77" s="2" t="str">
        <f t="shared" si="14"/>
        <v>SignalHit</v>
      </c>
      <c r="U77" s="2" t="str" cm="1">
        <f t="array" ref="U77">_xlfn.IFS(T77="SignalHIt","TurnEnd",T77="AttackBegin","TurnEnd",T77="AttackEnd","TurnEnd",T77="Immediately","Applied",T77="None","None")</f>
        <v>TurnEnd</v>
      </c>
      <c r="V77" s="2">
        <v>0</v>
      </c>
      <c r="W77" s="1">
        <v>2000011</v>
      </c>
      <c r="X77" s="8">
        <v>23018011</v>
      </c>
      <c r="Y77" s="1" t="str">
        <f t="shared" si="15"/>
        <v>Immediately</v>
      </c>
      <c r="Z77" s="2" t="str" cm="1">
        <f t="array" ref="Z77">_xlfn.IFS(Y77="SignalHIt","TurnEnd",Y77="AttackBegin","TurnEnd",Y77="AttackEnd","TurnEnd",Y77="Immediately","Applied",Y77="None","None")</f>
        <v>Applied</v>
      </c>
      <c r="AA77" s="2">
        <v>0</v>
      </c>
      <c r="AB77" s="1">
        <v>0</v>
      </c>
      <c r="AC77" s="8">
        <v>0</v>
      </c>
      <c r="AD77" s="2" t="str">
        <f t="shared" si="16"/>
        <v>AttackEnd</v>
      </c>
      <c r="AE77" s="2" t="str" cm="1">
        <f t="array" ref="AE77">_xlfn.IFS(AD77="SignalHIt","TurnEnd",AD77="AttackBegin","TurnEnd",AD77="AttackEnd","TurnEnd",AD77="Immediately","Applied",AD77="None","None")</f>
        <v>TurnEnd</v>
      </c>
      <c r="AF77" s="2">
        <v>0</v>
      </c>
      <c r="AG77" s="1">
        <v>2000011</v>
      </c>
      <c r="AH77" s="8">
        <v>23018012</v>
      </c>
      <c r="AI77" s="2" t="str">
        <f t="shared" si="17"/>
        <v>AttackEnd</v>
      </c>
      <c r="AJ77" s="2" t="str" cm="1">
        <f t="array" ref="AJ77">_xlfn.IFS(AI77="SignalHIt","TurnEnd",AI77="AttackBegin","TurnEnd",AI77="AttackEnd","TurnEnd",AI77="Immediately","Applied",AI77="None","None")</f>
        <v>TurnEnd</v>
      </c>
      <c r="AK77" s="2">
        <v>0</v>
      </c>
      <c r="AL77" s="1">
        <v>2000011</v>
      </c>
      <c r="AM77" s="48">
        <v>23018013</v>
      </c>
      <c r="AN77" s="45" t="str">
        <f>IFERROR(_xlfn.XLOOKUP(W77,Target!$A:$A,Target!$B:$B),"None")</f>
        <v xml:space="preserve">가까운 적 1명 </v>
      </c>
      <c r="AO77" s="43" t="str">
        <f>IFERROR(_xlfn.XLOOKUP($X77,'BuffValue&lt;Child&gt;'!$A:$A,'BuffValue&lt;Child&gt;'!$F:$F),"None")</f>
        <v>액티브 대미지</v>
      </c>
      <c r="AP77" s="43">
        <f>IFERROR(_xlfn.XLOOKUP($X77,'BuffValue&lt;Child&gt;'!$A:$A,'BuffValue&lt;Child&gt;'!$K:$K),0)</f>
        <v>135000</v>
      </c>
      <c r="AQ77" s="43" t="str">
        <f>IFERROR(_xlfn.XLOOKUP(AB77,Target!$A:$A,Target!$B:$B),"None")</f>
        <v>None</v>
      </c>
      <c r="AR77" s="45" t="str">
        <f>IFERROR(_xlfn.XLOOKUP($AC77,'BuffValue&lt;Child&gt;'!$A:$A,'BuffValue&lt;Child&gt;'!$F:$F),"None")</f>
        <v>None</v>
      </c>
      <c r="AS77" s="45">
        <f>IFERROR(_xlfn.XLOOKUP($AC77,'BuffValue&lt;Child&gt;'!$A:$A,'BuffValue&lt;Child&gt;'!$K:$K),0)</f>
        <v>0</v>
      </c>
      <c r="AT77" s="43" t="str">
        <f>IFERROR(_xlfn.XLOOKUP(AG77,Target!$A:$A,Target!$B:$B),"None")</f>
        <v xml:space="preserve">가까운 적 1명 </v>
      </c>
      <c r="AU77" s="43" t="str">
        <f>IFERROR(_xlfn.XLOOKUP($AH77,'BuffValue&lt;Child&gt;'!$A:$A,'BuffValue&lt;Child&gt;'!$F:$F),"None")</f>
        <v>넉백</v>
      </c>
      <c r="AV77" s="43">
        <f>IFERROR(_xlfn.XLOOKUP($AH77,'BuffValue&lt;Child&gt;'!$A:$A,'BuffValue&lt;Child&gt;'!$K:$K),0)</f>
        <v>1</v>
      </c>
      <c r="AW77" s="43" t="str">
        <f>IFERROR(_xlfn.XLOOKUP(AL77,Target!$A:$A,Target!$B:$B),"None")</f>
        <v xml:space="preserve">가까운 적 1명 </v>
      </c>
      <c r="AX77" s="43" t="str">
        <f>IFERROR(_xlfn.XLOOKUP($AM77,'BuffValue&lt;Child&gt;'!$A:$A,'BuffValue&lt;Child&gt;'!$F:$F),"None")</f>
        <v>기절</v>
      </c>
      <c r="AY77" s="43">
        <f>IFERROR(_xlfn.XLOOKUP($AM77,#REF!,#REF!),0)</f>
        <v>0</v>
      </c>
    </row>
    <row r="78" spans="1:51" x14ac:dyDescent="0.3">
      <c r="A78" s="1">
        <f>INT(2&amp;MID(_xlfn.XLOOKUP(B78,[2]Timeline!$B:$B,[2]Timeline!$A:$A),2,5)&amp;2)</f>
        <v>2301802</v>
      </c>
      <c r="B78" s="7" t="s">
        <v>99</v>
      </c>
      <c r="C78" s="7" t="s">
        <v>255</v>
      </c>
      <c r="D78" s="7" t="s">
        <v>549</v>
      </c>
      <c r="E78" s="1" t="str">
        <f t="shared" si="12"/>
        <v>skill_name_2301802</v>
      </c>
      <c r="F78" s="1" t="s">
        <v>117</v>
      </c>
      <c r="G78" s="1" t="s">
        <v>464</v>
      </c>
      <c r="H78" s="1" t="str">
        <f t="shared" si="13"/>
        <v>skill_desc_2301802</v>
      </c>
      <c r="I78" s="1" t="s">
        <v>205</v>
      </c>
      <c r="J78" s="1" t="str">
        <f>IFERROR(_xlfn.XLOOKUP(W78,Target!A:A,Target!J:J),"")</f>
        <v>Skill_Target_Icon_Enemy_Near_One</v>
      </c>
      <c r="K78" s="1" t="s">
        <v>205</v>
      </c>
      <c r="L78" s="1" t="str">
        <f>IFERROR(_xlfn.XLOOKUP(W78,Target!A:A,Target!K:K),"")</f>
        <v>Skill_Area_Icon_Pivot_Centor</v>
      </c>
      <c r="M78" s="1" t="str">
        <f>_xlfn.XLOOKUP(B78,'[2]Detail&lt;Child&gt;'!$B:$B,'[2]Detail&lt;Child&gt;'!$M:$M)</f>
        <v>Forest</v>
      </c>
      <c r="N78" s="1" t="str">
        <f>_xlfn.XLOOKUP(B78,'[2]Detail&lt;Child&gt;'!$B:$B,'[2]Detail&lt;Child&gt;'!$N:$N)</f>
        <v>Defender</v>
      </c>
      <c r="O78" s="1" t="s">
        <v>33</v>
      </c>
      <c r="P78" s="33">
        <v>2</v>
      </c>
      <c r="Q78" s="68" t="str" cm="1">
        <f t="array" ref="Q78">_xlfn.IFS(R78="Move","Move",R78="NonTargetMove","Move",R78="Static","Stand",R78="None","Stand")</f>
        <v>Move</v>
      </c>
      <c r="R78" s="1" t="s">
        <v>137</v>
      </c>
      <c r="S78" s="1">
        <f>IF(R78="Static",0,1)</f>
        <v>1</v>
      </c>
      <c r="T78" s="2" t="str">
        <f t="shared" si="14"/>
        <v>SignalHit</v>
      </c>
      <c r="U78" s="2" t="str" cm="1">
        <f t="array" ref="U78">_xlfn.IFS(T78="SignalHIt","TurnEnd",T78="AttackBegin","TurnEnd",T78="AttackEnd","TurnEnd",T78="Immediately","Applied",T78="None","None")</f>
        <v>TurnEnd</v>
      </c>
      <c r="V78" s="2">
        <v>0</v>
      </c>
      <c r="W78" s="1">
        <v>2000011</v>
      </c>
      <c r="X78" s="8">
        <v>23018021</v>
      </c>
      <c r="Y78" s="1" t="str">
        <f t="shared" si="15"/>
        <v>Immediately</v>
      </c>
      <c r="Z78" s="2" t="str" cm="1">
        <f t="array" ref="Z78">_xlfn.IFS(Y78="SignalHIt","TurnEnd",Y78="AttackBegin","TurnEnd",Y78="AttackEnd","TurnEnd",Y78="Immediately","Applied",Y78="None","None")</f>
        <v>Applied</v>
      </c>
      <c r="AA78" s="2">
        <v>0</v>
      </c>
      <c r="AB78" s="1">
        <v>0</v>
      </c>
      <c r="AC78" s="8">
        <v>0</v>
      </c>
      <c r="AD78" s="2" t="str">
        <f t="shared" si="16"/>
        <v>AttackEnd</v>
      </c>
      <c r="AE78" s="2" t="str" cm="1">
        <f t="array" ref="AE78">_xlfn.IFS(AD78="SignalHIt","TurnEnd",AD78="AttackBegin","TurnEnd",AD78="AttackEnd","TurnEnd",AD78="Immediately","Applied",AD78="None","None")</f>
        <v>TurnEnd</v>
      </c>
      <c r="AF78" s="2">
        <v>0</v>
      </c>
      <c r="AG78" s="1">
        <v>2000011</v>
      </c>
      <c r="AH78" s="8">
        <v>23018022</v>
      </c>
      <c r="AI78" s="2" t="str">
        <f t="shared" si="17"/>
        <v>AttackEnd</v>
      </c>
      <c r="AJ78" s="2" t="str" cm="1">
        <f t="array" ref="AJ78">_xlfn.IFS(AI78="SignalHIt","TurnEnd",AI78="AttackBegin","TurnEnd",AI78="AttackEnd","TurnEnd",AI78="Immediately","Applied",AI78="None","None")</f>
        <v>TurnEnd</v>
      </c>
      <c r="AK78" s="2">
        <v>0</v>
      </c>
      <c r="AL78" s="1">
        <v>2000011</v>
      </c>
      <c r="AM78" s="48">
        <v>23018023</v>
      </c>
      <c r="AN78" s="45" t="str">
        <f>IFERROR(_xlfn.XLOOKUP(W78,Target!$A:$A,Target!$B:$B),"None")</f>
        <v xml:space="preserve">가까운 적 1명 </v>
      </c>
      <c r="AO78" s="43" t="str">
        <f>IFERROR(_xlfn.XLOOKUP($X78,'BuffValue&lt;Child&gt;'!$A:$A,'BuffValue&lt;Child&gt;'!$F:$F),"None")</f>
        <v>액티브 대미지</v>
      </c>
      <c r="AP78" s="43">
        <f>IFERROR(_xlfn.XLOOKUP($X78,'BuffValue&lt;Child&gt;'!$A:$A,'BuffValue&lt;Child&gt;'!$K:$K),0)</f>
        <v>135000</v>
      </c>
      <c r="AQ78" s="43" t="str">
        <f>IFERROR(_xlfn.XLOOKUP(AB78,Target!$A:$A,Target!$B:$B),"None")</f>
        <v>None</v>
      </c>
      <c r="AR78" s="45" t="str">
        <f>IFERROR(_xlfn.XLOOKUP($AC78,'BuffValue&lt;Child&gt;'!$A:$A,'BuffValue&lt;Child&gt;'!$F:$F),"None")</f>
        <v>None</v>
      </c>
      <c r="AS78" s="45">
        <f>IFERROR(_xlfn.XLOOKUP($AC78,'BuffValue&lt;Child&gt;'!$A:$A,'BuffValue&lt;Child&gt;'!$K:$K),0)</f>
        <v>0</v>
      </c>
      <c r="AT78" s="43" t="str">
        <f>IFERROR(_xlfn.XLOOKUP(AG78,Target!$A:$A,Target!$B:$B),"None")</f>
        <v xml:space="preserve">가까운 적 1명 </v>
      </c>
      <c r="AU78" s="43" t="str">
        <f>IFERROR(_xlfn.XLOOKUP($AH78,'BuffValue&lt;Child&gt;'!$A:$A,'BuffValue&lt;Child&gt;'!$F:$F),"None")</f>
        <v>넉백</v>
      </c>
      <c r="AV78" s="43">
        <f>IFERROR(_xlfn.XLOOKUP($AH78,'BuffValue&lt;Child&gt;'!$A:$A,'BuffValue&lt;Child&gt;'!$K:$K),0)</f>
        <v>1</v>
      </c>
      <c r="AW78" s="43" t="str">
        <f>IFERROR(_xlfn.XLOOKUP(AL78,Target!$A:$A,Target!$B:$B),"None")</f>
        <v xml:space="preserve">가까운 적 1명 </v>
      </c>
      <c r="AX78" s="43" t="str">
        <f>IFERROR(_xlfn.XLOOKUP($AM78,'BuffValue&lt;Child&gt;'!$A:$A,'BuffValue&lt;Child&gt;'!$F:$F),"None")</f>
        <v>기절</v>
      </c>
      <c r="AY78" s="43">
        <f>IFERROR(_xlfn.XLOOKUP($AM78,#REF!,#REF!),0)</f>
        <v>0</v>
      </c>
    </row>
    <row r="79" spans="1:51" x14ac:dyDescent="0.3">
      <c r="A79" s="1">
        <f>INT(3&amp;MID(_xlfn.XLOOKUP(B79,[2]Timeline!$B:$B,[2]Timeline!$A:$A),2,5)&amp;1)</f>
        <v>3301801</v>
      </c>
      <c r="B79" s="7" t="s">
        <v>99</v>
      </c>
      <c r="C79" s="7" t="s">
        <v>256</v>
      </c>
      <c r="D79" s="7" t="s">
        <v>510</v>
      </c>
      <c r="E79" s="1" t="str">
        <f t="shared" si="12"/>
        <v>skill_name_3301801</v>
      </c>
      <c r="F79" s="1" t="s">
        <v>117</v>
      </c>
      <c r="G79" s="1" t="s">
        <v>395</v>
      </c>
      <c r="H79" s="1" t="str">
        <f t="shared" si="13"/>
        <v>skill_desc_3301801</v>
      </c>
      <c r="I79" s="1" t="s">
        <v>205</v>
      </c>
      <c r="J79" s="1" t="str">
        <f>IFERROR(_xlfn.XLOOKUP(W79,Target!A:A,Target!J:J),"")</f>
        <v>Skill_Target_Icon_Enemy</v>
      </c>
      <c r="K79" s="1" t="s">
        <v>205</v>
      </c>
      <c r="L79" s="1" t="str">
        <f>IFERROR(_xlfn.XLOOKUP(W79,Target!A:A,Target!K:K),"")</f>
        <v>Skill_Area_Icon_NonTarget_All</v>
      </c>
      <c r="M79" s="1" t="str">
        <f>_xlfn.XLOOKUP(B79,'[2]Detail&lt;Child&gt;'!$B:$B,'[2]Detail&lt;Child&gt;'!$M:$M)</f>
        <v>Forest</v>
      </c>
      <c r="N79" s="1" t="str">
        <f>_xlfn.XLOOKUP(B79,'[2]Detail&lt;Child&gt;'!$B:$B,'[2]Detail&lt;Child&gt;'!$N:$N)</f>
        <v>Defender</v>
      </c>
      <c r="O79" s="1" t="s">
        <v>140</v>
      </c>
      <c r="P79" s="33">
        <v>0</v>
      </c>
      <c r="Q79" s="68" t="str" cm="1">
        <f t="array" ref="Q79">_xlfn.IFS(R79="Move","Move",R79="NonTargetMove","Move",R79="Static","Stand",R79="None","Stand")</f>
        <v>Move</v>
      </c>
      <c r="R79" s="1" t="s">
        <v>153</v>
      </c>
      <c r="S79" s="1">
        <v>4</v>
      </c>
      <c r="T79" s="2" t="str">
        <f t="shared" si="14"/>
        <v>SignalHit</v>
      </c>
      <c r="U79" s="2" t="str" cm="1">
        <f t="array" ref="U79">_xlfn.IFS(T79="SignalHIt","TurnEnd",T79="AttackBegin","TurnEnd",T79="AttackEnd","TurnEnd",T79="Immediately","Applied",T79="None","None")</f>
        <v>TurnEnd</v>
      </c>
      <c r="V79" s="2">
        <v>0</v>
      </c>
      <c r="W79" s="1">
        <v>920001</v>
      </c>
      <c r="X79" s="8">
        <v>33018011</v>
      </c>
      <c r="Y79" s="1" t="str">
        <f t="shared" si="15"/>
        <v>Immediately</v>
      </c>
      <c r="Z79" s="2" t="str" cm="1">
        <f t="array" ref="Z79">_xlfn.IFS(Y79="SignalHIt","TurnEnd",Y79="AttackBegin","TurnEnd",Y79="AttackEnd","TurnEnd",Y79="Immediately","Applied",Y79="None","None")</f>
        <v>Applied</v>
      </c>
      <c r="AA79" s="2">
        <v>0</v>
      </c>
      <c r="AB79" s="1">
        <v>0</v>
      </c>
      <c r="AC79" s="8">
        <v>0</v>
      </c>
      <c r="AD79" s="2" t="str">
        <f t="shared" si="16"/>
        <v>AttackEnd</v>
      </c>
      <c r="AE79" s="2" t="str" cm="1">
        <f t="array" ref="AE79">_xlfn.IFS(AD79="SignalHIt","TurnEnd",AD79="AttackBegin","TurnEnd",AD79="AttackEnd","TurnEnd",AD79="Immediately","Applied",AD79="None","None")</f>
        <v>TurnEnd</v>
      </c>
      <c r="AF79" s="2">
        <v>0</v>
      </c>
      <c r="AG79" s="1">
        <v>920001</v>
      </c>
      <c r="AH79" s="8">
        <f>X79+1</f>
        <v>33018012</v>
      </c>
      <c r="AI79" s="2" t="str">
        <f t="shared" si="17"/>
        <v>Immediately</v>
      </c>
      <c r="AJ79" s="2" t="str" cm="1">
        <f t="array" ref="AJ79">_xlfn.IFS(AI79="SignalHIt","TurnEnd",AI79="AttackBegin","TurnEnd",AI79="AttackEnd","TurnEnd",AI79="Immediately","Applied",AI79="None","None")</f>
        <v>Applied</v>
      </c>
      <c r="AK79" s="2">
        <v>0</v>
      </c>
      <c r="AL79" s="8">
        <v>0</v>
      </c>
      <c r="AM79" s="48">
        <v>0</v>
      </c>
      <c r="AN79" s="45" t="str">
        <f>IFERROR(_xlfn.XLOOKUP(W79,Target!$A:$A,Target!$B:$B),"None")</f>
        <v>논타겟 적 9칸</v>
      </c>
      <c r="AO79" s="43" t="str">
        <f>IFERROR(_xlfn.XLOOKUP($X79,'BuffValue&lt;Child&gt;'!$A:$A,'BuffValue&lt;Child&gt;'!$F:$F),"None")</f>
        <v>얼티밋 대미지</v>
      </c>
      <c r="AP79" s="43">
        <f>IFERROR(_xlfn.XLOOKUP($X79,'BuffValue&lt;Child&gt;'!$A:$A,'BuffValue&lt;Child&gt;'!$K:$K),0)</f>
        <v>160000</v>
      </c>
      <c r="AQ79" s="43" t="str">
        <f>IFERROR(_xlfn.XLOOKUP(AB79,Target!$A:$A,Target!$B:$B),"None")</f>
        <v>None</v>
      </c>
      <c r="AR79" s="45" t="str">
        <f>IFERROR(_xlfn.XLOOKUP($AC79,'BuffValue&lt;Child&gt;'!$A:$A,'BuffValue&lt;Child&gt;'!$F:$F),"None")</f>
        <v>None</v>
      </c>
      <c r="AS79" s="45">
        <f>IFERROR(_xlfn.XLOOKUP($AC79,'BuffValue&lt;Child&gt;'!$A:$A,'BuffValue&lt;Child&gt;'!$K:$K),0)</f>
        <v>0</v>
      </c>
      <c r="AT79" s="43" t="str">
        <f>IFERROR(_xlfn.XLOOKUP(AG79,Target!$A:$A,Target!$B:$B),"None")</f>
        <v>논타겟 적 9칸</v>
      </c>
      <c r="AU79" s="43" t="str">
        <f>IFERROR(_xlfn.XLOOKUP($AH79,'BuffValue&lt;Child&gt;'!$A:$A,'BuffValue&lt;Child&gt;'!$F:$F),"None")</f>
        <v>도발</v>
      </c>
      <c r="AV79" s="43">
        <f>IFERROR(_xlfn.XLOOKUP($AH79,'BuffValue&lt;Child&gt;'!$A:$A,'BuffValue&lt;Child&gt;'!$K:$K),0)</f>
        <v>0</v>
      </c>
      <c r="AW79" s="43" t="str">
        <f>IFERROR(_xlfn.XLOOKUP(AL79,Target!$A:$A,Target!$B:$B),"None")</f>
        <v>None</v>
      </c>
      <c r="AX79" s="43" t="str">
        <f>IFERROR(_xlfn.XLOOKUP($AM79,'BuffValue&lt;Child&gt;'!$A:$A,'BuffValue&lt;Child&gt;'!$F:$F),"None")</f>
        <v>None</v>
      </c>
      <c r="AY79" s="43">
        <f>IFERROR(_xlfn.XLOOKUP($AM79,#REF!,#REF!),0)</f>
        <v>0</v>
      </c>
    </row>
    <row r="80" spans="1:51" x14ac:dyDescent="0.3">
      <c r="A80" s="1">
        <f>INT(3&amp;MID(_xlfn.XLOOKUP(B80,[2]Timeline!$B:$B,[2]Timeline!$A:$A),2,5)&amp;2)</f>
        <v>3301802</v>
      </c>
      <c r="B80" s="7" t="s">
        <v>99</v>
      </c>
      <c r="C80" s="7" t="s">
        <v>256</v>
      </c>
      <c r="D80" s="7" t="s">
        <v>510</v>
      </c>
      <c r="E80" s="1" t="str">
        <f t="shared" si="12"/>
        <v>skill_name_3301802</v>
      </c>
      <c r="F80" s="1" t="s">
        <v>117</v>
      </c>
      <c r="G80" s="1" t="s">
        <v>395</v>
      </c>
      <c r="H80" s="1" t="str">
        <f t="shared" si="13"/>
        <v>skill_desc_3301802</v>
      </c>
      <c r="I80" s="1" t="s">
        <v>205</v>
      </c>
      <c r="J80" s="1" t="str">
        <f>IFERROR(_xlfn.XLOOKUP(W80,Target!A:A,Target!J:J),"")</f>
        <v>Skill_Target_Icon_Enemy</v>
      </c>
      <c r="K80" s="1" t="s">
        <v>205</v>
      </c>
      <c r="L80" s="1" t="str">
        <f>IFERROR(_xlfn.XLOOKUP(W80,Target!A:A,Target!K:K),"")</f>
        <v>Skill_Area_Icon_NonTarget_All</v>
      </c>
      <c r="M80" s="1" t="str">
        <f>_xlfn.XLOOKUP(B80,'[2]Detail&lt;Child&gt;'!$B:$B,'[2]Detail&lt;Child&gt;'!$M:$M)</f>
        <v>Forest</v>
      </c>
      <c r="N80" s="1" t="str">
        <f>_xlfn.XLOOKUP(B80,'[2]Detail&lt;Child&gt;'!$B:$B,'[2]Detail&lt;Child&gt;'!$N:$N)</f>
        <v>Defender</v>
      </c>
      <c r="O80" s="1" t="s">
        <v>140</v>
      </c>
      <c r="P80" s="33">
        <v>0</v>
      </c>
      <c r="Q80" s="68" t="str" cm="1">
        <f t="array" ref="Q80">_xlfn.IFS(R80="Move","Move",R80="NonTargetMove","Move",R80="Static","Stand",R80="None","Stand")</f>
        <v>Move</v>
      </c>
      <c r="R80" s="1" t="s">
        <v>153</v>
      </c>
      <c r="S80" s="1">
        <v>4</v>
      </c>
      <c r="T80" s="2" t="str">
        <f t="shared" si="14"/>
        <v>SignalHit</v>
      </c>
      <c r="U80" s="2" t="str" cm="1">
        <f t="array" ref="U80">_xlfn.IFS(T80="SignalHIt","TurnEnd",T80="AttackBegin","TurnEnd",T80="AttackEnd","TurnEnd",T80="Immediately","Applied",T80="None","None")</f>
        <v>TurnEnd</v>
      </c>
      <c r="V80" s="2">
        <v>0</v>
      </c>
      <c r="W80" s="1">
        <v>920001</v>
      </c>
      <c r="X80" s="8">
        <v>33018021</v>
      </c>
      <c r="Y80" s="1" t="str">
        <f t="shared" si="15"/>
        <v>Immediately</v>
      </c>
      <c r="Z80" s="2" t="str" cm="1">
        <f t="array" ref="Z80">_xlfn.IFS(Y80="SignalHIt","TurnEnd",Y80="AttackBegin","TurnEnd",Y80="AttackEnd","TurnEnd",Y80="Immediately","Applied",Y80="None","None")</f>
        <v>Applied</v>
      </c>
      <c r="AA80" s="2">
        <v>0</v>
      </c>
      <c r="AB80" s="1">
        <v>0</v>
      </c>
      <c r="AC80" s="8">
        <v>0</v>
      </c>
      <c r="AD80" s="2" t="str">
        <f t="shared" si="16"/>
        <v>AttackEnd</v>
      </c>
      <c r="AE80" s="2" t="str" cm="1">
        <f t="array" ref="AE80">_xlfn.IFS(AD80="SignalHIt","TurnEnd",AD80="AttackBegin","TurnEnd",AD80="AttackEnd","TurnEnd",AD80="Immediately","Applied",AD80="None","None")</f>
        <v>TurnEnd</v>
      </c>
      <c r="AF80" s="2">
        <v>0</v>
      </c>
      <c r="AG80" s="1">
        <v>920001</v>
      </c>
      <c r="AH80" s="8">
        <f>X80+1</f>
        <v>33018022</v>
      </c>
      <c r="AI80" s="2" t="str">
        <f t="shared" si="17"/>
        <v>Immediately</v>
      </c>
      <c r="AJ80" s="2" t="str" cm="1">
        <f t="array" ref="AJ80">_xlfn.IFS(AI80="SignalHIt","TurnEnd",AI80="AttackBegin","TurnEnd",AI80="AttackEnd","TurnEnd",AI80="Immediately","Applied",AI80="None","None")</f>
        <v>Applied</v>
      </c>
      <c r="AK80" s="2">
        <v>0</v>
      </c>
      <c r="AL80" s="8">
        <v>0</v>
      </c>
      <c r="AM80" s="48">
        <v>0</v>
      </c>
      <c r="AN80" s="45" t="str">
        <f>IFERROR(_xlfn.XLOOKUP(W80,Target!$A:$A,Target!$B:$B),"None")</f>
        <v>논타겟 적 9칸</v>
      </c>
      <c r="AO80" s="43" t="str">
        <f>IFERROR(_xlfn.XLOOKUP($X80,'BuffValue&lt;Child&gt;'!$A:$A,'BuffValue&lt;Child&gt;'!$F:$F),"None")</f>
        <v>얼티밋 대미지</v>
      </c>
      <c r="AP80" s="43">
        <f>IFERROR(_xlfn.XLOOKUP($X80,'BuffValue&lt;Child&gt;'!$A:$A,'BuffValue&lt;Child&gt;'!$K:$K),0)</f>
        <v>160000</v>
      </c>
      <c r="AQ80" s="43" t="str">
        <f>IFERROR(_xlfn.XLOOKUP(AB80,Target!$A:$A,Target!$B:$B),"None")</f>
        <v>None</v>
      </c>
      <c r="AR80" s="45" t="str">
        <f>IFERROR(_xlfn.XLOOKUP($AC80,'BuffValue&lt;Child&gt;'!$A:$A,'BuffValue&lt;Child&gt;'!$F:$F),"None")</f>
        <v>None</v>
      </c>
      <c r="AS80" s="45">
        <f>IFERROR(_xlfn.XLOOKUP($AC80,'BuffValue&lt;Child&gt;'!$A:$A,'BuffValue&lt;Child&gt;'!$K:$K),0)</f>
        <v>0</v>
      </c>
      <c r="AT80" s="43" t="str">
        <f>IFERROR(_xlfn.XLOOKUP(AG80,Target!$A:$A,Target!$B:$B),"None")</f>
        <v>논타겟 적 9칸</v>
      </c>
      <c r="AU80" s="43" t="str">
        <f>IFERROR(_xlfn.XLOOKUP($AH80,'BuffValue&lt;Child&gt;'!$A:$A,'BuffValue&lt;Child&gt;'!$F:$F),"None")</f>
        <v>도발</v>
      </c>
      <c r="AV80" s="43">
        <f>IFERROR(_xlfn.XLOOKUP($AH80,'BuffValue&lt;Child&gt;'!$A:$A,'BuffValue&lt;Child&gt;'!$K:$K),0)</f>
        <v>0</v>
      </c>
      <c r="AW80" s="43" t="str">
        <f>IFERROR(_xlfn.XLOOKUP(AL80,Target!$A:$A,Target!$B:$B),"None")</f>
        <v>None</v>
      </c>
      <c r="AX80" s="43" t="str">
        <f>IFERROR(_xlfn.XLOOKUP($AM80,'BuffValue&lt;Child&gt;'!$A:$A,'BuffValue&lt;Child&gt;'!$F:$F),"None")</f>
        <v>None</v>
      </c>
      <c r="AY80" s="43">
        <f>IFERROR(_xlfn.XLOOKUP($AM80,#REF!,#REF!),0)</f>
        <v>0</v>
      </c>
    </row>
    <row r="81" spans="1:51" x14ac:dyDescent="0.3">
      <c r="A81" s="1">
        <f>INT(3&amp;MID(_xlfn.XLOOKUP(B81,[2]Timeline!$B:$B,[2]Timeline!$A:$A),2,5)&amp;3)</f>
        <v>3301803</v>
      </c>
      <c r="B81" s="7" t="s">
        <v>99</v>
      </c>
      <c r="C81" s="7" t="s">
        <v>256</v>
      </c>
      <c r="D81" s="7" t="s">
        <v>510</v>
      </c>
      <c r="E81" s="1" t="str">
        <f t="shared" si="12"/>
        <v>skill_name_3301803</v>
      </c>
      <c r="F81" s="1" t="s">
        <v>117</v>
      </c>
      <c r="G81" s="1" t="s">
        <v>395</v>
      </c>
      <c r="H81" s="1" t="str">
        <f t="shared" si="13"/>
        <v>skill_desc_3301803</v>
      </c>
      <c r="I81" s="1" t="s">
        <v>205</v>
      </c>
      <c r="J81" s="1" t="str">
        <f>IFERROR(_xlfn.XLOOKUP(W81,Target!A:A,Target!J:J),"")</f>
        <v>Skill_Target_Icon_Enemy</v>
      </c>
      <c r="K81" s="1" t="s">
        <v>205</v>
      </c>
      <c r="L81" s="1" t="str">
        <f>IFERROR(_xlfn.XLOOKUP(W81,Target!A:A,Target!K:K),"")</f>
        <v>Skill_Area_Icon_NonTarget_All</v>
      </c>
      <c r="M81" s="1" t="str">
        <f>_xlfn.XLOOKUP(B81,'[2]Detail&lt;Child&gt;'!$B:$B,'[2]Detail&lt;Child&gt;'!$M:$M)</f>
        <v>Forest</v>
      </c>
      <c r="N81" s="1" t="str">
        <f>_xlfn.XLOOKUP(B81,'[2]Detail&lt;Child&gt;'!$B:$B,'[2]Detail&lt;Child&gt;'!$N:$N)</f>
        <v>Defender</v>
      </c>
      <c r="O81" s="1" t="s">
        <v>140</v>
      </c>
      <c r="P81" s="33">
        <v>0</v>
      </c>
      <c r="Q81" s="68" t="str" cm="1">
        <f t="array" ref="Q81">_xlfn.IFS(R81="Move","Move",R81="NonTargetMove","Move",R81="Static","Stand",R81="None","Stand")</f>
        <v>Move</v>
      </c>
      <c r="R81" s="1" t="s">
        <v>153</v>
      </c>
      <c r="S81" s="1">
        <v>4</v>
      </c>
      <c r="T81" s="2" t="str">
        <f t="shared" si="14"/>
        <v>SignalHit</v>
      </c>
      <c r="U81" s="2" t="str" cm="1">
        <f t="array" ref="U81">_xlfn.IFS(T81="SignalHIt","TurnEnd",T81="AttackBegin","TurnEnd",T81="AttackEnd","TurnEnd",T81="Immediately","Applied",T81="None","None")</f>
        <v>TurnEnd</v>
      </c>
      <c r="V81" s="2">
        <v>0</v>
      </c>
      <c r="W81" s="1">
        <v>920001</v>
      </c>
      <c r="X81" s="8">
        <v>33018031</v>
      </c>
      <c r="Y81" s="1" t="str">
        <f t="shared" si="15"/>
        <v>Immediately</v>
      </c>
      <c r="Z81" s="2" t="str" cm="1">
        <f t="array" ref="Z81">_xlfn.IFS(Y81="SignalHIt","TurnEnd",Y81="AttackBegin","TurnEnd",Y81="AttackEnd","TurnEnd",Y81="Immediately","Applied",Y81="None","None")</f>
        <v>Applied</v>
      </c>
      <c r="AA81" s="2">
        <v>0</v>
      </c>
      <c r="AB81" s="1">
        <v>0</v>
      </c>
      <c r="AC81" s="8">
        <v>0</v>
      </c>
      <c r="AD81" s="2" t="str">
        <f t="shared" si="16"/>
        <v>AttackEnd</v>
      </c>
      <c r="AE81" s="2" t="str" cm="1">
        <f t="array" ref="AE81">_xlfn.IFS(AD81="SignalHIt","TurnEnd",AD81="AttackBegin","TurnEnd",AD81="AttackEnd","TurnEnd",AD81="Immediately","Applied",AD81="None","None")</f>
        <v>TurnEnd</v>
      </c>
      <c r="AF81" s="2">
        <v>0</v>
      </c>
      <c r="AG81" s="1">
        <v>920001</v>
      </c>
      <c r="AH81" s="8">
        <f>X81+1</f>
        <v>33018032</v>
      </c>
      <c r="AI81" s="2" t="str">
        <f t="shared" si="17"/>
        <v>Immediately</v>
      </c>
      <c r="AJ81" s="2" t="str" cm="1">
        <f t="array" ref="AJ81">_xlfn.IFS(AI81="SignalHIt","TurnEnd",AI81="AttackBegin","TurnEnd",AI81="AttackEnd","TurnEnd",AI81="Immediately","Applied",AI81="None","None")</f>
        <v>Applied</v>
      </c>
      <c r="AK81" s="2">
        <v>0</v>
      </c>
      <c r="AL81" s="8">
        <v>0</v>
      </c>
      <c r="AM81" s="48">
        <v>0</v>
      </c>
      <c r="AN81" s="45" t="str">
        <f>IFERROR(_xlfn.XLOOKUP(W81,Target!$A:$A,Target!$B:$B),"None")</f>
        <v>논타겟 적 9칸</v>
      </c>
      <c r="AO81" s="43" t="str">
        <f>IFERROR(_xlfn.XLOOKUP($X81,'BuffValue&lt;Child&gt;'!$A:$A,'BuffValue&lt;Child&gt;'!$F:$F),"None")</f>
        <v>얼티밋 대미지</v>
      </c>
      <c r="AP81" s="43">
        <f>IFERROR(_xlfn.XLOOKUP($X81,'BuffValue&lt;Child&gt;'!$A:$A,'BuffValue&lt;Child&gt;'!$K:$K),0)</f>
        <v>160000</v>
      </c>
      <c r="AQ81" s="43" t="str">
        <f>IFERROR(_xlfn.XLOOKUP(AB81,Target!$A:$A,Target!$B:$B),"None")</f>
        <v>None</v>
      </c>
      <c r="AR81" s="45" t="str">
        <f>IFERROR(_xlfn.XLOOKUP($AC81,'BuffValue&lt;Child&gt;'!$A:$A,'BuffValue&lt;Child&gt;'!$F:$F),"None")</f>
        <v>None</v>
      </c>
      <c r="AS81" s="45">
        <f>IFERROR(_xlfn.XLOOKUP($AC81,'BuffValue&lt;Child&gt;'!$A:$A,'BuffValue&lt;Child&gt;'!$K:$K),0)</f>
        <v>0</v>
      </c>
      <c r="AT81" s="43" t="str">
        <f>IFERROR(_xlfn.XLOOKUP(AG81,Target!$A:$A,Target!$B:$B),"None")</f>
        <v>논타겟 적 9칸</v>
      </c>
      <c r="AU81" s="43" t="str">
        <f>IFERROR(_xlfn.XLOOKUP($AH81,'BuffValue&lt;Child&gt;'!$A:$A,'BuffValue&lt;Child&gt;'!$F:$F),"None")</f>
        <v>도발</v>
      </c>
      <c r="AV81" s="43">
        <f>IFERROR(_xlfn.XLOOKUP($AH81,'BuffValue&lt;Child&gt;'!$A:$A,'BuffValue&lt;Child&gt;'!$K:$K),0)</f>
        <v>0</v>
      </c>
      <c r="AW81" s="43" t="str">
        <f>IFERROR(_xlfn.XLOOKUP(AL81,Target!$A:$A,Target!$B:$B),"None")</f>
        <v>None</v>
      </c>
      <c r="AX81" s="43" t="str">
        <f>IFERROR(_xlfn.XLOOKUP($AM81,'BuffValue&lt;Child&gt;'!$A:$A,'BuffValue&lt;Child&gt;'!$F:$F),"None")</f>
        <v>None</v>
      </c>
      <c r="AY81" s="43">
        <f>IFERROR(_xlfn.XLOOKUP($AM81,#REF!,#REF!),0)</f>
        <v>0</v>
      </c>
    </row>
    <row r="82" spans="1:51" x14ac:dyDescent="0.3">
      <c r="A82" s="1">
        <f>INT(4&amp;MID(_xlfn.XLOOKUP(B82,[2]Timeline!$B:$B,[2]Timeline!$A:$A),2,5)&amp;1)</f>
        <v>4301801</v>
      </c>
      <c r="B82" s="7" t="s">
        <v>99</v>
      </c>
      <c r="C82" s="7" t="s">
        <v>122</v>
      </c>
      <c r="D82" s="7" t="s">
        <v>340</v>
      </c>
      <c r="E82" s="1" t="str">
        <f t="shared" si="12"/>
        <v>skill_name_4301801</v>
      </c>
      <c r="F82" s="1" t="s">
        <v>117</v>
      </c>
      <c r="G82" s="1" t="s">
        <v>466</v>
      </c>
      <c r="H82" s="1" t="str">
        <f t="shared" si="13"/>
        <v>skill_desc_4301801</v>
      </c>
      <c r="I82" s="1" t="s">
        <v>205</v>
      </c>
      <c r="J82" s="1" t="str">
        <f>IFERROR(_xlfn.XLOOKUP(W82,Target!A:A,Target!J:J),"")</f>
        <v>Skill_Target_Icon_Ally</v>
      </c>
      <c r="K82" s="1" t="s">
        <v>205</v>
      </c>
      <c r="L82" s="1" t="str">
        <f>IFERROR(_xlfn.XLOOKUP(W82,Target!A:A,Target!K:K),"")</f>
        <v>Skill_Area_Icon_Pivot_Centor</v>
      </c>
      <c r="M82" s="1" t="str">
        <f>_xlfn.XLOOKUP(B82,'[2]Detail&lt;Child&gt;'!$B:$B,'[2]Detail&lt;Child&gt;'!$M:$M)</f>
        <v>Forest</v>
      </c>
      <c r="N82" s="1" t="str">
        <f>_xlfn.XLOOKUP(B82,'[2]Detail&lt;Child&gt;'!$B:$B,'[2]Detail&lt;Child&gt;'!$N:$N)</f>
        <v>Defender</v>
      </c>
      <c r="O82" s="1" t="s">
        <v>167</v>
      </c>
      <c r="P82" s="33">
        <v>0</v>
      </c>
      <c r="Q82" s="68" t="str" cm="1">
        <f t="array" ref="Q82">_xlfn.IFS(R82="Move","Move",R82="NonTargetMove","Move",R82="Static","Stand",R82="None","Stand")</f>
        <v>Stand</v>
      </c>
      <c r="R82" s="1" t="s">
        <v>136</v>
      </c>
      <c r="S82" s="1">
        <f t="shared" ref="S82:S92" si="18">IF(R82="Static",0,1)</f>
        <v>0</v>
      </c>
      <c r="T82" s="2" t="str">
        <f t="shared" si="14"/>
        <v>Immediately</v>
      </c>
      <c r="U82" s="2" t="str" cm="1">
        <f t="array" ref="U82">_xlfn.IFS(T82="SignalHIt","TurnEnd",T82="AttackBegin","TurnEnd",T82="AttackEnd","TurnEnd",T82="Immediately","Applied",T82="None","None")</f>
        <v>Applied</v>
      </c>
      <c r="V82" s="2">
        <v>0</v>
      </c>
      <c r="W82" s="1">
        <v>1000000</v>
      </c>
      <c r="X82" s="8">
        <v>43018011</v>
      </c>
      <c r="Y82" s="1" t="str">
        <f t="shared" si="15"/>
        <v>Immediately</v>
      </c>
      <c r="Z82" s="2" t="str" cm="1">
        <f t="array" ref="Z82">_xlfn.IFS(Y82="SignalHIt","TurnEnd",Y82="AttackBegin","TurnEnd",Y82="AttackEnd","TurnEnd",Y82="Immediately","Applied",Y82="None","None")</f>
        <v>Applied</v>
      </c>
      <c r="AA82" s="2">
        <v>0</v>
      </c>
      <c r="AB82" s="1">
        <v>0</v>
      </c>
      <c r="AC82" s="8">
        <v>0</v>
      </c>
      <c r="AD82" s="2" t="str">
        <f t="shared" si="16"/>
        <v>Immediately</v>
      </c>
      <c r="AE82" s="2" t="str" cm="1">
        <f t="array" ref="AE82">_xlfn.IFS(AD82="SignalHIt","TurnEnd",AD82="AttackBegin","TurnEnd",AD82="AttackEnd","TurnEnd",AD82="Immediately","Applied",AD82="None","None")</f>
        <v>Applied</v>
      </c>
      <c r="AF82" s="2">
        <v>0</v>
      </c>
      <c r="AG82" s="1">
        <v>0</v>
      </c>
      <c r="AH82" s="8">
        <v>0</v>
      </c>
      <c r="AI82" s="2" t="str">
        <f t="shared" si="17"/>
        <v>Immediately</v>
      </c>
      <c r="AJ82" s="2" t="str" cm="1">
        <f t="array" ref="AJ82">_xlfn.IFS(AI82="SignalHIt","TurnEnd",AI82="AttackBegin","TurnEnd",AI82="AttackEnd","TurnEnd",AI82="Immediately","Applied",AI82="None","None")</f>
        <v>Applied</v>
      </c>
      <c r="AK82" s="2">
        <v>0</v>
      </c>
      <c r="AL82" s="8">
        <v>0</v>
      </c>
      <c r="AM82" s="48">
        <v>0</v>
      </c>
      <c r="AN82" s="45" t="str">
        <f>IFERROR(_xlfn.XLOOKUP(W82,Target!$A:$A,Target!$B:$B),"None")</f>
        <v>모든 아군</v>
      </c>
      <c r="AO82" s="43" t="str">
        <f>IFERROR(_xlfn.XLOOKUP($X82,'BuffValue&lt;Child&gt;'!$A:$A,'BuffValue&lt;Child&gt;'!$F:$F),"None")</f>
        <v>도발 개수 비례 방어력 증가</v>
      </c>
      <c r="AP82" s="43">
        <f>IFERROR(_xlfn.XLOOKUP($X82,'BuffValue&lt;Child&gt;'!$A:$A,'BuffValue&lt;Child&gt;'!$K:$K),0)</f>
        <v>12000</v>
      </c>
      <c r="AQ82" s="43" t="str">
        <f>IFERROR(_xlfn.XLOOKUP(AB82,Target!$A:$A,Target!$B:$B),"None")</f>
        <v>None</v>
      </c>
      <c r="AR82" s="45" t="str">
        <f>IFERROR(_xlfn.XLOOKUP($AC82,'BuffValue&lt;Child&gt;'!$A:$A,'BuffValue&lt;Child&gt;'!$F:$F),"None")</f>
        <v>None</v>
      </c>
      <c r="AS82" s="45">
        <f>IFERROR(_xlfn.XLOOKUP($AC82,'BuffValue&lt;Child&gt;'!$A:$A,'BuffValue&lt;Child&gt;'!$K:$K),0)</f>
        <v>0</v>
      </c>
      <c r="AT82" s="43" t="str">
        <f>IFERROR(_xlfn.XLOOKUP(AG82,Target!$A:$A,Target!$B:$B),"None")</f>
        <v>None</v>
      </c>
      <c r="AU82" s="43" t="str">
        <f>IFERROR(_xlfn.XLOOKUP($AH82,'BuffValue&lt;Child&gt;'!$A:$A,'BuffValue&lt;Child&gt;'!$F:$F),"None")</f>
        <v>None</v>
      </c>
      <c r="AV82" s="43">
        <f>IFERROR(_xlfn.XLOOKUP($AH82,'BuffValue&lt;Child&gt;'!$A:$A,'BuffValue&lt;Child&gt;'!$K:$K),0)</f>
        <v>0</v>
      </c>
      <c r="AW82" s="43" t="str">
        <f>IFERROR(_xlfn.XLOOKUP(AL82,Target!$A:$A,Target!$B:$B),"None")</f>
        <v>None</v>
      </c>
      <c r="AX82" s="43" t="str">
        <f>IFERROR(_xlfn.XLOOKUP($AM82,'BuffValue&lt;Child&gt;'!$A:$A,'BuffValue&lt;Child&gt;'!$F:$F),"None")</f>
        <v>None</v>
      </c>
      <c r="AY82" s="43">
        <f>IFERROR(_xlfn.XLOOKUP($AM82,#REF!,#REF!),0)</f>
        <v>0</v>
      </c>
    </row>
    <row r="83" spans="1:51" x14ac:dyDescent="0.3">
      <c r="A83" s="1">
        <f>INT(4&amp;MID(_xlfn.XLOOKUP(B83,[2]Timeline!$B:$B,[2]Timeline!$A:$A),2,5)&amp;2)</f>
        <v>4301802</v>
      </c>
      <c r="B83" s="7" t="s">
        <v>99</v>
      </c>
      <c r="C83" s="7" t="s">
        <v>122</v>
      </c>
      <c r="D83" s="7" t="s">
        <v>340</v>
      </c>
      <c r="E83" s="1" t="str">
        <f t="shared" si="12"/>
        <v>skill_name_4301802</v>
      </c>
      <c r="F83" s="1" t="s">
        <v>117</v>
      </c>
      <c r="G83" s="1" t="s">
        <v>466</v>
      </c>
      <c r="H83" s="1" t="str">
        <f t="shared" si="13"/>
        <v>skill_desc_4301802</v>
      </c>
      <c r="I83" s="1" t="s">
        <v>205</v>
      </c>
      <c r="J83" s="1" t="str">
        <f>IFERROR(_xlfn.XLOOKUP(W83,Target!A:A,Target!J:J),"")</f>
        <v>Skill_Target_Icon_Ally</v>
      </c>
      <c r="K83" s="1" t="s">
        <v>205</v>
      </c>
      <c r="L83" s="1" t="str">
        <f>IFERROR(_xlfn.XLOOKUP(W83,Target!A:A,Target!K:K),"")</f>
        <v>Skill_Area_Icon_Pivot_Centor</v>
      </c>
      <c r="M83" s="1" t="str">
        <f>_xlfn.XLOOKUP(B83,'[2]Detail&lt;Child&gt;'!$B:$B,'[2]Detail&lt;Child&gt;'!$M:$M)</f>
        <v>Forest</v>
      </c>
      <c r="N83" s="1" t="str">
        <f>_xlfn.XLOOKUP(B83,'[2]Detail&lt;Child&gt;'!$B:$B,'[2]Detail&lt;Child&gt;'!$N:$N)</f>
        <v>Defender</v>
      </c>
      <c r="O83" s="1" t="s">
        <v>167</v>
      </c>
      <c r="P83" s="33">
        <v>0</v>
      </c>
      <c r="Q83" s="68" t="str" cm="1">
        <f t="array" ref="Q83">_xlfn.IFS(R83="Move","Move",R83="NonTargetMove","Move",R83="Static","Stand",R83="None","Stand")</f>
        <v>Stand</v>
      </c>
      <c r="R83" s="1" t="s">
        <v>136</v>
      </c>
      <c r="S83" s="1">
        <f t="shared" si="18"/>
        <v>0</v>
      </c>
      <c r="T83" s="2" t="str">
        <f t="shared" si="14"/>
        <v>Immediately</v>
      </c>
      <c r="U83" s="2" t="str" cm="1">
        <f t="array" ref="U83">_xlfn.IFS(T83="SignalHIt","TurnEnd",T83="AttackBegin","TurnEnd",T83="AttackEnd","TurnEnd",T83="Immediately","Applied",T83="None","None")</f>
        <v>Applied</v>
      </c>
      <c r="V83" s="2">
        <v>0</v>
      </c>
      <c r="W83" s="1">
        <v>1000000</v>
      </c>
      <c r="X83" s="8">
        <v>43018021</v>
      </c>
      <c r="Y83" s="1" t="str">
        <f t="shared" si="15"/>
        <v>Immediately</v>
      </c>
      <c r="Z83" s="2" t="str" cm="1">
        <f t="array" ref="Z83">_xlfn.IFS(Y83="SignalHIt","TurnEnd",Y83="AttackBegin","TurnEnd",Y83="AttackEnd","TurnEnd",Y83="Immediately","Applied",Y83="None","None")</f>
        <v>Applied</v>
      </c>
      <c r="AA83" s="2">
        <v>0</v>
      </c>
      <c r="AB83" s="1">
        <v>0</v>
      </c>
      <c r="AC83" s="8">
        <v>0</v>
      </c>
      <c r="AD83" s="2" t="str">
        <f t="shared" si="16"/>
        <v>Immediately</v>
      </c>
      <c r="AE83" s="2" t="str" cm="1">
        <f t="array" ref="AE83">_xlfn.IFS(AD83="SignalHIt","TurnEnd",AD83="AttackBegin","TurnEnd",AD83="AttackEnd","TurnEnd",AD83="Immediately","Applied",AD83="None","None")</f>
        <v>Applied</v>
      </c>
      <c r="AF83" s="2">
        <v>0</v>
      </c>
      <c r="AG83" s="1">
        <v>0</v>
      </c>
      <c r="AH83" s="8">
        <v>0</v>
      </c>
      <c r="AI83" s="2" t="str">
        <f t="shared" si="17"/>
        <v>Immediately</v>
      </c>
      <c r="AJ83" s="2" t="str" cm="1">
        <f t="array" ref="AJ83">_xlfn.IFS(AI83="SignalHIt","TurnEnd",AI83="AttackBegin","TurnEnd",AI83="AttackEnd","TurnEnd",AI83="Immediately","Applied",AI83="None","None")</f>
        <v>Applied</v>
      </c>
      <c r="AK83" s="2">
        <v>0</v>
      </c>
      <c r="AL83" s="8">
        <v>0</v>
      </c>
      <c r="AM83" s="48">
        <v>0</v>
      </c>
      <c r="AN83" s="45" t="str">
        <f>IFERROR(_xlfn.XLOOKUP(W83,Target!$A:$A,Target!$B:$B),"None")</f>
        <v>모든 아군</v>
      </c>
      <c r="AO83" s="43" t="str">
        <f>IFERROR(_xlfn.XLOOKUP($X83,'BuffValue&lt;Child&gt;'!$A:$A,'BuffValue&lt;Child&gt;'!$F:$F),"None")</f>
        <v>도발 개수 비례 방어력 증가</v>
      </c>
      <c r="AP83" s="43">
        <f>IFERROR(_xlfn.XLOOKUP($X83,'BuffValue&lt;Child&gt;'!$A:$A,'BuffValue&lt;Child&gt;'!$K:$K),0)</f>
        <v>12000</v>
      </c>
      <c r="AQ83" s="43" t="str">
        <f>IFERROR(_xlfn.XLOOKUP(AB83,Target!$A:$A,Target!$B:$B),"None")</f>
        <v>None</v>
      </c>
      <c r="AR83" s="45" t="str">
        <f>IFERROR(_xlfn.XLOOKUP($AC83,'BuffValue&lt;Child&gt;'!$A:$A,'BuffValue&lt;Child&gt;'!$F:$F),"None")</f>
        <v>None</v>
      </c>
      <c r="AS83" s="45">
        <f>IFERROR(_xlfn.XLOOKUP($AC83,'BuffValue&lt;Child&gt;'!$A:$A,'BuffValue&lt;Child&gt;'!$K:$K),0)</f>
        <v>0</v>
      </c>
      <c r="AT83" s="43" t="str">
        <f>IFERROR(_xlfn.XLOOKUP(AG83,Target!$A:$A,Target!$B:$B),"None")</f>
        <v>None</v>
      </c>
      <c r="AU83" s="43" t="str">
        <f>IFERROR(_xlfn.XLOOKUP($AH83,'BuffValue&lt;Child&gt;'!$A:$A,'BuffValue&lt;Child&gt;'!$F:$F),"None")</f>
        <v>None</v>
      </c>
      <c r="AV83" s="43">
        <f>IFERROR(_xlfn.XLOOKUP($AH83,'BuffValue&lt;Child&gt;'!$A:$A,'BuffValue&lt;Child&gt;'!$K:$K),0)</f>
        <v>0</v>
      </c>
      <c r="AW83" s="43" t="str">
        <f>IFERROR(_xlfn.XLOOKUP(AL83,Target!$A:$A,Target!$B:$B),"None")</f>
        <v>None</v>
      </c>
      <c r="AX83" s="43" t="str">
        <f>IFERROR(_xlfn.XLOOKUP($AM83,'BuffValue&lt;Child&gt;'!$A:$A,'BuffValue&lt;Child&gt;'!$F:$F),"None")</f>
        <v>None</v>
      </c>
      <c r="AY83" s="43">
        <f>IFERROR(_xlfn.XLOOKUP($AM83,#REF!,#REF!),0)</f>
        <v>0</v>
      </c>
    </row>
    <row r="84" spans="1:51" s="11" customFormat="1" x14ac:dyDescent="0.3">
      <c r="A84" s="11">
        <f>INT(1&amp;MID(_xlfn.XLOOKUP(B84,[2]Timeline!$B:$B,[2]Timeline!$A:$A),2,5)&amp;1)</f>
        <v>1300011</v>
      </c>
      <c r="B84" s="12" t="s">
        <v>121</v>
      </c>
      <c r="C84" s="12" t="s">
        <v>257</v>
      </c>
      <c r="D84" s="12" t="s">
        <v>341</v>
      </c>
      <c r="E84" s="11" t="str">
        <f t="shared" si="12"/>
        <v>skill_name_1300011</v>
      </c>
      <c r="F84" s="11" t="s">
        <v>117</v>
      </c>
      <c r="G84" s="11" t="s">
        <v>468</v>
      </c>
      <c r="H84" s="11" t="str">
        <f t="shared" si="13"/>
        <v>skill_desc_1300011</v>
      </c>
      <c r="I84" s="11" t="s">
        <v>205</v>
      </c>
      <c r="J84" s="11" t="str">
        <f>IFERROR(_xlfn.XLOOKUP(W84,Target!A:A,Target!J:J),"")</f>
        <v>Skill_Target_Icon_Enemy_Near_One</v>
      </c>
      <c r="K84" s="11" t="s">
        <v>205</v>
      </c>
      <c r="L84" s="11" t="str">
        <f>IFERROR(_xlfn.XLOOKUP(W84,Target!A:A,Target!K:K),"")</f>
        <v>Skill_Area_Icon_Pivot_Centor</v>
      </c>
      <c r="M84" s="11" t="str">
        <f>_xlfn.XLOOKUP(B84,'[2]Detail&lt;Child&gt;'!$B:$B,'[2]Detail&lt;Child&gt;'!$M:$M)</f>
        <v>Dark</v>
      </c>
      <c r="N84" s="11" t="str">
        <f>_xlfn.XLOOKUP(B84,'[2]Detail&lt;Child&gt;'!$B:$B,'[2]Detail&lt;Child&gt;'!$N:$N)</f>
        <v>Defender</v>
      </c>
      <c r="O84" s="11" t="s">
        <v>30</v>
      </c>
      <c r="P84" s="34">
        <v>0</v>
      </c>
      <c r="Q84" s="69" t="str" cm="1">
        <f t="array" ref="Q84">_xlfn.IFS(R84="Move","Move",R84="NonTargetMove","Move",R84="Static","Stand",R84="None","Stand")</f>
        <v>Move</v>
      </c>
      <c r="R84" s="11" t="s">
        <v>137</v>
      </c>
      <c r="S84" s="11">
        <f t="shared" si="18"/>
        <v>1</v>
      </c>
      <c r="T84" s="15" t="str">
        <f t="shared" si="14"/>
        <v>SignalHit</v>
      </c>
      <c r="U84" s="15" t="str" cm="1">
        <f t="array" ref="U84">_xlfn.IFS(T84="SignalHIt","TurnEnd",T84="AttackBegin","TurnEnd",T84="AttackEnd","TurnEnd",T84="Immediately","Applied",T84="None","None")</f>
        <v>TurnEnd</v>
      </c>
      <c r="V84" s="15">
        <v>0</v>
      </c>
      <c r="W84" s="11">
        <v>2000011</v>
      </c>
      <c r="X84" s="10">
        <v>13000111</v>
      </c>
      <c r="Y84" s="11" t="str">
        <f t="shared" si="15"/>
        <v>Immediately</v>
      </c>
      <c r="Z84" s="15" t="str" cm="1">
        <f t="array" ref="Z84">_xlfn.IFS(Y84="SignalHIt","TurnEnd",Y84="AttackBegin","TurnEnd",Y84="AttackEnd","TurnEnd",Y84="Immediately","Applied",Y84="None","None")</f>
        <v>Applied</v>
      </c>
      <c r="AA84" s="15">
        <v>0</v>
      </c>
      <c r="AB84" s="11">
        <v>0</v>
      </c>
      <c r="AC84" s="10">
        <v>0</v>
      </c>
      <c r="AD84" s="15" t="str">
        <f t="shared" si="16"/>
        <v>Immediately</v>
      </c>
      <c r="AE84" s="15" t="str" cm="1">
        <f t="array" ref="AE84">_xlfn.IFS(AD84="SignalHIt","TurnEnd",AD84="AttackBegin","TurnEnd",AD84="AttackEnd","TurnEnd",AD84="Immediately","Applied",AD84="None","None")</f>
        <v>Applied</v>
      </c>
      <c r="AF84" s="15">
        <v>0</v>
      </c>
      <c r="AG84" s="11">
        <v>0</v>
      </c>
      <c r="AH84" s="10">
        <v>0</v>
      </c>
      <c r="AI84" s="15" t="str">
        <f t="shared" si="17"/>
        <v>Immediately</v>
      </c>
      <c r="AJ84" s="15" t="str" cm="1">
        <f t="array" ref="AJ84">_xlfn.IFS(AI84="SignalHIt","TurnEnd",AI84="AttackBegin","TurnEnd",AI84="AttackEnd","TurnEnd",AI84="Immediately","Applied",AI84="None","None")</f>
        <v>Applied</v>
      </c>
      <c r="AK84" s="15">
        <v>0</v>
      </c>
      <c r="AL84" s="10">
        <v>0</v>
      </c>
      <c r="AM84" s="50">
        <v>0</v>
      </c>
      <c r="AN84" s="46" t="str">
        <f>IFERROR(_xlfn.XLOOKUP(W84,Target!$A:$A,Target!$B:$B),"None")</f>
        <v xml:space="preserve">가까운 적 1명 </v>
      </c>
      <c r="AO84" s="47" t="str">
        <f>IFERROR(_xlfn.XLOOKUP($X84,'BuffValue&lt;Child&gt;'!$A:$A,'BuffValue&lt;Child&gt;'!$F:$F),"None")</f>
        <v>공용 대미지</v>
      </c>
      <c r="AP84" s="47">
        <f>IFERROR(_xlfn.XLOOKUP($X84,'BuffValue&lt;Child&gt;'!$A:$A,'BuffValue&lt;Child&gt;'!$K:$K),0)</f>
        <v>120000</v>
      </c>
      <c r="AQ84" s="47" t="str">
        <f>IFERROR(_xlfn.XLOOKUP(AB84,Target!$A:$A,Target!$B:$B),"None")</f>
        <v>None</v>
      </c>
      <c r="AR84" s="46" t="str">
        <f>IFERROR(_xlfn.XLOOKUP($AC84,'BuffValue&lt;Child&gt;'!$A:$A,'BuffValue&lt;Child&gt;'!$F:$F),"None")</f>
        <v>None</v>
      </c>
      <c r="AS84" s="46">
        <f>IFERROR(_xlfn.XLOOKUP($AC84,'BuffValue&lt;Child&gt;'!$A:$A,'BuffValue&lt;Child&gt;'!$K:$K),0)</f>
        <v>0</v>
      </c>
      <c r="AT84" s="47" t="str">
        <f>IFERROR(_xlfn.XLOOKUP(AG84,Target!$A:$A,Target!$B:$B),"None")</f>
        <v>None</v>
      </c>
      <c r="AU84" s="47" t="str">
        <f>IFERROR(_xlfn.XLOOKUP($AH84,'BuffValue&lt;Child&gt;'!$A:$A,'BuffValue&lt;Child&gt;'!$F:$F),"None")</f>
        <v>None</v>
      </c>
      <c r="AV84" s="47">
        <f>IFERROR(_xlfn.XLOOKUP($AH84,'BuffValue&lt;Child&gt;'!$A:$A,'BuffValue&lt;Child&gt;'!$K:$K),0)</f>
        <v>0</v>
      </c>
      <c r="AW84" s="47" t="str">
        <f>IFERROR(_xlfn.XLOOKUP(AL84,Target!$A:$A,Target!$B:$B),"None")</f>
        <v>None</v>
      </c>
      <c r="AX84" s="47" t="str">
        <f>IFERROR(_xlfn.XLOOKUP($AM84,'BuffValue&lt;Child&gt;'!$A:$A,'BuffValue&lt;Child&gt;'!$F:$F),"None")</f>
        <v>None</v>
      </c>
      <c r="AY84" s="47">
        <f>IFERROR(_xlfn.XLOOKUP($AM84,#REF!,#REF!),0)</f>
        <v>0</v>
      </c>
    </row>
    <row r="85" spans="1:51" x14ac:dyDescent="0.3">
      <c r="A85" s="1">
        <f>INT(2&amp;MID(_xlfn.XLOOKUP(B85,[2]Timeline!$B:$B,[2]Timeline!$A:$A),2,5)&amp;1)</f>
        <v>2300011</v>
      </c>
      <c r="B85" s="7" t="s">
        <v>120</v>
      </c>
      <c r="C85" s="7" t="s">
        <v>258</v>
      </c>
      <c r="D85" s="7" t="s">
        <v>341</v>
      </c>
      <c r="E85" s="1" t="str">
        <f t="shared" si="12"/>
        <v>skill_name_2300011</v>
      </c>
      <c r="F85" s="1" t="s">
        <v>117</v>
      </c>
      <c r="G85" s="1" t="s">
        <v>467</v>
      </c>
      <c r="H85" s="1" t="str">
        <f t="shared" si="13"/>
        <v>skill_desc_2300011</v>
      </c>
      <c r="I85" s="1" t="s">
        <v>205</v>
      </c>
      <c r="J85" s="1" t="str">
        <f>IFERROR(_xlfn.XLOOKUP(W85,Target!A:A,Target!J:J),"")</f>
        <v>Skill_Target_Icon_Enemy_Near_One</v>
      </c>
      <c r="K85" s="1" t="s">
        <v>205</v>
      </c>
      <c r="L85" s="1" t="str">
        <f>IFERROR(_xlfn.XLOOKUP(W85,Target!A:A,Target!K:K),"")</f>
        <v>Skill_Area_Icon_Pivot_Centor</v>
      </c>
      <c r="M85" s="1" t="str">
        <f>_xlfn.XLOOKUP(B85,'[2]Detail&lt;Child&gt;'!$B:$B,'[2]Detail&lt;Child&gt;'!$M:$M)</f>
        <v>Dark</v>
      </c>
      <c r="N85" s="1" t="str">
        <f>_xlfn.XLOOKUP(B85,'[2]Detail&lt;Child&gt;'!$B:$B,'[2]Detail&lt;Child&gt;'!$N:$N)</f>
        <v>Defender</v>
      </c>
      <c r="O85" s="1" t="s">
        <v>33</v>
      </c>
      <c r="P85" s="33">
        <v>3</v>
      </c>
      <c r="Q85" s="68" t="str" cm="1">
        <f t="array" ref="Q85">_xlfn.IFS(R85="Move","Move",R85="NonTargetMove","Move",R85="Static","Stand",R85="None","Stand")</f>
        <v>Move</v>
      </c>
      <c r="R85" s="1" t="s">
        <v>137</v>
      </c>
      <c r="S85" s="1">
        <f t="shared" si="18"/>
        <v>1</v>
      </c>
      <c r="T85" s="2" t="str">
        <f t="shared" si="14"/>
        <v>SignalHit</v>
      </c>
      <c r="U85" s="2" t="str" cm="1">
        <f t="array" ref="U85">_xlfn.IFS(T85="SignalHIt","TurnEnd",T85="AttackBegin","TurnEnd",T85="AttackEnd","TurnEnd",T85="Immediately","Applied",T85="None","None")</f>
        <v>TurnEnd</v>
      </c>
      <c r="V85" s="2">
        <v>0</v>
      </c>
      <c r="W85" s="1">
        <v>2000011</v>
      </c>
      <c r="X85" s="8">
        <v>23000111</v>
      </c>
      <c r="Y85" s="1" t="str">
        <f t="shared" si="15"/>
        <v>Immediately</v>
      </c>
      <c r="Z85" s="2" t="str" cm="1">
        <f t="array" ref="Z85">_xlfn.IFS(Y85="SignalHIt","TurnEnd",Y85="AttackBegin","TurnEnd",Y85="AttackEnd","TurnEnd",Y85="Immediately","Applied",Y85="None","None")</f>
        <v>Applied</v>
      </c>
      <c r="AA85" s="2">
        <v>0</v>
      </c>
      <c r="AB85" s="1">
        <v>0</v>
      </c>
      <c r="AC85" s="8">
        <v>0</v>
      </c>
      <c r="AD85" s="2" t="str">
        <f t="shared" si="16"/>
        <v>Immediately</v>
      </c>
      <c r="AE85" s="2" t="str" cm="1">
        <f t="array" ref="AE85">_xlfn.IFS(AD85="SignalHIt","TurnEnd",AD85="AttackBegin","TurnEnd",AD85="AttackEnd","TurnEnd",AD85="Immediately","Applied",AD85="None","None")</f>
        <v>Applied</v>
      </c>
      <c r="AF85" s="2">
        <v>0</v>
      </c>
      <c r="AG85" s="1">
        <v>0</v>
      </c>
      <c r="AH85" s="8">
        <v>0</v>
      </c>
      <c r="AI85" s="2" t="str">
        <f t="shared" si="17"/>
        <v>Immediately</v>
      </c>
      <c r="AJ85" s="2" t="str" cm="1">
        <f t="array" ref="AJ85">_xlfn.IFS(AI85="SignalHIt","TurnEnd",AI85="AttackBegin","TurnEnd",AI85="AttackEnd","TurnEnd",AI85="Immediately","Applied",AI85="None","None")</f>
        <v>Applied</v>
      </c>
      <c r="AK85" s="2">
        <v>0</v>
      </c>
      <c r="AL85" s="8">
        <v>0</v>
      </c>
      <c r="AM85" s="48">
        <v>0</v>
      </c>
      <c r="AN85" s="45" t="str">
        <f>IFERROR(_xlfn.XLOOKUP(W85,Target!$A:$A,Target!$B:$B),"None")</f>
        <v xml:space="preserve">가까운 적 1명 </v>
      </c>
      <c r="AO85" s="43" t="str">
        <f>IFERROR(_xlfn.XLOOKUP($X85,'BuffValue&lt;Child&gt;'!$A:$A,'BuffValue&lt;Child&gt;'!$F:$F),"None")</f>
        <v>액티브 대미지</v>
      </c>
      <c r="AP85" s="43">
        <f>IFERROR(_xlfn.XLOOKUP($X85,'BuffValue&lt;Child&gt;'!$A:$A,'BuffValue&lt;Child&gt;'!$K:$K),0)</f>
        <v>140000</v>
      </c>
      <c r="AQ85" s="43" t="str">
        <f>IFERROR(_xlfn.XLOOKUP(AB85,Target!$A:$A,Target!$B:$B),"None")</f>
        <v>None</v>
      </c>
      <c r="AR85" s="45" t="str">
        <f>IFERROR(_xlfn.XLOOKUP($AC85,'BuffValue&lt;Child&gt;'!$A:$A,'BuffValue&lt;Child&gt;'!$F:$F),"None")</f>
        <v>None</v>
      </c>
      <c r="AS85" s="45">
        <f>IFERROR(_xlfn.XLOOKUP($AC85,'BuffValue&lt;Child&gt;'!$A:$A,'BuffValue&lt;Child&gt;'!$K:$K),0)</f>
        <v>0</v>
      </c>
      <c r="AT85" s="43" t="str">
        <f>IFERROR(_xlfn.XLOOKUP(AG85,Target!$A:$A,Target!$B:$B),"None")</f>
        <v>None</v>
      </c>
      <c r="AU85" s="43" t="str">
        <f>IFERROR(_xlfn.XLOOKUP($AH85,'BuffValue&lt;Child&gt;'!$A:$A,'BuffValue&lt;Child&gt;'!$F:$F),"None")</f>
        <v>None</v>
      </c>
      <c r="AV85" s="43">
        <f>IFERROR(_xlfn.XLOOKUP($AH85,'BuffValue&lt;Child&gt;'!$A:$A,'BuffValue&lt;Child&gt;'!$K:$K),0)</f>
        <v>0</v>
      </c>
      <c r="AW85" s="43" t="str">
        <f>IFERROR(_xlfn.XLOOKUP(AL85,Target!$A:$A,Target!$B:$B),"None")</f>
        <v>None</v>
      </c>
      <c r="AX85" s="43" t="str">
        <f>IFERROR(_xlfn.XLOOKUP($AM85,'BuffValue&lt;Child&gt;'!$A:$A,'BuffValue&lt;Child&gt;'!$F:$F),"None")</f>
        <v>None</v>
      </c>
      <c r="AY85" s="43">
        <f>IFERROR(_xlfn.XLOOKUP($AM85,#REF!,#REF!),0)</f>
        <v>0</v>
      </c>
    </row>
    <row r="86" spans="1:51" x14ac:dyDescent="0.3">
      <c r="A86" s="1">
        <f>INT(2&amp;MID(_xlfn.XLOOKUP(B86,[2]Timeline!$B:$B,[2]Timeline!$A:$A),2,5)&amp;2)</f>
        <v>2300012</v>
      </c>
      <c r="B86" s="7" t="s">
        <v>120</v>
      </c>
      <c r="C86" s="7" t="s">
        <v>258</v>
      </c>
      <c r="D86" s="7" t="s">
        <v>341</v>
      </c>
      <c r="E86" s="1" t="str">
        <f t="shared" si="12"/>
        <v>skill_name_2300012</v>
      </c>
      <c r="F86" s="1" t="s">
        <v>117</v>
      </c>
      <c r="G86" s="1" t="s">
        <v>467</v>
      </c>
      <c r="H86" s="1" t="str">
        <f t="shared" si="13"/>
        <v>skill_desc_2300012</v>
      </c>
      <c r="I86" s="1" t="s">
        <v>205</v>
      </c>
      <c r="J86" s="1" t="str">
        <f>IFERROR(_xlfn.XLOOKUP(W86,Target!A:A,Target!J:J),"")</f>
        <v>Skill_Target_Icon_Enemy_Near_One</v>
      </c>
      <c r="K86" s="1" t="s">
        <v>205</v>
      </c>
      <c r="L86" s="1" t="str">
        <f>IFERROR(_xlfn.XLOOKUP(W86,Target!A:A,Target!K:K),"")</f>
        <v>Skill_Area_Icon_Pivot_Centor</v>
      </c>
      <c r="M86" s="1" t="str">
        <f>_xlfn.XLOOKUP(B86,'[2]Detail&lt;Child&gt;'!$B:$B,'[2]Detail&lt;Child&gt;'!$M:$M)</f>
        <v>Dark</v>
      </c>
      <c r="N86" s="1" t="str">
        <f>_xlfn.XLOOKUP(B86,'[2]Detail&lt;Child&gt;'!$B:$B,'[2]Detail&lt;Child&gt;'!$N:$N)</f>
        <v>Defender</v>
      </c>
      <c r="O86" s="1" t="s">
        <v>33</v>
      </c>
      <c r="P86" s="33">
        <v>2</v>
      </c>
      <c r="Q86" s="68" t="str" cm="1">
        <f t="array" ref="Q86">_xlfn.IFS(R86="Move","Move",R86="NonTargetMove","Move",R86="Static","Stand",R86="None","Stand")</f>
        <v>Move</v>
      </c>
      <c r="R86" s="1" t="s">
        <v>137</v>
      </c>
      <c r="S86" s="1">
        <f t="shared" si="18"/>
        <v>1</v>
      </c>
      <c r="T86" s="2" t="str">
        <f t="shared" si="14"/>
        <v>SignalHit</v>
      </c>
      <c r="U86" s="2" t="str" cm="1">
        <f t="array" ref="U86">_xlfn.IFS(T86="SignalHIt","TurnEnd",T86="AttackBegin","TurnEnd",T86="AttackEnd","TurnEnd",T86="Immediately","Applied",T86="None","None")</f>
        <v>TurnEnd</v>
      </c>
      <c r="V86" s="2">
        <v>0</v>
      </c>
      <c r="W86" s="1">
        <v>2000011</v>
      </c>
      <c r="X86" s="8">
        <v>23000121</v>
      </c>
      <c r="Y86" s="1" t="str">
        <f t="shared" si="15"/>
        <v>Immediately</v>
      </c>
      <c r="Z86" s="2" t="str" cm="1">
        <f t="array" ref="Z86">_xlfn.IFS(Y86="SignalHIt","TurnEnd",Y86="AttackBegin","TurnEnd",Y86="AttackEnd","TurnEnd",Y86="Immediately","Applied",Y86="None","None")</f>
        <v>Applied</v>
      </c>
      <c r="AA86" s="2">
        <v>0</v>
      </c>
      <c r="AB86" s="1">
        <v>0</v>
      </c>
      <c r="AC86" s="8">
        <v>0</v>
      </c>
      <c r="AD86" s="2" t="str">
        <f t="shared" si="16"/>
        <v>Immediately</v>
      </c>
      <c r="AE86" s="2" t="str" cm="1">
        <f t="array" ref="AE86">_xlfn.IFS(AD86="SignalHIt","TurnEnd",AD86="AttackBegin","TurnEnd",AD86="AttackEnd","TurnEnd",AD86="Immediately","Applied",AD86="None","None")</f>
        <v>Applied</v>
      </c>
      <c r="AF86" s="2">
        <v>0</v>
      </c>
      <c r="AG86" s="1">
        <v>0</v>
      </c>
      <c r="AH86" s="8">
        <v>0</v>
      </c>
      <c r="AI86" s="2" t="str">
        <f t="shared" si="17"/>
        <v>Immediately</v>
      </c>
      <c r="AJ86" s="2" t="str" cm="1">
        <f t="array" ref="AJ86">_xlfn.IFS(AI86="SignalHIt","TurnEnd",AI86="AttackBegin","TurnEnd",AI86="AttackEnd","TurnEnd",AI86="Immediately","Applied",AI86="None","None")</f>
        <v>Applied</v>
      </c>
      <c r="AK86" s="2">
        <v>0</v>
      </c>
      <c r="AL86" s="8">
        <v>0</v>
      </c>
      <c r="AM86" s="48">
        <v>0</v>
      </c>
      <c r="AN86" s="45" t="str">
        <f>IFERROR(_xlfn.XLOOKUP(W86,Target!$A:$A,Target!$B:$B),"None")</f>
        <v xml:space="preserve">가까운 적 1명 </v>
      </c>
      <c r="AO86" s="43" t="str">
        <f>IFERROR(_xlfn.XLOOKUP($X86,'BuffValue&lt;Child&gt;'!$A:$A,'BuffValue&lt;Child&gt;'!$F:$F),"None")</f>
        <v>액티브 대미지</v>
      </c>
      <c r="AP86" s="43">
        <f>IFERROR(_xlfn.XLOOKUP($X86,'BuffValue&lt;Child&gt;'!$A:$A,'BuffValue&lt;Child&gt;'!$K:$K),0)</f>
        <v>140000</v>
      </c>
      <c r="AQ86" s="43" t="str">
        <f>IFERROR(_xlfn.XLOOKUP(AB86,Target!$A:$A,Target!$B:$B),"None")</f>
        <v>None</v>
      </c>
      <c r="AR86" s="45" t="str">
        <f>IFERROR(_xlfn.XLOOKUP($AC86,'BuffValue&lt;Child&gt;'!$A:$A,'BuffValue&lt;Child&gt;'!$F:$F),"None")</f>
        <v>None</v>
      </c>
      <c r="AS86" s="45">
        <f>IFERROR(_xlfn.XLOOKUP($AC86,'BuffValue&lt;Child&gt;'!$A:$A,'BuffValue&lt;Child&gt;'!$K:$K),0)</f>
        <v>0</v>
      </c>
      <c r="AT86" s="43" t="str">
        <f>IFERROR(_xlfn.XLOOKUP(AG86,Target!$A:$A,Target!$B:$B),"None")</f>
        <v>None</v>
      </c>
      <c r="AU86" s="43" t="str">
        <f>IFERROR(_xlfn.XLOOKUP($AH86,'BuffValue&lt;Child&gt;'!$A:$A,'BuffValue&lt;Child&gt;'!$F:$F),"None")</f>
        <v>None</v>
      </c>
      <c r="AV86" s="43">
        <f>IFERROR(_xlfn.XLOOKUP($AH86,'BuffValue&lt;Child&gt;'!$A:$A,'BuffValue&lt;Child&gt;'!$K:$K),0)</f>
        <v>0</v>
      </c>
      <c r="AW86" s="43" t="str">
        <f>IFERROR(_xlfn.XLOOKUP(AL86,Target!$A:$A,Target!$B:$B),"None")</f>
        <v>None</v>
      </c>
      <c r="AX86" s="43" t="str">
        <f>IFERROR(_xlfn.XLOOKUP($AM86,'BuffValue&lt;Child&gt;'!$A:$A,'BuffValue&lt;Child&gt;'!$F:$F),"None")</f>
        <v>None</v>
      </c>
      <c r="AY86" s="43">
        <f>IFERROR(_xlfn.XLOOKUP($AM86,#REF!,#REF!),0)</f>
        <v>0</v>
      </c>
    </row>
    <row r="87" spans="1:51" x14ac:dyDescent="0.3">
      <c r="A87" s="1">
        <f>INT(3&amp;MID(_xlfn.XLOOKUP(B87,[2]Timeline!$B:$B,[2]Timeline!$A:$A),2,5)&amp;1)</f>
        <v>3300011</v>
      </c>
      <c r="B87" s="7" t="s">
        <v>120</v>
      </c>
      <c r="C87" s="7" t="s">
        <v>259</v>
      </c>
      <c r="D87" s="7" t="s">
        <v>525</v>
      </c>
      <c r="E87" s="1" t="str">
        <f t="shared" si="12"/>
        <v>skill_name_3300011</v>
      </c>
      <c r="F87" s="1" t="s">
        <v>117</v>
      </c>
      <c r="G87" s="1" t="s">
        <v>396</v>
      </c>
      <c r="H87" s="1" t="str">
        <f t="shared" si="13"/>
        <v>skill_desc_3300011</v>
      </c>
      <c r="I87" s="1" t="s">
        <v>205</v>
      </c>
      <c r="J87" s="1" t="str">
        <f>IFERROR(_xlfn.XLOOKUP(W87,Target!A:A,Target!J:J),"")</f>
        <v>Skill_Target_Icon_Enemy_Near_One</v>
      </c>
      <c r="K87" s="1" t="s">
        <v>205</v>
      </c>
      <c r="L87" s="1" t="str">
        <f>IFERROR(_xlfn.XLOOKUP(W87,Target!A:A,Target!K:K),"")</f>
        <v>Skill_Area_Icon_Pivot_Row</v>
      </c>
      <c r="M87" s="1" t="str">
        <f>_xlfn.XLOOKUP(B87,'[2]Detail&lt;Child&gt;'!$B:$B,'[2]Detail&lt;Child&gt;'!$M:$M)</f>
        <v>Dark</v>
      </c>
      <c r="N87" s="1" t="str">
        <f>_xlfn.XLOOKUP(B87,'[2]Detail&lt;Child&gt;'!$B:$B,'[2]Detail&lt;Child&gt;'!$N:$N)</f>
        <v>Defender</v>
      </c>
      <c r="O87" s="1" t="s">
        <v>140</v>
      </c>
      <c r="P87" s="33">
        <v>0</v>
      </c>
      <c r="Q87" s="68" t="str" cm="1">
        <f t="array" ref="Q87">_xlfn.IFS(R87="Move","Move",R87="NonTargetMove","Move",R87="Static","Stand",R87="None","Stand")</f>
        <v>Move</v>
      </c>
      <c r="R87" s="1" t="s">
        <v>137</v>
      </c>
      <c r="S87" s="1">
        <f t="shared" si="18"/>
        <v>1</v>
      </c>
      <c r="T87" s="2" t="str">
        <f t="shared" si="14"/>
        <v>SignalHit</v>
      </c>
      <c r="U87" s="2" t="str" cm="1">
        <f t="array" ref="U87">_xlfn.IFS(T87="SignalHIt","TurnEnd",T87="AttackBegin","TurnEnd",T87="AttackEnd","TurnEnd",T87="Immediately","Applied",T87="None","None")</f>
        <v>TurnEnd</v>
      </c>
      <c r="V87" s="2">
        <v>0</v>
      </c>
      <c r="W87" s="1">
        <v>2000014</v>
      </c>
      <c r="X87" s="8">
        <v>33000111</v>
      </c>
      <c r="Y87" s="1" t="str">
        <f t="shared" si="15"/>
        <v>Immediately</v>
      </c>
      <c r="Z87" s="2" t="str" cm="1">
        <f t="array" ref="Z87">_xlfn.IFS(Y87="SignalHIt","TurnEnd",Y87="AttackBegin","TurnEnd",Y87="AttackEnd","TurnEnd",Y87="Immediately","Applied",Y87="None","None")</f>
        <v>Applied</v>
      </c>
      <c r="AA87" s="2">
        <v>0</v>
      </c>
      <c r="AB87" s="1">
        <v>0</v>
      </c>
      <c r="AC87" s="8">
        <v>0</v>
      </c>
      <c r="AD87" s="2" t="str">
        <f t="shared" si="16"/>
        <v>AttackEnd</v>
      </c>
      <c r="AE87" s="2" t="str" cm="1">
        <f t="array" ref="AE87">_xlfn.IFS(AD87="SignalHIt","TurnEnd",AD87="AttackBegin","TurnEnd",AD87="AttackEnd","TurnEnd",AD87="Immediately","Applied",AD87="None","None")</f>
        <v>TurnEnd</v>
      </c>
      <c r="AF87" s="2">
        <v>0</v>
      </c>
      <c r="AG87" s="1">
        <v>2000014</v>
      </c>
      <c r="AH87" s="8">
        <v>33000112</v>
      </c>
      <c r="AI87" s="2" t="str">
        <f t="shared" si="17"/>
        <v>AttackEnd</v>
      </c>
      <c r="AJ87" s="2" t="str" cm="1">
        <f t="array" ref="AJ87">_xlfn.IFS(AI87="SignalHIt","TurnEnd",AI87="AttackBegin","TurnEnd",AI87="AttackEnd","TurnEnd",AI87="Immediately","Applied",AI87="None","None")</f>
        <v>TurnEnd</v>
      </c>
      <c r="AK87" s="2">
        <v>0</v>
      </c>
      <c r="AL87" s="1">
        <v>1</v>
      </c>
      <c r="AM87" s="48">
        <f>AH87+1</f>
        <v>33000113</v>
      </c>
      <c r="AN87" s="45" t="str">
        <f>IFERROR(_xlfn.XLOOKUP(W87,Target!$A:$A,Target!$B:$B),"None")</f>
        <v>가까운 적 1명 2행</v>
      </c>
      <c r="AO87" s="43" t="str">
        <f>IFERROR(_xlfn.XLOOKUP($X87,'BuffValue&lt;Child&gt;'!$A:$A,'BuffValue&lt;Child&gt;'!$F:$F),"None")</f>
        <v>얼티밋 대미지</v>
      </c>
      <c r="AP87" s="43">
        <f>IFERROR(_xlfn.XLOOKUP($X87,'BuffValue&lt;Child&gt;'!$A:$A,'BuffValue&lt;Child&gt;'!$K:$K),0)</f>
        <v>160000</v>
      </c>
      <c r="AQ87" s="43" t="str">
        <f>IFERROR(_xlfn.XLOOKUP(AB87,Target!$A:$A,Target!$B:$B),"None")</f>
        <v>None</v>
      </c>
      <c r="AR87" s="45" t="str">
        <f>IFERROR(_xlfn.XLOOKUP($AC87,'BuffValue&lt;Child&gt;'!$A:$A,'BuffValue&lt;Child&gt;'!$F:$F),"None")</f>
        <v>None</v>
      </c>
      <c r="AS87" s="45">
        <f>IFERROR(_xlfn.XLOOKUP($AC87,'BuffValue&lt;Child&gt;'!$A:$A,'BuffValue&lt;Child&gt;'!$K:$K),0)</f>
        <v>0</v>
      </c>
      <c r="AT87" s="43" t="str">
        <f>IFERROR(_xlfn.XLOOKUP(AG87,Target!$A:$A,Target!$B:$B),"None")</f>
        <v>가까운 적 1명 2행</v>
      </c>
      <c r="AU87" s="43" t="str">
        <f>IFERROR(_xlfn.XLOOKUP($AH87,'BuffValue&lt;Child&gt;'!$A:$A,'BuffValue&lt;Child&gt;'!$F:$F),"None")</f>
        <v>모나 방어력 감소</v>
      </c>
      <c r="AV87" s="43">
        <f>IFERROR(_xlfn.XLOOKUP($AH87,'BuffValue&lt;Child&gt;'!$A:$A,'BuffValue&lt;Child&gt;'!$K:$K),0)</f>
        <v>-15000</v>
      </c>
      <c r="AW87" s="43" t="str">
        <f>IFERROR(_xlfn.XLOOKUP(AL87,Target!$A:$A,Target!$B:$B),"None")</f>
        <v xml:space="preserve"> 자신 1명 </v>
      </c>
      <c r="AX87" s="43" t="str">
        <f>IFERROR(_xlfn.XLOOKUP($AM87,'BuffValue&lt;Child&gt;'!$A:$A,'BuffValue&lt;Child&gt;'!$F:$F),"None")</f>
        <v>모나 얼티밋 방어력 증가</v>
      </c>
      <c r="AY87" s="43">
        <f>IFERROR(_xlfn.XLOOKUP($AM87,#REF!,#REF!),0)</f>
        <v>0</v>
      </c>
    </row>
    <row r="88" spans="1:51" x14ac:dyDescent="0.3">
      <c r="A88" s="1">
        <f>INT(3&amp;MID(_xlfn.XLOOKUP(B88,[2]Timeline!$B:$B,[2]Timeline!$A:$A),2,5)&amp;2)</f>
        <v>3300012</v>
      </c>
      <c r="B88" s="7" t="s">
        <v>120</v>
      </c>
      <c r="C88" s="7" t="s">
        <v>259</v>
      </c>
      <c r="D88" s="7" t="s">
        <v>525</v>
      </c>
      <c r="E88" s="1" t="str">
        <f t="shared" si="12"/>
        <v>skill_name_3300012</v>
      </c>
      <c r="F88" s="1" t="s">
        <v>117</v>
      </c>
      <c r="G88" s="1" t="s">
        <v>396</v>
      </c>
      <c r="H88" s="1" t="str">
        <f t="shared" si="13"/>
        <v>skill_desc_3300012</v>
      </c>
      <c r="I88" s="1" t="s">
        <v>205</v>
      </c>
      <c r="J88" s="1" t="str">
        <f>IFERROR(_xlfn.XLOOKUP(W88,Target!A:A,Target!J:J),"")</f>
        <v>Skill_Target_Icon_Enemy_Near_One</v>
      </c>
      <c r="K88" s="1" t="s">
        <v>205</v>
      </c>
      <c r="L88" s="1" t="str">
        <f>IFERROR(_xlfn.XLOOKUP(W88,Target!A:A,Target!K:K),"")</f>
        <v>Skill_Area_Icon_Pivot_Row</v>
      </c>
      <c r="M88" s="1" t="str">
        <f>_xlfn.XLOOKUP(B88,'[2]Detail&lt;Child&gt;'!$B:$B,'[2]Detail&lt;Child&gt;'!$M:$M)</f>
        <v>Dark</v>
      </c>
      <c r="N88" s="1" t="str">
        <f>_xlfn.XLOOKUP(B88,'[2]Detail&lt;Child&gt;'!$B:$B,'[2]Detail&lt;Child&gt;'!$N:$N)</f>
        <v>Defender</v>
      </c>
      <c r="O88" s="1" t="s">
        <v>140</v>
      </c>
      <c r="P88" s="33">
        <v>0</v>
      </c>
      <c r="Q88" s="68" t="str" cm="1">
        <f t="array" ref="Q88">_xlfn.IFS(R88="Move","Move",R88="NonTargetMove","Move",R88="Static","Stand",R88="None","Stand")</f>
        <v>Move</v>
      </c>
      <c r="R88" s="1" t="s">
        <v>137</v>
      </c>
      <c r="S88" s="1">
        <f t="shared" si="18"/>
        <v>1</v>
      </c>
      <c r="T88" s="2" t="str">
        <f t="shared" si="14"/>
        <v>SignalHit</v>
      </c>
      <c r="U88" s="2" t="str" cm="1">
        <f t="array" ref="U88">_xlfn.IFS(T88="SignalHIt","TurnEnd",T88="AttackBegin","TurnEnd",T88="AttackEnd","TurnEnd",T88="Immediately","Applied",T88="None","None")</f>
        <v>TurnEnd</v>
      </c>
      <c r="V88" s="2">
        <v>0</v>
      </c>
      <c r="W88" s="1">
        <v>2000014</v>
      </c>
      <c r="X88" s="8">
        <v>33000121</v>
      </c>
      <c r="Y88" s="1" t="str">
        <f t="shared" si="15"/>
        <v>Immediately</v>
      </c>
      <c r="Z88" s="2" t="str" cm="1">
        <f t="array" ref="Z88">_xlfn.IFS(Y88="SignalHIt","TurnEnd",Y88="AttackBegin","TurnEnd",Y88="AttackEnd","TurnEnd",Y88="Immediately","Applied",Y88="None","None")</f>
        <v>Applied</v>
      </c>
      <c r="AA88" s="2">
        <v>0</v>
      </c>
      <c r="AB88" s="1">
        <v>0</v>
      </c>
      <c r="AC88" s="8">
        <v>0</v>
      </c>
      <c r="AD88" s="2" t="str">
        <f t="shared" si="16"/>
        <v>AttackEnd</v>
      </c>
      <c r="AE88" s="2" t="str" cm="1">
        <f t="array" ref="AE88">_xlfn.IFS(AD88="SignalHIt","TurnEnd",AD88="AttackBegin","TurnEnd",AD88="AttackEnd","TurnEnd",AD88="Immediately","Applied",AD88="None","None")</f>
        <v>TurnEnd</v>
      </c>
      <c r="AF88" s="2">
        <v>0</v>
      </c>
      <c r="AG88" s="1">
        <v>2000014</v>
      </c>
      <c r="AH88" s="8">
        <v>33000122</v>
      </c>
      <c r="AI88" s="2" t="str">
        <f t="shared" si="17"/>
        <v>AttackEnd</v>
      </c>
      <c r="AJ88" s="2" t="str" cm="1">
        <f t="array" ref="AJ88">_xlfn.IFS(AI88="SignalHIt","TurnEnd",AI88="AttackBegin","TurnEnd",AI88="AttackEnd","TurnEnd",AI88="Immediately","Applied",AI88="None","None")</f>
        <v>TurnEnd</v>
      </c>
      <c r="AK88" s="2">
        <v>0</v>
      </c>
      <c r="AL88" s="1">
        <v>1</v>
      </c>
      <c r="AM88" s="48">
        <f>AH88+1</f>
        <v>33000123</v>
      </c>
      <c r="AN88" s="45" t="str">
        <f>IFERROR(_xlfn.XLOOKUP(W88,Target!$A:$A,Target!$B:$B),"None")</f>
        <v>가까운 적 1명 2행</v>
      </c>
      <c r="AO88" s="43" t="str">
        <f>IFERROR(_xlfn.XLOOKUP($X88,'BuffValue&lt;Child&gt;'!$A:$A,'BuffValue&lt;Child&gt;'!$F:$F),"None")</f>
        <v>얼티밋 대미지</v>
      </c>
      <c r="AP88" s="43">
        <f>IFERROR(_xlfn.XLOOKUP($X88,'BuffValue&lt;Child&gt;'!$A:$A,'BuffValue&lt;Child&gt;'!$K:$K),0)</f>
        <v>160000</v>
      </c>
      <c r="AQ88" s="43" t="str">
        <f>IFERROR(_xlfn.XLOOKUP(AB88,Target!$A:$A,Target!$B:$B),"None")</f>
        <v>None</v>
      </c>
      <c r="AR88" s="45" t="str">
        <f>IFERROR(_xlfn.XLOOKUP($AC88,'BuffValue&lt;Child&gt;'!$A:$A,'BuffValue&lt;Child&gt;'!$F:$F),"None")</f>
        <v>None</v>
      </c>
      <c r="AS88" s="45">
        <f>IFERROR(_xlfn.XLOOKUP($AC88,'BuffValue&lt;Child&gt;'!$A:$A,'BuffValue&lt;Child&gt;'!$K:$K),0)</f>
        <v>0</v>
      </c>
      <c r="AT88" s="43" t="str">
        <f>IFERROR(_xlfn.XLOOKUP(AG88,Target!$A:$A,Target!$B:$B),"None")</f>
        <v>가까운 적 1명 2행</v>
      </c>
      <c r="AU88" s="43" t="str">
        <f>IFERROR(_xlfn.XLOOKUP($AH88,'BuffValue&lt;Child&gt;'!$A:$A,'BuffValue&lt;Child&gt;'!$F:$F),"None")</f>
        <v>모나 방어력 감소</v>
      </c>
      <c r="AV88" s="43">
        <f>IFERROR(_xlfn.XLOOKUP($AH88,'BuffValue&lt;Child&gt;'!$A:$A,'BuffValue&lt;Child&gt;'!$K:$K),0)</f>
        <v>-15000</v>
      </c>
      <c r="AW88" s="43" t="str">
        <f>IFERROR(_xlfn.XLOOKUP(AL88,Target!$A:$A,Target!$B:$B),"None")</f>
        <v xml:space="preserve"> 자신 1명 </v>
      </c>
      <c r="AX88" s="43" t="str">
        <f>IFERROR(_xlfn.XLOOKUP($AM88,'BuffValue&lt;Child&gt;'!$A:$A,'BuffValue&lt;Child&gt;'!$F:$F),"None")</f>
        <v>모나 얼티밋 방어력 증가</v>
      </c>
      <c r="AY88" s="43">
        <f>IFERROR(_xlfn.XLOOKUP($AM88,#REF!,#REF!),0)</f>
        <v>0</v>
      </c>
    </row>
    <row r="89" spans="1:51" x14ac:dyDescent="0.3">
      <c r="A89" s="1">
        <f>INT(3&amp;MID(_xlfn.XLOOKUP(B89,[2]Timeline!$B:$B,[2]Timeline!$A:$A),2,5)&amp;3)</f>
        <v>3300013</v>
      </c>
      <c r="B89" s="7" t="s">
        <v>120</v>
      </c>
      <c r="C89" s="7" t="s">
        <v>259</v>
      </c>
      <c r="D89" s="7" t="s">
        <v>525</v>
      </c>
      <c r="E89" s="1" t="str">
        <f t="shared" si="12"/>
        <v>skill_name_3300013</v>
      </c>
      <c r="F89" s="1" t="s">
        <v>117</v>
      </c>
      <c r="G89" s="1" t="s">
        <v>396</v>
      </c>
      <c r="H89" s="1" t="str">
        <f t="shared" si="13"/>
        <v>skill_desc_3300013</v>
      </c>
      <c r="I89" s="1" t="s">
        <v>205</v>
      </c>
      <c r="J89" s="1" t="str">
        <f>IFERROR(_xlfn.XLOOKUP(W89,Target!A:A,Target!J:J),"")</f>
        <v>Skill_Target_Icon_Enemy_Near_One</v>
      </c>
      <c r="K89" s="1" t="s">
        <v>205</v>
      </c>
      <c r="L89" s="1" t="str">
        <f>IFERROR(_xlfn.XLOOKUP(W89,Target!A:A,Target!K:K),"")</f>
        <v>Skill_Area_Icon_Pivot_Row</v>
      </c>
      <c r="M89" s="1" t="str">
        <f>_xlfn.XLOOKUP(B89,'[2]Detail&lt;Child&gt;'!$B:$B,'[2]Detail&lt;Child&gt;'!$M:$M)</f>
        <v>Dark</v>
      </c>
      <c r="N89" s="1" t="str">
        <f>_xlfn.XLOOKUP(B89,'[2]Detail&lt;Child&gt;'!$B:$B,'[2]Detail&lt;Child&gt;'!$N:$N)</f>
        <v>Defender</v>
      </c>
      <c r="O89" s="1" t="s">
        <v>140</v>
      </c>
      <c r="P89" s="33">
        <v>0</v>
      </c>
      <c r="Q89" s="68" t="str" cm="1">
        <f t="array" ref="Q89">_xlfn.IFS(R89="Move","Move",R89="NonTargetMove","Move",R89="Static","Stand",R89="None","Stand")</f>
        <v>Move</v>
      </c>
      <c r="R89" s="1" t="s">
        <v>137</v>
      </c>
      <c r="S89" s="1">
        <f t="shared" si="18"/>
        <v>1</v>
      </c>
      <c r="T89" s="2" t="str">
        <f t="shared" si="14"/>
        <v>SignalHit</v>
      </c>
      <c r="U89" s="2" t="str" cm="1">
        <f t="array" ref="U89">_xlfn.IFS(T89="SignalHIt","TurnEnd",T89="AttackBegin","TurnEnd",T89="AttackEnd","TurnEnd",T89="Immediately","Applied",T89="None","None")</f>
        <v>TurnEnd</v>
      </c>
      <c r="V89" s="2">
        <v>0</v>
      </c>
      <c r="W89" s="1">
        <v>2000014</v>
      </c>
      <c r="X89" s="8">
        <v>33000131</v>
      </c>
      <c r="Y89" s="1" t="str">
        <f t="shared" si="15"/>
        <v>Immediately</v>
      </c>
      <c r="Z89" s="2" t="str" cm="1">
        <f t="array" ref="Z89">_xlfn.IFS(Y89="SignalHIt","TurnEnd",Y89="AttackBegin","TurnEnd",Y89="AttackEnd","TurnEnd",Y89="Immediately","Applied",Y89="None","None")</f>
        <v>Applied</v>
      </c>
      <c r="AA89" s="2">
        <v>0</v>
      </c>
      <c r="AB89" s="1">
        <v>0</v>
      </c>
      <c r="AC89" s="8">
        <v>0</v>
      </c>
      <c r="AD89" s="2" t="str">
        <f t="shared" si="16"/>
        <v>AttackEnd</v>
      </c>
      <c r="AE89" s="2" t="str" cm="1">
        <f t="array" ref="AE89">_xlfn.IFS(AD89="SignalHIt","TurnEnd",AD89="AttackBegin","TurnEnd",AD89="AttackEnd","TurnEnd",AD89="Immediately","Applied",AD89="None","None")</f>
        <v>TurnEnd</v>
      </c>
      <c r="AF89" s="2">
        <v>0</v>
      </c>
      <c r="AG89" s="1">
        <v>2000014</v>
      </c>
      <c r="AH89" s="8">
        <v>33000132</v>
      </c>
      <c r="AI89" s="2" t="str">
        <f t="shared" si="17"/>
        <v>AttackEnd</v>
      </c>
      <c r="AJ89" s="2" t="str" cm="1">
        <f t="array" ref="AJ89">_xlfn.IFS(AI89="SignalHIt","TurnEnd",AI89="AttackBegin","TurnEnd",AI89="AttackEnd","TurnEnd",AI89="Immediately","Applied",AI89="None","None")</f>
        <v>TurnEnd</v>
      </c>
      <c r="AK89" s="2">
        <v>0</v>
      </c>
      <c r="AL89" s="1">
        <v>1</v>
      </c>
      <c r="AM89" s="48">
        <f>AH89+1</f>
        <v>33000133</v>
      </c>
      <c r="AN89" s="45" t="str">
        <f>IFERROR(_xlfn.XLOOKUP(W89,Target!$A:$A,Target!$B:$B),"None")</f>
        <v>가까운 적 1명 2행</v>
      </c>
      <c r="AO89" s="43" t="str">
        <f>IFERROR(_xlfn.XLOOKUP($X89,'BuffValue&lt;Child&gt;'!$A:$A,'BuffValue&lt;Child&gt;'!$F:$F),"None")</f>
        <v>얼티밋 대미지</v>
      </c>
      <c r="AP89" s="43">
        <f>IFERROR(_xlfn.XLOOKUP($X89,'BuffValue&lt;Child&gt;'!$A:$A,'BuffValue&lt;Child&gt;'!$K:$K),0)</f>
        <v>160000</v>
      </c>
      <c r="AQ89" s="43" t="str">
        <f>IFERROR(_xlfn.XLOOKUP(AB89,Target!$A:$A,Target!$B:$B),"None")</f>
        <v>None</v>
      </c>
      <c r="AR89" s="45" t="str">
        <f>IFERROR(_xlfn.XLOOKUP($AC89,'BuffValue&lt;Child&gt;'!$A:$A,'BuffValue&lt;Child&gt;'!$F:$F),"None")</f>
        <v>None</v>
      </c>
      <c r="AS89" s="45">
        <f>IFERROR(_xlfn.XLOOKUP($AC89,'BuffValue&lt;Child&gt;'!$A:$A,'BuffValue&lt;Child&gt;'!$K:$K),0)</f>
        <v>0</v>
      </c>
      <c r="AT89" s="43" t="str">
        <f>IFERROR(_xlfn.XLOOKUP(AG89,Target!$A:$A,Target!$B:$B),"None")</f>
        <v>가까운 적 1명 2행</v>
      </c>
      <c r="AU89" s="43" t="str">
        <f>IFERROR(_xlfn.XLOOKUP($AH89,'BuffValue&lt;Child&gt;'!$A:$A,'BuffValue&lt;Child&gt;'!$F:$F),"None")</f>
        <v>모나 방어력 감소</v>
      </c>
      <c r="AV89" s="43">
        <f>IFERROR(_xlfn.XLOOKUP($AH89,'BuffValue&lt;Child&gt;'!$A:$A,'BuffValue&lt;Child&gt;'!$K:$K),0)</f>
        <v>-15000</v>
      </c>
      <c r="AW89" s="43" t="str">
        <f>IFERROR(_xlfn.XLOOKUP(AL89,Target!$A:$A,Target!$B:$B),"None")</f>
        <v xml:space="preserve"> 자신 1명 </v>
      </c>
      <c r="AX89" s="43" t="str">
        <f>IFERROR(_xlfn.XLOOKUP($AM89,'BuffValue&lt;Child&gt;'!$A:$A,'BuffValue&lt;Child&gt;'!$F:$F),"None")</f>
        <v>모나 얼티밋 방어력 증가</v>
      </c>
      <c r="AY89" s="43">
        <f>IFERROR(_xlfn.XLOOKUP($AM89,#REF!,#REF!),0)</f>
        <v>0</v>
      </c>
    </row>
    <row r="90" spans="1:51" s="52" customFormat="1" x14ac:dyDescent="0.3">
      <c r="A90" s="1">
        <f>INT(4&amp;MID(_xlfn.XLOOKUP(B90,[2]Timeline!$B:$B,[2]Timeline!$A:$A),2,5)&amp;1)</f>
        <v>4300011</v>
      </c>
      <c r="B90" s="53" t="s">
        <v>120</v>
      </c>
      <c r="C90" s="53" t="s">
        <v>122</v>
      </c>
      <c r="D90" s="53" t="s">
        <v>550</v>
      </c>
      <c r="E90" s="52" t="str">
        <f t="shared" si="12"/>
        <v>skill_name_4300011</v>
      </c>
      <c r="F90" s="52" t="s">
        <v>117</v>
      </c>
      <c r="G90" s="52" t="s">
        <v>469</v>
      </c>
      <c r="H90" s="52" t="str">
        <f t="shared" si="13"/>
        <v>skill_desc_4300011</v>
      </c>
      <c r="I90" s="52" t="s">
        <v>205</v>
      </c>
      <c r="J90" s="52" t="str">
        <f>IFERROR(_xlfn.XLOOKUP(W90,Target!A:A,Target!J:J),"")</f>
        <v>Skill_Target_Icon_Mine</v>
      </c>
      <c r="K90" s="52" t="s">
        <v>205</v>
      </c>
      <c r="L90" s="52" t="str">
        <f>IFERROR(_xlfn.XLOOKUP(W90,Target!A:A,Target!K:K),"")</f>
        <v>Skill_Area_Icon_Pivot_Centor</v>
      </c>
      <c r="M90" s="52" t="str">
        <f>_xlfn.XLOOKUP(B90,'[2]Detail&lt;Child&gt;'!$B:$B,'[2]Detail&lt;Child&gt;'!$M:$M)</f>
        <v>Dark</v>
      </c>
      <c r="N90" s="52" t="str">
        <f>_xlfn.XLOOKUP(B90,'[2]Detail&lt;Child&gt;'!$B:$B,'[2]Detail&lt;Child&gt;'!$N:$N)</f>
        <v>Defender</v>
      </c>
      <c r="O90" s="52" t="s">
        <v>167</v>
      </c>
      <c r="P90" s="71">
        <v>0</v>
      </c>
      <c r="Q90" s="72" t="str" cm="1">
        <f t="array" ref="Q90">_xlfn.IFS(R90="Move","Move",R90="NonTargetMove","Move",R90="Static","Stand",R90="None","Stand")</f>
        <v>Stand</v>
      </c>
      <c r="R90" s="52" t="s">
        <v>136</v>
      </c>
      <c r="S90" s="52">
        <f t="shared" si="18"/>
        <v>0</v>
      </c>
      <c r="T90" s="52" t="str">
        <f t="shared" si="14"/>
        <v>Immediately</v>
      </c>
      <c r="U90" s="52" t="str" cm="1">
        <f t="array" ref="U90">_xlfn.IFS(T90="SignalHIt","TurnEnd",T90="AttackBegin","TurnEnd",T90="AttackEnd","TurnEnd",T90="Immediately","Applied",T90="None","None")</f>
        <v>Applied</v>
      </c>
      <c r="V90" s="52">
        <v>0</v>
      </c>
      <c r="W90" s="52">
        <v>1</v>
      </c>
      <c r="X90" s="73">
        <v>43000111</v>
      </c>
      <c r="Y90" s="52" t="str">
        <f t="shared" si="15"/>
        <v>Immediately</v>
      </c>
      <c r="Z90" s="52" t="str" cm="1">
        <f t="array" ref="Z90">_xlfn.IFS(Y90="SignalHIt","TurnEnd",Y90="AttackBegin","TurnEnd",Y90="AttackEnd","TurnEnd",Y90="Immediately","Applied",Y90="None","None")</f>
        <v>Applied</v>
      </c>
      <c r="AA90" s="52">
        <v>0</v>
      </c>
      <c r="AB90" s="52">
        <v>0</v>
      </c>
      <c r="AC90" s="73">
        <v>0</v>
      </c>
      <c r="AD90" s="52" t="str">
        <f t="shared" si="16"/>
        <v>Immediately</v>
      </c>
      <c r="AE90" s="52" t="str" cm="1">
        <f t="array" ref="AE90">_xlfn.IFS(AD90="SignalHIt","TurnEnd",AD90="AttackBegin","TurnEnd",AD90="AttackEnd","TurnEnd",AD90="Immediately","Applied",AD90="None","None")</f>
        <v>Applied</v>
      </c>
      <c r="AF90" s="52">
        <v>0</v>
      </c>
      <c r="AG90" s="52">
        <v>0</v>
      </c>
      <c r="AH90" s="73">
        <v>0</v>
      </c>
      <c r="AI90" s="52" t="str">
        <f t="shared" si="17"/>
        <v>Immediately</v>
      </c>
      <c r="AJ90" s="52" t="str" cm="1">
        <f t="array" ref="AJ90">_xlfn.IFS(AI90="SignalHIt","TurnEnd",AI90="AttackBegin","TurnEnd",AI90="AttackEnd","TurnEnd",AI90="Immediately","Applied",AI90="None","None")</f>
        <v>Applied</v>
      </c>
      <c r="AK90" s="52">
        <v>0</v>
      </c>
      <c r="AL90" s="73">
        <v>0</v>
      </c>
      <c r="AM90" s="74">
        <v>0</v>
      </c>
      <c r="AN90" s="51" t="str">
        <f>IFERROR(_xlfn.XLOOKUP(W90,Target!$A:$A,Target!$B:$B),"None")</f>
        <v xml:space="preserve"> 자신 1명 </v>
      </c>
      <c r="AO90" s="51" t="str">
        <f>IFERROR(_xlfn.XLOOKUP($X90,'BuffValue&lt;Child&gt;'!$A:$A,'BuffValue&lt;Child&gt;'!$F:$F),"None")</f>
        <v>모나 패시브 체력낮을수록 방어력 증가</v>
      </c>
      <c r="AP90" s="51">
        <f>IFERROR(_xlfn.XLOOKUP($X90,'BuffValue&lt;Child&gt;'!$A:$A,'BuffValue&lt;Child&gt;'!$K:$K),0)</f>
        <v>1000</v>
      </c>
      <c r="AQ90" s="51" t="str">
        <f>IFERROR(_xlfn.XLOOKUP(AB90,Target!$A:$A,Target!$B:$B),"None")</f>
        <v>None</v>
      </c>
      <c r="AR90" s="51" t="str">
        <f>IFERROR(_xlfn.XLOOKUP($AC90,'BuffValue&lt;Child&gt;'!$A:$A,'BuffValue&lt;Child&gt;'!$F:$F),"None")</f>
        <v>None</v>
      </c>
      <c r="AS90" s="51">
        <f>IFERROR(_xlfn.XLOOKUP($AC90,'BuffValue&lt;Child&gt;'!$A:$A,'BuffValue&lt;Child&gt;'!$K:$K),0)</f>
        <v>0</v>
      </c>
      <c r="AT90" s="51" t="str">
        <f>IFERROR(_xlfn.XLOOKUP(AG90,Target!$A:$A,Target!$B:$B),"None")</f>
        <v>None</v>
      </c>
      <c r="AU90" s="51" t="str">
        <f>IFERROR(_xlfn.XLOOKUP($AH90,'BuffValue&lt;Child&gt;'!$A:$A,'BuffValue&lt;Child&gt;'!$F:$F),"None")</f>
        <v>None</v>
      </c>
      <c r="AV90" s="51">
        <f>IFERROR(_xlfn.XLOOKUP($AH90,'BuffValue&lt;Child&gt;'!$A:$A,'BuffValue&lt;Child&gt;'!$K:$K),0)</f>
        <v>0</v>
      </c>
      <c r="AW90" s="51" t="str">
        <f>IFERROR(_xlfn.XLOOKUP(AL90,Target!$A:$A,Target!$B:$B),"None")</f>
        <v>None</v>
      </c>
      <c r="AX90" s="51" t="str">
        <f>IFERROR(_xlfn.XLOOKUP($AM90,'BuffValue&lt;Child&gt;'!$A:$A,'BuffValue&lt;Child&gt;'!$F:$F),"None")</f>
        <v>None</v>
      </c>
      <c r="AY90" s="51">
        <f>IFERROR(_xlfn.XLOOKUP($AM90,#REF!,#REF!),0)</f>
        <v>0</v>
      </c>
    </row>
    <row r="91" spans="1:51" s="52" customFormat="1" x14ac:dyDescent="0.3">
      <c r="A91" s="1">
        <f>INT(4&amp;MID(_xlfn.XLOOKUP(B91,[2]Timeline!$B:$B,[2]Timeline!$A:$A),2,5)&amp;2)</f>
        <v>4300012</v>
      </c>
      <c r="B91" s="53" t="s">
        <v>120</v>
      </c>
      <c r="C91" s="53" t="s">
        <v>122</v>
      </c>
      <c r="D91" s="53" t="s">
        <v>550</v>
      </c>
      <c r="E91" s="52" t="str">
        <f t="shared" si="12"/>
        <v>skill_name_4300012</v>
      </c>
      <c r="F91" s="52" t="s">
        <v>117</v>
      </c>
      <c r="G91" s="52" t="s">
        <v>469</v>
      </c>
      <c r="H91" s="52" t="str">
        <f t="shared" si="13"/>
        <v>skill_desc_4300012</v>
      </c>
      <c r="I91" s="52" t="s">
        <v>205</v>
      </c>
      <c r="J91" s="52" t="str">
        <f>IFERROR(_xlfn.XLOOKUP(W91,Target!A:A,Target!J:J),"")</f>
        <v>Skill_Target_Icon_Mine</v>
      </c>
      <c r="K91" s="52" t="s">
        <v>205</v>
      </c>
      <c r="L91" s="52" t="str">
        <f>IFERROR(_xlfn.XLOOKUP(W91,Target!A:A,Target!K:K),"")</f>
        <v>Skill_Area_Icon_Pivot_Centor</v>
      </c>
      <c r="M91" s="52" t="str">
        <f>_xlfn.XLOOKUP(B91,'[2]Detail&lt;Child&gt;'!$B:$B,'[2]Detail&lt;Child&gt;'!$M:$M)</f>
        <v>Dark</v>
      </c>
      <c r="N91" s="52" t="str">
        <f>_xlfn.XLOOKUP(B91,'[2]Detail&lt;Child&gt;'!$B:$B,'[2]Detail&lt;Child&gt;'!$N:$N)</f>
        <v>Defender</v>
      </c>
      <c r="O91" s="52" t="s">
        <v>167</v>
      </c>
      <c r="P91" s="71">
        <v>0</v>
      </c>
      <c r="Q91" s="72" t="str" cm="1">
        <f t="array" ref="Q91">_xlfn.IFS(R91="Move","Move",R91="NonTargetMove","Move",R91="Static","Stand",R91="None","Stand")</f>
        <v>Stand</v>
      </c>
      <c r="R91" s="52" t="s">
        <v>136</v>
      </c>
      <c r="S91" s="52">
        <f t="shared" si="18"/>
        <v>0</v>
      </c>
      <c r="T91" s="52" t="str">
        <f t="shared" si="14"/>
        <v>Immediately</v>
      </c>
      <c r="U91" s="52" t="str" cm="1">
        <f t="array" ref="U91">_xlfn.IFS(T91="SignalHIt","TurnEnd",T91="AttackBegin","TurnEnd",T91="AttackEnd","TurnEnd",T91="Immediately","Applied",T91="None","None")</f>
        <v>Applied</v>
      </c>
      <c r="V91" s="52">
        <v>0</v>
      </c>
      <c r="W91" s="52">
        <v>1</v>
      </c>
      <c r="X91" s="73">
        <v>43000121</v>
      </c>
      <c r="Y91" s="52" t="str">
        <f t="shared" si="15"/>
        <v>Immediately</v>
      </c>
      <c r="Z91" s="52" t="str" cm="1">
        <f t="array" ref="Z91">_xlfn.IFS(Y91="SignalHIt","TurnEnd",Y91="AttackBegin","TurnEnd",Y91="AttackEnd","TurnEnd",Y91="Immediately","Applied",Y91="None","None")</f>
        <v>Applied</v>
      </c>
      <c r="AA91" s="52">
        <v>0</v>
      </c>
      <c r="AB91" s="52">
        <v>0</v>
      </c>
      <c r="AC91" s="73">
        <v>0</v>
      </c>
      <c r="AD91" s="52" t="str">
        <f t="shared" si="16"/>
        <v>Immediately</v>
      </c>
      <c r="AE91" s="52" t="str" cm="1">
        <f t="array" ref="AE91">_xlfn.IFS(AD91="SignalHIt","TurnEnd",AD91="AttackBegin","TurnEnd",AD91="AttackEnd","TurnEnd",AD91="Immediately","Applied",AD91="None","None")</f>
        <v>Applied</v>
      </c>
      <c r="AF91" s="52">
        <v>0</v>
      </c>
      <c r="AG91" s="52">
        <v>0</v>
      </c>
      <c r="AH91" s="73">
        <v>0</v>
      </c>
      <c r="AI91" s="52" t="str">
        <f t="shared" si="17"/>
        <v>Immediately</v>
      </c>
      <c r="AJ91" s="52" t="str" cm="1">
        <f t="array" ref="AJ91">_xlfn.IFS(AI91="SignalHIt","TurnEnd",AI91="AttackBegin","TurnEnd",AI91="AttackEnd","TurnEnd",AI91="Immediately","Applied",AI91="None","None")</f>
        <v>Applied</v>
      </c>
      <c r="AK91" s="52">
        <v>0</v>
      </c>
      <c r="AL91" s="73">
        <v>0</v>
      </c>
      <c r="AM91" s="75">
        <v>0</v>
      </c>
      <c r="AN91" s="51" t="str">
        <f>IFERROR(_xlfn.XLOOKUP(W91,Target!$A:$A,Target!$B:$B),"None")</f>
        <v xml:space="preserve"> 자신 1명 </v>
      </c>
      <c r="AO91" s="51" t="str">
        <f>IFERROR(_xlfn.XLOOKUP($X91,'BuffValue&lt;Child&gt;'!$A:$A,'BuffValue&lt;Child&gt;'!$F:$F),"None")</f>
        <v>모나 패시브 체력낮을수록 방어력 증가</v>
      </c>
      <c r="AP91" s="51">
        <f>IFERROR(_xlfn.XLOOKUP($X91,'BuffValue&lt;Child&gt;'!$A:$A,'BuffValue&lt;Child&gt;'!$K:$K),0)</f>
        <v>1000</v>
      </c>
      <c r="AQ91" s="51" t="str">
        <f>IFERROR(_xlfn.XLOOKUP(AB91,Target!$A:$A,Target!$B:$B),"None")</f>
        <v>None</v>
      </c>
      <c r="AR91" s="51" t="str">
        <f>IFERROR(_xlfn.XLOOKUP($AC91,'BuffValue&lt;Child&gt;'!$A:$A,'BuffValue&lt;Child&gt;'!$F:$F),"None")</f>
        <v>None</v>
      </c>
      <c r="AS91" s="51">
        <f>IFERROR(_xlfn.XLOOKUP($AC91,'BuffValue&lt;Child&gt;'!$A:$A,'BuffValue&lt;Child&gt;'!$K:$K),0)</f>
        <v>0</v>
      </c>
      <c r="AT91" s="51" t="str">
        <f>IFERROR(_xlfn.XLOOKUP(AG91,Target!$A:$A,Target!$B:$B),"None")</f>
        <v>None</v>
      </c>
      <c r="AU91" s="51" t="str">
        <f>IFERROR(_xlfn.XLOOKUP($AH91,'BuffValue&lt;Child&gt;'!$A:$A,'BuffValue&lt;Child&gt;'!$F:$F),"None")</f>
        <v>None</v>
      </c>
      <c r="AV91" s="51">
        <f>IFERROR(_xlfn.XLOOKUP($AH91,'BuffValue&lt;Child&gt;'!$A:$A,'BuffValue&lt;Child&gt;'!$K:$K),0)</f>
        <v>0</v>
      </c>
      <c r="AW91" s="51" t="str">
        <f>IFERROR(_xlfn.XLOOKUP(AL91,Target!$A:$A,Target!$B:$B),"None")</f>
        <v>None</v>
      </c>
      <c r="AX91" s="51" t="str">
        <f>IFERROR(_xlfn.XLOOKUP($AM91,'BuffValue&lt;Child&gt;'!$A:$A,'BuffValue&lt;Child&gt;'!$F:$F),"None")</f>
        <v>None</v>
      </c>
      <c r="AY91" s="51">
        <f>IFERROR(_xlfn.XLOOKUP($AM91,#REF!,#REF!),0)</f>
        <v>0</v>
      </c>
    </row>
    <row r="92" spans="1:51" s="11" customFormat="1" x14ac:dyDescent="0.3">
      <c r="A92" s="11">
        <f>INT(1&amp;MID(_xlfn.XLOOKUP(B92,[2]Timeline!$B:$B,[2]Timeline!$A:$A),2,5)&amp;1)</f>
        <v>1303181</v>
      </c>
      <c r="B92" s="12" t="s">
        <v>203</v>
      </c>
      <c r="C92" s="12" t="s">
        <v>306</v>
      </c>
      <c r="D92" s="12" t="s">
        <v>341</v>
      </c>
      <c r="E92" s="11" t="str">
        <f t="shared" si="12"/>
        <v>skill_name_1303181</v>
      </c>
      <c r="F92" s="11" t="s">
        <v>117</v>
      </c>
      <c r="G92" s="11" t="s">
        <v>420</v>
      </c>
      <c r="H92" s="11" t="str">
        <f t="shared" si="13"/>
        <v>skill_desc_1303181</v>
      </c>
      <c r="I92" s="11" t="s">
        <v>205</v>
      </c>
      <c r="J92" s="11" t="str">
        <f>IFERROR(_xlfn.XLOOKUP(W92,Target!A:A,Target!J:J),"")</f>
        <v>Skill_Target_Icon_Enemy_Near_One</v>
      </c>
      <c r="K92" s="11" t="s">
        <v>205</v>
      </c>
      <c r="L92" s="11" t="str">
        <f>IFERROR(_xlfn.XLOOKUP(W92,Target!A:A,Target!K:K),"")</f>
        <v>Skill_Area_Icon_Pivot_Centor</v>
      </c>
      <c r="M92" s="11" t="str">
        <f>_xlfn.XLOOKUP(B92,'[2]Detail&lt;Child&gt;'!$B:$B,'[2]Detail&lt;Child&gt;'!$M:$M)</f>
        <v>Water</v>
      </c>
      <c r="N92" s="11" t="str">
        <f>_xlfn.XLOOKUP(B92,'[2]Detail&lt;Child&gt;'!$B:$B,'[2]Detail&lt;Child&gt;'!$N:$N)</f>
        <v>Healer</v>
      </c>
      <c r="O92" s="11" t="s">
        <v>30</v>
      </c>
      <c r="P92" s="34">
        <v>0</v>
      </c>
      <c r="Q92" s="69" t="str" cm="1">
        <f t="array" ref="Q92">_xlfn.IFS(R92="Move","Move",R92="NonTargetMove","Move",R92="Static","Stand",R92="None","Stand")</f>
        <v>Stand</v>
      </c>
      <c r="R92" s="11" t="s">
        <v>136</v>
      </c>
      <c r="S92" s="11">
        <f t="shared" si="18"/>
        <v>0</v>
      </c>
      <c r="T92" s="15" t="str">
        <f t="shared" si="14"/>
        <v>SignalHit</v>
      </c>
      <c r="U92" s="15" t="str" cm="1">
        <f t="array" ref="U92">_xlfn.IFS(T92="SignalHIt","TurnEnd",T92="AttackBegin","TurnEnd",T92="AttackEnd","TurnEnd",T92="Immediately","Applied",T92="None","None")</f>
        <v>TurnEnd</v>
      </c>
      <c r="V92" s="15">
        <v>0</v>
      </c>
      <c r="W92" s="11">
        <v>2000011</v>
      </c>
      <c r="X92" s="10">
        <f t="shared" ref="X92:X99" si="19">INT(A92&amp;1)</f>
        <v>13031811</v>
      </c>
      <c r="Y92" s="11" t="str">
        <f t="shared" si="15"/>
        <v>Immediately</v>
      </c>
      <c r="Z92" s="15" t="str" cm="1">
        <f t="array" ref="Z92">_xlfn.IFS(Y92="SignalHIt","TurnEnd",Y92="AttackBegin","TurnEnd",Y92="AttackEnd","TurnEnd",Y92="Immediately","Applied",Y92="None","None")</f>
        <v>Applied</v>
      </c>
      <c r="AA92" s="15">
        <v>0</v>
      </c>
      <c r="AB92" s="11">
        <v>0</v>
      </c>
      <c r="AC92" s="10">
        <v>0</v>
      </c>
      <c r="AD92" s="15" t="str">
        <f t="shared" si="16"/>
        <v>Immediately</v>
      </c>
      <c r="AE92" s="15" t="str" cm="1">
        <f t="array" ref="AE92">_xlfn.IFS(AD92="SignalHIt","TurnEnd",AD92="AttackBegin","TurnEnd",AD92="AttackEnd","TurnEnd",AD92="Immediately","Applied",AD92="None","None")</f>
        <v>Applied</v>
      </c>
      <c r="AF92" s="15">
        <v>0</v>
      </c>
      <c r="AG92" s="11">
        <v>0</v>
      </c>
      <c r="AH92" s="10">
        <v>0</v>
      </c>
      <c r="AI92" s="15" t="str">
        <f t="shared" si="17"/>
        <v>Immediately</v>
      </c>
      <c r="AJ92" s="15" t="str" cm="1">
        <f t="array" ref="AJ92">_xlfn.IFS(AI92="SignalHIt","TurnEnd",AI92="AttackBegin","TurnEnd",AI92="AttackEnd","TurnEnd",AI92="Immediately","Applied",AI92="None","None")</f>
        <v>Applied</v>
      </c>
      <c r="AK92" s="15">
        <v>0</v>
      </c>
      <c r="AL92" s="10">
        <v>0</v>
      </c>
      <c r="AM92" s="50">
        <v>0</v>
      </c>
      <c r="AN92" s="46" t="str">
        <f>IFERROR(_xlfn.XLOOKUP(W92,Target!$A:$A,Target!$B:$B),"None")</f>
        <v xml:space="preserve">가까운 적 1명 </v>
      </c>
      <c r="AO92" s="47" t="str">
        <f>IFERROR(_xlfn.XLOOKUP($X92,'BuffValue&lt;Child&gt;'!$A:$A,'BuffValue&lt;Child&gt;'!$F:$F),"None")</f>
        <v>공용 대미지</v>
      </c>
      <c r="AP92" s="47">
        <f>IFERROR(_xlfn.XLOOKUP($X92,'BuffValue&lt;Child&gt;'!$A:$A,'BuffValue&lt;Child&gt;'!$K:$K),0)</f>
        <v>285000</v>
      </c>
      <c r="AQ92" s="47" t="str">
        <f>IFERROR(_xlfn.XLOOKUP(AB92,Target!$A:$A,Target!$B:$B),"None")</f>
        <v>None</v>
      </c>
      <c r="AR92" s="46" t="str">
        <f>IFERROR(_xlfn.XLOOKUP($AC92,'BuffValue&lt;Child&gt;'!$A:$A,'BuffValue&lt;Child&gt;'!$F:$F),"None")</f>
        <v>None</v>
      </c>
      <c r="AS92" s="46">
        <f>IFERROR(_xlfn.XLOOKUP($AC92,'BuffValue&lt;Child&gt;'!$A:$A,'BuffValue&lt;Child&gt;'!$K:$K),0)</f>
        <v>0</v>
      </c>
      <c r="AT92" s="47" t="str">
        <f>IFERROR(_xlfn.XLOOKUP(AG92,Target!$A:$A,Target!$B:$B),"None")</f>
        <v>None</v>
      </c>
      <c r="AU92" s="47" t="str">
        <f>IFERROR(_xlfn.XLOOKUP($AH92,'BuffValue&lt;Child&gt;'!$A:$A,'BuffValue&lt;Child&gt;'!$F:$F),"None")</f>
        <v>None</v>
      </c>
      <c r="AV92" s="47">
        <f>IFERROR(_xlfn.XLOOKUP($AH92,'BuffValue&lt;Child&gt;'!$A:$A,'BuffValue&lt;Child&gt;'!$K:$K),0)</f>
        <v>0</v>
      </c>
      <c r="AW92" s="47" t="str">
        <f>IFERROR(_xlfn.XLOOKUP(AL92,Target!$A:$A,Target!$B:$B),"None")</f>
        <v>None</v>
      </c>
      <c r="AX92" s="47" t="str">
        <f>IFERROR(_xlfn.XLOOKUP($AM92,'BuffValue&lt;Child&gt;'!$A:$A,'BuffValue&lt;Child&gt;'!$F:$F),"None")</f>
        <v>None</v>
      </c>
      <c r="AY92" s="47">
        <f>IFERROR(_xlfn.XLOOKUP($AM92,#REF!,#REF!),0)</f>
        <v>0</v>
      </c>
    </row>
    <row r="93" spans="1:51" x14ac:dyDescent="0.3">
      <c r="A93" s="1">
        <f>INT(2&amp;MID(_xlfn.XLOOKUP(B93,[2]Timeline!$B:$B,[2]Timeline!$A:$A),2,5)&amp;1)</f>
        <v>2303181</v>
      </c>
      <c r="B93" s="7" t="s">
        <v>155</v>
      </c>
      <c r="C93" s="7" t="s">
        <v>307</v>
      </c>
      <c r="D93" s="7" t="s">
        <v>526</v>
      </c>
      <c r="E93" s="1" t="str">
        <f t="shared" si="12"/>
        <v>skill_name_2303181</v>
      </c>
      <c r="F93" s="1" t="s">
        <v>117</v>
      </c>
      <c r="G93" s="1" t="s">
        <v>419</v>
      </c>
      <c r="H93" s="1" t="str">
        <f t="shared" si="13"/>
        <v>skill_desc_2303181</v>
      </c>
      <c r="I93" s="1" t="s">
        <v>205</v>
      </c>
      <c r="J93" s="1" t="str">
        <f>IFERROR(_xlfn.XLOOKUP(W93,Target!A:A,Target!J:J),"")</f>
        <v>Skill_Target_Icon_Enemy_Near_One</v>
      </c>
      <c r="K93" s="1" t="s">
        <v>205</v>
      </c>
      <c r="L93" s="1" t="str">
        <f>IFERROR(_xlfn.XLOOKUP(W93,Target!A:A,Target!K:K),"")</f>
        <v>Skill_Area_Icon_Pivot_Centor</v>
      </c>
      <c r="M93" s="1" t="str">
        <f>_xlfn.XLOOKUP(B93,'[2]Detail&lt;Child&gt;'!$B:$B,'[2]Detail&lt;Child&gt;'!$M:$M)</f>
        <v>Water</v>
      </c>
      <c r="N93" s="1" t="str">
        <f>_xlfn.XLOOKUP(B93,'[2]Detail&lt;Child&gt;'!$B:$B,'[2]Detail&lt;Child&gt;'!$N:$N)</f>
        <v>Healer</v>
      </c>
      <c r="O93" s="1" t="s">
        <v>33</v>
      </c>
      <c r="P93" s="33">
        <v>3</v>
      </c>
      <c r="Q93" s="68" t="s">
        <v>511</v>
      </c>
      <c r="R93" s="1" t="s">
        <v>511</v>
      </c>
      <c r="S93" s="1">
        <v>2</v>
      </c>
      <c r="T93" s="2" t="str">
        <f t="shared" si="14"/>
        <v>SignalHit</v>
      </c>
      <c r="U93" s="2" t="str" cm="1">
        <f t="array" ref="U93">_xlfn.IFS(T93="SignalHIt","TurnEnd",T93="AttackBegin","TurnEnd",T93="AttackEnd","TurnEnd",T93="Immediately","Applied",T93="None","None")</f>
        <v>TurnEnd</v>
      </c>
      <c r="V93" s="2">
        <v>0</v>
      </c>
      <c r="W93" s="1">
        <v>2000011</v>
      </c>
      <c r="X93" s="8">
        <f t="shared" si="19"/>
        <v>23031811</v>
      </c>
      <c r="Y93" s="1" t="str">
        <f t="shared" si="15"/>
        <v>Immediately</v>
      </c>
      <c r="Z93" s="2" t="str" cm="1">
        <f t="array" ref="Z93">_xlfn.IFS(Y93="SignalHIt","TurnEnd",Y93="AttackBegin","TurnEnd",Y93="AttackEnd","TurnEnd",Y93="Immediately","Applied",Y93="None","None")</f>
        <v>Applied</v>
      </c>
      <c r="AA93" s="2">
        <v>0</v>
      </c>
      <c r="AB93" s="1">
        <v>0</v>
      </c>
      <c r="AC93" s="8">
        <v>0</v>
      </c>
      <c r="AD93" s="2" t="str">
        <f t="shared" si="16"/>
        <v>AttackEnd</v>
      </c>
      <c r="AE93" s="2" t="str" cm="1">
        <f t="array" ref="AE93">_xlfn.IFS(AD93="SignalHIt","TurnEnd",AD93="AttackBegin","TurnEnd",AD93="AttackEnd","TurnEnd",AD93="Immediately","Applied",AD93="None","None")</f>
        <v>TurnEnd</v>
      </c>
      <c r="AF93" s="2">
        <v>0</v>
      </c>
      <c r="AG93" s="1">
        <v>1001101</v>
      </c>
      <c r="AH93" s="8">
        <f>X93+1</f>
        <v>23031812</v>
      </c>
      <c r="AI93" s="2" t="str">
        <f t="shared" si="17"/>
        <v>Immediately</v>
      </c>
      <c r="AJ93" s="2" t="str" cm="1">
        <f t="array" ref="AJ93">_xlfn.IFS(AI93="SignalHIt","TurnEnd",AI93="AttackBegin","TurnEnd",AI93="AttackEnd","TurnEnd",AI93="Immediately","Applied",AI93="None","None")</f>
        <v>Applied</v>
      </c>
      <c r="AK93" s="2">
        <v>0</v>
      </c>
      <c r="AL93" s="8">
        <v>0</v>
      </c>
      <c r="AM93" s="48">
        <v>0</v>
      </c>
      <c r="AN93" s="45" t="str">
        <f>IFERROR(_xlfn.XLOOKUP(W93,Target!$A:$A,Target!$B:$B),"None")</f>
        <v xml:space="preserve">가까운 적 1명 </v>
      </c>
      <c r="AO93" s="43" t="str">
        <f>IFERROR(_xlfn.XLOOKUP($X93,'BuffValue&lt;Child&gt;'!$A:$A,'BuffValue&lt;Child&gt;'!$F:$F),"None")</f>
        <v>액티브 대미지</v>
      </c>
      <c r="AP93" s="43">
        <f>IFERROR(_xlfn.XLOOKUP($X93,'BuffValue&lt;Child&gt;'!$A:$A,'BuffValue&lt;Child&gt;'!$K:$K),0)</f>
        <v>330000</v>
      </c>
      <c r="AQ93" s="43" t="str">
        <f>IFERROR(_xlfn.XLOOKUP(AB93,Target!$A:$A,Target!$B:$B),"None")</f>
        <v>None</v>
      </c>
      <c r="AR93" s="45" t="str">
        <f>IFERROR(_xlfn.XLOOKUP($AC93,'BuffValue&lt;Child&gt;'!$A:$A,'BuffValue&lt;Child&gt;'!$F:$F),"None")</f>
        <v>None</v>
      </c>
      <c r="AS93" s="45">
        <f>IFERROR(_xlfn.XLOOKUP($AC93,'BuffValue&lt;Child&gt;'!$A:$A,'BuffValue&lt;Child&gt;'!$K:$K),0)</f>
        <v>0</v>
      </c>
      <c r="AT93" s="43" t="str">
        <f>IFERROR(_xlfn.XLOOKUP(AG93,Target!$A:$A,Target!$B:$B),"None")</f>
        <v xml:space="preserve">화속성 무작위 아군 1명 </v>
      </c>
      <c r="AU93" s="43" t="str">
        <f>IFERROR(_xlfn.XLOOKUP($AH93,'BuffValue&lt;Child&gt;'!$A:$A,'BuffValue&lt;Child&gt;'!$F:$F),"None")</f>
        <v>바리 공증, 속증</v>
      </c>
      <c r="AV93" s="43">
        <f>IFERROR(_xlfn.XLOOKUP($AH93,'BuffValue&lt;Child&gt;'!$A:$A,'BuffValue&lt;Child&gt;'!$K:$K),0)</f>
        <v>15000</v>
      </c>
      <c r="AW93" s="43" t="str">
        <f>IFERROR(_xlfn.XLOOKUP(AL93,Target!$A:$A,Target!$B:$B),"None")</f>
        <v>None</v>
      </c>
      <c r="AX93" s="43" t="str">
        <f>IFERROR(_xlfn.XLOOKUP($AM93,'BuffValue&lt;Child&gt;'!$A:$A,'BuffValue&lt;Child&gt;'!$F:$F),"None")</f>
        <v>None</v>
      </c>
      <c r="AY93" s="43">
        <f>IFERROR(_xlfn.XLOOKUP($AM93,#REF!,#REF!),0)</f>
        <v>0</v>
      </c>
    </row>
    <row r="94" spans="1:51" x14ac:dyDescent="0.3">
      <c r="A94" s="1">
        <f>INT(2&amp;MID(_xlfn.XLOOKUP(B94,[2]Timeline!$B:$B,[2]Timeline!$A:$A),2,5)&amp;2)</f>
        <v>2303182</v>
      </c>
      <c r="B94" s="7" t="s">
        <v>155</v>
      </c>
      <c r="C94" s="7" t="s">
        <v>307</v>
      </c>
      <c r="D94" s="7" t="s">
        <v>526</v>
      </c>
      <c r="E94" s="1" t="str">
        <f t="shared" si="12"/>
        <v>skill_name_2303182</v>
      </c>
      <c r="F94" s="1" t="s">
        <v>117</v>
      </c>
      <c r="G94" s="1" t="s">
        <v>419</v>
      </c>
      <c r="H94" s="1" t="str">
        <f t="shared" si="13"/>
        <v>skill_desc_2303182</v>
      </c>
      <c r="I94" s="1" t="s">
        <v>205</v>
      </c>
      <c r="J94" s="1" t="str">
        <f>IFERROR(_xlfn.XLOOKUP(W94,Target!A:A,Target!J:J),"")</f>
        <v>Skill_Target_Icon_Enemy_Near_One</v>
      </c>
      <c r="K94" s="1" t="s">
        <v>205</v>
      </c>
      <c r="L94" s="1" t="str">
        <f>IFERROR(_xlfn.XLOOKUP(W94,Target!A:A,Target!K:K),"")</f>
        <v>Skill_Area_Icon_Pivot_Centor</v>
      </c>
      <c r="M94" s="1" t="str">
        <f>_xlfn.XLOOKUP(B94,'[2]Detail&lt;Child&gt;'!$B:$B,'[2]Detail&lt;Child&gt;'!$M:$M)</f>
        <v>Water</v>
      </c>
      <c r="N94" s="1" t="str">
        <f>_xlfn.XLOOKUP(B94,'[2]Detail&lt;Child&gt;'!$B:$B,'[2]Detail&lt;Child&gt;'!$N:$N)</f>
        <v>Healer</v>
      </c>
      <c r="O94" s="1" t="s">
        <v>33</v>
      </c>
      <c r="P94" s="33">
        <v>2</v>
      </c>
      <c r="Q94" s="68" t="s">
        <v>511</v>
      </c>
      <c r="R94" s="1" t="s">
        <v>137</v>
      </c>
      <c r="S94" s="1">
        <v>2</v>
      </c>
      <c r="T94" s="2" t="str">
        <f t="shared" si="14"/>
        <v>SignalHit</v>
      </c>
      <c r="U94" s="2" t="str" cm="1">
        <f t="array" ref="U94">_xlfn.IFS(T94="SignalHIt","TurnEnd",T94="AttackBegin","TurnEnd",T94="AttackEnd","TurnEnd",T94="Immediately","Applied",T94="None","None")</f>
        <v>TurnEnd</v>
      </c>
      <c r="V94" s="2">
        <v>0</v>
      </c>
      <c r="W94" s="1">
        <v>2000011</v>
      </c>
      <c r="X94" s="8">
        <f t="shared" si="19"/>
        <v>23031821</v>
      </c>
      <c r="Y94" s="1" t="str">
        <f t="shared" si="15"/>
        <v>Immediately</v>
      </c>
      <c r="Z94" s="2" t="str" cm="1">
        <f t="array" ref="Z94">_xlfn.IFS(Y94="SignalHIt","TurnEnd",Y94="AttackBegin","TurnEnd",Y94="AttackEnd","TurnEnd",Y94="Immediately","Applied",Y94="None","None")</f>
        <v>Applied</v>
      </c>
      <c r="AA94" s="2">
        <v>0</v>
      </c>
      <c r="AB94" s="1">
        <v>0</v>
      </c>
      <c r="AC94" s="8">
        <v>0</v>
      </c>
      <c r="AD94" s="2" t="str">
        <f t="shared" si="16"/>
        <v>AttackEnd</v>
      </c>
      <c r="AE94" s="2" t="str" cm="1">
        <f t="array" ref="AE94">_xlfn.IFS(AD94="SignalHIt","TurnEnd",AD94="AttackBegin","TurnEnd",AD94="AttackEnd","TurnEnd",AD94="Immediately","Applied",AD94="None","None")</f>
        <v>TurnEnd</v>
      </c>
      <c r="AF94" s="2">
        <v>0</v>
      </c>
      <c r="AG94" s="1">
        <v>1001101</v>
      </c>
      <c r="AH94" s="8">
        <f>X94+1</f>
        <v>23031822</v>
      </c>
      <c r="AI94" s="2" t="str">
        <f t="shared" si="17"/>
        <v>Immediately</v>
      </c>
      <c r="AJ94" s="2" t="str" cm="1">
        <f t="array" ref="AJ94">_xlfn.IFS(AI94="SignalHIt","TurnEnd",AI94="AttackBegin","TurnEnd",AI94="AttackEnd","TurnEnd",AI94="Immediately","Applied",AI94="None","None")</f>
        <v>Applied</v>
      </c>
      <c r="AK94" s="2">
        <v>0</v>
      </c>
      <c r="AL94" s="8">
        <v>0</v>
      </c>
      <c r="AM94" s="48">
        <v>0</v>
      </c>
      <c r="AN94" s="45" t="str">
        <f>IFERROR(_xlfn.XLOOKUP(W94,Target!$A:$A,Target!$B:$B),"None")</f>
        <v xml:space="preserve">가까운 적 1명 </v>
      </c>
      <c r="AO94" s="43" t="str">
        <f>IFERROR(_xlfn.XLOOKUP($X94,'BuffValue&lt;Child&gt;'!$A:$A,'BuffValue&lt;Child&gt;'!$F:$F),"None")</f>
        <v>액티브 대미지</v>
      </c>
      <c r="AP94" s="43">
        <f>IFERROR(_xlfn.XLOOKUP($X94,'BuffValue&lt;Child&gt;'!$A:$A,'BuffValue&lt;Child&gt;'!$K:$K),0)</f>
        <v>330000</v>
      </c>
      <c r="AQ94" s="43" t="str">
        <f>IFERROR(_xlfn.XLOOKUP(AB94,Target!$A:$A,Target!$B:$B),"None")</f>
        <v>None</v>
      </c>
      <c r="AR94" s="45" t="str">
        <f>IFERROR(_xlfn.XLOOKUP($AC94,'BuffValue&lt;Child&gt;'!$A:$A,'BuffValue&lt;Child&gt;'!$F:$F),"None")</f>
        <v>None</v>
      </c>
      <c r="AS94" s="45">
        <f>IFERROR(_xlfn.XLOOKUP($AC94,'BuffValue&lt;Child&gt;'!$A:$A,'BuffValue&lt;Child&gt;'!$K:$K),0)</f>
        <v>0</v>
      </c>
      <c r="AT94" s="43" t="str">
        <f>IFERROR(_xlfn.XLOOKUP(AG94,Target!$A:$A,Target!$B:$B),"None")</f>
        <v xml:space="preserve">화속성 무작위 아군 1명 </v>
      </c>
      <c r="AU94" s="43" t="str">
        <f>IFERROR(_xlfn.XLOOKUP($AH94,'BuffValue&lt;Child&gt;'!$A:$A,'BuffValue&lt;Child&gt;'!$F:$F),"None")</f>
        <v>바리 공증, 속증</v>
      </c>
      <c r="AV94" s="43">
        <f>IFERROR(_xlfn.XLOOKUP($AH94,'BuffValue&lt;Child&gt;'!$A:$A,'BuffValue&lt;Child&gt;'!$K:$K),0)</f>
        <v>15000</v>
      </c>
      <c r="AW94" s="43" t="str">
        <f>IFERROR(_xlfn.XLOOKUP(AL94,Target!$A:$A,Target!$B:$B),"None")</f>
        <v>None</v>
      </c>
      <c r="AX94" s="43" t="str">
        <f>IFERROR(_xlfn.XLOOKUP($AM94,'BuffValue&lt;Child&gt;'!$A:$A,'BuffValue&lt;Child&gt;'!$F:$F),"None")</f>
        <v>None</v>
      </c>
      <c r="AY94" s="43">
        <f>IFERROR(_xlfn.XLOOKUP($AM94,#REF!,#REF!),0)</f>
        <v>0</v>
      </c>
    </row>
    <row r="95" spans="1:51" x14ac:dyDescent="0.3">
      <c r="A95" s="1">
        <f>INT(3&amp;MID(_xlfn.XLOOKUP(B95,[2]Timeline!$B:$B,[2]Timeline!$A:$A),2,5)&amp;1)</f>
        <v>3303181</v>
      </c>
      <c r="B95" s="7" t="s">
        <v>155</v>
      </c>
      <c r="C95" s="7" t="s">
        <v>308</v>
      </c>
      <c r="D95" s="7" t="s">
        <v>534</v>
      </c>
      <c r="E95" s="1" t="str">
        <f t="shared" si="12"/>
        <v>skill_name_3303181</v>
      </c>
      <c r="F95" s="1" t="s">
        <v>117</v>
      </c>
      <c r="G95" s="1" t="s">
        <v>397</v>
      </c>
      <c r="H95" s="1" t="str">
        <f t="shared" si="13"/>
        <v>skill_desc_3303181</v>
      </c>
      <c r="I95" s="1" t="s">
        <v>205</v>
      </c>
      <c r="J95" s="1" t="str">
        <f>IFERROR(_xlfn.XLOOKUP(W95,Target!A:A,Target!J:J),"")</f>
        <v>Skill_Target_Icon_Enemy</v>
      </c>
      <c r="K95" s="1" t="s">
        <v>205</v>
      </c>
      <c r="L95" s="1" t="str">
        <f>IFERROR(_xlfn.XLOOKUP(W95,Target!A:A,Target!K:K),"")</f>
        <v>Skill_Area_Icon_NonTarget_All</v>
      </c>
      <c r="M95" s="1" t="str">
        <f>_xlfn.XLOOKUP(B95,'[2]Detail&lt;Child&gt;'!$B:$B,'[2]Detail&lt;Child&gt;'!$M:$M)</f>
        <v>Water</v>
      </c>
      <c r="N95" s="1" t="str">
        <f>_xlfn.XLOOKUP(B95,'[2]Detail&lt;Child&gt;'!$B:$B,'[2]Detail&lt;Child&gt;'!$N:$N)</f>
        <v>Healer</v>
      </c>
      <c r="O95" s="1" t="s">
        <v>141</v>
      </c>
      <c r="P95" s="33">
        <v>0</v>
      </c>
      <c r="Q95" s="68" t="str" cm="1">
        <f t="array" ref="Q95">_xlfn.IFS(R95="Move","Move",R95="NonTargetMove","Move",R95="Static","Stand",R95="None","Stand")</f>
        <v>Move</v>
      </c>
      <c r="R95" s="1" t="s">
        <v>153</v>
      </c>
      <c r="S95" s="1">
        <v>1</v>
      </c>
      <c r="T95" s="2" t="str">
        <f t="shared" si="14"/>
        <v>SignalHit</v>
      </c>
      <c r="U95" s="2" t="str" cm="1">
        <f t="array" ref="U95">_xlfn.IFS(T95="SignalHIt","TurnEnd",T95="AttackBegin","TurnEnd",T95="AttackEnd","TurnEnd",T95="Immediately","Applied",T95="None","None")</f>
        <v>TurnEnd</v>
      </c>
      <c r="V95" s="2">
        <v>0</v>
      </c>
      <c r="W95" s="1">
        <v>920001</v>
      </c>
      <c r="X95" s="8">
        <f t="shared" si="19"/>
        <v>33031811</v>
      </c>
      <c r="Y95" s="1" t="str">
        <f t="shared" si="15"/>
        <v>Immediately</v>
      </c>
      <c r="Z95" s="2" t="str" cm="1">
        <f t="array" ref="Z95">_xlfn.IFS(Y95="SignalHIt","TurnEnd",Y95="AttackBegin","TurnEnd",Y95="AttackEnd","TurnEnd",Y95="Immediately","Applied",Y95="None","None")</f>
        <v>Applied</v>
      </c>
      <c r="AA95" s="2">
        <v>0</v>
      </c>
      <c r="AB95" s="1">
        <v>0</v>
      </c>
      <c r="AC95" s="8">
        <v>0</v>
      </c>
      <c r="AD95" s="2" t="str">
        <f t="shared" si="16"/>
        <v>AttackEnd</v>
      </c>
      <c r="AE95" s="2" t="str" cm="1">
        <f t="array" ref="AE95">_xlfn.IFS(AD95="SignalHIt","TurnEnd",AD95="AttackBegin","TurnEnd",AD95="AttackEnd","TurnEnd",AD95="Immediately","Applied",AD95="None","None")</f>
        <v>TurnEnd</v>
      </c>
      <c r="AF95" s="2">
        <v>0</v>
      </c>
      <c r="AG95" s="1">
        <v>1000001</v>
      </c>
      <c r="AH95" s="8">
        <f>X95+1</f>
        <v>33031812</v>
      </c>
      <c r="AI95" s="2" t="str">
        <f t="shared" si="17"/>
        <v>Immediately</v>
      </c>
      <c r="AJ95" s="2" t="str" cm="1">
        <f t="array" ref="AJ95">_xlfn.IFS(AI95="SignalHIt","TurnEnd",AI95="AttackBegin","TurnEnd",AI95="AttackEnd","TurnEnd",AI95="Immediately","Applied",AI95="None","None")</f>
        <v>Applied</v>
      </c>
      <c r="AK95" s="2">
        <v>0</v>
      </c>
      <c r="AL95" s="8">
        <v>0</v>
      </c>
      <c r="AM95" s="48">
        <v>0</v>
      </c>
      <c r="AN95" s="45" t="str">
        <f>IFERROR(_xlfn.XLOOKUP(W95,Target!$A:$A,Target!$B:$B),"None")</f>
        <v>논타겟 적 9칸</v>
      </c>
      <c r="AO95" s="43" t="str">
        <f>IFERROR(_xlfn.XLOOKUP($X95,'BuffValue&lt;Child&gt;'!$A:$A,'BuffValue&lt;Child&gt;'!$F:$F),"None")</f>
        <v>얼티밋 대미지</v>
      </c>
      <c r="AP95" s="43">
        <f>IFERROR(_xlfn.XLOOKUP($X95,'BuffValue&lt;Child&gt;'!$A:$A,'BuffValue&lt;Child&gt;'!$K:$K),0)</f>
        <v>110000</v>
      </c>
      <c r="AQ95" s="43" t="str">
        <f>IFERROR(_xlfn.XLOOKUP(AB95,Target!$A:$A,Target!$B:$B),"None")</f>
        <v>None</v>
      </c>
      <c r="AR95" s="45" t="str">
        <f>IFERROR(_xlfn.XLOOKUP($AC95,'BuffValue&lt;Child&gt;'!$A:$A,'BuffValue&lt;Child&gt;'!$F:$F),"None")</f>
        <v>None</v>
      </c>
      <c r="AS95" s="45">
        <f>IFERROR(_xlfn.XLOOKUP($AC95,'BuffValue&lt;Child&gt;'!$A:$A,'BuffValue&lt;Child&gt;'!$K:$K),0)</f>
        <v>0</v>
      </c>
      <c r="AT95" s="43" t="str">
        <f>IFERROR(_xlfn.XLOOKUP(AG95,Target!$A:$A,Target!$B:$B),"None")</f>
        <v xml:space="preserve">무작위 아군 1명 </v>
      </c>
      <c r="AU95" s="43" t="str">
        <f>IFERROR(_xlfn.XLOOKUP($AH95,'BuffValue&lt;Child&gt;'!$A:$A,'BuffValue&lt;Child&gt;'!$F:$F),"None")</f>
        <v>바리 회복</v>
      </c>
      <c r="AV95" s="43">
        <f>IFERROR(_xlfn.XLOOKUP($AH95,'BuffValue&lt;Child&gt;'!$A:$A,'BuffValue&lt;Child&gt;'!$K:$K),0)</f>
        <v>30000</v>
      </c>
      <c r="AW95" s="43" t="str">
        <f>IFERROR(_xlfn.XLOOKUP(AL95,Target!$A:$A,Target!$B:$B),"None")</f>
        <v>None</v>
      </c>
      <c r="AX95" s="43" t="str">
        <f>IFERROR(_xlfn.XLOOKUP($AM95,'BuffValue&lt;Child&gt;'!$A:$A,'BuffValue&lt;Child&gt;'!$F:$F),"None")</f>
        <v>None</v>
      </c>
      <c r="AY95" s="43">
        <f>IFERROR(_xlfn.XLOOKUP($AM95,#REF!,#REF!),0)</f>
        <v>0</v>
      </c>
    </row>
    <row r="96" spans="1:51" x14ac:dyDescent="0.3">
      <c r="A96" s="1">
        <f>INT(3&amp;MID(_xlfn.XLOOKUP(B96,[2]Timeline!$B:$B,[2]Timeline!$A:$A),2,5)&amp;2)</f>
        <v>3303182</v>
      </c>
      <c r="B96" s="7" t="s">
        <v>155</v>
      </c>
      <c r="C96" s="7" t="s">
        <v>308</v>
      </c>
      <c r="D96" s="7" t="s">
        <v>534</v>
      </c>
      <c r="E96" s="1" t="str">
        <f t="shared" si="12"/>
        <v>skill_name_3303182</v>
      </c>
      <c r="F96" s="1" t="s">
        <v>117</v>
      </c>
      <c r="G96" s="1" t="s">
        <v>397</v>
      </c>
      <c r="H96" s="1" t="str">
        <f t="shared" si="13"/>
        <v>skill_desc_3303182</v>
      </c>
      <c r="I96" s="1" t="s">
        <v>205</v>
      </c>
      <c r="J96" s="1" t="str">
        <f>IFERROR(_xlfn.XLOOKUP(W96,Target!A:A,Target!J:J),"")</f>
        <v>Skill_Target_Icon_Enemy</v>
      </c>
      <c r="K96" s="1" t="s">
        <v>205</v>
      </c>
      <c r="L96" s="1" t="str">
        <f>IFERROR(_xlfn.XLOOKUP(W96,Target!A:A,Target!K:K),"")</f>
        <v>Skill_Area_Icon_NonTarget_All</v>
      </c>
      <c r="M96" s="1" t="str">
        <f>_xlfn.XLOOKUP(B96,'[2]Detail&lt;Child&gt;'!$B:$B,'[2]Detail&lt;Child&gt;'!$M:$M)</f>
        <v>Water</v>
      </c>
      <c r="N96" s="1" t="str">
        <f>_xlfn.XLOOKUP(B96,'[2]Detail&lt;Child&gt;'!$B:$B,'[2]Detail&lt;Child&gt;'!$N:$N)</f>
        <v>Healer</v>
      </c>
      <c r="O96" s="1" t="s">
        <v>140</v>
      </c>
      <c r="P96" s="33">
        <v>0</v>
      </c>
      <c r="Q96" s="68" t="str" cm="1">
        <f t="array" ref="Q96">_xlfn.IFS(R96="Move","Move",R96="NonTargetMove","Move",R96="Static","Stand",R96="None","Stand")</f>
        <v>Move</v>
      </c>
      <c r="R96" s="1" t="s">
        <v>153</v>
      </c>
      <c r="S96" s="1">
        <v>1</v>
      </c>
      <c r="T96" s="2" t="str">
        <f t="shared" si="14"/>
        <v>SignalHit</v>
      </c>
      <c r="U96" s="2" t="str" cm="1">
        <f t="array" ref="U96">_xlfn.IFS(T96="SignalHIt","TurnEnd",T96="AttackBegin","TurnEnd",T96="AttackEnd","TurnEnd",T96="Immediately","Applied",T96="None","None")</f>
        <v>TurnEnd</v>
      </c>
      <c r="V96" s="2">
        <v>0</v>
      </c>
      <c r="W96" s="1">
        <v>920001</v>
      </c>
      <c r="X96" s="8">
        <f t="shared" si="19"/>
        <v>33031821</v>
      </c>
      <c r="Y96" s="1" t="str">
        <f t="shared" si="15"/>
        <v>Immediately</v>
      </c>
      <c r="Z96" s="2" t="str" cm="1">
        <f t="array" ref="Z96">_xlfn.IFS(Y96="SignalHIt","TurnEnd",Y96="AttackBegin","TurnEnd",Y96="AttackEnd","TurnEnd",Y96="Immediately","Applied",Y96="None","None")</f>
        <v>Applied</v>
      </c>
      <c r="AA96" s="2">
        <v>0</v>
      </c>
      <c r="AB96" s="1">
        <v>0</v>
      </c>
      <c r="AC96" s="8">
        <v>0</v>
      </c>
      <c r="AD96" s="2" t="str">
        <f t="shared" si="16"/>
        <v>AttackEnd</v>
      </c>
      <c r="AE96" s="2" t="str" cm="1">
        <f t="array" ref="AE96">_xlfn.IFS(AD96="SignalHIt","TurnEnd",AD96="AttackBegin","TurnEnd",AD96="AttackEnd","TurnEnd",AD96="Immediately","Applied",AD96="None","None")</f>
        <v>TurnEnd</v>
      </c>
      <c r="AF96" s="2">
        <v>0</v>
      </c>
      <c r="AG96" s="1">
        <v>1000001</v>
      </c>
      <c r="AH96" s="8">
        <f>X96+1</f>
        <v>33031822</v>
      </c>
      <c r="AI96" s="2" t="str">
        <f t="shared" si="17"/>
        <v>Immediately</v>
      </c>
      <c r="AJ96" s="2" t="str" cm="1">
        <f t="array" ref="AJ96">_xlfn.IFS(AI96="SignalHIt","TurnEnd",AI96="AttackBegin","TurnEnd",AI96="AttackEnd","TurnEnd",AI96="Immediately","Applied",AI96="None","None")</f>
        <v>Applied</v>
      </c>
      <c r="AK96" s="2">
        <v>0</v>
      </c>
      <c r="AL96" s="8">
        <v>0</v>
      </c>
      <c r="AM96" s="48">
        <v>0</v>
      </c>
      <c r="AN96" s="45" t="str">
        <f>IFERROR(_xlfn.XLOOKUP(W96,Target!$A:$A,Target!$B:$B),"None")</f>
        <v>논타겟 적 9칸</v>
      </c>
      <c r="AO96" s="43" t="str">
        <f>IFERROR(_xlfn.XLOOKUP($X96,'BuffValue&lt;Child&gt;'!$A:$A,'BuffValue&lt;Child&gt;'!$F:$F),"None")</f>
        <v>얼티밋 대미지</v>
      </c>
      <c r="AP96" s="43">
        <f>IFERROR(_xlfn.XLOOKUP($X96,'BuffValue&lt;Child&gt;'!$A:$A,'BuffValue&lt;Child&gt;'!$K:$K),0)</f>
        <v>110000</v>
      </c>
      <c r="AQ96" s="43" t="str">
        <f>IFERROR(_xlfn.XLOOKUP(AB96,Target!$A:$A,Target!$B:$B),"None")</f>
        <v>None</v>
      </c>
      <c r="AR96" s="45" t="str">
        <f>IFERROR(_xlfn.XLOOKUP($AC96,'BuffValue&lt;Child&gt;'!$A:$A,'BuffValue&lt;Child&gt;'!$F:$F),"None")</f>
        <v>None</v>
      </c>
      <c r="AS96" s="45">
        <f>IFERROR(_xlfn.XLOOKUP($AC96,'BuffValue&lt;Child&gt;'!$A:$A,'BuffValue&lt;Child&gt;'!$K:$K),0)</f>
        <v>0</v>
      </c>
      <c r="AT96" s="43" t="str">
        <f>IFERROR(_xlfn.XLOOKUP(AG96,Target!$A:$A,Target!$B:$B),"None")</f>
        <v xml:space="preserve">무작위 아군 1명 </v>
      </c>
      <c r="AU96" s="43" t="str">
        <f>IFERROR(_xlfn.XLOOKUP($AH96,'BuffValue&lt;Child&gt;'!$A:$A,'BuffValue&lt;Child&gt;'!$F:$F),"None")</f>
        <v>바리 회복</v>
      </c>
      <c r="AV96" s="43">
        <f>IFERROR(_xlfn.XLOOKUP($AH96,'BuffValue&lt;Child&gt;'!$A:$A,'BuffValue&lt;Child&gt;'!$K:$K),0)</f>
        <v>30000</v>
      </c>
      <c r="AW96" s="43" t="str">
        <f>IFERROR(_xlfn.XLOOKUP(AL96,Target!$A:$A,Target!$B:$B),"None")</f>
        <v>None</v>
      </c>
      <c r="AX96" s="43" t="str">
        <f>IFERROR(_xlfn.XLOOKUP($AM96,'BuffValue&lt;Child&gt;'!$A:$A,'BuffValue&lt;Child&gt;'!$F:$F),"None")</f>
        <v>None</v>
      </c>
      <c r="AY96" s="43">
        <f>IFERROR(_xlfn.XLOOKUP($AM96,#REF!,#REF!),0)</f>
        <v>0</v>
      </c>
    </row>
    <row r="97" spans="1:51" x14ac:dyDescent="0.3">
      <c r="A97" s="1">
        <f>INT(3&amp;MID(_xlfn.XLOOKUP(B97,[2]Timeline!$B:$B,[2]Timeline!$A:$A),2,5)&amp;3)</f>
        <v>3303183</v>
      </c>
      <c r="B97" s="7" t="s">
        <v>155</v>
      </c>
      <c r="C97" s="7" t="s">
        <v>308</v>
      </c>
      <c r="D97" s="7" t="s">
        <v>534</v>
      </c>
      <c r="E97" s="1" t="str">
        <f t="shared" si="12"/>
        <v>skill_name_3303183</v>
      </c>
      <c r="F97" s="1" t="s">
        <v>117</v>
      </c>
      <c r="G97" s="1" t="s">
        <v>397</v>
      </c>
      <c r="H97" s="1" t="str">
        <f t="shared" si="13"/>
        <v>skill_desc_3303183</v>
      </c>
      <c r="I97" s="1" t="s">
        <v>205</v>
      </c>
      <c r="J97" s="1" t="str">
        <f>IFERROR(_xlfn.XLOOKUP(W97,Target!A:A,Target!J:J),"")</f>
        <v>Skill_Target_Icon_Enemy</v>
      </c>
      <c r="K97" s="1" t="s">
        <v>205</v>
      </c>
      <c r="L97" s="1" t="str">
        <f>IFERROR(_xlfn.XLOOKUP(W97,Target!A:A,Target!K:K),"")</f>
        <v>Skill_Area_Icon_NonTarget_All</v>
      </c>
      <c r="M97" s="1" t="str">
        <f>_xlfn.XLOOKUP(B97,'[2]Detail&lt;Child&gt;'!$B:$B,'[2]Detail&lt;Child&gt;'!$M:$M)</f>
        <v>Water</v>
      </c>
      <c r="N97" s="1" t="str">
        <f>_xlfn.XLOOKUP(B97,'[2]Detail&lt;Child&gt;'!$B:$B,'[2]Detail&lt;Child&gt;'!$N:$N)</f>
        <v>Healer</v>
      </c>
      <c r="O97" s="1" t="s">
        <v>140</v>
      </c>
      <c r="P97" s="33">
        <v>0</v>
      </c>
      <c r="Q97" s="68" t="str" cm="1">
        <f t="array" ref="Q97">_xlfn.IFS(R97="Move","Move",R97="NonTargetMove","Move",R97="Static","Stand",R97="None","Stand")</f>
        <v>Move</v>
      </c>
      <c r="R97" s="1" t="s">
        <v>153</v>
      </c>
      <c r="S97" s="1">
        <v>1</v>
      </c>
      <c r="T97" s="2" t="str">
        <f t="shared" si="14"/>
        <v>SignalHit</v>
      </c>
      <c r="U97" s="2" t="str" cm="1">
        <f t="array" ref="U97">_xlfn.IFS(T97="SignalHIt","TurnEnd",T97="AttackBegin","TurnEnd",T97="AttackEnd","TurnEnd",T97="Immediately","Applied",T97="None","None")</f>
        <v>TurnEnd</v>
      </c>
      <c r="V97" s="2">
        <v>0</v>
      </c>
      <c r="W97" s="1">
        <v>920001</v>
      </c>
      <c r="X97" s="8">
        <f t="shared" si="19"/>
        <v>33031831</v>
      </c>
      <c r="Y97" s="1" t="str">
        <f t="shared" si="15"/>
        <v>Immediately</v>
      </c>
      <c r="Z97" s="2" t="str" cm="1">
        <f t="array" ref="Z97">_xlfn.IFS(Y97="SignalHIt","TurnEnd",Y97="AttackBegin","TurnEnd",Y97="AttackEnd","TurnEnd",Y97="Immediately","Applied",Y97="None","None")</f>
        <v>Applied</v>
      </c>
      <c r="AA97" s="2">
        <v>0</v>
      </c>
      <c r="AB97" s="1">
        <v>0</v>
      </c>
      <c r="AC97" s="8">
        <v>0</v>
      </c>
      <c r="AD97" s="2" t="str">
        <f t="shared" si="16"/>
        <v>AttackEnd</v>
      </c>
      <c r="AE97" s="2" t="str" cm="1">
        <f t="array" ref="AE97">_xlfn.IFS(AD97="SignalHIt","TurnEnd",AD97="AttackBegin","TurnEnd",AD97="AttackEnd","TurnEnd",AD97="Immediately","Applied",AD97="None","None")</f>
        <v>TurnEnd</v>
      </c>
      <c r="AF97" s="2">
        <v>0</v>
      </c>
      <c r="AG97" s="1">
        <v>1000001</v>
      </c>
      <c r="AH97" s="8">
        <f>X97+1</f>
        <v>33031832</v>
      </c>
      <c r="AI97" s="2" t="str">
        <f t="shared" si="17"/>
        <v>Immediately</v>
      </c>
      <c r="AJ97" s="2" t="str" cm="1">
        <f t="array" ref="AJ97">_xlfn.IFS(AI97="SignalHIt","TurnEnd",AI97="AttackBegin","TurnEnd",AI97="AttackEnd","TurnEnd",AI97="Immediately","Applied",AI97="None","None")</f>
        <v>Applied</v>
      </c>
      <c r="AK97" s="2">
        <v>0</v>
      </c>
      <c r="AL97" s="8">
        <v>0</v>
      </c>
      <c r="AM97" s="48">
        <v>0</v>
      </c>
      <c r="AN97" s="45" t="str">
        <f>IFERROR(_xlfn.XLOOKUP(W97,Target!$A:$A,Target!$B:$B),"None")</f>
        <v>논타겟 적 9칸</v>
      </c>
      <c r="AO97" s="43" t="str">
        <f>IFERROR(_xlfn.XLOOKUP($X97,'BuffValue&lt;Child&gt;'!$A:$A,'BuffValue&lt;Child&gt;'!$F:$F),"None")</f>
        <v>얼티밋 대미지</v>
      </c>
      <c r="AP97" s="43">
        <f>IFERROR(_xlfn.XLOOKUP($X97,'BuffValue&lt;Child&gt;'!$A:$A,'BuffValue&lt;Child&gt;'!$K:$K),0)</f>
        <v>110000</v>
      </c>
      <c r="AQ97" s="43" t="str">
        <f>IFERROR(_xlfn.XLOOKUP(AB97,Target!$A:$A,Target!$B:$B),"None")</f>
        <v>None</v>
      </c>
      <c r="AR97" s="45" t="str">
        <f>IFERROR(_xlfn.XLOOKUP($AC97,'BuffValue&lt;Child&gt;'!$A:$A,'BuffValue&lt;Child&gt;'!$F:$F),"None")</f>
        <v>None</v>
      </c>
      <c r="AS97" s="45">
        <f>IFERROR(_xlfn.XLOOKUP($AC97,'BuffValue&lt;Child&gt;'!$A:$A,'BuffValue&lt;Child&gt;'!$K:$K),0)</f>
        <v>0</v>
      </c>
      <c r="AT97" s="43" t="str">
        <f>IFERROR(_xlfn.XLOOKUP(AG97,Target!$A:$A,Target!$B:$B),"None")</f>
        <v xml:space="preserve">무작위 아군 1명 </v>
      </c>
      <c r="AU97" s="43" t="str">
        <f>IFERROR(_xlfn.XLOOKUP($AH97,'BuffValue&lt;Child&gt;'!$A:$A,'BuffValue&lt;Child&gt;'!$F:$F),"None")</f>
        <v>바리 회복</v>
      </c>
      <c r="AV97" s="43">
        <f>IFERROR(_xlfn.XLOOKUP($AH97,'BuffValue&lt;Child&gt;'!$A:$A,'BuffValue&lt;Child&gt;'!$K:$K),0)</f>
        <v>30000</v>
      </c>
      <c r="AW97" s="43" t="str">
        <f>IFERROR(_xlfn.XLOOKUP(AL97,Target!$A:$A,Target!$B:$B),"None")</f>
        <v>None</v>
      </c>
      <c r="AX97" s="43" t="str">
        <f>IFERROR(_xlfn.XLOOKUP($AM97,'BuffValue&lt;Child&gt;'!$A:$A,'BuffValue&lt;Child&gt;'!$F:$F),"None")</f>
        <v>None</v>
      </c>
      <c r="AY97" s="43">
        <f>IFERROR(_xlfn.XLOOKUP($AM97,#REF!,#REF!),0)</f>
        <v>0</v>
      </c>
    </row>
    <row r="98" spans="1:51" x14ac:dyDescent="0.3">
      <c r="A98" s="1">
        <f>INT(4&amp;MID(_xlfn.XLOOKUP(B98,[2]Timeline!$B:$B,[2]Timeline!$A:$A),2,5)&amp;1)</f>
        <v>4303181</v>
      </c>
      <c r="B98" s="7" t="s">
        <v>155</v>
      </c>
      <c r="C98" s="7" t="s">
        <v>122</v>
      </c>
      <c r="D98" s="7" t="s">
        <v>551</v>
      </c>
      <c r="E98" s="1" t="str">
        <f t="shared" si="12"/>
        <v>skill_name_4303181</v>
      </c>
      <c r="F98" s="1" t="s">
        <v>117</v>
      </c>
      <c r="G98" s="1" t="s">
        <v>421</v>
      </c>
      <c r="H98" s="1" t="str">
        <f t="shared" si="13"/>
        <v>skill_desc_4303181</v>
      </c>
      <c r="I98" s="1" t="s">
        <v>205</v>
      </c>
      <c r="J98" s="1" t="str">
        <f>IFERROR(_xlfn.XLOOKUP(W98,Target!A:A,Target!J:J),"")</f>
        <v>Skill_Target_Icon_Mine</v>
      </c>
      <c r="K98" s="1" t="s">
        <v>205</v>
      </c>
      <c r="L98" s="1" t="str">
        <f>IFERROR(_xlfn.XLOOKUP(W98,Target!A:A,Target!K:K),"")</f>
        <v>Skill_Area_Icon_Pivot_Centor</v>
      </c>
      <c r="M98" s="1" t="str">
        <f>_xlfn.XLOOKUP(B98,'[2]Detail&lt;Child&gt;'!$B:$B,'[2]Detail&lt;Child&gt;'!$M:$M)</f>
        <v>Water</v>
      </c>
      <c r="N98" s="1" t="str">
        <f>_xlfn.XLOOKUP(B98,'[2]Detail&lt;Child&gt;'!$B:$B,'[2]Detail&lt;Child&gt;'!$N:$N)</f>
        <v>Healer</v>
      </c>
      <c r="O98" s="1" t="s">
        <v>167</v>
      </c>
      <c r="P98" s="33">
        <v>0</v>
      </c>
      <c r="Q98" s="68" t="str" cm="1">
        <f t="array" ref="Q98">_xlfn.IFS(R98="Move","Move",R98="NonTargetMove","Move",R98="Static","Stand",R98="None","Stand")</f>
        <v>Stand</v>
      </c>
      <c r="R98" s="1" t="s">
        <v>136</v>
      </c>
      <c r="S98" s="1">
        <v>0</v>
      </c>
      <c r="T98" s="2" t="str">
        <f t="shared" si="14"/>
        <v>Immediately</v>
      </c>
      <c r="U98" s="2" t="str" cm="1">
        <f t="array" ref="U98">_xlfn.IFS(T98="SignalHIt","TurnEnd",T98="AttackBegin","TurnEnd",T98="AttackEnd","TurnEnd",T98="Immediately","Applied",T98="None","None")</f>
        <v>Applied</v>
      </c>
      <c r="V98" s="2">
        <v>0</v>
      </c>
      <c r="W98" s="1">
        <v>1</v>
      </c>
      <c r="X98" s="8">
        <f t="shared" si="19"/>
        <v>43031811</v>
      </c>
      <c r="Y98" s="1" t="str">
        <f t="shared" si="15"/>
        <v>Immediately</v>
      </c>
      <c r="Z98" s="2" t="str" cm="1">
        <f t="array" ref="Z98">_xlfn.IFS(Y98="SignalHIt","TurnEnd",Y98="AttackBegin","TurnEnd",Y98="AttackEnd","TurnEnd",Y98="Immediately","Applied",Y98="None","None")</f>
        <v>Applied</v>
      </c>
      <c r="AA98" s="2">
        <v>0</v>
      </c>
      <c r="AB98" s="1">
        <v>0</v>
      </c>
      <c r="AC98" s="8">
        <v>0</v>
      </c>
      <c r="AD98" s="2" t="str">
        <f t="shared" si="16"/>
        <v>Immediately</v>
      </c>
      <c r="AE98" s="2" t="str" cm="1">
        <f t="array" ref="AE98">_xlfn.IFS(AD98="SignalHIt","TurnEnd",AD98="AttackBegin","TurnEnd",AD98="AttackEnd","TurnEnd",AD98="Immediately","Applied",AD98="None","None")</f>
        <v>Applied</v>
      </c>
      <c r="AF98" s="2">
        <v>0</v>
      </c>
      <c r="AG98" s="1">
        <v>0</v>
      </c>
      <c r="AH98" s="8">
        <v>0</v>
      </c>
      <c r="AI98" s="2" t="str">
        <f t="shared" si="17"/>
        <v>Immediately</v>
      </c>
      <c r="AJ98" s="2" t="str" cm="1">
        <f t="array" ref="AJ98">_xlfn.IFS(AI98="SignalHIt","TurnEnd",AI98="AttackBegin","TurnEnd",AI98="AttackEnd","TurnEnd",AI98="Immediately","Applied",AI98="None","None")</f>
        <v>Applied</v>
      </c>
      <c r="AK98" s="2">
        <v>0</v>
      </c>
      <c r="AL98" s="8">
        <v>0</v>
      </c>
      <c r="AM98" s="48">
        <v>0</v>
      </c>
      <c r="AN98" s="45" t="str">
        <f>IFERROR(_xlfn.XLOOKUP(W98,Target!$A:$A,Target!$B:$B),"None")</f>
        <v xml:space="preserve"> 자신 1명 </v>
      </c>
      <c r="AO98" s="43" t="str">
        <f>IFERROR(_xlfn.XLOOKUP($X98,'BuffValue&lt;Child&gt;'!$A:$A,'BuffValue&lt;Child&gt;'!$F:$F),"None")</f>
        <v>바리 패시브 회복량 증가</v>
      </c>
      <c r="AP98" s="43">
        <f>IFERROR(_xlfn.XLOOKUP($X98,'BuffValue&lt;Child&gt;'!$A:$A,'BuffValue&lt;Child&gt;'!$K:$K),0)</f>
        <v>5000</v>
      </c>
      <c r="AQ98" s="43" t="str">
        <f>IFERROR(_xlfn.XLOOKUP(AB98,Target!$A:$A,Target!$B:$B),"None")</f>
        <v>None</v>
      </c>
      <c r="AR98" s="45" t="str">
        <f>IFERROR(_xlfn.XLOOKUP($AC98,'BuffValue&lt;Child&gt;'!$A:$A,'BuffValue&lt;Child&gt;'!$F:$F),"None")</f>
        <v>None</v>
      </c>
      <c r="AS98" s="45">
        <f>IFERROR(_xlfn.XLOOKUP($AC98,'BuffValue&lt;Child&gt;'!$A:$A,'BuffValue&lt;Child&gt;'!$K:$K),0)</f>
        <v>0</v>
      </c>
      <c r="AT98" s="43" t="str">
        <f>IFERROR(_xlfn.XLOOKUP(AG98,Target!$A:$A,Target!$B:$B),"None")</f>
        <v>None</v>
      </c>
      <c r="AU98" s="43" t="str">
        <f>IFERROR(_xlfn.XLOOKUP($AH98,'BuffValue&lt;Child&gt;'!$A:$A,'BuffValue&lt;Child&gt;'!$F:$F),"None")</f>
        <v>None</v>
      </c>
      <c r="AV98" s="43">
        <f>IFERROR(_xlfn.XLOOKUP($AH98,'BuffValue&lt;Child&gt;'!$A:$A,'BuffValue&lt;Child&gt;'!$K:$K),0)</f>
        <v>0</v>
      </c>
      <c r="AW98" s="43" t="str">
        <f>IFERROR(_xlfn.XLOOKUP(AL98,Target!$A:$A,Target!$B:$B),"None")</f>
        <v>None</v>
      </c>
      <c r="AX98" s="43" t="str">
        <f>IFERROR(_xlfn.XLOOKUP($AM98,'BuffValue&lt;Child&gt;'!$A:$A,'BuffValue&lt;Child&gt;'!$F:$F),"None")</f>
        <v>None</v>
      </c>
      <c r="AY98" s="43">
        <f>IFERROR(_xlfn.XLOOKUP($AM98,#REF!,#REF!),0)</f>
        <v>0</v>
      </c>
    </row>
    <row r="99" spans="1:51" x14ac:dyDescent="0.3">
      <c r="A99" s="1">
        <f>INT(4&amp;MID(_xlfn.XLOOKUP(B99,[2]Timeline!$B:$B,[2]Timeline!$A:$A),2,5)&amp;2)</f>
        <v>4303182</v>
      </c>
      <c r="B99" s="7" t="s">
        <v>155</v>
      </c>
      <c r="C99" s="7" t="s">
        <v>122</v>
      </c>
      <c r="D99" s="7" t="s">
        <v>551</v>
      </c>
      <c r="E99" s="1" t="str">
        <f t="shared" si="12"/>
        <v>skill_name_4303182</v>
      </c>
      <c r="F99" s="1" t="s">
        <v>117</v>
      </c>
      <c r="G99" s="1" t="s">
        <v>398</v>
      </c>
      <c r="H99" s="1" t="str">
        <f t="shared" si="13"/>
        <v>skill_desc_4303182</v>
      </c>
      <c r="I99" s="1" t="s">
        <v>205</v>
      </c>
      <c r="J99" s="1" t="str">
        <f>IFERROR(_xlfn.XLOOKUP(W99,Target!A:A,Target!J:J),"")</f>
        <v>Skill_Target_Icon_Mine</v>
      </c>
      <c r="K99" s="1" t="s">
        <v>205</v>
      </c>
      <c r="L99" s="1" t="str">
        <f>IFERROR(_xlfn.XLOOKUP(W99,Target!A:A,Target!K:K),"")</f>
        <v>Skill_Area_Icon_Pivot_Centor</v>
      </c>
      <c r="M99" s="1" t="str">
        <f>_xlfn.XLOOKUP(B99,'[2]Detail&lt;Child&gt;'!$B:$B,'[2]Detail&lt;Child&gt;'!$M:$M)</f>
        <v>Water</v>
      </c>
      <c r="N99" s="1" t="str">
        <f>_xlfn.XLOOKUP(B99,'[2]Detail&lt;Child&gt;'!$B:$B,'[2]Detail&lt;Child&gt;'!$N:$N)</f>
        <v>Healer</v>
      </c>
      <c r="O99" s="1" t="s">
        <v>167</v>
      </c>
      <c r="P99" s="33">
        <v>0</v>
      </c>
      <c r="Q99" s="68" t="str" cm="1">
        <f t="array" ref="Q99">_xlfn.IFS(R99="Move","Move",R99="NonTargetMove","Move",R99="Static","Stand",R99="None","Stand")</f>
        <v>Stand</v>
      </c>
      <c r="R99" s="1" t="s">
        <v>136</v>
      </c>
      <c r="S99" s="1">
        <f>IF(R99="Static",0,1)</f>
        <v>0</v>
      </c>
      <c r="T99" s="2" t="str">
        <f t="shared" si="14"/>
        <v>Immediately</v>
      </c>
      <c r="U99" s="2" t="str" cm="1">
        <f t="array" ref="U99">_xlfn.IFS(T99="SignalHIt","TurnEnd",T99="AttackBegin","TurnEnd",T99="AttackEnd","TurnEnd",T99="Immediately","Applied",T99="None","None")</f>
        <v>Applied</v>
      </c>
      <c r="V99" s="2">
        <v>0</v>
      </c>
      <c r="W99" s="1">
        <v>1</v>
      </c>
      <c r="X99" s="8">
        <f t="shared" si="19"/>
        <v>43031821</v>
      </c>
      <c r="Y99" s="1" t="str">
        <f t="shared" si="15"/>
        <v>Immediately</v>
      </c>
      <c r="Z99" s="2" t="str" cm="1">
        <f t="array" ref="Z99">_xlfn.IFS(Y99="SignalHIt","TurnEnd",Y99="AttackBegin","TurnEnd",Y99="AttackEnd","TurnEnd",Y99="Immediately","Applied",Y99="None","None")</f>
        <v>Applied</v>
      </c>
      <c r="AA99" s="2">
        <v>0</v>
      </c>
      <c r="AB99" s="1">
        <v>0</v>
      </c>
      <c r="AC99" s="8">
        <v>0</v>
      </c>
      <c r="AD99" s="2" t="str">
        <f t="shared" si="16"/>
        <v>Immediately</v>
      </c>
      <c r="AE99" s="2" t="str" cm="1">
        <f t="array" ref="AE99">_xlfn.IFS(AD99="SignalHIt","TurnEnd",AD99="AttackBegin","TurnEnd",AD99="AttackEnd","TurnEnd",AD99="Immediately","Applied",AD99="None","None")</f>
        <v>Applied</v>
      </c>
      <c r="AF99" s="2">
        <v>0</v>
      </c>
      <c r="AG99" s="1">
        <v>0</v>
      </c>
      <c r="AH99" s="8">
        <v>0</v>
      </c>
      <c r="AI99" s="2" t="str">
        <f t="shared" si="17"/>
        <v>Immediately</v>
      </c>
      <c r="AJ99" s="2" t="str" cm="1">
        <f t="array" ref="AJ99">_xlfn.IFS(AI99="SignalHIt","TurnEnd",AI99="AttackBegin","TurnEnd",AI99="AttackEnd","TurnEnd",AI99="Immediately","Applied",AI99="None","None")</f>
        <v>Applied</v>
      </c>
      <c r="AK99" s="2">
        <v>0</v>
      </c>
      <c r="AL99" s="8">
        <v>0</v>
      </c>
      <c r="AM99" s="48">
        <v>0</v>
      </c>
      <c r="AN99" s="45" t="str">
        <f>IFERROR(_xlfn.XLOOKUP(W99,Target!$A:$A,Target!$B:$B),"None")</f>
        <v xml:space="preserve"> 자신 1명 </v>
      </c>
      <c r="AO99" s="43" t="str">
        <f>IFERROR(_xlfn.XLOOKUP($X99,'BuffValue&lt;Child&gt;'!$A:$A,'BuffValue&lt;Child&gt;'!$F:$F),"None")</f>
        <v>바리 패시브 회복량 증가</v>
      </c>
      <c r="AP99" s="43">
        <f>IFERROR(_xlfn.XLOOKUP($X99,'BuffValue&lt;Child&gt;'!$A:$A,'BuffValue&lt;Child&gt;'!$K:$K),0)</f>
        <v>5000</v>
      </c>
      <c r="AQ99" s="43" t="str">
        <f>IFERROR(_xlfn.XLOOKUP(AB99,Target!$A:$A,Target!$B:$B),"None")</f>
        <v>None</v>
      </c>
      <c r="AR99" s="45" t="str">
        <f>IFERROR(_xlfn.XLOOKUP($AC99,'BuffValue&lt;Child&gt;'!$A:$A,'BuffValue&lt;Child&gt;'!$F:$F),"None")</f>
        <v>None</v>
      </c>
      <c r="AS99" s="45">
        <f>IFERROR(_xlfn.XLOOKUP($AC99,'BuffValue&lt;Child&gt;'!$A:$A,'BuffValue&lt;Child&gt;'!$K:$K),0)</f>
        <v>0</v>
      </c>
      <c r="AT99" s="43" t="str">
        <f>IFERROR(_xlfn.XLOOKUP(AG99,Target!$A:$A,Target!$B:$B),"None")</f>
        <v>None</v>
      </c>
      <c r="AU99" s="43" t="str">
        <f>IFERROR(_xlfn.XLOOKUP($AH99,'BuffValue&lt;Child&gt;'!$A:$A,'BuffValue&lt;Child&gt;'!$F:$F),"None")</f>
        <v>None</v>
      </c>
      <c r="AV99" s="43">
        <f>IFERROR(_xlfn.XLOOKUP($AH99,'BuffValue&lt;Child&gt;'!$A:$A,'BuffValue&lt;Child&gt;'!$K:$K),0)</f>
        <v>0</v>
      </c>
      <c r="AW99" s="43" t="str">
        <f>IFERROR(_xlfn.XLOOKUP(AL99,Target!$A:$A,Target!$B:$B),"None")</f>
        <v>None</v>
      </c>
      <c r="AX99" s="43" t="str">
        <f>IFERROR(_xlfn.XLOOKUP($AM99,'BuffValue&lt;Child&gt;'!$A:$A,'BuffValue&lt;Child&gt;'!$F:$F),"None")</f>
        <v>None</v>
      </c>
      <c r="AY99" s="43">
        <f>IFERROR(_xlfn.XLOOKUP($AM99,#REF!,#REF!),0)</f>
        <v>0</v>
      </c>
    </row>
    <row r="100" spans="1:51" s="11" customFormat="1" x14ac:dyDescent="0.3">
      <c r="A100" s="11">
        <f>INT(1&amp;MID(_xlfn.XLOOKUP(B100,[2]Timeline!$B:$B,[2]Timeline!$A:$A),2,5)&amp;1)</f>
        <v>1302941</v>
      </c>
      <c r="B100" s="12" t="s">
        <v>147</v>
      </c>
      <c r="C100" s="12" t="s">
        <v>285</v>
      </c>
      <c r="D100" s="12" t="s">
        <v>341</v>
      </c>
      <c r="E100" s="11" t="str">
        <f t="shared" ref="E100:E131" si="20">"skill_name_"&amp;A100</f>
        <v>skill_name_1302941</v>
      </c>
      <c r="F100" s="11" t="s">
        <v>117</v>
      </c>
      <c r="G100" s="11" t="s">
        <v>426</v>
      </c>
      <c r="H100" s="11" t="str">
        <f t="shared" ref="H100:H131" si="21">"skill_desc_"&amp;$A100</f>
        <v>skill_desc_1302941</v>
      </c>
      <c r="I100" s="11" t="s">
        <v>205</v>
      </c>
      <c r="J100" s="11" t="str">
        <f>IFERROR(_xlfn.XLOOKUP(W100,Target!A:A,Target!J:J),"")</f>
        <v>Skill_Target_Icon_Enemy_Near_One</v>
      </c>
      <c r="K100" s="11" t="s">
        <v>205</v>
      </c>
      <c r="L100" s="11" t="str">
        <f>IFERROR(_xlfn.XLOOKUP(W100,Target!A:A,Target!K:K),"")</f>
        <v>Skill_Area_Icon_Pivot_Centor</v>
      </c>
      <c r="M100" s="11" t="str">
        <f>_xlfn.XLOOKUP(B100,'[2]Detail&lt;Child&gt;'!$B:$B,'[2]Detail&lt;Child&gt;'!$M:$M)</f>
        <v>Forest</v>
      </c>
      <c r="N100" s="11" t="str">
        <f>_xlfn.XLOOKUP(B100,'[2]Detail&lt;Child&gt;'!$B:$B,'[2]Detail&lt;Child&gt;'!$N:$N)</f>
        <v>Supporter</v>
      </c>
      <c r="O100" s="11" t="s">
        <v>30</v>
      </c>
      <c r="P100" s="34">
        <v>0</v>
      </c>
      <c r="Q100" s="69" t="str" cm="1">
        <f t="array" ref="Q100">_xlfn.IFS(R100="Move","Move",R100="NonTargetMove","Move",R100="Static","Stand",R100="None","Stand")</f>
        <v>Stand</v>
      </c>
      <c r="R100" s="11" t="s">
        <v>136</v>
      </c>
      <c r="S100" s="11">
        <f>IF(R100="Static",0,1)</f>
        <v>0</v>
      </c>
      <c r="T100" s="15" t="str">
        <f t="shared" si="14"/>
        <v>SignalHit</v>
      </c>
      <c r="U100" s="15" t="str" cm="1">
        <f t="array" ref="U100">_xlfn.IFS(T100="SignalHIt","TurnEnd",T100="AttackBegin","TurnEnd",T100="AttackEnd","TurnEnd",T100="Immediately","Applied",T100="None","None")</f>
        <v>TurnEnd</v>
      </c>
      <c r="V100" s="15">
        <v>0</v>
      </c>
      <c r="W100" s="11">
        <v>2000011</v>
      </c>
      <c r="X100" s="10">
        <v>13029411</v>
      </c>
      <c r="Y100" s="11" t="str">
        <f t="shared" si="15"/>
        <v>Immediately</v>
      </c>
      <c r="Z100" s="15" t="str" cm="1">
        <f t="array" ref="Z100">_xlfn.IFS(Y100="SignalHIt","TurnEnd",Y100="AttackBegin","TurnEnd",Y100="AttackEnd","TurnEnd",Y100="Immediately","Applied",Y100="None","None")</f>
        <v>Applied</v>
      </c>
      <c r="AA100" s="15">
        <v>0</v>
      </c>
      <c r="AB100" s="11">
        <v>0</v>
      </c>
      <c r="AC100" s="10">
        <v>0</v>
      </c>
      <c r="AD100" s="15" t="str">
        <f t="shared" si="16"/>
        <v>AttackEnd</v>
      </c>
      <c r="AE100" s="15" t="str" cm="1">
        <f t="array" ref="AE100">_xlfn.IFS(AD100="SignalHIt","TurnEnd",AD100="AttackBegin","TurnEnd",AD100="AttackEnd","TurnEnd",AD100="Immediately","Applied",AD100="None","None")</f>
        <v>TurnEnd</v>
      </c>
      <c r="AF100" s="15">
        <v>0</v>
      </c>
      <c r="AG100" s="11">
        <v>2000011</v>
      </c>
      <c r="AH100" s="10">
        <v>13029412</v>
      </c>
      <c r="AI100" s="15" t="str">
        <f t="shared" si="17"/>
        <v>Immediately</v>
      </c>
      <c r="AJ100" s="15" t="str" cm="1">
        <f t="array" ref="AJ100">_xlfn.IFS(AI100="SignalHIt","TurnEnd",AI100="AttackBegin","TurnEnd",AI100="AttackEnd","TurnEnd",AI100="Immediately","Applied",AI100="None","None")</f>
        <v>Applied</v>
      </c>
      <c r="AK100" s="15">
        <v>0</v>
      </c>
      <c r="AL100" s="10">
        <v>0</v>
      </c>
      <c r="AM100" s="50">
        <v>0</v>
      </c>
      <c r="AN100" s="46" t="str">
        <f>IFERROR(_xlfn.XLOOKUP(W100,Target!$A:$A,Target!$B:$B),"None")</f>
        <v xml:space="preserve">가까운 적 1명 </v>
      </c>
      <c r="AO100" s="47" t="str">
        <f>IFERROR(_xlfn.XLOOKUP($X100,'BuffValue&lt;Child&gt;'!$A:$A,'BuffValue&lt;Child&gt;'!$F:$F),"None")</f>
        <v>공용 대미지</v>
      </c>
      <c r="AP100" s="47">
        <f>IFERROR(_xlfn.XLOOKUP($X100,'BuffValue&lt;Child&gt;'!$A:$A,'BuffValue&lt;Child&gt;'!$K:$K),0)</f>
        <v>170000</v>
      </c>
      <c r="AQ100" s="47" t="str">
        <f>IFERROR(_xlfn.XLOOKUP(AB100,Target!$A:$A,Target!$B:$B),"None")</f>
        <v>None</v>
      </c>
      <c r="AR100" s="46" t="str">
        <f>IFERROR(_xlfn.XLOOKUP($AC100,'BuffValue&lt;Child&gt;'!$A:$A,'BuffValue&lt;Child&gt;'!$F:$F),"None")</f>
        <v>None</v>
      </c>
      <c r="AS100" s="46">
        <f>IFERROR(_xlfn.XLOOKUP($AC100,'BuffValue&lt;Child&gt;'!$A:$A,'BuffValue&lt;Child&gt;'!$K:$K),0)</f>
        <v>0</v>
      </c>
      <c r="AT100" s="47" t="str">
        <f>IFERROR(_xlfn.XLOOKUP(AG100,Target!$A:$A,Target!$B:$B),"None")</f>
        <v xml:space="preserve">가까운 적 1명 </v>
      </c>
      <c r="AU100" s="47" t="str">
        <f>IFERROR(_xlfn.XLOOKUP($AH100,'BuffValue&lt;Child&gt;'!$A:$A,'BuffValue&lt;Child&gt;'!$F:$F),"None")</f>
        <v>바토리 패시브 중독</v>
      </c>
      <c r="AV100" s="47">
        <f>IFERROR(_xlfn.XLOOKUP($AH100,'BuffValue&lt;Child&gt;'!$A:$A,'BuffValue&lt;Child&gt;'!$K:$K),0)</f>
        <v>30000</v>
      </c>
      <c r="AW100" s="47" t="str">
        <f>IFERROR(_xlfn.XLOOKUP(AL100,Target!$A:$A,Target!$B:$B),"None")</f>
        <v>None</v>
      </c>
      <c r="AX100" s="47" t="str">
        <f>IFERROR(_xlfn.XLOOKUP($AM100,'BuffValue&lt;Child&gt;'!$A:$A,'BuffValue&lt;Child&gt;'!$F:$F),"None")</f>
        <v>None</v>
      </c>
      <c r="AY100" s="47">
        <f>IFERROR(_xlfn.XLOOKUP($AM100,#REF!,#REF!),0)</f>
        <v>0</v>
      </c>
    </row>
    <row r="101" spans="1:51" x14ac:dyDescent="0.3">
      <c r="A101" s="1">
        <f>INT(2&amp;MID(_xlfn.XLOOKUP(B101,[2]Timeline!$B:$B,[2]Timeline!$A:$A),2,5)&amp;1)</f>
        <v>2302941</v>
      </c>
      <c r="B101" s="7" t="s">
        <v>146</v>
      </c>
      <c r="C101" s="7" t="s">
        <v>286</v>
      </c>
      <c r="D101" s="7" t="s">
        <v>517</v>
      </c>
      <c r="E101" s="1" t="str">
        <f t="shared" si="20"/>
        <v>skill_name_2302941</v>
      </c>
      <c r="F101" s="1" t="s">
        <v>117</v>
      </c>
      <c r="G101" s="1" t="s">
        <v>425</v>
      </c>
      <c r="H101" s="1" t="str">
        <f t="shared" si="21"/>
        <v>skill_desc_2302941</v>
      </c>
      <c r="I101" s="1" t="s">
        <v>205</v>
      </c>
      <c r="J101" s="1" t="str">
        <f>IFERROR(_xlfn.XLOOKUP(W101,Target!A:A,Target!J:J),"")</f>
        <v>Skill_Target_Icon_Enemy_Near_One</v>
      </c>
      <c r="K101" s="1" t="s">
        <v>205</v>
      </c>
      <c r="L101" s="1" t="str">
        <f>IFERROR(_xlfn.XLOOKUP(W101,Target!A:A,Target!K:K),"")</f>
        <v>Skill_Area_Icon_Pivot_Row</v>
      </c>
      <c r="M101" s="1" t="str">
        <f>_xlfn.XLOOKUP(B101,'[2]Detail&lt;Child&gt;'!$B:$B,'[2]Detail&lt;Child&gt;'!$M:$M)</f>
        <v>Forest</v>
      </c>
      <c r="N101" s="1" t="str">
        <f>_xlfn.XLOOKUP(B101,'[2]Detail&lt;Child&gt;'!$B:$B,'[2]Detail&lt;Child&gt;'!$N:$N)</f>
        <v>Supporter</v>
      </c>
      <c r="O101" s="1" t="s">
        <v>33</v>
      </c>
      <c r="P101" s="33">
        <v>3</v>
      </c>
      <c r="Q101" s="68" t="str" cm="1">
        <f t="array" ref="Q101">_xlfn.IFS(R101="Move","Move",R101="NonTargetMove","Move",R101="Static","Stand",R101="None","Stand")</f>
        <v>Move</v>
      </c>
      <c r="R101" s="1" t="s">
        <v>137</v>
      </c>
      <c r="S101" s="1">
        <v>1</v>
      </c>
      <c r="T101" s="2" t="str">
        <f t="shared" si="14"/>
        <v>SignalHit</v>
      </c>
      <c r="U101" s="2" t="str" cm="1">
        <f t="array" ref="U101">_xlfn.IFS(T101="SignalHIt","TurnEnd",T101="AttackBegin","TurnEnd",T101="AttackEnd","TurnEnd",T101="Immediately","Applied",T101="None","None")</f>
        <v>TurnEnd</v>
      </c>
      <c r="V101" s="2">
        <v>0</v>
      </c>
      <c r="W101" s="1">
        <v>2000014</v>
      </c>
      <c r="X101" s="8">
        <v>23029411</v>
      </c>
      <c r="Y101" s="1" t="str">
        <f t="shared" si="15"/>
        <v>Immediately</v>
      </c>
      <c r="Z101" s="2" t="str" cm="1">
        <f t="array" ref="Z101">_xlfn.IFS(Y101="SignalHIt","TurnEnd",Y101="AttackBegin","TurnEnd",Y101="AttackEnd","TurnEnd",Y101="Immediately","Applied",Y101="None","None")</f>
        <v>Applied</v>
      </c>
      <c r="AA101" s="2">
        <v>0</v>
      </c>
      <c r="AB101" s="1">
        <v>0</v>
      </c>
      <c r="AC101" s="8">
        <v>0</v>
      </c>
      <c r="AD101" s="2" t="str">
        <f t="shared" si="16"/>
        <v>AttackEnd</v>
      </c>
      <c r="AE101" s="2" t="str" cm="1">
        <f t="array" ref="AE101">_xlfn.IFS(AD101="SignalHIt","TurnEnd",AD101="AttackBegin","TurnEnd",AD101="AttackEnd","TurnEnd",AD101="Immediately","Applied",AD101="None","None")</f>
        <v>TurnEnd</v>
      </c>
      <c r="AF101" s="2">
        <v>0</v>
      </c>
      <c r="AG101" s="1">
        <v>2000014</v>
      </c>
      <c r="AH101" s="8">
        <f>X101+1</f>
        <v>23029412</v>
      </c>
      <c r="AI101" s="2" t="str">
        <f t="shared" si="17"/>
        <v>AttackEnd</v>
      </c>
      <c r="AJ101" s="2" t="str" cm="1">
        <f t="array" ref="AJ101">_xlfn.IFS(AI101="SignalHIt","TurnEnd",AI101="AttackBegin","TurnEnd",AI101="AttackEnd","TurnEnd",AI101="Immediately","Applied",AI101="None","None")</f>
        <v>TurnEnd</v>
      </c>
      <c r="AK101" s="2">
        <v>0</v>
      </c>
      <c r="AL101" s="1">
        <v>2000014</v>
      </c>
      <c r="AM101" s="48">
        <f>AH101+1</f>
        <v>23029413</v>
      </c>
      <c r="AN101" s="45" t="str">
        <f>IFERROR(_xlfn.XLOOKUP(W101,Target!$A:$A,Target!$B:$B),"None")</f>
        <v>가까운 적 1명 2행</v>
      </c>
      <c r="AO101" s="43" t="str">
        <f>IFERROR(_xlfn.XLOOKUP($X101,'BuffValue&lt;Child&gt;'!$A:$A,'BuffValue&lt;Child&gt;'!$F:$F),"None")</f>
        <v>액티브 대미지</v>
      </c>
      <c r="AP101" s="43">
        <f>IFERROR(_xlfn.XLOOKUP($X101,'BuffValue&lt;Child&gt;'!$A:$A,'BuffValue&lt;Child&gt;'!$K:$K),0)</f>
        <v>140000</v>
      </c>
      <c r="AQ101" s="43" t="str">
        <f>IFERROR(_xlfn.XLOOKUP(AB101,Target!$A:$A,Target!$B:$B),"None")</f>
        <v>None</v>
      </c>
      <c r="AR101" s="45" t="str">
        <f>IFERROR(_xlfn.XLOOKUP($AC101,'BuffValue&lt;Child&gt;'!$A:$A,'BuffValue&lt;Child&gt;'!$F:$F),"None")</f>
        <v>None</v>
      </c>
      <c r="AS101" s="45">
        <f>IFERROR(_xlfn.XLOOKUP($AC101,'BuffValue&lt;Child&gt;'!$A:$A,'BuffValue&lt;Child&gt;'!$K:$K),0)</f>
        <v>0</v>
      </c>
      <c r="AT101" s="43" t="str">
        <f>IFERROR(_xlfn.XLOOKUP(AG101,Target!$A:$A,Target!$B:$B),"None")</f>
        <v>가까운 적 1명 2행</v>
      </c>
      <c r="AU101" s="43" t="str">
        <f>IFERROR(_xlfn.XLOOKUP($AH101,'BuffValue&lt;Child&gt;'!$A:$A,'BuffValue&lt;Child&gt;'!$F:$F),"None")</f>
        <v>바토리 출혈</v>
      </c>
      <c r="AV101" s="43">
        <f>IFERROR(_xlfn.XLOOKUP($AH101,'BuffValue&lt;Child&gt;'!$A:$A,'BuffValue&lt;Child&gt;'!$K:$K),0)</f>
        <v>25000</v>
      </c>
      <c r="AW101" s="43" t="str">
        <f>IFERROR(_xlfn.XLOOKUP(AL101,Target!$A:$A,Target!$B:$B),"None")</f>
        <v>가까운 적 1명 2행</v>
      </c>
      <c r="AX101" s="43" t="str">
        <f>IFERROR(_xlfn.XLOOKUP($AM101,'BuffValue&lt;Child&gt;'!$A:$A,'BuffValue&lt;Child&gt;'!$F:$F),"None")</f>
        <v>바토리 패시브 중독</v>
      </c>
      <c r="AY101" s="43">
        <f>IFERROR(_xlfn.XLOOKUP($AM101,#REF!,#REF!),0)</f>
        <v>0</v>
      </c>
    </row>
    <row r="102" spans="1:51" x14ac:dyDescent="0.3">
      <c r="A102" s="1">
        <f>INT(2&amp;MID(_xlfn.XLOOKUP(B102,[2]Timeline!$B:$B,[2]Timeline!$A:$A),2,5)&amp;2)</f>
        <v>2302942</v>
      </c>
      <c r="B102" s="7" t="s">
        <v>146</v>
      </c>
      <c r="C102" s="7" t="s">
        <v>286</v>
      </c>
      <c r="D102" s="7" t="s">
        <v>517</v>
      </c>
      <c r="E102" s="1" t="str">
        <f t="shared" si="20"/>
        <v>skill_name_2302942</v>
      </c>
      <c r="F102" s="1" t="s">
        <v>117</v>
      </c>
      <c r="G102" s="1" t="s">
        <v>425</v>
      </c>
      <c r="H102" s="1" t="str">
        <f t="shared" si="21"/>
        <v>skill_desc_2302942</v>
      </c>
      <c r="I102" s="1" t="s">
        <v>205</v>
      </c>
      <c r="J102" s="1" t="str">
        <f>IFERROR(_xlfn.XLOOKUP(W102,Target!A:A,Target!J:J),"")</f>
        <v>Skill_Target_Icon_Enemy_Near_One</v>
      </c>
      <c r="K102" s="1" t="s">
        <v>205</v>
      </c>
      <c r="L102" s="1" t="str">
        <f>IFERROR(_xlfn.XLOOKUP(W102,Target!A:A,Target!K:K),"")</f>
        <v>Skill_Area_Icon_Pivot_Row</v>
      </c>
      <c r="M102" s="1" t="str">
        <f>_xlfn.XLOOKUP(B102,'[2]Detail&lt;Child&gt;'!$B:$B,'[2]Detail&lt;Child&gt;'!$M:$M)</f>
        <v>Forest</v>
      </c>
      <c r="N102" s="1" t="str">
        <f>_xlfn.XLOOKUP(B102,'[2]Detail&lt;Child&gt;'!$B:$B,'[2]Detail&lt;Child&gt;'!$N:$N)</f>
        <v>Supporter</v>
      </c>
      <c r="O102" s="1" t="s">
        <v>33</v>
      </c>
      <c r="P102" s="33">
        <v>2</v>
      </c>
      <c r="Q102" s="68" t="str" cm="1">
        <f t="array" ref="Q102">_xlfn.IFS(R102="Move","Move",R102="NonTargetMove","Move",R102="Static","Stand",R102="None","Stand")</f>
        <v>Move</v>
      </c>
      <c r="R102" s="1" t="s">
        <v>137</v>
      </c>
      <c r="S102" s="1">
        <v>1</v>
      </c>
      <c r="T102" s="2" t="str">
        <f t="shared" si="14"/>
        <v>SignalHit</v>
      </c>
      <c r="U102" s="2" t="str" cm="1">
        <f t="array" ref="U102">_xlfn.IFS(T102="SignalHIt","TurnEnd",T102="AttackBegin","TurnEnd",T102="AttackEnd","TurnEnd",T102="Immediately","Applied",T102="None","None")</f>
        <v>TurnEnd</v>
      </c>
      <c r="V102" s="2">
        <v>0</v>
      </c>
      <c r="W102" s="1">
        <v>2000014</v>
      </c>
      <c r="X102" s="8">
        <v>23029421</v>
      </c>
      <c r="Y102" s="1" t="str">
        <f t="shared" si="15"/>
        <v>Immediately</v>
      </c>
      <c r="Z102" s="2" t="str" cm="1">
        <f t="array" ref="Z102">_xlfn.IFS(Y102="SignalHIt","TurnEnd",Y102="AttackBegin","TurnEnd",Y102="AttackEnd","TurnEnd",Y102="Immediately","Applied",Y102="None","None")</f>
        <v>Applied</v>
      </c>
      <c r="AA102" s="2">
        <v>0</v>
      </c>
      <c r="AB102" s="1">
        <v>0</v>
      </c>
      <c r="AC102" s="8">
        <v>0</v>
      </c>
      <c r="AD102" s="2" t="str">
        <f t="shared" si="16"/>
        <v>AttackEnd</v>
      </c>
      <c r="AE102" s="2" t="str" cm="1">
        <f t="array" ref="AE102">_xlfn.IFS(AD102="SignalHIt","TurnEnd",AD102="AttackBegin","TurnEnd",AD102="AttackEnd","TurnEnd",AD102="Immediately","Applied",AD102="None","None")</f>
        <v>TurnEnd</v>
      </c>
      <c r="AF102" s="2">
        <v>0</v>
      </c>
      <c r="AG102" s="1">
        <v>2000014</v>
      </c>
      <c r="AH102" s="8">
        <f>X102+1</f>
        <v>23029422</v>
      </c>
      <c r="AI102" s="2" t="str">
        <f t="shared" si="17"/>
        <v>AttackEnd</v>
      </c>
      <c r="AJ102" s="2" t="str" cm="1">
        <f t="array" ref="AJ102">_xlfn.IFS(AI102="SignalHIt","TurnEnd",AI102="AttackBegin","TurnEnd",AI102="AttackEnd","TurnEnd",AI102="Immediately","Applied",AI102="None","None")</f>
        <v>TurnEnd</v>
      </c>
      <c r="AK102" s="2">
        <v>0</v>
      </c>
      <c r="AL102" s="1">
        <v>2000014</v>
      </c>
      <c r="AM102" s="48">
        <f>AH102+1</f>
        <v>23029423</v>
      </c>
      <c r="AN102" s="45" t="str">
        <f>IFERROR(_xlfn.XLOOKUP(W102,Target!$A:$A,Target!$B:$B),"None")</f>
        <v>가까운 적 1명 2행</v>
      </c>
      <c r="AO102" s="43" t="str">
        <f>IFERROR(_xlfn.XLOOKUP($X102,'BuffValue&lt;Child&gt;'!$A:$A,'BuffValue&lt;Child&gt;'!$F:$F),"None")</f>
        <v>액티브 대미지</v>
      </c>
      <c r="AP102" s="43">
        <f>IFERROR(_xlfn.XLOOKUP($X102,'BuffValue&lt;Child&gt;'!$A:$A,'BuffValue&lt;Child&gt;'!$K:$K),0)</f>
        <v>140000</v>
      </c>
      <c r="AQ102" s="43" t="str">
        <f>IFERROR(_xlfn.XLOOKUP(AB102,Target!$A:$A,Target!$B:$B),"None")</f>
        <v>None</v>
      </c>
      <c r="AR102" s="45" t="str">
        <f>IFERROR(_xlfn.XLOOKUP($AC102,'BuffValue&lt;Child&gt;'!$A:$A,'BuffValue&lt;Child&gt;'!$F:$F),"None")</f>
        <v>None</v>
      </c>
      <c r="AS102" s="45">
        <f>IFERROR(_xlfn.XLOOKUP($AC102,'BuffValue&lt;Child&gt;'!$A:$A,'BuffValue&lt;Child&gt;'!$K:$K),0)</f>
        <v>0</v>
      </c>
      <c r="AT102" s="43" t="str">
        <f>IFERROR(_xlfn.XLOOKUP(AG102,Target!$A:$A,Target!$B:$B),"None")</f>
        <v>가까운 적 1명 2행</v>
      </c>
      <c r="AU102" s="43" t="str">
        <f>IFERROR(_xlfn.XLOOKUP($AH102,'BuffValue&lt;Child&gt;'!$A:$A,'BuffValue&lt;Child&gt;'!$F:$F),"None")</f>
        <v>바토리 출혈</v>
      </c>
      <c r="AV102" s="43">
        <f>IFERROR(_xlfn.XLOOKUP($AH102,'BuffValue&lt;Child&gt;'!$A:$A,'BuffValue&lt;Child&gt;'!$K:$K),0)</f>
        <v>25000</v>
      </c>
      <c r="AW102" s="43" t="str">
        <f>IFERROR(_xlfn.XLOOKUP(AL102,Target!$A:$A,Target!$B:$B),"None")</f>
        <v>가까운 적 1명 2행</v>
      </c>
      <c r="AX102" s="43" t="str">
        <f>IFERROR(_xlfn.XLOOKUP($AM102,'BuffValue&lt;Child&gt;'!$A:$A,'BuffValue&lt;Child&gt;'!$F:$F),"None")</f>
        <v>바토리 패시브 중독</v>
      </c>
      <c r="AY102" s="43">
        <f>IFERROR(_xlfn.XLOOKUP($AM102,#REF!,#REF!),0)</f>
        <v>0</v>
      </c>
    </row>
    <row r="103" spans="1:51" x14ac:dyDescent="0.3">
      <c r="A103" s="1">
        <f>INT(3&amp;MID(_xlfn.XLOOKUP(B103,[2]Timeline!$B:$B,[2]Timeline!$A:$A),2,5)&amp;1)</f>
        <v>3302941</v>
      </c>
      <c r="B103" s="7" t="s">
        <v>146</v>
      </c>
      <c r="C103" s="7" t="s">
        <v>287</v>
      </c>
      <c r="D103" s="7" t="s">
        <v>535</v>
      </c>
      <c r="E103" s="1" t="str">
        <f t="shared" si="20"/>
        <v>skill_name_3302941</v>
      </c>
      <c r="F103" s="1" t="s">
        <v>117</v>
      </c>
      <c r="G103" s="1" t="s">
        <v>399</v>
      </c>
      <c r="H103" s="1" t="str">
        <f t="shared" si="21"/>
        <v>skill_desc_3302941</v>
      </c>
      <c r="I103" s="1" t="s">
        <v>205</v>
      </c>
      <c r="J103" s="1" t="str">
        <f>IFERROR(_xlfn.XLOOKUP(W103,Target!A:A,Target!J:J),"")</f>
        <v>Skill_Target_Icon_Enemy</v>
      </c>
      <c r="K103" s="1" t="s">
        <v>205</v>
      </c>
      <c r="L103" s="1" t="str">
        <f>IFERROR(_xlfn.XLOOKUP(W103,Target!A:A,Target!K:K),"")</f>
        <v>Skill_Area_Icon_NonTarget_All</v>
      </c>
      <c r="M103" s="1" t="str">
        <f>_xlfn.XLOOKUP(B103,'[2]Detail&lt;Child&gt;'!$B:$B,'[2]Detail&lt;Child&gt;'!$M:$M)</f>
        <v>Forest</v>
      </c>
      <c r="N103" s="1" t="str">
        <f>_xlfn.XLOOKUP(B103,'[2]Detail&lt;Child&gt;'!$B:$B,'[2]Detail&lt;Child&gt;'!$N:$N)</f>
        <v>Supporter</v>
      </c>
      <c r="O103" s="1" t="s">
        <v>141</v>
      </c>
      <c r="P103" s="33">
        <v>0</v>
      </c>
      <c r="Q103" s="68" t="str" cm="1">
        <f t="array" ref="Q103">_xlfn.IFS(R103="Move","Move",R103="NonTargetMove","Move",R103="Static","Stand",R103="None","Stand")</f>
        <v>Move</v>
      </c>
      <c r="R103" s="1" t="s">
        <v>153</v>
      </c>
      <c r="S103" s="1">
        <f t="shared" ref="S103:S115" si="22">IF(R103="Static",0,1)</f>
        <v>1</v>
      </c>
      <c r="T103" s="2" t="str">
        <f t="shared" si="14"/>
        <v>SignalHit</v>
      </c>
      <c r="U103" s="2" t="str" cm="1">
        <f t="array" ref="U103">_xlfn.IFS(T103="SignalHIt","TurnEnd",T103="AttackBegin","TurnEnd",T103="AttackEnd","TurnEnd",T103="Immediately","Applied",T103="None","None")</f>
        <v>TurnEnd</v>
      </c>
      <c r="V103" s="2">
        <v>0</v>
      </c>
      <c r="W103" s="1">
        <v>920001</v>
      </c>
      <c r="X103" s="8">
        <v>33029411</v>
      </c>
      <c r="Y103" s="1" t="str">
        <f t="shared" si="15"/>
        <v>Immediately</v>
      </c>
      <c r="Z103" s="2" t="str" cm="1">
        <f t="array" ref="Z103">_xlfn.IFS(Y103="SignalHIt","TurnEnd",Y103="AttackBegin","TurnEnd",Y103="AttackEnd","TurnEnd",Y103="Immediately","Applied",Y103="None","None")</f>
        <v>Applied</v>
      </c>
      <c r="AA103" s="2">
        <v>0</v>
      </c>
      <c r="AB103" s="1">
        <v>0</v>
      </c>
      <c r="AC103" s="8">
        <v>0</v>
      </c>
      <c r="AD103" s="2" t="str">
        <f t="shared" si="16"/>
        <v>AttackEnd</v>
      </c>
      <c r="AE103" s="2" t="str" cm="1">
        <f t="array" ref="AE103">_xlfn.IFS(AD103="SignalHIt","TurnEnd",AD103="AttackBegin","TurnEnd",AD103="AttackEnd","TurnEnd",AD103="Immediately","Applied",AD103="None","None")</f>
        <v>TurnEnd</v>
      </c>
      <c r="AF103" s="2">
        <v>0</v>
      </c>
      <c r="AG103" s="1">
        <v>1000401</v>
      </c>
      <c r="AH103" s="8">
        <f>X103+1</f>
        <v>33029412</v>
      </c>
      <c r="AI103" s="2" t="str">
        <f t="shared" si="17"/>
        <v>AttackEnd</v>
      </c>
      <c r="AJ103" s="2" t="str" cm="1">
        <f t="array" ref="AJ103">_xlfn.IFS(AI103="SignalHIt","TurnEnd",AI103="AttackBegin","TurnEnd",AI103="AttackEnd","TurnEnd",AI103="Immediately","Applied",AI103="None","None")</f>
        <v>TurnEnd</v>
      </c>
      <c r="AK103" s="2">
        <v>0</v>
      </c>
      <c r="AL103" s="1">
        <v>920001</v>
      </c>
      <c r="AM103" s="48">
        <f>AH103+1</f>
        <v>33029413</v>
      </c>
      <c r="AN103" s="45" t="str">
        <f>IFERROR(_xlfn.XLOOKUP(W103,Target!$A:$A,Target!$B:$B),"None")</f>
        <v>논타겟 적 9칸</v>
      </c>
      <c r="AO103" s="43" t="str">
        <f>IFERROR(_xlfn.XLOOKUP($X103,'BuffValue&lt;Child&gt;'!$A:$A,'BuffValue&lt;Child&gt;'!$F:$F),"None")</f>
        <v>얼티밋 대미지</v>
      </c>
      <c r="AP103" s="43">
        <f>IFERROR(_xlfn.XLOOKUP($X103,'BuffValue&lt;Child&gt;'!$A:$A,'BuffValue&lt;Child&gt;'!$K:$K),0)</f>
        <v>70000</v>
      </c>
      <c r="AQ103" s="43" t="str">
        <f>IFERROR(_xlfn.XLOOKUP(AB103,Target!$A:$A,Target!$B:$B),"None")</f>
        <v>None</v>
      </c>
      <c r="AR103" s="45" t="str">
        <f>IFERROR(_xlfn.XLOOKUP($AC103,'BuffValue&lt;Child&gt;'!$A:$A,'BuffValue&lt;Child&gt;'!$F:$F),"None")</f>
        <v>None</v>
      </c>
      <c r="AS103" s="45">
        <f>IFERROR(_xlfn.XLOOKUP($AC103,'BuffValue&lt;Child&gt;'!$A:$A,'BuffValue&lt;Child&gt;'!$K:$K),0)</f>
        <v>0</v>
      </c>
      <c r="AT103" s="43" t="str">
        <f>IFERROR(_xlfn.XLOOKUP(AG103,Target!$A:$A,Target!$B:$B),"None")</f>
        <v xml:space="preserve">공격력 높은 아군 1명 </v>
      </c>
      <c r="AU103" s="43" t="str">
        <f>IFERROR(_xlfn.XLOOKUP($AH103,'BuffValue&lt;Child&gt;'!$A:$A,'BuffValue&lt;Child&gt;'!$F:$F),"None")</f>
        <v>바토리 공증</v>
      </c>
      <c r="AV103" s="43">
        <f>IFERROR(_xlfn.XLOOKUP($AH103,'BuffValue&lt;Child&gt;'!$A:$A,'BuffValue&lt;Child&gt;'!$K:$K),0)</f>
        <v>20000</v>
      </c>
      <c r="AW103" s="43" t="str">
        <f>IFERROR(_xlfn.XLOOKUP(AL103,Target!$A:$A,Target!$B:$B),"None")</f>
        <v>논타겟 적 9칸</v>
      </c>
      <c r="AX103" s="43" t="str">
        <f>IFERROR(_xlfn.XLOOKUP($AM103,'BuffValue&lt;Child&gt;'!$A:$A,'BuffValue&lt;Child&gt;'!$F:$F),"None")</f>
        <v>바토리 패시브 중독</v>
      </c>
      <c r="AY103" s="43">
        <f>IFERROR(_xlfn.XLOOKUP($AM103,#REF!,#REF!),0)</f>
        <v>0</v>
      </c>
    </row>
    <row r="104" spans="1:51" x14ac:dyDescent="0.3">
      <c r="A104" s="1">
        <f>INT(3&amp;MID(_xlfn.XLOOKUP(B104,[2]Timeline!$B:$B,[2]Timeline!$A:$A),2,5)&amp;2)</f>
        <v>3302942</v>
      </c>
      <c r="B104" s="7" t="s">
        <v>146</v>
      </c>
      <c r="C104" s="7" t="s">
        <v>287</v>
      </c>
      <c r="D104" s="7" t="s">
        <v>535</v>
      </c>
      <c r="E104" s="1" t="str">
        <f t="shared" si="20"/>
        <v>skill_name_3302942</v>
      </c>
      <c r="F104" s="1" t="s">
        <v>117</v>
      </c>
      <c r="G104" s="1" t="s">
        <v>399</v>
      </c>
      <c r="H104" s="1" t="str">
        <f t="shared" si="21"/>
        <v>skill_desc_3302942</v>
      </c>
      <c r="I104" s="1" t="s">
        <v>205</v>
      </c>
      <c r="J104" s="1" t="str">
        <f>IFERROR(_xlfn.XLOOKUP(W104,Target!A:A,Target!J:J),"")</f>
        <v>Skill_Target_Icon_Enemy</v>
      </c>
      <c r="K104" s="1" t="s">
        <v>205</v>
      </c>
      <c r="L104" s="1" t="str">
        <f>IFERROR(_xlfn.XLOOKUP(W104,Target!A:A,Target!K:K),"")</f>
        <v>Skill_Area_Icon_NonTarget_All</v>
      </c>
      <c r="M104" s="1" t="str">
        <f>_xlfn.XLOOKUP(B104,'[2]Detail&lt;Child&gt;'!$B:$B,'[2]Detail&lt;Child&gt;'!$M:$M)</f>
        <v>Forest</v>
      </c>
      <c r="N104" s="1" t="str">
        <f>_xlfn.XLOOKUP(B104,'[2]Detail&lt;Child&gt;'!$B:$B,'[2]Detail&lt;Child&gt;'!$N:$N)</f>
        <v>Supporter</v>
      </c>
      <c r="O104" s="1" t="s">
        <v>140</v>
      </c>
      <c r="P104" s="33">
        <v>0</v>
      </c>
      <c r="Q104" s="68" t="str" cm="1">
        <f t="array" ref="Q104">_xlfn.IFS(R104="Move","Move",R104="NonTargetMove","Move",R104="Static","Stand",R104="None","Stand")</f>
        <v>Move</v>
      </c>
      <c r="R104" s="1" t="s">
        <v>153</v>
      </c>
      <c r="S104" s="1">
        <f t="shared" si="22"/>
        <v>1</v>
      </c>
      <c r="T104" s="2" t="str">
        <f t="shared" si="14"/>
        <v>SignalHit</v>
      </c>
      <c r="U104" s="2" t="str" cm="1">
        <f t="array" ref="U104">_xlfn.IFS(T104="SignalHIt","TurnEnd",T104="AttackBegin","TurnEnd",T104="AttackEnd","TurnEnd",T104="Immediately","Applied",T104="None","None")</f>
        <v>TurnEnd</v>
      </c>
      <c r="V104" s="2">
        <v>0</v>
      </c>
      <c r="W104" s="1">
        <v>920001</v>
      </c>
      <c r="X104" s="8">
        <v>33029421</v>
      </c>
      <c r="Y104" s="1" t="str">
        <f t="shared" si="15"/>
        <v>Immediately</v>
      </c>
      <c r="Z104" s="2" t="str" cm="1">
        <f t="array" ref="Z104">_xlfn.IFS(Y104="SignalHIt","TurnEnd",Y104="AttackBegin","TurnEnd",Y104="AttackEnd","TurnEnd",Y104="Immediately","Applied",Y104="None","None")</f>
        <v>Applied</v>
      </c>
      <c r="AA104" s="2">
        <v>0</v>
      </c>
      <c r="AB104" s="1">
        <v>0</v>
      </c>
      <c r="AC104" s="8">
        <v>0</v>
      </c>
      <c r="AD104" s="2" t="str">
        <f t="shared" si="16"/>
        <v>AttackEnd</v>
      </c>
      <c r="AE104" s="2" t="str" cm="1">
        <f t="array" ref="AE104">_xlfn.IFS(AD104="SignalHIt","TurnEnd",AD104="AttackBegin","TurnEnd",AD104="AttackEnd","TurnEnd",AD104="Immediately","Applied",AD104="None","None")</f>
        <v>TurnEnd</v>
      </c>
      <c r="AF104" s="2">
        <v>0</v>
      </c>
      <c r="AG104" s="1">
        <v>1000401</v>
      </c>
      <c r="AH104" s="8">
        <f>X104+1</f>
        <v>33029422</v>
      </c>
      <c r="AI104" s="2" t="str">
        <f t="shared" si="17"/>
        <v>AttackEnd</v>
      </c>
      <c r="AJ104" s="2" t="str" cm="1">
        <f t="array" ref="AJ104">_xlfn.IFS(AI104="SignalHIt","TurnEnd",AI104="AttackBegin","TurnEnd",AI104="AttackEnd","TurnEnd",AI104="Immediately","Applied",AI104="None","None")</f>
        <v>TurnEnd</v>
      </c>
      <c r="AK104" s="2">
        <v>0</v>
      </c>
      <c r="AL104" s="1">
        <v>920001</v>
      </c>
      <c r="AM104" s="48">
        <f>AH104+1</f>
        <v>33029423</v>
      </c>
      <c r="AN104" s="45" t="str">
        <f>IFERROR(_xlfn.XLOOKUP(W104,Target!$A:$A,Target!$B:$B),"None")</f>
        <v>논타겟 적 9칸</v>
      </c>
      <c r="AO104" s="43" t="str">
        <f>IFERROR(_xlfn.XLOOKUP($X104,'BuffValue&lt;Child&gt;'!$A:$A,'BuffValue&lt;Child&gt;'!$F:$F),"None")</f>
        <v>얼티밋 대미지</v>
      </c>
      <c r="AP104" s="43">
        <f>IFERROR(_xlfn.XLOOKUP($X104,'BuffValue&lt;Child&gt;'!$A:$A,'BuffValue&lt;Child&gt;'!$K:$K),0)</f>
        <v>70000</v>
      </c>
      <c r="AQ104" s="43" t="str">
        <f>IFERROR(_xlfn.XLOOKUP(AB104,Target!$A:$A,Target!$B:$B),"None")</f>
        <v>None</v>
      </c>
      <c r="AR104" s="45" t="str">
        <f>IFERROR(_xlfn.XLOOKUP($AC104,'BuffValue&lt;Child&gt;'!$A:$A,'BuffValue&lt;Child&gt;'!$F:$F),"None")</f>
        <v>None</v>
      </c>
      <c r="AS104" s="45">
        <f>IFERROR(_xlfn.XLOOKUP($AC104,'BuffValue&lt;Child&gt;'!$A:$A,'BuffValue&lt;Child&gt;'!$K:$K),0)</f>
        <v>0</v>
      </c>
      <c r="AT104" s="43" t="str">
        <f>IFERROR(_xlfn.XLOOKUP(AG104,Target!$A:$A,Target!$B:$B),"None")</f>
        <v xml:space="preserve">공격력 높은 아군 1명 </v>
      </c>
      <c r="AU104" s="43" t="str">
        <f>IFERROR(_xlfn.XLOOKUP($AH104,'BuffValue&lt;Child&gt;'!$A:$A,'BuffValue&lt;Child&gt;'!$F:$F),"None")</f>
        <v>바토리 공증</v>
      </c>
      <c r="AV104" s="43">
        <f>IFERROR(_xlfn.XLOOKUP($AH104,'BuffValue&lt;Child&gt;'!$A:$A,'BuffValue&lt;Child&gt;'!$K:$K),0)</f>
        <v>20000</v>
      </c>
      <c r="AW104" s="43" t="str">
        <f>IFERROR(_xlfn.XLOOKUP(AL104,Target!$A:$A,Target!$B:$B),"None")</f>
        <v>논타겟 적 9칸</v>
      </c>
      <c r="AX104" s="43" t="str">
        <f>IFERROR(_xlfn.XLOOKUP($AM104,'BuffValue&lt;Child&gt;'!$A:$A,'BuffValue&lt;Child&gt;'!$F:$F),"None")</f>
        <v>바토리 패시브 중독</v>
      </c>
      <c r="AY104" s="43">
        <f>IFERROR(_xlfn.XLOOKUP($AM104,#REF!,#REF!),0)</f>
        <v>0</v>
      </c>
    </row>
    <row r="105" spans="1:51" x14ac:dyDescent="0.3">
      <c r="A105" s="1">
        <f>INT(3&amp;MID(_xlfn.XLOOKUP(B105,[2]Timeline!$B:$B,[2]Timeline!$A:$A),2,5)&amp;3)</f>
        <v>3302943</v>
      </c>
      <c r="B105" s="7" t="s">
        <v>146</v>
      </c>
      <c r="C105" s="7" t="s">
        <v>287</v>
      </c>
      <c r="D105" s="7" t="s">
        <v>535</v>
      </c>
      <c r="E105" s="1" t="str">
        <f t="shared" si="20"/>
        <v>skill_name_3302943</v>
      </c>
      <c r="F105" s="1" t="s">
        <v>117</v>
      </c>
      <c r="G105" s="1" t="s">
        <v>399</v>
      </c>
      <c r="H105" s="1" t="str">
        <f t="shared" si="21"/>
        <v>skill_desc_3302943</v>
      </c>
      <c r="I105" s="1" t="s">
        <v>205</v>
      </c>
      <c r="J105" s="1" t="str">
        <f>IFERROR(_xlfn.XLOOKUP(W105,Target!A:A,Target!J:J),"")</f>
        <v>Skill_Target_Icon_Enemy</v>
      </c>
      <c r="K105" s="1" t="s">
        <v>205</v>
      </c>
      <c r="L105" s="1" t="str">
        <f>IFERROR(_xlfn.XLOOKUP(W105,Target!A:A,Target!K:K),"")</f>
        <v>Skill_Area_Icon_NonTarget_All</v>
      </c>
      <c r="M105" s="1" t="str">
        <f>_xlfn.XLOOKUP(B105,'[2]Detail&lt;Child&gt;'!$B:$B,'[2]Detail&lt;Child&gt;'!$M:$M)</f>
        <v>Forest</v>
      </c>
      <c r="N105" s="1" t="str">
        <f>_xlfn.XLOOKUP(B105,'[2]Detail&lt;Child&gt;'!$B:$B,'[2]Detail&lt;Child&gt;'!$N:$N)</f>
        <v>Supporter</v>
      </c>
      <c r="O105" s="1" t="s">
        <v>140</v>
      </c>
      <c r="P105" s="33">
        <v>0</v>
      </c>
      <c r="Q105" s="68" t="str" cm="1">
        <f t="array" ref="Q105">_xlfn.IFS(R105="Move","Move",R105="NonTargetMove","Move",R105="Static","Stand",R105="None","Stand")</f>
        <v>Move</v>
      </c>
      <c r="R105" s="1" t="s">
        <v>153</v>
      </c>
      <c r="S105" s="1">
        <f t="shared" si="22"/>
        <v>1</v>
      </c>
      <c r="T105" s="2" t="str">
        <f t="shared" si="14"/>
        <v>SignalHit</v>
      </c>
      <c r="U105" s="2" t="str" cm="1">
        <f t="array" ref="U105">_xlfn.IFS(T105="SignalHIt","TurnEnd",T105="AttackBegin","TurnEnd",T105="AttackEnd","TurnEnd",T105="Immediately","Applied",T105="None","None")</f>
        <v>TurnEnd</v>
      </c>
      <c r="V105" s="2">
        <v>0</v>
      </c>
      <c r="W105" s="1">
        <v>920001</v>
      </c>
      <c r="X105" s="8">
        <v>33029431</v>
      </c>
      <c r="Y105" s="1" t="str">
        <f t="shared" si="15"/>
        <v>Immediately</v>
      </c>
      <c r="Z105" s="2" t="str" cm="1">
        <f t="array" ref="Z105">_xlfn.IFS(Y105="SignalHIt","TurnEnd",Y105="AttackBegin","TurnEnd",Y105="AttackEnd","TurnEnd",Y105="Immediately","Applied",Y105="None","None")</f>
        <v>Applied</v>
      </c>
      <c r="AA105" s="2">
        <v>0</v>
      </c>
      <c r="AB105" s="1">
        <v>0</v>
      </c>
      <c r="AC105" s="8">
        <v>0</v>
      </c>
      <c r="AD105" s="2" t="str">
        <f t="shared" si="16"/>
        <v>AttackEnd</v>
      </c>
      <c r="AE105" s="2" t="str" cm="1">
        <f t="array" ref="AE105">_xlfn.IFS(AD105="SignalHIt","TurnEnd",AD105="AttackBegin","TurnEnd",AD105="AttackEnd","TurnEnd",AD105="Immediately","Applied",AD105="None","None")</f>
        <v>TurnEnd</v>
      </c>
      <c r="AF105" s="2">
        <v>0</v>
      </c>
      <c r="AG105" s="1">
        <v>1000401</v>
      </c>
      <c r="AH105" s="8">
        <f>X105+1</f>
        <v>33029432</v>
      </c>
      <c r="AI105" s="2" t="str">
        <f t="shared" si="17"/>
        <v>AttackEnd</v>
      </c>
      <c r="AJ105" s="2" t="str" cm="1">
        <f t="array" ref="AJ105">_xlfn.IFS(AI105="SignalHIt","TurnEnd",AI105="AttackBegin","TurnEnd",AI105="AttackEnd","TurnEnd",AI105="Immediately","Applied",AI105="None","None")</f>
        <v>TurnEnd</v>
      </c>
      <c r="AK105" s="2">
        <v>0</v>
      </c>
      <c r="AL105" s="1">
        <v>920001</v>
      </c>
      <c r="AM105" s="48">
        <f>AH105+1</f>
        <v>33029433</v>
      </c>
      <c r="AN105" s="45" t="str">
        <f>IFERROR(_xlfn.XLOOKUP(W105,Target!$A:$A,Target!$B:$B),"None")</f>
        <v>논타겟 적 9칸</v>
      </c>
      <c r="AO105" s="43" t="str">
        <f>IFERROR(_xlfn.XLOOKUP($X105,'BuffValue&lt;Child&gt;'!$A:$A,'BuffValue&lt;Child&gt;'!$F:$F),"None")</f>
        <v>얼티밋 대미지</v>
      </c>
      <c r="AP105" s="43">
        <f>IFERROR(_xlfn.XLOOKUP($X105,'BuffValue&lt;Child&gt;'!$A:$A,'BuffValue&lt;Child&gt;'!$K:$K),0)</f>
        <v>70000</v>
      </c>
      <c r="AQ105" s="43" t="str">
        <f>IFERROR(_xlfn.XLOOKUP(AB105,Target!$A:$A,Target!$B:$B),"None")</f>
        <v>None</v>
      </c>
      <c r="AR105" s="45" t="str">
        <f>IFERROR(_xlfn.XLOOKUP($AC105,'BuffValue&lt;Child&gt;'!$A:$A,'BuffValue&lt;Child&gt;'!$F:$F),"None")</f>
        <v>None</v>
      </c>
      <c r="AS105" s="45">
        <f>IFERROR(_xlfn.XLOOKUP($AC105,'BuffValue&lt;Child&gt;'!$A:$A,'BuffValue&lt;Child&gt;'!$K:$K),0)</f>
        <v>0</v>
      </c>
      <c r="AT105" s="43" t="str">
        <f>IFERROR(_xlfn.XLOOKUP(AG105,Target!$A:$A,Target!$B:$B),"None")</f>
        <v xml:space="preserve">공격력 높은 아군 1명 </v>
      </c>
      <c r="AU105" s="43" t="str">
        <f>IFERROR(_xlfn.XLOOKUP($AH105,'BuffValue&lt;Child&gt;'!$A:$A,'BuffValue&lt;Child&gt;'!$F:$F),"None")</f>
        <v>바토리 공증</v>
      </c>
      <c r="AV105" s="43">
        <f>IFERROR(_xlfn.XLOOKUP($AH105,'BuffValue&lt;Child&gt;'!$A:$A,'BuffValue&lt;Child&gt;'!$K:$K),0)</f>
        <v>20000</v>
      </c>
      <c r="AW105" s="43" t="str">
        <f>IFERROR(_xlfn.XLOOKUP(AL105,Target!$A:$A,Target!$B:$B),"None")</f>
        <v>논타겟 적 9칸</v>
      </c>
      <c r="AX105" s="43" t="str">
        <f>IFERROR(_xlfn.XLOOKUP($AM105,'BuffValue&lt;Child&gt;'!$A:$A,'BuffValue&lt;Child&gt;'!$F:$F),"None")</f>
        <v>바토리 패시브 중독</v>
      </c>
      <c r="AY105" s="43">
        <f>IFERROR(_xlfn.XLOOKUP($AM105,#REF!,#REF!),0)</f>
        <v>0</v>
      </c>
    </row>
    <row r="106" spans="1:51" x14ac:dyDescent="0.3">
      <c r="A106" s="1">
        <f>INT(4&amp;MID(_xlfn.XLOOKUP(B106,[2]Timeline!$B:$B,[2]Timeline!$A:$A),2,5)&amp;1)</f>
        <v>4302941</v>
      </c>
      <c r="B106" s="7" t="s">
        <v>146</v>
      </c>
      <c r="C106" s="7" t="s">
        <v>122</v>
      </c>
      <c r="D106" s="7" t="s">
        <v>500</v>
      </c>
      <c r="E106" s="1" t="str">
        <f t="shared" si="20"/>
        <v>skill_name_4302941</v>
      </c>
      <c r="F106" s="1" t="s">
        <v>117</v>
      </c>
      <c r="G106" s="1" t="s">
        <v>427</v>
      </c>
      <c r="H106" s="1" t="str">
        <f t="shared" si="21"/>
        <v>skill_desc_4302941</v>
      </c>
      <c r="I106" s="1" t="s">
        <v>205</v>
      </c>
      <c r="J106" s="1" t="str">
        <f>IFERROR(_xlfn.XLOOKUP(W106,Target!A:A,Target!J:J),"")</f>
        <v>Skill_Target_Icon_Mine</v>
      </c>
      <c r="K106" s="1" t="s">
        <v>205</v>
      </c>
      <c r="L106" s="1" t="str">
        <f>IFERROR(_xlfn.XLOOKUP(W106,Target!A:A,Target!K:K),"")</f>
        <v>Skill_Area_Icon_Pivot_Centor</v>
      </c>
      <c r="M106" s="1" t="str">
        <f>_xlfn.XLOOKUP(B106,'[2]Detail&lt;Child&gt;'!$B:$B,'[2]Detail&lt;Child&gt;'!$M:$M)</f>
        <v>Forest</v>
      </c>
      <c r="N106" s="1" t="str">
        <f>_xlfn.XLOOKUP(B106,'[2]Detail&lt;Child&gt;'!$B:$B,'[2]Detail&lt;Child&gt;'!$N:$N)</f>
        <v>Supporter</v>
      </c>
      <c r="O106" s="1" t="s">
        <v>167</v>
      </c>
      <c r="P106" s="33">
        <v>0</v>
      </c>
      <c r="Q106" s="68" t="str" cm="1">
        <f t="array" ref="Q106">_xlfn.IFS(R106="Move","Move",R106="NonTargetMove","Move",R106="Static","Stand",R106="None","Stand")</f>
        <v>Stand</v>
      </c>
      <c r="R106" s="1" t="s">
        <v>136</v>
      </c>
      <c r="S106" s="1">
        <f t="shared" si="22"/>
        <v>0</v>
      </c>
      <c r="T106" s="2" t="str">
        <f t="shared" si="14"/>
        <v>Immediately</v>
      </c>
      <c r="U106" s="2" t="str" cm="1">
        <f t="array" ref="U106">_xlfn.IFS(T106="SignalHIt","TurnEnd",T106="AttackBegin","TurnEnd",T106="AttackEnd","TurnEnd",T106="Immediately","Applied",T106="None","None")</f>
        <v>Applied</v>
      </c>
      <c r="V106" s="2">
        <v>0</v>
      </c>
      <c r="W106" s="1">
        <v>1</v>
      </c>
      <c r="X106" s="8">
        <v>43029411</v>
      </c>
      <c r="Y106" s="1" t="str">
        <f t="shared" si="15"/>
        <v>Immediately</v>
      </c>
      <c r="Z106" s="2" t="str" cm="1">
        <f t="array" ref="Z106">_xlfn.IFS(Y106="SignalHIt","TurnEnd",Y106="AttackBegin","TurnEnd",Y106="AttackEnd","TurnEnd",Y106="Immediately","Applied",Y106="None","None")</f>
        <v>Applied</v>
      </c>
      <c r="AA106" s="2">
        <v>0</v>
      </c>
      <c r="AB106" s="1">
        <v>0</v>
      </c>
      <c r="AC106" s="8">
        <v>0</v>
      </c>
      <c r="AD106" s="2" t="str">
        <f t="shared" si="16"/>
        <v>Immediately</v>
      </c>
      <c r="AE106" s="2" t="str" cm="1">
        <f t="array" ref="AE106">_xlfn.IFS(AD106="SignalHIt","TurnEnd",AD106="AttackBegin","TurnEnd",AD106="AttackEnd","TurnEnd",AD106="Immediately","Applied",AD106="None","None")</f>
        <v>Applied</v>
      </c>
      <c r="AF106" s="2">
        <v>0</v>
      </c>
      <c r="AG106" s="1">
        <v>0</v>
      </c>
      <c r="AH106" s="8">
        <v>0</v>
      </c>
      <c r="AI106" s="2" t="str">
        <f t="shared" si="17"/>
        <v>Immediately</v>
      </c>
      <c r="AJ106" s="2" t="str" cm="1">
        <f t="array" ref="AJ106">_xlfn.IFS(AI106="SignalHIt","TurnEnd",AI106="AttackBegin","TurnEnd",AI106="AttackEnd","TurnEnd",AI106="Immediately","Applied",AI106="None","None")</f>
        <v>Applied</v>
      </c>
      <c r="AK106" s="2">
        <v>0</v>
      </c>
      <c r="AL106" s="8">
        <v>0</v>
      </c>
      <c r="AM106" s="48">
        <v>0</v>
      </c>
      <c r="AN106" s="45" t="str">
        <f>IFERROR(_xlfn.XLOOKUP(W106,Target!$A:$A,Target!$B:$B),"None")</f>
        <v xml:space="preserve"> 자신 1명 </v>
      </c>
      <c r="AO106" s="43" t="str">
        <f>IFERROR(_xlfn.XLOOKUP($X106,'BuffValue&lt;Child&gt;'!$A:$A,'BuffValue&lt;Child&gt;'!$F:$F),"None")</f>
        <v>없음</v>
      </c>
      <c r="AP106" s="43">
        <f>IFERROR(_xlfn.XLOOKUP($X106,'BuffValue&lt;Child&gt;'!$A:$A,'BuffValue&lt;Child&gt;'!$K:$K),0)</f>
        <v>0</v>
      </c>
      <c r="AQ106" s="43" t="str">
        <f>IFERROR(_xlfn.XLOOKUP(AB106,Target!$A:$A,Target!$B:$B),"None")</f>
        <v>None</v>
      </c>
      <c r="AR106" s="45" t="str">
        <f>IFERROR(_xlfn.XLOOKUP($AC106,'BuffValue&lt;Child&gt;'!$A:$A,'BuffValue&lt;Child&gt;'!$F:$F),"None")</f>
        <v>None</v>
      </c>
      <c r="AS106" s="45">
        <f>IFERROR(_xlfn.XLOOKUP($AC106,'BuffValue&lt;Child&gt;'!$A:$A,'BuffValue&lt;Child&gt;'!$K:$K),0)</f>
        <v>0</v>
      </c>
      <c r="AT106" s="43" t="str">
        <f>IFERROR(_xlfn.XLOOKUP(AG106,Target!$A:$A,Target!$B:$B),"None")</f>
        <v>None</v>
      </c>
      <c r="AU106" s="43" t="str">
        <f>IFERROR(_xlfn.XLOOKUP($AH106,'BuffValue&lt;Child&gt;'!$A:$A,'BuffValue&lt;Child&gt;'!$F:$F),"None")</f>
        <v>None</v>
      </c>
      <c r="AV106" s="43">
        <f>IFERROR(_xlfn.XLOOKUP($AH106,'BuffValue&lt;Child&gt;'!$A:$A,'BuffValue&lt;Child&gt;'!$K:$K),0)</f>
        <v>0</v>
      </c>
      <c r="AW106" s="43" t="str">
        <f>IFERROR(_xlfn.XLOOKUP(AL106,Target!$A:$A,Target!$B:$B),"None")</f>
        <v>None</v>
      </c>
      <c r="AX106" s="43" t="str">
        <f>IFERROR(_xlfn.XLOOKUP($AM106,'BuffValue&lt;Child&gt;'!$A:$A,'BuffValue&lt;Child&gt;'!$F:$F),"None")</f>
        <v>None</v>
      </c>
      <c r="AY106" s="43">
        <f>IFERROR(_xlfn.XLOOKUP($AM106,#REF!,#REF!),0)</f>
        <v>0</v>
      </c>
    </row>
    <row r="107" spans="1:51" x14ac:dyDescent="0.3">
      <c r="A107" s="1">
        <f>INT(4&amp;MID(_xlfn.XLOOKUP(B107,[2]Timeline!$B:$B,[2]Timeline!$A:$A),2,5)&amp;2)</f>
        <v>4302942</v>
      </c>
      <c r="B107" s="7" t="s">
        <v>146</v>
      </c>
      <c r="C107" s="7" t="s">
        <v>122</v>
      </c>
      <c r="D107" s="7" t="s">
        <v>500</v>
      </c>
      <c r="E107" s="1" t="str">
        <f t="shared" si="20"/>
        <v>skill_name_4302942</v>
      </c>
      <c r="F107" s="1" t="s">
        <v>117</v>
      </c>
      <c r="G107" s="1" t="s">
        <v>427</v>
      </c>
      <c r="H107" s="1" t="str">
        <f t="shared" si="21"/>
        <v>skill_desc_4302942</v>
      </c>
      <c r="I107" s="1" t="s">
        <v>205</v>
      </c>
      <c r="J107" s="1" t="str">
        <f>IFERROR(_xlfn.XLOOKUP(W107,Target!A:A,Target!J:J),"")</f>
        <v>Skill_Target_Icon_Mine</v>
      </c>
      <c r="K107" s="1" t="s">
        <v>205</v>
      </c>
      <c r="L107" s="1" t="str">
        <f>IFERROR(_xlfn.XLOOKUP(W107,Target!A:A,Target!K:K),"")</f>
        <v>Skill_Area_Icon_Pivot_Centor</v>
      </c>
      <c r="M107" s="1" t="str">
        <f>_xlfn.XLOOKUP(B107,'[2]Detail&lt;Child&gt;'!$B:$B,'[2]Detail&lt;Child&gt;'!$M:$M)</f>
        <v>Forest</v>
      </c>
      <c r="N107" s="1" t="str">
        <f>_xlfn.XLOOKUP(B107,'[2]Detail&lt;Child&gt;'!$B:$B,'[2]Detail&lt;Child&gt;'!$N:$N)</f>
        <v>Supporter</v>
      </c>
      <c r="O107" s="1" t="s">
        <v>167</v>
      </c>
      <c r="P107" s="33">
        <v>0</v>
      </c>
      <c r="Q107" s="68" t="str" cm="1">
        <f t="array" ref="Q107">_xlfn.IFS(R107="Move","Move",R107="NonTargetMove","Move",R107="Static","Stand",R107="None","Stand")</f>
        <v>Stand</v>
      </c>
      <c r="R107" s="1" t="s">
        <v>136</v>
      </c>
      <c r="S107" s="1">
        <f t="shared" si="22"/>
        <v>0</v>
      </c>
      <c r="T107" s="2" t="str">
        <f t="shared" si="14"/>
        <v>Immediately</v>
      </c>
      <c r="U107" s="2" t="str" cm="1">
        <f t="array" ref="U107">_xlfn.IFS(T107="SignalHIt","TurnEnd",T107="AttackBegin","TurnEnd",T107="AttackEnd","TurnEnd",T107="Immediately","Applied",T107="None","None")</f>
        <v>Applied</v>
      </c>
      <c r="V107" s="2">
        <v>0</v>
      </c>
      <c r="W107" s="1">
        <v>1</v>
      </c>
      <c r="X107" s="8">
        <v>43029421</v>
      </c>
      <c r="Y107" s="1" t="str">
        <f t="shared" si="15"/>
        <v>Immediately</v>
      </c>
      <c r="Z107" s="2" t="str" cm="1">
        <f t="array" ref="Z107">_xlfn.IFS(Y107="SignalHIt","TurnEnd",Y107="AttackBegin","TurnEnd",Y107="AttackEnd","TurnEnd",Y107="Immediately","Applied",Y107="None","None")</f>
        <v>Applied</v>
      </c>
      <c r="AA107" s="2">
        <v>0</v>
      </c>
      <c r="AB107" s="1">
        <v>0</v>
      </c>
      <c r="AC107" s="8">
        <v>0</v>
      </c>
      <c r="AD107" s="2" t="str">
        <f t="shared" si="16"/>
        <v>Immediately</v>
      </c>
      <c r="AE107" s="2" t="str" cm="1">
        <f t="array" ref="AE107">_xlfn.IFS(AD107="SignalHIt","TurnEnd",AD107="AttackBegin","TurnEnd",AD107="AttackEnd","TurnEnd",AD107="Immediately","Applied",AD107="None","None")</f>
        <v>Applied</v>
      </c>
      <c r="AF107" s="2">
        <v>0</v>
      </c>
      <c r="AG107" s="1">
        <v>0</v>
      </c>
      <c r="AH107" s="8">
        <v>0</v>
      </c>
      <c r="AI107" s="2" t="str">
        <f t="shared" si="17"/>
        <v>Immediately</v>
      </c>
      <c r="AJ107" s="2" t="str" cm="1">
        <f t="array" ref="AJ107">_xlfn.IFS(AI107="SignalHIt","TurnEnd",AI107="AttackBegin","TurnEnd",AI107="AttackEnd","TurnEnd",AI107="Immediately","Applied",AI107="None","None")</f>
        <v>Applied</v>
      </c>
      <c r="AK107" s="2">
        <v>0</v>
      </c>
      <c r="AL107" s="8">
        <v>0</v>
      </c>
      <c r="AM107" s="49">
        <v>0</v>
      </c>
      <c r="AN107" s="45" t="str">
        <f>IFERROR(_xlfn.XLOOKUP(W107,Target!$A:$A,Target!$B:$B),"None")</f>
        <v xml:space="preserve"> 자신 1명 </v>
      </c>
      <c r="AO107" s="43" t="str">
        <f>IFERROR(_xlfn.XLOOKUP($X107,'BuffValue&lt;Child&gt;'!$A:$A,'BuffValue&lt;Child&gt;'!$F:$F),"None")</f>
        <v>없음</v>
      </c>
      <c r="AP107" s="43">
        <f>IFERROR(_xlfn.XLOOKUP($X107,'BuffValue&lt;Child&gt;'!$A:$A,'BuffValue&lt;Child&gt;'!$K:$K),0)</f>
        <v>0</v>
      </c>
      <c r="AQ107" s="43" t="str">
        <f>IFERROR(_xlfn.XLOOKUP(AB107,Target!$A:$A,Target!$B:$B),"None")</f>
        <v>None</v>
      </c>
      <c r="AR107" s="45" t="str">
        <f>IFERROR(_xlfn.XLOOKUP($AC107,'BuffValue&lt;Child&gt;'!$A:$A,'BuffValue&lt;Child&gt;'!$F:$F),"None")</f>
        <v>None</v>
      </c>
      <c r="AS107" s="45">
        <f>IFERROR(_xlfn.XLOOKUP($AC107,'BuffValue&lt;Child&gt;'!$A:$A,'BuffValue&lt;Child&gt;'!$K:$K),0)</f>
        <v>0</v>
      </c>
      <c r="AT107" s="43" t="str">
        <f>IFERROR(_xlfn.XLOOKUP(AG107,Target!$A:$A,Target!$B:$B),"None")</f>
        <v>None</v>
      </c>
      <c r="AU107" s="43" t="str">
        <f>IFERROR(_xlfn.XLOOKUP($AH107,'BuffValue&lt;Child&gt;'!$A:$A,'BuffValue&lt;Child&gt;'!$F:$F),"None")</f>
        <v>None</v>
      </c>
      <c r="AV107" s="43">
        <f>IFERROR(_xlfn.XLOOKUP($AH107,'BuffValue&lt;Child&gt;'!$A:$A,'BuffValue&lt;Child&gt;'!$K:$K),0)</f>
        <v>0</v>
      </c>
      <c r="AW107" s="43" t="str">
        <f>IFERROR(_xlfn.XLOOKUP(AL107,Target!$A:$A,Target!$B:$B),"None")</f>
        <v>None</v>
      </c>
      <c r="AX107" s="43" t="str">
        <f>IFERROR(_xlfn.XLOOKUP($AM107,'BuffValue&lt;Child&gt;'!$A:$A,'BuffValue&lt;Child&gt;'!$F:$F),"None")</f>
        <v>None</v>
      </c>
      <c r="AY107" s="43">
        <f>IFERROR(_xlfn.XLOOKUP($AM107,#REF!,#REF!),0)</f>
        <v>0</v>
      </c>
    </row>
    <row r="108" spans="1:51" s="11" customFormat="1" x14ac:dyDescent="0.3">
      <c r="A108" s="11">
        <f>INT(1&amp;MID(_xlfn.XLOOKUP(B108,[2]Timeline!$B:$B,[2]Timeline!$A:$A),2,5)&amp;1)</f>
        <v>1302291</v>
      </c>
      <c r="B108" s="12" t="s">
        <v>98</v>
      </c>
      <c r="C108" s="12" t="s">
        <v>260</v>
      </c>
      <c r="D108" s="12" t="s">
        <v>341</v>
      </c>
      <c r="E108" s="11" t="str">
        <f t="shared" si="20"/>
        <v>skill_name_1302291</v>
      </c>
      <c r="F108" s="11" t="s">
        <v>117</v>
      </c>
      <c r="G108" s="11" t="s">
        <v>429</v>
      </c>
      <c r="H108" s="11" t="str">
        <f t="shared" si="21"/>
        <v>skill_desc_1302291</v>
      </c>
      <c r="I108" s="11" t="s">
        <v>205</v>
      </c>
      <c r="J108" s="11" t="str">
        <f>IFERROR(_xlfn.XLOOKUP(W108,Target!A:A,Target!J:J),"")</f>
        <v>Skill_Target_Icon_Enemy_Near_One</v>
      </c>
      <c r="K108" s="11" t="s">
        <v>205</v>
      </c>
      <c r="L108" s="11" t="str">
        <f>IFERROR(_xlfn.XLOOKUP(W108,Target!A:A,Target!K:K),"")</f>
        <v>Skill_Area_Icon_Pivot_Centor</v>
      </c>
      <c r="M108" s="11" t="str">
        <f>_xlfn.XLOOKUP(B108,'[2]Detail&lt;Child&gt;'!$B:$B,'[2]Detail&lt;Child&gt;'!$M:$M)</f>
        <v>Forest</v>
      </c>
      <c r="N108" s="11" t="str">
        <f>_xlfn.XLOOKUP(B108,'[2]Detail&lt;Child&gt;'!$B:$B,'[2]Detail&lt;Child&gt;'!$N:$N)</f>
        <v>Healer</v>
      </c>
      <c r="O108" s="11" t="s">
        <v>30</v>
      </c>
      <c r="P108" s="34">
        <v>0</v>
      </c>
      <c r="Q108" s="69" t="str" cm="1">
        <f t="array" ref="Q108">_xlfn.IFS(R108="Move","Move",R108="NonTargetMove","Move",R108="Static","Stand",R108="None","Stand")</f>
        <v>Stand</v>
      </c>
      <c r="R108" s="11" t="s">
        <v>136</v>
      </c>
      <c r="S108" s="11">
        <f t="shared" si="22"/>
        <v>0</v>
      </c>
      <c r="T108" s="15" t="str">
        <f t="shared" si="14"/>
        <v>SignalHit</v>
      </c>
      <c r="U108" s="15" t="str" cm="1">
        <f t="array" ref="U108">_xlfn.IFS(T108="SignalHIt","TurnEnd",T108="AttackBegin","TurnEnd",T108="AttackEnd","TurnEnd",T108="Immediately","Applied",T108="None","None")</f>
        <v>TurnEnd</v>
      </c>
      <c r="V108" s="15">
        <v>0</v>
      </c>
      <c r="W108" s="11">
        <v>2000011</v>
      </c>
      <c r="X108" s="10">
        <v>13022911</v>
      </c>
      <c r="Y108" s="11" t="str">
        <f t="shared" si="15"/>
        <v>Immediately</v>
      </c>
      <c r="Z108" s="15" t="str" cm="1">
        <f t="array" ref="Z108">_xlfn.IFS(Y108="SignalHIt","TurnEnd",Y108="AttackBegin","TurnEnd",Y108="AttackEnd","TurnEnd",Y108="Immediately","Applied",Y108="None","None")</f>
        <v>Applied</v>
      </c>
      <c r="AA108" s="15">
        <v>0</v>
      </c>
      <c r="AB108" s="11">
        <v>0</v>
      </c>
      <c r="AC108" s="10">
        <v>0</v>
      </c>
      <c r="AD108" s="15" t="str">
        <f t="shared" si="16"/>
        <v>Immediately</v>
      </c>
      <c r="AE108" s="15" t="str" cm="1">
        <f t="array" ref="AE108">_xlfn.IFS(AD108="SignalHIt","TurnEnd",AD108="AttackBegin","TurnEnd",AD108="AttackEnd","TurnEnd",AD108="Immediately","Applied",AD108="None","None")</f>
        <v>Applied</v>
      </c>
      <c r="AF108" s="15">
        <v>0</v>
      </c>
      <c r="AG108" s="11">
        <v>0</v>
      </c>
      <c r="AH108" s="10">
        <v>0</v>
      </c>
      <c r="AI108" s="15" t="str">
        <f t="shared" si="17"/>
        <v>Immediately</v>
      </c>
      <c r="AJ108" s="15" t="str" cm="1">
        <f t="array" ref="AJ108">_xlfn.IFS(AI108="SignalHIt","TurnEnd",AI108="AttackBegin","TurnEnd",AI108="AttackEnd","TurnEnd",AI108="Immediately","Applied",AI108="None","None")</f>
        <v>Applied</v>
      </c>
      <c r="AK108" s="15">
        <v>0</v>
      </c>
      <c r="AL108" s="10">
        <v>0</v>
      </c>
      <c r="AM108" s="50">
        <v>0</v>
      </c>
      <c r="AN108" s="46" t="str">
        <f>IFERROR(_xlfn.XLOOKUP(W108,Target!$A:$A,Target!$B:$B),"None")</f>
        <v xml:space="preserve">가까운 적 1명 </v>
      </c>
      <c r="AO108" s="47" t="str">
        <f>IFERROR(_xlfn.XLOOKUP($X108,'BuffValue&lt;Child&gt;'!$A:$A,'BuffValue&lt;Child&gt;'!$F:$F),"None")</f>
        <v>공용 대미지</v>
      </c>
      <c r="AP108" s="47">
        <f>IFERROR(_xlfn.XLOOKUP($X108,'BuffValue&lt;Child&gt;'!$A:$A,'BuffValue&lt;Child&gt;'!$K:$K),0)</f>
        <v>165000</v>
      </c>
      <c r="AQ108" s="47" t="str">
        <f>IFERROR(_xlfn.XLOOKUP(AB108,Target!$A:$A,Target!$B:$B),"None")</f>
        <v>None</v>
      </c>
      <c r="AR108" s="46" t="str">
        <f>IFERROR(_xlfn.XLOOKUP($AC108,'BuffValue&lt;Child&gt;'!$A:$A,'BuffValue&lt;Child&gt;'!$F:$F),"None")</f>
        <v>None</v>
      </c>
      <c r="AS108" s="46">
        <f>IFERROR(_xlfn.XLOOKUP($AC108,'BuffValue&lt;Child&gt;'!$A:$A,'BuffValue&lt;Child&gt;'!$K:$K),0)</f>
        <v>0</v>
      </c>
      <c r="AT108" s="47" t="str">
        <f>IFERROR(_xlfn.XLOOKUP(AG108,Target!$A:$A,Target!$B:$B),"None")</f>
        <v>None</v>
      </c>
      <c r="AU108" s="47" t="str">
        <f>IFERROR(_xlfn.XLOOKUP($AH108,'BuffValue&lt;Child&gt;'!$A:$A,'BuffValue&lt;Child&gt;'!$F:$F),"None")</f>
        <v>None</v>
      </c>
      <c r="AV108" s="47">
        <f>IFERROR(_xlfn.XLOOKUP($AH108,'BuffValue&lt;Child&gt;'!$A:$A,'BuffValue&lt;Child&gt;'!$K:$K),0)</f>
        <v>0</v>
      </c>
      <c r="AW108" s="47" t="str">
        <f>IFERROR(_xlfn.XLOOKUP(AL108,Target!$A:$A,Target!$B:$B),"None")</f>
        <v>None</v>
      </c>
      <c r="AX108" s="47" t="str">
        <f>IFERROR(_xlfn.XLOOKUP($AM108,'BuffValue&lt;Child&gt;'!$A:$A,'BuffValue&lt;Child&gt;'!$F:$F),"None")</f>
        <v>None</v>
      </c>
      <c r="AY108" s="47">
        <f>IFERROR(_xlfn.XLOOKUP($AM108,#REF!,#REF!),0)</f>
        <v>0</v>
      </c>
    </row>
    <row r="109" spans="1:51" s="2" customFormat="1" x14ac:dyDescent="0.3">
      <c r="A109" s="1">
        <f>INT(2&amp;MID(_xlfn.XLOOKUP(B109,[2]Timeline!$B:$B,[2]Timeline!$A:$A),2,5)&amp;1)</f>
        <v>2302291</v>
      </c>
      <c r="B109" s="5" t="s">
        <v>97</v>
      </c>
      <c r="C109" s="5" t="s">
        <v>261</v>
      </c>
      <c r="D109" s="5" t="s">
        <v>506</v>
      </c>
      <c r="E109" s="2" t="str">
        <f t="shared" si="20"/>
        <v>skill_name_2302291</v>
      </c>
      <c r="F109" s="2" t="s">
        <v>117</v>
      </c>
      <c r="G109" s="2" t="s">
        <v>428</v>
      </c>
      <c r="H109" s="2" t="str">
        <f t="shared" si="21"/>
        <v>skill_desc_2302291</v>
      </c>
      <c r="I109" s="2" t="s">
        <v>205</v>
      </c>
      <c r="J109" s="2" t="str">
        <f>IFERROR(_xlfn.XLOOKUP(W109,Target!A:A,Target!J:J),"")</f>
        <v>Skill_Target_Icon_Enemy</v>
      </c>
      <c r="K109" s="2" t="s">
        <v>205</v>
      </c>
      <c r="L109" s="2" t="str">
        <f>IFERROR(_xlfn.XLOOKUP(W109,Target!A:A,Target!K:K),"")</f>
        <v>Skill_Area_Icon_NonTarget_All</v>
      </c>
      <c r="M109" s="2" t="str">
        <f>_xlfn.XLOOKUP(B109,'[2]Detail&lt;Child&gt;'!$B:$B,'[2]Detail&lt;Child&gt;'!$M:$M)</f>
        <v>Forest</v>
      </c>
      <c r="N109" s="2" t="str">
        <f>_xlfn.XLOOKUP(B109,'[2]Detail&lt;Child&gt;'!$B:$B,'[2]Detail&lt;Child&gt;'!$N:$N)</f>
        <v>Healer</v>
      </c>
      <c r="O109" s="2" t="s">
        <v>33</v>
      </c>
      <c r="P109" s="32">
        <v>3</v>
      </c>
      <c r="Q109" s="67" t="str" cm="1">
        <f t="array" ref="Q109">_xlfn.IFS(R109="Move","Move",R109="NonTargetMove","Move",R109="Static","Stand",R109="None","Stand")</f>
        <v>Stand</v>
      </c>
      <c r="R109" s="2" t="s">
        <v>136</v>
      </c>
      <c r="S109" s="2">
        <f t="shared" si="22"/>
        <v>0</v>
      </c>
      <c r="T109" s="2" t="str">
        <f t="shared" si="14"/>
        <v>SignalHit</v>
      </c>
      <c r="U109" s="2" t="str" cm="1">
        <f t="array" ref="U109">_xlfn.IFS(T109="SignalHIt","TurnEnd",T109="AttackBegin","TurnEnd",T109="AttackEnd","TurnEnd",T109="Immediately","Applied",T109="None","None")</f>
        <v>TurnEnd</v>
      </c>
      <c r="V109" s="2">
        <v>0</v>
      </c>
      <c r="W109" s="2">
        <v>920001</v>
      </c>
      <c r="X109" s="8">
        <v>23022911</v>
      </c>
      <c r="Y109" s="2" t="str">
        <f t="shared" si="15"/>
        <v>Immediately</v>
      </c>
      <c r="Z109" s="2" t="str" cm="1">
        <f t="array" ref="Z109">_xlfn.IFS(Y109="SignalHIt","TurnEnd",Y109="AttackBegin","TurnEnd",Y109="AttackEnd","TurnEnd",Y109="Immediately","Applied",Y109="None","None")</f>
        <v>Applied</v>
      </c>
      <c r="AA109" s="2">
        <v>0</v>
      </c>
      <c r="AB109" s="2">
        <v>0</v>
      </c>
      <c r="AC109" s="8">
        <v>0</v>
      </c>
      <c r="AD109" s="2" t="str">
        <f t="shared" si="16"/>
        <v>AttackEnd</v>
      </c>
      <c r="AE109" s="2" t="str" cm="1">
        <f t="array" ref="AE109">_xlfn.IFS(AD109="SignalHIt","TurnEnd",AD109="AttackBegin","TurnEnd",AD109="AttackEnd","TurnEnd",AD109="Immediately","Applied",AD109="None","None")</f>
        <v>TurnEnd</v>
      </c>
      <c r="AF109" s="2">
        <v>0</v>
      </c>
      <c r="AG109" s="2">
        <v>1000001</v>
      </c>
      <c r="AH109" s="8">
        <f>X109+1</f>
        <v>23022912</v>
      </c>
      <c r="AI109" s="2" t="str">
        <f t="shared" si="17"/>
        <v>Immediately</v>
      </c>
      <c r="AJ109" s="2" t="str" cm="1">
        <f t="array" ref="AJ109">_xlfn.IFS(AI109="SignalHIt","TurnEnd",AI109="AttackBegin","TurnEnd",AI109="AttackEnd","TurnEnd",AI109="Immediately","Applied",AI109="None","None")</f>
        <v>Applied</v>
      </c>
      <c r="AK109" s="2">
        <v>0</v>
      </c>
      <c r="AL109" s="8">
        <v>0</v>
      </c>
      <c r="AM109" s="48">
        <v>0</v>
      </c>
      <c r="AN109" s="45" t="str">
        <f>IFERROR(_xlfn.XLOOKUP(W109,Target!$A:$A,Target!$B:$B),"None")</f>
        <v>논타겟 적 9칸</v>
      </c>
      <c r="AO109" s="45" t="str">
        <f>IFERROR(_xlfn.XLOOKUP($X109,'BuffValue&lt;Child&gt;'!$A:$A,'BuffValue&lt;Child&gt;'!$F:$F),"None")</f>
        <v>액티브 대미지</v>
      </c>
      <c r="AP109" s="45">
        <f>IFERROR(_xlfn.XLOOKUP($X109,'BuffValue&lt;Child&gt;'!$A:$A,'BuffValue&lt;Child&gt;'!$K:$K),0)</f>
        <v>65000</v>
      </c>
      <c r="AQ109" s="45" t="str">
        <f>IFERROR(_xlfn.XLOOKUP(AB109,Target!$A:$A,Target!$B:$B),"None")</f>
        <v>None</v>
      </c>
      <c r="AR109" s="45" t="str">
        <f>IFERROR(_xlfn.XLOOKUP($AC109,'BuffValue&lt;Child&gt;'!$A:$A,'BuffValue&lt;Child&gt;'!$F:$F),"None")</f>
        <v>None</v>
      </c>
      <c r="AS109" s="45">
        <f>IFERROR(_xlfn.XLOOKUP($AC109,'BuffValue&lt;Child&gt;'!$A:$A,'BuffValue&lt;Child&gt;'!$K:$K),0)</f>
        <v>0</v>
      </c>
      <c r="AT109" s="45" t="str">
        <f>IFERROR(_xlfn.XLOOKUP(AG109,Target!$A:$A,Target!$B:$B),"None")</f>
        <v xml:space="preserve">무작위 아군 1명 </v>
      </c>
      <c r="AU109" s="45" t="str">
        <f>IFERROR(_xlfn.XLOOKUP($AH109,'BuffValue&lt;Child&gt;'!$A:$A,'BuffValue&lt;Child&gt;'!$F:$F),"None")</f>
        <v>브라우니 회복</v>
      </c>
      <c r="AV109" s="45">
        <f>IFERROR(_xlfn.XLOOKUP($AH109,'BuffValue&lt;Child&gt;'!$A:$A,'BuffValue&lt;Child&gt;'!$K:$K),0)</f>
        <v>30000</v>
      </c>
      <c r="AW109" s="45" t="str">
        <f>IFERROR(_xlfn.XLOOKUP(AL109,Target!$A:$A,Target!$B:$B),"None")</f>
        <v>None</v>
      </c>
      <c r="AX109" s="45" t="str">
        <f>IFERROR(_xlfn.XLOOKUP($AM109,'BuffValue&lt;Child&gt;'!$A:$A,'BuffValue&lt;Child&gt;'!$F:$F),"None")</f>
        <v>None</v>
      </c>
      <c r="AY109" s="45">
        <f>IFERROR(_xlfn.XLOOKUP($AM109,#REF!,#REF!),0)</f>
        <v>0</v>
      </c>
    </row>
    <row r="110" spans="1:51" s="2" customFormat="1" x14ac:dyDescent="0.3">
      <c r="A110" s="1">
        <f>INT(2&amp;MID(_xlfn.XLOOKUP(B110,[2]Timeline!$B:$B,[2]Timeline!$A:$A),2,5)&amp;2)</f>
        <v>2302292</v>
      </c>
      <c r="B110" s="5" t="s">
        <v>97</v>
      </c>
      <c r="C110" s="5" t="s">
        <v>261</v>
      </c>
      <c r="D110" s="5" t="s">
        <v>506</v>
      </c>
      <c r="E110" s="2" t="str">
        <f t="shared" si="20"/>
        <v>skill_name_2302292</v>
      </c>
      <c r="F110" s="2" t="s">
        <v>117</v>
      </c>
      <c r="G110" s="2" t="s">
        <v>126</v>
      </c>
      <c r="H110" s="2" t="str">
        <f t="shared" si="21"/>
        <v>skill_desc_2302292</v>
      </c>
      <c r="I110" s="2" t="s">
        <v>205</v>
      </c>
      <c r="J110" s="2" t="str">
        <f>IFERROR(_xlfn.XLOOKUP(W110,Target!A:A,Target!J:J),"")</f>
        <v>Skill_Target_Icon_Enemy</v>
      </c>
      <c r="K110" s="2" t="s">
        <v>205</v>
      </c>
      <c r="L110" s="2" t="str">
        <f>IFERROR(_xlfn.XLOOKUP(W110,Target!A:A,Target!K:K),"")</f>
        <v>Skill_Area_Icon_NonTarget_All</v>
      </c>
      <c r="M110" s="2" t="str">
        <f>_xlfn.XLOOKUP(B110,'[2]Detail&lt;Child&gt;'!$B:$B,'[2]Detail&lt;Child&gt;'!$M:$M)</f>
        <v>Forest</v>
      </c>
      <c r="N110" s="2" t="str">
        <f>_xlfn.XLOOKUP(B110,'[2]Detail&lt;Child&gt;'!$B:$B,'[2]Detail&lt;Child&gt;'!$N:$N)</f>
        <v>Healer</v>
      </c>
      <c r="O110" s="2" t="s">
        <v>33</v>
      </c>
      <c r="P110" s="32">
        <v>2</v>
      </c>
      <c r="Q110" s="67" t="str" cm="1">
        <f t="array" ref="Q110">_xlfn.IFS(R110="Move","Move",R110="NonTargetMove","Move",R110="Static","Stand",R110="None","Stand")</f>
        <v>Stand</v>
      </c>
      <c r="R110" s="2" t="s">
        <v>136</v>
      </c>
      <c r="S110" s="2">
        <f t="shared" si="22"/>
        <v>0</v>
      </c>
      <c r="T110" s="2" t="str">
        <f t="shared" si="14"/>
        <v>SignalHit</v>
      </c>
      <c r="U110" s="2" t="str" cm="1">
        <f t="array" ref="U110">_xlfn.IFS(T110="SignalHIt","TurnEnd",T110="AttackBegin","TurnEnd",T110="AttackEnd","TurnEnd",T110="Immediately","Applied",T110="None","None")</f>
        <v>TurnEnd</v>
      </c>
      <c r="V110" s="2">
        <v>0</v>
      </c>
      <c r="W110" s="2">
        <v>920001</v>
      </c>
      <c r="X110" s="8">
        <v>23022921</v>
      </c>
      <c r="Y110" s="2" t="str">
        <f t="shared" si="15"/>
        <v>Immediately</v>
      </c>
      <c r="Z110" s="2" t="str" cm="1">
        <f t="array" ref="Z110">_xlfn.IFS(Y110="SignalHIt","TurnEnd",Y110="AttackBegin","TurnEnd",Y110="AttackEnd","TurnEnd",Y110="Immediately","Applied",Y110="None","None")</f>
        <v>Applied</v>
      </c>
      <c r="AA110" s="2">
        <v>0</v>
      </c>
      <c r="AB110" s="2">
        <v>0</v>
      </c>
      <c r="AC110" s="8">
        <v>0</v>
      </c>
      <c r="AD110" s="2" t="str">
        <f t="shared" si="16"/>
        <v>AttackEnd</v>
      </c>
      <c r="AE110" s="2" t="str" cm="1">
        <f t="array" ref="AE110">_xlfn.IFS(AD110="SignalHIt","TurnEnd",AD110="AttackBegin","TurnEnd",AD110="AttackEnd","TurnEnd",AD110="Immediately","Applied",AD110="None","None")</f>
        <v>TurnEnd</v>
      </c>
      <c r="AF110" s="2">
        <v>0</v>
      </c>
      <c r="AG110" s="2">
        <v>1000001</v>
      </c>
      <c r="AH110" s="8">
        <f>X110+1</f>
        <v>23022922</v>
      </c>
      <c r="AI110" s="2" t="str">
        <f t="shared" si="17"/>
        <v>Immediately</v>
      </c>
      <c r="AJ110" s="2" t="str" cm="1">
        <f t="array" ref="AJ110">_xlfn.IFS(AI110="SignalHIt","TurnEnd",AI110="AttackBegin","TurnEnd",AI110="AttackEnd","TurnEnd",AI110="Immediately","Applied",AI110="None","None")</f>
        <v>Applied</v>
      </c>
      <c r="AK110" s="2">
        <v>0</v>
      </c>
      <c r="AL110" s="8">
        <v>0</v>
      </c>
      <c r="AM110" s="48">
        <v>0</v>
      </c>
      <c r="AN110" s="45" t="str">
        <f>IFERROR(_xlfn.XLOOKUP(W110,Target!$A:$A,Target!$B:$B),"None")</f>
        <v>논타겟 적 9칸</v>
      </c>
      <c r="AO110" s="45" t="str">
        <f>IFERROR(_xlfn.XLOOKUP($X110,'BuffValue&lt;Child&gt;'!$A:$A,'BuffValue&lt;Child&gt;'!$F:$F),"None")</f>
        <v>액티브 대미지</v>
      </c>
      <c r="AP110" s="45">
        <f>IFERROR(_xlfn.XLOOKUP($X110,'BuffValue&lt;Child&gt;'!$A:$A,'BuffValue&lt;Child&gt;'!$K:$K),0)</f>
        <v>65000</v>
      </c>
      <c r="AQ110" s="45" t="str">
        <f>IFERROR(_xlfn.XLOOKUP(AB110,Target!$A:$A,Target!$B:$B),"None")</f>
        <v>None</v>
      </c>
      <c r="AR110" s="45" t="str">
        <f>IFERROR(_xlfn.XLOOKUP($AC110,'BuffValue&lt;Child&gt;'!$A:$A,'BuffValue&lt;Child&gt;'!$F:$F),"None")</f>
        <v>None</v>
      </c>
      <c r="AS110" s="45">
        <f>IFERROR(_xlfn.XLOOKUP($AC110,'BuffValue&lt;Child&gt;'!$A:$A,'BuffValue&lt;Child&gt;'!$K:$K),0)</f>
        <v>0</v>
      </c>
      <c r="AT110" s="45" t="str">
        <f>IFERROR(_xlfn.XLOOKUP(AG110,Target!$A:$A,Target!$B:$B),"None")</f>
        <v xml:space="preserve">무작위 아군 1명 </v>
      </c>
      <c r="AU110" s="45" t="str">
        <f>IFERROR(_xlfn.XLOOKUP($AH110,'BuffValue&lt;Child&gt;'!$A:$A,'BuffValue&lt;Child&gt;'!$F:$F),"None")</f>
        <v>브라우니 회복</v>
      </c>
      <c r="AV110" s="45">
        <f>IFERROR(_xlfn.XLOOKUP($AH110,'BuffValue&lt;Child&gt;'!$A:$A,'BuffValue&lt;Child&gt;'!$K:$K),0)</f>
        <v>30000</v>
      </c>
      <c r="AW110" s="45" t="str">
        <f>IFERROR(_xlfn.XLOOKUP(AL110,Target!$A:$A,Target!$B:$B),"None")</f>
        <v>None</v>
      </c>
      <c r="AX110" s="45" t="str">
        <f>IFERROR(_xlfn.XLOOKUP($AM110,'BuffValue&lt;Child&gt;'!$A:$A,'BuffValue&lt;Child&gt;'!$F:$F),"None")</f>
        <v>None</v>
      </c>
      <c r="AY110" s="45">
        <f>IFERROR(_xlfn.XLOOKUP($AM110,#REF!,#REF!),0)</f>
        <v>0</v>
      </c>
    </row>
    <row r="111" spans="1:51" x14ac:dyDescent="0.3">
      <c r="A111" s="1">
        <f>INT(3&amp;MID(_xlfn.XLOOKUP(B111,[2]Timeline!$B:$B,[2]Timeline!$A:$A),2,5)&amp;1)</f>
        <v>3302291</v>
      </c>
      <c r="B111" s="7" t="s">
        <v>97</v>
      </c>
      <c r="C111" s="7" t="s">
        <v>262</v>
      </c>
      <c r="D111" s="7" t="s">
        <v>528</v>
      </c>
      <c r="E111" s="1" t="str">
        <f t="shared" si="20"/>
        <v>skill_name_3302291</v>
      </c>
      <c r="F111" s="1" t="s">
        <v>117</v>
      </c>
      <c r="G111" s="1" t="s">
        <v>483</v>
      </c>
      <c r="H111" s="1" t="str">
        <f t="shared" si="21"/>
        <v>skill_desc_3302291</v>
      </c>
      <c r="I111" s="1" t="s">
        <v>205</v>
      </c>
      <c r="J111" s="1" t="str">
        <f>IFERROR(_xlfn.XLOOKUP(W111,Target!A:A,Target!J:J),"")</f>
        <v>Skill_Target_Icon_Ally</v>
      </c>
      <c r="K111" s="1" t="s">
        <v>205</v>
      </c>
      <c r="L111" s="1" t="str">
        <f>IFERROR(_xlfn.XLOOKUP(W111,Target!A:A,Target!K:K),"")</f>
        <v>Skill_Area_Icon_Pivot_Centor</v>
      </c>
      <c r="M111" s="1" t="str">
        <f>_xlfn.XLOOKUP(B111,'[2]Detail&lt;Child&gt;'!$B:$B,'[2]Detail&lt;Child&gt;'!$M:$M)</f>
        <v>Forest</v>
      </c>
      <c r="N111" s="1" t="str">
        <f>_xlfn.XLOOKUP(B111,'[2]Detail&lt;Child&gt;'!$B:$B,'[2]Detail&lt;Child&gt;'!$N:$N)</f>
        <v>Healer</v>
      </c>
      <c r="O111" s="1" t="s">
        <v>140</v>
      </c>
      <c r="P111" s="33">
        <v>0</v>
      </c>
      <c r="Q111" s="68" t="s">
        <v>496</v>
      </c>
      <c r="R111" s="1" t="s">
        <v>136</v>
      </c>
      <c r="S111" s="1">
        <f t="shared" si="22"/>
        <v>0</v>
      </c>
      <c r="T111" s="2" t="str">
        <f t="shared" si="14"/>
        <v>SignalHit</v>
      </c>
      <c r="U111" s="2" t="str" cm="1">
        <f t="array" ref="U111">_xlfn.IFS(T111="SignalHIt","TurnEnd",T111="AttackBegin","TurnEnd",T111="AttackEnd","TurnEnd",T111="Immediately","Applied",T111="None","None")</f>
        <v>TurnEnd</v>
      </c>
      <c r="V111" s="2">
        <v>0</v>
      </c>
      <c r="W111" s="1">
        <v>1000000</v>
      </c>
      <c r="X111" s="8">
        <v>33022911</v>
      </c>
      <c r="Y111" s="1" t="str">
        <f t="shared" si="15"/>
        <v>Immediately</v>
      </c>
      <c r="Z111" s="2" t="str" cm="1">
        <f t="array" ref="Z111">_xlfn.IFS(Y111="SignalHIt","TurnEnd",Y111="AttackBegin","TurnEnd",Y111="AttackEnd","TurnEnd",Y111="Immediately","Applied",Y111="None","None")</f>
        <v>Applied</v>
      </c>
      <c r="AA111" s="2">
        <v>0</v>
      </c>
      <c r="AB111" s="1">
        <v>0</v>
      </c>
      <c r="AC111" s="8">
        <v>0</v>
      </c>
      <c r="AD111" s="2" t="str">
        <f t="shared" si="16"/>
        <v>AttackEnd</v>
      </c>
      <c r="AE111" s="2" t="str" cm="1">
        <f t="array" ref="AE111">_xlfn.IFS(AD111="SignalHIt","TurnEnd",AD111="AttackBegin","TurnEnd",AD111="AttackEnd","TurnEnd",AD111="Immediately","Applied",AD111="None","None")</f>
        <v>TurnEnd</v>
      </c>
      <c r="AF111" s="2">
        <v>0</v>
      </c>
      <c r="AG111" s="1">
        <v>1000000</v>
      </c>
      <c r="AH111" s="8">
        <v>33022912</v>
      </c>
      <c r="AI111" s="2" t="str">
        <f t="shared" si="17"/>
        <v>Immediately</v>
      </c>
      <c r="AJ111" s="2" t="str" cm="1">
        <f t="array" ref="AJ111">_xlfn.IFS(AI111="SignalHIt","TurnEnd",AI111="AttackBegin","TurnEnd",AI111="AttackEnd","TurnEnd",AI111="Immediately","Applied",AI111="None","None")</f>
        <v>Applied</v>
      </c>
      <c r="AK111" s="2">
        <v>0</v>
      </c>
      <c r="AL111" s="8">
        <v>0</v>
      </c>
      <c r="AM111" s="48">
        <v>0</v>
      </c>
      <c r="AN111" s="45" t="str">
        <f>IFERROR(_xlfn.XLOOKUP(W111,Target!$A:$A,Target!$B:$B),"None")</f>
        <v>모든 아군</v>
      </c>
      <c r="AO111" s="43" t="str">
        <f>IFERROR(_xlfn.XLOOKUP($X111,'BuffValue&lt;Child&gt;'!$A:$A,'BuffValue&lt;Child&gt;'!$F:$F),"None")</f>
        <v>브라우니 얼티밋 회복</v>
      </c>
      <c r="AP111" s="43">
        <f>IFERROR(_xlfn.XLOOKUP($X111,'BuffValue&lt;Child&gt;'!$A:$A,'BuffValue&lt;Child&gt;'!$K:$K),0)</f>
        <v>35000</v>
      </c>
      <c r="AQ111" s="43" t="str">
        <f>IFERROR(_xlfn.XLOOKUP(AB111,Target!$A:$A,Target!$B:$B),"None")</f>
        <v>None</v>
      </c>
      <c r="AR111" s="45" t="str">
        <f>IFERROR(_xlfn.XLOOKUP($AC111,'BuffValue&lt;Child&gt;'!$A:$A,'BuffValue&lt;Child&gt;'!$F:$F),"None")</f>
        <v>None</v>
      </c>
      <c r="AS111" s="45">
        <f>IFERROR(_xlfn.XLOOKUP($AC111,'BuffValue&lt;Child&gt;'!$A:$A,'BuffValue&lt;Child&gt;'!$K:$K),0)</f>
        <v>0</v>
      </c>
      <c r="AT111" s="43" t="str">
        <f>IFERROR(_xlfn.XLOOKUP(AG111,Target!$A:$A,Target!$B:$B),"None")</f>
        <v>모든 아군</v>
      </c>
      <c r="AU111" s="43" t="str">
        <f>IFERROR(_xlfn.XLOOKUP($AH111,'BuffValue&lt;Child&gt;'!$A:$A,'BuffValue&lt;Child&gt;'!$F:$F),"None")</f>
        <v>브라우니 얼티밋 속도 감소</v>
      </c>
      <c r="AV111" s="43">
        <f>IFERROR(_xlfn.XLOOKUP($AH111,'BuffValue&lt;Child&gt;'!$A:$A,'BuffValue&lt;Child&gt;'!$K:$K),0)</f>
        <v>-20</v>
      </c>
      <c r="AW111" s="43" t="str">
        <f>IFERROR(_xlfn.XLOOKUP(AL111,Target!$A:$A,Target!$B:$B),"None")</f>
        <v>None</v>
      </c>
      <c r="AX111" s="43" t="str">
        <f>IFERROR(_xlfn.XLOOKUP($AM111,'BuffValue&lt;Child&gt;'!$A:$A,'BuffValue&lt;Child&gt;'!$F:$F),"None")</f>
        <v>None</v>
      </c>
      <c r="AY111" s="43">
        <f>IFERROR(_xlfn.XLOOKUP($AM111,#REF!,#REF!),0)</f>
        <v>0</v>
      </c>
    </row>
    <row r="112" spans="1:51" x14ac:dyDescent="0.3">
      <c r="A112" s="1">
        <f>INT(3&amp;MID(_xlfn.XLOOKUP(B112,[2]Timeline!$B:$B,[2]Timeline!$A:$A),2,5)&amp;2)</f>
        <v>3302292</v>
      </c>
      <c r="B112" s="7" t="s">
        <v>97</v>
      </c>
      <c r="C112" s="7" t="s">
        <v>262</v>
      </c>
      <c r="D112" s="7" t="s">
        <v>528</v>
      </c>
      <c r="E112" s="1" t="str">
        <f t="shared" si="20"/>
        <v>skill_name_3302292</v>
      </c>
      <c r="F112" s="1" t="s">
        <v>117</v>
      </c>
      <c r="G112" s="1" t="s">
        <v>482</v>
      </c>
      <c r="H112" s="1" t="str">
        <f t="shared" si="21"/>
        <v>skill_desc_3302292</v>
      </c>
      <c r="I112" s="1" t="s">
        <v>205</v>
      </c>
      <c r="J112" s="1" t="str">
        <f>IFERROR(_xlfn.XLOOKUP(W112,Target!A:A,Target!J:J),"")</f>
        <v>Skill_Target_Icon_Ally</v>
      </c>
      <c r="K112" s="1" t="s">
        <v>205</v>
      </c>
      <c r="L112" s="1" t="str">
        <f>IFERROR(_xlfn.XLOOKUP(W112,Target!A:A,Target!K:K),"")</f>
        <v>Skill_Area_Icon_Pivot_Centor</v>
      </c>
      <c r="M112" s="1" t="str">
        <f>_xlfn.XLOOKUP(B112,'[2]Detail&lt;Child&gt;'!$B:$B,'[2]Detail&lt;Child&gt;'!$M:$M)</f>
        <v>Forest</v>
      </c>
      <c r="N112" s="1" t="str">
        <f>_xlfn.XLOOKUP(B112,'[2]Detail&lt;Child&gt;'!$B:$B,'[2]Detail&lt;Child&gt;'!$N:$N)</f>
        <v>Healer</v>
      </c>
      <c r="O112" s="1" t="s">
        <v>140</v>
      </c>
      <c r="P112" s="33">
        <v>0</v>
      </c>
      <c r="Q112" s="68" t="s">
        <v>137</v>
      </c>
      <c r="R112" s="1" t="s">
        <v>136</v>
      </c>
      <c r="S112" s="1">
        <f t="shared" si="22"/>
        <v>0</v>
      </c>
      <c r="T112" s="2" t="str">
        <f t="shared" si="14"/>
        <v>SignalHit</v>
      </c>
      <c r="U112" s="2" t="str" cm="1">
        <f t="array" ref="U112">_xlfn.IFS(T112="SignalHIt","TurnEnd",T112="AttackBegin","TurnEnd",T112="AttackEnd","TurnEnd",T112="Immediately","Applied",T112="None","None")</f>
        <v>TurnEnd</v>
      </c>
      <c r="V112" s="2">
        <v>0</v>
      </c>
      <c r="W112" s="1">
        <v>1000000</v>
      </c>
      <c r="X112" s="8">
        <v>33022921</v>
      </c>
      <c r="Y112" s="1" t="str">
        <f t="shared" si="15"/>
        <v>Immediately</v>
      </c>
      <c r="Z112" s="2" t="str" cm="1">
        <f t="array" ref="Z112">_xlfn.IFS(Y112="SignalHIt","TurnEnd",Y112="AttackBegin","TurnEnd",Y112="AttackEnd","TurnEnd",Y112="Immediately","Applied",Y112="None","None")</f>
        <v>Applied</v>
      </c>
      <c r="AA112" s="2">
        <v>0</v>
      </c>
      <c r="AB112" s="1">
        <v>0</v>
      </c>
      <c r="AC112" s="8">
        <v>0</v>
      </c>
      <c r="AD112" s="2" t="str">
        <f t="shared" si="16"/>
        <v>AttackEnd</v>
      </c>
      <c r="AE112" s="2" t="str" cm="1">
        <f t="array" ref="AE112">_xlfn.IFS(AD112="SignalHIt","TurnEnd",AD112="AttackBegin","TurnEnd",AD112="AttackEnd","TurnEnd",AD112="Immediately","Applied",AD112="None","None")</f>
        <v>TurnEnd</v>
      </c>
      <c r="AF112" s="2">
        <v>0</v>
      </c>
      <c r="AG112" s="1">
        <v>1000000</v>
      </c>
      <c r="AH112" s="8">
        <v>33022922</v>
      </c>
      <c r="AI112" s="2" t="str">
        <f t="shared" si="17"/>
        <v>Immediately</v>
      </c>
      <c r="AJ112" s="2" t="str" cm="1">
        <f t="array" ref="AJ112">_xlfn.IFS(AI112="SignalHIt","TurnEnd",AI112="AttackBegin","TurnEnd",AI112="AttackEnd","TurnEnd",AI112="Immediately","Applied",AI112="None","None")</f>
        <v>Applied</v>
      </c>
      <c r="AK112" s="2">
        <v>0</v>
      </c>
      <c r="AL112" s="8">
        <v>0</v>
      </c>
      <c r="AM112" s="48">
        <v>0</v>
      </c>
      <c r="AN112" s="45" t="str">
        <f>IFERROR(_xlfn.XLOOKUP(W112,Target!$A:$A,Target!$B:$B),"None")</f>
        <v>모든 아군</v>
      </c>
      <c r="AO112" s="43" t="str">
        <f>IFERROR(_xlfn.XLOOKUP($X112,'BuffValue&lt;Child&gt;'!$A:$A,'BuffValue&lt;Child&gt;'!$F:$F),"None")</f>
        <v>브라우니 얼티밋 회복</v>
      </c>
      <c r="AP112" s="43">
        <f>IFERROR(_xlfn.XLOOKUP($X112,'BuffValue&lt;Child&gt;'!$A:$A,'BuffValue&lt;Child&gt;'!$K:$K),0)</f>
        <v>35000</v>
      </c>
      <c r="AQ112" s="43" t="str">
        <f>IFERROR(_xlfn.XLOOKUP(AB112,Target!$A:$A,Target!$B:$B),"None")</f>
        <v>None</v>
      </c>
      <c r="AR112" s="45" t="str">
        <f>IFERROR(_xlfn.XLOOKUP($AC112,'BuffValue&lt;Child&gt;'!$A:$A,'BuffValue&lt;Child&gt;'!$F:$F),"None")</f>
        <v>None</v>
      </c>
      <c r="AS112" s="45">
        <f>IFERROR(_xlfn.XLOOKUP($AC112,'BuffValue&lt;Child&gt;'!$A:$A,'BuffValue&lt;Child&gt;'!$K:$K),0)</f>
        <v>0</v>
      </c>
      <c r="AT112" s="43" t="str">
        <f>IFERROR(_xlfn.XLOOKUP(AG112,Target!$A:$A,Target!$B:$B),"None")</f>
        <v>모든 아군</v>
      </c>
      <c r="AU112" s="43" t="str">
        <f>IFERROR(_xlfn.XLOOKUP($AH112,'BuffValue&lt;Child&gt;'!$A:$A,'BuffValue&lt;Child&gt;'!$F:$F),"None")</f>
        <v>브라우니 얼티밋 속도 감소</v>
      </c>
      <c r="AV112" s="43">
        <f>IFERROR(_xlfn.XLOOKUP($AH112,'BuffValue&lt;Child&gt;'!$A:$A,'BuffValue&lt;Child&gt;'!$K:$K),0)</f>
        <v>-20</v>
      </c>
      <c r="AW112" s="43" t="str">
        <f>IFERROR(_xlfn.XLOOKUP(AL112,Target!$A:$A,Target!$B:$B),"None")</f>
        <v>None</v>
      </c>
      <c r="AX112" s="43" t="str">
        <f>IFERROR(_xlfn.XLOOKUP($AM112,'BuffValue&lt;Child&gt;'!$A:$A,'BuffValue&lt;Child&gt;'!$F:$F),"None")</f>
        <v>None</v>
      </c>
      <c r="AY112" s="43">
        <f>IFERROR(_xlfn.XLOOKUP($AM112,#REF!,#REF!),0)</f>
        <v>0</v>
      </c>
    </row>
    <row r="113" spans="1:51" x14ac:dyDescent="0.3">
      <c r="A113" s="1">
        <f>INT(3&amp;MID(_xlfn.XLOOKUP(B113,[2]Timeline!$B:$B,[2]Timeline!$A:$A),2,5)&amp;3)</f>
        <v>3302293</v>
      </c>
      <c r="B113" s="7" t="s">
        <v>97</v>
      </c>
      <c r="C113" s="7" t="s">
        <v>262</v>
      </c>
      <c r="D113" s="7" t="s">
        <v>528</v>
      </c>
      <c r="E113" s="1" t="str">
        <f t="shared" si="20"/>
        <v>skill_name_3302293</v>
      </c>
      <c r="F113" s="1" t="s">
        <v>117</v>
      </c>
      <c r="G113" s="1" t="s">
        <v>482</v>
      </c>
      <c r="H113" s="1" t="str">
        <f t="shared" si="21"/>
        <v>skill_desc_3302293</v>
      </c>
      <c r="I113" s="1" t="s">
        <v>205</v>
      </c>
      <c r="J113" s="1" t="str">
        <f>IFERROR(_xlfn.XLOOKUP(W113,Target!A:A,Target!J:J),"")</f>
        <v>Skill_Target_Icon_Ally</v>
      </c>
      <c r="K113" s="1" t="s">
        <v>205</v>
      </c>
      <c r="L113" s="1" t="str">
        <f>IFERROR(_xlfn.XLOOKUP(W113,Target!A:A,Target!K:K),"")</f>
        <v>Skill_Area_Icon_Pivot_Centor</v>
      </c>
      <c r="M113" s="1" t="str">
        <f>_xlfn.XLOOKUP(B113,'[2]Detail&lt;Child&gt;'!$B:$B,'[2]Detail&lt;Child&gt;'!$M:$M)</f>
        <v>Forest</v>
      </c>
      <c r="N113" s="1" t="str">
        <f>_xlfn.XLOOKUP(B113,'[2]Detail&lt;Child&gt;'!$B:$B,'[2]Detail&lt;Child&gt;'!$N:$N)</f>
        <v>Healer</v>
      </c>
      <c r="O113" s="1" t="s">
        <v>140</v>
      </c>
      <c r="P113" s="33">
        <v>0</v>
      </c>
      <c r="Q113" s="68" t="s">
        <v>137</v>
      </c>
      <c r="R113" s="1" t="s">
        <v>136</v>
      </c>
      <c r="S113" s="1">
        <f t="shared" si="22"/>
        <v>0</v>
      </c>
      <c r="T113" s="2" t="str">
        <f t="shared" si="14"/>
        <v>SignalHit</v>
      </c>
      <c r="U113" s="2" t="str" cm="1">
        <f t="array" ref="U113">_xlfn.IFS(T113="SignalHIt","TurnEnd",T113="AttackBegin","TurnEnd",T113="AttackEnd","TurnEnd",T113="Immediately","Applied",T113="None","None")</f>
        <v>TurnEnd</v>
      </c>
      <c r="V113" s="2">
        <v>0</v>
      </c>
      <c r="W113" s="1">
        <v>1000000</v>
      </c>
      <c r="X113" s="8">
        <v>33022931</v>
      </c>
      <c r="Y113" s="1" t="str">
        <f t="shared" si="15"/>
        <v>Immediately</v>
      </c>
      <c r="Z113" s="2" t="str" cm="1">
        <f t="array" ref="Z113">_xlfn.IFS(Y113="SignalHIt","TurnEnd",Y113="AttackBegin","TurnEnd",Y113="AttackEnd","TurnEnd",Y113="Immediately","Applied",Y113="None","None")</f>
        <v>Applied</v>
      </c>
      <c r="AA113" s="2">
        <v>0</v>
      </c>
      <c r="AB113" s="1">
        <v>0</v>
      </c>
      <c r="AC113" s="8">
        <v>0</v>
      </c>
      <c r="AD113" s="2" t="str">
        <f t="shared" si="16"/>
        <v>AttackEnd</v>
      </c>
      <c r="AE113" s="2" t="str" cm="1">
        <f t="array" ref="AE113">_xlfn.IFS(AD113="SignalHIt","TurnEnd",AD113="AttackBegin","TurnEnd",AD113="AttackEnd","TurnEnd",AD113="Immediately","Applied",AD113="None","None")</f>
        <v>TurnEnd</v>
      </c>
      <c r="AF113" s="2">
        <v>0</v>
      </c>
      <c r="AG113" s="1">
        <v>1000000</v>
      </c>
      <c r="AH113" s="8">
        <v>33022932</v>
      </c>
      <c r="AI113" s="2" t="str">
        <f t="shared" si="17"/>
        <v>Immediately</v>
      </c>
      <c r="AJ113" s="2" t="str" cm="1">
        <f t="array" ref="AJ113">_xlfn.IFS(AI113="SignalHIt","TurnEnd",AI113="AttackBegin","TurnEnd",AI113="AttackEnd","TurnEnd",AI113="Immediately","Applied",AI113="None","None")</f>
        <v>Applied</v>
      </c>
      <c r="AK113" s="2">
        <v>0</v>
      </c>
      <c r="AL113" s="8">
        <v>0</v>
      </c>
      <c r="AM113" s="48">
        <v>0</v>
      </c>
      <c r="AN113" s="45" t="str">
        <f>IFERROR(_xlfn.XLOOKUP(W113,Target!$A:$A,Target!$B:$B),"None")</f>
        <v>모든 아군</v>
      </c>
      <c r="AO113" s="43" t="str">
        <f>IFERROR(_xlfn.XLOOKUP($X113,'BuffValue&lt;Child&gt;'!$A:$A,'BuffValue&lt;Child&gt;'!$F:$F),"None")</f>
        <v>브라우니 얼티밋 회복</v>
      </c>
      <c r="AP113" s="43">
        <f>IFERROR(_xlfn.XLOOKUP($X113,'BuffValue&lt;Child&gt;'!$A:$A,'BuffValue&lt;Child&gt;'!$K:$K),0)</f>
        <v>35000</v>
      </c>
      <c r="AQ113" s="43" t="str">
        <f>IFERROR(_xlfn.XLOOKUP(AB113,Target!$A:$A,Target!$B:$B),"None")</f>
        <v>None</v>
      </c>
      <c r="AR113" s="45" t="str">
        <f>IFERROR(_xlfn.XLOOKUP($AC113,'BuffValue&lt;Child&gt;'!$A:$A,'BuffValue&lt;Child&gt;'!$F:$F),"None")</f>
        <v>None</v>
      </c>
      <c r="AS113" s="45">
        <f>IFERROR(_xlfn.XLOOKUP($AC113,'BuffValue&lt;Child&gt;'!$A:$A,'BuffValue&lt;Child&gt;'!$K:$K),0)</f>
        <v>0</v>
      </c>
      <c r="AT113" s="43" t="str">
        <f>IFERROR(_xlfn.XLOOKUP(AG113,Target!$A:$A,Target!$B:$B),"None")</f>
        <v>모든 아군</v>
      </c>
      <c r="AU113" s="43" t="str">
        <f>IFERROR(_xlfn.XLOOKUP($AH113,'BuffValue&lt;Child&gt;'!$A:$A,'BuffValue&lt;Child&gt;'!$F:$F),"None")</f>
        <v>브라우니 얼티밋 속도 감소</v>
      </c>
      <c r="AV113" s="43">
        <f>IFERROR(_xlfn.XLOOKUP($AH113,'BuffValue&lt;Child&gt;'!$A:$A,'BuffValue&lt;Child&gt;'!$K:$K),0)</f>
        <v>-20</v>
      </c>
      <c r="AW113" s="43" t="str">
        <f>IFERROR(_xlfn.XLOOKUP(AL113,Target!$A:$A,Target!$B:$B),"None")</f>
        <v>None</v>
      </c>
      <c r="AX113" s="43" t="str">
        <f>IFERROR(_xlfn.XLOOKUP($AM113,'BuffValue&lt;Child&gt;'!$A:$A,'BuffValue&lt;Child&gt;'!$F:$F),"None")</f>
        <v>None</v>
      </c>
      <c r="AY113" s="43">
        <f>IFERROR(_xlfn.XLOOKUP($AM113,#REF!,#REF!),0)</f>
        <v>0</v>
      </c>
    </row>
    <row r="114" spans="1:51" s="52" customFormat="1" x14ac:dyDescent="0.3">
      <c r="A114" s="1">
        <f>INT(4&amp;MID(_xlfn.XLOOKUP(B114,[2]Timeline!$B:$B,[2]Timeline!$A:$A),2,5)&amp;1)</f>
        <v>4302291</v>
      </c>
      <c r="B114" s="53" t="s">
        <v>97</v>
      </c>
      <c r="C114" s="53" t="s">
        <v>122</v>
      </c>
      <c r="D114" s="53" t="s">
        <v>552</v>
      </c>
      <c r="E114" s="52" t="str">
        <f t="shared" si="20"/>
        <v>skill_name_4302291</v>
      </c>
      <c r="F114" s="52" t="s">
        <v>117</v>
      </c>
      <c r="G114" s="52" t="s">
        <v>430</v>
      </c>
      <c r="H114" s="52" t="str">
        <f t="shared" si="21"/>
        <v>skill_desc_4302291</v>
      </c>
      <c r="I114" s="52" t="s">
        <v>205</v>
      </c>
      <c r="J114" s="52" t="str">
        <f>IFERROR(_xlfn.XLOOKUP(W114,Target!A:A,Target!J:J),"")</f>
        <v>Skill_Target_Icon_Ally_Forest</v>
      </c>
      <c r="K114" s="52" t="s">
        <v>205</v>
      </c>
      <c r="L114" s="52" t="str">
        <f>IFERROR(_xlfn.XLOOKUP(W114,Target!A:A,Target!K:K),"")</f>
        <v>Skill_Area_Icon_Pivot_Centor</v>
      </c>
      <c r="M114" s="52" t="str">
        <f>_xlfn.XLOOKUP(B114,'[2]Detail&lt;Child&gt;'!$B:$B,'[2]Detail&lt;Child&gt;'!$M:$M)</f>
        <v>Forest</v>
      </c>
      <c r="N114" s="52" t="str">
        <f>_xlfn.XLOOKUP(B114,'[2]Detail&lt;Child&gt;'!$B:$B,'[2]Detail&lt;Child&gt;'!$N:$N)</f>
        <v>Healer</v>
      </c>
      <c r="O114" s="52" t="s">
        <v>167</v>
      </c>
      <c r="P114" s="71">
        <v>0</v>
      </c>
      <c r="Q114" s="72" t="str" cm="1">
        <f t="array" ref="Q114">_xlfn.IFS(R114="Move","Move",R114="NonTargetMove","Move",R114="Static","Stand",R114="None","Stand")</f>
        <v>Stand</v>
      </c>
      <c r="R114" s="52" t="s">
        <v>136</v>
      </c>
      <c r="S114" s="52">
        <f t="shared" si="22"/>
        <v>0</v>
      </c>
      <c r="T114" s="52" t="str">
        <f t="shared" si="14"/>
        <v>Immediately</v>
      </c>
      <c r="U114" s="52" t="str" cm="1">
        <f t="array" ref="U114">_xlfn.IFS(T114="SignalHIt","TurnEnd",T114="AttackBegin","TurnEnd",T114="AttackEnd","TurnEnd",T114="Immediately","Applied",T114="None","None")</f>
        <v>Applied</v>
      </c>
      <c r="V114" s="52">
        <v>0</v>
      </c>
      <c r="W114" s="52">
        <v>1001305</v>
      </c>
      <c r="X114" s="73">
        <v>43022911</v>
      </c>
      <c r="Y114" s="52" t="str">
        <f t="shared" si="15"/>
        <v>Immediately</v>
      </c>
      <c r="Z114" s="52" t="str" cm="1">
        <f t="array" ref="Z114">_xlfn.IFS(Y114="SignalHIt","TurnEnd",Y114="AttackBegin","TurnEnd",Y114="AttackEnd","TurnEnd",Y114="Immediately","Applied",Y114="None","None")</f>
        <v>Applied</v>
      </c>
      <c r="AA114" s="52">
        <v>0</v>
      </c>
      <c r="AB114" s="52">
        <v>0</v>
      </c>
      <c r="AC114" s="73">
        <v>0</v>
      </c>
      <c r="AD114" s="52" t="str">
        <f t="shared" si="16"/>
        <v>Immediately</v>
      </c>
      <c r="AE114" s="52" t="str" cm="1">
        <f t="array" ref="AE114">_xlfn.IFS(AD114="SignalHIt","TurnEnd",AD114="AttackBegin","TurnEnd",AD114="AttackEnd","TurnEnd",AD114="Immediately","Applied",AD114="None","None")</f>
        <v>Applied</v>
      </c>
      <c r="AF114" s="52">
        <v>0</v>
      </c>
      <c r="AG114" s="52">
        <v>0</v>
      </c>
      <c r="AH114" s="73">
        <v>0</v>
      </c>
      <c r="AI114" s="52" t="str">
        <f t="shared" si="17"/>
        <v>Immediately</v>
      </c>
      <c r="AJ114" s="52" t="str" cm="1">
        <f t="array" ref="AJ114">_xlfn.IFS(AI114="SignalHIt","TurnEnd",AI114="AttackBegin","TurnEnd",AI114="AttackEnd","TurnEnd",AI114="Immediately","Applied",AI114="None","None")</f>
        <v>Applied</v>
      </c>
      <c r="AK114" s="52">
        <v>0</v>
      </c>
      <c r="AL114" s="73">
        <v>0</v>
      </c>
      <c r="AM114" s="74">
        <v>0</v>
      </c>
      <c r="AN114" s="51" t="str">
        <f>IFERROR(_xlfn.XLOOKUP(W114,Target!$A:$A,Target!$B:$B),"None")</f>
        <v xml:space="preserve">목속성 무작위 아군 5명 </v>
      </c>
      <c r="AO114" s="51" t="str">
        <f>IFERROR(_xlfn.XLOOKUP($X114,'BuffValue&lt;Child&gt;'!$A:$A,'BuffValue&lt;Child&gt;'!$F:$F),"None")</f>
        <v>브라우니 패시브 체력비례 치유량 증가</v>
      </c>
      <c r="AP114" s="51">
        <f>IFERROR(_xlfn.XLOOKUP($X114,'BuffValue&lt;Child&gt;'!$A:$A,'BuffValue&lt;Child&gt;'!$K:$K),0)</f>
        <v>1000</v>
      </c>
      <c r="AQ114" s="51" t="str">
        <f>IFERROR(_xlfn.XLOOKUP(AB114,Target!$A:$A,Target!$B:$B),"None")</f>
        <v>None</v>
      </c>
      <c r="AR114" s="51" t="str">
        <f>IFERROR(_xlfn.XLOOKUP($AC114,'BuffValue&lt;Child&gt;'!$A:$A,'BuffValue&lt;Child&gt;'!$F:$F),"None")</f>
        <v>None</v>
      </c>
      <c r="AS114" s="51">
        <f>IFERROR(_xlfn.XLOOKUP($AC114,'BuffValue&lt;Child&gt;'!$A:$A,'BuffValue&lt;Child&gt;'!$K:$K),0)</f>
        <v>0</v>
      </c>
      <c r="AT114" s="51" t="str">
        <f>IFERROR(_xlfn.XLOOKUP(AG114,Target!$A:$A,Target!$B:$B),"None")</f>
        <v>None</v>
      </c>
      <c r="AU114" s="51" t="str">
        <f>IFERROR(_xlfn.XLOOKUP($AH114,'BuffValue&lt;Child&gt;'!$A:$A,'BuffValue&lt;Child&gt;'!$F:$F),"None")</f>
        <v>None</v>
      </c>
      <c r="AV114" s="51">
        <f>IFERROR(_xlfn.XLOOKUP($AH114,'BuffValue&lt;Child&gt;'!$A:$A,'BuffValue&lt;Child&gt;'!$K:$K),0)</f>
        <v>0</v>
      </c>
      <c r="AW114" s="51" t="str">
        <f>IFERROR(_xlfn.XLOOKUP(AL114,Target!$A:$A,Target!$B:$B),"None")</f>
        <v>None</v>
      </c>
      <c r="AX114" s="51" t="str">
        <f>IFERROR(_xlfn.XLOOKUP($AM114,'BuffValue&lt;Child&gt;'!$A:$A,'BuffValue&lt;Child&gt;'!$F:$F),"None")</f>
        <v>None</v>
      </c>
      <c r="AY114" s="51">
        <f>IFERROR(_xlfn.XLOOKUP($AM114,#REF!,#REF!),0)</f>
        <v>0</v>
      </c>
    </row>
    <row r="115" spans="1:51" s="52" customFormat="1" x14ac:dyDescent="0.3">
      <c r="A115" s="1">
        <f>INT(4&amp;MID(_xlfn.XLOOKUP(B115,[2]Timeline!$B:$B,[2]Timeline!$A:$A),2,5)&amp;2)</f>
        <v>4302292</v>
      </c>
      <c r="B115" s="53" t="s">
        <v>97</v>
      </c>
      <c r="C115" s="53" t="s">
        <v>122</v>
      </c>
      <c r="D115" s="53" t="s">
        <v>552</v>
      </c>
      <c r="E115" s="52" t="str">
        <f t="shared" si="20"/>
        <v>skill_name_4302292</v>
      </c>
      <c r="F115" s="52" t="s">
        <v>117</v>
      </c>
      <c r="G115" s="52" t="s">
        <v>430</v>
      </c>
      <c r="H115" s="52" t="str">
        <f t="shared" si="21"/>
        <v>skill_desc_4302292</v>
      </c>
      <c r="I115" s="52" t="s">
        <v>205</v>
      </c>
      <c r="J115" s="52" t="str">
        <f>IFERROR(_xlfn.XLOOKUP(W115,Target!A:A,Target!J:J),"")</f>
        <v>Skill_Target_Icon_Ally_Forest</v>
      </c>
      <c r="K115" s="52" t="s">
        <v>205</v>
      </c>
      <c r="L115" s="52" t="str">
        <f>IFERROR(_xlfn.XLOOKUP(W115,Target!A:A,Target!K:K),"")</f>
        <v>Skill_Area_Icon_Pivot_Centor</v>
      </c>
      <c r="M115" s="52" t="str">
        <f>_xlfn.XLOOKUP(B115,'[2]Detail&lt;Child&gt;'!$B:$B,'[2]Detail&lt;Child&gt;'!$M:$M)</f>
        <v>Forest</v>
      </c>
      <c r="N115" s="52" t="str">
        <f>_xlfn.XLOOKUP(B115,'[2]Detail&lt;Child&gt;'!$B:$B,'[2]Detail&lt;Child&gt;'!$N:$N)</f>
        <v>Healer</v>
      </c>
      <c r="O115" s="52" t="s">
        <v>167</v>
      </c>
      <c r="P115" s="71">
        <v>0</v>
      </c>
      <c r="Q115" s="72" t="str" cm="1">
        <f t="array" ref="Q115">_xlfn.IFS(R115="Move","Move",R115="NonTargetMove","Move",R115="Static","Stand",R115="None","Stand")</f>
        <v>Stand</v>
      </c>
      <c r="R115" s="52" t="s">
        <v>136</v>
      </c>
      <c r="S115" s="52">
        <f t="shared" si="22"/>
        <v>0</v>
      </c>
      <c r="T115" s="52" t="str">
        <f t="shared" si="14"/>
        <v>Immediately</v>
      </c>
      <c r="U115" s="52" t="str" cm="1">
        <f t="array" ref="U115">_xlfn.IFS(T115="SignalHIt","TurnEnd",T115="AttackBegin","TurnEnd",T115="AttackEnd","TurnEnd",T115="Immediately","Applied",T115="None","None")</f>
        <v>Applied</v>
      </c>
      <c r="V115" s="52">
        <v>0</v>
      </c>
      <c r="W115" s="52">
        <v>1001305</v>
      </c>
      <c r="X115" s="73">
        <v>43022921</v>
      </c>
      <c r="Y115" s="52" t="str">
        <f t="shared" si="15"/>
        <v>Immediately</v>
      </c>
      <c r="Z115" s="52" t="str" cm="1">
        <f t="array" ref="Z115">_xlfn.IFS(Y115="SignalHIt","TurnEnd",Y115="AttackBegin","TurnEnd",Y115="AttackEnd","TurnEnd",Y115="Immediately","Applied",Y115="None","None")</f>
        <v>Applied</v>
      </c>
      <c r="AA115" s="52">
        <v>0</v>
      </c>
      <c r="AB115" s="52">
        <v>0</v>
      </c>
      <c r="AC115" s="73">
        <v>0</v>
      </c>
      <c r="AD115" s="52" t="str">
        <f t="shared" si="16"/>
        <v>Immediately</v>
      </c>
      <c r="AE115" s="52" t="str" cm="1">
        <f t="array" ref="AE115">_xlfn.IFS(AD115="SignalHIt","TurnEnd",AD115="AttackBegin","TurnEnd",AD115="AttackEnd","TurnEnd",AD115="Immediately","Applied",AD115="None","None")</f>
        <v>Applied</v>
      </c>
      <c r="AF115" s="52">
        <v>0</v>
      </c>
      <c r="AG115" s="52">
        <v>0</v>
      </c>
      <c r="AH115" s="73">
        <v>0</v>
      </c>
      <c r="AI115" s="52" t="str">
        <f t="shared" si="17"/>
        <v>Immediately</v>
      </c>
      <c r="AJ115" s="52" t="str" cm="1">
        <f t="array" ref="AJ115">_xlfn.IFS(AI115="SignalHIt","TurnEnd",AI115="AttackBegin","TurnEnd",AI115="AttackEnd","TurnEnd",AI115="Immediately","Applied",AI115="None","None")</f>
        <v>Applied</v>
      </c>
      <c r="AK115" s="52">
        <v>0</v>
      </c>
      <c r="AL115" s="73">
        <v>0</v>
      </c>
      <c r="AM115" s="75">
        <v>0</v>
      </c>
      <c r="AN115" s="51" t="str">
        <f>IFERROR(_xlfn.XLOOKUP(W115,Target!$A:$A,Target!$B:$B),"None")</f>
        <v xml:space="preserve">목속성 무작위 아군 5명 </v>
      </c>
      <c r="AO115" s="51" t="str">
        <f>IFERROR(_xlfn.XLOOKUP($X115,'BuffValue&lt;Child&gt;'!$A:$A,'BuffValue&lt;Child&gt;'!$F:$F),"None")</f>
        <v>브라우니 패시브 체력비례 치유량 증가</v>
      </c>
      <c r="AP115" s="51">
        <f>IFERROR(_xlfn.XLOOKUP($X115,'BuffValue&lt;Child&gt;'!$A:$A,'BuffValue&lt;Child&gt;'!$K:$K),0)</f>
        <v>1000</v>
      </c>
      <c r="AQ115" s="51" t="str">
        <f>IFERROR(_xlfn.XLOOKUP(AB115,Target!$A:$A,Target!$B:$B),"None")</f>
        <v>None</v>
      </c>
      <c r="AR115" s="51" t="str">
        <f>IFERROR(_xlfn.XLOOKUP($AC115,'BuffValue&lt;Child&gt;'!$A:$A,'BuffValue&lt;Child&gt;'!$F:$F),"None")</f>
        <v>None</v>
      </c>
      <c r="AS115" s="51">
        <f>IFERROR(_xlfn.XLOOKUP($AC115,'BuffValue&lt;Child&gt;'!$A:$A,'BuffValue&lt;Child&gt;'!$K:$K),0)</f>
        <v>0</v>
      </c>
      <c r="AT115" s="51" t="str">
        <f>IFERROR(_xlfn.XLOOKUP(AG115,Target!$A:$A,Target!$B:$B),"None")</f>
        <v>None</v>
      </c>
      <c r="AU115" s="51" t="str">
        <f>IFERROR(_xlfn.XLOOKUP($AH115,'BuffValue&lt;Child&gt;'!$A:$A,'BuffValue&lt;Child&gt;'!$F:$F),"None")</f>
        <v>None</v>
      </c>
      <c r="AV115" s="51">
        <f>IFERROR(_xlfn.XLOOKUP($AH115,'BuffValue&lt;Child&gt;'!$A:$A,'BuffValue&lt;Child&gt;'!$K:$K),0)</f>
        <v>0</v>
      </c>
      <c r="AW115" s="51" t="str">
        <f>IFERROR(_xlfn.XLOOKUP(AL115,Target!$A:$A,Target!$B:$B),"None")</f>
        <v>None</v>
      </c>
      <c r="AX115" s="51" t="str">
        <f>IFERROR(_xlfn.XLOOKUP($AM115,'BuffValue&lt;Child&gt;'!$A:$A,'BuffValue&lt;Child&gt;'!$F:$F),"None")</f>
        <v>None</v>
      </c>
      <c r="AY115" s="51">
        <f>IFERROR(_xlfn.XLOOKUP($AM115,#REF!,#REF!),0)</f>
        <v>0</v>
      </c>
    </row>
    <row r="116" spans="1:51" s="11" customFormat="1" x14ac:dyDescent="0.3">
      <c r="A116" s="11">
        <f>INT(1&amp;MID(_xlfn.XLOOKUP(B116,[2]Timeline!$B:$B,[2]Timeline!$A:$A),2,5)&amp;1)</f>
        <v>1303531</v>
      </c>
      <c r="B116" s="12" t="s">
        <v>75</v>
      </c>
      <c r="C116" s="12" t="s">
        <v>263</v>
      </c>
      <c r="D116" s="12" t="s">
        <v>544</v>
      </c>
      <c r="E116" s="11" t="str">
        <f t="shared" si="20"/>
        <v>skill_name_1303531</v>
      </c>
      <c r="F116" s="11" t="s">
        <v>117</v>
      </c>
      <c r="G116" s="11" t="s">
        <v>435</v>
      </c>
      <c r="H116" s="11" t="str">
        <f t="shared" si="21"/>
        <v>skill_desc_1303531</v>
      </c>
      <c r="I116" s="11" t="s">
        <v>205</v>
      </c>
      <c r="J116" s="11" t="str">
        <f>IFERROR(_xlfn.XLOOKUP(W116,Target!A:A,Target!J:J),"")</f>
        <v>Skill_Target_Icon_Enemy_Near_One</v>
      </c>
      <c r="K116" s="11" t="s">
        <v>205</v>
      </c>
      <c r="L116" s="11" t="str">
        <f>IFERROR(_xlfn.XLOOKUP(W116,Target!A:A,Target!K:K),"")</f>
        <v>Skill_Area_Icon_Pivot_Centor</v>
      </c>
      <c r="M116" s="11" t="str">
        <f>_xlfn.XLOOKUP(B116,'[2]Detail&lt;Child&gt;'!$B:$B,'[2]Detail&lt;Child&gt;'!$M:$M)</f>
        <v>Light</v>
      </c>
      <c r="N116" s="11" t="str">
        <f>_xlfn.XLOOKUP(B116,'[2]Detail&lt;Child&gt;'!$B:$B,'[2]Detail&lt;Child&gt;'!$N:$N)</f>
        <v>Defender</v>
      </c>
      <c r="O116" s="11" t="s">
        <v>30</v>
      </c>
      <c r="P116" s="34">
        <v>0</v>
      </c>
      <c r="Q116" s="69" t="str" cm="1">
        <f t="array" ref="Q116">_xlfn.IFS(R116="Move","Move",R116="NonTargetMove","Move",R116="Static","Stand",R116="None","Stand")</f>
        <v>Move</v>
      </c>
      <c r="R116" s="11" t="s">
        <v>137</v>
      </c>
      <c r="S116" s="11">
        <v>1</v>
      </c>
      <c r="T116" s="15" t="str">
        <f t="shared" si="14"/>
        <v>SignalHit</v>
      </c>
      <c r="U116" s="15" t="str" cm="1">
        <f t="array" ref="U116">_xlfn.IFS(T116="SignalHIt","TurnEnd",T116="AttackBegin","TurnEnd",T116="AttackEnd","TurnEnd",T116="Immediately","Applied",T116="None","None")</f>
        <v>TurnEnd</v>
      </c>
      <c r="V116" s="15">
        <v>0</v>
      </c>
      <c r="W116" s="11">
        <v>2000011</v>
      </c>
      <c r="X116" s="10">
        <v>13035311</v>
      </c>
      <c r="Y116" s="11" t="str">
        <f t="shared" si="15"/>
        <v>Immediately</v>
      </c>
      <c r="Z116" s="15" t="str" cm="1">
        <f t="array" ref="Z116">_xlfn.IFS(Y116="SignalHIt","TurnEnd",Y116="AttackBegin","TurnEnd",Y116="AttackEnd","TurnEnd",Y116="Immediately","Applied",Y116="None","None")</f>
        <v>Applied</v>
      </c>
      <c r="AA116" s="15">
        <v>0</v>
      </c>
      <c r="AB116" s="11">
        <v>0</v>
      </c>
      <c r="AC116" s="10">
        <v>0</v>
      </c>
      <c r="AD116" s="15" t="str">
        <f t="shared" si="16"/>
        <v>Immediately</v>
      </c>
      <c r="AE116" s="15" t="str" cm="1">
        <f t="array" ref="AE116">_xlfn.IFS(AD116="SignalHIt","TurnEnd",AD116="AttackBegin","TurnEnd",AD116="AttackEnd","TurnEnd",AD116="Immediately","Applied",AD116="None","None")</f>
        <v>Applied</v>
      </c>
      <c r="AF116" s="15">
        <v>0</v>
      </c>
      <c r="AG116" s="11">
        <v>0</v>
      </c>
      <c r="AH116" s="10">
        <v>0</v>
      </c>
      <c r="AI116" s="15" t="str">
        <f t="shared" si="17"/>
        <v>Immediately</v>
      </c>
      <c r="AJ116" s="15" t="str" cm="1">
        <f t="array" ref="AJ116">_xlfn.IFS(AI116="SignalHIt","TurnEnd",AI116="AttackBegin","TurnEnd",AI116="AttackEnd","TurnEnd",AI116="Immediately","Applied",AI116="None","None")</f>
        <v>Applied</v>
      </c>
      <c r="AK116" s="15">
        <v>0</v>
      </c>
      <c r="AL116" s="10">
        <v>0</v>
      </c>
      <c r="AM116" s="50">
        <v>0</v>
      </c>
      <c r="AN116" s="46" t="str">
        <f>IFERROR(_xlfn.XLOOKUP(W116,Target!$A:$A,Target!$B:$B),"None")</f>
        <v xml:space="preserve">가까운 적 1명 </v>
      </c>
      <c r="AO116" s="47" t="str">
        <f>IFERROR(_xlfn.XLOOKUP($X116,'BuffValue&lt;Child&gt;'!$A:$A,'BuffValue&lt;Child&gt;'!$F:$F),"None")</f>
        <v>공용 대미지</v>
      </c>
      <c r="AP116" s="47">
        <f>IFERROR(_xlfn.XLOOKUP($X116,'BuffValue&lt;Child&gt;'!$A:$A,'BuffValue&lt;Child&gt;'!$K:$K),0)</f>
        <v>80000</v>
      </c>
      <c r="AQ116" s="47" t="str">
        <f>IFERROR(_xlfn.XLOOKUP(AB116,Target!$A:$A,Target!$B:$B),"None")</f>
        <v>None</v>
      </c>
      <c r="AR116" s="46" t="str">
        <f>IFERROR(_xlfn.XLOOKUP($AC116,'BuffValue&lt;Child&gt;'!$A:$A,'BuffValue&lt;Child&gt;'!$F:$F),"None")</f>
        <v>None</v>
      </c>
      <c r="AS116" s="46">
        <f>IFERROR(_xlfn.XLOOKUP($AC116,'BuffValue&lt;Child&gt;'!$A:$A,'BuffValue&lt;Child&gt;'!$K:$K),0)</f>
        <v>0</v>
      </c>
      <c r="AT116" s="47" t="str">
        <f>IFERROR(_xlfn.XLOOKUP(AG116,Target!$A:$A,Target!$B:$B),"None")</f>
        <v>None</v>
      </c>
      <c r="AU116" s="47" t="str">
        <f>IFERROR(_xlfn.XLOOKUP($AH116,'BuffValue&lt;Child&gt;'!$A:$A,'BuffValue&lt;Child&gt;'!$F:$F),"None")</f>
        <v>None</v>
      </c>
      <c r="AV116" s="47">
        <f>IFERROR(_xlfn.XLOOKUP($AH116,'BuffValue&lt;Child&gt;'!$A:$A,'BuffValue&lt;Child&gt;'!$K:$K),0)</f>
        <v>0</v>
      </c>
      <c r="AW116" s="47" t="str">
        <f>IFERROR(_xlfn.XLOOKUP(AL116,Target!$A:$A,Target!$B:$B),"None")</f>
        <v>None</v>
      </c>
      <c r="AX116" s="47" t="str">
        <f>IFERROR(_xlfn.XLOOKUP($AM116,'BuffValue&lt;Child&gt;'!$A:$A,'BuffValue&lt;Child&gt;'!$F:$F),"None")</f>
        <v>None</v>
      </c>
      <c r="AY116" s="47">
        <f>IFERROR(_xlfn.XLOOKUP($AM116,#REF!,#REF!),0)</f>
        <v>0</v>
      </c>
    </row>
    <row r="117" spans="1:51" x14ac:dyDescent="0.3">
      <c r="A117" s="1">
        <f>INT(2&amp;MID(_xlfn.XLOOKUP(B117,[2]Timeline!$B:$B,[2]Timeline!$A:$A),2,5)&amp;1)</f>
        <v>2303531</v>
      </c>
      <c r="B117" s="7" t="s">
        <v>74</v>
      </c>
      <c r="C117" s="7" t="s">
        <v>264</v>
      </c>
      <c r="D117" s="7" t="s">
        <v>501</v>
      </c>
      <c r="E117" s="1" t="str">
        <f t="shared" si="20"/>
        <v>skill_name_2303531</v>
      </c>
      <c r="F117" s="1" t="s">
        <v>117</v>
      </c>
      <c r="G117" s="1" t="s">
        <v>434</v>
      </c>
      <c r="H117" s="1" t="str">
        <f t="shared" si="21"/>
        <v>skill_desc_2303531</v>
      </c>
      <c r="I117" s="1" t="s">
        <v>205</v>
      </c>
      <c r="J117" s="1" t="str">
        <f>IFERROR(_xlfn.XLOOKUP(W117,Target!A:A,Target!J:J),"")</f>
        <v>Skill_Target_Icon_Mine</v>
      </c>
      <c r="K117" s="1" t="s">
        <v>205</v>
      </c>
      <c r="L117" s="1" t="str">
        <f>IFERROR(_xlfn.XLOOKUP(W117,Target!A:A,Target!K:K),"")</f>
        <v>Skill_Area_Icon_Pivot_Centor</v>
      </c>
      <c r="M117" s="1" t="str">
        <f>_xlfn.XLOOKUP(B117,'[2]Detail&lt;Child&gt;'!$B:$B,'[2]Detail&lt;Child&gt;'!$M:$M)</f>
        <v>Light</v>
      </c>
      <c r="N117" s="1" t="str">
        <f>_xlfn.XLOOKUP(B117,'[2]Detail&lt;Child&gt;'!$B:$B,'[2]Detail&lt;Child&gt;'!$N:$N)</f>
        <v>Defender</v>
      </c>
      <c r="O117" s="1" t="s">
        <v>33</v>
      </c>
      <c r="P117" s="33">
        <v>3</v>
      </c>
      <c r="Q117" s="68" t="s">
        <v>496</v>
      </c>
      <c r="R117" s="1" t="s">
        <v>493</v>
      </c>
      <c r="S117" s="1">
        <v>0</v>
      </c>
      <c r="T117" s="2" t="str">
        <f t="shared" si="14"/>
        <v>SignalHit</v>
      </c>
      <c r="U117" s="2" t="str" cm="1">
        <f t="array" ref="U117">_xlfn.IFS(T117="SignalHIt","TurnEnd",T117="AttackBegin","TurnEnd",T117="AttackEnd","TurnEnd",T117="Immediately","Applied",T117="None","None")</f>
        <v>TurnEnd</v>
      </c>
      <c r="V117" s="2">
        <v>0</v>
      </c>
      <c r="W117" s="1">
        <v>1</v>
      </c>
      <c r="X117" s="8">
        <v>23035312</v>
      </c>
      <c r="Y117" s="1" t="str">
        <f t="shared" si="15"/>
        <v>Immediately</v>
      </c>
      <c r="Z117" s="2" t="str" cm="1">
        <f t="array" ref="Z117">_xlfn.IFS(Y117="SignalHIt","TurnEnd",Y117="AttackBegin","TurnEnd",Y117="AttackEnd","TurnEnd",Y117="Immediately","Applied",Y117="None","None")</f>
        <v>Applied</v>
      </c>
      <c r="AA117" s="2">
        <v>0</v>
      </c>
      <c r="AB117" s="1">
        <v>0</v>
      </c>
      <c r="AC117" s="8">
        <v>0</v>
      </c>
      <c r="AD117" s="2" t="str">
        <f t="shared" si="16"/>
        <v>Immediately</v>
      </c>
      <c r="AE117" s="2" t="str" cm="1">
        <f t="array" ref="AE117">_xlfn.IFS(AD117="SignalHIt","TurnEnd",AD117="AttackBegin","TurnEnd",AD117="AttackEnd","TurnEnd",AD117="Immediately","Applied",AD117="None","None")</f>
        <v>Applied</v>
      </c>
      <c r="AF117" s="2">
        <v>0</v>
      </c>
      <c r="AG117" s="1">
        <v>0</v>
      </c>
      <c r="AH117" s="8">
        <v>0</v>
      </c>
      <c r="AI117" s="2" t="str">
        <f t="shared" si="17"/>
        <v>Immediately</v>
      </c>
      <c r="AJ117" s="2" t="str" cm="1">
        <f t="array" ref="AJ117">_xlfn.IFS(AI117="SignalHIt","TurnEnd",AI117="AttackBegin","TurnEnd",AI117="AttackEnd","TurnEnd",AI117="Immediately","Applied",AI117="None","None")</f>
        <v>Applied</v>
      </c>
      <c r="AK117" s="2">
        <v>0</v>
      </c>
      <c r="AL117" s="8">
        <v>0</v>
      </c>
      <c r="AM117" s="48">
        <v>0</v>
      </c>
      <c r="AN117" s="45" t="str">
        <f>IFERROR(_xlfn.XLOOKUP(W117,Target!$A:$A,Target!$B:$B),"None")</f>
        <v xml:space="preserve"> 자신 1명 </v>
      </c>
      <c r="AO117" s="43" t="str">
        <f>IFERROR(_xlfn.XLOOKUP($X117,'BuffValue&lt;Child&gt;'!$A:$A,'BuffValue&lt;Child&gt;'!$F:$F),"None")</f>
        <v>샤를 보호막%</v>
      </c>
      <c r="AP117" s="43">
        <f>IFERROR(_xlfn.XLOOKUP($X117,'BuffValue&lt;Child&gt;'!$A:$A,'BuffValue&lt;Child&gt;'!$K:$K),0)</f>
        <v>30000</v>
      </c>
      <c r="AQ117" s="43" t="str">
        <f>IFERROR(_xlfn.XLOOKUP(AB117,Target!$A:$A,Target!$B:$B),"None")</f>
        <v>None</v>
      </c>
      <c r="AR117" s="45" t="str">
        <f>IFERROR(_xlfn.XLOOKUP($AC117,'BuffValue&lt;Child&gt;'!$A:$A,'BuffValue&lt;Child&gt;'!$F:$F),"None")</f>
        <v>None</v>
      </c>
      <c r="AS117" s="45">
        <f>IFERROR(_xlfn.XLOOKUP($AC117,'BuffValue&lt;Child&gt;'!$A:$A,'BuffValue&lt;Child&gt;'!$K:$K),0)</f>
        <v>0</v>
      </c>
      <c r="AT117" s="43" t="str">
        <f>IFERROR(_xlfn.XLOOKUP(AG117,Target!$A:$A,Target!$B:$B),"None")</f>
        <v>None</v>
      </c>
      <c r="AU117" s="43" t="str">
        <f>IFERROR(_xlfn.XLOOKUP($AH117,'BuffValue&lt;Child&gt;'!$A:$A,'BuffValue&lt;Child&gt;'!$F:$F),"None")</f>
        <v>None</v>
      </c>
      <c r="AV117" s="43">
        <f>IFERROR(_xlfn.XLOOKUP($AH117,'BuffValue&lt;Child&gt;'!$A:$A,'BuffValue&lt;Child&gt;'!$K:$K),0)</f>
        <v>0</v>
      </c>
      <c r="AW117" s="43" t="str">
        <f>IFERROR(_xlfn.XLOOKUP(AL117,Target!$A:$A,Target!$B:$B),"None")</f>
        <v>None</v>
      </c>
      <c r="AX117" s="43" t="str">
        <f>IFERROR(_xlfn.XLOOKUP($AM117,'BuffValue&lt;Child&gt;'!$A:$A,'BuffValue&lt;Child&gt;'!$F:$F),"None")</f>
        <v>None</v>
      </c>
      <c r="AY117" s="43">
        <f>IFERROR(_xlfn.XLOOKUP($AM117,#REF!,#REF!),0)</f>
        <v>0</v>
      </c>
    </row>
    <row r="118" spans="1:51" x14ac:dyDescent="0.3">
      <c r="A118" s="1">
        <f>INT(2&amp;MID(_xlfn.XLOOKUP(B118,[2]Timeline!$B:$B,[2]Timeline!$A:$A),2,5)&amp;2)</f>
        <v>2303532</v>
      </c>
      <c r="B118" s="7" t="s">
        <v>74</v>
      </c>
      <c r="C118" s="7" t="s">
        <v>264</v>
      </c>
      <c r="D118" s="7" t="s">
        <v>501</v>
      </c>
      <c r="E118" s="1" t="str">
        <f t="shared" si="20"/>
        <v>skill_name_2303532</v>
      </c>
      <c r="F118" s="1" t="s">
        <v>117</v>
      </c>
      <c r="G118" s="1" t="s">
        <v>434</v>
      </c>
      <c r="H118" s="1" t="str">
        <f t="shared" si="21"/>
        <v>skill_desc_2303532</v>
      </c>
      <c r="I118" s="1" t="s">
        <v>205</v>
      </c>
      <c r="J118" s="1" t="str">
        <f>IFERROR(_xlfn.XLOOKUP(W118,Target!A:A,Target!J:J),"")</f>
        <v>Skill_Target_Icon_Mine</v>
      </c>
      <c r="K118" s="1" t="s">
        <v>205</v>
      </c>
      <c r="L118" s="1" t="str">
        <f>IFERROR(_xlfn.XLOOKUP(W118,Target!A:A,Target!K:K),"")</f>
        <v>Skill_Area_Icon_Pivot_Centor</v>
      </c>
      <c r="M118" s="1" t="str">
        <f>_xlfn.XLOOKUP(B118,'[2]Detail&lt;Child&gt;'!$B:$B,'[2]Detail&lt;Child&gt;'!$M:$M)</f>
        <v>Light</v>
      </c>
      <c r="N118" s="1" t="str">
        <f>_xlfn.XLOOKUP(B118,'[2]Detail&lt;Child&gt;'!$B:$B,'[2]Detail&lt;Child&gt;'!$N:$N)</f>
        <v>Defender</v>
      </c>
      <c r="O118" s="1" t="s">
        <v>33</v>
      </c>
      <c r="P118" s="33">
        <v>2</v>
      </c>
      <c r="Q118" s="68" t="s">
        <v>137</v>
      </c>
      <c r="R118" s="1" t="s">
        <v>136</v>
      </c>
      <c r="S118" s="1">
        <v>0</v>
      </c>
      <c r="T118" s="2" t="str">
        <f t="shared" si="14"/>
        <v>SignalHit</v>
      </c>
      <c r="U118" s="2" t="str" cm="1">
        <f t="array" ref="U118">_xlfn.IFS(T118="SignalHIt","TurnEnd",T118="AttackBegin","TurnEnd",T118="AttackEnd","TurnEnd",T118="Immediately","Applied",T118="None","None")</f>
        <v>TurnEnd</v>
      </c>
      <c r="V118" s="2">
        <v>0</v>
      </c>
      <c r="W118" s="1">
        <v>1</v>
      </c>
      <c r="X118" s="8">
        <v>23035322</v>
      </c>
      <c r="Y118" s="1" t="str">
        <f t="shared" si="15"/>
        <v>Immediately</v>
      </c>
      <c r="Z118" s="2" t="str" cm="1">
        <f t="array" ref="Z118">_xlfn.IFS(Y118="SignalHIt","TurnEnd",Y118="AttackBegin","TurnEnd",Y118="AttackEnd","TurnEnd",Y118="Immediately","Applied",Y118="None","None")</f>
        <v>Applied</v>
      </c>
      <c r="AA118" s="2">
        <v>0</v>
      </c>
      <c r="AB118" s="1">
        <v>0</v>
      </c>
      <c r="AC118" s="8">
        <v>0</v>
      </c>
      <c r="AD118" s="2" t="str">
        <f t="shared" si="16"/>
        <v>Immediately</v>
      </c>
      <c r="AE118" s="2" t="str" cm="1">
        <f t="array" ref="AE118">_xlfn.IFS(AD118="SignalHIt","TurnEnd",AD118="AttackBegin","TurnEnd",AD118="AttackEnd","TurnEnd",AD118="Immediately","Applied",AD118="None","None")</f>
        <v>Applied</v>
      </c>
      <c r="AF118" s="2">
        <v>0</v>
      </c>
      <c r="AG118" s="1">
        <v>0</v>
      </c>
      <c r="AH118" s="8">
        <v>0</v>
      </c>
      <c r="AI118" s="2" t="str">
        <f t="shared" si="17"/>
        <v>Immediately</v>
      </c>
      <c r="AJ118" s="2" t="str" cm="1">
        <f t="array" ref="AJ118">_xlfn.IFS(AI118="SignalHIt","TurnEnd",AI118="AttackBegin","TurnEnd",AI118="AttackEnd","TurnEnd",AI118="Immediately","Applied",AI118="None","None")</f>
        <v>Applied</v>
      </c>
      <c r="AK118" s="2">
        <v>0</v>
      </c>
      <c r="AL118" s="8">
        <v>0</v>
      </c>
      <c r="AM118" s="48">
        <v>0</v>
      </c>
      <c r="AN118" s="45" t="str">
        <f>IFERROR(_xlfn.XLOOKUP(W118,Target!$A:$A,Target!$B:$B),"None")</f>
        <v xml:space="preserve"> 자신 1명 </v>
      </c>
      <c r="AO118" s="43" t="str">
        <f>IFERROR(_xlfn.XLOOKUP($X118,'BuffValue&lt;Child&gt;'!$A:$A,'BuffValue&lt;Child&gt;'!$F:$F),"None")</f>
        <v>샤를 보호막%</v>
      </c>
      <c r="AP118" s="43">
        <f>IFERROR(_xlfn.XLOOKUP($X118,'BuffValue&lt;Child&gt;'!$A:$A,'BuffValue&lt;Child&gt;'!$K:$K),0)</f>
        <v>30000</v>
      </c>
      <c r="AQ118" s="43" t="str">
        <f>IFERROR(_xlfn.XLOOKUP(AB118,Target!$A:$A,Target!$B:$B),"None")</f>
        <v>None</v>
      </c>
      <c r="AR118" s="45" t="str">
        <f>IFERROR(_xlfn.XLOOKUP($AC118,'BuffValue&lt;Child&gt;'!$A:$A,'BuffValue&lt;Child&gt;'!$F:$F),"None")</f>
        <v>None</v>
      </c>
      <c r="AS118" s="45">
        <f>IFERROR(_xlfn.XLOOKUP($AC118,'BuffValue&lt;Child&gt;'!$A:$A,'BuffValue&lt;Child&gt;'!$K:$K),0)</f>
        <v>0</v>
      </c>
      <c r="AT118" s="43" t="str">
        <f>IFERROR(_xlfn.XLOOKUP(AG118,Target!$A:$A,Target!$B:$B),"None")</f>
        <v>None</v>
      </c>
      <c r="AU118" s="43" t="str">
        <f>IFERROR(_xlfn.XLOOKUP($AH118,'BuffValue&lt;Child&gt;'!$A:$A,'BuffValue&lt;Child&gt;'!$F:$F),"None")</f>
        <v>None</v>
      </c>
      <c r="AV118" s="43">
        <f>IFERROR(_xlfn.XLOOKUP($AH118,'BuffValue&lt;Child&gt;'!$A:$A,'BuffValue&lt;Child&gt;'!$K:$K),0)</f>
        <v>0</v>
      </c>
      <c r="AW118" s="43" t="str">
        <f>IFERROR(_xlfn.XLOOKUP(AL118,Target!$A:$A,Target!$B:$B),"None")</f>
        <v>None</v>
      </c>
      <c r="AX118" s="43" t="str">
        <f>IFERROR(_xlfn.XLOOKUP($AM118,'BuffValue&lt;Child&gt;'!$A:$A,'BuffValue&lt;Child&gt;'!$F:$F),"None")</f>
        <v>None</v>
      </c>
      <c r="AY118" s="43">
        <f>IFERROR(_xlfn.XLOOKUP($AM118,#REF!,#REF!),0)</f>
        <v>0</v>
      </c>
    </row>
    <row r="119" spans="1:51" x14ac:dyDescent="0.3">
      <c r="A119" s="1">
        <f>INT(3&amp;MID(_xlfn.XLOOKUP(B119,[2]Timeline!$B:$B,[2]Timeline!$A:$A),2,5)&amp;1)</f>
        <v>3303531</v>
      </c>
      <c r="B119" s="7" t="s">
        <v>74</v>
      </c>
      <c r="C119" s="7" t="s">
        <v>265</v>
      </c>
      <c r="D119" s="7" t="s">
        <v>529</v>
      </c>
      <c r="E119" s="1" t="str">
        <f t="shared" si="20"/>
        <v>skill_name_3303531</v>
      </c>
      <c r="F119" s="1" t="s">
        <v>117</v>
      </c>
      <c r="G119" s="1" t="s">
        <v>484</v>
      </c>
      <c r="H119" s="1" t="str">
        <f t="shared" si="21"/>
        <v>skill_desc_3303531</v>
      </c>
      <c r="I119" s="1" t="s">
        <v>205</v>
      </c>
      <c r="J119" s="1" t="str">
        <f>IFERROR(_xlfn.XLOOKUP(W119,Target!A:A,Target!J:J),"")</f>
        <v>Skill_Target_Icon_Enemy_Near_One</v>
      </c>
      <c r="K119" s="1" t="s">
        <v>205</v>
      </c>
      <c r="L119" s="1" t="str">
        <f>IFERROR(_xlfn.XLOOKUP(W119,Target!A:A,Target!K:K),"")</f>
        <v>Skill_Area_Icon_Pivot_Row</v>
      </c>
      <c r="M119" s="1" t="str">
        <f>_xlfn.XLOOKUP(B119,'[2]Detail&lt;Child&gt;'!$B:$B,'[2]Detail&lt;Child&gt;'!$M:$M)</f>
        <v>Light</v>
      </c>
      <c r="N119" s="1" t="str">
        <f>_xlfn.XLOOKUP(B119,'[2]Detail&lt;Child&gt;'!$B:$B,'[2]Detail&lt;Child&gt;'!$N:$N)</f>
        <v>Defender</v>
      </c>
      <c r="O119" s="1" t="s">
        <v>140</v>
      </c>
      <c r="P119" s="33">
        <v>0</v>
      </c>
      <c r="Q119" s="68" t="str" cm="1">
        <f t="array" ref="Q119">_xlfn.IFS(R119="Move","Move",R119="NonTargetMove","Move",R119="Static","Stand",R119="None","Stand")</f>
        <v>Move</v>
      </c>
      <c r="R119" s="1" t="s">
        <v>137</v>
      </c>
      <c r="S119" s="1">
        <v>2</v>
      </c>
      <c r="T119" s="2" t="str">
        <f t="shared" si="14"/>
        <v>SignalHit</v>
      </c>
      <c r="U119" s="2" t="str" cm="1">
        <f t="array" ref="U119">_xlfn.IFS(T119="SignalHIt","TurnEnd",T119="AttackBegin","TurnEnd",T119="AttackEnd","TurnEnd",T119="Immediately","Applied",T119="None","None")</f>
        <v>TurnEnd</v>
      </c>
      <c r="V119" s="2">
        <v>0</v>
      </c>
      <c r="W119" s="1">
        <v>2000014</v>
      </c>
      <c r="X119" s="8">
        <v>33035311</v>
      </c>
      <c r="Y119" s="1" t="str">
        <f t="shared" si="15"/>
        <v>Immediately</v>
      </c>
      <c r="Z119" s="2" t="str" cm="1">
        <f t="array" ref="Z119">_xlfn.IFS(Y119="SignalHIt","TurnEnd",Y119="AttackBegin","TurnEnd",Y119="AttackEnd","TurnEnd",Y119="Immediately","Applied",Y119="None","None")</f>
        <v>Applied</v>
      </c>
      <c r="AA119" s="2">
        <v>0</v>
      </c>
      <c r="AB119" s="1">
        <v>0</v>
      </c>
      <c r="AC119" s="8">
        <v>0</v>
      </c>
      <c r="AD119" s="2" t="str">
        <f t="shared" si="16"/>
        <v>AttackEnd</v>
      </c>
      <c r="AE119" s="2" t="str" cm="1">
        <f t="array" ref="AE119">_xlfn.IFS(AD119="SignalHIt","TurnEnd",AD119="AttackBegin","TurnEnd",AD119="AttackEnd","TurnEnd",AD119="Immediately","Applied",AD119="None","None")</f>
        <v>TurnEnd</v>
      </c>
      <c r="AF119" s="2">
        <v>0</v>
      </c>
      <c r="AG119" s="1">
        <v>1000000</v>
      </c>
      <c r="AH119" s="8">
        <v>33035312</v>
      </c>
      <c r="AI119" s="2" t="str">
        <f t="shared" si="17"/>
        <v>Immediately</v>
      </c>
      <c r="AJ119" s="2" t="str" cm="1">
        <f t="array" ref="AJ119">_xlfn.IFS(AI119="SignalHIt","TurnEnd",AI119="AttackBegin","TurnEnd",AI119="AttackEnd","TurnEnd",AI119="Immediately","Applied",AI119="None","None")</f>
        <v>Applied</v>
      </c>
      <c r="AK119" s="2">
        <v>0</v>
      </c>
      <c r="AL119" s="8">
        <v>0</v>
      </c>
      <c r="AM119" s="48">
        <v>0</v>
      </c>
      <c r="AN119" s="45" t="str">
        <f>IFERROR(_xlfn.XLOOKUP(W119,Target!$A:$A,Target!$B:$B),"None")</f>
        <v>가까운 적 1명 2행</v>
      </c>
      <c r="AO119" s="43" t="str">
        <f>IFERROR(_xlfn.XLOOKUP($X119,'BuffValue&lt;Child&gt;'!$A:$A,'BuffValue&lt;Child&gt;'!$F:$F),"None")</f>
        <v>얼티밋 대미지</v>
      </c>
      <c r="AP119" s="43">
        <f>IFERROR(_xlfn.XLOOKUP($X119,'BuffValue&lt;Child&gt;'!$A:$A,'BuffValue&lt;Child&gt;'!$K:$K),0)</f>
        <v>200000</v>
      </c>
      <c r="AQ119" s="43" t="str">
        <f>IFERROR(_xlfn.XLOOKUP(AB119,Target!$A:$A,Target!$B:$B),"None")</f>
        <v>None</v>
      </c>
      <c r="AR119" s="45" t="str">
        <f>IFERROR(_xlfn.XLOOKUP($AC119,'BuffValue&lt;Child&gt;'!$A:$A,'BuffValue&lt;Child&gt;'!$F:$F),"None")</f>
        <v>None</v>
      </c>
      <c r="AS119" s="45">
        <f>IFERROR(_xlfn.XLOOKUP($AC119,'BuffValue&lt;Child&gt;'!$A:$A,'BuffValue&lt;Child&gt;'!$K:$K),0)</f>
        <v>0</v>
      </c>
      <c r="AT119" s="43" t="str">
        <f>IFERROR(_xlfn.XLOOKUP(AG119,Target!$A:$A,Target!$B:$B),"None")</f>
        <v>모든 아군</v>
      </c>
      <c r="AU119" s="43" t="str">
        <f>IFERROR(_xlfn.XLOOKUP($AH119,'BuffValue&lt;Child&gt;'!$A:$A,'BuffValue&lt;Child&gt;'!$F:$F),"None")</f>
        <v>샤를 보호막%</v>
      </c>
      <c r="AV119" s="43">
        <f>IFERROR(_xlfn.XLOOKUP($AH119,'BuffValue&lt;Child&gt;'!$A:$A,'BuffValue&lt;Child&gt;'!$K:$K),0)</f>
        <v>35000</v>
      </c>
      <c r="AW119" s="43" t="str">
        <f>IFERROR(_xlfn.XLOOKUP(AL119,Target!$A:$A,Target!$B:$B),"None")</f>
        <v>None</v>
      </c>
      <c r="AX119" s="43" t="str">
        <f>IFERROR(_xlfn.XLOOKUP($AM119,'BuffValue&lt;Child&gt;'!$A:$A,'BuffValue&lt;Child&gt;'!$F:$F),"None")</f>
        <v>None</v>
      </c>
      <c r="AY119" s="43">
        <f>IFERROR(_xlfn.XLOOKUP($AM119,#REF!,#REF!),0)</f>
        <v>0</v>
      </c>
    </row>
    <row r="120" spans="1:51" x14ac:dyDescent="0.3">
      <c r="A120" s="1">
        <f>INT(3&amp;MID(_xlfn.XLOOKUP(B120,[2]Timeline!$B:$B,[2]Timeline!$A:$A),2,5)&amp;2)</f>
        <v>3303532</v>
      </c>
      <c r="B120" s="7" t="s">
        <v>74</v>
      </c>
      <c r="C120" s="7" t="s">
        <v>265</v>
      </c>
      <c r="D120" s="7" t="s">
        <v>529</v>
      </c>
      <c r="E120" s="1" t="str">
        <f t="shared" si="20"/>
        <v>skill_name_3303532</v>
      </c>
      <c r="F120" s="1" t="s">
        <v>117</v>
      </c>
      <c r="G120" s="1" t="s">
        <v>485</v>
      </c>
      <c r="H120" s="1" t="str">
        <f t="shared" si="21"/>
        <v>skill_desc_3303532</v>
      </c>
      <c r="I120" s="1" t="s">
        <v>205</v>
      </c>
      <c r="J120" s="1" t="str">
        <f>IFERROR(_xlfn.XLOOKUP(W120,Target!A:A,Target!J:J),"")</f>
        <v>Skill_Target_Icon_Enemy_Near_One</v>
      </c>
      <c r="K120" s="1" t="s">
        <v>205</v>
      </c>
      <c r="L120" s="1" t="str">
        <f>IFERROR(_xlfn.XLOOKUP(W120,Target!A:A,Target!K:K),"")</f>
        <v>Skill_Area_Icon_Pivot_Row</v>
      </c>
      <c r="M120" s="1" t="str">
        <f>_xlfn.XLOOKUP(B120,'[2]Detail&lt;Child&gt;'!$B:$B,'[2]Detail&lt;Child&gt;'!$M:$M)</f>
        <v>Light</v>
      </c>
      <c r="N120" s="1" t="str">
        <f>_xlfn.XLOOKUP(B120,'[2]Detail&lt;Child&gt;'!$B:$B,'[2]Detail&lt;Child&gt;'!$N:$N)</f>
        <v>Defender</v>
      </c>
      <c r="O120" s="1" t="s">
        <v>140</v>
      </c>
      <c r="P120" s="33">
        <v>0</v>
      </c>
      <c r="Q120" s="68" t="str" cm="1">
        <f t="array" ref="Q120">_xlfn.IFS(R120="Move","Move",R120="NonTargetMove","Move",R120="Static","Stand",R120="None","Stand")</f>
        <v>Move</v>
      </c>
      <c r="R120" s="1" t="s">
        <v>137</v>
      </c>
      <c r="S120" s="1">
        <v>2</v>
      </c>
      <c r="T120" s="2" t="str">
        <f t="shared" si="14"/>
        <v>SignalHit</v>
      </c>
      <c r="U120" s="2" t="str" cm="1">
        <f t="array" ref="U120">_xlfn.IFS(T120="SignalHIt","TurnEnd",T120="AttackBegin","TurnEnd",T120="AttackEnd","TurnEnd",T120="Immediately","Applied",T120="None","None")</f>
        <v>TurnEnd</v>
      </c>
      <c r="V120" s="2">
        <v>0</v>
      </c>
      <c r="W120" s="1">
        <v>2000014</v>
      </c>
      <c r="X120" s="8">
        <v>33035321</v>
      </c>
      <c r="Y120" s="1" t="str">
        <f t="shared" si="15"/>
        <v>Immediately</v>
      </c>
      <c r="Z120" s="2" t="str" cm="1">
        <f t="array" ref="Z120">_xlfn.IFS(Y120="SignalHIt","TurnEnd",Y120="AttackBegin","TurnEnd",Y120="AttackEnd","TurnEnd",Y120="Immediately","Applied",Y120="None","None")</f>
        <v>Applied</v>
      </c>
      <c r="AA120" s="2">
        <v>0</v>
      </c>
      <c r="AB120" s="1">
        <v>0</v>
      </c>
      <c r="AC120" s="8">
        <v>0</v>
      </c>
      <c r="AD120" s="2" t="str">
        <f t="shared" si="16"/>
        <v>AttackEnd</v>
      </c>
      <c r="AE120" s="2" t="str" cm="1">
        <f t="array" ref="AE120">_xlfn.IFS(AD120="SignalHIt","TurnEnd",AD120="AttackBegin","TurnEnd",AD120="AttackEnd","TurnEnd",AD120="Immediately","Applied",AD120="None","None")</f>
        <v>TurnEnd</v>
      </c>
      <c r="AF120" s="2">
        <v>0</v>
      </c>
      <c r="AG120" s="1">
        <v>1000000</v>
      </c>
      <c r="AH120" s="8">
        <v>33035322</v>
      </c>
      <c r="AI120" s="2" t="str">
        <f t="shared" si="17"/>
        <v>Immediately</v>
      </c>
      <c r="AJ120" s="2" t="str" cm="1">
        <f t="array" ref="AJ120">_xlfn.IFS(AI120="SignalHIt","TurnEnd",AI120="AttackBegin","TurnEnd",AI120="AttackEnd","TurnEnd",AI120="Immediately","Applied",AI120="None","None")</f>
        <v>Applied</v>
      </c>
      <c r="AK120" s="2">
        <v>0</v>
      </c>
      <c r="AL120" s="8">
        <v>0</v>
      </c>
      <c r="AM120" s="48">
        <v>0</v>
      </c>
      <c r="AN120" s="45" t="str">
        <f>IFERROR(_xlfn.XLOOKUP(W120,Target!$A:$A,Target!$B:$B),"None")</f>
        <v>가까운 적 1명 2행</v>
      </c>
      <c r="AO120" s="43" t="str">
        <f>IFERROR(_xlfn.XLOOKUP($X120,'BuffValue&lt;Child&gt;'!$A:$A,'BuffValue&lt;Child&gt;'!$F:$F),"None")</f>
        <v>얼티밋 대미지</v>
      </c>
      <c r="AP120" s="43">
        <f>IFERROR(_xlfn.XLOOKUP($X120,'BuffValue&lt;Child&gt;'!$A:$A,'BuffValue&lt;Child&gt;'!$K:$K),0)</f>
        <v>200000</v>
      </c>
      <c r="AQ120" s="43" t="str">
        <f>IFERROR(_xlfn.XLOOKUP(AB120,Target!$A:$A,Target!$B:$B),"None")</f>
        <v>None</v>
      </c>
      <c r="AR120" s="45" t="str">
        <f>IFERROR(_xlfn.XLOOKUP($AC120,'BuffValue&lt;Child&gt;'!$A:$A,'BuffValue&lt;Child&gt;'!$F:$F),"None")</f>
        <v>None</v>
      </c>
      <c r="AS120" s="45">
        <f>IFERROR(_xlfn.XLOOKUP($AC120,'BuffValue&lt;Child&gt;'!$A:$A,'BuffValue&lt;Child&gt;'!$K:$K),0)</f>
        <v>0</v>
      </c>
      <c r="AT120" s="43" t="str">
        <f>IFERROR(_xlfn.XLOOKUP(AG120,Target!$A:$A,Target!$B:$B),"None")</f>
        <v>모든 아군</v>
      </c>
      <c r="AU120" s="43" t="str">
        <f>IFERROR(_xlfn.XLOOKUP($AH120,'BuffValue&lt;Child&gt;'!$A:$A,'BuffValue&lt;Child&gt;'!$F:$F),"None")</f>
        <v>샤를 보호막%</v>
      </c>
      <c r="AV120" s="43">
        <f>IFERROR(_xlfn.XLOOKUP($AH120,'BuffValue&lt;Child&gt;'!$A:$A,'BuffValue&lt;Child&gt;'!$K:$K),0)</f>
        <v>35000</v>
      </c>
      <c r="AW120" s="43" t="str">
        <f>IFERROR(_xlfn.XLOOKUP(AL120,Target!$A:$A,Target!$B:$B),"None")</f>
        <v>None</v>
      </c>
      <c r="AX120" s="43" t="str">
        <f>IFERROR(_xlfn.XLOOKUP($AM120,'BuffValue&lt;Child&gt;'!$A:$A,'BuffValue&lt;Child&gt;'!$F:$F),"None")</f>
        <v>None</v>
      </c>
      <c r="AY120" s="43">
        <f>IFERROR(_xlfn.XLOOKUP($AM120,#REF!,#REF!),0)</f>
        <v>0</v>
      </c>
    </row>
    <row r="121" spans="1:51" x14ac:dyDescent="0.3">
      <c r="A121" s="1">
        <f>INT(3&amp;MID(_xlfn.XLOOKUP(B121,[2]Timeline!$B:$B,[2]Timeline!$A:$A),2,5)&amp;3)</f>
        <v>3303533</v>
      </c>
      <c r="B121" s="7" t="s">
        <v>74</v>
      </c>
      <c r="C121" s="7" t="s">
        <v>265</v>
      </c>
      <c r="D121" s="7" t="s">
        <v>529</v>
      </c>
      <c r="E121" s="1" t="str">
        <f t="shared" si="20"/>
        <v>skill_name_3303533</v>
      </c>
      <c r="F121" s="1" t="s">
        <v>117</v>
      </c>
      <c r="G121" s="1" t="s">
        <v>484</v>
      </c>
      <c r="H121" s="1" t="str">
        <f t="shared" si="21"/>
        <v>skill_desc_3303533</v>
      </c>
      <c r="I121" s="1" t="s">
        <v>205</v>
      </c>
      <c r="J121" s="1" t="str">
        <f>IFERROR(_xlfn.XLOOKUP(W121,Target!A:A,Target!J:J),"")</f>
        <v>Skill_Target_Icon_Enemy_Near_One</v>
      </c>
      <c r="K121" s="1" t="s">
        <v>205</v>
      </c>
      <c r="L121" s="1" t="str">
        <f>IFERROR(_xlfn.XLOOKUP(W121,Target!A:A,Target!K:K),"")</f>
        <v>Skill_Area_Icon_Pivot_Row</v>
      </c>
      <c r="M121" s="1" t="str">
        <f>_xlfn.XLOOKUP(B121,'[2]Detail&lt;Child&gt;'!$B:$B,'[2]Detail&lt;Child&gt;'!$M:$M)</f>
        <v>Light</v>
      </c>
      <c r="N121" s="1" t="str">
        <f>_xlfn.XLOOKUP(B121,'[2]Detail&lt;Child&gt;'!$B:$B,'[2]Detail&lt;Child&gt;'!$N:$N)</f>
        <v>Defender</v>
      </c>
      <c r="O121" s="1" t="s">
        <v>140</v>
      </c>
      <c r="P121" s="33">
        <v>0</v>
      </c>
      <c r="Q121" s="68" t="str" cm="1">
        <f t="array" ref="Q121">_xlfn.IFS(R121="Move","Move",R121="NonTargetMove","Move",R121="Static","Stand",R121="None","Stand")</f>
        <v>Move</v>
      </c>
      <c r="R121" s="1" t="s">
        <v>137</v>
      </c>
      <c r="S121" s="1">
        <v>2</v>
      </c>
      <c r="T121" s="2" t="str">
        <f t="shared" si="14"/>
        <v>SignalHit</v>
      </c>
      <c r="U121" s="2" t="str" cm="1">
        <f t="array" ref="U121">_xlfn.IFS(T121="SignalHIt","TurnEnd",T121="AttackBegin","TurnEnd",T121="AttackEnd","TurnEnd",T121="Immediately","Applied",T121="None","None")</f>
        <v>TurnEnd</v>
      </c>
      <c r="V121" s="2">
        <v>0</v>
      </c>
      <c r="W121" s="1">
        <v>2000014</v>
      </c>
      <c r="X121" s="8">
        <v>33035331</v>
      </c>
      <c r="Y121" s="1" t="str">
        <f t="shared" si="15"/>
        <v>Immediately</v>
      </c>
      <c r="Z121" s="2" t="str" cm="1">
        <f t="array" ref="Z121">_xlfn.IFS(Y121="SignalHIt","TurnEnd",Y121="AttackBegin","TurnEnd",Y121="AttackEnd","TurnEnd",Y121="Immediately","Applied",Y121="None","None")</f>
        <v>Applied</v>
      </c>
      <c r="AA121" s="2">
        <v>0</v>
      </c>
      <c r="AB121" s="1">
        <v>0</v>
      </c>
      <c r="AC121" s="8">
        <v>0</v>
      </c>
      <c r="AD121" s="2" t="str">
        <f t="shared" si="16"/>
        <v>AttackEnd</v>
      </c>
      <c r="AE121" s="2" t="str" cm="1">
        <f t="array" ref="AE121">_xlfn.IFS(AD121="SignalHIt","TurnEnd",AD121="AttackBegin","TurnEnd",AD121="AttackEnd","TurnEnd",AD121="Immediately","Applied",AD121="None","None")</f>
        <v>TurnEnd</v>
      </c>
      <c r="AF121" s="2">
        <v>0</v>
      </c>
      <c r="AG121" s="1">
        <v>1000000</v>
      </c>
      <c r="AH121" s="8">
        <v>33035332</v>
      </c>
      <c r="AI121" s="2" t="str">
        <f t="shared" si="17"/>
        <v>Immediately</v>
      </c>
      <c r="AJ121" s="2" t="str" cm="1">
        <f t="array" ref="AJ121">_xlfn.IFS(AI121="SignalHIt","TurnEnd",AI121="AttackBegin","TurnEnd",AI121="AttackEnd","TurnEnd",AI121="Immediately","Applied",AI121="None","None")</f>
        <v>Applied</v>
      </c>
      <c r="AK121" s="2">
        <v>0</v>
      </c>
      <c r="AL121" s="8">
        <v>0</v>
      </c>
      <c r="AM121" s="48">
        <v>0</v>
      </c>
      <c r="AN121" s="45" t="str">
        <f>IFERROR(_xlfn.XLOOKUP(W121,Target!$A:$A,Target!$B:$B),"None")</f>
        <v>가까운 적 1명 2행</v>
      </c>
      <c r="AO121" s="43" t="str">
        <f>IFERROR(_xlfn.XLOOKUP($X121,'BuffValue&lt;Child&gt;'!$A:$A,'BuffValue&lt;Child&gt;'!$F:$F),"None")</f>
        <v>얼티밋 대미지</v>
      </c>
      <c r="AP121" s="43">
        <f>IFERROR(_xlfn.XLOOKUP($X121,'BuffValue&lt;Child&gt;'!$A:$A,'BuffValue&lt;Child&gt;'!$K:$K),0)</f>
        <v>200000</v>
      </c>
      <c r="AQ121" s="43" t="str">
        <f>IFERROR(_xlfn.XLOOKUP(AB121,Target!$A:$A,Target!$B:$B),"None")</f>
        <v>None</v>
      </c>
      <c r="AR121" s="45" t="str">
        <f>IFERROR(_xlfn.XLOOKUP($AC121,'BuffValue&lt;Child&gt;'!$A:$A,'BuffValue&lt;Child&gt;'!$F:$F),"None")</f>
        <v>None</v>
      </c>
      <c r="AS121" s="45">
        <f>IFERROR(_xlfn.XLOOKUP($AC121,'BuffValue&lt;Child&gt;'!$A:$A,'BuffValue&lt;Child&gt;'!$K:$K),0)</f>
        <v>0</v>
      </c>
      <c r="AT121" s="43" t="str">
        <f>IFERROR(_xlfn.XLOOKUP(AG121,Target!$A:$A,Target!$B:$B),"None")</f>
        <v>모든 아군</v>
      </c>
      <c r="AU121" s="43" t="str">
        <f>IFERROR(_xlfn.XLOOKUP($AH121,'BuffValue&lt;Child&gt;'!$A:$A,'BuffValue&lt;Child&gt;'!$F:$F),"None")</f>
        <v>샤를 보호막%</v>
      </c>
      <c r="AV121" s="43">
        <f>IFERROR(_xlfn.XLOOKUP($AH121,'BuffValue&lt;Child&gt;'!$A:$A,'BuffValue&lt;Child&gt;'!$K:$K),0)</f>
        <v>35000</v>
      </c>
      <c r="AW121" s="43" t="str">
        <f>IFERROR(_xlfn.XLOOKUP(AL121,Target!$A:$A,Target!$B:$B),"None")</f>
        <v>None</v>
      </c>
      <c r="AX121" s="43" t="str">
        <f>IFERROR(_xlfn.XLOOKUP($AM121,'BuffValue&lt;Child&gt;'!$A:$A,'BuffValue&lt;Child&gt;'!$F:$F),"None")</f>
        <v>None</v>
      </c>
      <c r="AY121" s="43">
        <f>IFERROR(_xlfn.XLOOKUP($AM121,#REF!,#REF!),0)</f>
        <v>0</v>
      </c>
    </row>
    <row r="122" spans="1:51" x14ac:dyDescent="0.3">
      <c r="A122" s="1">
        <f>INT(4&amp;MID(_xlfn.XLOOKUP(B122,[2]Timeline!$B:$B,[2]Timeline!$A:$A),2,5)&amp;1)</f>
        <v>4303531</v>
      </c>
      <c r="B122" s="7" t="s">
        <v>74</v>
      </c>
      <c r="C122" s="7" t="s">
        <v>122</v>
      </c>
      <c r="D122" s="7" t="s">
        <v>553</v>
      </c>
      <c r="E122" s="1" t="str">
        <f t="shared" si="20"/>
        <v>skill_name_4303531</v>
      </c>
      <c r="F122" s="1" t="s">
        <v>117</v>
      </c>
      <c r="G122" s="1" t="s">
        <v>436</v>
      </c>
      <c r="H122" s="1" t="str">
        <f t="shared" si="21"/>
        <v>skill_desc_4303531</v>
      </c>
      <c r="I122" s="1" t="s">
        <v>205</v>
      </c>
      <c r="J122" s="1" t="str">
        <f>IFERROR(_xlfn.XLOOKUP(W122,Target!A:A,Target!J:J),"")</f>
        <v>Skill_Target_Icon_Ally</v>
      </c>
      <c r="K122" s="1" t="s">
        <v>205</v>
      </c>
      <c r="L122" s="1" t="str">
        <f>IFERROR(_xlfn.XLOOKUP(W122,Target!A:A,Target!K:K),"")</f>
        <v>Skill_Area_Icon_Pivot_Centor</v>
      </c>
      <c r="M122" s="1" t="str">
        <f>_xlfn.XLOOKUP(B122,'[2]Detail&lt;Child&gt;'!$B:$B,'[2]Detail&lt;Child&gt;'!$M:$M)</f>
        <v>Light</v>
      </c>
      <c r="N122" s="1" t="str">
        <f>_xlfn.XLOOKUP(B122,'[2]Detail&lt;Child&gt;'!$B:$B,'[2]Detail&lt;Child&gt;'!$N:$N)</f>
        <v>Defender</v>
      </c>
      <c r="O122" s="1" t="s">
        <v>167</v>
      </c>
      <c r="P122" s="33">
        <v>0</v>
      </c>
      <c r="Q122" s="68" t="str" cm="1">
        <f t="array" ref="Q122">_xlfn.IFS(R122="Move","Move",R122="NonTargetMove","Move",R122="Static","Stand",R122="None","Stand")</f>
        <v>Stand</v>
      </c>
      <c r="R122" s="1" t="s">
        <v>136</v>
      </c>
      <c r="S122" s="1">
        <f t="shared" ref="S122:S131" si="23">IF(R122="Static",0,1)</f>
        <v>0</v>
      </c>
      <c r="T122" s="2" t="str">
        <f t="shared" si="14"/>
        <v>Immediately</v>
      </c>
      <c r="U122" s="2" t="str" cm="1">
        <f t="array" ref="U122">_xlfn.IFS(T122="SignalHIt","TurnEnd",T122="AttackBegin","TurnEnd",T122="AttackEnd","TurnEnd",T122="Immediately","Applied",T122="None","None")</f>
        <v>Applied</v>
      </c>
      <c r="V122" s="2">
        <v>0</v>
      </c>
      <c r="W122" s="1">
        <v>1000000</v>
      </c>
      <c r="X122" s="8">
        <v>43035311</v>
      </c>
      <c r="Y122" s="1" t="str">
        <f t="shared" si="15"/>
        <v>Immediately</v>
      </c>
      <c r="Z122" s="2" t="str" cm="1">
        <f t="array" ref="Z122">_xlfn.IFS(Y122="SignalHIt","TurnEnd",Y122="AttackBegin","TurnEnd",Y122="AttackEnd","TurnEnd",Y122="Immediately","Applied",Y122="None","None")</f>
        <v>Applied</v>
      </c>
      <c r="AA122" s="2">
        <v>0</v>
      </c>
      <c r="AB122" s="1">
        <v>0</v>
      </c>
      <c r="AC122" s="8">
        <v>0</v>
      </c>
      <c r="AD122" s="2" t="str">
        <f t="shared" si="16"/>
        <v>Immediately</v>
      </c>
      <c r="AE122" s="2" t="str" cm="1">
        <f t="array" ref="AE122">_xlfn.IFS(AD122="SignalHIt","TurnEnd",AD122="AttackBegin","TurnEnd",AD122="AttackEnd","TurnEnd",AD122="Immediately","Applied",AD122="None","None")</f>
        <v>Applied</v>
      </c>
      <c r="AF122" s="2">
        <v>0</v>
      </c>
      <c r="AG122" s="1">
        <v>0</v>
      </c>
      <c r="AH122" s="8">
        <v>0</v>
      </c>
      <c r="AI122" s="2" t="str">
        <f t="shared" si="17"/>
        <v>Immediately</v>
      </c>
      <c r="AJ122" s="2" t="str" cm="1">
        <f t="array" ref="AJ122">_xlfn.IFS(AI122="SignalHIt","TurnEnd",AI122="AttackBegin","TurnEnd",AI122="AttackEnd","TurnEnd",AI122="Immediately","Applied",AI122="None","None")</f>
        <v>Applied</v>
      </c>
      <c r="AK122" s="2">
        <v>0</v>
      </c>
      <c r="AL122" s="8">
        <v>0</v>
      </c>
      <c r="AM122" s="48">
        <v>0</v>
      </c>
      <c r="AN122" s="45" t="str">
        <f>IFERROR(_xlfn.XLOOKUP(W122,Target!$A:$A,Target!$B:$B),"None")</f>
        <v>모든 아군</v>
      </c>
      <c r="AO122" s="43" t="str">
        <f>IFERROR(_xlfn.XLOOKUP($X122,'BuffValue&lt;Child&gt;'!$A:$A,'BuffValue&lt;Child&gt;'!$F:$F),"None")</f>
        <v>샤를 받는 회복량 증가</v>
      </c>
      <c r="AP122" s="43">
        <f>IFERROR(_xlfn.XLOOKUP($X122,'BuffValue&lt;Child&gt;'!$A:$A,'BuffValue&lt;Child&gt;'!$K:$K),0)</f>
        <v>30000</v>
      </c>
      <c r="AQ122" s="43" t="str">
        <f>IFERROR(_xlfn.XLOOKUP(AB122,Target!$A:$A,Target!$B:$B),"None")</f>
        <v>None</v>
      </c>
      <c r="AR122" s="45" t="str">
        <f>IFERROR(_xlfn.XLOOKUP($AC122,'BuffValue&lt;Child&gt;'!$A:$A,'BuffValue&lt;Child&gt;'!$F:$F),"None")</f>
        <v>None</v>
      </c>
      <c r="AS122" s="45">
        <f>IFERROR(_xlfn.XLOOKUP($AC122,'BuffValue&lt;Child&gt;'!$A:$A,'BuffValue&lt;Child&gt;'!$K:$K),0)</f>
        <v>0</v>
      </c>
      <c r="AT122" s="43" t="str">
        <f>IFERROR(_xlfn.XLOOKUP(AG122,Target!$A:$A,Target!$B:$B),"None")</f>
        <v>None</v>
      </c>
      <c r="AU122" s="43" t="str">
        <f>IFERROR(_xlfn.XLOOKUP($AH122,'BuffValue&lt;Child&gt;'!$A:$A,'BuffValue&lt;Child&gt;'!$F:$F),"None")</f>
        <v>None</v>
      </c>
      <c r="AV122" s="43">
        <f>IFERROR(_xlfn.XLOOKUP($AH122,'BuffValue&lt;Child&gt;'!$A:$A,'BuffValue&lt;Child&gt;'!$K:$K),0)</f>
        <v>0</v>
      </c>
      <c r="AW122" s="43" t="str">
        <f>IFERROR(_xlfn.XLOOKUP(AL122,Target!$A:$A,Target!$B:$B),"None")</f>
        <v>None</v>
      </c>
      <c r="AX122" s="43" t="str">
        <f>IFERROR(_xlfn.XLOOKUP($AM122,'BuffValue&lt;Child&gt;'!$A:$A,'BuffValue&lt;Child&gt;'!$F:$F),"None")</f>
        <v>None</v>
      </c>
      <c r="AY122" s="43">
        <f>IFERROR(_xlfn.XLOOKUP($AM122,#REF!,#REF!),0)</f>
        <v>0</v>
      </c>
    </row>
    <row r="123" spans="1:51" x14ac:dyDescent="0.3">
      <c r="A123" s="1">
        <f>INT(4&amp;MID(_xlfn.XLOOKUP(B123,[2]Timeline!$B:$B,[2]Timeline!$A:$A),2,5)&amp;2)</f>
        <v>4303532</v>
      </c>
      <c r="B123" s="7" t="s">
        <v>74</v>
      </c>
      <c r="C123" s="7" t="s">
        <v>122</v>
      </c>
      <c r="D123" s="7" t="s">
        <v>553</v>
      </c>
      <c r="E123" s="1" t="str">
        <f t="shared" si="20"/>
        <v>skill_name_4303532</v>
      </c>
      <c r="F123" s="1" t="s">
        <v>117</v>
      </c>
      <c r="G123" s="1" t="s">
        <v>436</v>
      </c>
      <c r="H123" s="1" t="str">
        <f t="shared" si="21"/>
        <v>skill_desc_4303532</v>
      </c>
      <c r="I123" s="1" t="s">
        <v>205</v>
      </c>
      <c r="J123" s="1" t="str">
        <f>IFERROR(_xlfn.XLOOKUP(W123,Target!A:A,Target!J:J),"")</f>
        <v>Skill_Target_Icon_Ally</v>
      </c>
      <c r="K123" s="1" t="s">
        <v>205</v>
      </c>
      <c r="L123" s="1" t="str">
        <f>IFERROR(_xlfn.XLOOKUP(W123,Target!A:A,Target!K:K),"")</f>
        <v>Skill_Area_Icon_Pivot_Centor</v>
      </c>
      <c r="M123" s="1" t="str">
        <f>_xlfn.XLOOKUP(B123,'[2]Detail&lt;Child&gt;'!$B:$B,'[2]Detail&lt;Child&gt;'!$M:$M)</f>
        <v>Light</v>
      </c>
      <c r="N123" s="1" t="str">
        <f>_xlfn.XLOOKUP(B123,'[2]Detail&lt;Child&gt;'!$B:$B,'[2]Detail&lt;Child&gt;'!$N:$N)</f>
        <v>Defender</v>
      </c>
      <c r="O123" s="1" t="s">
        <v>167</v>
      </c>
      <c r="P123" s="33">
        <v>0</v>
      </c>
      <c r="Q123" s="68" t="str" cm="1">
        <f t="array" ref="Q123">_xlfn.IFS(R123="Move","Move",R123="NonTargetMove","Move",R123="Static","Stand",R123="None","Stand")</f>
        <v>Stand</v>
      </c>
      <c r="R123" s="1" t="s">
        <v>136</v>
      </c>
      <c r="S123" s="1">
        <f t="shared" si="23"/>
        <v>0</v>
      </c>
      <c r="T123" s="2" t="str">
        <f t="shared" si="14"/>
        <v>Immediately</v>
      </c>
      <c r="U123" s="2" t="str" cm="1">
        <f t="array" ref="U123">_xlfn.IFS(T123="SignalHIt","TurnEnd",T123="AttackBegin","TurnEnd",T123="AttackEnd","TurnEnd",T123="Immediately","Applied",T123="None","None")</f>
        <v>Applied</v>
      </c>
      <c r="V123" s="2">
        <v>0</v>
      </c>
      <c r="W123" s="1">
        <v>1000000</v>
      </c>
      <c r="X123" s="8">
        <v>43035321</v>
      </c>
      <c r="Y123" s="1" t="str">
        <f t="shared" si="15"/>
        <v>Immediately</v>
      </c>
      <c r="Z123" s="2" t="str" cm="1">
        <f t="array" ref="Z123">_xlfn.IFS(Y123="SignalHIt","TurnEnd",Y123="AttackBegin","TurnEnd",Y123="AttackEnd","TurnEnd",Y123="Immediately","Applied",Y123="None","None")</f>
        <v>Applied</v>
      </c>
      <c r="AA123" s="2">
        <v>0</v>
      </c>
      <c r="AB123" s="1">
        <v>0</v>
      </c>
      <c r="AC123" s="8">
        <v>0</v>
      </c>
      <c r="AD123" s="2" t="str">
        <f t="shared" si="16"/>
        <v>Immediately</v>
      </c>
      <c r="AE123" s="2" t="str" cm="1">
        <f t="array" ref="AE123">_xlfn.IFS(AD123="SignalHIt","TurnEnd",AD123="AttackBegin","TurnEnd",AD123="AttackEnd","TurnEnd",AD123="Immediately","Applied",AD123="None","None")</f>
        <v>Applied</v>
      </c>
      <c r="AF123" s="2">
        <v>0</v>
      </c>
      <c r="AG123" s="1">
        <v>0</v>
      </c>
      <c r="AH123" s="8">
        <v>0</v>
      </c>
      <c r="AI123" s="2" t="str">
        <f t="shared" si="17"/>
        <v>Immediately</v>
      </c>
      <c r="AJ123" s="2" t="str" cm="1">
        <f t="array" ref="AJ123">_xlfn.IFS(AI123="SignalHIt","TurnEnd",AI123="AttackBegin","TurnEnd",AI123="AttackEnd","TurnEnd",AI123="Immediately","Applied",AI123="None","None")</f>
        <v>Applied</v>
      </c>
      <c r="AK123" s="2">
        <v>0</v>
      </c>
      <c r="AL123" s="8">
        <v>0</v>
      </c>
      <c r="AM123" s="48">
        <v>0</v>
      </c>
      <c r="AN123" s="45" t="str">
        <f>IFERROR(_xlfn.XLOOKUP(W123,Target!$A:$A,Target!$B:$B),"None")</f>
        <v>모든 아군</v>
      </c>
      <c r="AO123" s="43" t="str">
        <f>IFERROR(_xlfn.XLOOKUP($X123,'BuffValue&lt;Child&gt;'!$A:$A,'BuffValue&lt;Child&gt;'!$F:$F),"None")</f>
        <v>샤를 받는 회복량 증가</v>
      </c>
      <c r="AP123" s="43">
        <f>IFERROR(_xlfn.XLOOKUP($X123,'BuffValue&lt;Child&gt;'!$A:$A,'BuffValue&lt;Child&gt;'!$K:$K),0)</f>
        <v>30000</v>
      </c>
      <c r="AQ123" s="43" t="str">
        <f>IFERROR(_xlfn.XLOOKUP(AB123,Target!$A:$A,Target!$B:$B),"None")</f>
        <v>None</v>
      </c>
      <c r="AR123" s="45" t="str">
        <f>IFERROR(_xlfn.XLOOKUP($AC123,'BuffValue&lt;Child&gt;'!$A:$A,'BuffValue&lt;Child&gt;'!$F:$F),"None")</f>
        <v>None</v>
      </c>
      <c r="AS123" s="45">
        <f>IFERROR(_xlfn.XLOOKUP($AC123,'BuffValue&lt;Child&gt;'!$A:$A,'BuffValue&lt;Child&gt;'!$K:$K),0)</f>
        <v>0</v>
      </c>
      <c r="AT123" s="43" t="str">
        <f>IFERROR(_xlfn.XLOOKUP(AG123,Target!$A:$A,Target!$B:$B),"None")</f>
        <v>None</v>
      </c>
      <c r="AU123" s="43" t="str">
        <f>IFERROR(_xlfn.XLOOKUP($AH123,'BuffValue&lt;Child&gt;'!$A:$A,'BuffValue&lt;Child&gt;'!$F:$F),"None")</f>
        <v>None</v>
      </c>
      <c r="AV123" s="43">
        <f>IFERROR(_xlfn.XLOOKUP($AH123,'BuffValue&lt;Child&gt;'!$A:$A,'BuffValue&lt;Child&gt;'!$K:$K),0)</f>
        <v>0</v>
      </c>
      <c r="AW123" s="43" t="str">
        <f>IFERROR(_xlfn.XLOOKUP(AL123,Target!$A:$A,Target!$B:$B),"None")</f>
        <v>None</v>
      </c>
      <c r="AX123" s="43" t="str">
        <f>IFERROR(_xlfn.XLOOKUP($AM123,'BuffValue&lt;Child&gt;'!$A:$A,'BuffValue&lt;Child&gt;'!$F:$F),"None")</f>
        <v>None</v>
      </c>
      <c r="AY123" s="43">
        <f>IFERROR(_xlfn.XLOOKUP($AM123,#REF!,#REF!),0)</f>
        <v>0</v>
      </c>
    </row>
    <row r="124" spans="1:51" s="11" customFormat="1" x14ac:dyDescent="0.3">
      <c r="A124" s="11">
        <f>INT(1&amp;MID(_xlfn.XLOOKUP(B124,[2]Timeline!$B:$B,[2]Timeline!$A:$A),2,5)&amp;1)</f>
        <v>1303641</v>
      </c>
      <c r="B124" s="12" t="s">
        <v>113</v>
      </c>
      <c r="C124" s="12" t="s">
        <v>266</v>
      </c>
      <c r="D124" s="12" t="s">
        <v>341</v>
      </c>
      <c r="E124" s="11" t="str">
        <f t="shared" si="20"/>
        <v>skill_name_1303641</v>
      </c>
      <c r="F124" s="11" t="s">
        <v>117</v>
      </c>
      <c r="G124" s="11" t="s">
        <v>477</v>
      </c>
      <c r="H124" s="11" t="str">
        <f t="shared" si="21"/>
        <v>skill_desc_1303641</v>
      </c>
      <c r="I124" s="11" t="s">
        <v>205</v>
      </c>
      <c r="J124" s="11" t="str">
        <f>IFERROR(_xlfn.XLOOKUP(W124,Target!A:A,Target!J:J),"")</f>
        <v>Skill_Target_Icon_Enemy_Near_One</v>
      </c>
      <c r="K124" s="11" t="s">
        <v>205</v>
      </c>
      <c r="L124" s="11" t="str">
        <f>IFERROR(_xlfn.XLOOKUP(W124,Target!A:A,Target!K:K),"")</f>
        <v>Skill_Area_Icon_Pivot_Centor</v>
      </c>
      <c r="M124" s="11" t="str">
        <f>_xlfn.XLOOKUP(B124,'[2]Detail&lt;Child&gt;'!$B:$B,'[2]Detail&lt;Child&gt;'!$M:$M)</f>
        <v>Light</v>
      </c>
      <c r="N124" s="11" t="str">
        <f>_xlfn.XLOOKUP(B124,'[2]Detail&lt;Child&gt;'!$B:$B,'[2]Detail&lt;Child&gt;'!$N:$N)</f>
        <v>Supporter</v>
      </c>
      <c r="O124" s="11" t="s">
        <v>30</v>
      </c>
      <c r="P124" s="34">
        <v>0</v>
      </c>
      <c r="Q124" s="69" t="str" cm="1">
        <f t="array" ref="Q124">_xlfn.IFS(R124="Move","Move",R124="NonTargetMove","Move",R124="Static","Stand",R124="None","Stand")</f>
        <v>Stand</v>
      </c>
      <c r="R124" s="11" t="s">
        <v>136</v>
      </c>
      <c r="S124" s="11">
        <f t="shared" si="23"/>
        <v>0</v>
      </c>
      <c r="T124" s="15" t="str">
        <f t="shared" si="14"/>
        <v>SignalHit</v>
      </c>
      <c r="U124" s="15" t="str" cm="1">
        <f t="array" ref="U124">_xlfn.IFS(T124="SignalHIt","TurnEnd",T124="AttackBegin","TurnEnd",T124="AttackEnd","TurnEnd",T124="Immediately","Applied",T124="None","None")</f>
        <v>TurnEnd</v>
      </c>
      <c r="V124" s="15">
        <v>0</v>
      </c>
      <c r="W124" s="11">
        <v>2000011</v>
      </c>
      <c r="X124" s="10">
        <v>13036411</v>
      </c>
      <c r="Y124" s="11" t="str">
        <f t="shared" si="15"/>
        <v>Immediately</v>
      </c>
      <c r="Z124" s="15" t="str" cm="1">
        <f t="array" ref="Z124">_xlfn.IFS(Y124="SignalHIt","TurnEnd",Y124="AttackBegin","TurnEnd",Y124="AttackEnd","TurnEnd",Y124="Immediately","Applied",Y124="None","None")</f>
        <v>Applied</v>
      </c>
      <c r="AA124" s="15">
        <v>0</v>
      </c>
      <c r="AB124" s="11">
        <v>0</v>
      </c>
      <c r="AC124" s="10">
        <v>0</v>
      </c>
      <c r="AD124" s="15" t="str">
        <f t="shared" si="16"/>
        <v>Immediately</v>
      </c>
      <c r="AE124" s="15" t="str" cm="1">
        <f t="array" ref="AE124">_xlfn.IFS(AD124="SignalHIt","TurnEnd",AD124="AttackBegin","TurnEnd",AD124="AttackEnd","TurnEnd",AD124="Immediately","Applied",AD124="None","None")</f>
        <v>Applied</v>
      </c>
      <c r="AF124" s="15">
        <v>0</v>
      </c>
      <c r="AG124" s="11">
        <v>0</v>
      </c>
      <c r="AH124" s="10">
        <v>0</v>
      </c>
      <c r="AI124" s="15" t="str">
        <f t="shared" si="17"/>
        <v>Immediately</v>
      </c>
      <c r="AJ124" s="15" t="str" cm="1">
        <f t="array" ref="AJ124">_xlfn.IFS(AI124="SignalHIt","TurnEnd",AI124="AttackBegin","TurnEnd",AI124="AttackEnd","TurnEnd",AI124="Immediately","Applied",AI124="None","None")</f>
        <v>Applied</v>
      </c>
      <c r="AK124" s="15">
        <v>0</v>
      </c>
      <c r="AL124" s="10">
        <v>0</v>
      </c>
      <c r="AM124" s="50">
        <v>0</v>
      </c>
      <c r="AN124" s="46" t="str">
        <f>IFERROR(_xlfn.XLOOKUP(W124,Target!$A:$A,Target!$B:$B),"None")</f>
        <v xml:space="preserve">가까운 적 1명 </v>
      </c>
      <c r="AO124" s="47" t="str">
        <f>IFERROR(_xlfn.XLOOKUP($X124,'BuffValue&lt;Child&gt;'!$A:$A,'BuffValue&lt;Child&gt;'!$F:$F),"None")</f>
        <v>공용 대미지</v>
      </c>
      <c r="AP124" s="47">
        <f>IFERROR(_xlfn.XLOOKUP($X124,'BuffValue&lt;Child&gt;'!$A:$A,'BuffValue&lt;Child&gt;'!$K:$K),0)</f>
        <v>285000</v>
      </c>
      <c r="AQ124" s="47" t="str">
        <f>IFERROR(_xlfn.XLOOKUP(AB124,Target!$A:$A,Target!$B:$B),"None")</f>
        <v>None</v>
      </c>
      <c r="AR124" s="46" t="str">
        <f>IFERROR(_xlfn.XLOOKUP($AC124,'BuffValue&lt;Child&gt;'!$A:$A,'BuffValue&lt;Child&gt;'!$F:$F),"None")</f>
        <v>None</v>
      </c>
      <c r="AS124" s="46">
        <f>IFERROR(_xlfn.XLOOKUP($AC124,'BuffValue&lt;Child&gt;'!$A:$A,'BuffValue&lt;Child&gt;'!$K:$K),0)</f>
        <v>0</v>
      </c>
      <c r="AT124" s="47" t="str">
        <f>IFERROR(_xlfn.XLOOKUP(AG124,Target!$A:$A,Target!$B:$B),"None")</f>
        <v>None</v>
      </c>
      <c r="AU124" s="47" t="str">
        <f>IFERROR(_xlfn.XLOOKUP($AH124,'BuffValue&lt;Child&gt;'!$A:$A,'BuffValue&lt;Child&gt;'!$F:$F),"None")</f>
        <v>None</v>
      </c>
      <c r="AV124" s="47">
        <f>IFERROR(_xlfn.XLOOKUP($AH124,'BuffValue&lt;Child&gt;'!$A:$A,'BuffValue&lt;Child&gt;'!$K:$K),0)</f>
        <v>0</v>
      </c>
      <c r="AW124" s="47" t="str">
        <f>IFERROR(_xlfn.XLOOKUP(AL124,Target!$A:$A,Target!$B:$B),"None")</f>
        <v>None</v>
      </c>
      <c r="AX124" s="47" t="str">
        <f>IFERROR(_xlfn.XLOOKUP($AM124,'BuffValue&lt;Child&gt;'!$A:$A,'BuffValue&lt;Child&gt;'!$F:$F),"None")</f>
        <v>None</v>
      </c>
      <c r="AY124" s="47">
        <f>IFERROR(_xlfn.XLOOKUP($AM124,#REF!,#REF!),0)</f>
        <v>0</v>
      </c>
    </row>
    <row r="125" spans="1:51" s="52" customFormat="1" x14ac:dyDescent="0.3">
      <c r="A125" s="1">
        <f>INT(2&amp;MID(_xlfn.XLOOKUP(B125,[2]Timeline!$B:$B,[2]Timeline!$A:$A),2,5)&amp;1)</f>
        <v>2303641</v>
      </c>
      <c r="B125" s="53" t="s">
        <v>112</v>
      </c>
      <c r="C125" s="53" t="s">
        <v>267</v>
      </c>
      <c r="D125" s="53" t="s">
        <v>520</v>
      </c>
      <c r="E125" s="52" t="str">
        <f t="shared" si="20"/>
        <v>skill_name_2303641</v>
      </c>
      <c r="F125" s="52" t="s">
        <v>117</v>
      </c>
      <c r="G125" s="52" t="s">
        <v>476</v>
      </c>
      <c r="H125" s="52" t="str">
        <f t="shared" si="21"/>
        <v>skill_desc_2303641</v>
      </c>
      <c r="I125" s="52" t="s">
        <v>205</v>
      </c>
      <c r="J125" s="52" t="str">
        <f>IFERROR(_xlfn.XLOOKUP(W125,Target!A:A,Target!J:J),"")</f>
        <v>Skill_Target_Icon_Ally</v>
      </c>
      <c r="K125" s="52" t="s">
        <v>205</v>
      </c>
      <c r="L125" s="52" t="str">
        <f>IFERROR(_xlfn.XLOOKUP(W125,Target!A:A,Target!K:K),"")</f>
        <v>Skill_Area_Icon_Pivot_Centor</v>
      </c>
      <c r="M125" s="52" t="str">
        <f>_xlfn.XLOOKUP(B125,'[2]Detail&lt;Child&gt;'!$B:$B,'[2]Detail&lt;Child&gt;'!$M:$M)</f>
        <v>Light</v>
      </c>
      <c r="N125" s="52" t="str">
        <f>_xlfn.XLOOKUP(B125,'[2]Detail&lt;Child&gt;'!$B:$B,'[2]Detail&lt;Child&gt;'!$N:$N)</f>
        <v>Supporter</v>
      </c>
      <c r="O125" s="52" t="s">
        <v>33</v>
      </c>
      <c r="P125" s="71">
        <v>3</v>
      </c>
      <c r="Q125" s="72" t="s">
        <v>496</v>
      </c>
      <c r="R125" s="52" t="s">
        <v>136</v>
      </c>
      <c r="S125" s="52">
        <f t="shared" si="23"/>
        <v>0</v>
      </c>
      <c r="T125" s="52" t="str">
        <f t="shared" si="14"/>
        <v>SignalHit</v>
      </c>
      <c r="U125" s="52" t="str" cm="1">
        <f t="array" ref="U125">_xlfn.IFS(T125="SignalHIt","TurnEnd",T125="AttackBegin","TurnEnd",T125="AttackEnd","TurnEnd",T125="Immediately","Applied",T125="None","None")</f>
        <v>TurnEnd</v>
      </c>
      <c r="V125" s="52">
        <v>0</v>
      </c>
      <c r="W125" s="52">
        <v>1000000</v>
      </c>
      <c r="X125" s="73">
        <v>23036411</v>
      </c>
      <c r="Y125" s="52" t="str">
        <f t="shared" si="15"/>
        <v>Immediately</v>
      </c>
      <c r="Z125" s="52" t="str" cm="1">
        <f t="array" ref="Z125">_xlfn.IFS(Y125="SignalHIt","TurnEnd",Y125="AttackBegin","TurnEnd",Y125="AttackEnd","TurnEnd",Y125="Immediately","Applied",Y125="None","None")</f>
        <v>Applied</v>
      </c>
      <c r="AA125" s="52">
        <v>0</v>
      </c>
      <c r="AB125" s="52">
        <v>0</v>
      </c>
      <c r="AC125" s="73">
        <v>0</v>
      </c>
      <c r="AD125" s="52" t="str">
        <f t="shared" si="16"/>
        <v>Immediately</v>
      </c>
      <c r="AE125" s="52" t="str" cm="1">
        <f t="array" ref="AE125">_xlfn.IFS(AD125="SignalHIt","TurnEnd",AD125="AttackBegin","TurnEnd",AD125="AttackEnd","TurnEnd",AD125="Immediately","Applied",AD125="None","None")</f>
        <v>Applied</v>
      </c>
      <c r="AF125" s="52">
        <v>0</v>
      </c>
      <c r="AG125" s="52">
        <v>0</v>
      </c>
      <c r="AH125" s="73">
        <v>0</v>
      </c>
      <c r="AI125" s="52" t="str">
        <f t="shared" si="17"/>
        <v>Immediately</v>
      </c>
      <c r="AJ125" s="52" t="str" cm="1">
        <f t="array" ref="AJ125">_xlfn.IFS(AI125="SignalHIt","TurnEnd",AI125="AttackBegin","TurnEnd",AI125="AttackEnd","TurnEnd",AI125="Immediately","Applied",AI125="None","None")</f>
        <v>Applied</v>
      </c>
      <c r="AK125" s="52">
        <v>0</v>
      </c>
      <c r="AL125" s="73">
        <v>0</v>
      </c>
      <c r="AM125" s="74">
        <v>0</v>
      </c>
      <c r="AN125" s="51" t="str">
        <f>IFERROR(_xlfn.XLOOKUP(W125,Target!$A:$A,Target!$B:$B),"None")</f>
        <v>모든 아군</v>
      </c>
      <c r="AO125" s="51" t="str">
        <f>IFERROR(_xlfn.XLOOKUP($X125,'BuffValue&lt;Child&gt;'!$A:$A,'BuffValue&lt;Child&gt;'!$F:$F),"None")</f>
        <v>시트리 방어력 증가</v>
      </c>
      <c r="AP125" s="51">
        <f>IFERROR(_xlfn.XLOOKUP($X125,'BuffValue&lt;Child&gt;'!$A:$A,'BuffValue&lt;Child&gt;'!$K:$K),0)</f>
        <v>20000</v>
      </c>
      <c r="AQ125" s="51" t="str">
        <f>IFERROR(_xlfn.XLOOKUP(AB125,Target!$A:$A,Target!$B:$B),"None")</f>
        <v>None</v>
      </c>
      <c r="AR125" s="51" t="str">
        <f>IFERROR(_xlfn.XLOOKUP($AC125,'BuffValue&lt;Child&gt;'!$A:$A,'BuffValue&lt;Child&gt;'!$F:$F),"None")</f>
        <v>None</v>
      </c>
      <c r="AS125" s="51">
        <f>IFERROR(_xlfn.XLOOKUP($AC125,'BuffValue&lt;Child&gt;'!$A:$A,'BuffValue&lt;Child&gt;'!$K:$K),0)</f>
        <v>0</v>
      </c>
      <c r="AT125" s="51" t="str">
        <f>IFERROR(_xlfn.XLOOKUP(AG125,Target!$A:$A,Target!$B:$B),"None")</f>
        <v>None</v>
      </c>
      <c r="AU125" s="51" t="str">
        <f>IFERROR(_xlfn.XLOOKUP($AH125,'BuffValue&lt;Child&gt;'!$A:$A,'BuffValue&lt;Child&gt;'!$F:$F),"None")</f>
        <v>None</v>
      </c>
      <c r="AV125" s="51">
        <f>IFERROR(_xlfn.XLOOKUP($AH125,'BuffValue&lt;Child&gt;'!$A:$A,'BuffValue&lt;Child&gt;'!$K:$K),0)</f>
        <v>0</v>
      </c>
      <c r="AW125" s="51" t="str">
        <f>IFERROR(_xlfn.XLOOKUP(AL125,Target!$A:$A,Target!$B:$B),"None")</f>
        <v>None</v>
      </c>
      <c r="AX125" s="51" t="str">
        <f>IFERROR(_xlfn.XLOOKUP($AM125,'BuffValue&lt;Child&gt;'!$A:$A,'BuffValue&lt;Child&gt;'!$F:$F),"None")</f>
        <v>None</v>
      </c>
      <c r="AY125" s="51">
        <f>IFERROR(_xlfn.XLOOKUP($AM125,#REF!,#REF!),0)</f>
        <v>0</v>
      </c>
    </row>
    <row r="126" spans="1:51" s="52" customFormat="1" x14ac:dyDescent="0.3">
      <c r="A126" s="1">
        <f>INT(2&amp;MID(_xlfn.XLOOKUP(B126,[2]Timeline!$B:$B,[2]Timeline!$A:$A),2,5)&amp;2)</f>
        <v>2303642</v>
      </c>
      <c r="B126" s="53" t="s">
        <v>112</v>
      </c>
      <c r="C126" s="53" t="s">
        <v>267</v>
      </c>
      <c r="D126" s="53" t="s">
        <v>520</v>
      </c>
      <c r="E126" s="52" t="str">
        <f t="shared" si="20"/>
        <v>skill_name_2303642</v>
      </c>
      <c r="F126" s="52" t="s">
        <v>117</v>
      </c>
      <c r="G126" s="52" t="s">
        <v>476</v>
      </c>
      <c r="H126" s="52" t="str">
        <f t="shared" si="21"/>
        <v>skill_desc_2303642</v>
      </c>
      <c r="I126" s="52" t="s">
        <v>205</v>
      </c>
      <c r="J126" s="52" t="str">
        <f>IFERROR(_xlfn.XLOOKUP(W126,Target!A:A,Target!J:J),"")</f>
        <v>Skill_Target_Icon_Ally</v>
      </c>
      <c r="K126" s="52" t="s">
        <v>205</v>
      </c>
      <c r="L126" s="52" t="str">
        <f>IFERROR(_xlfn.XLOOKUP(W126,Target!A:A,Target!K:K),"")</f>
        <v>Skill_Area_Icon_Pivot_Centor</v>
      </c>
      <c r="M126" s="52" t="str">
        <f>_xlfn.XLOOKUP(B126,'[2]Detail&lt;Child&gt;'!$B:$B,'[2]Detail&lt;Child&gt;'!$M:$M)</f>
        <v>Light</v>
      </c>
      <c r="N126" s="52" t="str">
        <f>_xlfn.XLOOKUP(B126,'[2]Detail&lt;Child&gt;'!$B:$B,'[2]Detail&lt;Child&gt;'!$N:$N)</f>
        <v>Supporter</v>
      </c>
      <c r="O126" s="52" t="s">
        <v>33</v>
      </c>
      <c r="P126" s="71">
        <v>2</v>
      </c>
      <c r="Q126" s="72" t="s">
        <v>137</v>
      </c>
      <c r="R126" s="52" t="s">
        <v>136</v>
      </c>
      <c r="S126" s="52">
        <f t="shared" si="23"/>
        <v>0</v>
      </c>
      <c r="T126" s="52" t="str">
        <f t="shared" si="14"/>
        <v>SignalHit</v>
      </c>
      <c r="U126" s="52" t="str" cm="1">
        <f t="array" ref="U126">_xlfn.IFS(T126="SignalHIt","TurnEnd",T126="AttackBegin","TurnEnd",T126="AttackEnd","TurnEnd",T126="Immediately","Applied",T126="None","None")</f>
        <v>TurnEnd</v>
      </c>
      <c r="V126" s="52">
        <v>0</v>
      </c>
      <c r="W126" s="52">
        <v>1000000</v>
      </c>
      <c r="X126" s="73">
        <v>23036421</v>
      </c>
      <c r="Y126" s="52" t="str">
        <f t="shared" si="15"/>
        <v>Immediately</v>
      </c>
      <c r="Z126" s="52" t="str" cm="1">
        <f t="array" ref="Z126">_xlfn.IFS(Y126="SignalHIt","TurnEnd",Y126="AttackBegin","TurnEnd",Y126="AttackEnd","TurnEnd",Y126="Immediately","Applied",Y126="None","None")</f>
        <v>Applied</v>
      </c>
      <c r="AA126" s="52">
        <v>0</v>
      </c>
      <c r="AB126" s="52">
        <v>0</v>
      </c>
      <c r="AC126" s="73">
        <v>0</v>
      </c>
      <c r="AD126" s="52" t="str">
        <f t="shared" si="16"/>
        <v>Immediately</v>
      </c>
      <c r="AE126" s="52" t="str" cm="1">
        <f t="array" ref="AE126">_xlfn.IFS(AD126="SignalHIt","TurnEnd",AD126="AttackBegin","TurnEnd",AD126="AttackEnd","TurnEnd",AD126="Immediately","Applied",AD126="None","None")</f>
        <v>Applied</v>
      </c>
      <c r="AF126" s="52">
        <v>0</v>
      </c>
      <c r="AG126" s="52">
        <v>0</v>
      </c>
      <c r="AH126" s="73">
        <v>0</v>
      </c>
      <c r="AI126" s="52" t="str">
        <f t="shared" si="17"/>
        <v>Immediately</v>
      </c>
      <c r="AJ126" s="52" t="str" cm="1">
        <f t="array" ref="AJ126">_xlfn.IFS(AI126="SignalHIt","TurnEnd",AI126="AttackBegin","TurnEnd",AI126="AttackEnd","TurnEnd",AI126="Immediately","Applied",AI126="None","None")</f>
        <v>Applied</v>
      </c>
      <c r="AK126" s="52">
        <v>0</v>
      </c>
      <c r="AL126" s="73">
        <v>0</v>
      </c>
      <c r="AM126" s="74">
        <v>0</v>
      </c>
      <c r="AN126" s="51" t="str">
        <f>IFERROR(_xlfn.XLOOKUP(W126,Target!$A:$A,Target!$B:$B),"None")</f>
        <v>모든 아군</v>
      </c>
      <c r="AO126" s="51" t="str">
        <f>IFERROR(_xlfn.XLOOKUP($X126,'BuffValue&lt;Child&gt;'!$A:$A,'BuffValue&lt;Child&gt;'!$F:$F),"None")</f>
        <v>시트리 방어력 증가</v>
      </c>
      <c r="AP126" s="51">
        <f>IFERROR(_xlfn.XLOOKUP($X126,'BuffValue&lt;Child&gt;'!$A:$A,'BuffValue&lt;Child&gt;'!$K:$K),0)</f>
        <v>20000</v>
      </c>
      <c r="AQ126" s="51" t="str">
        <f>IFERROR(_xlfn.XLOOKUP(AB126,Target!$A:$A,Target!$B:$B),"None")</f>
        <v>None</v>
      </c>
      <c r="AR126" s="51" t="str">
        <f>IFERROR(_xlfn.XLOOKUP($AC126,'BuffValue&lt;Child&gt;'!$A:$A,'BuffValue&lt;Child&gt;'!$F:$F),"None")</f>
        <v>None</v>
      </c>
      <c r="AS126" s="51">
        <f>IFERROR(_xlfn.XLOOKUP($AC126,'BuffValue&lt;Child&gt;'!$A:$A,'BuffValue&lt;Child&gt;'!$K:$K),0)</f>
        <v>0</v>
      </c>
      <c r="AT126" s="51" t="str">
        <f>IFERROR(_xlfn.XLOOKUP(AG126,Target!$A:$A,Target!$B:$B),"None")</f>
        <v>None</v>
      </c>
      <c r="AU126" s="51" t="str">
        <f>IFERROR(_xlfn.XLOOKUP($AH126,'BuffValue&lt;Child&gt;'!$A:$A,'BuffValue&lt;Child&gt;'!$F:$F),"None")</f>
        <v>None</v>
      </c>
      <c r="AV126" s="51">
        <f>IFERROR(_xlfn.XLOOKUP($AH126,'BuffValue&lt;Child&gt;'!$A:$A,'BuffValue&lt;Child&gt;'!$K:$K),0)</f>
        <v>0</v>
      </c>
      <c r="AW126" s="51" t="str">
        <f>IFERROR(_xlfn.XLOOKUP(AL126,Target!$A:$A,Target!$B:$B),"None")</f>
        <v>None</v>
      </c>
      <c r="AX126" s="51" t="str">
        <f>IFERROR(_xlfn.XLOOKUP($AM126,'BuffValue&lt;Child&gt;'!$A:$A,'BuffValue&lt;Child&gt;'!$F:$F),"None")</f>
        <v>None</v>
      </c>
      <c r="AY126" s="51">
        <f>IFERROR(_xlfn.XLOOKUP($AM126,#REF!,#REF!),0)</f>
        <v>0</v>
      </c>
    </row>
    <row r="127" spans="1:51" x14ac:dyDescent="0.3">
      <c r="A127" s="1">
        <f>INT(3&amp;MID(_xlfn.XLOOKUP(B127,[2]Timeline!$B:$B,[2]Timeline!$A:$A),2,5)&amp;1)</f>
        <v>3303641</v>
      </c>
      <c r="B127" s="7" t="s">
        <v>112</v>
      </c>
      <c r="C127" s="7" t="s">
        <v>268</v>
      </c>
      <c r="D127" s="7" t="s">
        <v>554</v>
      </c>
      <c r="E127" s="1" t="str">
        <f t="shared" si="20"/>
        <v>skill_name_3303641</v>
      </c>
      <c r="F127" s="1" t="s">
        <v>117</v>
      </c>
      <c r="G127" s="1" t="s">
        <v>400</v>
      </c>
      <c r="H127" s="1" t="str">
        <f t="shared" si="21"/>
        <v>skill_desc_3303641</v>
      </c>
      <c r="I127" s="1" t="s">
        <v>205</v>
      </c>
      <c r="J127" s="1" t="str">
        <f>IFERROR(_xlfn.XLOOKUP(W127,Target!A:A,Target!J:J),"")</f>
        <v>Skill_Target_Icon_Ally</v>
      </c>
      <c r="K127" s="1" t="s">
        <v>205</v>
      </c>
      <c r="L127" s="1" t="str">
        <f>IFERROR(_xlfn.XLOOKUP(W127,Target!A:A,Target!K:K),"")</f>
        <v>Skill_Area_Icon_Pivot_Centor</v>
      </c>
      <c r="M127" s="1" t="str">
        <f>_xlfn.XLOOKUP(B127,'[2]Detail&lt;Child&gt;'!$B:$B,'[2]Detail&lt;Child&gt;'!$M:$M)</f>
        <v>Light</v>
      </c>
      <c r="N127" s="1" t="str">
        <f>_xlfn.XLOOKUP(B127,'[2]Detail&lt;Child&gt;'!$B:$B,'[2]Detail&lt;Child&gt;'!$N:$N)</f>
        <v>Supporter</v>
      </c>
      <c r="O127" s="1" t="s">
        <v>140</v>
      </c>
      <c r="P127" s="33">
        <v>0</v>
      </c>
      <c r="Q127" s="68" t="s">
        <v>137</v>
      </c>
      <c r="R127" s="1" t="s">
        <v>136</v>
      </c>
      <c r="S127" s="1">
        <f t="shared" si="23"/>
        <v>0</v>
      </c>
      <c r="T127" s="2" t="str">
        <f t="shared" si="14"/>
        <v>SignalHit</v>
      </c>
      <c r="U127" s="2" t="str" cm="1">
        <f t="array" ref="U127">_xlfn.IFS(T127="SignalHIt","TurnEnd",T127="AttackBegin","TurnEnd",T127="AttackEnd","TurnEnd",T127="Immediately","Applied",T127="None","None")</f>
        <v>TurnEnd</v>
      </c>
      <c r="V127" s="2">
        <v>0</v>
      </c>
      <c r="W127" s="1">
        <v>10000</v>
      </c>
      <c r="X127" s="8">
        <v>33036411</v>
      </c>
      <c r="Y127" s="1" t="str">
        <f t="shared" si="15"/>
        <v>Immediately</v>
      </c>
      <c r="Z127" s="2" t="str" cm="1">
        <f t="array" ref="Z127">_xlfn.IFS(Y127="SignalHIt","TurnEnd",Y127="AttackBegin","TurnEnd",Y127="AttackEnd","TurnEnd",Y127="Immediately","Applied",Y127="None","None")</f>
        <v>Applied</v>
      </c>
      <c r="AA127" s="2">
        <v>0</v>
      </c>
      <c r="AB127" s="1">
        <v>0</v>
      </c>
      <c r="AC127" s="8">
        <v>0</v>
      </c>
      <c r="AD127" s="2" t="str">
        <f t="shared" si="16"/>
        <v>Immediately</v>
      </c>
      <c r="AE127" s="2" t="str" cm="1">
        <f t="array" ref="AE127">_xlfn.IFS(AD127="SignalHIt","TurnEnd",AD127="AttackBegin","TurnEnd",AD127="AttackEnd","TurnEnd",AD127="Immediately","Applied",AD127="None","None")</f>
        <v>Applied</v>
      </c>
      <c r="AF127" s="2">
        <v>0</v>
      </c>
      <c r="AG127" s="1">
        <v>0</v>
      </c>
      <c r="AH127" s="8">
        <v>0</v>
      </c>
      <c r="AI127" s="2" t="str">
        <f t="shared" si="17"/>
        <v>Immediately</v>
      </c>
      <c r="AJ127" s="2" t="str" cm="1">
        <f t="array" ref="AJ127">_xlfn.IFS(AI127="SignalHIt","TurnEnd",AI127="AttackBegin","TurnEnd",AI127="AttackEnd","TurnEnd",AI127="Immediately","Applied",AI127="None","None")</f>
        <v>Applied</v>
      </c>
      <c r="AK127" s="2">
        <v>0</v>
      </c>
      <c r="AL127" s="8">
        <v>0</v>
      </c>
      <c r="AM127" s="48">
        <v>0</v>
      </c>
      <c r="AN127" s="45" t="str">
        <f>IFERROR(_xlfn.XLOOKUP(W127,Target!$A:$A,Target!$B:$B),"None")</f>
        <v>피아 전체</v>
      </c>
      <c r="AO127" s="43" t="str">
        <f>IFERROR(_xlfn.XLOOKUP($X127,'BuffValue&lt;Child&gt;'!$A:$A,'BuffValue&lt;Child&gt;'!$F:$F),"None")</f>
        <v>트릭룸</v>
      </c>
      <c r="AP127" s="43">
        <f>IFERROR(_xlfn.XLOOKUP($X127,'BuffValue&lt;Child&gt;'!$A:$A,'BuffValue&lt;Child&gt;'!$K:$K),0)</f>
        <v>0</v>
      </c>
      <c r="AQ127" s="43" t="str">
        <f>IFERROR(_xlfn.XLOOKUP(AB127,Target!$A:$A,Target!$B:$B),"None")</f>
        <v>None</v>
      </c>
      <c r="AR127" s="45" t="str">
        <f>IFERROR(_xlfn.XLOOKUP($AC127,'BuffValue&lt;Child&gt;'!$A:$A,'BuffValue&lt;Child&gt;'!$F:$F),"None")</f>
        <v>None</v>
      </c>
      <c r="AS127" s="45">
        <f>IFERROR(_xlfn.XLOOKUP($AC127,'BuffValue&lt;Child&gt;'!$A:$A,'BuffValue&lt;Child&gt;'!$K:$K),0)</f>
        <v>0</v>
      </c>
      <c r="AT127" s="43" t="str">
        <f>IFERROR(_xlfn.XLOOKUP(AG127,Target!$A:$A,Target!$B:$B),"None")</f>
        <v>None</v>
      </c>
      <c r="AU127" s="43" t="str">
        <f>IFERROR(_xlfn.XLOOKUP($AH127,'BuffValue&lt;Child&gt;'!$A:$A,'BuffValue&lt;Child&gt;'!$F:$F),"None")</f>
        <v>None</v>
      </c>
      <c r="AV127" s="43">
        <f>IFERROR(_xlfn.XLOOKUP($AH127,'BuffValue&lt;Child&gt;'!$A:$A,'BuffValue&lt;Child&gt;'!$K:$K),0)</f>
        <v>0</v>
      </c>
      <c r="AW127" s="43" t="str">
        <f>IFERROR(_xlfn.XLOOKUP(AL127,Target!$A:$A,Target!$B:$B),"None")</f>
        <v>None</v>
      </c>
      <c r="AX127" s="43" t="str">
        <f>IFERROR(_xlfn.XLOOKUP($AM127,'BuffValue&lt;Child&gt;'!$A:$A,'BuffValue&lt;Child&gt;'!$F:$F),"None")</f>
        <v>None</v>
      </c>
      <c r="AY127" s="43">
        <f>IFERROR(_xlfn.XLOOKUP($AM127,#REF!,#REF!),0)</f>
        <v>0</v>
      </c>
    </row>
    <row r="128" spans="1:51" x14ac:dyDescent="0.3">
      <c r="A128" s="1">
        <f>INT(3&amp;MID(_xlfn.XLOOKUP(B128,[2]Timeline!$B:$B,[2]Timeline!$A:$A),2,5)&amp;2)</f>
        <v>3303642</v>
      </c>
      <c r="B128" s="7" t="s">
        <v>112</v>
      </c>
      <c r="C128" s="7" t="s">
        <v>268</v>
      </c>
      <c r="D128" s="7" t="s">
        <v>514</v>
      </c>
      <c r="E128" s="1" t="str">
        <f t="shared" si="20"/>
        <v>skill_name_3303642</v>
      </c>
      <c r="F128" s="1" t="s">
        <v>117</v>
      </c>
      <c r="G128" s="1" t="s">
        <v>400</v>
      </c>
      <c r="H128" s="1" t="str">
        <f t="shared" si="21"/>
        <v>skill_desc_3303642</v>
      </c>
      <c r="I128" s="1" t="s">
        <v>205</v>
      </c>
      <c r="J128" s="1" t="str">
        <f>IFERROR(_xlfn.XLOOKUP(W128,Target!A:A,Target!J:J),"")</f>
        <v>Skill_Target_Icon_Ally</v>
      </c>
      <c r="K128" s="1" t="s">
        <v>205</v>
      </c>
      <c r="L128" s="1" t="str">
        <f>IFERROR(_xlfn.XLOOKUP(W128,Target!A:A,Target!K:K),"")</f>
        <v>Skill_Area_Icon_Pivot_Centor</v>
      </c>
      <c r="M128" s="1" t="str">
        <f>_xlfn.XLOOKUP(B128,'[2]Detail&lt;Child&gt;'!$B:$B,'[2]Detail&lt;Child&gt;'!$M:$M)</f>
        <v>Light</v>
      </c>
      <c r="N128" s="1" t="str">
        <f>_xlfn.XLOOKUP(B128,'[2]Detail&lt;Child&gt;'!$B:$B,'[2]Detail&lt;Child&gt;'!$N:$N)</f>
        <v>Supporter</v>
      </c>
      <c r="O128" s="1" t="s">
        <v>140</v>
      </c>
      <c r="P128" s="33">
        <v>0</v>
      </c>
      <c r="Q128" s="68" t="s">
        <v>137</v>
      </c>
      <c r="R128" s="1" t="s">
        <v>136</v>
      </c>
      <c r="S128" s="1">
        <f t="shared" si="23"/>
        <v>0</v>
      </c>
      <c r="T128" s="2" t="str">
        <f t="shared" si="14"/>
        <v>SignalHit</v>
      </c>
      <c r="U128" s="2" t="str" cm="1">
        <f t="array" ref="U128">_xlfn.IFS(T128="SignalHIt","TurnEnd",T128="AttackBegin","TurnEnd",T128="AttackEnd","TurnEnd",T128="Immediately","Applied",T128="None","None")</f>
        <v>TurnEnd</v>
      </c>
      <c r="V128" s="2">
        <v>0</v>
      </c>
      <c r="W128" s="1">
        <v>10000</v>
      </c>
      <c r="X128" s="8">
        <v>33036421</v>
      </c>
      <c r="Y128" s="1" t="str">
        <f t="shared" si="15"/>
        <v>Immediately</v>
      </c>
      <c r="Z128" s="2" t="str" cm="1">
        <f t="array" ref="Z128">_xlfn.IFS(Y128="SignalHIt","TurnEnd",Y128="AttackBegin","TurnEnd",Y128="AttackEnd","TurnEnd",Y128="Immediately","Applied",Y128="None","None")</f>
        <v>Applied</v>
      </c>
      <c r="AA128" s="2">
        <v>0</v>
      </c>
      <c r="AB128" s="1">
        <v>0</v>
      </c>
      <c r="AC128" s="8">
        <v>0</v>
      </c>
      <c r="AD128" s="2" t="str">
        <f t="shared" si="16"/>
        <v>Immediately</v>
      </c>
      <c r="AE128" s="2" t="str" cm="1">
        <f t="array" ref="AE128">_xlfn.IFS(AD128="SignalHIt","TurnEnd",AD128="AttackBegin","TurnEnd",AD128="AttackEnd","TurnEnd",AD128="Immediately","Applied",AD128="None","None")</f>
        <v>Applied</v>
      </c>
      <c r="AF128" s="2">
        <v>0</v>
      </c>
      <c r="AG128" s="1">
        <v>0</v>
      </c>
      <c r="AH128" s="8">
        <v>0</v>
      </c>
      <c r="AI128" s="2" t="str">
        <f t="shared" si="17"/>
        <v>Immediately</v>
      </c>
      <c r="AJ128" s="2" t="str" cm="1">
        <f t="array" ref="AJ128">_xlfn.IFS(AI128="SignalHIt","TurnEnd",AI128="AttackBegin","TurnEnd",AI128="AttackEnd","TurnEnd",AI128="Immediately","Applied",AI128="None","None")</f>
        <v>Applied</v>
      </c>
      <c r="AK128" s="2">
        <v>0</v>
      </c>
      <c r="AL128" s="8">
        <v>0</v>
      </c>
      <c r="AM128" s="48">
        <v>0</v>
      </c>
      <c r="AN128" s="45" t="str">
        <f>IFERROR(_xlfn.XLOOKUP(W128,Target!$A:$A,Target!$B:$B),"None")</f>
        <v>피아 전체</v>
      </c>
      <c r="AO128" s="43" t="str">
        <f>IFERROR(_xlfn.XLOOKUP($X128,'BuffValue&lt;Child&gt;'!$A:$A,'BuffValue&lt;Child&gt;'!$F:$F),"None")</f>
        <v>트릭룸</v>
      </c>
      <c r="AP128" s="43">
        <f>IFERROR(_xlfn.XLOOKUP($X128,'BuffValue&lt;Child&gt;'!$A:$A,'BuffValue&lt;Child&gt;'!$K:$K),0)</f>
        <v>0</v>
      </c>
      <c r="AQ128" s="43" t="str">
        <f>IFERROR(_xlfn.XLOOKUP(AB128,Target!$A:$A,Target!$B:$B),"None")</f>
        <v>None</v>
      </c>
      <c r="AR128" s="45" t="str">
        <f>IFERROR(_xlfn.XLOOKUP($AC128,'BuffValue&lt;Child&gt;'!$A:$A,'BuffValue&lt;Child&gt;'!$F:$F),"None")</f>
        <v>None</v>
      </c>
      <c r="AS128" s="45">
        <f>IFERROR(_xlfn.XLOOKUP($AC128,'BuffValue&lt;Child&gt;'!$A:$A,'BuffValue&lt;Child&gt;'!$K:$K),0)</f>
        <v>0</v>
      </c>
      <c r="AT128" s="43" t="str">
        <f>IFERROR(_xlfn.XLOOKUP(AG128,Target!$A:$A,Target!$B:$B),"None")</f>
        <v>None</v>
      </c>
      <c r="AU128" s="43" t="str">
        <f>IFERROR(_xlfn.XLOOKUP($AH128,'BuffValue&lt;Child&gt;'!$A:$A,'BuffValue&lt;Child&gt;'!$F:$F),"None")</f>
        <v>None</v>
      </c>
      <c r="AV128" s="43">
        <f>IFERROR(_xlfn.XLOOKUP($AH128,'BuffValue&lt;Child&gt;'!$A:$A,'BuffValue&lt;Child&gt;'!$K:$K),0)</f>
        <v>0</v>
      </c>
      <c r="AW128" s="43" t="str">
        <f>IFERROR(_xlfn.XLOOKUP(AL128,Target!$A:$A,Target!$B:$B),"None")</f>
        <v>None</v>
      </c>
      <c r="AX128" s="43" t="str">
        <f>IFERROR(_xlfn.XLOOKUP($AM128,'BuffValue&lt;Child&gt;'!$A:$A,'BuffValue&lt;Child&gt;'!$F:$F),"None")</f>
        <v>None</v>
      </c>
      <c r="AY128" s="43">
        <f>IFERROR(_xlfn.XLOOKUP($AM128,#REF!,#REF!),0)</f>
        <v>0</v>
      </c>
    </row>
    <row r="129" spans="1:51" x14ac:dyDescent="0.3">
      <c r="A129" s="1">
        <f>INT(3&amp;MID(_xlfn.XLOOKUP(B129,[2]Timeline!$B:$B,[2]Timeline!$A:$A),2,5)&amp;3)</f>
        <v>3303643</v>
      </c>
      <c r="B129" s="7" t="s">
        <v>112</v>
      </c>
      <c r="C129" s="7" t="s">
        <v>268</v>
      </c>
      <c r="D129" s="7" t="s">
        <v>514</v>
      </c>
      <c r="E129" s="1" t="str">
        <f t="shared" si="20"/>
        <v>skill_name_3303643</v>
      </c>
      <c r="F129" s="1" t="s">
        <v>117</v>
      </c>
      <c r="G129" s="1" t="s">
        <v>400</v>
      </c>
      <c r="H129" s="1" t="str">
        <f t="shared" si="21"/>
        <v>skill_desc_3303643</v>
      </c>
      <c r="I129" s="1" t="s">
        <v>205</v>
      </c>
      <c r="J129" s="1" t="str">
        <f>IFERROR(_xlfn.XLOOKUP(W129,Target!A:A,Target!J:J),"")</f>
        <v>Skill_Target_Icon_Ally</v>
      </c>
      <c r="K129" s="1" t="s">
        <v>205</v>
      </c>
      <c r="L129" s="1" t="str">
        <f>IFERROR(_xlfn.XLOOKUP(W129,Target!A:A,Target!K:K),"")</f>
        <v>Skill_Area_Icon_Pivot_Centor</v>
      </c>
      <c r="M129" s="1" t="str">
        <f>_xlfn.XLOOKUP(B129,'[2]Detail&lt;Child&gt;'!$B:$B,'[2]Detail&lt;Child&gt;'!$M:$M)</f>
        <v>Light</v>
      </c>
      <c r="N129" s="1" t="str">
        <f>_xlfn.XLOOKUP(B129,'[2]Detail&lt;Child&gt;'!$B:$B,'[2]Detail&lt;Child&gt;'!$N:$N)</f>
        <v>Supporter</v>
      </c>
      <c r="O129" s="1" t="s">
        <v>140</v>
      </c>
      <c r="P129" s="33">
        <v>0</v>
      </c>
      <c r="Q129" s="68" t="s">
        <v>137</v>
      </c>
      <c r="R129" s="1" t="s">
        <v>136</v>
      </c>
      <c r="S129" s="1">
        <f t="shared" si="23"/>
        <v>0</v>
      </c>
      <c r="T129" s="2" t="str">
        <f t="shared" si="14"/>
        <v>SignalHit</v>
      </c>
      <c r="U129" s="2" t="str" cm="1">
        <f t="array" ref="U129">_xlfn.IFS(T129="SignalHIt","TurnEnd",T129="AttackBegin","TurnEnd",T129="AttackEnd","TurnEnd",T129="Immediately","Applied",T129="None","None")</f>
        <v>TurnEnd</v>
      </c>
      <c r="V129" s="2">
        <v>0</v>
      </c>
      <c r="W129" s="1">
        <v>10000</v>
      </c>
      <c r="X129" s="8">
        <v>33036431</v>
      </c>
      <c r="Y129" s="1" t="str">
        <f t="shared" si="15"/>
        <v>Immediately</v>
      </c>
      <c r="Z129" s="2" t="str" cm="1">
        <f t="array" ref="Z129">_xlfn.IFS(Y129="SignalHIt","TurnEnd",Y129="AttackBegin","TurnEnd",Y129="AttackEnd","TurnEnd",Y129="Immediately","Applied",Y129="None","None")</f>
        <v>Applied</v>
      </c>
      <c r="AA129" s="2">
        <v>0</v>
      </c>
      <c r="AB129" s="1">
        <v>0</v>
      </c>
      <c r="AC129" s="8">
        <v>0</v>
      </c>
      <c r="AD129" s="2" t="str">
        <f t="shared" si="16"/>
        <v>Immediately</v>
      </c>
      <c r="AE129" s="2" t="str" cm="1">
        <f t="array" ref="AE129">_xlfn.IFS(AD129="SignalHIt","TurnEnd",AD129="AttackBegin","TurnEnd",AD129="AttackEnd","TurnEnd",AD129="Immediately","Applied",AD129="None","None")</f>
        <v>Applied</v>
      </c>
      <c r="AF129" s="2">
        <v>0</v>
      </c>
      <c r="AG129" s="1">
        <v>0</v>
      </c>
      <c r="AH129" s="8">
        <v>0</v>
      </c>
      <c r="AI129" s="2" t="str">
        <f t="shared" si="17"/>
        <v>Immediately</v>
      </c>
      <c r="AJ129" s="2" t="str" cm="1">
        <f t="array" ref="AJ129">_xlfn.IFS(AI129="SignalHIt","TurnEnd",AI129="AttackBegin","TurnEnd",AI129="AttackEnd","TurnEnd",AI129="Immediately","Applied",AI129="None","None")</f>
        <v>Applied</v>
      </c>
      <c r="AK129" s="2">
        <v>0</v>
      </c>
      <c r="AL129" s="8">
        <v>0</v>
      </c>
      <c r="AM129" s="48">
        <v>0</v>
      </c>
      <c r="AN129" s="45" t="str">
        <f>IFERROR(_xlfn.XLOOKUP(W129,Target!$A:$A,Target!$B:$B),"None")</f>
        <v>피아 전체</v>
      </c>
      <c r="AO129" s="43" t="str">
        <f>IFERROR(_xlfn.XLOOKUP($X129,'BuffValue&lt;Child&gt;'!$A:$A,'BuffValue&lt;Child&gt;'!$F:$F),"None")</f>
        <v>트릭룸</v>
      </c>
      <c r="AP129" s="43">
        <f>IFERROR(_xlfn.XLOOKUP($X129,'BuffValue&lt;Child&gt;'!$A:$A,'BuffValue&lt;Child&gt;'!$K:$K),0)</f>
        <v>0</v>
      </c>
      <c r="AQ129" s="43" t="str">
        <f>IFERROR(_xlfn.XLOOKUP(AB129,Target!$A:$A,Target!$B:$B),"None")</f>
        <v>None</v>
      </c>
      <c r="AR129" s="45" t="str">
        <f>IFERROR(_xlfn.XLOOKUP($AC129,'BuffValue&lt;Child&gt;'!$A:$A,'BuffValue&lt;Child&gt;'!$F:$F),"None")</f>
        <v>None</v>
      </c>
      <c r="AS129" s="45">
        <f>IFERROR(_xlfn.XLOOKUP($AC129,'BuffValue&lt;Child&gt;'!$A:$A,'BuffValue&lt;Child&gt;'!$K:$K),0)</f>
        <v>0</v>
      </c>
      <c r="AT129" s="43" t="str">
        <f>IFERROR(_xlfn.XLOOKUP(AG129,Target!$A:$A,Target!$B:$B),"None")</f>
        <v>None</v>
      </c>
      <c r="AU129" s="43" t="str">
        <f>IFERROR(_xlfn.XLOOKUP($AH129,'BuffValue&lt;Child&gt;'!$A:$A,'BuffValue&lt;Child&gt;'!$F:$F),"None")</f>
        <v>None</v>
      </c>
      <c r="AV129" s="43">
        <f>IFERROR(_xlfn.XLOOKUP($AH129,'BuffValue&lt;Child&gt;'!$A:$A,'BuffValue&lt;Child&gt;'!$K:$K),0)</f>
        <v>0</v>
      </c>
      <c r="AW129" s="43" t="str">
        <f>IFERROR(_xlfn.XLOOKUP(AL129,Target!$A:$A,Target!$B:$B),"None")</f>
        <v>None</v>
      </c>
      <c r="AX129" s="43" t="str">
        <f>IFERROR(_xlfn.XLOOKUP($AM129,'BuffValue&lt;Child&gt;'!$A:$A,'BuffValue&lt;Child&gt;'!$F:$F),"None")</f>
        <v>None</v>
      </c>
      <c r="AY129" s="43">
        <f>IFERROR(_xlfn.XLOOKUP($AM129,#REF!,#REF!),0)</f>
        <v>0</v>
      </c>
    </row>
    <row r="130" spans="1:51" x14ac:dyDescent="0.3">
      <c r="A130" s="1">
        <f>INT(4&amp;MID(_xlfn.XLOOKUP(B130,[2]Timeline!$B:$B,[2]Timeline!$A:$A),2,5)&amp;1)</f>
        <v>4303641</v>
      </c>
      <c r="B130" s="7" t="s">
        <v>112</v>
      </c>
      <c r="C130" s="7" t="s">
        <v>122</v>
      </c>
      <c r="D130" s="7" t="s">
        <v>342</v>
      </c>
      <c r="E130" s="1" t="str">
        <f t="shared" si="20"/>
        <v>skill_name_4303641</v>
      </c>
      <c r="F130" s="1" t="s">
        <v>117</v>
      </c>
      <c r="G130" s="1" t="s">
        <v>478</v>
      </c>
      <c r="H130" s="1" t="str">
        <f t="shared" si="21"/>
        <v>skill_desc_4303641</v>
      </c>
      <c r="I130" s="1" t="s">
        <v>205</v>
      </c>
      <c r="J130" s="1" t="str">
        <f>IFERROR(_xlfn.XLOOKUP(W130,Target!A:A,Target!J:J),"")</f>
        <v>Skill_Target_Icon_Mine</v>
      </c>
      <c r="K130" s="1" t="s">
        <v>205</v>
      </c>
      <c r="L130" s="1" t="str">
        <f>IFERROR(_xlfn.XLOOKUP(W130,Target!A:A,Target!K:K),"")</f>
        <v>Skill_Area_Icon_Pivot_Centor</v>
      </c>
      <c r="M130" s="1" t="str">
        <f>_xlfn.XLOOKUP(B130,'[2]Detail&lt;Child&gt;'!$B:$B,'[2]Detail&lt;Child&gt;'!$M:$M)</f>
        <v>Light</v>
      </c>
      <c r="N130" s="1" t="str">
        <f>_xlfn.XLOOKUP(B130,'[2]Detail&lt;Child&gt;'!$B:$B,'[2]Detail&lt;Child&gt;'!$N:$N)</f>
        <v>Supporter</v>
      </c>
      <c r="O130" s="1" t="s">
        <v>167</v>
      </c>
      <c r="P130" s="33">
        <v>0</v>
      </c>
      <c r="Q130" s="68" t="str" cm="1">
        <f t="array" ref="Q130">_xlfn.IFS(R130="Move","Move",R130="NonTargetMove","Move",R130="Static","Stand",R130="None","Stand")</f>
        <v>Stand</v>
      </c>
      <c r="R130" s="1" t="s">
        <v>136</v>
      </c>
      <c r="S130" s="1">
        <f t="shared" si="23"/>
        <v>0</v>
      </c>
      <c r="T130" s="2" t="str">
        <f t="shared" si="14"/>
        <v>Immediately</v>
      </c>
      <c r="U130" s="2" t="str" cm="1">
        <f t="array" ref="U130">_xlfn.IFS(T130="SignalHIt","TurnEnd",T130="AttackBegin","TurnEnd",T130="AttackEnd","TurnEnd",T130="Immediately","Applied",T130="None","None")</f>
        <v>Applied</v>
      </c>
      <c r="V130" s="2">
        <v>0</v>
      </c>
      <c r="W130" s="1">
        <v>1</v>
      </c>
      <c r="X130" s="8">
        <v>43036411</v>
      </c>
      <c r="Y130" s="1" t="str">
        <f t="shared" si="15"/>
        <v>Immediately</v>
      </c>
      <c r="Z130" s="2" t="str" cm="1">
        <f t="array" ref="Z130">_xlfn.IFS(Y130="SignalHIt","TurnEnd",Y130="AttackBegin","TurnEnd",Y130="AttackEnd","TurnEnd",Y130="Immediately","Applied",Y130="None","None")</f>
        <v>Applied</v>
      </c>
      <c r="AA130" s="2">
        <v>0</v>
      </c>
      <c r="AB130" s="1">
        <v>0</v>
      </c>
      <c r="AC130" s="8">
        <v>0</v>
      </c>
      <c r="AD130" s="2" t="str">
        <f t="shared" si="16"/>
        <v>Immediately</v>
      </c>
      <c r="AE130" s="2" t="str" cm="1">
        <f t="array" ref="AE130">_xlfn.IFS(AD130="SignalHIt","TurnEnd",AD130="AttackBegin","TurnEnd",AD130="AttackEnd","TurnEnd",AD130="Immediately","Applied",AD130="None","None")</f>
        <v>Applied</v>
      </c>
      <c r="AF130" s="2">
        <v>0</v>
      </c>
      <c r="AG130" s="1">
        <v>0</v>
      </c>
      <c r="AH130" s="8">
        <v>0</v>
      </c>
      <c r="AI130" s="2" t="str">
        <f t="shared" si="17"/>
        <v>Immediately</v>
      </c>
      <c r="AJ130" s="2" t="str" cm="1">
        <f t="array" ref="AJ130">_xlfn.IFS(AI130="SignalHIt","TurnEnd",AI130="AttackBegin","TurnEnd",AI130="AttackEnd","TurnEnd",AI130="Immediately","Applied",AI130="None","None")</f>
        <v>Applied</v>
      </c>
      <c r="AK130" s="2">
        <v>0</v>
      </c>
      <c r="AL130" s="8">
        <v>0</v>
      </c>
      <c r="AM130" s="48">
        <v>0</v>
      </c>
      <c r="AN130" s="45" t="str">
        <f>IFERROR(_xlfn.XLOOKUP(W130,Target!$A:$A,Target!$B:$B),"None")</f>
        <v xml:space="preserve"> 자신 1명 </v>
      </c>
      <c r="AO130" s="43" t="str">
        <f>IFERROR(_xlfn.XLOOKUP($X130,'BuffValue&lt;Child&gt;'!$A:$A,'BuffValue&lt;Child&gt;'!$F:$F),"None")</f>
        <v>시트리 패시브 스킬 사용</v>
      </c>
      <c r="AP130" s="43">
        <f>IFERROR(_xlfn.XLOOKUP($X130,'BuffValue&lt;Child&gt;'!$A:$A,'BuffValue&lt;Child&gt;'!$K:$K),0)</f>
        <v>9100011</v>
      </c>
      <c r="AQ130" s="43" t="str">
        <f>IFERROR(_xlfn.XLOOKUP(AB130,Target!$A:$A,Target!$B:$B),"None")</f>
        <v>None</v>
      </c>
      <c r="AR130" s="45" t="str">
        <f>IFERROR(_xlfn.XLOOKUP($AC130,'BuffValue&lt;Child&gt;'!$A:$A,'BuffValue&lt;Child&gt;'!$F:$F),"None")</f>
        <v>None</v>
      </c>
      <c r="AS130" s="45">
        <f>IFERROR(_xlfn.XLOOKUP($AC130,'BuffValue&lt;Child&gt;'!$A:$A,'BuffValue&lt;Child&gt;'!$K:$K),0)</f>
        <v>0</v>
      </c>
      <c r="AT130" s="43" t="str">
        <f>IFERROR(_xlfn.XLOOKUP(AG130,Target!$A:$A,Target!$B:$B),"None")</f>
        <v>None</v>
      </c>
      <c r="AU130" s="43" t="str">
        <f>IFERROR(_xlfn.XLOOKUP($AH130,'BuffValue&lt;Child&gt;'!$A:$A,'BuffValue&lt;Child&gt;'!$F:$F),"None")</f>
        <v>None</v>
      </c>
      <c r="AV130" s="43">
        <f>IFERROR(_xlfn.XLOOKUP($AH130,'BuffValue&lt;Child&gt;'!$A:$A,'BuffValue&lt;Child&gt;'!$K:$K),0)</f>
        <v>0</v>
      </c>
      <c r="AW130" s="43" t="str">
        <f>IFERROR(_xlfn.XLOOKUP(AL130,Target!$A:$A,Target!$B:$B),"None")</f>
        <v>None</v>
      </c>
      <c r="AX130" s="43" t="str">
        <f>IFERROR(_xlfn.XLOOKUP($AM130,'BuffValue&lt;Child&gt;'!$A:$A,'BuffValue&lt;Child&gt;'!$F:$F),"None")</f>
        <v>None</v>
      </c>
      <c r="AY130" s="43">
        <f>IFERROR(_xlfn.XLOOKUP($AM130,#REF!,#REF!),0)</f>
        <v>0</v>
      </c>
    </row>
    <row r="131" spans="1:51" x14ac:dyDescent="0.3">
      <c r="A131" s="1">
        <f>INT(4&amp;MID(_xlfn.XLOOKUP(B131,[2]Timeline!$B:$B,[2]Timeline!$A:$A),2,5)&amp;2)</f>
        <v>4303642</v>
      </c>
      <c r="B131" s="7" t="s">
        <v>112</v>
      </c>
      <c r="C131" s="7" t="s">
        <v>122</v>
      </c>
      <c r="D131" s="7" t="s">
        <v>342</v>
      </c>
      <c r="E131" s="1" t="str">
        <f t="shared" si="20"/>
        <v>skill_name_4303642</v>
      </c>
      <c r="F131" s="1" t="s">
        <v>117</v>
      </c>
      <c r="G131" s="1" t="s">
        <v>478</v>
      </c>
      <c r="H131" s="1" t="str">
        <f t="shared" si="21"/>
        <v>skill_desc_4303642</v>
      </c>
      <c r="I131" s="1" t="s">
        <v>205</v>
      </c>
      <c r="J131" s="1" t="str">
        <f>IFERROR(_xlfn.XLOOKUP(W131,Target!A:A,Target!J:J),"")</f>
        <v>Skill_Target_Icon_Mine</v>
      </c>
      <c r="K131" s="1" t="s">
        <v>205</v>
      </c>
      <c r="L131" s="1" t="str">
        <f>IFERROR(_xlfn.XLOOKUP(W131,Target!A:A,Target!K:K),"")</f>
        <v>Skill_Area_Icon_Pivot_Centor</v>
      </c>
      <c r="M131" s="1" t="str">
        <f>_xlfn.XLOOKUP(B131,'[2]Detail&lt;Child&gt;'!$B:$B,'[2]Detail&lt;Child&gt;'!$M:$M)</f>
        <v>Light</v>
      </c>
      <c r="N131" s="1" t="str">
        <f>_xlfn.XLOOKUP(B131,'[2]Detail&lt;Child&gt;'!$B:$B,'[2]Detail&lt;Child&gt;'!$N:$N)</f>
        <v>Supporter</v>
      </c>
      <c r="O131" s="1" t="s">
        <v>167</v>
      </c>
      <c r="P131" s="33">
        <v>0</v>
      </c>
      <c r="Q131" s="68" t="str" cm="1">
        <f t="array" ref="Q131">_xlfn.IFS(R131="Move","Move",R131="NonTargetMove","Move",R131="Static","Stand",R131="None","Stand")</f>
        <v>Stand</v>
      </c>
      <c r="R131" s="1" t="s">
        <v>136</v>
      </c>
      <c r="S131" s="1">
        <f t="shared" si="23"/>
        <v>0</v>
      </c>
      <c r="T131" s="2" t="str">
        <f t="shared" si="14"/>
        <v>Immediately</v>
      </c>
      <c r="U131" s="2" t="str" cm="1">
        <f t="array" ref="U131">_xlfn.IFS(T131="SignalHIt","TurnEnd",T131="AttackBegin","TurnEnd",T131="AttackEnd","TurnEnd",T131="Immediately","Applied",T131="None","None")</f>
        <v>Applied</v>
      </c>
      <c r="V131" s="2">
        <v>0</v>
      </c>
      <c r="W131" s="1">
        <v>1</v>
      </c>
      <c r="X131" s="8">
        <v>43036421</v>
      </c>
      <c r="Y131" s="1" t="str">
        <f t="shared" si="15"/>
        <v>Immediately</v>
      </c>
      <c r="Z131" s="2" t="str" cm="1">
        <f t="array" ref="Z131">_xlfn.IFS(Y131="SignalHIt","TurnEnd",Y131="AttackBegin","TurnEnd",Y131="AttackEnd","TurnEnd",Y131="Immediately","Applied",Y131="None","None")</f>
        <v>Applied</v>
      </c>
      <c r="AA131" s="2">
        <v>0</v>
      </c>
      <c r="AB131" s="1">
        <v>0</v>
      </c>
      <c r="AC131" s="8">
        <v>0</v>
      </c>
      <c r="AD131" s="2" t="str">
        <f t="shared" si="16"/>
        <v>Immediately</v>
      </c>
      <c r="AE131" s="2" t="str" cm="1">
        <f t="array" ref="AE131">_xlfn.IFS(AD131="SignalHIt","TurnEnd",AD131="AttackBegin","TurnEnd",AD131="AttackEnd","TurnEnd",AD131="Immediately","Applied",AD131="None","None")</f>
        <v>Applied</v>
      </c>
      <c r="AF131" s="2">
        <v>0</v>
      </c>
      <c r="AG131" s="1">
        <v>0</v>
      </c>
      <c r="AH131" s="8">
        <v>0</v>
      </c>
      <c r="AI131" s="2" t="str">
        <f t="shared" si="17"/>
        <v>Immediately</v>
      </c>
      <c r="AJ131" s="2" t="str" cm="1">
        <f t="array" ref="AJ131">_xlfn.IFS(AI131="SignalHIt","TurnEnd",AI131="AttackBegin","TurnEnd",AI131="AttackEnd","TurnEnd",AI131="Immediately","Applied",AI131="None","None")</f>
        <v>Applied</v>
      </c>
      <c r="AK131" s="2">
        <v>0</v>
      </c>
      <c r="AL131" s="8">
        <v>0</v>
      </c>
      <c r="AM131" s="48">
        <v>0</v>
      </c>
      <c r="AN131" s="45" t="str">
        <f>IFERROR(_xlfn.XLOOKUP(W131,Target!$A:$A,Target!$B:$B),"None")</f>
        <v xml:space="preserve"> 자신 1명 </v>
      </c>
      <c r="AO131" s="43" t="str">
        <f>IFERROR(_xlfn.XLOOKUP($X131,'BuffValue&lt;Child&gt;'!$A:$A,'BuffValue&lt;Child&gt;'!$F:$F),"None")</f>
        <v>시트리 패시브 스킬 사용</v>
      </c>
      <c r="AP131" s="43">
        <f>IFERROR(_xlfn.XLOOKUP($X131,'BuffValue&lt;Child&gt;'!$A:$A,'BuffValue&lt;Child&gt;'!$K:$K),0)</f>
        <v>9100011</v>
      </c>
      <c r="AQ131" s="43" t="str">
        <f>IFERROR(_xlfn.XLOOKUP(AB131,Target!$A:$A,Target!$B:$B),"None")</f>
        <v>None</v>
      </c>
      <c r="AR131" s="45" t="str">
        <f>IFERROR(_xlfn.XLOOKUP($AC131,'BuffValue&lt;Child&gt;'!$A:$A,'BuffValue&lt;Child&gt;'!$F:$F),"None")</f>
        <v>None</v>
      </c>
      <c r="AS131" s="45">
        <f>IFERROR(_xlfn.XLOOKUP($AC131,'BuffValue&lt;Child&gt;'!$A:$A,'BuffValue&lt;Child&gt;'!$K:$K),0)</f>
        <v>0</v>
      </c>
      <c r="AT131" s="43" t="str">
        <f>IFERROR(_xlfn.XLOOKUP(AG131,Target!$A:$A,Target!$B:$B),"None")</f>
        <v>None</v>
      </c>
      <c r="AU131" s="43" t="str">
        <f>IFERROR(_xlfn.XLOOKUP($AH131,'BuffValue&lt;Child&gt;'!$A:$A,'BuffValue&lt;Child&gt;'!$F:$F),"None")</f>
        <v>None</v>
      </c>
      <c r="AV131" s="43">
        <f>IFERROR(_xlfn.XLOOKUP($AH131,'BuffValue&lt;Child&gt;'!$A:$A,'BuffValue&lt;Child&gt;'!$K:$K),0)</f>
        <v>0</v>
      </c>
      <c r="AW131" s="43" t="str">
        <f>IFERROR(_xlfn.XLOOKUP(AL131,Target!$A:$A,Target!$B:$B),"None")</f>
        <v>None</v>
      </c>
      <c r="AX131" s="43" t="str">
        <f>IFERROR(_xlfn.XLOOKUP($AM131,'BuffValue&lt;Child&gt;'!$A:$A,'BuffValue&lt;Child&gt;'!$F:$F),"None")</f>
        <v>None</v>
      </c>
      <c r="AY131" s="43">
        <f>IFERROR(_xlfn.XLOOKUP($AM131,#REF!,#REF!),0)</f>
        <v>0</v>
      </c>
    </row>
    <row r="132" spans="1:51" s="11" customFormat="1" x14ac:dyDescent="0.3">
      <c r="A132" s="11">
        <f>INT(1&amp;MID(_xlfn.XLOOKUP(B132,[2]Timeline!$B:$B,[2]Timeline!$A:$A),2,5)&amp;1)</f>
        <v>1304641</v>
      </c>
      <c r="B132" s="12" t="s">
        <v>8</v>
      </c>
      <c r="C132" s="12" t="s">
        <v>270</v>
      </c>
      <c r="D132" s="12" t="s">
        <v>341</v>
      </c>
      <c r="E132" s="11" t="str">
        <f t="shared" ref="E132:E163" si="24">"skill_name_"&amp;A132</f>
        <v>skill_name_1304641</v>
      </c>
      <c r="F132" s="11" t="s">
        <v>117</v>
      </c>
      <c r="G132" s="11" t="s">
        <v>411</v>
      </c>
      <c r="H132" s="11" t="str">
        <f t="shared" ref="H132:H163" si="25">"skill_desc_"&amp;$A132</f>
        <v>skill_desc_1304641</v>
      </c>
      <c r="I132" s="11" t="s">
        <v>205</v>
      </c>
      <c r="J132" s="11" t="str">
        <f>IFERROR(_xlfn.XLOOKUP(W132,Target!A:A,Target!J:J),"")</f>
        <v>Skill_Target_Icon_Enemy_Near_One</v>
      </c>
      <c r="K132" s="11" t="s">
        <v>205</v>
      </c>
      <c r="L132" s="11" t="str">
        <f>IFERROR(_xlfn.XLOOKUP(W132,Target!A:A,Target!K:K),"")</f>
        <v>Skill_Area_Icon_Pivot_Centor</v>
      </c>
      <c r="M132" s="11" t="str">
        <f>_xlfn.XLOOKUP(B132,'[2]Detail&lt;Child&gt;'!$B:$B,'[2]Detail&lt;Child&gt;'!$M:$M)</f>
        <v>Water</v>
      </c>
      <c r="N132" s="11" t="str">
        <f>_xlfn.XLOOKUP(B132,'[2]Detail&lt;Child&gt;'!$B:$B,'[2]Detail&lt;Child&gt;'!$N:$N)</f>
        <v>Supporter</v>
      </c>
      <c r="O132" s="11" t="s">
        <v>30</v>
      </c>
      <c r="P132" s="34">
        <v>0</v>
      </c>
      <c r="Q132" s="69" t="str" cm="1">
        <f t="array" ref="Q132">_xlfn.IFS(R132="Move","Move",R132="NonTargetMove","Move",R132="Static","Stand",R132="None","Stand")</f>
        <v>Move</v>
      </c>
      <c r="R132" s="11" t="s">
        <v>137</v>
      </c>
      <c r="S132" s="11">
        <v>1</v>
      </c>
      <c r="T132" s="15" t="str">
        <f t="shared" si="14"/>
        <v>SignalHit</v>
      </c>
      <c r="U132" s="15" t="str" cm="1">
        <f t="array" ref="U132">_xlfn.IFS(T132="SignalHIt","TurnEnd",T132="AttackBegin","TurnEnd",T132="AttackEnd","TurnEnd",T132="Immediately","Applied",T132="None","None")</f>
        <v>TurnEnd</v>
      </c>
      <c r="V132" s="15">
        <v>0</v>
      </c>
      <c r="W132" s="11">
        <v>2000011</v>
      </c>
      <c r="X132" s="10">
        <v>13046411</v>
      </c>
      <c r="Y132" s="11" t="str">
        <f t="shared" si="15"/>
        <v>Immediately</v>
      </c>
      <c r="Z132" s="15" t="str" cm="1">
        <f t="array" ref="Z132">_xlfn.IFS(Y132="SignalHIt","TurnEnd",Y132="AttackBegin","TurnEnd",Y132="AttackEnd","TurnEnd",Y132="Immediately","Applied",Y132="None","None")</f>
        <v>Applied</v>
      </c>
      <c r="AA132" s="15">
        <v>0</v>
      </c>
      <c r="AB132" s="11">
        <v>0</v>
      </c>
      <c r="AC132" s="10">
        <v>0</v>
      </c>
      <c r="AD132" s="15" t="str">
        <f t="shared" si="16"/>
        <v>Immediately</v>
      </c>
      <c r="AE132" s="15" t="str" cm="1">
        <f t="array" ref="AE132">_xlfn.IFS(AD132="SignalHIt","TurnEnd",AD132="AttackBegin","TurnEnd",AD132="AttackEnd","TurnEnd",AD132="Immediately","Applied",AD132="None","None")</f>
        <v>Applied</v>
      </c>
      <c r="AF132" s="15">
        <v>0</v>
      </c>
      <c r="AG132" s="11">
        <v>0</v>
      </c>
      <c r="AH132" s="10">
        <v>0</v>
      </c>
      <c r="AI132" s="15" t="str">
        <f t="shared" si="17"/>
        <v>Immediately</v>
      </c>
      <c r="AJ132" s="15" t="str" cm="1">
        <f t="array" ref="AJ132">_xlfn.IFS(AI132="SignalHIt","TurnEnd",AI132="AttackBegin","TurnEnd",AI132="AttackEnd","TurnEnd",AI132="Immediately","Applied",AI132="None","None")</f>
        <v>Applied</v>
      </c>
      <c r="AK132" s="15">
        <v>0</v>
      </c>
      <c r="AL132" s="10">
        <v>0</v>
      </c>
      <c r="AM132" s="50">
        <v>0</v>
      </c>
      <c r="AN132" s="46" t="str">
        <f>IFERROR(_xlfn.XLOOKUP(W132,Target!$A:$A,Target!$B:$B),"None")</f>
        <v xml:space="preserve">가까운 적 1명 </v>
      </c>
      <c r="AO132" s="47" t="str">
        <f>IFERROR(_xlfn.XLOOKUP($X132,'BuffValue&lt;Child&gt;'!$A:$A,'BuffValue&lt;Child&gt;'!$F:$F),"None")</f>
        <v>공용 대미지</v>
      </c>
      <c r="AP132" s="47">
        <f>IFERROR(_xlfn.XLOOKUP($X132,'BuffValue&lt;Child&gt;'!$A:$A,'BuffValue&lt;Child&gt;'!$K:$K),0)</f>
        <v>285000</v>
      </c>
      <c r="AQ132" s="47" t="str">
        <f>IFERROR(_xlfn.XLOOKUP(AB132,Target!$A:$A,Target!$B:$B),"None")</f>
        <v>None</v>
      </c>
      <c r="AR132" s="46" t="str">
        <f>IFERROR(_xlfn.XLOOKUP($AC132,'BuffValue&lt;Child&gt;'!$A:$A,'BuffValue&lt;Child&gt;'!$F:$F),"None")</f>
        <v>None</v>
      </c>
      <c r="AS132" s="46">
        <f>IFERROR(_xlfn.XLOOKUP($AC132,'BuffValue&lt;Child&gt;'!$A:$A,'BuffValue&lt;Child&gt;'!$K:$K),0)</f>
        <v>0</v>
      </c>
      <c r="AT132" s="47" t="str">
        <f>IFERROR(_xlfn.XLOOKUP(AG132,Target!$A:$A,Target!$B:$B),"None")</f>
        <v>None</v>
      </c>
      <c r="AU132" s="47" t="str">
        <f>IFERROR(_xlfn.XLOOKUP($AH132,'BuffValue&lt;Child&gt;'!$A:$A,'BuffValue&lt;Child&gt;'!$F:$F),"None")</f>
        <v>None</v>
      </c>
      <c r="AV132" s="47">
        <f>IFERROR(_xlfn.XLOOKUP($AH132,'BuffValue&lt;Child&gt;'!$A:$A,'BuffValue&lt;Child&gt;'!$K:$K),0)</f>
        <v>0</v>
      </c>
      <c r="AW132" s="47" t="str">
        <f>IFERROR(_xlfn.XLOOKUP(AL132,Target!$A:$A,Target!$B:$B),"None")</f>
        <v>None</v>
      </c>
      <c r="AX132" s="47" t="str">
        <f>IFERROR(_xlfn.XLOOKUP($AM132,'BuffValue&lt;Child&gt;'!$A:$A,'BuffValue&lt;Child&gt;'!$F:$F),"None")</f>
        <v>None</v>
      </c>
      <c r="AY132" s="47">
        <f>IFERROR(_xlfn.XLOOKUP($AM132,#REF!,#REF!),0)</f>
        <v>0</v>
      </c>
    </row>
    <row r="133" spans="1:51" x14ac:dyDescent="0.3">
      <c r="A133" s="1">
        <f>INT(2&amp;MID(_xlfn.XLOOKUP(B133,[2]Timeline!$B:$B,[2]Timeline!$A:$A),2,5)&amp;1)</f>
        <v>2304641</v>
      </c>
      <c r="B133" s="7" t="s">
        <v>8</v>
      </c>
      <c r="C133" s="7" t="s">
        <v>269</v>
      </c>
      <c r="D133" s="7" t="s">
        <v>566</v>
      </c>
      <c r="E133" s="1" t="str">
        <f t="shared" si="24"/>
        <v>skill_name_2304641</v>
      </c>
      <c r="F133" s="1" t="s">
        <v>117</v>
      </c>
      <c r="G133" s="1" t="s">
        <v>410</v>
      </c>
      <c r="H133" s="1" t="str">
        <f t="shared" si="25"/>
        <v>skill_desc_2304641</v>
      </c>
      <c r="I133" s="1" t="s">
        <v>205</v>
      </c>
      <c r="J133" s="1" t="str">
        <f>IFERROR(_xlfn.XLOOKUP(W133,Target!A:A,Target!J:J),"")</f>
        <v>Skill_Target_Icon_Enemy_Near_One</v>
      </c>
      <c r="K133" s="1" t="s">
        <v>205</v>
      </c>
      <c r="L133" s="1" t="str">
        <f>IFERROR(_xlfn.XLOOKUP(W133,Target!A:A,Target!K:K),"")</f>
        <v>Skill_Area_Icon_Pivot_Centor</v>
      </c>
      <c r="M133" s="1" t="str">
        <f>_xlfn.XLOOKUP(B133,'[2]Detail&lt;Child&gt;'!$B:$B,'[2]Detail&lt;Child&gt;'!$M:$M)</f>
        <v>Water</v>
      </c>
      <c r="N133" s="1" t="str">
        <f>_xlfn.XLOOKUP(B133,'[2]Detail&lt;Child&gt;'!$B:$B,'[2]Detail&lt;Child&gt;'!$N:$N)</f>
        <v>Supporter</v>
      </c>
      <c r="O133" s="1" t="s">
        <v>33</v>
      </c>
      <c r="P133" s="33">
        <v>3</v>
      </c>
      <c r="Q133" s="68" t="str" cm="1">
        <f t="array" ref="Q133">_xlfn.IFS(R133="Move","Move",R133="NonTargetMove","Move",R133="Static","Stand",R133="None","Stand")</f>
        <v>Move</v>
      </c>
      <c r="R133" s="1" t="s">
        <v>137</v>
      </c>
      <c r="S133" s="1">
        <v>2</v>
      </c>
      <c r="T133" s="2" t="str">
        <f t="shared" ref="T133:T196" si="26">IF(X133=0,"Immediately",IF($O133="Passive","Immediately",IF(W133=0,"None","SignalHit")))</f>
        <v>SignalHit</v>
      </c>
      <c r="U133" s="2" t="str" cm="1">
        <f t="array" ref="U133">_xlfn.IFS(T133="SignalHIt","TurnEnd",T133="AttackBegin","TurnEnd",T133="AttackEnd","TurnEnd",T133="Immediately","Applied",T133="None","None")</f>
        <v>TurnEnd</v>
      </c>
      <c r="V133" s="2">
        <v>0</v>
      </c>
      <c r="W133" s="1">
        <v>2000011</v>
      </c>
      <c r="X133" s="8">
        <v>23046411</v>
      </c>
      <c r="Y133" s="1" t="str">
        <f t="shared" ref="Y133:Y196" si="27">IF($O133="Passive","Immediately",IF(AB133=0,"Immediately","AttackBegin"))</f>
        <v>Immediately</v>
      </c>
      <c r="Z133" s="2" t="str" cm="1">
        <f t="array" ref="Z133">_xlfn.IFS(Y133="SignalHIt","TurnEnd",Y133="AttackBegin","TurnEnd",Y133="AttackEnd","TurnEnd",Y133="Immediately","Applied",Y133="None","None")</f>
        <v>Applied</v>
      </c>
      <c r="AA133" s="2">
        <v>0</v>
      </c>
      <c r="AB133" s="1">
        <v>0</v>
      </c>
      <c r="AC133" s="8">
        <v>0</v>
      </c>
      <c r="AD133" s="2" t="str">
        <f t="shared" ref="AD133:AD196" si="28">IF($O133="Passive","Immediately",IF(AG133=0,"Immediately","AttackEnd"))</f>
        <v>AttackEnd</v>
      </c>
      <c r="AE133" s="2" t="str" cm="1">
        <f t="array" ref="AE133">_xlfn.IFS(AD133="SignalHIt","TurnEnd",AD133="AttackBegin","TurnEnd",AD133="AttackEnd","TurnEnd",AD133="Immediately","Applied",AD133="None","None")</f>
        <v>TurnEnd</v>
      </c>
      <c r="AF133" s="2">
        <v>0</v>
      </c>
      <c r="AG133" s="1">
        <v>1</v>
      </c>
      <c r="AH133" s="8">
        <f>X133+1</f>
        <v>23046412</v>
      </c>
      <c r="AI133" s="2" t="str">
        <f t="shared" ref="AI133:AI196" si="29">IF($O133="Passive","Immediately",IF(AL133=0,"Immediately","AttackEnd"))</f>
        <v>Immediately</v>
      </c>
      <c r="AJ133" s="2" t="str" cm="1">
        <f t="array" ref="AJ133">_xlfn.IFS(AI133="SignalHIt","TurnEnd",AI133="AttackBegin","TurnEnd",AI133="AttackEnd","TurnEnd",AI133="Immediately","Applied",AI133="None","None")</f>
        <v>Applied</v>
      </c>
      <c r="AK133" s="2">
        <v>0</v>
      </c>
      <c r="AL133" s="8">
        <v>0</v>
      </c>
      <c r="AM133" s="48">
        <v>0</v>
      </c>
      <c r="AN133" s="45" t="str">
        <f>IFERROR(_xlfn.XLOOKUP(W133,Target!$A:$A,Target!$B:$B),"None")</f>
        <v xml:space="preserve">가까운 적 1명 </v>
      </c>
      <c r="AO133" s="43" t="str">
        <f>IFERROR(_xlfn.XLOOKUP($X133,'BuffValue&lt;Child&gt;'!$A:$A,'BuffValue&lt;Child&gt;'!$F:$F),"None")</f>
        <v>액티브 대미지</v>
      </c>
      <c r="AP133" s="43">
        <f>IFERROR(_xlfn.XLOOKUP($X133,'BuffValue&lt;Child&gt;'!$A:$A,'BuffValue&lt;Child&gt;'!$K:$K),0)</f>
        <v>330000</v>
      </c>
      <c r="AQ133" s="43" t="str">
        <f>IFERROR(_xlfn.XLOOKUP(AB133,Target!$A:$A,Target!$B:$B),"None")</f>
        <v>None</v>
      </c>
      <c r="AR133" s="45" t="str">
        <f>IFERROR(_xlfn.XLOOKUP($AC133,'BuffValue&lt;Child&gt;'!$A:$A,'BuffValue&lt;Child&gt;'!$F:$F),"None")</f>
        <v>None</v>
      </c>
      <c r="AS133" s="45">
        <f>IFERROR(_xlfn.XLOOKUP($AC133,'BuffValue&lt;Child&gt;'!$A:$A,'BuffValue&lt;Child&gt;'!$K:$K),0)</f>
        <v>0</v>
      </c>
      <c r="AT133" s="43" t="str">
        <f>IFERROR(_xlfn.XLOOKUP(AG133,Target!$A:$A,Target!$B:$B),"None")</f>
        <v xml:space="preserve"> 자신 1명 </v>
      </c>
      <c r="AU133" s="43" t="str">
        <f>IFERROR(_xlfn.XLOOKUP($AH133,'BuffValue&lt;Child&gt;'!$A:$A,'BuffValue&lt;Child&gt;'!$F:$F),"None")</f>
        <v>아라한 피해량 증가</v>
      </c>
      <c r="AV133" s="43">
        <f>IFERROR(_xlfn.XLOOKUP($AH133,'BuffValue&lt;Child&gt;'!$A:$A,'BuffValue&lt;Child&gt;'!$K:$K),0)</f>
        <v>9100091</v>
      </c>
      <c r="AW133" s="43" t="str">
        <f>IFERROR(_xlfn.XLOOKUP(AL133,Target!$A:$A,Target!$B:$B),"None")</f>
        <v>None</v>
      </c>
      <c r="AX133" s="43" t="str">
        <f>IFERROR(_xlfn.XLOOKUP($AM133,'BuffValue&lt;Child&gt;'!$A:$A,'BuffValue&lt;Child&gt;'!$F:$F),"None")</f>
        <v>None</v>
      </c>
      <c r="AY133" s="43">
        <f>IFERROR(_xlfn.XLOOKUP($AM133,#REF!,#REF!),0)</f>
        <v>0</v>
      </c>
    </row>
    <row r="134" spans="1:51" x14ac:dyDescent="0.3">
      <c r="A134" s="1">
        <f>INT(2&amp;MID(_xlfn.XLOOKUP(B134,[2]Timeline!$B:$B,[2]Timeline!$A:$A),2,5)&amp;2)</f>
        <v>2304642</v>
      </c>
      <c r="B134" s="7" t="s">
        <v>8</v>
      </c>
      <c r="C134" s="7" t="s">
        <v>269</v>
      </c>
      <c r="D134" s="7" t="s">
        <v>565</v>
      </c>
      <c r="E134" s="1" t="str">
        <f t="shared" si="24"/>
        <v>skill_name_2304642</v>
      </c>
      <c r="F134" s="1" t="s">
        <v>117</v>
      </c>
      <c r="G134" s="1" t="s">
        <v>410</v>
      </c>
      <c r="H134" s="1" t="str">
        <f t="shared" si="25"/>
        <v>skill_desc_2304642</v>
      </c>
      <c r="I134" s="1" t="s">
        <v>205</v>
      </c>
      <c r="J134" s="1" t="str">
        <f>IFERROR(_xlfn.XLOOKUP(W134,Target!A:A,Target!J:J),"")</f>
        <v>Skill_Target_Icon_Enemy_Near_One</v>
      </c>
      <c r="K134" s="1" t="s">
        <v>205</v>
      </c>
      <c r="L134" s="1" t="str">
        <f>IFERROR(_xlfn.XLOOKUP(W134,Target!A:A,Target!K:K),"")</f>
        <v>Skill_Area_Icon_Pivot_Centor</v>
      </c>
      <c r="M134" s="1" t="str">
        <f>_xlfn.XLOOKUP(B134,'[2]Detail&lt;Child&gt;'!$B:$B,'[2]Detail&lt;Child&gt;'!$M:$M)</f>
        <v>Water</v>
      </c>
      <c r="N134" s="1" t="str">
        <f>_xlfn.XLOOKUP(B134,'[2]Detail&lt;Child&gt;'!$B:$B,'[2]Detail&lt;Child&gt;'!$N:$N)</f>
        <v>Supporter</v>
      </c>
      <c r="O134" s="1" t="s">
        <v>33</v>
      </c>
      <c r="P134" s="33">
        <v>2</v>
      </c>
      <c r="Q134" s="68" t="str" cm="1">
        <f t="array" ref="Q134">_xlfn.IFS(R134="Move","Move",R134="NonTargetMove","Move",R134="Static","Stand",R134="None","Stand")</f>
        <v>Move</v>
      </c>
      <c r="R134" s="1" t="s">
        <v>137</v>
      </c>
      <c r="S134" s="1">
        <v>2</v>
      </c>
      <c r="T134" s="2" t="str">
        <f t="shared" si="26"/>
        <v>SignalHit</v>
      </c>
      <c r="U134" s="2" t="str" cm="1">
        <f t="array" ref="U134">_xlfn.IFS(T134="SignalHIt","TurnEnd",T134="AttackBegin","TurnEnd",T134="AttackEnd","TurnEnd",T134="Immediately","Applied",T134="None","None")</f>
        <v>TurnEnd</v>
      </c>
      <c r="V134" s="2">
        <v>0</v>
      </c>
      <c r="W134" s="1">
        <v>2000011</v>
      </c>
      <c r="X134" s="8">
        <v>23046421</v>
      </c>
      <c r="Y134" s="1" t="str">
        <f t="shared" si="27"/>
        <v>Immediately</v>
      </c>
      <c r="Z134" s="2" t="str" cm="1">
        <f t="array" ref="Z134">_xlfn.IFS(Y134="SignalHIt","TurnEnd",Y134="AttackBegin","TurnEnd",Y134="AttackEnd","TurnEnd",Y134="Immediately","Applied",Y134="None","None")</f>
        <v>Applied</v>
      </c>
      <c r="AA134" s="2">
        <v>0</v>
      </c>
      <c r="AB134" s="1">
        <v>0</v>
      </c>
      <c r="AC134" s="8">
        <v>0</v>
      </c>
      <c r="AD134" s="2" t="str">
        <f t="shared" si="28"/>
        <v>AttackEnd</v>
      </c>
      <c r="AE134" s="2" t="str" cm="1">
        <f t="array" ref="AE134">_xlfn.IFS(AD134="SignalHIt","TurnEnd",AD134="AttackBegin","TurnEnd",AD134="AttackEnd","TurnEnd",AD134="Immediately","Applied",AD134="None","None")</f>
        <v>TurnEnd</v>
      </c>
      <c r="AF134" s="2">
        <v>0</v>
      </c>
      <c r="AG134" s="1">
        <v>1</v>
      </c>
      <c r="AH134" s="8">
        <f>X134+1</f>
        <v>23046422</v>
      </c>
      <c r="AI134" s="2" t="str">
        <f t="shared" si="29"/>
        <v>Immediately</v>
      </c>
      <c r="AJ134" s="2" t="str" cm="1">
        <f t="array" ref="AJ134">_xlfn.IFS(AI134="SignalHIt","TurnEnd",AI134="AttackBegin","TurnEnd",AI134="AttackEnd","TurnEnd",AI134="Immediately","Applied",AI134="None","None")</f>
        <v>Applied</v>
      </c>
      <c r="AK134" s="2">
        <v>0</v>
      </c>
      <c r="AL134" s="8">
        <v>0</v>
      </c>
      <c r="AM134" s="48">
        <v>0</v>
      </c>
      <c r="AN134" s="45" t="str">
        <f>IFERROR(_xlfn.XLOOKUP(W134,Target!$A:$A,Target!$B:$B),"None")</f>
        <v xml:space="preserve">가까운 적 1명 </v>
      </c>
      <c r="AO134" s="43" t="str">
        <f>IFERROR(_xlfn.XLOOKUP($X134,'BuffValue&lt;Child&gt;'!$A:$A,'BuffValue&lt;Child&gt;'!$F:$F),"None")</f>
        <v>액티브 대미지</v>
      </c>
      <c r="AP134" s="43">
        <f>IFERROR(_xlfn.XLOOKUP($X134,'BuffValue&lt;Child&gt;'!$A:$A,'BuffValue&lt;Child&gt;'!$K:$K),0)</f>
        <v>330000</v>
      </c>
      <c r="AQ134" s="43" t="str">
        <f>IFERROR(_xlfn.XLOOKUP(AB134,Target!$A:$A,Target!$B:$B),"None")</f>
        <v>None</v>
      </c>
      <c r="AR134" s="45" t="str">
        <f>IFERROR(_xlfn.XLOOKUP($AC134,'BuffValue&lt;Child&gt;'!$A:$A,'BuffValue&lt;Child&gt;'!$F:$F),"None")</f>
        <v>None</v>
      </c>
      <c r="AS134" s="45">
        <f>IFERROR(_xlfn.XLOOKUP($AC134,'BuffValue&lt;Child&gt;'!$A:$A,'BuffValue&lt;Child&gt;'!$K:$K),0)</f>
        <v>0</v>
      </c>
      <c r="AT134" s="43" t="str">
        <f>IFERROR(_xlfn.XLOOKUP(AG134,Target!$A:$A,Target!$B:$B),"None")</f>
        <v xml:space="preserve"> 자신 1명 </v>
      </c>
      <c r="AU134" s="43" t="str">
        <f>IFERROR(_xlfn.XLOOKUP($AH134,'BuffValue&lt;Child&gt;'!$A:$A,'BuffValue&lt;Child&gt;'!$F:$F),"None")</f>
        <v>아라한 피해량 증가</v>
      </c>
      <c r="AV134" s="43">
        <f>IFERROR(_xlfn.XLOOKUP($AH134,'BuffValue&lt;Child&gt;'!$A:$A,'BuffValue&lt;Child&gt;'!$K:$K),0)</f>
        <v>9100091</v>
      </c>
      <c r="AW134" s="43" t="str">
        <f>IFERROR(_xlfn.XLOOKUP(AL134,Target!$A:$A,Target!$B:$B),"None")</f>
        <v>None</v>
      </c>
      <c r="AX134" s="43" t="str">
        <f>IFERROR(_xlfn.XLOOKUP($AM134,'BuffValue&lt;Child&gt;'!$A:$A,'BuffValue&lt;Child&gt;'!$F:$F),"None")</f>
        <v>None</v>
      </c>
      <c r="AY134" s="43">
        <f>IFERROR(_xlfn.XLOOKUP($AM134,#REF!,#REF!),0)</f>
        <v>0</v>
      </c>
    </row>
    <row r="135" spans="1:51" x14ac:dyDescent="0.3">
      <c r="A135" s="1">
        <f>INT(3&amp;MID(_xlfn.XLOOKUP(B135,[2]Timeline!$B:$B,[2]Timeline!$A:$A),2,5)&amp;1)</f>
        <v>3304641</v>
      </c>
      <c r="B135" s="7" t="s">
        <v>8</v>
      </c>
      <c r="C135" s="7" t="s">
        <v>272</v>
      </c>
      <c r="D135" s="7" t="s">
        <v>555</v>
      </c>
      <c r="E135" s="1" t="str">
        <f t="shared" si="24"/>
        <v>skill_name_3304641</v>
      </c>
      <c r="F135" s="1" t="s">
        <v>117</v>
      </c>
      <c r="G135" s="1" t="s">
        <v>401</v>
      </c>
      <c r="H135" s="1" t="str">
        <f t="shared" si="25"/>
        <v>skill_desc_3304641</v>
      </c>
      <c r="I135" s="1" t="s">
        <v>205</v>
      </c>
      <c r="J135" s="1" t="str">
        <f>IFERROR(_xlfn.XLOOKUP(W135,Target!A:A,Target!J:J),"")</f>
        <v>Skill_Target_Icon_Enemy</v>
      </c>
      <c r="K135" s="1" t="s">
        <v>205</v>
      </c>
      <c r="L135" s="1" t="str">
        <f>IFERROR(_xlfn.XLOOKUP(W135,Target!A:A,Target!K:K),"")</f>
        <v>Skill_Area_Icon_NonTarget_All</v>
      </c>
      <c r="M135" s="1" t="str">
        <f>_xlfn.XLOOKUP(B135,'[2]Detail&lt;Child&gt;'!$B:$B,'[2]Detail&lt;Child&gt;'!$M:$M)</f>
        <v>Water</v>
      </c>
      <c r="N135" s="1" t="str">
        <f>_xlfn.XLOOKUP(B135,'[2]Detail&lt;Child&gt;'!$B:$B,'[2]Detail&lt;Child&gt;'!$N:$N)</f>
        <v>Supporter</v>
      </c>
      <c r="O135" s="1" t="s">
        <v>140</v>
      </c>
      <c r="P135" s="33">
        <v>0</v>
      </c>
      <c r="Q135" s="68" t="str" cm="1">
        <f t="array" ref="Q135">_xlfn.IFS(R135="Move","Move",R135="NonTargetMove","Move",R135="Static","Stand",R135="None","Stand")</f>
        <v>Move</v>
      </c>
      <c r="R135" s="1" t="s">
        <v>153</v>
      </c>
      <c r="S135" s="1">
        <v>1</v>
      </c>
      <c r="T135" s="2" t="str">
        <f t="shared" si="26"/>
        <v>SignalHit</v>
      </c>
      <c r="U135" s="2" t="str" cm="1">
        <f t="array" ref="U135">_xlfn.IFS(T135="SignalHIt","TurnEnd",T135="AttackBegin","TurnEnd",T135="AttackEnd","TurnEnd",T135="Immediately","Applied",T135="None","None")</f>
        <v>TurnEnd</v>
      </c>
      <c r="V135" s="2">
        <v>0</v>
      </c>
      <c r="W135" s="1">
        <v>920001</v>
      </c>
      <c r="X135" s="8">
        <v>33046411</v>
      </c>
      <c r="Y135" s="1" t="str">
        <f t="shared" si="27"/>
        <v>Immediately</v>
      </c>
      <c r="Z135" s="2" t="str" cm="1">
        <f t="array" ref="Z135">_xlfn.IFS(Y135="SignalHIt","TurnEnd",Y135="AttackBegin","TurnEnd",Y135="AttackEnd","TurnEnd",Y135="Immediately","Applied",Y135="None","None")</f>
        <v>Applied</v>
      </c>
      <c r="AA135" s="2">
        <v>0</v>
      </c>
      <c r="AB135" s="1">
        <v>0</v>
      </c>
      <c r="AC135" s="8">
        <v>0</v>
      </c>
      <c r="AD135" s="2" t="str">
        <f t="shared" si="28"/>
        <v>AttackEnd</v>
      </c>
      <c r="AE135" s="2" t="str" cm="1">
        <f t="array" ref="AE135">_xlfn.IFS(AD135="SignalHIt","TurnEnd",AD135="AttackBegin","TurnEnd",AD135="AttackEnd","TurnEnd",AD135="Immediately","Applied",AD135="None","None")</f>
        <v>TurnEnd</v>
      </c>
      <c r="AF135" s="2">
        <v>0</v>
      </c>
      <c r="AG135" s="1">
        <v>920001</v>
      </c>
      <c r="AH135" s="8">
        <v>33046412</v>
      </c>
      <c r="AI135" s="2" t="str">
        <f t="shared" si="29"/>
        <v>Immediately</v>
      </c>
      <c r="AJ135" s="2" t="str" cm="1">
        <f t="array" ref="AJ135">_xlfn.IFS(AI135="SignalHIt","TurnEnd",AI135="AttackBegin","TurnEnd",AI135="AttackEnd","TurnEnd",AI135="Immediately","Applied",AI135="None","None")</f>
        <v>Applied</v>
      </c>
      <c r="AK135" s="2">
        <v>0</v>
      </c>
      <c r="AL135" s="8">
        <v>0</v>
      </c>
      <c r="AM135" s="48">
        <v>0</v>
      </c>
      <c r="AN135" s="45" t="str">
        <f>IFERROR(_xlfn.XLOOKUP(W135,Target!$A:$A,Target!$B:$B),"None")</f>
        <v>논타겟 적 9칸</v>
      </c>
      <c r="AO135" s="43" t="str">
        <f>IFERROR(_xlfn.XLOOKUP($X135,'BuffValue&lt;Child&gt;'!$A:$A,'BuffValue&lt;Child&gt;'!$F:$F),"None")</f>
        <v>얼티밋 대미지</v>
      </c>
      <c r="AP135" s="43">
        <f>IFERROR(_xlfn.XLOOKUP($X135,'BuffValue&lt;Child&gt;'!$A:$A,'BuffValue&lt;Child&gt;'!$K:$K),0)</f>
        <v>110000</v>
      </c>
      <c r="AQ135" s="43" t="str">
        <f>IFERROR(_xlfn.XLOOKUP(AB135,Target!$A:$A,Target!$B:$B),"None")</f>
        <v>None</v>
      </c>
      <c r="AR135" s="45" t="str">
        <f>IFERROR(_xlfn.XLOOKUP($AC135,'BuffValue&lt;Child&gt;'!$A:$A,'BuffValue&lt;Child&gt;'!$F:$F),"None")</f>
        <v>None</v>
      </c>
      <c r="AS135" s="45">
        <f>IFERROR(_xlfn.XLOOKUP($AC135,'BuffValue&lt;Child&gt;'!$A:$A,'BuffValue&lt;Child&gt;'!$K:$K),0)</f>
        <v>0</v>
      </c>
      <c r="AT135" s="43" t="str">
        <f>IFERROR(_xlfn.XLOOKUP(AG135,Target!$A:$A,Target!$B:$B),"None")</f>
        <v>논타겟 적 9칸</v>
      </c>
      <c r="AU135" s="43" t="str">
        <f>IFERROR(_xlfn.XLOOKUP($AH135,'BuffValue&lt;Child&gt;'!$A:$A,'BuffValue&lt;Child&gt;'!$F:$F),"None")</f>
        <v>아라한 방어력 감소</v>
      </c>
      <c r="AV135" s="43">
        <f>IFERROR(_xlfn.XLOOKUP($AH135,'BuffValue&lt;Child&gt;'!$A:$A,'BuffValue&lt;Child&gt;'!$K:$K),0)</f>
        <v>-20000</v>
      </c>
      <c r="AW135" s="43" t="str">
        <f>IFERROR(_xlfn.XLOOKUP(AL135,Target!$A:$A,Target!$B:$B),"None")</f>
        <v>None</v>
      </c>
      <c r="AX135" s="43" t="str">
        <f>IFERROR(_xlfn.XLOOKUP($AM135,'BuffValue&lt;Child&gt;'!$A:$A,'BuffValue&lt;Child&gt;'!$F:$F),"None")</f>
        <v>None</v>
      </c>
      <c r="AY135" s="43">
        <f>IFERROR(_xlfn.XLOOKUP($AM135,#REF!,#REF!),0)</f>
        <v>0</v>
      </c>
    </row>
    <row r="136" spans="1:51" x14ac:dyDescent="0.3">
      <c r="A136" s="1">
        <f>INT(3&amp;MID(_xlfn.XLOOKUP(B136,[2]Timeline!$B:$B,[2]Timeline!$A:$A),2,5)&amp;2)</f>
        <v>3304642</v>
      </c>
      <c r="B136" s="7" t="s">
        <v>8</v>
      </c>
      <c r="C136" s="7" t="s">
        <v>272</v>
      </c>
      <c r="D136" s="7" t="s">
        <v>555</v>
      </c>
      <c r="E136" s="1" t="str">
        <f t="shared" si="24"/>
        <v>skill_name_3304642</v>
      </c>
      <c r="F136" s="1" t="s">
        <v>117</v>
      </c>
      <c r="G136" s="1" t="s">
        <v>401</v>
      </c>
      <c r="H136" s="1" t="str">
        <f t="shared" si="25"/>
        <v>skill_desc_3304642</v>
      </c>
      <c r="I136" s="1" t="s">
        <v>205</v>
      </c>
      <c r="J136" s="1" t="str">
        <f>IFERROR(_xlfn.XLOOKUP(W136,Target!A:A,Target!J:J),"")</f>
        <v>Skill_Target_Icon_Enemy</v>
      </c>
      <c r="K136" s="1" t="s">
        <v>205</v>
      </c>
      <c r="L136" s="1" t="str">
        <f>IFERROR(_xlfn.XLOOKUP(W136,Target!A:A,Target!K:K),"")</f>
        <v>Skill_Area_Icon_NonTarget_All</v>
      </c>
      <c r="M136" s="1" t="str">
        <f>_xlfn.XLOOKUP(B136,'[2]Detail&lt;Child&gt;'!$B:$B,'[2]Detail&lt;Child&gt;'!$M:$M)</f>
        <v>Water</v>
      </c>
      <c r="N136" s="1" t="str">
        <f>_xlfn.XLOOKUP(B136,'[2]Detail&lt;Child&gt;'!$B:$B,'[2]Detail&lt;Child&gt;'!$N:$N)</f>
        <v>Supporter</v>
      </c>
      <c r="O136" s="1" t="s">
        <v>140</v>
      </c>
      <c r="P136" s="33">
        <v>0</v>
      </c>
      <c r="Q136" s="68" t="str" cm="1">
        <f t="array" ref="Q136">_xlfn.IFS(R136="Move","Move",R136="NonTargetMove","Move",R136="Static","Stand",R136="None","Stand")</f>
        <v>Move</v>
      </c>
      <c r="R136" s="1" t="s">
        <v>153</v>
      </c>
      <c r="S136" s="1">
        <v>1</v>
      </c>
      <c r="T136" s="2" t="str">
        <f t="shared" si="26"/>
        <v>SignalHit</v>
      </c>
      <c r="U136" s="2" t="str" cm="1">
        <f t="array" ref="U136">_xlfn.IFS(T136="SignalHIt","TurnEnd",T136="AttackBegin","TurnEnd",T136="AttackEnd","TurnEnd",T136="Immediately","Applied",T136="None","None")</f>
        <v>TurnEnd</v>
      </c>
      <c r="V136" s="2">
        <v>0</v>
      </c>
      <c r="W136" s="1">
        <v>920001</v>
      </c>
      <c r="X136" s="8">
        <v>33046421</v>
      </c>
      <c r="Y136" s="1" t="str">
        <f t="shared" si="27"/>
        <v>Immediately</v>
      </c>
      <c r="Z136" s="2" t="str" cm="1">
        <f t="array" ref="Z136">_xlfn.IFS(Y136="SignalHIt","TurnEnd",Y136="AttackBegin","TurnEnd",Y136="AttackEnd","TurnEnd",Y136="Immediately","Applied",Y136="None","None")</f>
        <v>Applied</v>
      </c>
      <c r="AA136" s="2">
        <v>0</v>
      </c>
      <c r="AB136" s="1">
        <v>0</v>
      </c>
      <c r="AC136" s="8">
        <v>0</v>
      </c>
      <c r="AD136" s="2" t="str">
        <f t="shared" si="28"/>
        <v>AttackEnd</v>
      </c>
      <c r="AE136" s="2" t="str" cm="1">
        <f t="array" ref="AE136">_xlfn.IFS(AD136="SignalHIt","TurnEnd",AD136="AttackBegin","TurnEnd",AD136="AttackEnd","TurnEnd",AD136="Immediately","Applied",AD136="None","None")</f>
        <v>TurnEnd</v>
      </c>
      <c r="AF136" s="2">
        <v>0</v>
      </c>
      <c r="AG136" s="1">
        <v>920001</v>
      </c>
      <c r="AH136" s="8">
        <v>33046422</v>
      </c>
      <c r="AI136" s="2" t="str">
        <f t="shared" si="29"/>
        <v>Immediately</v>
      </c>
      <c r="AJ136" s="2" t="str" cm="1">
        <f t="array" ref="AJ136">_xlfn.IFS(AI136="SignalHIt","TurnEnd",AI136="AttackBegin","TurnEnd",AI136="AttackEnd","TurnEnd",AI136="Immediately","Applied",AI136="None","None")</f>
        <v>Applied</v>
      </c>
      <c r="AK136" s="2">
        <v>0</v>
      </c>
      <c r="AL136" s="8">
        <v>0</v>
      </c>
      <c r="AM136" s="48">
        <v>0</v>
      </c>
      <c r="AN136" s="45" t="str">
        <f>IFERROR(_xlfn.XLOOKUP(W136,Target!$A:$A,Target!$B:$B),"None")</f>
        <v>논타겟 적 9칸</v>
      </c>
      <c r="AO136" s="43" t="str">
        <f>IFERROR(_xlfn.XLOOKUP($X136,'BuffValue&lt;Child&gt;'!$A:$A,'BuffValue&lt;Child&gt;'!$F:$F),"None")</f>
        <v>얼티밋 대미지</v>
      </c>
      <c r="AP136" s="43">
        <f>IFERROR(_xlfn.XLOOKUP($X136,'BuffValue&lt;Child&gt;'!$A:$A,'BuffValue&lt;Child&gt;'!$K:$K),0)</f>
        <v>110000</v>
      </c>
      <c r="AQ136" s="43" t="str">
        <f>IFERROR(_xlfn.XLOOKUP(AB136,Target!$A:$A,Target!$B:$B),"None")</f>
        <v>None</v>
      </c>
      <c r="AR136" s="45" t="str">
        <f>IFERROR(_xlfn.XLOOKUP($AC136,'BuffValue&lt;Child&gt;'!$A:$A,'BuffValue&lt;Child&gt;'!$F:$F),"None")</f>
        <v>None</v>
      </c>
      <c r="AS136" s="45">
        <f>IFERROR(_xlfn.XLOOKUP($AC136,'BuffValue&lt;Child&gt;'!$A:$A,'BuffValue&lt;Child&gt;'!$K:$K),0)</f>
        <v>0</v>
      </c>
      <c r="AT136" s="43" t="str">
        <f>IFERROR(_xlfn.XLOOKUP(AG136,Target!$A:$A,Target!$B:$B),"None")</f>
        <v>논타겟 적 9칸</v>
      </c>
      <c r="AU136" s="43" t="str">
        <f>IFERROR(_xlfn.XLOOKUP($AH136,'BuffValue&lt;Child&gt;'!$A:$A,'BuffValue&lt;Child&gt;'!$F:$F),"None")</f>
        <v>아라한 방어력 감소</v>
      </c>
      <c r="AV136" s="43">
        <f>IFERROR(_xlfn.XLOOKUP($AH136,'BuffValue&lt;Child&gt;'!$A:$A,'BuffValue&lt;Child&gt;'!$K:$K),0)</f>
        <v>-20000</v>
      </c>
      <c r="AW136" s="43" t="str">
        <f>IFERROR(_xlfn.XLOOKUP(AL136,Target!$A:$A,Target!$B:$B),"None")</f>
        <v>None</v>
      </c>
      <c r="AX136" s="43" t="str">
        <f>IFERROR(_xlfn.XLOOKUP($AM136,'BuffValue&lt;Child&gt;'!$A:$A,'BuffValue&lt;Child&gt;'!$F:$F),"None")</f>
        <v>None</v>
      </c>
      <c r="AY136" s="43">
        <f>IFERROR(_xlfn.XLOOKUP($AM136,#REF!,#REF!),0)</f>
        <v>0</v>
      </c>
    </row>
    <row r="137" spans="1:51" x14ac:dyDescent="0.3">
      <c r="A137" s="1">
        <f>INT(3&amp;MID(_xlfn.XLOOKUP(B137,[2]Timeline!$B:$B,[2]Timeline!$A:$A),2,5)&amp;3)</f>
        <v>3304643</v>
      </c>
      <c r="B137" s="7" t="s">
        <v>8</v>
      </c>
      <c r="C137" s="7" t="s">
        <v>271</v>
      </c>
      <c r="D137" s="7" t="s">
        <v>555</v>
      </c>
      <c r="E137" s="1" t="str">
        <f t="shared" si="24"/>
        <v>skill_name_3304643</v>
      </c>
      <c r="F137" s="1" t="s">
        <v>117</v>
      </c>
      <c r="G137" s="1" t="s">
        <v>401</v>
      </c>
      <c r="H137" s="1" t="str">
        <f t="shared" si="25"/>
        <v>skill_desc_3304643</v>
      </c>
      <c r="I137" s="1" t="s">
        <v>205</v>
      </c>
      <c r="J137" s="1" t="str">
        <f>IFERROR(_xlfn.XLOOKUP(W137,Target!A:A,Target!J:J),"")</f>
        <v>Skill_Target_Icon_Enemy</v>
      </c>
      <c r="K137" s="1" t="s">
        <v>205</v>
      </c>
      <c r="L137" s="1" t="str">
        <f>IFERROR(_xlfn.XLOOKUP(W137,Target!A:A,Target!K:K),"")</f>
        <v>Skill_Area_Icon_NonTarget_All</v>
      </c>
      <c r="M137" s="1" t="str">
        <f>_xlfn.XLOOKUP(B137,'[2]Detail&lt;Child&gt;'!$B:$B,'[2]Detail&lt;Child&gt;'!$M:$M)</f>
        <v>Water</v>
      </c>
      <c r="N137" s="1" t="str">
        <f>_xlfn.XLOOKUP(B137,'[2]Detail&lt;Child&gt;'!$B:$B,'[2]Detail&lt;Child&gt;'!$N:$N)</f>
        <v>Supporter</v>
      </c>
      <c r="O137" s="1" t="s">
        <v>140</v>
      </c>
      <c r="P137" s="33">
        <v>0</v>
      </c>
      <c r="Q137" s="68" t="str" cm="1">
        <f t="array" ref="Q137">_xlfn.IFS(R137="Move","Move",R137="NonTargetMove","Move",R137="Static","Stand",R137="None","Stand")</f>
        <v>Move</v>
      </c>
      <c r="R137" s="1" t="s">
        <v>153</v>
      </c>
      <c r="S137" s="1">
        <v>1</v>
      </c>
      <c r="T137" s="2" t="str">
        <f t="shared" si="26"/>
        <v>SignalHit</v>
      </c>
      <c r="U137" s="2" t="str" cm="1">
        <f t="array" ref="U137">_xlfn.IFS(T137="SignalHIt","TurnEnd",T137="AttackBegin","TurnEnd",T137="AttackEnd","TurnEnd",T137="Immediately","Applied",T137="None","None")</f>
        <v>TurnEnd</v>
      </c>
      <c r="V137" s="2">
        <v>0</v>
      </c>
      <c r="W137" s="1">
        <v>920001</v>
      </c>
      <c r="X137" s="8">
        <v>33046431</v>
      </c>
      <c r="Y137" s="1" t="str">
        <f t="shared" si="27"/>
        <v>Immediately</v>
      </c>
      <c r="Z137" s="2" t="str" cm="1">
        <f t="array" ref="Z137">_xlfn.IFS(Y137="SignalHIt","TurnEnd",Y137="AttackBegin","TurnEnd",Y137="AttackEnd","TurnEnd",Y137="Immediately","Applied",Y137="None","None")</f>
        <v>Applied</v>
      </c>
      <c r="AA137" s="2">
        <v>0</v>
      </c>
      <c r="AB137" s="1">
        <v>0</v>
      </c>
      <c r="AC137" s="8">
        <v>0</v>
      </c>
      <c r="AD137" s="2" t="str">
        <f t="shared" si="28"/>
        <v>AttackEnd</v>
      </c>
      <c r="AE137" s="2" t="str" cm="1">
        <f t="array" ref="AE137">_xlfn.IFS(AD137="SignalHIt","TurnEnd",AD137="AttackBegin","TurnEnd",AD137="AttackEnd","TurnEnd",AD137="Immediately","Applied",AD137="None","None")</f>
        <v>TurnEnd</v>
      </c>
      <c r="AF137" s="2">
        <v>0</v>
      </c>
      <c r="AG137" s="1">
        <v>920001</v>
      </c>
      <c r="AH137" s="8">
        <v>33046432</v>
      </c>
      <c r="AI137" s="2" t="str">
        <f t="shared" si="29"/>
        <v>Immediately</v>
      </c>
      <c r="AJ137" s="2" t="str" cm="1">
        <f t="array" ref="AJ137">_xlfn.IFS(AI137="SignalHIt","TurnEnd",AI137="AttackBegin","TurnEnd",AI137="AttackEnd","TurnEnd",AI137="Immediately","Applied",AI137="None","None")</f>
        <v>Applied</v>
      </c>
      <c r="AK137" s="2">
        <v>0</v>
      </c>
      <c r="AL137" s="8">
        <v>0</v>
      </c>
      <c r="AM137" s="48">
        <v>0</v>
      </c>
      <c r="AN137" s="45" t="str">
        <f>IFERROR(_xlfn.XLOOKUP(W137,Target!$A:$A,Target!$B:$B),"None")</f>
        <v>논타겟 적 9칸</v>
      </c>
      <c r="AO137" s="43" t="str">
        <f>IFERROR(_xlfn.XLOOKUP($X137,'BuffValue&lt;Child&gt;'!$A:$A,'BuffValue&lt;Child&gt;'!$F:$F),"None")</f>
        <v>얼티밋 대미지</v>
      </c>
      <c r="AP137" s="43">
        <f>IFERROR(_xlfn.XLOOKUP($X137,'BuffValue&lt;Child&gt;'!$A:$A,'BuffValue&lt;Child&gt;'!$K:$K),0)</f>
        <v>110000</v>
      </c>
      <c r="AQ137" s="43" t="str">
        <f>IFERROR(_xlfn.XLOOKUP(AB137,Target!$A:$A,Target!$B:$B),"None")</f>
        <v>None</v>
      </c>
      <c r="AR137" s="45" t="str">
        <f>IFERROR(_xlfn.XLOOKUP($AC137,'BuffValue&lt;Child&gt;'!$A:$A,'BuffValue&lt;Child&gt;'!$F:$F),"None")</f>
        <v>None</v>
      </c>
      <c r="AS137" s="45">
        <f>IFERROR(_xlfn.XLOOKUP($AC137,'BuffValue&lt;Child&gt;'!$A:$A,'BuffValue&lt;Child&gt;'!$K:$K),0)</f>
        <v>0</v>
      </c>
      <c r="AT137" s="43" t="str">
        <f>IFERROR(_xlfn.XLOOKUP(AG137,Target!$A:$A,Target!$B:$B),"None")</f>
        <v>논타겟 적 9칸</v>
      </c>
      <c r="AU137" s="43" t="str">
        <f>IFERROR(_xlfn.XLOOKUP($AH137,'BuffValue&lt;Child&gt;'!$A:$A,'BuffValue&lt;Child&gt;'!$F:$F),"None")</f>
        <v>아라한 방어력 감소</v>
      </c>
      <c r="AV137" s="43">
        <f>IFERROR(_xlfn.XLOOKUP($AH137,'BuffValue&lt;Child&gt;'!$A:$A,'BuffValue&lt;Child&gt;'!$K:$K),0)</f>
        <v>-20000</v>
      </c>
      <c r="AW137" s="43" t="str">
        <f>IFERROR(_xlfn.XLOOKUP(AL137,Target!$A:$A,Target!$B:$B),"None")</f>
        <v>None</v>
      </c>
      <c r="AX137" s="43" t="str">
        <f>IFERROR(_xlfn.XLOOKUP($AM137,'BuffValue&lt;Child&gt;'!$A:$A,'BuffValue&lt;Child&gt;'!$F:$F),"None")</f>
        <v>None</v>
      </c>
      <c r="AY137" s="43">
        <f>IFERROR(_xlfn.XLOOKUP($AM137,#REF!,#REF!),0)</f>
        <v>0</v>
      </c>
    </row>
    <row r="138" spans="1:51" x14ac:dyDescent="0.3">
      <c r="A138" s="1">
        <f>INT(4&amp;MID(_xlfn.XLOOKUP(B138,[2]Timeline!$B:$B,[2]Timeline!$A:$A),2,5)&amp;1)</f>
        <v>4304641</v>
      </c>
      <c r="B138" s="7" t="s">
        <v>8</v>
      </c>
      <c r="C138" s="7" t="s">
        <v>122</v>
      </c>
      <c r="D138" s="7" t="s">
        <v>556</v>
      </c>
      <c r="E138" s="1" t="str">
        <f t="shared" si="24"/>
        <v>skill_name_4304641</v>
      </c>
      <c r="F138" s="1" t="s">
        <v>117</v>
      </c>
      <c r="G138" s="1" t="s">
        <v>412</v>
      </c>
      <c r="H138" s="1" t="str">
        <f t="shared" si="25"/>
        <v>skill_desc_4304641</v>
      </c>
      <c r="I138" s="1" t="s">
        <v>205</v>
      </c>
      <c r="J138" s="1" t="str">
        <f>IFERROR(_xlfn.XLOOKUP(W138,Target!A:A,Target!J:J),"")</f>
        <v>Skill_Target_Icon_Mine</v>
      </c>
      <c r="K138" s="1" t="s">
        <v>205</v>
      </c>
      <c r="L138" s="1" t="str">
        <f>IFERROR(_xlfn.XLOOKUP(W138,Target!A:A,Target!K:K),"")</f>
        <v>Skill_Area_Icon_Pivot_Centor</v>
      </c>
      <c r="M138" s="1" t="str">
        <f>_xlfn.XLOOKUP(B138,'[2]Detail&lt;Child&gt;'!$B:$B,'[2]Detail&lt;Child&gt;'!$M:$M)</f>
        <v>Water</v>
      </c>
      <c r="N138" s="1" t="str">
        <f>_xlfn.XLOOKUP(B138,'[2]Detail&lt;Child&gt;'!$B:$B,'[2]Detail&lt;Child&gt;'!$N:$N)</f>
        <v>Supporter</v>
      </c>
      <c r="O138" s="1" t="s">
        <v>167</v>
      </c>
      <c r="P138" s="33">
        <v>0</v>
      </c>
      <c r="Q138" s="68" t="str" cm="1">
        <f t="array" ref="Q138">_xlfn.IFS(R138="Move","Move",R138="NonTargetMove","Move",R138="Static","Stand",R138="None","Stand")</f>
        <v>Stand</v>
      </c>
      <c r="R138" s="1" t="s">
        <v>136</v>
      </c>
      <c r="S138" s="1">
        <f>IF(R138="Static",0,1)</f>
        <v>0</v>
      </c>
      <c r="T138" s="2" t="str">
        <f t="shared" si="26"/>
        <v>Immediately</v>
      </c>
      <c r="U138" s="2" t="str" cm="1">
        <f t="array" ref="U138">_xlfn.IFS(T138="SignalHIt","TurnEnd",T138="AttackBegin","TurnEnd",T138="AttackEnd","TurnEnd",T138="Immediately","Applied",T138="None","None")</f>
        <v>Applied</v>
      </c>
      <c r="V138" s="2">
        <v>0</v>
      </c>
      <c r="W138" s="1">
        <v>1</v>
      </c>
      <c r="X138" s="8">
        <v>43046411</v>
      </c>
      <c r="Y138" s="1" t="str">
        <f t="shared" si="27"/>
        <v>Immediately</v>
      </c>
      <c r="Z138" s="2" t="str" cm="1">
        <f t="array" ref="Z138">_xlfn.IFS(Y138="SignalHIt","TurnEnd",Y138="AttackBegin","TurnEnd",Y138="AttackEnd","TurnEnd",Y138="Immediately","Applied",Y138="None","None")</f>
        <v>Applied</v>
      </c>
      <c r="AA138" s="2">
        <v>0</v>
      </c>
      <c r="AB138" s="1">
        <v>0</v>
      </c>
      <c r="AC138" s="8">
        <v>0</v>
      </c>
      <c r="AD138" s="2" t="str">
        <f t="shared" si="28"/>
        <v>Immediately</v>
      </c>
      <c r="AE138" s="2" t="str" cm="1">
        <f t="array" ref="AE138">_xlfn.IFS(AD138="SignalHIt","TurnEnd",AD138="AttackBegin","TurnEnd",AD138="AttackEnd","TurnEnd",AD138="Immediately","Applied",AD138="None","None")</f>
        <v>Applied</v>
      </c>
      <c r="AF138" s="2">
        <v>0</v>
      </c>
      <c r="AG138" s="1">
        <v>0</v>
      </c>
      <c r="AH138" s="8">
        <v>0</v>
      </c>
      <c r="AI138" s="2" t="str">
        <f t="shared" si="29"/>
        <v>Immediately</v>
      </c>
      <c r="AJ138" s="2" t="str" cm="1">
        <f t="array" ref="AJ138">_xlfn.IFS(AI138="SignalHIt","TurnEnd",AI138="AttackBegin","TurnEnd",AI138="AttackEnd","TurnEnd",AI138="Immediately","Applied",AI138="None","None")</f>
        <v>Applied</v>
      </c>
      <c r="AK138" s="2">
        <v>0</v>
      </c>
      <c r="AL138" s="8">
        <v>0</v>
      </c>
      <c r="AM138" s="48">
        <v>0</v>
      </c>
      <c r="AN138" s="45" t="str">
        <f>IFERROR(_xlfn.XLOOKUP(W138,Target!$A:$A,Target!$B:$B),"None")</f>
        <v xml:space="preserve"> 자신 1명 </v>
      </c>
      <c r="AO138" s="43" t="str">
        <f>IFERROR(_xlfn.XLOOKUP($X138,'BuffValue&lt;Child&gt;'!$A:$A,'BuffValue&lt;Child&gt;'!$F:$F),"None")</f>
        <v>아라한 패시브 스킬 사용</v>
      </c>
      <c r="AP138" s="43">
        <f>IFERROR(_xlfn.XLOOKUP($X138,'BuffValue&lt;Child&gt;'!$A:$A,'BuffValue&lt;Child&gt;'!$K:$K),0)</f>
        <v>9100021</v>
      </c>
      <c r="AQ138" s="43" t="str">
        <f>IFERROR(_xlfn.XLOOKUP(AB138,Target!$A:$A,Target!$B:$B),"None")</f>
        <v>None</v>
      </c>
      <c r="AR138" s="45" t="str">
        <f>IFERROR(_xlfn.XLOOKUP($AC138,'BuffValue&lt;Child&gt;'!$A:$A,'BuffValue&lt;Child&gt;'!$F:$F),"None")</f>
        <v>None</v>
      </c>
      <c r="AS138" s="45">
        <f>IFERROR(_xlfn.XLOOKUP($AC138,'BuffValue&lt;Child&gt;'!$A:$A,'BuffValue&lt;Child&gt;'!$K:$K),0)</f>
        <v>0</v>
      </c>
      <c r="AT138" s="43" t="str">
        <f>IFERROR(_xlfn.XLOOKUP(AG138,Target!$A:$A,Target!$B:$B),"None")</f>
        <v>None</v>
      </c>
      <c r="AU138" s="43" t="str">
        <f>IFERROR(_xlfn.XLOOKUP($AH138,'BuffValue&lt;Child&gt;'!$A:$A,'BuffValue&lt;Child&gt;'!$F:$F),"None")</f>
        <v>None</v>
      </c>
      <c r="AV138" s="43">
        <f>IFERROR(_xlfn.XLOOKUP($AH138,'BuffValue&lt;Child&gt;'!$A:$A,'BuffValue&lt;Child&gt;'!$K:$K),0)</f>
        <v>0</v>
      </c>
      <c r="AW138" s="43" t="str">
        <f>IFERROR(_xlfn.XLOOKUP(AL138,Target!$A:$A,Target!$B:$B),"None")</f>
        <v>None</v>
      </c>
      <c r="AX138" s="43" t="str">
        <f>IFERROR(_xlfn.XLOOKUP($AM138,'BuffValue&lt;Child&gt;'!$A:$A,'BuffValue&lt;Child&gt;'!$F:$F),"None")</f>
        <v>None</v>
      </c>
      <c r="AY138" s="43">
        <f>IFERROR(_xlfn.XLOOKUP($AM138,#REF!,#REF!),0)</f>
        <v>0</v>
      </c>
    </row>
    <row r="139" spans="1:51" x14ac:dyDescent="0.3">
      <c r="A139" s="1">
        <f>INT(4&amp;MID(_xlfn.XLOOKUP(B139,[2]Timeline!$B:$B,[2]Timeline!$A:$A),2,5)&amp;2)</f>
        <v>4304642</v>
      </c>
      <c r="B139" s="7" t="s">
        <v>8</v>
      </c>
      <c r="C139" s="7" t="s">
        <v>122</v>
      </c>
      <c r="D139" s="7" t="s">
        <v>556</v>
      </c>
      <c r="E139" s="1" t="str">
        <f t="shared" si="24"/>
        <v>skill_name_4304642</v>
      </c>
      <c r="F139" s="1" t="s">
        <v>117</v>
      </c>
      <c r="G139" s="1" t="s">
        <v>412</v>
      </c>
      <c r="H139" s="1" t="str">
        <f t="shared" si="25"/>
        <v>skill_desc_4304642</v>
      </c>
      <c r="I139" s="1" t="s">
        <v>205</v>
      </c>
      <c r="J139" s="1" t="str">
        <f>IFERROR(_xlfn.XLOOKUP(W139,Target!A:A,Target!J:J),"")</f>
        <v>Skill_Target_Icon_Mine</v>
      </c>
      <c r="K139" s="1" t="s">
        <v>205</v>
      </c>
      <c r="L139" s="1" t="str">
        <f>IFERROR(_xlfn.XLOOKUP(W139,Target!A:A,Target!K:K),"")</f>
        <v>Skill_Area_Icon_Pivot_Centor</v>
      </c>
      <c r="M139" s="1" t="str">
        <f>_xlfn.XLOOKUP(B139,'[2]Detail&lt;Child&gt;'!$B:$B,'[2]Detail&lt;Child&gt;'!$M:$M)</f>
        <v>Water</v>
      </c>
      <c r="N139" s="1" t="str">
        <f>_xlfn.XLOOKUP(B139,'[2]Detail&lt;Child&gt;'!$B:$B,'[2]Detail&lt;Child&gt;'!$N:$N)</f>
        <v>Supporter</v>
      </c>
      <c r="O139" s="1" t="s">
        <v>167</v>
      </c>
      <c r="P139" s="33">
        <v>0</v>
      </c>
      <c r="Q139" s="68" t="str" cm="1">
        <f t="array" ref="Q139">_xlfn.IFS(R139="Move","Move",R139="NonTargetMove","Move",R139="Static","Stand",R139="None","Stand")</f>
        <v>Stand</v>
      </c>
      <c r="R139" s="1" t="s">
        <v>136</v>
      </c>
      <c r="S139" s="1">
        <f>IF(R139="Static",0,1)</f>
        <v>0</v>
      </c>
      <c r="T139" s="2" t="str">
        <f t="shared" si="26"/>
        <v>Immediately</v>
      </c>
      <c r="U139" s="2" t="str" cm="1">
        <f t="array" ref="U139">_xlfn.IFS(T139="SignalHIt","TurnEnd",T139="AttackBegin","TurnEnd",T139="AttackEnd","TurnEnd",T139="Immediately","Applied",T139="None","None")</f>
        <v>Applied</v>
      </c>
      <c r="V139" s="2">
        <v>0</v>
      </c>
      <c r="W139" s="1">
        <v>1</v>
      </c>
      <c r="X139" s="8">
        <v>43046421</v>
      </c>
      <c r="Y139" s="1" t="str">
        <f t="shared" si="27"/>
        <v>Immediately</v>
      </c>
      <c r="Z139" s="2" t="str" cm="1">
        <f t="array" ref="Z139">_xlfn.IFS(Y139="SignalHIt","TurnEnd",Y139="AttackBegin","TurnEnd",Y139="AttackEnd","TurnEnd",Y139="Immediately","Applied",Y139="None","None")</f>
        <v>Applied</v>
      </c>
      <c r="AA139" s="2">
        <v>0</v>
      </c>
      <c r="AB139" s="1">
        <v>0</v>
      </c>
      <c r="AC139" s="8">
        <v>0</v>
      </c>
      <c r="AD139" s="2" t="str">
        <f t="shared" si="28"/>
        <v>Immediately</v>
      </c>
      <c r="AE139" s="2" t="str" cm="1">
        <f t="array" ref="AE139">_xlfn.IFS(AD139="SignalHIt","TurnEnd",AD139="AttackBegin","TurnEnd",AD139="AttackEnd","TurnEnd",AD139="Immediately","Applied",AD139="None","None")</f>
        <v>Applied</v>
      </c>
      <c r="AF139" s="2">
        <v>0</v>
      </c>
      <c r="AG139" s="1">
        <v>0</v>
      </c>
      <c r="AH139" s="8">
        <v>0</v>
      </c>
      <c r="AI139" s="2" t="str">
        <f t="shared" si="29"/>
        <v>Immediately</v>
      </c>
      <c r="AJ139" s="2" t="str" cm="1">
        <f t="array" ref="AJ139">_xlfn.IFS(AI139="SignalHIt","TurnEnd",AI139="AttackBegin","TurnEnd",AI139="AttackEnd","TurnEnd",AI139="Immediately","Applied",AI139="None","None")</f>
        <v>Applied</v>
      </c>
      <c r="AK139" s="2">
        <v>0</v>
      </c>
      <c r="AL139" s="8">
        <v>0</v>
      </c>
      <c r="AM139" s="48">
        <v>0</v>
      </c>
      <c r="AN139" s="45" t="str">
        <f>IFERROR(_xlfn.XLOOKUP(W139,Target!$A:$A,Target!$B:$B),"None")</f>
        <v xml:space="preserve"> 자신 1명 </v>
      </c>
      <c r="AO139" s="43" t="str">
        <f>IFERROR(_xlfn.XLOOKUP($X139,'BuffValue&lt;Child&gt;'!$A:$A,'BuffValue&lt;Child&gt;'!$F:$F),"None")</f>
        <v>아라한 패시브 스킬 사용</v>
      </c>
      <c r="AP139" s="43">
        <f>IFERROR(_xlfn.XLOOKUP($X139,'BuffValue&lt;Child&gt;'!$A:$A,'BuffValue&lt;Child&gt;'!$K:$K),0)</f>
        <v>9100021</v>
      </c>
      <c r="AQ139" s="43" t="str">
        <f>IFERROR(_xlfn.XLOOKUP(AB139,Target!$A:$A,Target!$B:$B),"None")</f>
        <v>None</v>
      </c>
      <c r="AR139" s="45" t="str">
        <f>IFERROR(_xlfn.XLOOKUP($AC139,'BuffValue&lt;Child&gt;'!$A:$A,'BuffValue&lt;Child&gt;'!$F:$F),"None")</f>
        <v>None</v>
      </c>
      <c r="AS139" s="45">
        <f>IFERROR(_xlfn.XLOOKUP($AC139,'BuffValue&lt;Child&gt;'!$A:$A,'BuffValue&lt;Child&gt;'!$K:$K),0)</f>
        <v>0</v>
      </c>
      <c r="AT139" s="43" t="str">
        <f>IFERROR(_xlfn.XLOOKUP(AG139,Target!$A:$A,Target!$B:$B),"None")</f>
        <v>None</v>
      </c>
      <c r="AU139" s="43" t="str">
        <f>IFERROR(_xlfn.XLOOKUP($AH139,'BuffValue&lt;Child&gt;'!$A:$A,'BuffValue&lt;Child&gt;'!$F:$F),"None")</f>
        <v>None</v>
      </c>
      <c r="AV139" s="43">
        <f>IFERROR(_xlfn.XLOOKUP($AH139,'BuffValue&lt;Child&gt;'!$A:$A,'BuffValue&lt;Child&gt;'!$K:$K),0)</f>
        <v>0</v>
      </c>
      <c r="AW139" s="43" t="str">
        <f>IFERROR(_xlfn.XLOOKUP(AL139,Target!$A:$A,Target!$B:$B),"None")</f>
        <v>None</v>
      </c>
      <c r="AX139" s="43" t="str">
        <f>IFERROR(_xlfn.XLOOKUP($AM139,'BuffValue&lt;Child&gt;'!$A:$A,'BuffValue&lt;Child&gt;'!$F:$F),"None")</f>
        <v>None</v>
      </c>
      <c r="AY139" s="43">
        <f>IFERROR(_xlfn.XLOOKUP($AM139,#REF!,#REF!),0)</f>
        <v>0</v>
      </c>
    </row>
    <row r="140" spans="1:51" s="11" customFormat="1" x14ac:dyDescent="0.3">
      <c r="A140" s="11">
        <f>INT(1&amp;MID(_xlfn.XLOOKUP(B140,[2]Timeline!$B:$B,[2]Timeline!$A:$A),2,5)&amp;1)</f>
        <v>1304321</v>
      </c>
      <c r="B140" s="12" t="s">
        <v>169</v>
      </c>
      <c r="C140" s="12" t="s">
        <v>294</v>
      </c>
      <c r="D140" s="12" t="s">
        <v>341</v>
      </c>
      <c r="E140" s="11" t="str">
        <f t="shared" si="24"/>
        <v>skill_name_1304321</v>
      </c>
      <c r="F140" s="11" t="s">
        <v>117</v>
      </c>
      <c r="G140" s="11" t="s">
        <v>414</v>
      </c>
      <c r="H140" s="11" t="str">
        <f t="shared" si="25"/>
        <v>skill_desc_1304321</v>
      </c>
      <c r="I140" s="11" t="s">
        <v>205</v>
      </c>
      <c r="J140" s="11" t="str">
        <f>IFERROR(_xlfn.XLOOKUP(W140,Target!A:A,Target!J:J),"")</f>
        <v>Skill_Target_Icon_Enemy_Near_One</v>
      </c>
      <c r="K140" s="11" t="s">
        <v>205</v>
      </c>
      <c r="L140" s="11" t="str">
        <f>IFERROR(_xlfn.XLOOKUP(W140,Target!A:A,Target!K:K),"")</f>
        <v>Skill_Area_Icon_Pivot_Centor</v>
      </c>
      <c r="M140" s="11" t="str">
        <f>_xlfn.XLOOKUP(B140,'[2]Detail&lt;Child&gt;'!$B:$B,'[2]Detail&lt;Child&gt;'!$M:$M)</f>
        <v>Dark</v>
      </c>
      <c r="N140" s="11" t="str">
        <f>_xlfn.XLOOKUP(B140,'[2]Detail&lt;Child&gt;'!$B:$B,'[2]Detail&lt;Child&gt;'!$N:$N)</f>
        <v>Attacker</v>
      </c>
      <c r="O140" s="11" t="s">
        <v>30</v>
      </c>
      <c r="P140" s="34">
        <v>0</v>
      </c>
      <c r="Q140" s="69" t="str" cm="1">
        <f t="array" ref="Q140">_xlfn.IFS(R140="Move","Move",R140="NonTargetMove","Move",R140="Static","Stand",R140="None","Stand")</f>
        <v>Stand</v>
      </c>
      <c r="R140" s="11" t="s">
        <v>136</v>
      </c>
      <c r="S140" s="11">
        <f>IF(R140="Static",0,1)</f>
        <v>0</v>
      </c>
      <c r="T140" s="15" t="str">
        <f t="shared" si="26"/>
        <v>SignalHit</v>
      </c>
      <c r="U140" s="15" t="str" cm="1">
        <f t="array" ref="U140">_xlfn.IFS(T140="SignalHIt","TurnEnd",T140="AttackBegin","TurnEnd",T140="AttackEnd","TurnEnd",T140="Immediately","Applied",T140="None","None")</f>
        <v>TurnEnd</v>
      </c>
      <c r="V140" s="15">
        <v>0</v>
      </c>
      <c r="W140" s="11">
        <v>2000011</v>
      </c>
      <c r="X140" s="10">
        <v>13043211</v>
      </c>
      <c r="Y140" s="11" t="str">
        <f t="shared" si="27"/>
        <v>Immediately</v>
      </c>
      <c r="Z140" s="15" t="str" cm="1">
        <f t="array" ref="Z140">_xlfn.IFS(Y140="SignalHIt","TurnEnd",Y140="AttackBegin","TurnEnd",Y140="AttackEnd","TurnEnd",Y140="Immediately","Applied",Y140="None","None")</f>
        <v>Applied</v>
      </c>
      <c r="AA140" s="15">
        <v>0</v>
      </c>
      <c r="AB140" s="11">
        <v>0</v>
      </c>
      <c r="AC140" s="10">
        <v>0</v>
      </c>
      <c r="AD140" s="15" t="str">
        <f t="shared" si="28"/>
        <v>Immediately</v>
      </c>
      <c r="AE140" s="15" t="str" cm="1">
        <f t="array" ref="AE140">_xlfn.IFS(AD140="SignalHIt","TurnEnd",AD140="AttackBegin","TurnEnd",AD140="AttackEnd","TurnEnd",AD140="Immediately","Applied",AD140="None","None")</f>
        <v>Applied</v>
      </c>
      <c r="AF140" s="15">
        <v>0</v>
      </c>
      <c r="AG140" s="11">
        <v>0</v>
      </c>
      <c r="AH140" s="10">
        <v>0</v>
      </c>
      <c r="AI140" s="15" t="str">
        <f t="shared" si="29"/>
        <v>Immediately</v>
      </c>
      <c r="AJ140" s="15" t="str" cm="1">
        <f t="array" ref="AJ140">_xlfn.IFS(AI140="SignalHIt","TurnEnd",AI140="AttackBegin","TurnEnd",AI140="AttackEnd","TurnEnd",AI140="Immediately","Applied",AI140="None","None")</f>
        <v>Applied</v>
      </c>
      <c r="AK140" s="15">
        <v>0</v>
      </c>
      <c r="AL140" s="10">
        <v>0</v>
      </c>
      <c r="AM140" s="50">
        <v>0</v>
      </c>
      <c r="AN140" s="46" t="str">
        <f>IFERROR(_xlfn.XLOOKUP(W140,Target!$A:$A,Target!$B:$B),"None")</f>
        <v xml:space="preserve">가까운 적 1명 </v>
      </c>
      <c r="AO140" s="47" t="str">
        <f>IFERROR(_xlfn.XLOOKUP($X140,'BuffValue&lt;Child&gt;'!$A:$A,'BuffValue&lt;Child&gt;'!$F:$F),"None")</f>
        <v>공용 대미지</v>
      </c>
      <c r="AP140" s="47">
        <f>IFERROR(_xlfn.XLOOKUP($X140,'BuffValue&lt;Child&gt;'!$A:$A,'BuffValue&lt;Child&gt;'!$K:$K),0)</f>
        <v>175000</v>
      </c>
      <c r="AQ140" s="47" t="str">
        <f>IFERROR(_xlfn.XLOOKUP(AB140,Target!$A:$A,Target!$B:$B),"None")</f>
        <v>None</v>
      </c>
      <c r="AR140" s="46" t="str">
        <f>IFERROR(_xlfn.XLOOKUP($AC140,'BuffValue&lt;Child&gt;'!$A:$A,'BuffValue&lt;Child&gt;'!$F:$F),"None")</f>
        <v>None</v>
      </c>
      <c r="AS140" s="46">
        <f>IFERROR(_xlfn.XLOOKUP($AC140,'BuffValue&lt;Child&gt;'!$A:$A,'BuffValue&lt;Child&gt;'!$K:$K),0)</f>
        <v>0</v>
      </c>
      <c r="AT140" s="47" t="str">
        <f>IFERROR(_xlfn.XLOOKUP(AG140,Target!$A:$A,Target!$B:$B),"None")</f>
        <v>None</v>
      </c>
      <c r="AU140" s="47" t="str">
        <f>IFERROR(_xlfn.XLOOKUP($AH140,'BuffValue&lt;Child&gt;'!$A:$A,'BuffValue&lt;Child&gt;'!$F:$F),"None")</f>
        <v>None</v>
      </c>
      <c r="AV140" s="47">
        <f>IFERROR(_xlfn.XLOOKUP($AH140,'BuffValue&lt;Child&gt;'!$A:$A,'BuffValue&lt;Child&gt;'!$K:$K),0)</f>
        <v>0</v>
      </c>
      <c r="AW140" s="47" t="str">
        <f>IFERROR(_xlfn.XLOOKUP(AL140,Target!$A:$A,Target!$B:$B),"None")</f>
        <v>None</v>
      </c>
      <c r="AX140" s="47" t="str">
        <f>IFERROR(_xlfn.XLOOKUP($AM140,'BuffValue&lt;Child&gt;'!$A:$A,'BuffValue&lt;Child&gt;'!$F:$F),"None")</f>
        <v>None</v>
      </c>
      <c r="AY140" s="47">
        <f>IFERROR(_xlfn.XLOOKUP($AM140,#REF!,#REF!),0)</f>
        <v>0</v>
      </c>
    </row>
    <row r="141" spans="1:51" x14ac:dyDescent="0.3">
      <c r="A141" s="1">
        <f>INT(2&amp;MID(_xlfn.XLOOKUP(B141,[2]Timeline!$B:$B,[2]Timeline!$A:$A),2,5)&amp;1)</f>
        <v>2304321</v>
      </c>
      <c r="B141" s="7" t="s">
        <v>165</v>
      </c>
      <c r="C141" s="7" t="s">
        <v>295</v>
      </c>
      <c r="D141" s="7" t="s">
        <v>557</v>
      </c>
      <c r="E141" s="1" t="str">
        <f t="shared" si="24"/>
        <v>skill_name_2304321</v>
      </c>
      <c r="F141" s="1" t="s">
        <v>117</v>
      </c>
      <c r="G141" s="1" t="s">
        <v>413</v>
      </c>
      <c r="H141" s="1" t="str">
        <f t="shared" si="25"/>
        <v>skill_desc_2304321</v>
      </c>
      <c r="I141" s="1" t="s">
        <v>205</v>
      </c>
      <c r="J141" s="1" t="str">
        <f>IFERROR(_xlfn.XLOOKUP(W141,Target!A:A,Target!J:J),"")</f>
        <v>Skill_Target_Icon_Mine</v>
      </c>
      <c r="K141" s="1" t="s">
        <v>205</v>
      </c>
      <c r="L141" s="1" t="str">
        <f>IFERROR(_xlfn.XLOOKUP(W141,Target!A:A,Target!K:K),"")</f>
        <v>Skill_Area_Icon_Pivot_Centor</v>
      </c>
      <c r="M141" s="1" t="str">
        <f>_xlfn.XLOOKUP(B141,'[2]Detail&lt;Child&gt;'!$B:$B,'[2]Detail&lt;Child&gt;'!$M:$M)</f>
        <v>Dark</v>
      </c>
      <c r="N141" s="1" t="str">
        <f>_xlfn.XLOOKUP(B141,'[2]Detail&lt;Child&gt;'!$B:$B,'[2]Detail&lt;Child&gt;'!$N:$N)</f>
        <v>Attacker</v>
      </c>
      <c r="O141" s="1" t="s">
        <v>33</v>
      </c>
      <c r="P141" s="33">
        <v>3</v>
      </c>
      <c r="Q141" s="68" t="s">
        <v>496</v>
      </c>
      <c r="R141" s="1" t="s">
        <v>136</v>
      </c>
      <c r="S141" s="1">
        <f>IF(R141="Static",0,1)</f>
        <v>0</v>
      </c>
      <c r="T141" s="2" t="str">
        <f t="shared" si="26"/>
        <v>SignalHit</v>
      </c>
      <c r="U141" s="2" t="str" cm="1">
        <f t="array" ref="U141">_xlfn.IFS(T141="SignalHIt","TurnEnd",T141="AttackBegin","TurnEnd",T141="AttackEnd","TurnEnd",T141="Immediately","Applied",T141="None","None")</f>
        <v>TurnEnd</v>
      </c>
      <c r="V141" s="2">
        <v>0</v>
      </c>
      <c r="W141" s="1">
        <v>1</v>
      </c>
      <c r="X141" s="8">
        <v>23043211</v>
      </c>
      <c r="Y141" s="1" t="str">
        <f t="shared" si="27"/>
        <v>Immediately</v>
      </c>
      <c r="Z141" s="2" t="str" cm="1">
        <f t="array" ref="Z141">_xlfn.IFS(Y141="SignalHIt","TurnEnd",Y141="AttackBegin","TurnEnd",Y141="AttackEnd","TurnEnd",Y141="Immediately","Applied",Y141="None","None")</f>
        <v>Applied</v>
      </c>
      <c r="AA141" s="2">
        <v>0</v>
      </c>
      <c r="AB141" s="1">
        <v>0</v>
      </c>
      <c r="AC141" s="8">
        <v>0</v>
      </c>
      <c r="AD141" s="2" t="str">
        <f t="shared" si="28"/>
        <v>AttackEnd</v>
      </c>
      <c r="AE141" s="2" t="str" cm="1">
        <f t="array" ref="AE141">_xlfn.IFS(AD141="SignalHIt","TurnEnd",AD141="AttackBegin","TurnEnd",AD141="AttackEnd","TurnEnd",AD141="Immediately","Applied",AD141="None","None")</f>
        <v>TurnEnd</v>
      </c>
      <c r="AF141" s="2">
        <v>0</v>
      </c>
      <c r="AG141" s="1">
        <v>1</v>
      </c>
      <c r="AH141" s="8">
        <f>X141+1</f>
        <v>23043212</v>
      </c>
      <c r="AI141" s="2" t="str">
        <f t="shared" si="29"/>
        <v>Immediately</v>
      </c>
      <c r="AJ141" s="2" t="str" cm="1">
        <f t="array" ref="AJ141">_xlfn.IFS(AI141="SignalHIt","TurnEnd",AI141="AttackBegin","TurnEnd",AI141="AttackEnd","TurnEnd",AI141="Immediately","Applied",AI141="None","None")</f>
        <v>Applied</v>
      </c>
      <c r="AK141" s="2">
        <v>0</v>
      </c>
      <c r="AL141" s="8">
        <v>0</v>
      </c>
      <c r="AM141" s="48">
        <v>0</v>
      </c>
      <c r="AN141" s="45" t="str">
        <f>IFERROR(_xlfn.XLOOKUP(W141,Target!$A:$A,Target!$B:$B),"None")</f>
        <v xml:space="preserve"> 자신 1명 </v>
      </c>
      <c r="AO141" s="43" t="str">
        <f>IFERROR(_xlfn.XLOOKUP($X141,'BuffValue&lt;Child&gt;'!$A:$A,'BuffValue&lt;Child&gt;'!$F:$F),"None")</f>
        <v>공격력 증가</v>
      </c>
      <c r="AP141" s="43">
        <f>IFERROR(_xlfn.XLOOKUP($X141,'BuffValue&lt;Child&gt;'!$A:$A,'BuffValue&lt;Child&gt;'!$K:$K),0)</f>
        <v>30000</v>
      </c>
      <c r="AQ141" s="43" t="str">
        <f>IFERROR(_xlfn.XLOOKUP(AB141,Target!$A:$A,Target!$B:$B),"None")</f>
        <v>None</v>
      </c>
      <c r="AR141" s="45" t="str">
        <f>IFERROR(_xlfn.XLOOKUP($AC141,'BuffValue&lt;Child&gt;'!$A:$A,'BuffValue&lt;Child&gt;'!$F:$F),"None")</f>
        <v>None</v>
      </c>
      <c r="AS141" s="45">
        <f>IFERROR(_xlfn.XLOOKUP($AC141,'BuffValue&lt;Child&gt;'!$A:$A,'BuffValue&lt;Child&gt;'!$K:$K),0)</f>
        <v>0</v>
      </c>
      <c r="AT141" s="43" t="str">
        <f>IFERROR(_xlfn.XLOOKUP(AG141,Target!$A:$A,Target!$B:$B),"None")</f>
        <v xml:space="preserve"> 자신 1명 </v>
      </c>
      <c r="AU141" s="43" t="str">
        <f>IFERROR(_xlfn.XLOOKUP($AH141,'BuffValue&lt;Child&gt;'!$A:$A,'BuffValue&lt;Child&gt;'!$F:$F),"None")</f>
        <v>아르테미스 SP 회복</v>
      </c>
      <c r="AV141" s="43">
        <f>IFERROR(_xlfn.XLOOKUP($AH141,'BuffValue&lt;Child&gt;'!$A:$A,'BuffValue&lt;Child&gt;'!$K:$K),0)</f>
        <v>20</v>
      </c>
      <c r="AW141" s="43" t="str">
        <f>IFERROR(_xlfn.XLOOKUP(AL141,Target!$A:$A,Target!$B:$B),"None")</f>
        <v>None</v>
      </c>
      <c r="AX141" s="43" t="str">
        <f>IFERROR(_xlfn.XLOOKUP($AM141,'BuffValue&lt;Child&gt;'!$A:$A,'BuffValue&lt;Child&gt;'!$F:$F),"None")</f>
        <v>None</v>
      </c>
      <c r="AY141" s="43">
        <f>IFERROR(_xlfn.XLOOKUP($AM141,#REF!,#REF!),0)</f>
        <v>0</v>
      </c>
    </row>
    <row r="142" spans="1:51" x14ac:dyDescent="0.3">
      <c r="A142" s="1">
        <f>INT(2&amp;MID(_xlfn.XLOOKUP(B142,[2]Timeline!$B:$B,[2]Timeline!$A:$A),2,5)&amp;2)</f>
        <v>2304322</v>
      </c>
      <c r="B142" s="7" t="s">
        <v>165</v>
      </c>
      <c r="C142" s="7" t="s">
        <v>295</v>
      </c>
      <c r="D142" s="7" t="s">
        <v>557</v>
      </c>
      <c r="E142" s="1" t="str">
        <f t="shared" si="24"/>
        <v>skill_name_2304322</v>
      </c>
      <c r="F142" s="1" t="s">
        <v>117</v>
      </c>
      <c r="G142" s="1" t="s">
        <v>413</v>
      </c>
      <c r="H142" s="1" t="str">
        <f t="shared" si="25"/>
        <v>skill_desc_2304322</v>
      </c>
      <c r="I142" s="1" t="s">
        <v>205</v>
      </c>
      <c r="J142" s="1" t="str">
        <f>IFERROR(_xlfn.XLOOKUP(W142,Target!A:A,Target!J:J),"")</f>
        <v>Skill_Target_Icon_Mine</v>
      </c>
      <c r="K142" s="1" t="s">
        <v>205</v>
      </c>
      <c r="L142" s="1" t="str">
        <f>IFERROR(_xlfn.XLOOKUP(W142,Target!A:A,Target!K:K),"")</f>
        <v>Skill_Area_Icon_Pivot_Centor</v>
      </c>
      <c r="M142" s="1" t="str">
        <f>_xlfn.XLOOKUP(B142,'[2]Detail&lt;Child&gt;'!$B:$B,'[2]Detail&lt;Child&gt;'!$M:$M)</f>
        <v>Dark</v>
      </c>
      <c r="N142" s="1" t="str">
        <f>_xlfn.XLOOKUP(B142,'[2]Detail&lt;Child&gt;'!$B:$B,'[2]Detail&lt;Child&gt;'!$N:$N)</f>
        <v>Attacker</v>
      </c>
      <c r="O142" s="1" t="s">
        <v>33</v>
      </c>
      <c r="P142" s="33">
        <v>2</v>
      </c>
      <c r="Q142" s="68" t="s">
        <v>137</v>
      </c>
      <c r="R142" s="1" t="s">
        <v>136</v>
      </c>
      <c r="S142" s="1">
        <f>IF(R142="Static",0,1)</f>
        <v>0</v>
      </c>
      <c r="T142" s="2" t="str">
        <f t="shared" si="26"/>
        <v>SignalHit</v>
      </c>
      <c r="U142" s="2" t="str" cm="1">
        <f t="array" ref="U142">_xlfn.IFS(T142="SignalHIt","TurnEnd",T142="AttackBegin","TurnEnd",T142="AttackEnd","TurnEnd",T142="Immediately","Applied",T142="None","None")</f>
        <v>TurnEnd</v>
      </c>
      <c r="V142" s="2">
        <v>0</v>
      </c>
      <c r="W142" s="1">
        <v>1</v>
      </c>
      <c r="X142" s="8">
        <v>23043221</v>
      </c>
      <c r="Y142" s="1" t="str">
        <f t="shared" si="27"/>
        <v>Immediately</v>
      </c>
      <c r="Z142" s="2" t="str" cm="1">
        <f t="array" ref="Z142">_xlfn.IFS(Y142="SignalHIt","TurnEnd",Y142="AttackBegin","TurnEnd",Y142="AttackEnd","TurnEnd",Y142="Immediately","Applied",Y142="None","None")</f>
        <v>Applied</v>
      </c>
      <c r="AA142" s="2">
        <v>0</v>
      </c>
      <c r="AB142" s="1">
        <v>0</v>
      </c>
      <c r="AC142" s="8">
        <v>0</v>
      </c>
      <c r="AD142" s="2" t="str">
        <f t="shared" si="28"/>
        <v>AttackEnd</v>
      </c>
      <c r="AE142" s="2" t="str" cm="1">
        <f t="array" ref="AE142">_xlfn.IFS(AD142="SignalHIt","TurnEnd",AD142="AttackBegin","TurnEnd",AD142="AttackEnd","TurnEnd",AD142="Immediately","Applied",AD142="None","None")</f>
        <v>TurnEnd</v>
      </c>
      <c r="AF142" s="2">
        <v>0</v>
      </c>
      <c r="AG142" s="1">
        <v>1</v>
      </c>
      <c r="AH142" s="8">
        <f>X142+1</f>
        <v>23043222</v>
      </c>
      <c r="AI142" s="2" t="str">
        <f t="shared" si="29"/>
        <v>Immediately</v>
      </c>
      <c r="AJ142" s="2" t="str" cm="1">
        <f t="array" ref="AJ142">_xlfn.IFS(AI142="SignalHIt","TurnEnd",AI142="AttackBegin","TurnEnd",AI142="AttackEnd","TurnEnd",AI142="Immediately","Applied",AI142="None","None")</f>
        <v>Applied</v>
      </c>
      <c r="AK142" s="2">
        <v>0</v>
      </c>
      <c r="AL142" s="8">
        <v>0</v>
      </c>
      <c r="AM142" s="48">
        <v>0</v>
      </c>
      <c r="AN142" s="45" t="str">
        <f>IFERROR(_xlfn.XLOOKUP(W142,Target!$A:$A,Target!$B:$B),"None")</f>
        <v xml:space="preserve"> 자신 1명 </v>
      </c>
      <c r="AO142" s="43" t="str">
        <f>IFERROR(_xlfn.XLOOKUP($X142,'BuffValue&lt;Child&gt;'!$A:$A,'BuffValue&lt;Child&gt;'!$F:$F),"None")</f>
        <v>공격력 증가</v>
      </c>
      <c r="AP142" s="43">
        <f>IFERROR(_xlfn.XLOOKUP($X142,'BuffValue&lt;Child&gt;'!$A:$A,'BuffValue&lt;Child&gt;'!$K:$K),0)</f>
        <v>30000</v>
      </c>
      <c r="AQ142" s="43" t="str">
        <f>IFERROR(_xlfn.XLOOKUP(AB142,Target!$A:$A,Target!$B:$B),"None")</f>
        <v>None</v>
      </c>
      <c r="AR142" s="45" t="str">
        <f>IFERROR(_xlfn.XLOOKUP($AC142,'BuffValue&lt;Child&gt;'!$A:$A,'BuffValue&lt;Child&gt;'!$F:$F),"None")</f>
        <v>None</v>
      </c>
      <c r="AS142" s="45">
        <f>IFERROR(_xlfn.XLOOKUP($AC142,'BuffValue&lt;Child&gt;'!$A:$A,'BuffValue&lt;Child&gt;'!$K:$K),0)</f>
        <v>0</v>
      </c>
      <c r="AT142" s="43" t="str">
        <f>IFERROR(_xlfn.XLOOKUP(AG142,Target!$A:$A,Target!$B:$B),"None")</f>
        <v xml:space="preserve"> 자신 1명 </v>
      </c>
      <c r="AU142" s="43" t="str">
        <f>IFERROR(_xlfn.XLOOKUP($AH142,'BuffValue&lt;Child&gt;'!$A:$A,'BuffValue&lt;Child&gt;'!$F:$F),"None")</f>
        <v>아르테미스 SP 회복</v>
      </c>
      <c r="AV142" s="43">
        <f>IFERROR(_xlfn.XLOOKUP($AH142,'BuffValue&lt;Child&gt;'!$A:$A,'BuffValue&lt;Child&gt;'!$K:$K),0)</f>
        <v>20</v>
      </c>
      <c r="AW142" s="43" t="str">
        <f>IFERROR(_xlfn.XLOOKUP(AL142,Target!$A:$A,Target!$B:$B),"None")</f>
        <v>None</v>
      </c>
      <c r="AX142" s="43" t="str">
        <f>IFERROR(_xlfn.XLOOKUP($AM142,'BuffValue&lt;Child&gt;'!$A:$A,'BuffValue&lt;Child&gt;'!$F:$F),"None")</f>
        <v>None</v>
      </c>
      <c r="AY142" s="43">
        <f>IFERROR(_xlfn.XLOOKUP($AM142,#REF!,#REF!),0)</f>
        <v>0</v>
      </c>
    </row>
    <row r="143" spans="1:51" x14ac:dyDescent="0.3">
      <c r="A143" s="1">
        <f>INT(3&amp;MID(_xlfn.XLOOKUP(B143,[2]Timeline!$B:$B,[2]Timeline!$A:$A),2,5)&amp;1)</f>
        <v>3304321</v>
      </c>
      <c r="B143" s="7" t="s">
        <v>165</v>
      </c>
      <c r="C143" s="7" t="s">
        <v>296</v>
      </c>
      <c r="D143" s="7" t="s">
        <v>555</v>
      </c>
      <c r="E143" s="1" t="str">
        <f t="shared" si="24"/>
        <v>skill_name_3304321</v>
      </c>
      <c r="F143" s="1" t="s">
        <v>117</v>
      </c>
      <c r="G143" s="1" t="s">
        <v>402</v>
      </c>
      <c r="H143" s="1" t="str">
        <f t="shared" si="25"/>
        <v>skill_desc_3304321</v>
      </c>
      <c r="I143" s="1" t="s">
        <v>205</v>
      </c>
      <c r="J143" s="1" t="str">
        <f>IFERROR(_xlfn.XLOOKUP(W143,Target!A:A,Target!J:J),"")</f>
        <v>Skill_Target_Icon_Enemy</v>
      </c>
      <c r="K143" s="1" t="s">
        <v>205</v>
      </c>
      <c r="L143" s="1" t="str">
        <f>IFERROR(_xlfn.XLOOKUP(W143,Target!A:A,Target!K:K),"")</f>
        <v>Skill_Area_Icon_NonTarget_All</v>
      </c>
      <c r="M143" s="1" t="str">
        <f>_xlfn.XLOOKUP(B143,'[2]Detail&lt;Child&gt;'!$B:$B,'[2]Detail&lt;Child&gt;'!$M:$M)</f>
        <v>Dark</v>
      </c>
      <c r="N143" s="1" t="str">
        <f>_xlfn.XLOOKUP(B143,'[2]Detail&lt;Child&gt;'!$B:$B,'[2]Detail&lt;Child&gt;'!$N:$N)</f>
        <v>Attacker</v>
      </c>
      <c r="O143" s="1" t="s">
        <v>141</v>
      </c>
      <c r="P143" s="33">
        <v>0</v>
      </c>
      <c r="Q143" s="68" t="str" cm="1">
        <f t="array" ref="Q143">_xlfn.IFS(R143="Move","Move",R143="NonTargetMove","Move",R143="Static","Stand",R143="None","Stand")</f>
        <v>Move</v>
      </c>
      <c r="R143" s="1" t="s">
        <v>153</v>
      </c>
      <c r="S143" s="1">
        <v>1</v>
      </c>
      <c r="T143" s="2" t="str">
        <f t="shared" si="26"/>
        <v>SignalHit</v>
      </c>
      <c r="U143" s="2" t="str" cm="1">
        <f t="array" ref="U143">_xlfn.IFS(T143="SignalHIt","TurnEnd",T143="AttackBegin","TurnEnd",T143="AttackEnd","TurnEnd",T143="Immediately","Applied",T143="None","None")</f>
        <v>TurnEnd</v>
      </c>
      <c r="V143" s="2">
        <v>0</v>
      </c>
      <c r="W143" s="1">
        <v>920001</v>
      </c>
      <c r="X143" s="8">
        <v>33043211</v>
      </c>
      <c r="Y143" s="1" t="str">
        <f t="shared" si="27"/>
        <v>Immediately</v>
      </c>
      <c r="Z143" s="2" t="str" cm="1">
        <f t="array" ref="Z143">_xlfn.IFS(Y143="SignalHIt","TurnEnd",Y143="AttackBegin","TurnEnd",Y143="AttackEnd","TurnEnd",Y143="Immediately","Applied",Y143="None","None")</f>
        <v>Applied</v>
      </c>
      <c r="AA143" s="2">
        <v>0</v>
      </c>
      <c r="AB143" s="1">
        <v>0</v>
      </c>
      <c r="AC143" s="8">
        <v>0</v>
      </c>
      <c r="AD143" s="2" t="str">
        <f t="shared" si="28"/>
        <v>AttackEnd</v>
      </c>
      <c r="AE143" s="2" t="str" cm="1">
        <f t="array" ref="AE143">_xlfn.IFS(AD143="SignalHIt","TurnEnd",AD143="AttackBegin","TurnEnd",AD143="AttackEnd","TurnEnd",AD143="Immediately","Applied",AD143="None","None")</f>
        <v>TurnEnd</v>
      </c>
      <c r="AF143" s="2">
        <v>0</v>
      </c>
      <c r="AG143" s="1">
        <v>920001</v>
      </c>
      <c r="AH143" s="8">
        <f>X143+1</f>
        <v>33043212</v>
      </c>
      <c r="AI143" s="2" t="str">
        <f t="shared" si="29"/>
        <v>Immediately</v>
      </c>
      <c r="AJ143" s="2" t="str" cm="1">
        <f t="array" ref="AJ143">_xlfn.IFS(AI143="SignalHIt","TurnEnd",AI143="AttackBegin","TurnEnd",AI143="AttackEnd","TurnEnd",AI143="Immediately","Applied",AI143="None","None")</f>
        <v>Applied</v>
      </c>
      <c r="AK143" s="2">
        <v>0</v>
      </c>
      <c r="AL143" s="8">
        <v>0</v>
      </c>
      <c r="AM143" s="48">
        <v>0</v>
      </c>
      <c r="AN143" s="45" t="str">
        <f>IFERROR(_xlfn.XLOOKUP(W143,Target!$A:$A,Target!$B:$B),"None")</f>
        <v>논타겟 적 9칸</v>
      </c>
      <c r="AO143" s="43" t="str">
        <f>IFERROR(_xlfn.XLOOKUP($X143,'BuffValue&lt;Child&gt;'!$A:$A,'BuffValue&lt;Child&gt;'!$F:$F),"None")</f>
        <v>얼티밋 대미지</v>
      </c>
      <c r="AP143" s="43">
        <f>IFERROR(_xlfn.XLOOKUP($X143,'BuffValue&lt;Child&gt;'!$A:$A,'BuffValue&lt;Child&gt;'!$K:$K),0)</f>
        <v>80000</v>
      </c>
      <c r="AQ143" s="43" t="str">
        <f>IFERROR(_xlfn.XLOOKUP(AB143,Target!$A:$A,Target!$B:$B),"None")</f>
        <v>None</v>
      </c>
      <c r="AR143" s="45" t="str">
        <f>IFERROR(_xlfn.XLOOKUP($AC143,'BuffValue&lt;Child&gt;'!$A:$A,'BuffValue&lt;Child&gt;'!$F:$F),"None")</f>
        <v>None</v>
      </c>
      <c r="AS143" s="45">
        <f>IFERROR(_xlfn.XLOOKUP($AC143,'BuffValue&lt;Child&gt;'!$A:$A,'BuffValue&lt;Child&gt;'!$K:$K),0)</f>
        <v>0</v>
      </c>
      <c r="AT143" s="43" t="str">
        <f>IFERROR(_xlfn.XLOOKUP(AG143,Target!$A:$A,Target!$B:$B),"None")</f>
        <v>논타겟 적 9칸</v>
      </c>
      <c r="AU143" s="43" t="str">
        <f>IFERROR(_xlfn.XLOOKUP($AH143,'BuffValue&lt;Child&gt;'!$A:$A,'BuffValue&lt;Child&gt;'!$F:$F),"None")</f>
        <v>아르테미스 방어력 감소</v>
      </c>
      <c r="AV143" s="43">
        <f>IFERROR(_xlfn.XLOOKUP($AH143,'BuffValue&lt;Child&gt;'!$A:$A,'BuffValue&lt;Child&gt;'!$K:$K),0)</f>
        <v>-15000</v>
      </c>
      <c r="AW143" s="43" t="str">
        <f>IFERROR(_xlfn.XLOOKUP(AL143,Target!$A:$A,Target!$B:$B),"None")</f>
        <v>None</v>
      </c>
      <c r="AX143" s="43" t="str">
        <f>IFERROR(_xlfn.XLOOKUP($AM143,'BuffValue&lt;Child&gt;'!$A:$A,'BuffValue&lt;Child&gt;'!$F:$F),"None")</f>
        <v>None</v>
      </c>
      <c r="AY143" s="43">
        <f>IFERROR(_xlfn.XLOOKUP($AM143,#REF!,#REF!),0)</f>
        <v>0</v>
      </c>
    </row>
    <row r="144" spans="1:51" x14ac:dyDescent="0.3">
      <c r="A144" s="1">
        <f>INT(3&amp;MID(_xlfn.XLOOKUP(B144,[2]Timeline!$B:$B,[2]Timeline!$A:$A),2,5)&amp;2)</f>
        <v>3304322</v>
      </c>
      <c r="B144" s="7" t="s">
        <v>165</v>
      </c>
      <c r="C144" s="7" t="s">
        <v>296</v>
      </c>
      <c r="D144" s="7" t="s">
        <v>555</v>
      </c>
      <c r="E144" s="1" t="str">
        <f t="shared" si="24"/>
        <v>skill_name_3304322</v>
      </c>
      <c r="F144" s="1" t="s">
        <v>117</v>
      </c>
      <c r="G144" s="1" t="s">
        <v>402</v>
      </c>
      <c r="H144" s="1" t="str">
        <f t="shared" si="25"/>
        <v>skill_desc_3304322</v>
      </c>
      <c r="I144" s="1" t="s">
        <v>205</v>
      </c>
      <c r="J144" s="1" t="str">
        <f>IFERROR(_xlfn.XLOOKUP(W144,Target!A:A,Target!J:J),"")</f>
        <v>Skill_Target_Icon_Enemy</v>
      </c>
      <c r="K144" s="1" t="s">
        <v>205</v>
      </c>
      <c r="L144" s="1" t="str">
        <f>IFERROR(_xlfn.XLOOKUP(W144,Target!A:A,Target!K:K),"")</f>
        <v>Skill_Area_Icon_NonTarget_All</v>
      </c>
      <c r="M144" s="1" t="str">
        <f>_xlfn.XLOOKUP(B144,'[2]Detail&lt;Child&gt;'!$B:$B,'[2]Detail&lt;Child&gt;'!$M:$M)</f>
        <v>Dark</v>
      </c>
      <c r="N144" s="1" t="str">
        <f>_xlfn.XLOOKUP(B144,'[2]Detail&lt;Child&gt;'!$B:$B,'[2]Detail&lt;Child&gt;'!$N:$N)</f>
        <v>Attacker</v>
      </c>
      <c r="O144" s="1" t="s">
        <v>140</v>
      </c>
      <c r="P144" s="33">
        <v>0</v>
      </c>
      <c r="Q144" s="68" t="str" cm="1">
        <f t="array" ref="Q144">_xlfn.IFS(R144="Move","Move",R144="NonTargetMove","Move",R144="Static","Stand",R144="None","Stand")</f>
        <v>Move</v>
      </c>
      <c r="R144" s="1" t="s">
        <v>153</v>
      </c>
      <c r="S144" s="1">
        <v>1</v>
      </c>
      <c r="T144" s="2" t="str">
        <f t="shared" si="26"/>
        <v>SignalHit</v>
      </c>
      <c r="U144" s="2" t="str" cm="1">
        <f t="array" ref="U144">_xlfn.IFS(T144="SignalHIt","TurnEnd",T144="AttackBegin","TurnEnd",T144="AttackEnd","TurnEnd",T144="Immediately","Applied",T144="None","None")</f>
        <v>TurnEnd</v>
      </c>
      <c r="V144" s="2">
        <v>0</v>
      </c>
      <c r="W144" s="1">
        <v>920001</v>
      </c>
      <c r="X144" s="8">
        <v>33043221</v>
      </c>
      <c r="Y144" s="1" t="str">
        <f t="shared" si="27"/>
        <v>Immediately</v>
      </c>
      <c r="Z144" s="2" t="str" cm="1">
        <f t="array" ref="Z144">_xlfn.IFS(Y144="SignalHIt","TurnEnd",Y144="AttackBegin","TurnEnd",Y144="AttackEnd","TurnEnd",Y144="Immediately","Applied",Y144="None","None")</f>
        <v>Applied</v>
      </c>
      <c r="AA144" s="2">
        <v>0</v>
      </c>
      <c r="AB144" s="1">
        <v>0</v>
      </c>
      <c r="AC144" s="8">
        <v>0</v>
      </c>
      <c r="AD144" s="2" t="str">
        <f t="shared" si="28"/>
        <v>AttackEnd</v>
      </c>
      <c r="AE144" s="2" t="str" cm="1">
        <f t="array" ref="AE144">_xlfn.IFS(AD144="SignalHIt","TurnEnd",AD144="AttackBegin","TurnEnd",AD144="AttackEnd","TurnEnd",AD144="Immediately","Applied",AD144="None","None")</f>
        <v>TurnEnd</v>
      </c>
      <c r="AF144" s="2">
        <v>0</v>
      </c>
      <c r="AG144" s="1">
        <v>920001</v>
      </c>
      <c r="AH144" s="8">
        <f>X144+1</f>
        <v>33043222</v>
      </c>
      <c r="AI144" s="2" t="str">
        <f t="shared" si="29"/>
        <v>Immediately</v>
      </c>
      <c r="AJ144" s="2" t="str" cm="1">
        <f t="array" ref="AJ144">_xlfn.IFS(AI144="SignalHIt","TurnEnd",AI144="AttackBegin","TurnEnd",AI144="AttackEnd","TurnEnd",AI144="Immediately","Applied",AI144="None","None")</f>
        <v>Applied</v>
      </c>
      <c r="AK144" s="2">
        <v>0</v>
      </c>
      <c r="AL144" s="8">
        <v>0</v>
      </c>
      <c r="AM144" s="48">
        <v>0</v>
      </c>
      <c r="AN144" s="45" t="str">
        <f>IFERROR(_xlfn.XLOOKUP(W144,Target!$A:$A,Target!$B:$B),"None")</f>
        <v>논타겟 적 9칸</v>
      </c>
      <c r="AO144" s="43" t="str">
        <f>IFERROR(_xlfn.XLOOKUP($X144,'BuffValue&lt;Child&gt;'!$A:$A,'BuffValue&lt;Child&gt;'!$F:$F),"None")</f>
        <v>얼티밋 대미지</v>
      </c>
      <c r="AP144" s="43">
        <f>IFERROR(_xlfn.XLOOKUP($X144,'BuffValue&lt;Child&gt;'!$A:$A,'BuffValue&lt;Child&gt;'!$K:$K),0)</f>
        <v>80000</v>
      </c>
      <c r="AQ144" s="43" t="str">
        <f>IFERROR(_xlfn.XLOOKUP(AB144,Target!$A:$A,Target!$B:$B),"None")</f>
        <v>None</v>
      </c>
      <c r="AR144" s="45" t="str">
        <f>IFERROR(_xlfn.XLOOKUP($AC144,'BuffValue&lt;Child&gt;'!$A:$A,'BuffValue&lt;Child&gt;'!$F:$F),"None")</f>
        <v>None</v>
      </c>
      <c r="AS144" s="45">
        <f>IFERROR(_xlfn.XLOOKUP($AC144,'BuffValue&lt;Child&gt;'!$A:$A,'BuffValue&lt;Child&gt;'!$K:$K),0)</f>
        <v>0</v>
      </c>
      <c r="AT144" s="43" t="str">
        <f>IFERROR(_xlfn.XLOOKUP(AG144,Target!$A:$A,Target!$B:$B),"None")</f>
        <v>논타겟 적 9칸</v>
      </c>
      <c r="AU144" s="43" t="str">
        <f>IFERROR(_xlfn.XLOOKUP($AH144,'BuffValue&lt;Child&gt;'!$A:$A,'BuffValue&lt;Child&gt;'!$F:$F),"None")</f>
        <v>아르테미스 방어력 감소</v>
      </c>
      <c r="AV144" s="43">
        <f>IFERROR(_xlfn.XLOOKUP($AH144,'BuffValue&lt;Child&gt;'!$A:$A,'BuffValue&lt;Child&gt;'!$K:$K),0)</f>
        <v>-15000</v>
      </c>
      <c r="AW144" s="43" t="str">
        <f>IFERROR(_xlfn.XLOOKUP(AL144,Target!$A:$A,Target!$B:$B),"None")</f>
        <v>None</v>
      </c>
      <c r="AX144" s="43" t="str">
        <f>IFERROR(_xlfn.XLOOKUP($AM144,'BuffValue&lt;Child&gt;'!$A:$A,'BuffValue&lt;Child&gt;'!$F:$F),"None")</f>
        <v>None</v>
      </c>
      <c r="AY144" s="43">
        <f>IFERROR(_xlfn.XLOOKUP($AM144,#REF!,#REF!),0)</f>
        <v>0</v>
      </c>
    </row>
    <row r="145" spans="1:51" x14ac:dyDescent="0.3">
      <c r="A145" s="1">
        <f>INT(3&amp;MID(_xlfn.XLOOKUP(B145,[2]Timeline!$B:$B,[2]Timeline!$A:$A),2,5)&amp;3)</f>
        <v>3304323</v>
      </c>
      <c r="B145" s="7" t="s">
        <v>165</v>
      </c>
      <c r="C145" s="7" t="s">
        <v>296</v>
      </c>
      <c r="D145" s="7" t="s">
        <v>555</v>
      </c>
      <c r="E145" s="1" t="str">
        <f t="shared" si="24"/>
        <v>skill_name_3304323</v>
      </c>
      <c r="F145" s="1" t="s">
        <v>117</v>
      </c>
      <c r="G145" s="1" t="s">
        <v>402</v>
      </c>
      <c r="H145" s="1" t="str">
        <f t="shared" si="25"/>
        <v>skill_desc_3304323</v>
      </c>
      <c r="I145" s="1" t="s">
        <v>205</v>
      </c>
      <c r="J145" s="1" t="str">
        <f>IFERROR(_xlfn.XLOOKUP(W145,Target!A:A,Target!J:J),"")</f>
        <v>Skill_Target_Icon_Enemy</v>
      </c>
      <c r="K145" s="1" t="s">
        <v>205</v>
      </c>
      <c r="L145" s="1" t="str">
        <f>IFERROR(_xlfn.XLOOKUP(W145,Target!A:A,Target!K:K),"")</f>
        <v>Skill_Area_Icon_NonTarget_All</v>
      </c>
      <c r="M145" s="1" t="str">
        <f>_xlfn.XLOOKUP(B145,'[2]Detail&lt;Child&gt;'!$B:$B,'[2]Detail&lt;Child&gt;'!$M:$M)</f>
        <v>Dark</v>
      </c>
      <c r="N145" s="1" t="str">
        <f>_xlfn.XLOOKUP(B145,'[2]Detail&lt;Child&gt;'!$B:$B,'[2]Detail&lt;Child&gt;'!$N:$N)</f>
        <v>Attacker</v>
      </c>
      <c r="O145" s="1" t="s">
        <v>140</v>
      </c>
      <c r="P145" s="33">
        <v>0</v>
      </c>
      <c r="Q145" s="68" t="str" cm="1">
        <f t="array" ref="Q145">_xlfn.IFS(R145="Move","Move",R145="NonTargetMove","Move",R145="Static","Stand",R145="None","Stand")</f>
        <v>Move</v>
      </c>
      <c r="R145" s="1" t="s">
        <v>153</v>
      </c>
      <c r="S145" s="1">
        <v>1</v>
      </c>
      <c r="T145" s="2" t="str">
        <f t="shared" si="26"/>
        <v>SignalHit</v>
      </c>
      <c r="U145" s="2" t="str" cm="1">
        <f t="array" ref="U145">_xlfn.IFS(T145="SignalHIt","TurnEnd",T145="AttackBegin","TurnEnd",T145="AttackEnd","TurnEnd",T145="Immediately","Applied",T145="None","None")</f>
        <v>TurnEnd</v>
      </c>
      <c r="V145" s="2">
        <v>0</v>
      </c>
      <c r="W145" s="1">
        <v>920001</v>
      </c>
      <c r="X145" s="8">
        <v>33043231</v>
      </c>
      <c r="Y145" s="1" t="str">
        <f t="shared" si="27"/>
        <v>Immediately</v>
      </c>
      <c r="Z145" s="2" t="str" cm="1">
        <f t="array" ref="Z145">_xlfn.IFS(Y145="SignalHIt","TurnEnd",Y145="AttackBegin","TurnEnd",Y145="AttackEnd","TurnEnd",Y145="Immediately","Applied",Y145="None","None")</f>
        <v>Applied</v>
      </c>
      <c r="AA145" s="2">
        <v>0</v>
      </c>
      <c r="AB145" s="1">
        <v>0</v>
      </c>
      <c r="AC145" s="8">
        <v>0</v>
      </c>
      <c r="AD145" s="2" t="str">
        <f t="shared" si="28"/>
        <v>AttackEnd</v>
      </c>
      <c r="AE145" s="2" t="str" cm="1">
        <f t="array" ref="AE145">_xlfn.IFS(AD145="SignalHIt","TurnEnd",AD145="AttackBegin","TurnEnd",AD145="AttackEnd","TurnEnd",AD145="Immediately","Applied",AD145="None","None")</f>
        <v>TurnEnd</v>
      </c>
      <c r="AF145" s="2">
        <v>0</v>
      </c>
      <c r="AG145" s="1">
        <v>920001</v>
      </c>
      <c r="AH145" s="8">
        <f>X145+1</f>
        <v>33043232</v>
      </c>
      <c r="AI145" s="2" t="str">
        <f t="shared" si="29"/>
        <v>Immediately</v>
      </c>
      <c r="AJ145" s="2" t="str" cm="1">
        <f t="array" ref="AJ145">_xlfn.IFS(AI145="SignalHIt","TurnEnd",AI145="AttackBegin","TurnEnd",AI145="AttackEnd","TurnEnd",AI145="Immediately","Applied",AI145="None","None")</f>
        <v>Applied</v>
      </c>
      <c r="AK145" s="2">
        <v>0</v>
      </c>
      <c r="AL145" s="8">
        <v>0</v>
      </c>
      <c r="AM145" s="48">
        <v>0</v>
      </c>
      <c r="AN145" s="45" t="str">
        <f>IFERROR(_xlfn.XLOOKUP(W145,Target!$A:$A,Target!$B:$B),"None")</f>
        <v>논타겟 적 9칸</v>
      </c>
      <c r="AO145" s="43" t="str">
        <f>IFERROR(_xlfn.XLOOKUP($X145,'BuffValue&lt;Child&gt;'!$A:$A,'BuffValue&lt;Child&gt;'!$F:$F),"None")</f>
        <v>얼티밋 대미지</v>
      </c>
      <c r="AP145" s="43">
        <f>IFERROR(_xlfn.XLOOKUP($X145,'BuffValue&lt;Child&gt;'!$A:$A,'BuffValue&lt;Child&gt;'!$K:$K),0)</f>
        <v>80000</v>
      </c>
      <c r="AQ145" s="43" t="str">
        <f>IFERROR(_xlfn.XLOOKUP(AB145,Target!$A:$A,Target!$B:$B),"None")</f>
        <v>None</v>
      </c>
      <c r="AR145" s="45" t="str">
        <f>IFERROR(_xlfn.XLOOKUP($AC145,'BuffValue&lt;Child&gt;'!$A:$A,'BuffValue&lt;Child&gt;'!$F:$F),"None")</f>
        <v>None</v>
      </c>
      <c r="AS145" s="45">
        <f>IFERROR(_xlfn.XLOOKUP($AC145,'BuffValue&lt;Child&gt;'!$A:$A,'BuffValue&lt;Child&gt;'!$K:$K),0)</f>
        <v>0</v>
      </c>
      <c r="AT145" s="43" t="str">
        <f>IFERROR(_xlfn.XLOOKUP(AG145,Target!$A:$A,Target!$B:$B),"None")</f>
        <v>논타겟 적 9칸</v>
      </c>
      <c r="AU145" s="43" t="str">
        <f>IFERROR(_xlfn.XLOOKUP($AH145,'BuffValue&lt;Child&gt;'!$A:$A,'BuffValue&lt;Child&gt;'!$F:$F),"None")</f>
        <v>아르테미스 방어력 감소</v>
      </c>
      <c r="AV145" s="43">
        <f>IFERROR(_xlfn.XLOOKUP($AH145,'BuffValue&lt;Child&gt;'!$A:$A,'BuffValue&lt;Child&gt;'!$K:$K),0)</f>
        <v>-15000</v>
      </c>
      <c r="AW145" s="43" t="str">
        <f>IFERROR(_xlfn.XLOOKUP(AL145,Target!$A:$A,Target!$B:$B),"None")</f>
        <v>None</v>
      </c>
      <c r="AX145" s="43" t="str">
        <f>IFERROR(_xlfn.XLOOKUP($AM145,'BuffValue&lt;Child&gt;'!$A:$A,'BuffValue&lt;Child&gt;'!$F:$F),"None")</f>
        <v>None</v>
      </c>
      <c r="AY145" s="43">
        <f>IFERROR(_xlfn.XLOOKUP($AM145,#REF!,#REF!),0)</f>
        <v>0</v>
      </c>
    </row>
    <row r="146" spans="1:51" x14ac:dyDescent="0.3">
      <c r="A146" s="1">
        <f>INT(4&amp;MID(_xlfn.XLOOKUP(B146,[2]Timeline!$B:$B,[2]Timeline!$A:$A),2,5)&amp;1)</f>
        <v>4304321</v>
      </c>
      <c r="B146" s="7" t="s">
        <v>165</v>
      </c>
      <c r="C146" s="7" t="s">
        <v>122</v>
      </c>
      <c r="D146" s="7" t="s">
        <v>343</v>
      </c>
      <c r="E146" s="1" t="str">
        <f t="shared" si="24"/>
        <v>skill_name_4304321</v>
      </c>
      <c r="F146" s="1" t="s">
        <v>117</v>
      </c>
      <c r="G146" s="1" t="s">
        <v>415</v>
      </c>
      <c r="H146" s="1" t="str">
        <f t="shared" si="25"/>
        <v>skill_desc_4304321</v>
      </c>
      <c r="I146" s="1" t="s">
        <v>205</v>
      </c>
      <c r="J146" s="1" t="str">
        <f>IFERROR(_xlfn.XLOOKUP(W146,Target!A:A,Target!J:J),"")</f>
        <v>Skill_Target_Icon_Mine</v>
      </c>
      <c r="K146" s="1" t="s">
        <v>205</v>
      </c>
      <c r="L146" s="1" t="str">
        <f>IFERROR(_xlfn.XLOOKUP(W146,Target!A:A,Target!K:K),"")</f>
        <v>Skill_Area_Icon_Pivot_Centor</v>
      </c>
      <c r="M146" s="1" t="str">
        <f>_xlfn.XLOOKUP(B146,'[2]Detail&lt;Child&gt;'!$B:$B,'[2]Detail&lt;Child&gt;'!$M:$M)</f>
        <v>Dark</v>
      </c>
      <c r="N146" s="1" t="str">
        <f>_xlfn.XLOOKUP(B146,'[2]Detail&lt;Child&gt;'!$B:$B,'[2]Detail&lt;Child&gt;'!$N:$N)</f>
        <v>Attacker</v>
      </c>
      <c r="O146" s="1" t="s">
        <v>167</v>
      </c>
      <c r="P146" s="33">
        <v>0</v>
      </c>
      <c r="Q146" s="68" t="str" cm="1">
        <f t="array" ref="Q146">_xlfn.IFS(R146="Move","Move",R146="NonTargetMove","Move",R146="Static","Stand",R146="None","Stand")</f>
        <v>Stand</v>
      </c>
      <c r="R146" s="1" t="s">
        <v>136</v>
      </c>
      <c r="S146" s="1">
        <f>IF(R146="Static",0,1)</f>
        <v>0</v>
      </c>
      <c r="T146" s="2" t="str">
        <f t="shared" si="26"/>
        <v>Immediately</v>
      </c>
      <c r="U146" s="2" t="str" cm="1">
        <f t="array" ref="U146">_xlfn.IFS(T146="SignalHIt","TurnEnd",T146="AttackBegin","TurnEnd",T146="AttackEnd","TurnEnd",T146="Immediately","Applied",T146="None","None")</f>
        <v>Applied</v>
      </c>
      <c r="V146" s="2">
        <v>0</v>
      </c>
      <c r="W146" s="1">
        <v>1</v>
      </c>
      <c r="X146" s="8">
        <v>43043211</v>
      </c>
      <c r="Y146" s="1" t="str">
        <f t="shared" si="27"/>
        <v>Immediately</v>
      </c>
      <c r="Z146" s="2" t="str" cm="1">
        <f t="array" ref="Z146">_xlfn.IFS(Y146="SignalHIt","TurnEnd",Y146="AttackBegin","TurnEnd",Y146="AttackEnd","TurnEnd",Y146="Immediately","Applied",Y146="None","None")</f>
        <v>Applied</v>
      </c>
      <c r="AA146" s="2">
        <v>0</v>
      </c>
      <c r="AB146" s="1">
        <v>0</v>
      </c>
      <c r="AC146" s="8">
        <v>0</v>
      </c>
      <c r="AD146" s="2" t="str">
        <f t="shared" si="28"/>
        <v>Immediately</v>
      </c>
      <c r="AE146" s="2" t="str" cm="1">
        <f t="array" ref="AE146">_xlfn.IFS(AD146="SignalHIt","TurnEnd",AD146="AttackBegin","TurnEnd",AD146="AttackEnd","TurnEnd",AD146="Immediately","Applied",AD146="None","None")</f>
        <v>Applied</v>
      </c>
      <c r="AF146" s="2">
        <v>0</v>
      </c>
      <c r="AG146" s="1">
        <v>0</v>
      </c>
      <c r="AH146" s="8">
        <v>0</v>
      </c>
      <c r="AI146" s="2" t="str">
        <f t="shared" si="29"/>
        <v>Immediately</v>
      </c>
      <c r="AJ146" s="2" t="str" cm="1">
        <f t="array" ref="AJ146">_xlfn.IFS(AI146="SignalHIt","TurnEnd",AI146="AttackBegin","TurnEnd",AI146="AttackEnd","TurnEnd",AI146="Immediately","Applied",AI146="None","None")</f>
        <v>Applied</v>
      </c>
      <c r="AK146" s="2">
        <v>0</v>
      </c>
      <c r="AL146" s="8">
        <v>0</v>
      </c>
      <c r="AM146" s="48">
        <v>0</v>
      </c>
      <c r="AN146" s="45" t="str">
        <f>IFERROR(_xlfn.XLOOKUP(W146,Target!$A:$A,Target!$B:$B),"None")</f>
        <v xml:space="preserve"> 자신 1명 </v>
      </c>
      <c r="AO146" s="43" t="str">
        <f>IFERROR(_xlfn.XLOOKUP($X146,'BuffValue&lt;Child&gt;'!$A:$A,'BuffValue&lt;Child&gt;'!$F:$F),"None")</f>
        <v>스탯변화(디버프 중 대상 대미지)</v>
      </c>
      <c r="AP146" s="43">
        <f>IFERROR(_xlfn.XLOOKUP($X146,'BuffValue&lt;Child&gt;'!$A:$A,'BuffValue&lt;Child&gt;'!$K:$K),0)</f>
        <v>20000</v>
      </c>
      <c r="AQ146" s="43" t="str">
        <f>IFERROR(_xlfn.XLOOKUP(AB146,Target!$A:$A,Target!$B:$B),"None")</f>
        <v>None</v>
      </c>
      <c r="AR146" s="45" t="str">
        <f>IFERROR(_xlfn.XLOOKUP($AC146,'BuffValue&lt;Child&gt;'!$A:$A,'BuffValue&lt;Child&gt;'!$F:$F),"None")</f>
        <v>None</v>
      </c>
      <c r="AS146" s="45">
        <f>IFERROR(_xlfn.XLOOKUP($AC146,'BuffValue&lt;Child&gt;'!$A:$A,'BuffValue&lt;Child&gt;'!$K:$K),0)</f>
        <v>0</v>
      </c>
      <c r="AT146" s="43" t="str">
        <f>IFERROR(_xlfn.XLOOKUP(AG146,Target!$A:$A,Target!$B:$B),"None")</f>
        <v>None</v>
      </c>
      <c r="AU146" s="43" t="str">
        <f>IFERROR(_xlfn.XLOOKUP($AH146,'BuffValue&lt;Child&gt;'!$A:$A,'BuffValue&lt;Child&gt;'!$F:$F),"None")</f>
        <v>None</v>
      </c>
      <c r="AV146" s="43">
        <f>IFERROR(_xlfn.XLOOKUP($AH146,'BuffValue&lt;Child&gt;'!$A:$A,'BuffValue&lt;Child&gt;'!$K:$K),0)</f>
        <v>0</v>
      </c>
      <c r="AW146" s="43" t="str">
        <f>IFERROR(_xlfn.XLOOKUP(AL146,Target!$A:$A,Target!$B:$B),"None")</f>
        <v>None</v>
      </c>
      <c r="AX146" s="43" t="str">
        <f>IFERROR(_xlfn.XLOOKUP($AM146,'BuffValue&lt;Child&gt;'!$A:$A,'BuffValue&lt;Child&gt;'!$F:$F),"None")</f>
        <v>None</v>
      </c>
      <c r="AY146" s="43">
        <f>IFERROR(_xlfn.XLOOKUP($AM146,#REF!,#REF!),0)</f>
        <v>0</v>
      </c>
    </row>
    <row r="147" spans="1:51" x14ac:dyDescent="0.3">
      <c r="A147" s="1">
        <f>INT(4&amp;MID(_xlfn.XLOOKUP(B147,[2]Timeline!$B:$B,[2]Timeline!$A:$A),2,5)&amp;2)</f>
        <v>4304322</v>
      </c>
      <c r="B147" s="7" t="s">
        <v>165</v>
      </c>
      <c r="C147" s="7" t="s">
        <v>122</v>
      </c>
      <c r="D147" s="7" t="s">
        <v>343</v>
      </c>
      <c r="E147" s="1" t="str">
        <f t="shared" si="24"/>
        <v>skill_name_4304322</v>
      </c>
      <c r="F147" s="1" t="s">
        <v>117</v>
      </c>
      <c r="G147" s="1" t="s">
        <v>415</v>
      </c>
      <c r="H147" s="1" t="str">
        <f t="shared" si="25"/>
        <v>skill_desc_4304322</v>
      </c>
      <c r="I147" s="1" t="s">
        <v>205</v>
      </c>
      <c r="J147" s="1" t="str">
        <f>IFERROR(_xlfn.XLOOKUP(W147,Target!A:A,Target!J:J),"")</f>
        <v>Skill_Target_Icon_Mine</v>
      </c>
      <c r="K147" s="1" t="s">
        <v>205</v>
      </c>
      <c r="L147" s="1" t="str">
        <f>IFERROR(_xlfn.XLOOKUP(W147,Target!A:A,Target!K:K),"")</f>
        <v>Skill_Area_Icon_Pivot_Centor</v>
      </c>
      <c r="M147" s="1" t="str">
        <f>_xlfn.XLOOKUP(B147,'[2]Detail&lt;Child&gt;'!$B:$B,'[2]Detail&lt;Child&gt;'!$M:$M)</f>
        <v>Dark</v>
      </c>
      <c r="N147" s="1" t="str">
        <f>_xlfn.XLOOKUP(B147,'[2]Detail&lt;Child&gt;'!$B:$B,'[2]Detail&lt;Child&gt;'!$N:$N)</f>
        <v>Attacker</v>
      </c>
      <c r="O147" s="1" t="s">
        <v>167</v>
      </c>
      <c r="P147" s="33">
        <v>0</v>
      </c>
      <c r="Q147" s="68" t="str" cm="1">
        <f t="array" ref="Q147">_xlfn.IFS(R147="Move","Move",R147="NonTargetMove","Move",R147="Static","Stand",R147="None","Stand")</f>
        <v>Stand</v>
      </c>
      <c r="R147" s="1" t="s">
        <v>136</v>
      </c>
      <c r="S147" s="1">
        <f>IF(R147="Static",0,1)</f>
        <v>0</v>
      </c>
      <c r="T147" s="2" t="str">
        <f t="shared" si="26"/>
        <v>Immediately</v>
      </c>
      <c r="U147" s="2" t="str" cm="1">
        <f t="array" ref="U147">_xlfn.IFS(T147="SignalHIt","TurnEnd",T147="AttackBegin","TurnEnd",T147="AttackEnd","TurnEnd",T147="Immediately","Applied",T147="None","None")</f>
        <v>Applied</v>
      </c>
      <c r="V147" s="2">
        <v>0</v>
      </c>
      <c r="W147" s="1">
        <v>1</v>
      </c>
      <c r="X147" s="8">
        <v>43043221</v>
      </c>
      <c r="Y147" s="1" t="str">
        <f t="shared" si="27"/>
        <v>Immediately</v>
      </c>
      <c r="Z147" s="2" t="str" cm="1">
        <f t="array" ref="Z147">_xlfn.IFS(Y147="SignalHIt","TurnEnd",Y147="AttackBegin","TurnEnd",Y147="AttackEnd","TurnEnd",Y147="Immediately","Applied",Y147="None","None")</f>
        <v>Applied</v>
      </c>
      <c r="AA147" s="2">
        <v>0</v>
      </c>
      <c r="AB147" s="1">
        <v>0</v>
      </c>
      <c r="AC147" s="8">
        <v>0</v>
      </c>
      <c r="AD147" s="2" t="str">
        <f t="shared" si="28"/>
        <v>Immediately</v>
      </c>
      <c r="AE147" s="2" t="str" cm="1">
        <f t="array" ref="AE147">_xlfn.IFS(AD147="SignalHIt","TurnEnd",AD147="AttackBegin","TurnEnd",AD147="AttackEnd","TurnEnd",AD147="Immediately","Applied",AD147="None","None")</f>
        <v>Applied</v>
      </c>
      <c r="AF147" s="2">
        <v>0</v>
      </c>
      <c r="AG147" s="1">
        <v>0</v>
      </c>
      <c r="AH147" s="8">
        <v>0</v>
      </c>
      <c r="AI147" s="2" t="str">
        <f t="shared" si="29"/>
        <v>Immediately</v>
      </c>
      <c r="AJ147" s="2" t="str" cm="1">
        <f t="array" ref="AJ147">_xlfn.IFS(AI147="SignalHIt","TurnEnd",AI147="AttackBegin","TurnEnd",AI147="AttackEnd","TurnEnd",AI147="Immediately","Applied",AI147="None","None")</f>
        <v>Applied</v>
      </c>
      <c r="AK147" s="2">
        <v>0</v>
      </c>
      <c r="AL147" s="8">
        <v>0</v>
      </c>
      <c r="AM147" s="48">
        <v>0</v>
      </c>
      <c r="AN147" s="45" t="str">
        <f>IFERROR(_xlfn.XLOOKUP(W147,Target!$A:$A,Target!$B:$B),"None")</f>
        <v xml:space="preserve"> 자신 1명 </v>
      </c>
      <c r="AO147" s="43" t="str">
        <f>IFERROR(_xlfn.XLOOKUP($X147,'BuffValue&lt;Child&gt;'!$A:$A,'BuffValue&lt;Child&gt;'!$F:$F),"None")</f>
        <v>스탯변화(디버프 중 대상 대미지)</v>
      </c>
      <c r="AP147" s="43">
        <f>IFERROR(_xlfn.XLOOKUP($X147,'BuffValue&lt;Child&gt;'!$A:$A,'BuffValue&lt;Child&gt;'!$K:$K),0)</f>
        <v>20000</v>
      </c>
      <c r="AQ147" s="43" t="str">
        <f>IFERROR(_xlfn.XLOOKUP(AB147,Target!$A:$A,Target!$B:$B),"None")</f>
        <v>None</v>
      </c>
      <c r="AR147" s="45" t="str">
        <f>IFERROR(_xlfn.XLOOKUP($AC147,'BuffValue&lt;Child&gt;'!$A:$A,'BuffValue&lt;Child&gt;'!$F:$F),"None")</f>
        <v>None</v>
      </c>
      <c r="AS147" s="45">
        <f>IFERROR(_xlfn.XLOOKUP($AC147,'BuffValue&lt;Child&gt;'!$A:$A,'BuffValue&lt;Child&gt;'!$K:$K),0)</f>
        <v>0</v>
      </c>
      <c r="AT147" s="43" t="str">
        <f>IFERROR(_xlfn.XLOOKUP(AG147,Target!$A:$A,Target!$B:$B),"None")</f>
        <v>None</v>
      </c>
      <c r="AU147" s="43" t="str">
        <f>IFERROR(_xlfn.XLOOKUP($AH147,'BuffValue&lt;Child&gt;'!$A:$A,'BuffValue&lt;Child&gt;'!$F:$F),"None")</f>
        <v>None</v>
      </c>
      <c r="AV147" s="43">
        <f>IFERROR(_xlfn.XLOOKUP($AH147,'BuffValue&lt;Child&gt;'!$A:$A,'BuffValue&lt;Child&gt;'!$K:$K),0)</f>
        <v>0</v>
      </c>
      <c r="AW147" s="43" t="str">
        <f>IFERROR(_xlfn.XLOOKUP(AL147,Target!$A:$A,Target!$B:$B),"None")</f>
        <v>None</v>
      </c>
      <c r="AX147" s="43" t="str">
        <f>IFERROR(_xlfn.XLOOKUP($AM147,'BuffValue&lt;Child&gt;'!$A:$A,'BuffValue&lt;Child&gt;'!$F:$F),"None")</f>
        <v>None</v>
      </c>
      <c r="AY147" s="43">
        <f>IFERROR(_xlfn.XLOOKUP($AM147,#REF!,#REF!),0)</f>
        <v>0</v>
      </c>
    </row>
    <row r="148" spans="1:51" s="11" customFormat="1" x14ac:dyDescent="0.3">
      <c r="A148" s="11">
        <f>INT(1&amp;MID(_xlfn.XLOOKUP(B148,[2]Timeline!$B:$B,[2]Timeline!$A:$A),2,5)&amp;1)</f>
        <v>1301941</v>
      </c>
      <c r="B148" s="12" t="s">
        <v>212</v>
      </c>
      <c r="C148" s="12" t="s">
        <v>315</v>
      </c>
      <c r="D148" s="12" t="s">
        <v>341</v>
      </c>
      <c r="E148" s="11" t="str">
        <f t="shared" si="24"/>
        <v>skill_name_1301941</v>
      </c>
      <c r="F148" s="11" t="s">
        <v>117</v>
      </c>
      <c r="G148" s="11" t="s">
        <v>417</v>
      </c>
      <c r="H148" s="11" t="str">
        <f t="shared" si="25"/>
        <v>skill_desc_1301941</v>
      </c>
      <c r="I148" s="11" t="s">
        <v>205</v>
      </c>
      <c r="J148" s="11" t="str">
        <f>IFERROR(_xlfn.XLOOKUP(W148,Target!A:A,Target!J:J),"")</f>
        <v>Skill_Target_Icon_Enemy_Near_One</v>
      </c>
      <c r="K148" s="11" t="s">
        <v>205</v>
      </c>
      <c r="L148" s="11" t="str">
        <f>IFERROR(_xlfn.XLOOKUP(W148,Target!A:A,Target!K:K),"")</f>
        <v>Skill_Area_Icon_Pivot_Centor</v>
      </c>
      <c r="M148" s="11" t="str">
        <f>_xlfn.XLOOKUP(B148,'[2]Detail&lt;Child&gt;'!$B:$B,'[2]Detail&lt;Child&gt;'!$M:$M)</f>
        <v>Light</v>
      </c>
      <c r="N148" s="11" t="str">
        <f>_xlfn.XLOOKUP(B148,'[2]Detail&lt;Child&gt;'!$B:$B,'[2]Detail&lt;Child&gt;'!$N:$N)</f>
        <v>Attacker</v>
      </c>
      <c r="O148" s="11" t="s">
        <v>30</v>
      </c>
      <c r="P148" s="34">
        <v>0</v>
      </c>
      <c r="Q148" s="69" t="str" cm="1">
        <f t="array" ref="Q148">_xlfn.IFS(R148="Move","Move",R148="NonTargetMove","Move",R148="Static","Stand",R148="None","Stand")</f>
        <v>Move</v>
      </c>
      <c r="R148" s="11" t="s">
        <v>137</v>
      </c>
      <c r="S148" s="11">
        <v>1</v>
      </c>
      <c r="T148" s="15" t="str">
        <f t="shared" si="26"/>
        <v>SignalHit</v>
      </c>
      <c r="U148" s="15" t="str" cm="1">
        <f t="array" ref="U148">_xlfn.IFS(T148="SignalHIt","TurnEnd",T148="AttackBegin","TurnEnd",T148="AttackEnd","TurnEnd",T148="Immediately","Applied",T148="None","None")</f>
        <v>TurnEnd</v>
      </c>
      <c r="V148" s="15">
        <v>0</v>
      </c>
      <c r="W148" s="11">
        <v>2000011</v>
      </c>
      <c r="X148" s="10">
        <f t="shared" ref="X148:X172" si="30">INT(A148&amp;1)</f>
        <v>13019411</v>
      </c>
      <c r="Y148" s="11" t="str">
        <f t="shared" si="27"/>
        <v>Immediately</v>
      </c>
      <c r="Z148" s="15" t="str" cm="1">
        <f t="array" ref="Z148">_xlfn.IFS(Y148="SignalHIt","TurnEnd",Y148="AttackBegin","TurnEnd",Y148="AttackEnd","TurnEnd",Y148="Immediately","Applied",Y148="None","None")</f>
        <v>Applied</v>
      </c>
      <c r="AA148" s="15">
        <v>0</v>
      </c>
      <c r="AB148" s="11">
        <v>0</v>
      </c>
      <c r="AC148" s="10">
        <v>0</v>
      </c>
      <c r="AD148" s="15" t="str">
        <f t="shared" si="28"/>
        <v>Immediately</v>
      </c>
      <c r="AE148" s="15" t="str" cm="1">
        <f t="array" ref="AE148">_xlfn.IFS(AD148="SignalHIt","TurnEnd",AD148="AttackBegin","TurnEnd",AD148="AttackEnd","TurnEnd",AD148="Immediately","Applied",AD148="None","None")</f>
        <v>Applied</v>
      </c>
      <c r="AF148" s="15">
        <v>0</v>
      </c>
      <c r="AG148" s="11">
        <v>0</v>
      </c>
      <c r="AH148" s="10">
        <v>0</v>
      </c>
      <c r="AI148" s="15" t="str">
        <f t="shared" si="29"/>
        <v>Immediately</v>
      </c>
      <c r="AJ148" s="15" t="str" cm="1">
        <f t="array" ref="AJ148">_xlfn.IFS(AI148="SignalHIt","TurnEnd",AI148="AttackBegin","TurnEnd",AI148="AttackEnd","TurnEnd",AI148="Immediately","Applied",AI148="None","None")</f>
        <v>Applied</v>
      </c>
      <c r="AK148" s="15">
        <v>0</v>
      </c>
      <c r="AL148" s="10">
        <v>0</v>
      </c>
      <c r="AM148" s="50">
        <v>0</v>
      </c>
      <c r="AN148" s="46" t="str">
        <f>IFERROR(_xlfn.XLOOKUP(W148,Target!$A:$A,Target!$B:$B),"None")</f>
        <v xml:space="preserve">가까운 적 1명 </v>
      </c>
      <c r="AO148" s="47" t="str">
        <f>IFERROR(_xlfn.XLOOKUP($X148,'BuffValue&lt;Child&gt;'!$A:$A,'BuffValue&lt;Child&gt;'!$F:$F),"None")</f>
        <v>공용 대미지</v>
      </c>
      <c r="AP148" s="47">
        <f>IFERROR(_xlfn.XLOOKUP($X148,'BuffValue&lt;Child&gt;'!$A:$A,'BuffValue&lt;Child&gt;'!$K:$K),0)</f>
        <v>120000</v>
      </c>
      <c r="AQ148" s="47" t="str">
        <f>IFERROR(_xlfn.XLOOKUP(AB148,Target!$A:$A,Target!$B:$B),"None")</f>
        <v>None</v>
      </c>
      <c r="AR148" s="46" t="str">
        <f>IFERROR(_xlfn.XLOOKUP($AC148,'BuffValue&lt;Child&gt;'!$A:$A,'BuffValue&lt;Child&gt;'!$F:$F),"None")</f>
        <v>None</v>
      </c>
      <c r="AS148" s="46">
        <f>IFERROR(_xlfn.XLOOKUP($AC148,'BuffValue&lt;Child&gt;'!$A:$A,'BuffValue&lt;Child&gt;'!$K:$K),0)</f>
        <v>0</v>
      </c>
      <c r="AT148" s="47" t="str">
        <f>IFERROR(_xlfn.XLOOKUP(AG148,Target!$A:$A,Target!$B:$B),"None")</f>
        <v>None</v>
      </c>
      <c r="AU148" s="47" t="str">
        <f>IFERROR(_xlfn.XLOOKUP($AH148,'BuffValue&lt;Child&gt;'!$A:$A,'BuffValue&lt;Child&gt;'!$F:$F),"None")</f>
        <v>None</v>
      </c>
      <c r="AV148" s="47">
        <f>IFERROR(_xlfn.XLOOKUP($AH148,'BuffValue&lt;Child&gt;'!$A:$A,'BuffValue&lt;Child&gt;'!$K:$K),0)</f>
        <v>0</v>
      </c>
      <c r="AW148" s="47" t="str">
        <f>IFERROR(_xlfn.XLOOKUP(AL148,Target!$A:$A,Target!$B:$B),"None")</f>
        <v>None</v>
      </c>
      <c r="AX148" s="47" t="str">
        <f>IFERROR(_xlfn.XLOOKUP($AM148,'BuffValue&lt;Child&gt;'!$A:$A,'BuffValue&lt;Child&gt;'!$F:$F),"None")</f>
        <v>None</v>
      </c>
      <c r="AY148" s="47">
        <f>IFERROR(_xlfn.XLOOKUP($AM148,#REF!,#REF!),0)</f>
        <v>0</v>
      </c>
    </row>
    <row r="149" spans="1:51" x14ac:dyDescent="0.3">
      <c r="A149" s="1">
        <f>INT(2&amp;MID(_xlfn.XLOOKUP(B149,[2]Timeline!$B:$B,[2]Timeline!$A:$A),2,5)&amp;1)</f>
        <v>2301941</v>
      </c>
      <c r="B149" s="7" t="s">
        <v>163</v>
      </c>
      <c r="C149" s="7" t="s">
        <v>316</v>
      </c>
      <c r="D149" s="7" t="s">
        <v>540</v>
      </c>
      <c r="E149" s="1" t="str">
        <f t="shared" si="24"/>
        <v>skill_name_2301941</v>
      </c>
      <c r="F149" s="1" t="s">
        <v>117</v>
      </c>
      <c r="G149" s="1" t="s">
        <v>416</v>
      </c>
      <c r="H149" s="1" t="str">
        <f t="shared" si="25"/>
        <v>skill_desc_2301941</v>
      </c>
      <c r="I149" s="1" t="s">
        <v>205</v>
      </c>
      <c r="J149" s="1" t="str">
        <f>IFERROR(_xlfn.XLOOKUP(W149,Target!A:A,Target!J:J),"")</f>
        <v>Skill_Target_Icon_Enemy_Near_One</v>
      </c>
      <c r="K149" s="1" t="s">
        <v>205</v>
      </c>
      <c r="L149" s="1" t="str">
        <f>IFERROR(_xlfn.XLOOKUP(W149,Target!A:A,Target!K:K),"")</f>
        <v>Skill_Area_Icon_Pivot_Centor</v>
      </c>
      <c r="M149" s="1" t="str">
        <f>_xlfn.XLOOKUP(B149,'[2]Detail&lt;Child&gt;'!$B:$B,'[2]Detail&lt;Child&gt;'!$M:$M)</f>
        <v>Light</v>
      </c>
      <c r="N149" s="1" t="str">
        <f>_xlfn.XLOOKUP(B149,'[2]Detail&lt;Child&gt;'!$B:$B,'[2]Detail&lt;Child&gt;'!$N:$N)</f>
        <v>Attacker</v>
      </c>
      <c r="O149" s="1" t="s">
        <v>33</v>
      </c>
      <c r="P149" s="33">
        <v>3</v>
      </c>
      <c r="Q149" s="68" t="str" cm="1">
        <f t="array" ref="Q149">_xlfn.IFS(R149="Move","Move",R149="NonTargetMove","Move",R149="Static","Stand",R149="None","Stand")</f>
        <v>Move</v>
      </c>
      <c r="R149" s="1" t="s">
        <v>137</v>
      </c>
      <c r="S149" s="1">
        <v>1</v>
      </c>
      <c r="T149" s="2" t="str">
        <f t="shared" si="26"/>
        <v>SignalHit</v>
      </c>
      <c r="U149" s="2" t="str" cm="1">
        <f t="array" ref="U149">_xlfn.IFS(T149="SignalHIt","TurnEnd",T149="AttackBegin","TurnEnd",T149="AttackEnd","TurnEnd",T149="Immediately","Applied",T149="None","None")</f>
        <v>TurnEnd</v>
      </c>
      <c r="V149" s="2">
        <v>0</v>
      </c>
      <c r="W149" s="1">
        <v>2000011</v>
      </c>
      <c r="X149" s="8">
        <f t="shared" si="30"/>
        <v>23019411</v>
      </c>
      <c r="Y149" s="1" t="str">
        <f t="shared" si="27"/>
        <v>Immediately</v>
      </c>
      <c r="Z149" s="2" t="str" cm="1">
        <f t="array" ref="Z149">_xlfn.IFS(Y149="SignalHIt","TurnEnd",Y149="AttackBegin","TurnEnd",Y149="AttackEnd","TurnEnd",Y149="Immediately","Applied",Y149="None","None")</f>
        <v>Applied</v>
      </c>
      <c r="AA149" s="2">
        <v>0</v>
      </c>
      <c r="AB149" s="1">
        <v>0</v>
      </c>
      <c r="AC149" s="8">
        <v>0</v>
      </c>
      <c r="AD149" s="2" t="str">
        <f t="shared" si="28"/>
        <v>AttackEnd</v>
      </c>
      <c r="AE149" s="2" t="str" cm="1">
        <f t="array" ref="AE149">_xlfn.IFS(AD149="SignalHIt","TurnEnd",AD149="AttackBegin","TurnEnd",AD149="AttackEnd","TurnEnd",AD149="Immediately","Applied",AD149="None","None")</f>
        <v>TurnEnd</v>
      </c>
      <c r="AF149" s="2">
        <v>0</v>
      </c>
      <c r="AG149" s="1">
        <v>2000011</v>
      </c>
      <c r="AH149" s="8">
        <f>X149+1</f>
        <v>23019412</v>
      </c>
      <c r="AI149" s="2" t="str">
        <f t="shared" si="29"/>
        <v>Immediately</v>
      </c>
      <c r="AJ149" s="2" t="str" cm="1">
        <f t="array" ref="AJ149">_xlfn.IFS(AI149="SignalHIt","TurnEnd",AI149="AttackBegin","TurnEnd",AI149="AttackEnd","TurnEnd",AI149="Immediately","Applied",AI149="None","None")</f>
        <v>Applied</v>
      </c>
      <c r="AK149" s="2">
        <v>0</v>
      </c>
      <c r="AL149" s="8">
        <v>0</v>
      </c>
      <c r="AM149" s="48">
        <v>0</v>
      </c>
      <c r="AN149" s="45" t="str">
        <f>IFERROR(_xlfn.XLOOKUP(W149,Target!$A:$A,Target!$B:$B),"None")</f>
        <v xml:space="preserve">가까운 적 1명 </v>
      </c>
      <c r="AO149" s="43" t="str">
        <f>IFERROR(_xlfn.XLOOKUP($X149,'BuffValue&lt;Child&gt;'!$A:$A,'BuffValue&lt;Child&gt;'!$F:$F),"None")</f>
        <v>액티브 대미지</v>
      </c>
      <c r="AP149" s="43">
        <f>IFERROR(_xlfn.XLOOKUP($X149,'BuffValue&lt;Child&gt;'!$A:$A,'BuffValue&lt;Child&gt;'!$K:$K),0)</f>
        <v>145000</v>
      </c>
      <c r="AQ149" s="43" t="str">
        <f>IFERROR(_xlfn.XLOOKUP(AB149,Target!$A:$A,Target!$B:$B),"None")</f>
        <v>None</v>
      </c>
      <c r="AR149" s="45" t="str">
        <f>IFERROR(_xlfn.XLOOKUP($AC149,'BuffValue&lt;Child&gt;'!$A:$A,'BuffValue&lt;Child&gt;'!$F:$F),"None")</f>
        <v>None</v>
      </c>
      <c r="AS149" s="45">
        <f>IFERROR(_xlfn.XLOOKUP($AC149,'BuffValue&lt;Child&gt;'!$A:$A,'BuffValue&lt;Child&gt;'!$K:$K),0)</f>
        <v>0</v>
      </c>
      <c r="AT149" s="43" t="str">
        <f>IFERROR(_xlfn.XLOOKUP(AG149,Target!$A:$A,Target!$B:$B),"None")</f>
        <v xml:space="preserve">가까운 적 1명 </v>
      </c>
      <c r="AU149" s="43" t="str">
        <f>IFERROR(_xlfn.XLOOKUP($AH149,'BuffValue&lt;Child&gt;'!$A:$A,'BuffValue&lt;Child&gt;'!$F:$F),"None")</f>
        <v>반격 불가</v>
      </c>
      <c r="AV149" s="43">
        <f>IFERROR(_xlfn.XLOOKUP($AH149,'BuffValue&lt;Child&gt;'!$A:$A,'BuffValue&lt;Child&gt;'!$K:$K),0)</f>
        <v>0</v>
      </c>
      <c r="AW149" s="43" t="str">
        <f>IFERROR(_xlfn.XLOOKUP(AL149,Target!$A:$A,Target!$B:$B),"None")</f>
        <v>None</v>
      </c>
      <c r="AX149" s="43" t="str">
        <f>IFERROR(_xlfn.XLOOKUP($AM149,'BuffValue&lt;Child&gt;'!$A:$A,'BuffValue&lt;Child&gt;'!$F:$F),"None")</f>
        <v>None</v>
      </c>
      <c r="AY149" s="43">
        <f>IFERROR(_xlfn.XLOOKUP($AM149,#REF!,#REF!),0)</f>
        <v>0</v>
      </c>
    </row>
    <row r="150" spans="1:51" x14ac:dyDescent="0.3">
      <c r="A150" s="1">
        <f>INT(2&amp;MID(_xlfn.XLOOKUP(B150,[2]Timeline!$B:$B,[2]Timeline!$A:$A),2,5)&amp;2)</f>
        <v>2301942</v>
      </c>
      <c r="B150" s="7" t="s">
        <v>163</v>
      </c>
      <c r="C150" s="7" t="s">
        <v>316</v>
      </c>
      <c r="D150" s="7" t="s">
        <v>540</v>
      </c>
      <c r="E150" s="1" t="str">
        <f t="shared" si="24"/>
        <v>skill_name_2301942</v>
      </c>
      <c r="F150" s="1" t="s">
        <v>117</v>
      </c>
      <c r="G150" s="1" t="s">
        <v>416</v>
      </c>
      <c r="H150" s="1" t="str">
        <f t="shared" si="25"/>
        <v>skill_desc_2301942</v>
      </c>
      <c r="I150" s="1" t="s">
        <v>205</v>
      </c>
      <c r="J150" s="1" t="str">
        <f>IFERROR(_xlfn.XLOOKUP(W150,Target!A:A,Target!J:J),"")</f>
        <v>Skill_Target_Icon_Enemy_Near_One</v>
      </c>
      <c r="K150" s="1" t="s">
        <v>205</v>
      </c>
      <c r="L150" s="1" t="str">
        <f>IFERROR(_xlfn.XLOOKUP(W150,Target!A:A,Target!K:K),"")</f>
        <v>Skill_Area_Icon_Pivot_Centor</v>
      </c>
      <c r="M150" s="1" t="str">
        <f>_xlfn.XLOOKUP(B150,'[2]Detail&lt;Child&gt;'!$B:$B,'[2]Detail&lt;Child&gt;'!$M:$M)</f>
        <v>Light</v>
      </c>
      <c r="N150" s="1" t="str">
        <f>_xlfn.XLOOKUP(B150,'[2]Detail&lt;Child&gt;'!$B:$B,'[2]Detail&lt;Child&gt;'!$N:$N)</f>
        <v>Attacker</v>
      </c>
      <c r="O150" s="1" t="s">
        <v>33</v>
      </c>
      <c r="P150" s="33">
        <v>2</v>
      </c>
      <c r="Q150" s="68" t="str" cm="1">
        <f t="array" ref="Q150">_xlfn.IFS(R150="Move","Move",R150="NonTargetMove","Move",R150="Static","Stand",R150="None","Stand")</f>
        <v>Move</v>
      </c>
      <c r="R150" s="1" t="s">
        <v>137</v>
      </c>
      <c r="S150" s="1">
        <v>1</v>
      </c>
      <c r="T150" s="2" t="str">
        <f t="shared" si="26"/>
        <v>SignalHit</v>
      </c>
      <c r="U150" s="2" t="str" cm="1">
        <f t="array" ref="U150">_xlfn.IFS(T150="SignalHIt","TurnEnd",T150="AttackBegin","TurnEnd",T150="AttackEnd","TurnEnd",T150="Immediately","Applied",T150="None","None")</f>
        <v>TurnEnd</v>
      </c>
      <c r="V150" s="2">
        <v>0</v>
      </c>
      <c r="W150" s="1">
        <v>2000011</v>
      </c>
      <c r="X150" s="8">
        <f t="shared" si="30"/>
        <v>23019421</v>
      </c>
      <c r="Y150" s="1" t="str">
        <f t="shared" si="27"/>
        <v>Immediately</v>
      </c>
      <c r="Z150" s="2" t="str" cm="1">
        <f t="array" ref="Z150">_xlfn.IFS(Y150="SignalHIt","TurnEnd",Y150="AttackBegin","TurnEnd",Y150="AttackEnd","TurnEnd",Y150="Immediately","Applied",Y150="None","None")</f>
        <v>Applied</v>
      </c>
      <c r="AA150" s="2">
        <v>0</v>
      </c>
      <c r="AB150" s="1">
        <v>0</v>
      </c>
      <c r="AC150" s="8">
        <v>0</v>
      </c>
      <c r="AD150" s="2" t="str">
        <f t="shared" si="28"/>
        <v>AttackEnd</v>
      </c>
      <c r="AE150" s="2" t="str" cm="1">
        <f t="array" ref="AE150">_xlfn.IFS(AD150="SignalHIt","TurnEnd",AD150="AttackBegin","TurnEnd",AD150="AttackEnd","TurnEnd",AD150="Immediately","Applied",AD150="None","None")</f>
        <v>TurnEnd</v>
      </c>
      <c r="AF150" s="2">
        <v>0</v>
      </c>
      <c r="AG150" s="1">
        <v>2000011</v>
      </c>
      <c r="AH150" s="8">
        <f>X150+1</f>
        <v>23019422</v>
      </c>
      <c r="AI150" s="2" t="str">
        <f t="shared" si="29"/>
        <v>Immediately</v>
      </c>
      <c r="AJ150" s="2" t="str" cm="1">
        <f t="array" ref="AJ150">_xlfn.IFS(AI150="SignalHIt","TurnEnd",AI150="AttackBegin","TurnEnd",AI150="AttackEnd","TurnEnd",AI150="Immediately","Applied",AI150="None","None")</f>
        <v>Applied</v>
      </c>
      <c r="AK150" s="2">
        <v>0</v>
      </c>
      <c r="AL150" s="8">
        <v>0</v>
      </c>
      <c r="AM150" s="48">
        <v>0</v>
      </c>
      <c r="AN150" s="45" t="str">
        <f>IFERROR(_xlfn.XLOOKUP(W150,Target!$A:$A,Target!$B:$B),"None")</f>
        <v xml:space="preserve">가까운 적 1명 </v>
      </c>
      <c r="AO150" s="43" t="str">
        <f>IFERROR(_xlfn.XLOOKUP($X150,'BuffValue&lt;Child&gt;'!$A:$A,'BuffValue&lt;Child&gt;'!$F:$F),"None")</f>
        <v>액티브 대미지</v>
      </c>
      <c r="AP150" s="43">
        <f>IFERROR(_xlfn.XLOOKUP($X150,'BuffValue&lt;Child&gt;'!$A:$A,'BuffValue&lt;Child&gt;'!$K:$K),0)</f>
        <v>145000</v>
      </c>
      <c r="AQ150" s="43" t="str">
        <f>IFERROR(_xlfn.XLOOKUP(AB150,Target!$A:$A,Target!$B:$B),"None")</f>
        <v>None</v>
      </c>
      <c r="AR150" s="45" t="str">
        <f>IFERROR(_xlfn.XLOOKUP($AC150,'BuffValue&lt;Child&gt;'!$A:$A,'BuffValue&lt;Child&gt;'!$F:$F),"None")</f>
        <v>None</v>
      </c>
      <c r="AS150" s="45">
        <f>IFERROR(_xlfn.XLOOKUP($AC150,'BuffValue&lt;Child&gt;'!$A:$A,'BuffValue&lt;Child&gt;'!$K:$K),0)</f>
        <v>0</v>
      </c>
      <c r="AT150" s="43" t="str">
        <f>IFERROR(_xlfn.XLOOKUP(AG150,Target!$A:$A,Target!$B:$B),"None")</f>
        <v xml:space="preserve">가까운 적 1명 </v>
      </c>
      <c r="AU150" s="43" t="str">
        <f>IFERROR(_xlfn.XLOOKUP($AH150,'BuffValue&lt;Child&gt;'!$A:$A,'BuffValue&lt;Child&gt;'!$F:$F),"None")</f>
        <v>반격 불가</v>
      </c>
      <c r="AV150" s="43">
        <f>IFERROR(_xlfn.XLOOKUP($AH150,'BuffValue&lt;Child&gt;'!$A:$A,'BuffValue&lt;Child&gt;'!$K:$K),0)</f>
        <v>0</v>
      </c>
      <c r="AW150" s="43" t="str">
        <f>IFERROR(_xlfn.XLOOKUP(AL150,Target!$A:$A,Target!$B:$B),"None")</f>
        <v>None</v>
      </c>
      <c r="AX150" s="43" t="str">
        <f>IFERROR(_xlfn.XLOOKUP($AM150,'BuffValue&lt;Child&gt;'!$A:$A,'BuffValue&lt;Child&gt;'!$F:$F),"None")</f>
        <v>None</v>
      </c>
      <c r="AY150" s="43">
        <f>IFERROR(_xlfn.XLOOKUP($AM150,#REF!,#REF!),0)</f>
        <v>0</v>
      </c>
    </row>
    <row r="151" spans="1:51" x14ac:dyDescent="0.3">
      <c r="A151" s="1">
        <f>INT(3&amp;MID(_xlfn.XLOOKUP(B151,[2]Timeline!$B:$B,[2]Timeline!$A:$A),2,5)&amp;1)</f>
        <v>3301941</v>
      </c>
      <c r="B151" s="7" t="s">
        <v>163</v>
      </c>
      <c r="C151" s="7" t="s">
        <v>317</v>
      </c>
      <c r="D151" s="7" t="s">
        <v>527</v>
      </c>
      <c r="E151" s="1" t="str">
        <f t="shared" si="24"/>
        <v>skill_name_3301941</v>
      </c>
      <c r="F151" s="1" t="s">
        <v>117</v>
      </c>
      <c r="G151" s="1" t="s">
        <v>403</v>
      </c>
      <c r="H151" s="1" t="str">
        <f t="shared" si="25"/>
        <v>skill_desc_3301941</v>
      </c>
      <c r="I151" s="1" t="s">
        <v>205</v>
      </c>
      <c r="J151" s="1" t="str">
        <f>IFERROR(_xlfn.XLOOKUP(W151,Target!A:A,Target!J:J),"")</f>
        <v>Skill_Target_Icon_Enemy</v>
      </c>
      <c r="K151" s="1" t="s">
        <v>205</v>
      </c>
      <c r="L151" s="1" t="str">
        <f>IFERROR(_xlfn.XLOOKUP(W151,Target!A:A,Target!K:K),"")</f>
        <v>Skill_Area_Icon_NonTarget_All</v>
      </c>
      <c r="M151" s="1" t="str">
        <f>_xlfn.XLOOKUP(B151,'[2]Detail&lt;Child&gt;'!$B:$B,'[2]Detail&lt;Child&gt;'!$M:$M)</f>
        <v>Light</v>
      </c>
      <c r="N151" s="1" t="str">
        <f>_xlfn.XLOOKUP(B151,'[2]Detail&lt;Child&gt;'!$B:$B,'[2]Detail&lt;Child&gt;'!$N:$N)</f>
        <v>Attacker</v>
      </c>
      <c r="O151" s="1" t="s">
        <v>141</v>
      </c>
      <c r="P151" s="33">
        <v>0</v>
      </c>
      <c r="Q151" s="68" t="str" cm="1">
        <f t="array" ref="Q151">_xlfn.IFS(R151="Move","Move",R151="NonTargetMove","Move",R151="Static","Stand",R151="None","Stand")</f>
        <v>Move</v>
      </c>
      <c r="R151" s="1" t="s">
        <v>153</v>
      </c>
      <c r="S151" s="1">
        <v>1</v>
      </c>
      <c r="T151" s="2" t="str">
        <f t="shared" si="26"/>
        <v>SignalHit</v>
      </c>
      <c r="U151" s="2" t="str" cm="1">
        <f t="array" ref="U151">_xlfn.IFS(T151="SignalHIt","TurnEnd",T151="AttackBegin","TurnEnd",T151="AttackEnd","TurnEnd",T151="Immediately","Applied",T151="None","None")</f>
        <v>TurnEnd</v>
      </c>
      <c r="V151" s="2">
        <v>0</v>
      </c>
      <c r="W151" s="1">
        <v>920001</v>
      </c>
      <c r="X151" s="8">
        <f t="shared" si="30"/>
        <v>33019411</v>
      </c>
      <c r="Y151" s="1" t="str">
        <f t="shared" si="27"/>
        <v>Immediately</v>
      </c>
      <c r="Z151" s="2" t="str" cm="1">
        <f t="array" ref="Z151">_xlfn.IFS(Y151="SignalHIt","TurnEnd",Y151="AttackBegin","TurnEnd",Y151="AttackEnd","TurnEnd",Y151="Immediately","Applied",Y151="None","None")</f>
        <v>Applied</v>
      </c>
      <c r="AA151" s="2">
        <v>0</v>
      </c>
      <c r="AB151" s="1">
        <v>0</v>
      </c>
      <c r="AC151" s="8">
        <v>0</v>
      </c>
      <c r="AD151" s="2" t="str">
        <f t="shared" si="28"/>
        <v>AttackEnd</v>
      </c>
      <c r="AE151" s="2" t="str" cm="1">
        <f t="array" ref="AE151">_xlfn.IFS(AD151="SignalHIt","TurnEnd",AD151="AttackBegin","TurnEnd",AD151="AttackEnd","TurnEnd",AD151="Immediately","Applied",AD151="None","None")</f>
        <v>TurnEnd</v>
      </c>
      <c r="AF151" s="2">
        <v>0</v>
      </c>
      <c r="AG151" s="1">
        <v>920001</v>
      </c>
      <c r="AH151" s="8">
        <v>33019412</v>
      </c>
      <c r="AI151" s="2" t="str">
        <f t="shared" si="29"/>
        <v>Immediately</v>
      </c>
      <c r="AJ151" s="2" t="str" cm="1">
        <f t="array" ref="AJ151">_xlfn.IFS(AI151="SignalHIt","TurnEnd",AI151="AttackBegin","TurnEnd",AI151="AttackEnd","TurnEnd",AI151="Immediately","Applied",AI151="None","None")</f>
        <v>Applied</v>
      </c>
      <c r="AK151" s="2">
        <v>0</v>
      </c>
      <c r="AL151" s="8">
        <v>0</v>
      </c>
      <c r="AM151" s="48">
        <v>0</v>
      </c>
      <c r="AN151" s="45" t="str">
        <f>IFERROR(_xlfn.XLOOKUP(W151,Target!$A:$A,Target!$B:$B),"None")</f>
        <v>논타겟 적 9칸</v>
      </c>
      <c r="AO151" s="43" t="str">
        <f>IFERROR(_xlfn.XLOOKUP($X151,'BuffValue&lt;Child&gt;'!$A:$A,'BuffValue&lt;Child&gt;'!$F:$F),"None")</f>
        <v>얼티밋 대미지</v>
      </c>
      <c r="AP151" s="43">
        <f>IFERROR(_xlfn.XLOOKUP($X151,'BuffValue&lt;Child&gt;'!$A:$A,'BuffValue&lt;Child&gt;'!$K:$K),0)</f>
        <v>25000</v>
      </c>
      <c r="AQ151" s="43" t="str">
        <f>IFERROR(_xlfn.XLOOKUP(AB151,Target!$A:$A,Target!$B:$B),"None")</f>
        <v>None</v>
      </c>
      <c r="AR151" s="45" t="str">
        <f>IFERROR(_xlfn.XLOOKUP($AC151,'BuffValue&lt;Child&gt;'!$A:$A,'BuffValue&lt;Child&gt;'!$F:$F),"None")</f>
        <v>None</v>
      </c>
      <c r="AS151" s="45">
        <f>IFERROR(_xlfn.XLOOKUP($AC151,'BuffValue&lt;Child&gt;'!$A:$A,'BuffValue&lt;Child&gt;'!$K:$K),0)</f>
        <v>0</v>
      </c>
      <c r="AT151" s="43" t="str">
        <f>IFERROR(_xlfn.XLOOKUP(AG151,Target!$A:$A,Target!$B:$B),"None")</f>
        <v>논타겟 적 9칸</v>
      </c>
      <c r="AU151" s="43" t="str">
        <f>IFERROR(_xlfn.XLOOKUP($AH151,'BuffValue&lt;Child&gt;'!$A:$A,'BuffValue&lt;Child&gt;'!$F:$F),"None")</f>
        <v>아슈토레스 얼티밋 공격력 감소</v>
      </c>
      <c r="AV151" s="43">
        <f>IFERROR(_xlfn.XLOOKUP($AH151,'BuffValue&lt;Child&gt;'!$A:$A,'BuffValue&lt;Child&gt;'!$K:$K),0)</f>
        <v>-20000</v>
      </c>
      <c r="AW151" s="43" t="str">
        <f>IFERROR(_xlfn.XLOOKUP(AL151,Target!$A:$A,Target!$B:$B),"None")</f>
        <v>None</v>
      </c>
      <c r="AX151" s="43" t="str">
        <f>IFERROR(_xlfn.XLOOKUP($AM151,'BuffValue&lt;Child&gt;'!$A:$A,'BuffValue&lt;Child&gt;'!$F:$F),"None")</f>
        <v>None</v>
      </c>
      <c r="AY151" s="43">
        <f>IFERROR(_xlfn.XLOOKUP($AM151,#REF!,#REF!),0)</f>
        <v>0</v>
      </c>
    </row>
    <row r="152" spans="1:51" x14ac:dyDescent="0.3">
      <c r="A152" s="1">
        <f>INT(3&amp;MID(_xlfn.XLOOKUP(B152,[2]Timeline!$B:$B,[2]Timeline!$A:$A),2,5)&amp;2)</f>
        <v>3301942</v>
      </c>
      <c r="B152" s="7" t="s">
        <v>163</v>
      </c>
      <c r="C152" s="7" t="s">
        <v>317</v>
      </c>
      <c r="D152" s="7" t="s">
        <v>527</v>
      </c>
      <c r="E152" s="1" t="str">
        <f t="shared" si="24"/>
        <v>skill_name_3301942</v>
      </c>
      <c r="F152" s="1" t="s">
        <v>117</v>
      </c>
      <c r="G152" s="1" t="s">
        <v>403</v>
      </c>
      <c r="H152" s="1" t="str">
        <f t="shared" si="25"/>
        <v>skill_desc_3301942</v>
      </c>
      <c r="I152" s="1" t="s">
        <v>205</v>
      </c>
      <c r="J152" s="1" t="str">
        <f>IFERROR(_xlfn.XLOOKUP(W152,Target!A:A,Target!J:J),"")</f>
        <v>Skill_Target_Icon_Enemy</v>
      </c>
      <c r="K152" s="1" t="s">
        <v>205</v>
      </c>
      <c r="L152" s="1" t="str">
        <f>IFERROR(_xlfn.XLOOKUP(W152,Target!A:A,Target!K:K),"")</f>
        <v>Skill_Area_Icon_NonTarget_All</v>
      </c>
      <c r="M152" s="1" t="str">
        <f>_xlfn.XLOOKUP(B152,'[2]Detail&lt;Child&gt;'!$B:$B,'[2]Detail&lt;Child&gt;'!$M:$M)</f>
        <v>Light</v>
      </c>
      <c r="N152" s="1" t="str">
        <f>_xlfn.XLOOKUP(B152,'[2]Detail&lt;Child&gt;'!$B:$B,'[2]Detail&lt;Child&gt;'!$N:$N)</f>
        <v>Attacker</v>
      </c>
      <c r="O152" s="1" t="s">
        <v>140</v>
      </c>
      <c r="P152" s="33">
        <v>0</v>
      </c>
      <c r="Q152" s="68" t="str" cm="1">
        <f t="array" ref="Q152">_xlfn.IFS(R152="Move","Move",R152="NonTargetMove","Move",R152="Static","Stand",R152="None","Stand")</f>
        <v>Move</v>
      </c>
      <c r="R152" s="1" t="s">
        <v>153</v>
      </c>
      <c r="S152" s="1">
        <v>1</v>
      </c>
      <c r="T152" s="2" t="str">
        <f t="shared" si="26"/>
        <v>SignalHit</v>
      </c>
      <c r="U152" s="2" t="str" cm="1">
        <f t="array" ref="U152">_xlfn.IFS(T152="SignalHIt","TurnEnd",T152="AttackBegin","TurnEnd",T152="AttackEnd","TurnEnd",T152="Immediately","Applied",T152="None","None")</f>
        <v>TurnEnd</v>
      </c>
      <c r="V152" s="2">
        <v>0</v>
      </c>
      <c r="W152" s="1">
        <v>920001</v>
      </c>
      <c r="X152" s="8">
        <f t="shared" si="30"/>
        <v>33019421</v>
      </c>
      <c r="Y152" s="1" t="str">
        <f t="shared" si="27"/>
        <v>Immediately</v>
      </c>
      <c r="Z152" s="2" t="str" cm="1">
        <f t="array" ref="Z152">_xlfn.IFS(Y152="SignalHIt","TurnEnd",Y152="AttackBegin","TurnEnd",Y152="AttackEnd","TurnEnd",Y152="Immediately","Applied",Y152="None","None")</f>
        <v>Applied</v>
      </c>
      <c r="AA152" s="2">
        <v>0</v>
      </c>
      <c r="AB152" s="1">
        <v>0</v>
      </c>
      <c r="AC152" s="8">
        <v>0</v>
      </c>
      <c r="AD152" s="2" t="str">
        <f t="shared" si="28"/>
        <v>AttackEnd</v>
      </c>
      <c r="AE152" s="2" t="str" cm="1">
        <f t="array" ref="AE152">_xlfn.IFS(AD152="SignalHIt","TurnEnd",AD152="AttackBegin","TurnEnd",AD152="AttackEnd","TurnEnd",AD152="Immediately","Applied",AD152="None","None")</f>
        <v>TurnEnd</v>
      </c>
      <c r="AF152" s="2">
        <v>0</v>
      </c>
      <c r="AG152" s="1">
        <v>920001</v>
      </c>
      <c r="AH152" s="8">
        <v>33019422</v>
      </c>
      <c r="AI152" s="2" t="str">
        <f t="shared" si="29"/>
        <v>Immediately</v>
      </c>
      <c r="AJ152" s="2" t="str" cm="1">
        <f t="array" ref="AJ152">_xlfn.IFS(AI152="SignalHIt","TurnEnd",AI152="AttackBegin","TurnEnd",AI152="AttackEnd","TurnEnd",AI152="Immediately","Applied",AI152="None","None")</f>
        <v>Applied</v>
      </c>
      <c r="AK152" s="2">
        <v>0</v>
      </c>
      <c r="AL152" s="8">
        <v>0</v>
      </c>
      <c r="AM152" s="48">
        <v>0</v>
      </c>
      <c r="AN152" s="45" t="str">
        <f>IFERROR(_xlfn.XLOOKUP(W152,Target!$A:$A,Target!$B:$B),"None")</f>
        <v>논타겟 적 9칸</v>
      </c>
      <c r="AO152" s="43" t="str">
        <f>IFERROR(_xlfn.XLOOKUP($X152,'BuffValue&lt;Child&gt;'!$A:$A,'BuffValue&lt;Child&gt;'!$F:$F),"None")</f>
        <v>얼티밋 대미지</v>
      </c>
      <c r="AP152" s="43">
        <f>IFERROR(_xlfn.XLOOKUP($X152,'BuffValue&lt;Child&gt;'!$A:$A,'BuffValue&lt;Child&gt;'!$K:$K),0)</f>
        <v>25000</v>
      </c>
      <c r="AQ152" s="43" t="str">
        <f>IFERROR(_xlfn.XLOOKUP(AB152,Target!$A:$A,Target!$B:$B),"None")</f>
        <v>None</v>
      </c>
      <c r="AR152" s="45" t="str">
        <f>IFERROR(_xlfn.XLOOKUP($AC152,'BuffValue&lt;Child&gt;'!$A:$A,'BuffValue&lt;Child&gt;'!$F:$F),"None")</f>
        <v>None</v>
      </c>
      <c r="AS152" s="45">
        <f>IFERROR(_xlfn.XLOOKUP($AC152,'BuffValue&lt;Child&gt;'!$A:$A,'BuffValue&lt;Child&gt;'!$K:$K),0)</f>
        <v>0</v>
      </c>
      <c r="AT152" s="43" t="str">
        <f>IFERROR(_xlfn.XLOOKUP(AG152,Target!$A:$A,Target!$B:$B),"None")</f>
        <v>논타겟 적 9칸</v>
      </c>
      <c r="AU152" s="43" t="str">
        <f>IFERROR(_xlfn.XLOOKUP($AH152,'BuffValue&lt;Child&gt;'!$A:$A,'BuffValue&lt;Child&gt;'!$F:$F),"None")</f>
        <v>아슈토레스 얼티밋 공격력 감소</v>
      </c>
      <c r="AV152" s="43">
        <f>IFERROR(_xlfn.XLOOKUP($AH152,'BuffValue&lt;Child&gt;'!$A:$A,'BuffValue&lt;Child&gt;'!$K:$K),0)</f>
        <v>-20000</v>
      </c>
      <c r="AW152" s="43" t="str">
        <f>IFERROR(_xlfn.XLOOKUP(AL152,Target!$A:$A,Target!$B:$B),"None")</f>
        <v>None</v>
      </c>
      <c r="AX152" s="43" t="str">
        <f>IFERROR(_xlfn.XLOOKUP($AM152,'BuffValue&lt;Child&gt;'!$A:$A,'BuffValue&lt;Child&gt;'!$F:$F),"None")</f>
        <v>None</v>
      </c>
      <c r="AY152" s="43">
        <f>IFERROR(_xlfn.XLOOKUP($AM152,#REF!,#REF!),0)</f>
        <v>0</v>
      </c>
    </row>
    <row r="153" spans="1:51" x14ac:dyDescent="0.3">
      <c r="A153" s="1">
        <f>INT(3&amp;MID(_xlfn.XLOOKUP(B153,[2]Timeline!$B:$B,[2]Timeline!$A:$A),2,5)&amp;3)</f>
        <v>3301943</v>
      </c>
      <c r="B153" s="7" t="s">
        <v>163</v>
      </c>
      <c r="C153" s="7" t="s">
        <v>317</v>
      </c>
      <c r="D153" s="7" t="s">
        <v>527</v>
      </c>
      <c r="E153" s="1" t="str">
        <f t="shared" si="24"/>
        <v>skill_name_3301943</v>
      </c>
      <c r="F153" s="1" t="s">
        <v>117</v>
      </c>
      <c r="G153" s="1" t="s">
        <v>403</v>
      </c>
      <c r="H153" s="1" t="str">
        <f t="shared" si="25"/>
        <v>skill_desc_3301943</v>
      </c>
      <c r="I153" s="1" t="s">
        <v>205</v>
      </c>
      <c r="J153" s="1" t="str">
        <f>IFERROR(_xlfn.XLOOKUP(W153,Target!A:A,Target!J:J),"")</f>
        <v>Skill_Target_Icon_Enemy</v>
      </c>
      <c r="K153" s="1" t="s">
        <v>205</v>
      </c>
      <c r="L153" s="1" t="str">
        <f>IFERROR(_xlfn.XLOOKUP(W153,Target!A:A,Target!K:K),"")</f>
        <v>Skill_Area_Icon_NonTarget_All</v>
      </c>
      <c r="M153" s="1" t="str">
        <f>_xlfn.XLOOKUP(B153,'[2]Detail&lt;Child&gt;'!$B:$B,'[2]Detail&lt;Child&gt;'!$M:$M)</f>
        <v>Light</v>
      </c>
      <c r="N153" s="1" t="str">
        <f>_xlfn.XLOOKUP(B153,'[2]Detail&lt;Child&gt;'!$B:$B,'[2]Detail&lt;Child&gt;'!$N:$N)</f>
        <v>Attacker</v>
      </c>
      <c r="O153" s="1" t="s">
        <v>140</v>
      </c>
      <c r="P153" s="33">
        <v>0</v>
      </c>
      <c r="Q153" s="68" t="str" cm="1">
        <f t="array" ref="Q153">_xlfn.IFS(R153="Move","Move",R153="NonTargetMove","Move",R153="Static","Stand",R153="None","Stand")</f>
        <v>Move</v>
      </c>
      <c r="R153" s="1" t="s">
        <v>153</v>
      </c>
      <c r="S153" s="1">
        <v>1</v>
      </c>
      <c r="T153" s="2" t="str">
        <f t="shared" si="26"/>
        <v>SignalHit</v>
      </c>
      <c r="U153" s="2" t="str" cm="1">
        <f t="array" ref="U153">_xlfn.IFS(T153="SignalHIt","TurnEnd",T153="AttackBegin","TurnEnd",T153="AttackEnd","TurnEnd",T153="Immediately","Applied",T153="None","None")</f>
        <v>TurnEnd</v>
      </c>
      <c r="V153" s="2">
        <v>0</v>
      </c>
      <c r="W153" s="1">
        <v>920001</v>
      </c>
      <c r="X153" s="8">
        <f t="shared" si="30"/>
        <v>33019431</v>
      </c>
      <c r="Y153" s="1" t="str">
        <f t="shared" si="27"/>
        <v>Immediately</v>
      </c>
      <c r="Z153" s="2" t="str" cm="1">
        <f t="array" ref="Z153">_xlfn.IFS(Y153="SignalHIt","TurnEnd",Y153="AttackBegin","TurnEnd",Y153="AttackEnd","TurnEnd",Y153="Immediately","Applied",Y153="None","None")</f>
        <v>Applied</v>
      </c>
      <c r="AA153" s="2">
        <v>0</v>
      </c>
      <c r="AB153" s="1">
        <v>0</v>
      </c>
      <c r="AC153" s="8">
        <v>0</v>
      </c>
      <c r="AD153" s="2" t="str">
        <f t="shared" si="28"/>
        <v>AttackEnd</v>
      </c>
      <c r="AE153" s="2" t="str" cm="1">
        <f t="array" ref="AE153">_xlfn.IFS(AD153="SignalHIt","TurnEnd",AD153="AttackBegin","TurnEnd",AD153="AttackEnd","TurnEnd",AD153="Immediately","Applied",AD153="None","None")</f>
        <v>TurnEnd</v>
      </c>
      <c r="AF153" s="2">
        <v>0</v>
      </c>
      <c r="AG153" s="1">
        <v>920001</v>
      </c>
      <c r="AH153" s="8">
        <v>33019432</v>
      </c>
      <c r="AI153" s="2" t="str">
        <f t="shared" si="29"/>
        <v>Immediately</v>
      </c>
      <c r="AJ153" s="2" t="str" cm="1">
        <f t="array" ref="AJ153">_xlfn.IFS(AI153="SignalHIt","TurnEnd",AI153="AttackBegin","TurnEnd",AI153="AttackEnd","TurnEnd",AI153="Immediately","Applied",AI153="None","None")</f>
        <v>Applied</v>
      </c>
      <c r="AK153" s="2">
        <v>0</v>
      </c>
      <c r="AL153" s="8">
        <v>0</v>
      </c>
      <c r="AM153" s="48">
        <v>0</v>
      </c>
      <c r="AN153" s="45" t="str">
        <f>IFERROR(_xlfn.XLOOKUP(W153,Target!$A:$A,Target!$B:$B),"None")</f>
        <v>논타겟 적 9칸</v>
      </c>
      <c r="AO153" s="43" t="str">
        <f>IFERROR(_xlfn.XLOOKUP($X153,'BuffValue&lt;Child&gt;'!$A:$A,'BuffValue&lt;Child&gt;'!$F:$F),"None")</f>
        <v>얼티밋 대미지</v>
      </c>
      <c r="AP153" s="43">
        <f>IFERROR(_xlfn.XLOOKUP($X153,'BuffValue&lt;Child&gt;'!$A:$A,'BuffValue&lt;Child&gt;'!$K:$K),0)</f>
        <v>25000</v>
      </c>
      <c r="AQ153" s="43" t="str">
        <f>IFERROR(_xlfn.XLOOKUP(AB153,Target!$A:$A,Target!$B:$B),"None")</f>
        <v>None</v>
      </c>
      <c r="AR153" s="45" t="str">
        <f>IFERROR(_xlfn.XLOOKUP($AC153,'BuffValue&lt;Child&gt;'!$A:$A,'BuffValue&lt;Child&gt;'!$F:$F),"None")</f>
        <v>None</v>
      </c>
      <c r="AS153" s="45">
        <f>IFERROR(_xlfn.XLOOKUP($AC153,'BuffValue&lt;Child&gt;'!$A:$A,'BuffValue&lt;Child&gt;'!$K:$K),0)</f>
        <v>0</v>
      </c>
      <c r="AT153" s="43" t="str">
        <f>IFERROR(_xlfn.XLOOKUP(AG153,Target!$A:$A,Target!$B:$B),"None")</f>
        <v>논타겟 적 9칸</v>
      </c>
      <c r="AU153" s="43" t="str">
        <f>IFERROR(_xlfn.XLOOKUP($AH153,'BuffValue&lt;Child&gt;'!$A:$A,'BuffValue&lt;Child&gt;'!$F:$F),"None")</f>
        <v>아슈토레스 얼티밋 공격력 감소</v>
      </c>
      <c r="AV153" s="43">
        <f>IFERROR(_xlfn.XLOOKUP($AH153,'BuffValue&lt;Child&gt;'!$A:$A,'BuffValue&lt;Child&gt;'!$K:$K),0)</f>
        <v>-20000</v>
      </c>
      <c r="AW153" s="43" t="str">
        <f>IFERROR(_xlfn.XLOOKUP(AL153,Target!$A:$A,Target!$B:$B),"None")</f>
        <v>None</v>
      </c>
      <c r="AX153" s="43" t="str">
        <f>IFERROR(_xlfn.XLOOKUP($AM153,'BuffValue&lt;Child&gt;'!$A:$A,'BuffValue&lt;Child&gt;'!$F:$F),"None")</f>
        <v>None</v>
      </c>
      <c r="AY153" s="43">
        <f>IFERROR(_xlfn.XLOOKUP($AM153,#REF!,#REF!),0)</f>
        <v>0</v>
      </c>
    </row>
    <row r="154" spans="1:51" x14ac:dyDescent="0.3">
      <c r="A154" s="1">
        <f>INT(4&amp;MID(_xlfn.XLOOKUP(B154,[2]Timeline!$B:$B,[2]Timeline!$A:$A),2,5)&amp;1)</f>
        <v>4301941</v>
      </c>
      <c r="B154" s="7" t="s">
        <v>163</v>
      </c>
      <c r="C154" s="7" t="s">
        <v>122</v>
      </c>
      <c r="D154" s="7" t="s">
        <v>578</v>
      </c>
      <c r="E154" s="1" t="str">
        <f t="shared" si="24"/>
        <v>skill_name_4301941</v>
      </c>
      <c r="F154" s="1" t="s">
        <v>117</v>
      </c>
      <c r="G154" s="1" t="s">
        <v>418</v>
      </c>
      <c r="H154" s="1" t="str">
        <f t="shared" si="25"/>
        <v>skill_desc_4301941</v>
      </c>
      <c r="I154" s="1" t="s">
        <v>205</v>
      </c>
      <c r="J154" s="1" t="str">
        <f>IFERROR(_xlfn.XLOOKUP(W154,Target!A:A,Target!J:J),"")</f>
        <v>Skill_Target_Icon_Mine</v>
      </c>
      <c r="K154" s="1" t="s">
        <v>205</v>
      </c>
      <c r="L154" s="1" t="str">
        <f>IFERROR(_xlfn.XLOOKUP(W154,Target!A:A,Target!K:K),"")</f>
        <v>Skill_Area_Icon_Pivot_Centor</v>
      </c>
      <c r="M154" s="1" t="str">
        <f>_xlfn.XLOOKUP(B154,'[2]Detail&lt;Child&gt;'!$B:$B,'[2]Detail&lt;Child&gt;'!$M:$M)</f>
        <v>Light</v>
      </c>
      <c r="N154" s="1" t="str">
        <f>_xlfn.XLOOKUP(B154,'[2]Detail&lt;Child&gt;'!$B:$B,'[2]Detail&lt;Child&gt;'!$N:$N)</f>
        <v>Attacker</v>
      </c>
      <c r="O154" s="1" t="s">
        <v>167</v>
      </c>
      <c r="P154" s="33">
        <v>0</v>
      </c>
      <c r="Q154" s="68" t="str" cm="1">
        <f t="array" ref="Q154">_xlfn.IFS(R154="Move","Move",R154="NonTargetMove","Move",R154="Static","Stand",R154="None","Stand")</f>
        <v>Stand</v>
      </c>
      <c r="R154" s="1" t="s">
        <v>136</v>
      </c>
      <c r="S154" s="1">
        <v>0</v>
      </c>
      <c r="T154" s="2" t="str">
        <f t="shared" si="26"/>
        <v>Immediately</v>
      </c>
      <c r="U154" s="2" t="str" cm="1">
        <f t="array" ref="U154">_xlfn.IFS(T154="SignalHIt","TurnEnd",T154="AttackBegin","TurnEnd",T154="AttackEnd","TurnEnd",T154="Immediately","Applied",T154="None","None")</f>
        <v>Applied</v>
      </c>
      <c r="V154" s="2">
        <v>0</v>
      </c>
      <c r="W154" s="1">
        <v>1</v>
      </c>
      <c r="X154" s="8">
        <f t="shared" si="30"/>
        <v>43019411</v>
      </c>
      <c r="Y154" s="1" t="str">
        <f t="shared" si="27"/>
        <v>Immediately</v>
      </c>
      <c r="Z154" s="2" t="str" cm="1">
        <f t="array" ref="Z154">_xlfn.IFS(Y154="SignalHIt","TurnEnd",Y154="AttackBegin","TurnEnd",Y154="AttackEnd","TurnEnd",Y154="Immediately","Applied",Y154="None","None")</f>
        <v>Applied</v>
      </c>
      <c r="AA154" s="2">
        <v>0</v>
      </c>
      <c r="AB154" s="1">
        <v>0</v>
      </c>
      <c r="AC154" s="8">
        <v>0</v>
      </c>
      <c r="AD154" s="2" t="str">
        <f t="shared" si="28"/>
        <v>Immediately</v>
      </c>
      <c r="AE154" s="2" t="str" cm="1">
        <f t="array" ref="AE154">_xlfn.IFS(AD154="SignalHIt","TurnEnd",AD154="AttackBegin","TurnEnd",AD154="AttackEnd","TurnEnd",AD154="Immediately","Applied",AD154="None","None")</f>
        <v>Applied</v>
      </c>
      <c r="AF154" s="2">
        <v>0</v>
      </c>
      <c r="AG154" s="1">
        <v>0</v>
      </c>
      <c r="AH154" s="8">
        <v>0</v>
      </c>
      <c r="AI154" s="2" t="str">
        <f t="shared" si="29"/>
        <v>Immediately</v>
      </c>
      <c r="AJ154" s="2" t="str" cm="1">
        <f t="array" ref="AJ154">_xlfn.IFS(AI154="SignalHIt","TurnEnd",AI154="AttackBegin","TurnEnd",AI154="AttackEnd","TurnEnd",AI154="Immediately","Applied",AI154="None","None")</f>
        <v>Applied</v>
      </c>
      <c r="AK154" s="2">
        <v>0</v>
      </c>
      <c r="AL154" s="8">
        <v>0</v>
      </c>
      <c r="AM154" s="48">
        <v>0</v>
      </c>
      <c r="AN154" s="45" t="str">
        <f>IFERROR(_xlfn.XLOOKUP(W154,Target!$A:$A,Target!$B:$B),"None")</f>
        <v xml:space="preserve"> 자신 1명 </v>
      </c>
      <c r="AO154" s="43" t="str">
        <f>IFERROR(_xlfn.XLOOKUP($X154,'BuffValue&lt;Child&gt;'!$A:$A,'BuffValue&lt;Child&gt;'!$F:$F),"None")</f>
        <v>아슈토레스 패시브 스킬 사용</v>
      </c>
      <c r="AP154" s="43">
        <f>IFERROR(_xlfn.XLOOKUP($X154,'BuffValue&lt;Child&gt;'!$A:$A,'BuffValue&lt;Child&gt;'!$K:$K),0)</f>
        <v>9100031</v>
      </c>
      <c r="AQ154" s="43" t="str">
        <f>IFERROR(_xlfn.XLOOKUP(AB154,Target!$A:$A,Target!$B:$B),"None")</f>
        <v>None</v>
      </c>
      <c r="AR154" s="45" t="str">
        <f>IFERROR(_xlfn.XLOOKUP($AC154,'BuffValue&lt;Child&gt;'!$A:$A,'BuffValue&lt;Child&gt;'!$F:$F),"None")</f>
        <v>None</v>
      </c>
      <c r="AS154" s="45">
        <f>IFERROR(_xlfn.XLOOKUP($AC154,'BuffValue&lt;Child&gt;'!$A:$A,'BuffValue&lt;Child&gt;'!$K:$K),0)</f>
        <v>0</v>
      </c>
      <c r="AT154" s="43" t="str">
        <f>IFERROR(_xlfn.XLOOKUP(AG154,Target!$A:$A,Target!$B:$B),"None")</f>
        <v>None</v>
      </c>
      <c r="AU154" s="43" t="str">
        <f>IFERROR(_xlfn.XLOOKUP($AH154,'BuffValue&lt;Child&gt;'!$A:$A,'BuffValue&lt;Child&gt;'!$F:$F),"None")</f>
        <v>None</v>
      </c>
      <c r="AV154" s="43">
        <f>IFERROR(_xlfn.XLOOKUP($AH154,'BuffValue&lt;Child&gt;'!$A:$A,'BuffValue&lt;Child&gt;'!$K:$K),0)</f>
        <v>0</v>
      </c>
      <c r="AW154" s="43" t="str">
        <f>IFERROR(_xlfn.XLOOKUP(AL154,Target!$A:$A,Target!$B:$B),"None")</f>
        <v>None</v>
      </c>
      <c r="AX154" s="43" t="str">
        <f>IFERROR(_xlfn.XLOOKUP($AM154,'BuffValue&lt;Child&gt;'!$A:$A,'BuffValue&lt;Child&gt;'!$F:$F),"None")</f>
        <v>None</v>
      </c>
      <c r="AY154" s="43">
        <f>IFERROR(_xlfn.XLOOKUP($AM154,#REF!,#REF!),0)</f>
        <v>0</v>
      </c>
    </row>
    <row r="155" spans="1:51" x14ac:dyDescent="0.3">
      <c r="A155" s="1">
        <f>INT(4&amp;MID(_xlfn.XLOOKUP(B155,[2]Timeline!$B:$B,[2]Timeline!$A:$A),2,5)&amp;2)</f>
        <v>4301942</v>
      </c>
      <c r="B155" s="7" t="s">
        <v>163</v>
      </c>
      <c r="C155" s="7" t="s">
        <v>122</v>
      </c>
      <c r="D155" s="7" t="s">
        <v>577</v>
      </c>
      <c r="E155" s="1" t="str">
        <f t="shared" si="24"/>
        <v>skill_name_4301942</v>
      </c>
      <c r="F155" s="1" t="s">
        <v>117</v>
      </c>
      <c r="G155" s="1" t="s">
        <v>418</v>
      </c>
      <c r="H155" s="1" t="str">
        <f t="shared" si="25"/>
        <v>skill_desc_4301942</v>
      </c>
      <c r="I155" s="1" t="s">
        <v>205</v>
      </c>
      <c r="J155" s="1" t="str">
        <f>IFERROR(_xlfn.XLOOKUP(W155,Target!A:A,Target!J:J),"")</f>
        <v>Skill_Target_Icon_Mine</v>
      </c>
      <c r="K155" s="1" t="s">
        <v>205</v>
      </c>
      <c r="L155" s="1" t="str">
        <f>IFERROR(_xlfn.XLOOKUP(W155,Target!A:A,Target!K:K),"")</f>
        <v>Skill_Area_Icon_Pivot_Centor</v>
      </c>
      <c r="M155" s="1" t="str">
        <f>_xlfn.XLOOKUP(B155,'[2]Detail&lt;Child&gt;'!$B:$B,'[2]Detail&lt;Child&gt;'!$M:$M)</f>
        <v>Light</v>
      </c>
      <c r="N155" s="1" t="str">
        <f>_xlfn.XLOOKUP(B155,'[2]Detail&lt;Child&gt;'!$B:$B,'[2]Detail&lt;Child&gt;'!$N:$N)</f>
        <v>Attacker</v>
      </c>
      <c r="O155" s="1" t="s">
        <v>167</v>
      </c>
      <c r="P155" s="33">
        <v>0</v>
      </c>
      <c r="Q155" s="68" t="str" cm="1">
        <f t="array" ref="Q155">_xlfn.IFS(R155="Move","Move",R155="NonTargetMove","Move",R155="Static","Stand",R155="None","Stand")</f>
        <v>Stand</v>
      </c>
      <c r="R155" s="1" t="s">
        <v>136</v>
      </c>
      <c r="S155" s="1">
        <f>IF(R155="Static",0,1)</f>
        <v>0</v>
      </c>
      <c r="T155" s="2" t="str">
        <f t="shared" si="26"/>
        <v>Immediately</v>
      </c>
      <c r="U155" s="2" t="str" cm="1">
        <f t="array" ref="U155">_xlfn.IFS(T155="SignalHIt","TurnEnd",T155="AttackBegin","TurnEnd",T155="AttackEnd","TurnEnd",T155="Immediately","Applied",T155="None","None")</f>
        <v>Applied</v>
      </c>
      <c r="V155" s="2">
        <v>0</v>
      </c>
      <c r="W155" s="1">
        <v>1</v>
      </c>
      <c r="X155" s="8">
        <f t="shared" si="30"/>
        <v>43019421</v>
      </c>
      <c r="Y155" s="1" t="str">
        <f t="shared" si="27"/>
        <v>Immediately</v>
      </c>
      <c r="Z155" s="2" t="str" cm="1">
        <f t="array" ref="Z155">_xlfn.IFS(Y155="SignalHIt","TurnEnd",Y155="AttackBegin","TurnEnd",Y155="AttackEnd","TurnEnd",Y155="Immediately","Applied",Y155="None","None")</f>
        <v>Applied</v>
      </c>
      <c r="AA155" s="2">
        <v>0</v>
      </c>
      <c r="AB155" s="1">
        <v>0</v>
      </c>
      <c r="AC155" s="8">
        <v>0</v>
      </c>
      <c r="AD155" s="2" t="str">
        <f t="shared" si="28"/>
        <v>Immediately</v>
      </c>
      <c r="AE155" s="2" t="str" cm="1">
        <f t="array" ref="AE155">_xlfn.IFS(AD155="SignalHIt","TurnEnd",AD155="AttackBegin","TurnEnd",AD155="AttackEnd","TurnEnd",AD155="Immediately","Applied",AD155="None","None")</f>
        <v>Applied</v>
      </c>
      <c r="AF155" s="2">
        <v>0</v>
      </c>
      <c r="AG155" s="1">
        <v>0</v>
      </c>
      <c r="AH155" s="8">
        <v>0</v>
      </c>
      <c r="AI155" s="2" t="str">
        <f t="shared" si="29"/>
        <v>Immediately</v>
      </c>
      <c r="AJ155" s="2" t="str" cm="1">
        <f t="array" ref="AJ155">_xlfn.IFS(AI155="SignalHIt","TurnEnd",AI155="AttackBegin","TurnEnd",AI155="AttackEnd","TurnEnd",AI155="Immediately","Applied",AI155="None","None")</f>
        <v>Applied</v>
      </c>
      <c r="AK155" s="2">
        <v>0</v>
      </c>
      <c r="AL155" s="8">
        <v>0</v>
      </c>
      <c r="AM155" s="48">
        <v>0</v>
      </c>
      <c r="AN155" s="45" t="str">
        <f>IFERROR(_xlfn.XLOOKUP(W155,Target!$A:$A,Target!$B:$B),"None")</f>
        <v xml:space="preserve"> 자신 1명 </v>
      </c>
      <c r="AO155" s="43" t="str">
        <f>IFERROR(_xlfn.XLOOKUP($X155,'BuffValue&lt;Child&gt;'!$A:$A,'BuffValue&lt;Child&gt;'!$F:$F),"None")</f>
        <v>아슈토레스 패시브 스킬 사용</v>
      </c>
      <c r="AP155" s="43">
        <f>IFERROR(_xlfn.XLOOKUP($X155,'BuffValue&lt;Child&gt;'!$A:$A,'BuffValue&lt;Child&gt;'!$K:$K),0)</f>
        <v>9100031</v>
      </c>
      <c r="AQ155" s="43" t="str">
        <f>IFERROR(_xlfn.XLOOKUP(AB155,Target!$A:$A,Target!$B:$B),"None")</f>
        <v>None</v>
      </c>
      <c r="AR155" s="45" t="str">
        <f>IFERROR(_xlfn.XLOOKUP($AC155,'BuffValue&lt;Child&gt;'!$A:$A,'BuffValue&lt;Child&gt;'!$F:$F),"None")</f>
        <v>None</v>
      </c>
      <c r="AS155" s="45">
        <f>IFERROR(_xlfn.XLOOKUP($AC155,'BuffValue&lt;Child&gt;'!$A:$A,'BuffValue&lt;Child&gt;'!$K:$K),0)</f>
        <v>0</v>
      </c>
      <c r="AT155" s="43" t="str">
        <f>IFERROR(_xlfn.XLOOKUP(AG155,Target!$A:$A,Target!$B:$B),"None")</f>
        <v>None</v>
      </c>
      <c r="AU155" s="43" t="str">
        <f>IFERROR(_xlfn.XLOOKUP($AH155,'BuffValue&lt;Child&gt;'!$A:$A,'BuffValue&lt;Child&gt;'!$F:$F),"None")</f>
        <v>None</v>
      </c>
      <c r="AV155" s="43">
        <f>IFERROR(_xlfn.XLOOKUP($AH155,'BuffValue&lt;Child&gt;'!$A:$A,'BuffValue&lt;Child&gt;'!$K:$K),0)</f>
        <v>0</v>
      </c>
      <c r="AW155" s="43" t="str">
        <f>IFERROR(_xlfn.XLOOKUP(AL155,Target!$A:$A,Target!$B:$B),"None")</f>
        <v>None</v>
      </c>
      <c r="AX155" s="43" t="str">
        <f>IFERROR(_xlfn.XLOOKUP($AM155,'BuffValue&lt;Child&gt;'!$A:$A,'BuffValue&lt;Child&gt;'!$F:$F),"None")</f>
        <v>None</v>
      </c>
      <c r="AY155" s="43">
        <f>IFERROR(_xlfn.XLOOKUP($AM155,#REF!,#REF!),0)</f>
        <v>0</v>
      </c>
    </row>
    <row r="156" spans="1:51" s="11" customFormat="1" x14ac:dyDescent="0.3">
      <c r="A156" s="11">
        <f>INT(1&amp;MID(_xlfn.XLOOKUP(B156,[2]Timeline!$B:$B,[2]Timeline!$A:$A),2,5)&amp;1)</f>
        <v>1301561</v>
      </c>
      <c r="B156" s="12" t="s">
        <v>191</v>
      </c>
      <c r="C156" s="12" t="s">
        <v>303</v>
      </c>
      <c r="D156" s="12" t="s">
        <v>341</v>
      </c>
      <c r="E156" s="11" t="str">
        <f t="shared" si="24"/>
        <v>skill_name_1301561</v>
      </c>
      <c r="F156" s="11" t="s">
        <v>117</v>
      </c>
      <c r="G156" s="11" t="s">
        <v>444</v>
      </c>
      <c r="H156" s="11" t="str">
        <f t="shared" si="25"/>
        <v>skill_desc_1301561</v>
      </c>
      <c r="I156" s="11" t="s">
        <v>205</v>
      </c>
      <c r="J156" s="11" t="str">
        <f>IFERROR(_xlfn.XLOOKUP(W156,Target!A:A,Target!J:J),"")</f>
        <v>Skill_Target_Icon_Enemy_Near_One</v>
      </c>
      <c r="K156" s="11" t="s">
        <v>205</v>
      </c>
      <c r="L156" s="11" t="str">
        <f>IFERROR(_xlfn.XLOOKUP(W156,Target!A:A,Target!K:K),"")</f>
        <v>Skill_Area_Icon_Pivot_Centor</v>
      </c>
      <c r="M156" s="11" t="str">
        <f>_xlfn.XLOOKUP(B156,'[2]Detail&lt;Child&gt;'!$B:$B,'[2]Detail&lt;Child&gt;'!$M:$M)</f>
        <v>Dark</v>
      </c>
      <c r="N156" s="11" t="str">
        <f>_xlfn.XLOOKUP(B156,'[2]Detail&lt;Child&gt;'!$B:$B,'[2]Detail&lt;Child&gt;'!$N:$N)</f>
        <v>Attacker</v>
      </c>
      <c r="O156" s="11" t="s">
        <v>30</v>
      </c>
      <c r="P156" s="34">
        <v>0</v>
      </c>
      <c r="Q156" s="69" t="str" cm="1">
        <f t="array" ref="Q156">_xlfn.IFS(R156="Move","Move",R156="NonTargetMove","Move",R156="Static","Stand",R156="None","Stand")</f>
        <v>Move</v>
      </c>
      <c r="R156" s="11" t="s">
        <v>144</v>
      </c>
      <c r="S156" s="11">
        <f>IF(R156="Static",0,1)</f>
        <v>1</v>
      </c>
      <c r="T156" s="15" t="str">
        <f t="shared" si="26"/>
        <v>SignalHit</v>
      </c>
      <c r="U156" s="15" t="str" cm="1">
        <f t="array" ref="U156">_xlfn.IFS(T156="SignalHIt","TurnEnd",T156="AttackBegin","TurnEnd",T156="AttackEnd","TurnEnd",T156="Immediately","Applied",T156="None","None")</f>
        <v>TurnEnd</v>
      </c>
      <c r="V156" s="15">
        <v>0</v>
      </c>
      <c r="W156" s="11">
        <v>2000011</v>
      </c>
      <c r="X156" s="10">
        <f t="shared" si="30"/>
        <v>13015611</v>
      </c>
      <c r="Y156" s="11" t="str">
        <f t="shared" si="27"/>
        <v>Immediately</v>
      </c>
      <c r="Z156" s="15" t="str" cm="1">
        <f t="array" ref="Z156">_xlfn.IFS(Y156="SignalHIt","TurnEnd",Y156="AttackBegin","TurnEnd",Y156="AttackEnd","TurnEnd",Y156="Immediately","Applied",Y156="None","None")</f>
        <v>Applied</v>
      </c>
      <c r="AA156" s="15">
        <v>0</v>
      </c>
      <c r="AB156" s="11">
        <v>0</v>
      </c>
      <c r="AC156" s="10">
        <v>0</v>
      </c>
      <c r="AD156" s="15" t="str">
        <f t="shared" si="28"/>
        <v>Immediately</v>
      </c>
      <c r="AE156" s="15" t="str" cm="1">
        <f t="array" ref="AE156">_xlfn.IFS(AD156="SignalHIt","TurnEnd",AD156="AttackBegin","TurnEnd",AD156="AttackEnd","TurnEnd",AD156="Immediately","Applied",AD156="None","None")</f>
        <v>Applied</v>
      </c>
      <c r="AF156" s="15">
        <v>0</v>
      </c>
      <c r="AG156" s="11">
        <v>0</v>
      </c>
      <c r="AH156" s="10">
        <v>0</v>
      </c>
      <c r="AI156" s="15" t="str">
        <f t="shared" si="29"/>
        <v>Immediately</v>
      </c>
      <c r="AJ156" s="15" t="str" cm="1">
        <f t="array" ref="AJ156">_xlfn.IFS(AI156="SignalHIt","TurnEnd",AI156="AttackBegin","TurnEnd",AI156="AttackEnd","TurnEnd",AI156="Immediately","Applied",AI156="None","None")</f>
        <v>Applied</v>
      </c>
      <c r="AK156" s="15">
        <v>0</v>
      </c>
      <c r="AL156" s="10">
        <v>0</v>
      </c>
      <c r="AM156" s="50">
        <v>0</v>
      </c>
      <c r="AN156" s="46" t="str">
        <f>IFERROR(_xlfn.XLOOKUP(W156,Target!$A:$A,Target!$B:$B),"None")</f>
        <v xml:space="preserve">가까운 적 1명 </v>
      </c>
      <c r="AO156" s="47" t="str">
        <f>IFERROR(_xlfn.XLOOKUP($X156,'BuffValue&lt;Child&gt;'!$A:$A,'BuffValue&lt;Child&gt;'!$F:$F),"None")</f>
        <v>공용 대미지</v>
      </c>
      <c r="AP156" s="47">
        <f>IFERROR(_xlfn.XLOOKUP($X156,'BuffValue&lt;Child&gt;'!$A:$A,'BuffValue&lt;Child&gt;'!$K:$K),0)</f>
        <v>295000</v>
      </c>
      <c r="AQ156" s="47" t="str">
        <f>IFERROR(_xlfn.XLOOKUP(AB156,Target!$A:$A,Target!$B:$B),"None")</f>
        <v>None</v>
      </c>
      <c r="AR156" s="46" t="str">
        <f>IFERROR(_xlfn.XLOOKUP($AC156,'BuffValue&lt;Child&gt;'!$A:$A,'BuffValue&lt;Child&gt;'!$F:$F),"None")</f>
        <v>None</v>
      </c>
      <c r="AS156" s="46">
        <f>IFERROR(_xlfn.XLOOKUP($AC156,'BuffValue&lt;Child&gt;'!$A:$A,'BuffValue&lt;Child&gt;'!$K:$K),0)</f>
        <v>0</v>
      </c>
      <c r="AT156" s="47" t="str">
        <f>IFERROR(_xlfn.XLOOKUP(AG156,Target!$A:$A,Target!$B:$B),"None")</f>
        <v>None</v>
      </c>
      <c r="AU156" s="47" t="str">
        <f>IFERROR(_xlfn.XLOOKUP($AH156,'BuffValue&lt;Child&gt;'!$A:$A,'BuffValue&lt;Child&gt;'!$F:$F),"None")</f>
        <v>None</v>
      </c>
      <c r="AV156" s="47">
        <f>IFERROR(_xlfn.XLOOKUP($AH156,'BuffValue&lt;Child&gt;'!$A:$A,'BuffValue&lt;Child&gt;'!$K:$K),0)</f>
        <v>0</v>
      </c>
      <c r="AW156" s="47" t="str">
        <f>IFERROR(_xlfn.XLOOKUP(AL156,Target!$A:$A,Target!$B:$B),"None")</f>
        <v>None</v>
      </c>
      <c r="AX156" s="47" t="str">
        <f>IFERROR(_xlfn.XLOOKUP($AM156,'BuffValue&lt;Child&gt;'!$A:$A,'BuffValue&lt;Child&gt;'!$F:$F),"None")</f>
        <v>None</v>
      </c>
      <c r="AY156" s="47">
        <f>IFERROR(_xlfn.XLOOKUP($AM156,#REF!,#REF!),0)</f>
        <v>0</v>
      </c>
    </row>
    <row r="157" spans="1:51" x14ac:dyDescent="0.3">
      <c r="A157" s="1">
        <f>INT(2&amp;MID(_xlfn.XLOOKUP(B157,[2]Timeline!$B:$B,[2]Timeline!$A:$A),2,5)&amp;1)</f>
        <v>2301561</v>
      </c>
      <c r="B157" s="7" t="s">
        <v>166</v>
      </c>
      <c r="C157" s="7" t="s">
        <v>304</v>
      </c>
      <c r="D157" s="7" t="s">
        <v>533</v>
      </c>
      <c r="E157" s="1" t="str">
        <f t="shared" si="24"/>
        <v>skill_name_2301561</v>
      </c>
      <c r="F157" s="1" t="s">
        <v>117</v>
      </c>
      <c r="G157" s="1" t="s">
        <v>443</v>
      </c>
      <c r="H157" s="1" t="str">
        <f t="shared" si="25"/>
        <v>skill_desc_2301561</v>
      </c>
      <c r="I157" s="1" t="s">
        <v>205</v>
      </c>
      <c r="J157" s="1" t="str">
        <f>IFERROR(_xlfn.XLOOKUP(W157,Target!A:A,Target!J:J),"")</f>
        <v>Skill_Target_Icon_Enemy_Near_One</v>
      </c>
      <c r="K157" s="1" t="s">
        <v>205</v>
      </c>
      <c r="L157" s="1" t="str">
        <f>IFERROR(_xlfn.XLOOKUP(W157,Target!A:A,Target!K:K),"")</f>
        <v>Skill_Area_Icon_Pivot_Centor</v>
      </c>
      <c r="M157" s="1" t="str">
        <f>_xlfn.XLOOKUP(B157,'[2]Detail&lt;Child&gt;'!$B:$B,'[2]Detail&lt;Child&gt;'!$M:$M)</f>
        <v>Dark</v>
      </c>
      <c r="N157" s="1" t="str">
        <f>_xlfn.XLOOKUP(B157,'[2]Detail&lt;Child&gt;'!$B:$B,'[2]Detail&lt;Child&gt;'!$N:$N)</f>
        <v>Attacker</v>
      </c>
      <c r="O157" s="1" t="s">
        <v>33</v>
      </c>
      <c r="P157" s="33">
        <v>3</v>
      </c>
      <c r="Q157" s="68" t="str" cm="1">
        <f t="array" ref="Q157">_xlfn.IFS(R157="Move","Move",R157="NonTargetMove","Move",R157="Static","Stand",R157="None","Stand")</f>
        <v>Move</v>
      </c>
      <c r="R157" s="1" t="s">
        <v>137</v>
      </c>
      <c r="S157" s="1">
        <v>1</v>
      </c>
      <c r="T157" s="2" t="str">
        <f t="shared" si="26"/>
        <v>SignalHit</v>
      </c>
      <c r="U157" s="2" t="str" cm="1">
        <f t="array" ref="U157">_xlfn.IFS(T157="SignalHIt","TurnEnd",T157="AttackBegin","TurnEnd",T157="AttackEnd","TurnEnd",T157="Immediately","Applied",T157="None","None")</f>
        <v>TurnEnd</v>
      </c>
      <c r="V157" s="2">
        <v>0</v>
      </c>
      <c r="W157" s="1">
        <v>2000011</v>
      </c>
      <c r="X157" s="8">
        <f t="shared" si="30"/>
        <v>23015611</v>
      </c>
      <c r="Y157" s="1" t="str">
        <f t="shared" si="27"/>
        <v>Immediately</v>
      </c>
      <c r="Z157" s="2" t="str" cm="1">
        <f t="array" ref="Z157">_xlfn.IFS(Y157="SignalHIt","TurnEnd",Y157="AttackBegin","TurnEnd",Y157="AttackEnd","TurnEnd",Y157="Immediately","Applied",Y157="None","None")</f>
        <v>Applied</v>
      </c>
      <c r="AA157" s="2">
        <v>0</v>
      </c>
      <c r="AB157" s="1">
        <v>0</v>
      </c>
      <c r="AC157" s="8">
        <v>0</v>
      </c>
      <c r="AD157" s="2" t="str">
        <f t="shared" si="28"/>
        <v>AttackEnd</v>
      </c>
      <c r="AE157" s="2" t="str" cm="1">
        <f t="array" ref="AE157">_xlfn.IFS(AD157="SignalHIt","TurnEnd",AD157="AttackBegin","TurnEnd",AD157="AttackEnd","TurnEnd",AD157="Immediately","Applied",AD157="None","None")</f>
        <v>TurnEnd</v>
      </c>
      <c r="AF157" s="2">
        <v>0</v>
      </c>
      <c r="AG157" s="1">
        <v>1</v>
      </c>
      <c r="AH157" s="8">
        <f>X157+1</f>
        <v>23015612</v>
      </c>
      <c r="AI157" s="2" t="str">
        <f t="shared" si="29"/>
        <v>Immediately</v>
      </c>
      <c r="AJ157" s="2" t="str" cm="1">
        <f t="array" ref="AJ157">_xlfn.IFS(AI157="SignalHIt","TurnEnd",AI157="AttackBegin","TurnEnd",AI157="AttackEnd","TurnEnd",AI157="Immediately","Applied",AI157="None","None")</f>
        <v>Applied</v>
      </c>
      <c r="AK157" s="2">
        <v>0</v>
      </c>
      <c r="AL157" s="8">
        <v>0</v>
      </c>
      <c r="AM157" s="48">
        <v>0</v>
      </c>
      <c r="AN157" s="45" t="str">
        <f>IFERROR(_xlfn.XLOOKUP(W157,Target!$A:$A,Target!$B:$B),"None")</f>
        <v xml:space="preserve">가까운 적 1명 </v>
      </c>
      <c r="AO157" s="43" t="str">
        <f>IFERROR(_xlfn.XLOOKUP($X157,'BuffValue&lt;Child&gt;'!$A:$A,'BuffValue&lt;Child&gt;'!$F:$F),"None")</f>
        <v>대미지(치명타 액티브)</v>
      </c>
      <c r="AP157" s="43">
        <f>IFERROR(_xlfn.XLOOKUP($X157,'BuffValue&lt;Child&gt;'!$A:$A,'BuffValue&lt;Child&gt;'!$K:$K),0)</f>
        <v>320000</v>
      </c>
      <c r="AQ157" s="43" t="str">
        <f>IFERROR(_xlfn.XLOOKUP(AB157,Target!$A:$A,Target!$B:$B),"None")</f>
        <v>None</v>
      </c>
      <c r="AR157" s="45" t="str">
        <f>IFERROR(_xlfn.XLOOKUP($AC157,'BuffValue&lt;Child&gt;'!$A:$A,'BuffValue&lt;Child&gt;'!$F:$F),"None")</f>
        <v>None</v>
      </c>
      <c r="AS157" s="45">
        <f>IFERROR(_xlfn.XLOOKUP($AC157,'BuffValue&lt;Child&gt;'!$A:$A,'BuffValue&lt;Child&gt;'!$K:$K),0)</f>
        <v>0</v>
      </c>
      <c r="AT157" s="43" t="str">
        <f>IFERROR(_xlfn.XLOOKUP(AG157,Target!$A:$A,Target!$B:$B),"None")</f>
        <v xml:space="preserve"> 자신 1명 </v>
      </c>
      <c r="AU157" s="43" t="str">
        <f>IFERROR(_xlfn.XLOOKUP($AH157,'BuffValue&lt;Child&gt;'!$A:$A,'BuffValue&lt;Child&gt;'!$F:$F),"None")</f>
        <v>에르제베트 액티브 속도 증가</v>
      </c>
      <c r="AV157" s="43">
        <f>IFERROR(_xlfn.XLOOKUP($AH157,'BuffValue&lt;Child&gt;'!$A:$A,'BuffValue&lt;Child&gt;'!$K:$K),0)</f>
        <v>15</v>
      </c>
      <c r="AW157" s="43" t="str">
        <f>IFERROR(_xlfn.XLOOKUP(AL157,Target!$A:$A,Target!$B:$B),"None")</f>
        <v>None</v>
      </c>
      <c r="AX157" s="43" t="str">
        <f>IFERROR(_xlfn.XLOOKUP($AM157,'BuffValue&lt;Child&gt;'!$A:$A,'BuffValue&lt;Child&gt;'!$F:$F),"None")</f>
        <v>None</v>
      </c>
      <c r="AY157" s="43">
        <f>IFERROR(_xlfn.XLOOKUP($AM157,#REF!,#REF!),0)</f>
        <v>0</v>
      </c>
    </row>
    <row r="158" spans="1:51" x14ac:dyDescent="0.3">
      <c r="A158" s="1">
        <f>INT(2&amp;MID(_xlfn.XLOOKUP(B158,[2]Timeline!$B:$B,[2]Timeline!$A:$A),2,5)&amp;2)</f>
        <v>2301562</v>
      </c>
      <c r="B158" s="7" t="s">
        <v>166</v>
      </c>
      <c r="C158" s="7" t="s">
        <v>304</v>
      </c>
      <c r="D158" s="7" t="s">
        <v>533</v>
      </c>
      <c r="E158" s="1" t="str">
        <f t="shared" si="24"/>
        <v>skill_name_2301562</v>
      </c>
      <c r="F158" s="1" t="s">
        <v>117</v>
      </c>
      <c r="G158" s="1" t="s">
        <v>443</v>
      </c>
      <c r="H158" s="1" t="str">
        <f t="shared" si="25"/>
        <v>skill_desc_2301562</v>
      </c>
      <c r="I158" s="1" t="s">
        <v>205</v>
      </c>
      <c r="J158" s="1" t="str">
        <f>IFERROR(_xlfn.XLOOKUP(W158,Target!A:A,Target!J:J),"")</f>
        <v>Skill_Target_Icon_Enemy_Near_One</v>
      </c>
      <c r="K158" s="1" t="s">
        <v>205</v>
      </c>
      <c r="L158" s="1" t="str">
        <f>IFERROR(_xlfn.XLOOKUP(W158,Target!A:A,Target!K:K),"")</f>
        <v>Skill_Area_Icon_Pivot_Centor</v>
      </c>
      <c r="M158" s="1" t="str">
        <f>_xlfn.XLOOKUP(B158,'[2]Detail&lt;Child&gt;'!$B:$B,'[2]Detail&lt;Child&gt;'!$M:$M)</f>
        <v>Dark</v>
      </c>
      <c r="N158" s="1" t="str">
        <f>_xlfn.XLOOKUP(B158,'[2]Detail&lt;Child&gt;'!$B:$B,'[2]Detail&lt;Child&gt;'!$N:$N)</f>
        <v>Attacker</v>
      </c>
      <c r="O158" s="1" t="s">
        <v>33</v>
      </c>
      <c r="P158" s="33">
        <v>2</v>
      </c>
      <c r="Q158" s="68" t="str" cm="1">
        <f t="array" ref="Q158">_xlfn.IFS(R158="Move","Move",R158="NonTargetMove","Move",R158="Static","Stand",R158="None","Stand")</f>
        <v>Move</v>
      </c>
      <c r="R158" s="1" t="s">
        <v>137</v>
      </c>
      <c r="S158" s="1">
        <v>1</v>
      </c>
      <c r="T158" s="2" t="str">
        <f t="shared" si="26"/>
        <v>SignalHit</v>
      </c>
      <c r="U158" s="2" t="str" cm="1">
        <f t="array" ref="U158">_xlfn.IFS(T158="SignalHIt","TurnEnd",T158="AttackBegin","TurnEnd",T158="AttackEnd","TurnEnd",T158="Immediately","Applied",T158="None","None")</f>
        <v>TurnEnd</v>
      </c>
      <c r="V158" s="2">
        <v>0</v>
      </c>
      <c r="W158" s="1">
        <v>2000011</v>
      </c>
      <c r="X158" s="8">
        <f t="shared" si="30"/>
        <v>23015621</v>
      </c>
      <c r="Y158" s="1" t="str">
        <f t="shared" si="27"/>
        <v>Immediately</v>
      </c>
      <c r="Z158" s="2" t="str" cm="1">
        <f t="array" ref="Z158">_xlfn.IFS(Y158="SignalHIt","TurnEnd",Y158="AttackBegin","TurnEnd",Y158="AttackEnd","TurnEnd",Y158="Immediately","Applied",Y158="None","None")</f>
        <v>Applied</v>
      </c>
      <c r="AA158" s="2">
        <v>0</v>
      </c>
      <c r="AB158" s="1">
        <v>0</v>
      </c>
      <c r="AC158" s="8">
        <v>0</v>
      </c>
      <c r="AD158" s="2" t="str">
        <f t="shared" si="28"/>
        <v>AttackEnd</v>
      </c>
      <c r="AE158" s="2" t="str" cm="1">
        <f t="array" ref="AE158">_xlfn.IFS(AD158="SignalHIt","TurnEnd",AD158="AttackBegin","TurnEnd",AD158="AttackEnd","TurnEnd",AD158="Immediately","Applied",AD158="None","None")</f>
        <v>TurnEnd</v>
      </c>
      <c r="AF158" s="2">
        <v>0</v>
      </c>
      <c r="AG158" s="1">
        <v>1</v>
      </c>
      <c r="AH158" s="8">
        <f>X158+1</f>
        <v>23015622</v>
      </c>
      <c r="AI158" s="2" t="str">
        <f t="shared" si="29"/>
        <v>Immediately</v>
      </c>
      <c r="AJ158" s="2" t="str" cm="1">
        <f t="array" ref="AJ158">_xlfn.IFS(AI158="SignalHIt","TurnEnd",AI158="AttackBegin","TurnEnd",AI158="AttackEnd","TurnEnd",AI158="Immediately","Applied",AI158="None","None")</f>
        <v>Applied</v>
      </c>
      <c r="AK158" s="2">
        <v>0</v>
      </c>
      <c r="AL158" s="8">
        <v>0</v>
      </c>
      <c r="AM158" s="48">
        <v>0</v>
      </c>
      <c r="AN158" s="45" t="str">
        <f>IFERROR(_xlfn.XLOOKUP(W158,Target!$A:$A,Target!$B:$B),"None")</f>
        <v xml:space="preserve">가까운 적 1명 </v>
      </c>
      <c r="AO158" s="43" t="str">
        <f>IFERROR(_xlfn.XLOOKUP($X158,'BuffValue&lt;Child&gt;'!$A:$A,'BuffValue&lt;Child&gt;'!$F:$F),"None")</f>
        <v>대미지(치명타 액티브)</v>
      </c>
      <c r="AP158" s="43">
        <f>IFERROR(_xlfn.XLOOKUP($X158,'BuffValue&lt;Child&gt;'!$A:$A,'BuffValue&lt;Child&gt;'!$K:$K),0)</f>
        <v>320000</v>
      </c>
      <c r="AQ158" s="43" t="str">
        <f>IFERROR(_xlfn.XLOOKUP(AB158,Target!$A:$A,Target!$B:$B),"None")</f>
        <v>None</v>
      </c>
      <c r="AR158" s="45" t="str">
        <f>IFERROR(_xlfn.XLOOKUP($AC158,'BuffValue&lt;Child&gt;'!$A:$A,'BuffValue&lt;Child&gt;'!$F:$F),"None")</f>
        <v>None</v>
      </c>
      <c r="AS158" s="45">
        <f>IFERROR(_xlfn.XLOOKUP($AC158,'BuffValue&lt;Child&gt;'!$A:$A,'BuffValue&lt;Child&gt;'!$K:$K),0)</f>
        <v>0</v>
      </c>
      <c r="AT158" s="43" t="str">
        <f>IFERROR(_xlfn.XLOOKUP(AG158,Target!$A:$A,Target!$B:$B),"None")</f>
        <v xml:space="preserve"> 자신 1명 </v>
      </c>
      <c r="AU158" s="43" t="str">
        <f>IFERROR(_xlfn.XLOOKUP($AH158,'BuffValue&lt;Child&gt;'!$A:$A,'BuffValue&lt;Child&gt;'!$F:$F),"None")</f>
        <v>에르제베트 액티브 속도 증가</v>
      </c>
      <c r="AV158" s="43">
        <f>IFERROR(_xlfn.XLOOKUP($AH158,'BuffValue&lt;Child&gt;'!$A:$A,'BuffValue&lt;Child&gt;'!$K:$K),0)</f>
        <v>15</v>
      </c>
      <c r="AW158" s="43" t="str">
        <f>IFERROR(_xlfn.XLOOKUP(AL158,Target!$A:$A,Target!$B:$B),"None")</f>
        <v>None</v>
      </c>
      <c r="AX158" s="43" t="str">
        <f>IFERROR(_xlfn.XLOOKUP($AM158,'BuffValue&lt;Child&gt;'!$A:$A,'BuffValue&lt;Child&gt;'!$F:$F),"None")</f>
        <v>None</v>
      </c>
      <c r="AY158" s="43">
        <f>IFERROR(_xlfn.XLOOKUP($AM158,#REF!,#REF!),0)</f>
        <v>0</v>
      </c>
    </row>
    <row r="159" spans="1:51" x14ac:dyDescent="0.3">
      <c r="A159" s="1">
        <f>INT(3&amp;MID(_xlfn.XLOOKUP(B159,[2]Timeline!$B:$B,[2]Timeline!$A:$A),2,5)&amp;1)</f>
        <v>3301561</v>
      </c>
      <c r="B159" s="7" t="s">
        <v>166</v>
      </c>
      <c r="C159" s="7" t="s">
        <v>305</v>
      </c>
      <c r="D159" s="7" t="s">
        <v>524</v>
      </c>
      <c r="E159" s="1" t="str">
        <f t="shared" si="24"/>
        <v>skill_name_3301561</v>
      </c>
      <c r="F159" s="1" t="s">
        <v>117</v>
      </c>
      <c r="G159" s="1" t="s">
        <v>404</v>
      </c>
      <c r="H159" s="1" t="str">
        <f t="shared" si="25"/>
        <v>skill_desc_3301561</v>
      </c>
      <c r="I159" s="1" t="s">
        <v>205</v>
      </c>
      <c r="J159" s="1" t="str">
        <f>IFERROR(_xlfn.XLOOKUP(W159,Target!A:A,Target!J:J),"")</f>
        <v>Skill_Target_Icon_Enemy</v>
      </c>
      <c r="K159" s="1" t="s">
        <v>205</v>
      </c>
      <c r="L159" s="1" t="str">
        <f>IFERROR(_xlfn.XLOOKUP(W159,Target!A:A,Target!K:K),"")</f>
        <v>Skill_Area_Icon_NonTarget_All</v>
      </c>
      <c r="M159" s="1" t="str">
        <f>_xlfn.XLOOKUP(B159,'[2]Detail&lt;Child&gt;'!$B:$B,'[2]Detail&lt;Child&gt;'!$M:$M)</f>
        <v>Dark</v>
      </c>
      <c r="N159" s="1" t="str">
        <f>_xlfn.XLOOKUP(B159,'[2]Detail&lt;Child&gt;'!$B:$B,'[2]Detail&lt;Child&gt;'!$N:$N)</f>
        <v>Attacker</v>
      </c>
      <c r="O159" s="1" t="s">
        <v>141</v>
      </c>
      <c r="P159" s="33">
        <v>0</v>
      </c>
      <c r="Q159" s="68" t="str" cm="1">
        <f t="array" ref="Q159">_xlfn.IFS(R159="Move","Move",R159="NonTargetMove","Move",R159="Static","Stand",R159="None","Stand")</f>
        <v>Move</v>
      </c>
      <c r="R159" s="1" t="s">
        <v>153</v>
      </c>
      <c r="S159" s="1">
        <v>1</v>
      </c>
      <c r="T159" s="2" t="str">
        <f t="shared" si="26"/>
        <v>SignalHit</v>
      </c>
      <c r="U159" s="2" t="str" cm="1">
        <f t="array" ref="U159">_xlfn.IFS(T159="SignalHIt","TurnEnd",T159="AttackBegin","TurnEnd",T159="AttackEnd","TurnEnd",T159="Immediately","Applied",T159="None","None")</f>
        <v>TurnEnd</v>
      </c>
      <c r="V159" s="2">
        <v>0</v>
      </c>
      <c r="W159" s="1">
        <v>920001</v>
      </c>
      <c r="X159" s="8">
        <f t="shared" si="30"/>
        <v>33015611</v>
      </c>
      <c r="Y159" s="1" t="str">
        <f t="shared" si="27"/>
        <v>Immediately</v>
      </c>
      <c r="Z159" s="2" t="str" cm="1">
        <f t="array" ref="Z159">_xlfn.IFS(Y159="SignalHIt","TurnEnd",Y159="AttackBegin","TurnEnd",Y159="AttackEnd","TurnEnd",Y159="Immediately","Applied",Y159="None","None")</f>
        <v>Applied</v>
      </c>
      <c r="AA159" s="2">
        <v>0</v>
      </c>
      <c r="AB159" s="1">
        <v>0</v>
      </c>
      <c r="AC159" s="8">
        <v>0</v>
      </c>
      <c r="AD159" s="2" t="str">
        <f t="shared" si="28"/>
        <v>AttackEnd</v>
      </c>
      <c r="AE159" s="2" t="str" cm="1">
        <f t="array" ref="AE159">_xlfn.IFS(AD159="SignalHIt","TurnEnd",AD159="AttackBegin","TurnEnd",AD159="AttackEnd","TurnEnd",AD159="Immediately","Applied",AD159="None","None")</f>
        <v>TurnEnd</v>
      </c>
      <c r="AF159" s="2">
        <v>0</v>
      </c>
      <c r="AG159" s="1">
        <v>920001</v>
      </c>
      <c r="AH159" s="8">
        <f>X159+1</f>
        <v>33015612</v>
      </c>
      <c r="AI159" s="2" t="str">
        <f t="shared" si="29"/>
        <v>Immediately</v>
      </c>
      <c r="AJ159" s="2" t="str" cm="1">
        <f t="array" ref="AJ159">_xlfn.IFS(AI159="SignalHIt","TurnEnd",AI159="AttackBegin","TurnEnd",AI159="AttackEnd","TurnEnd",AI159="Immediately","Applied",AI159="None","None")</f>
        <v>Applied</v>
      </c>
      <c r="AK159" s="2">
        <v>0</v>
      </c>
      <c r="AL159" s="8">
        <v>0</v>
      </c>
      <c r="AM159" s="48">
        <v>0</v>
      </c>
      <c r="AN159" s="45" t="str">
        <f>IFERROR(_xlfn.XLOOKUP(W159,Target!$A:$A,Target!$B:$B),"None")</f>
        <v>논타겟 적 9칸</v>
      </c>
      <c r="AO159" s="43" t="str">
        <f>IFERROR(_xlfn.XLOOKUP($X159,'BuffValue&lt;Child&gt;'!$A:$A,'BuffValue&lt;Child&gt;'!$F:$F),"None")</f>
        <v>얼티밋 대미지</v>
      </c>
      <c r="AP159" s="43">
        <f>IFERROR(_xlfn.XLOOKUP($X159,'BuffValue&lt;Child&gt;'!$A:$A,'BuffValue&lt;Child&gt;'!$K:$K),0)</f>
        <v>40000</v>
      </c>
      <c r="AQ159" s="43" t="str">
        <f>IFERROR(_xlfn.XLOOKUP(AB159,Target!$A:$A,Target!$B:$B),"None")</f>
        <v>None</v>
      </c>
      <c r="AR159" s="45" t="str">
        <f>IFERROR(_xlfn.XLOOKUP($AC159,'BuffValue&lt;Child&gt;'!$A:$A,'BuffValue&lt;Child&gt;'!$F:$F),"None")</f>
        <v>None</v>
      </c>
      <c r="AS159" s="45">
        <f>IFERROR(_xlfn.XLOOKUP($AC159,'BuffValue&lt;Child&gt;'!$A:$A,'BuffValue&lt;Child&gt;'!$K:$K),0)</f>
        <v>0</v>
      </c>
      <c r="AT159" s="43" t="str">
        <f>IFERROR(_xlfn.XLOOKUP(AG159,Target!$A:$A,Target!$B:$B),"None")</f>
        <v>논타겟 적 9칸</v>
      </c>
      <c r="AU159" s="43" t="str">
        <f>IFERROR(_xlfn.XLOOKUP($AH159,'BuffValue&lt;Child&gt;'!$A:$A,'BuffValue&lt;Child&gt;'!$F:$F),"None")</f>
        <v>재능 중독</v>
      </c>
      <c r="AV159" s="43">
        <f>IFERROR(_xlfn.XLOOKUP($AH159,'BuffValue&lt;Child&gt;'!$A:$A,'BuffValue&lt;Child&gt;'!$K:$K),0)</f>
        <v>30000</v>
      </c>
      <c r="AW159" s="43" t="str">
        <f>IFERROR(_xlfn.XLOOKUP(AL159,Target!$A:$A,Target!$B:$B),"None")</f>
        <v>None</v>
      </c>
      <c r="AX159" s="43" t="str">
        <f>IFERROR(_xlfn.XLOOKUP($AM159,'BuffValue&lt;Child&gt;'!$A:$A,'BuffValue&lt;Child&gt;'!$F:$F),"None")</f>
        <v>None</v>
      </c>
      <c r="AY159" s="43">
        <f>IFERROR(_xlfn.XLOOKUP($AM159,#REF!,#REF!),0)</f>
        <v>0</v>
      </c>
    </row>
    <row r="160" spans="1:51" x14ac:dyDescent="0.3">
      <c r="A160" s="1">
        <f>INT(3&amp;MID(_xlfn.XLOOKUP(B160,[2]Timeline!$B:$B,[2]Timeline!$A:$A),2,5)&amp;2)</f>
        <v>3301562</v>
      </c>
      <c r="B160" s="7" t="s">
        <v>166</v>
      </c>
      <c r="C160" s="7" t="s">
        <v>305</v>
      </c>
      <c r="D160" s="7" t="s">
        <v>524</v>
      </c>
      <c r="E160" s="1" t="str">
        <f t="shared" si="24"/>
        <v>skill_name_3301562</v>
      </c>
      <c r="F160" s="1" t="s">
        <v>117</v>
      </c>
      <c r="G160" s="1" t="s">
        <v>404</v>
      </c>
      <c r="H160" s="1" t="str">
        <f t="shared" si="25"/>
        <v>skill_desc_3301562</v>
      </c>
      <c r="I160" s="1" t="s">
        <v>205</v>
      </c>
      <c r="J160" s="1" t="str">
        <f>IFERROR(_xlfn.XLOOKUP(W160,Target!A:A,Target!J:J),"")</f>
        <v>Skill_Target_Icon_Enemy</v>
      </c>
      <c r="K160" s="1" t="s">
        <v>205</v>
      </c>
      <c r="L160" s="1" t="str">
        <f>IFERROR(_xlfn.XLOOKUP(W160,Target!A:A,Target!K:K),"")</f>
        <v>Skill_Area_Icon_NonTarget_All</v>
      </c>
      <c r="M160" s="1" t="str">
        <f>_xlfn.XLOOKUP(B160,'[2]Detail&lt;Child&gt;'!$B:$B,'[2]Detail&lt;Child&gt;'!$M:$M)</f>
        <v>Dark</v>
      </c>
      <c r="N160" s="1" t="str">
        <f>_xlfn.XLOOKUP(B160,'[2]Detail&lt;Child&gt;'!$B:$B,'[2]Detail&lt;Child&gt;'!$N:$N)</f>
        <v>Attacker</v>
      </c>
      <c r="O160" s="1" t="s">
        <v>140</v>
      </c>
      <c r="P160" s="33">
        <v>0</v>
      </c>
      <c r="Q160" s="68" t="str" cm="1">
        <f t="array" ref="Q160">_xlfn.IFS(R160="Move","Move",R160="NonTargetMove","Move",R160="Static","Stand",R160="None","Stand")</f>
        <v>Move</v>
      </c>
      <c r="R160" s="1" t="s">
        <v>153</v>
      </c>
      <c r="S160" s="1">
        <v>1</v>
      </c>
      <c r="T160" s="2" t="str">
        <f t="shared" si="26"/>
        <v>SignalHit</v>
      </c>
      <c r="U160" s="2" t="str" cm="1">
        <f t="array" ref="U160">_xlfn.IFS(T160="SignalHIt","TurnEnd",T160="AttackBegin","TurnEnd",T160="AttackEnd","TurnEnd",T160="Immediately","Applied",T160="None","None")</f>
        <v>TurnEnd</v>
      </c>
      <c r="V160" s="2">
        <v>0</v>
      </c>
      <c r="W160" s="1">
        <v>920001</v>
      </c>
      <c r="X160" s="8">
        <f t="shared" si="30"/>
        <v>33015621</v>
      </c>
      <c r="Y160" s="1" t="str">
        <f t="shared" si="27"/>
        <v>Immediately</v>
      </c>
      <c r="Z160" s="2" t="str" cm="1">
        <f t="array" ref="Z160">_xlfn.IFS(Y160="SignalHIt","TurnEnd",Y160="AttackBegin","TurnEnd",Y160="AttackEnd","TurnEnd",Y160="Immediately","Applied",Y160="None","None")</f>
        <v>Applied</v>
      </c>
      <c r="AA160" s="2">
        <v>0</v>
      </c>
      <c r="AB160" s="1">
        <v>0</v>
      </c>
      <c r="AC160" s="8">
        <v>0</v>
      </c>
      <c r="AD160" s="2" t="str">
        <f t="shared" si="28"/>
        <v>AttackEnd</v>
      </c>
      <c r="AE160" s="2" t="str" cm="1">
        <f t="array" ref="AE160">_xlfn.IFS(AD160="SignalHIt","TurnEnd",AD160="AttackBegin","TurnEnd",AD160="AttackEnd","TurnEnd",AD160="Immediately","Applied",AD160="None","None")</f>
        <v>TurnEnd</v>
      </c>
      <c r="AF160" s="2">
        <v>0</v>
      </c>
      <c r="AG160" s="1">
        <v>920001</v>
      </c>
      <c r="AH160" s="8">
        <f>X160+1</f>
        <v>33015622</v>
      </c>
      <c r="AI160" s="2" t="str">
        <f t="shared" si="29"/>
        <v>Immediately</v>
      </c>
      <c r="AJ160" s="2" t="str" cm="1">
        <f t="array" ref="AJ160">_xlfn.IFS(AI160="SignalHIt","TurnEnd",AI160="AttackBegin","TurnEnd",AI160="AttackEnd","TurnEnd",AI160="Immediately","Applied",AI160="None","None")</f>
        <v>Applied</v>
      </c>
      <c r="AK160" s="2">
        <v>0</v>
      </c>
      <c r="AL160" s="8">
        <v>0</v>
      </c>
      <c r="AM160" s="48">
        <v>0</v>
      </c>
      <c r="AN160" s="45" t="str">
        <f>IFERROR(_xlfn.XLOOKUP(W160,Target!$A:$A,Target!$B:$B),"None")</f>
        <v>논타겟 적 9칸</v>
      </c>
      <c r="AO160" s="43" t="str">
        <f>IFERROR(_xlfn.XLOOKUP($X160,'BuffValue&lt;Child&gt;'!$A:$A,'BuffValue&lt;Child&gt;'!$F:$F),"None")</f>
        <v>얼티밋 대미지</v>
      </c>
      <c r="AP160" s="43">
        <f>IFERROR(_xlfn.XLOOKUP($X160,'BuffValue&lt;Child&gt;'!$A:$A,'BuffValue&lt;Child&gt;'!$K:$K),0)</f>
        <v>40000</v>
      </c>
      <c r="AQ160" s="43" t="str">
        <f>IFERROR(_xlfn.XLOOKUP(AB160,Target!$A:$A,Target!$B:$B),"None")</f>
        <v>None</v>
      </c>
      <c r="AR160" s="45" t="str">
        <f>IFERROR(_xlfn.XLOOKUP($AC160,'BuffValue&lt;Child&gt;'!$A:$A,'BuffValue&lt;Child&gt;'!$F:$F),"None")</f>
        <v>None</v>
      </c>
      <c r="AS160" s="45">
        <f>IFERROR(_xlfn.XLOOKUP($AC160,'BuffValue&lt;Child&gt;'!$A:$A,'BuffValue&lt;Child&gt;'!$K:$K),0)</f>
        <v>0</v>
      </c>
      <c r="AT160" s="43" t="str">
        <f>IFERROR(_xlfn.XLOOKUP(AG160,Target!$A:$A,Target!$B:$B),"None")</f>
        <v>논타겟 적 9칸</v>
      </c>
      <c r="AU160" s="43" t="str">
        <f>IFERROR(_xlfn.XLOOKUP($AH160,'BuffValue&lt;Child&gt;'!$A:$A,'BuffValue&lt;Child&gt;'!$F:$F),"None")</f>
        <v>재능 중독</v>
      </c>
      <c r="AV160" s="43">
        <f>IFERROR(_xlfn.XLOOKUP($AH160,'BuffValue&lt;Child&gt;'!$A:$A,'BuffValue&lt;Child&gt;'!$K:$K),0)</f>
        <v>30000</v>
      </c>
      <c r="AW160" s="43" t="str">
        <f>IFERROR(_xlfn.XLOOKUP(AL160,Target!$A:$A,Target!$B:$B),"None")</f>
        <v>None</v>
      </c>
      <c r="AX160" s="43" t="str">
        <f>IFERROR(_xlfn.XLOOKUP($AM160,'BuffValue&lt;Child&gt;'!$A:$A,'BuffValue&lt;Child&gt;'!$F:$F),"None")</f>
        <v>None</v>
      </c>
      <c r="AY160" s="43">
        <f>IFERROR(_xlfn.XLOOKUP($AM160,#REF!,#REF!),0)</f>
        <v>0</v>
      </c>
    </row>
    <row r="161" spans="1:51" x14ac:dyDescent="0.3">
      <c r="A161" s="1">
        <f>INT(3&amp;MID(_xlfn.XLOOKUP(B161,[2]Timeline!$B:$B,[2]Timeline!$A:$A),2,5)&amp;3)</f>
        <v>3301563</v>
      </c>
      <c r="B161" s="7" t="s">
        <v>166</v>
      </c>
      <c r="C161" s="7" t="s">
        <v>305</v>
      </c>
      <c r="D161" s="7" t="s">
        <v>524</v>
      </c>
      <c r="E161" s="1" t="str">
        <f t="shared" si="24"/>
        <v>skill_name_3301563</v>
      </c>
      <c r="F161" s="1" t="s">
        <v>117</v>
      </c>
      <c r="G161" s="1" t="s">
        <v>404</v>
      </c>
      <c r="H161" s="1" t="str">
        <f t="shared" si="25"/>
        <v>skill_desc_3301563</v>
      </c>
      <c r="I161" s="1" t="s">
        <v>205</v>
      </c>
      <c r="J161" s="1" t="str">
        <f>IFERROR(_xlfn.XLOOKUP(W161,Target!A:A,Target!J:J),"")</f>
        <v>Skill_Target_Icon_Enemy</v>
      </c>
      <c r="K161" s="1" t="s">
        <v>205</v>
      </c>
      <c r="L161" s="1" t="str">
        <f>IFERROR(_xlfn.XLOOKUP(W161,Target!A:A,Target!K:K),"")</f>
        <v>Skill_Area_Icon_NonTarget_All</v>
      </c>
      <c r="M161" s="1" t="str">
        <f>_xlfn.XLOOKUP(B161,'[2]Detail&lt;Child&gt;'!$B:$B,'[2]Detail&lt;Child&gt;'!$M:$M)</f>
        <v>Dark</v>
      </c>
      <c r="N161" s="1" t="str">
        <f>_xlfn.XLOOKUP(B161,'[2]Detail&lt;Child&gt;'!$B:$B,'[2]Detail&lt;Child&gt;'!$N:$N)</f>
        <v>Attacker</v>
      </c>
      <c r="O161" s="1" t="s">
        <v>140</v>
      </c>
      <c r="P161" s="33">
        <v>0</v>
      </c>
      <c r="Q161" s="68" t="str" cm="1">
        <f t="array" ref="Q161">_xlfn.IFS(R161="Move","Move",R161="NonTargetMove","Move",R161="Static","Stand",R161="None","Stand")</f>
        <v>Move</v>
      </c>
      <c r="R161" s="1" t="s">
        <v>153</v>
      </c>
      <c r="S161" s="1">
        <v>1</v>
      </c>
      <c r="T161" s="2" t="str">
        <f t="shared" si="26"/>
        <v>SignalHit</v>
      </c>
      <c r="U161" s="2" t="str" cm="1">
        <f t="array" ref="U161">_xlfn.IFS(T161="SignalHIt","TurnEnd",T161="AttackBegin","TurnEnd",T161="AttackEnd","TurnEnd",T161="Immediately","Applied",T161="None","None")</f>
        <v>TurnEnd</v>
      </c>
      <c r="V161" s="2">
        <v>0</v>
      </c>
      <c r="W161" s="1">
        <v>920001</v>
      </c>
      <c r="X161" s="8">
        <f t="shared" si="30"/>
        <v>33015631</v>
      </c>
      <c r="Y161" s="1" t="str">
        <f t="shared" si="27"/>
        <v>Immediately</v>
      </c>
      <c r="Z161" s="2" t="str" cm="1">
        <f t="array" ref="Z161">_xlfn.IFS(Y161="SignalHIt","TurnEnd",Y161="AttackBegin","TurnEnd",Y161="AttackEnd","TurnEnd",Y161="Immediately","Applied",Y161="None","None")</f>
        <v>Applied</v>
      </c>
      <c r="AA161" s="2">
        <v>0</v>
      </c>
      <c r="AB161" s="1">
        <v>0</v>
      </c>
      <c r="AC161" s="8">
        <v>0</v>
      </c>
      <c r="AD161" s="2" t="str">
        <f t="shared" si="28"/>
        <v>AttackEnd</v>
      </c>
      <c r="AE161" s="2" t="str" cm="1">
        <f t="array" ref="AE161">_xlfn.IFS(AD161="SignalHIt","TurnEnd",AD161="AttackBegin","TurnEnd",AD161="AttackEnd","TurnEnd",AD161="Immediately","Applied",AD161="None","None")</f>
        <v>TurnEnd</v>
      </c>
      <c r="AF161" s="2">
        <v>0</v>
      </c>
      <c r="AG161" s="1">
        <v>920001</v>
      </c>
      <c r="AH161" s="8">
        <f>X161+1</f>
        <v>33015632</v>
      </c>
      <c r="AI161" s="2" t="str">
        <f t="shared" si="29"/>
        <v>Immediately</v>
      </c>
      <c r="AJ161" s="2" t="str" cm="1">
        <f t="array" ref="AJ161">_xlfn.IFS(AI161="SignalHIt","TurnEnd",AI161="AttackBegin","TurnEnd",AI161="AttackEnd","TurnEnd",AI161="Immediately","Applied",AI161="None","None")</f>
        <v>Applied</v>
      </c>
      <c r="AK161" s="2">
        <v>0</v>
      </c>
      <c r="AL161" s="8">
        <v>0</v>
      </c>
      <c r="AM161" s="48">
        <v>0</v>
      </c>
      <c r="AN161" s="45" t="str">
        <f>IFERROR(_xlfn.XLOOKUP(W161,Target!$A:$A,Target!$B:$B),"None")</f>
        <v>논타겟 적 9칸</v>
      </c>
      <c r="AO161" s="43" t="str">
        <f>IFERROR(_xlfn.XLOOKUP($X161,'BuffValue&lt;Child&gt;'!$A:$A,'BuffValue&lt;Child&gt;'!$F:$F),"None")</f>
        <v>얼티밋 대미지</v>
      </c>
      <c r="AP161" s="43">
        <f>IFERROR(_xlfn.XLOOKUP($X161,'BuffValue&lt;Child&gt;'!$A:$A,'BuffValue&lt;Child&gt;'!$K:$K),0)</f>
        <v>40000</v>
      </c>
      <c r="AQ161" s="43" t="str">
        <f>IFERROR(_xlfn.XLOOKUP(AB161,Target!$A:$A,Target!$B:$B),"None")</f>
        <v>None</v>
      </c>
      <c r="AR161" s="45" t="str">
        <f>IFERROR(_xlfn.XLOOKUP($AC161,'BuffValue&lt;Child&gt;'!$A:$A,'BuffValue&lt;Child&gt;'!$F:$F),"None")</f>
        <v>None</v>
      </c>
      <c r="AS161" s="45">
        <f>IFERROR(_xlfn.XLOOKUP($AC161,'BuffValue&lt;Child&gt;'!$A:$A,'BuffValue&lt;Child&gt;'!$K:$K),0)</f>
        <v>0</v>
      </c>
      <c r="AT161" s="43" t="str">
        <f>IFERROR(_xlfn.XLOOKUP(AG161,Target!$A:$A,Target!$B:$B),"None")</f>
        <v>논타겟 적 9칸</v>
      </c>
      <c r="AU161" s="43" t="str">
        <f>IFERROR(_xlfn.XLOOKUP($AH161,'BuffValue&lt;Child&gt;'!$A:$A,'BuffValue&lt;Child&gt;'!$F:$F),"None")</f>
        <v>재능 중독</v>
      </c>
      <c r="AV161" s="43">
        <f>IFERROR(_xlfn.XLOOKUP($AH161,'BuffValue&lt;Child&gt;'!$A:$A,'BuffValue&lt;Child&gt;'!$K:$K),0)</f>
        <v>30000</v>
      </c>
      <c r="AW161" s="43" t="str">
        <f>IFERROR(_xlfn.XLOOKUP(AL161,Target!$A:$A,Target!$B:$B),"None")</f>
        <v>None</v>
      </c>
      <c r="AX161" s="43" t="str">
        <f>IFERROR(_xlfn.XLOOKUP($AM161,'BuffValue&lt;Child&gt;'!$A:$A,'BuffValue&lt;Child&gt;'!$F:$F),"None")</f>
        <v>None</v>
      </c>
      <c r="AY161" s="43">
        <f>IFERROR(_xlfn.XLOOKUP($AM161,#REF!,#REF!),0)</f>
        <v>0</v>
      </c>
    </row>
    <row r="162" spans="1:51" x14ac:dyDescent="0.3">
      <c r="A162" s="1">
        <f>INT(4&amp;MID(_xlfn.XLOOKUP(B162,[2]Timeline!$B:$B,[2]Timeline!$A:$A),2,5)&amp;1)</f>
        <v>4301561</v>
      </c>
      <c r="B162" s="7" t="s">
        <v>166</v>
      </c>
      <c r="C162" s="7" t="s">
        <v>122</v>
      </c>
      <c r="D162" s="7" t="s">
        <v>344</v>
      </c>
      <c r="E162" s="1" t="str">
        <f t="shared" si="24"/>
        <v>skill_name_4301561</v>
      </c>
      <c r="F162" s="1" t="s">
        <v>117</v>
      </c>
      <c r="G162" s="1" t="s">
        <v>445</v>
      </c>
      <c r="H162" s="1" t="str">
        <f t="shared" si="25"/>
        <v>skill_desc_4301561</v>
      </c>
      <c r="I162" s="1" t="s">
        <v>205</v>
      </c>
      <c r="J162" s="1" t="str">
        <f>IFERROR(_xlfn.XLOOKUP(W162,Target!A:A,Target!J:J),"")</f>
        <v>Skill_Target_Icon_Mine</v>
      </c>
      <c r="K162" s="1" t="s">
        <v>205</v>
      </c>
      <c r="L162" s="1" t="str">
        <f>IFERROR(_xlfn.XLOOKUP(W162,Target!A:A,Target!K:K),"")</f>
        <v>Skill_Area_Icon_Pivot_Centor</v>
      </c>
      <c r="M162" s="1" t="str">
        <f>_xlfn.XLOOKUP(B162,'[2]Detail&lt;Child&gt;'!$B:$B,'[2]Detail&lt;Child&gt;'!$M:$M)</f>
        <v>Dark</v>
      </c>
      <c r="N162" s="1" t="str">
        <f>_xlfn.XLOOKUP(B162,'[2]Detail&lt;Child&gt;'!$B:$B,'[2]Detail&lt;Child&gt;'!$N:$N)</f>
        <v>Attacker</v>
      </c>
      <c r="O162" s="1" t="s">
        <v>167</v>
      </c>
      <c r="P162" s="33">
        <v>0</v>
      </c>
      <c r="Q162" s="68" t="str" cm="1">
        <f t="array" ref="Q162">_xlfn.IFS(R162="Move","Move",R162="NonTargetMove","Move",R162="Static","Stand",R162="None","Stand")</f>
        <v>Stand</v>
      </c>
      <c r="R162" s="1" t="s">
        <v>136</v>
      </c>
      <c r="S162" s="1">
        <v>0</v>
      </c>
      <c r="T162" s="2" t="str">
        <f t="shared" si="26"/>
        <v>Immediately</v>
      </c>
      <c r="U162" s="2" t="str" cm="1">
        <f t="array" ref="U162">_xlfn.IFS(T162="SignalHIt","TurnEnd",T162="AttackBegin","TurnEnd",T162="AttackEnd","TurnEnd",T162="Immediately","Applied",T162="None","None")</f>
        <v>Applied</v>
      </c>
      <c r="V162" s="2">
        <v>0</v>
      </c>
      <c r="W162" s="1">
        <v>1</v>
      </c>
      <c r="X162" s="8">
        <f t="shared" si="30"/>
        <v>43015611</v>
      </c>
      <c r="Y162" s="1" t="str">
        <f t="shared" si="27"/>
        <v>Immediately</v>
      </c>
      <c r="Z162" s="2" t="str" cm="1">
        <f t="array" ref="Z162">_xlfn.IFS(Y162="SignalHIt","TurnEnd",Y162="AttackBegin","TurnEnd",Y162="AttackEnd","TurnEnd",Y162="Immediately","Applied",Y162="None","None")</f>
        <v>Applied</v>
      </c>
      <c r="AA162" s="2">
        <v>0</v>
      </c>
      <c r="AB162" s="1">
        <v>0</v>
      </c>
      <c r="AC162" s="8">
        <v>0</v>
      </c>
      <c r="AD162" s="2" t="str">
        <f t="shared" si="28"/>
        <v>Immediately</v>
      </c>
      <c r="AE162" s="2" t="str" cm="1">
        <f t="array" ref="AE162">_xlfn.IFS(AD162="SignalHIt","TurnEnd",AD162="AttackBegin","TurnEnd",AD162="AttackEnd","TurnEnd",AD162="Immediately","Applied",AD162="None","None")</f>
        <v>Applied</v>
      </c>
      <c r="AF162" s="2">
        <v>0</v>
      </c>
      <c r="AG162" s="1">
        <v>0</v>
      </c>
      <c r="AH162" s="8">
        <v>0</v>
      </c>
      <c r="AI162" s="2" t="str">
        <f t="shared" si="29"/>
        <v>Immediately</v>
      </c>
      <c r="AJ162" s="2" t="str" cm="1">
        <f t="array" ref="AJ162">_xlfn.IFS(AI162="SignalHIt","TurnEnd",AI162="AttackBegin","TurnEnd",AI162="AttackEnd","TurnEnd",AI162="Immediately","Applied",AI162="None","None")</f>
        <v>Applied</v>
      </c>
      <c r="AK162" s="2">
        <v>0</v>
      </c>
      <c r="AL162" s="8">
        <v>0</v>
      </c>
      <c r="AM162" s="48">
        <v>0</v>
      </c>
      <c r="AN162" s="45" t="str">
        <f>IFERROR(_xlfn.XLOOKUP(W162,Target!$A:$A,Target!$B:$B),"None")</f>
        <v xml:space="preserve"> 자신 1명 </v>
      </c>
      <c r="AO162" s="43" t="str">
        <f>IFERROR(_xlfn.XLOOKUP($X162,'BuffValue&lt;Child&gt;'!$A:$A,'BuffValue&lt;Child&gt;'!$F:$F),"None")</f>
        <v>에르제베트 공증</v>
      </c>
      <c r="AP162" s="43">
        <f>IFERROR(_xlfn.XLOOKUP($X162,'BuffValue&lt;Child&gt;'!$A:$A,'BuffValue&lt;Child&gt;'!$K:$K),0)</f>
        <v>30000</v>
      </c>
      <c r="AQ162" s="43" t="str">
        <f>IFERROR(_xlfn.XLOOKUP(AB162,Target!$A:$A,Target!$B:$B),"None")</f>
        <v>None</v>
      </c>
      <c r="AR162" s="45" t="str">
        <f>IFERROR(_xlfn.XLOOKUP($AC162,'BuffValue&lt;Child&gt;'!$A:$A,'BuffValue&lt;Child&gt;'!$F:$F),"None")</f>
        <v>None</v>
      </c>
      <c r="AS162" s="45">
        <f>IFERROR(_xlfn.XLOOKUP($AC162,'BuffValue&lt;Child&gt;'!$A:$A,'BuffValue&lt;Child&gt;'!$K:$K),0)</f>
        <v>0</v>
      </c>
      <c r="AT162" s="43" t="str">
        <f>IFERROR(_xlfn.XLOOKUP(AG162,Target!$A:$A,Target!$B:$B),"None")</f>
        <v>None</v>
      </c>
      <c r="AU162" s="43" t="str">
        <f>IFERROR(_xlfn.XLOOKUP($AH162,'BuffValue&lt;Child&gt;'!$A:$A,'BuffValue&lt;Child&gt;'!$F:$F),"None")</f>
        <v>None</v>
      </c>
      <c r="AV162" s="43">
        <f>IFERROR(_xlfn.XLOOKUP($AH162,'BuffValue&lt;Child&gt;'!$A:$A,'BuffValue&lt;Child&gt;'!$K:$K),0)</f>
        <v>0</v>
      </c>
      <c r="AW162" s="43" t="str">
        <f>IFERROR(_xlfn.XLOOKUP(AL162,Target!$A:$A,Target!$B:$B),"None")</f>
        <v>None</v>
      </c>
      <c r="AX162" s="43" t="str">
        <f>IFERROR(_xlfn.XLOOKUP($AM162,'BuffValue&lt;Child&gt;'!$A:$A,'BuffValue&lt;Child&gt;'!$F:$F),"None")</f>
        <v>None</v>
      </c>
      <c r="AY162" s="43">
        <f>IFERROR(_xlfn.XLOOKUP($AM162,#REF!,#REF!),0)</f>
        <v>0</v>
      </c>
    </row>
    <row r="163" spans="1:51" x14ac:dyDescent="0.3">
      <c r="A163" s="1">
        <f>INT(4&amp;MID(_xlfn.XLOOKUP(B163,[2]Timeline!$B:$B,[2]Timeline!$A:$A),2,5)&amp;2)</f>
        <v>4301562</v>
      </c>
      <c r="B163" s="7" t="s">
        <v>166</v>
      </c>
      <c r="C163" s="7" t="s">
        <v>122</v>
      </c>
      <c r="D163" s="7" t="s">
        <v>344</v>
      </c>
      <c r="E163" s="1" t="str">
        <f t="shared" si="24"/>
        <v>skill_name_4301562</v>
      </c>
      <c r="F163" s="1" t="s">
        <v>117</v>
      </c>
      <c r="G163" s="1" t="s">
        <v>445</v>
      </c>
      <c r="H163" s="1" t="str">
        <f t="shared" si="25"/>
        <v>skill_desc_4301562</v>
      </c>
      <c r="I163" s="1" t="s">
        <v>205</v>
      </c>
      <c r="J163" s="1" t="str">
        <f>IFERROR(_xlfn.XLOOKUP(W163,Target!A:A,Target!J:J),"")</f>
        <v>Skill_Target_Icon_Mine</v>
      </c>
      <c r="K163" s="1" t="s">
        <v>205</v>
      </c>
      <c r="L163" s="1" t="str">
        <f>IFERROR(_xlfn.XLOOKUP(W163,Target!A:A,Target!K:K),"")</f>
        <v>Skill_Area_Icon_Pivot_Centor</v>
      </c>
      <c r="M163" s="1" t="str">
        <f>_xlfn.XLOOKUP(B163,'[2]Detail&lt;Child&gt;'!$B:$B,'[2]Detail&lt;Child&gt;'!$M:$M)</f>
        <v>Dark</v>
      </c>
      <c r="N163" s="1" t="str">
        <f>_xlfn.XLOOKUP(B163,'[2]Detail&lt;Child&gt;'!$B:$B,'[2]Detail&lt;Child&gt;'!$N:$N)</f>
        <v>Attacker</v>
      </c>
      <c r="O163" s="1" t="s">
        <v>167</v>
      </c>
      <c r="P163" s="33">
        <v>0</v>
      </c>
      <c r="Q163" s="68" t="str" cm="1">
        <f t="array" ref="Q163">_xlfn.IFS(R163="Move","Move",R163="NonTargetMove","Move",R163="Static","Stand",R163="None","Stand")</f>
        <v>Stand</v>
      </c>
      <c r="R163" s="1" t="s">
        <v>136</v>
      </c>
      <c r="S163" s="1">
        <f>IF(R163="Static",0,1)</f>
        <v>0</v>
      </c>
      <c r="T163" s="2" t="str">
        <f t="shared" si="26"/>
        <v>Immediately</v>
      </c>
      <c r="U163" s="2" t="str" cm="1">
        <f t="array" ref="U163">_xlfn.IFS(T163="SignalHIt","TurnEnd",T163="AttackBegin","TurnEnd",T163="AttackEnd","TurnEnd",T163="Immediately","Applied",T163="None","None")</f>
        <v>Applied</v>
      </c>
      <c r="V163" s="2">
        <v>0</v>
      </c>
      <c r="W163" s="1">
        <v>1</v>
      </c>
      <c r="X163" s="8">
        <f t="shared" si="30"/>
        <v>43015621</v>
      </c>
      <c r="Y163" s="1" t="str">
        <f t="shared" si="27"/>
        <v>Immediately</v>
      </c>
      <c r="Z163" s="2" t="str" cm="1">
        <f t="array" ref="Z163">_xlfn.IFS(Y163="SignalHIt","TurnEnd",Y163="AttackBegin","TurnEnd",Y163="AttackEnd","TurnEnd",Y163="Immediately","Applied",Y163="None","None")</f>
        <v>Applied</v>
      </c>
      <c r="AA163" s="2">
        <v>0</v>
      </c>
      <c r="AB163" s="1">
        <v>0</v>
      </c>
      <c r="AC163" s="8">
        <v>0</v>
      </c>
      <c r="AD163" s="2" t="str">
        <f t="shared" si="28"/>
        <v>Immediately</v>
      </c>
      <c r="AE163" s="2" t="str" cm="1">
        <f t="array" ref="AE163">_xlfn.IFS(AD163="SignalHIt","TurnEnd",AD163="AttackBegin","TurnEnd",AD163="AttackEnd","TurnEnd",AD163="Immediately","Applied",AD163="None","None")</f>
        <v>Applied</v>
      </c>
      <c r="AF163" s="2">
        <v>0</v>
      </c>
      <c r="AG163" s="1">
        <v>0</v>
      </c>
      <c r="AH163" s="8">
        <v>0</v>
      </c>
      <c r="AI163" s="2" t="str">
        <f t="shared" si="29"/>
        <v>Immediately</v>
      </c>
      <c r="AJ163" s="2" t="str" cm="1">
        <f t="array" ref="AJ163">_xlfn.IFS(AI163="SignalHIt","TurnEnd",AI163="AttackBegin","TurnEnd",AI163="AttackEnd","TurnEnd",AI163="Immediately","Applied",AI163="None","None")</f>
        <v>Applied</v>
      </c>
      <c r="AK163" s="2">
        <v>0</v>
      </c>
      <c r="AL163" s="8">
        <v>0</v>
      </c>
      <c r="AM163" s="48">
        <v>0</v>
      </c>
      <c r="AN163" s="45" t="str">
        <f>IFERROR(_xlfn.XLOOKUP(W163,Target!$A:$A,Target!$B:$B),"None")</f>
        <v xml:space="preserve"> 자신 1명 </v>
      </c>
      <c r="AO163" s="43" t="str">
        <f>IFERROR(_xlfn.XLOOKUP($X163,'BuffValue&lt;Child&gt;'!$A:$A,'BuffValue&lt;Child&gt;'!$F:$F),"None")</f>
        <v>에르제베트 공증</v>
      </c>
      <c r="AP163" s="43">
        <f>IFERROR(_xlfn.XLOOKUP($X163,'BuffValue&lt;Child&gt;'!$A:$A,'BuffValue&lt;Child&gt;'!$K:$K),0)</f>
        <v>30000</v>
      </c>
      <c r="AQ163" s="43" t="str">
        <f>IFERROR(_xlfn.XLOOKUP(AB163,Target!$A:$A,Target!$B:$B),"None")</f>
        <v>None</v>
      </c>
      <c r="AR163" s="45" t="str">
        <f>IFERROR(_xlfn.XLOOKUP($AC163,'BuffValue&lt;Child&gt;'!$A:$A,'BuffValue&lt;Child&gt;'!$F:$F),"None")</f>
        <v>None</v>
      </c>
      <c r="AS163" s="45">
        <f>IFERROR(_xlfn.XLOOKUP($AC163,'BuffValue&lt;Child&gt;'!$A:$A,'BuffValue&lt;Child&gt;'!$K:$K),0)</f>
        <v>0</v>
      </c>
      <c r="AT163" s="43" t="str">
        <f>IFERROR(_xlfn.XLOOKUP(AG163,Target!$A:$A,Target!$B:$B),"None")</f>
        <v>None</v>
      </c>
      <c r="AU163" s="43" t="str">
        <f>IFERROR(_xlfn.XLOOKUP($AH163,'BuffValue&lt;Child&gt;'!$A:$A,'BuffValue&lt;Child&gt;'!$F:$F),"None")</f>
        <v>None</v>
      </c>
      <c r="AV163" s="43">
        <f>IFERROR(_xlfn.XLOOKUP($AH163,'BuffValue&lt;Child&gt;'!$A:$A,'BuffValue&lt;Child&gt;'!$K:$K),0)</f>
        <v>0</v>
      </c>
      <c r="AW163" s="43" t="str">
        <f>IFERROR(_xlfn.XLOOKUP(AL163,Target!$A:$A,Target!$B:$B),"None")</f>
        <v>None</v>
      </c>
      <c r="AX163" s="43" t="str">
        <f>IFERROR(_xlfn.XLOOKUP($AM163,'BuffValue&lt;Child&gt;'!$A:$A,'BuffValue&lt;Child&gt;'!$F:$F),"None")</f>
        <v>None</v>
      </c>
      <c r="AY163" s="43">
        <f>IFERROR(_xlfn.XLOOKUP($AM163,#REF!,#REF!),0)</f>
        <v>0</v>
      </c>
    </row>
    <row r="164" spans="1:51" s="11" customFormat="1" x14ac:dyDescent="0.3">
      <c r="A164" s="11">
        <f>INT(1&amp;MID(_xlfn.XLOOKUP(B164,[2]Timeline!$B:$B,[2]Timeline!$A:$A),2,5)&amp;1)</f>
        <v>1301241</v>
      </c>
      <c r="B164" s="12" t="s">
        <v>215</v>
      </c>
      <c r="C164" s="12" t="s">
        <v>318</v>
      </c>
      <c r="D164" s="12" t="s">
        <v>341</v>
      </c>
      <c r="E164" s="11" t="str">
        <f t="shared" ref="E164:E195" si="31">"skill_name_"&amp;A164</f>
        <v>skill_name_1301241</v>
      </c>
      <c r="F164" s="11" t="s">
        <v>117</v>
      </c>
      <c r="G164" s="11" t="s">
        <v>447</v>
      </c>
      <c r="H164" s="11" t="str">
        <f t="shared" ref="H164:H195" si="32">"skill_desc_"&amp;$A164</f>
        <v>skill_desc_1301241</v>
      </c>
      <c r="I164" s="11" t="s">
        <v>205</v>
      </c>
      <c r="J164" s="11" t="str">
        <f>IFERROR(_xlfn.XLOOKUP(W164,Target!A:A,Target!J:J),"")</f>
        <v>Skill_Target_Icon_Enemy_Near_One</v>
      </c>
      <c r="K164" s="11" t="s">
        <v>205</v>
      </c>
      <c r="L164" s="11" t="str">
        <f>IFERROR(_xlfn.XLOOKUP(W164,Target!A:A,Target!K:K),"")</f>
        <v>Skill_Area_Icon_Pivot_Centor</v>
      </c>
      <c r="M164" s="11" t="str">
        <f>_xlfn.XLOOKUP(B164,'[2]Detail&lt;Child&gt;'!$B:$B,'[2]Detail&lt;Child&gt;'!$M:$M)</f>
        <v>Water</v>
      </c>
      <c r="N164" s="11" t="str">
        <f>_xlfn.XLOOKUP(B164,'[2]Detail&lt;Child&gt;'!$B:$B,'[2]Detail&lt;Child&gt;'!$N:$N)</f>
        <v>Supporter</v>
      </c>
      <c r="O164" s="11" t="s">
        <v>30</v>
      </c>
      <c r="P164" s="34">
        <v>0</v>
      </c>
      <c r="Q164" s="69" t="str" cm="1">
        <f t="array" ref="Q164">_xlfn.IFS(R164="Move","Move",R164="NonTargetMove","Move",R164="Static","Stand",R164="None","Stand")</f>
        <v>Stand</v>
      </c>
      <c r="R164" s="11" t="s">
        <v>139</v>
      </c>
      <c r="S164" s="11">
        <v>1</v>
      </c>
      <c r="T164" s="15" t="str">
        <f t="shared" si="26"/>
        <v>SignalHit</v>
      </c>
      <c r="U164" s="15" t="str" cm="1">
        <f t="array" ref="U164">_xlfn.IFS(T164="SignalHIt","TurnEnd",T164="AttackBegin","TurnEnd",T164="AttackEnd","TurnEnd",T164="Immediately","Applied",T164="None","None")</f>
        <v>TurnEnd</v>
      </c>
      <c r="V164" s="15">
        <v>0</v>
      </c>
      <c r="W164" s="11">
        <v>2000011</v>
      </c>
      <c r="X164" s="10">
        <f t="shared" si="30"/>
        <v>13012411</v>
      </c>
      <c r="Y164" s="11" t="str">
        <f t="shared" si="27"/>
        <v>Immediately</v>
      </c>
      <c r="Z164" s="15" t="str" cm="1">
        <f t="array" ref="Z164">_xlfn.IFS(Y164="SignalHIt","TurnEnd",Y164="AttackBegin","TurnEnd",Y164="AttackEnd","TurnEnd",Y164="Immediately","Applied",Y164="None","None")</f>
        <v>Applied</v>
      </c>
      <c r="AA164" s="15">
        <v>0</v>
      </c>
      <c r="AB164" s="11">
        <v>0</v>
      </c>
      <c r="AC164" s="10">
        <v>0</v>
      </c>
      <c r="AD164" s="15" t="str">
        <f t="shared" si="28"/>
        <v>Immediately</v>
      </c>
      <c r="AE164" s="15" t="str" cm="1">
        <f t="array" ref="AE164">_xlfn.IFS(AD164="SignalHIt","TurnEnd",AD164="AttackBegin","TurnEnd",AD164="AttackEnd","TurnEnd",AD164="Immediately","Applied",AD164="None","None")</f>
        <v>Applied</v>
      </c>
      <c r="AF164" s="15">
        <v>0</v>
      </c>
      <c r="AG164" s="11">
        <v>0</v>
      </c>
      <c r="AH164" s="10">
        <v>0</v>
      </c>
      <c r="AI164" s="15" t="str">
        <f t="shared" si="29"/>
        <v>Immediately</v>
      </c>
      <c r="AJ164" s="15" t="str" cm="1">
        <f t="array" ref="AJ164">_xlfn.IFS(AI164="SignalHIt","TurnEnd",AI164="AttackBegin","TurnEnd",AI164="AttackEnd","TurnEnd",AI164="Immediately","Applied",AI164="None","None")</f>
        <v>Applied</v>
      </c>
      <c r="AK164" s="15">
        <v>0</v>
      </c>
      <c r="AL164" s="10">
        <v>0</v>
      </c>
      <c r="AM164" s="50">
        <v>0</v>
      </c>
      <c r="AN164" s="46" t="str">
        <f>IFERROR(_xlfn.XLOOKUP(W164,Target!$A:$A,Target!$B:$B),"None")</f>
        <v xml:space="preserve">가까운 적 1명 </v>
      </c>
      <c r="AO164" s="47" t="str">
        <f>IFERROR(_xlfn.XLOOKUP($X164,'BuffValue&lt;Child&gt;'!$A:$A,'BuffValue&lt;Child&gt;'!$F:$F),"None")</f>
        <v>공용 대미지</v>
      </c>
      <c r="AP164" s="47">
        <f>IFERROR(_xlfn.XLOOKUP($X164,'BuffValue&lt;Child&gt;'!$A:$A,'BuffValue&lt;Child&gt;'!$K:$K),0)</f>
        <v>170000</v>
      </c>
      <c r="AQ164" s="47" t="str">
        <f>IFERROR(_xlfn.XLOOKUP(AB164,Target!$A:$A,Target!$B:$B),"None")</f>
        <v>None</v>
      </c>
      <c r="AR164" s="46" t="str">
        <f>IFERROR(_xlfn.XLOOKUP($AC164,'BuffValue&lt;Child&gt;'!$A:$A,'BuffValue&lt;Child&gt;'!$F:$F),"None")</f>
        <v>None</v>
      </c>
      <c r="AS164" s="46">
        <f>IFERROR(_xlfn.XLOOKUP($AC164,'BuffValue&lt;Child&gt;'!$A:$A,'BuffValue&lt;Child&gt;'!$K:$K),0)</f>
        <v>0</v>
      </c>
      <c r="AT164" s="47" t="str">
        <f>IFERROR(_xlfn.XLOOKUP(AG164,Target!$A:$A,Target!$B:$B),"None")</f>
        <v>None</v>
      </c>
      <c r="AU164" s="47" t="str">
        <f>IFERROR(_xlfn.XLOOKUP($AH164,'BuffValue&lt;Child&gt;'!$A:$A,'BuffValue&lt;Child&gt;'!$F:$F),"None")</f>
        <v>None</v>
      </c>
      <c r="AV164" s="47">
        <f>IFERROR(_xlfn.XLOOKUP($AH164,'BuffValue&lt;Child&gt;'!$A:$A,'BuffValue&lt;Child&gt;'!$K:$K),0)</f>
        <v>0</v>
      </c>
      <c r="AW164" s="47" t="str">
        <f>IFERROR(_xlfn.XLOOKUP(AL164,Target!$A:$A,Target!$B:$B),"None")</f>
        <v>None</v>
      </c>
      <c r="AX164" s="47" t="str">
        <f>IFERROR(_xlfn.XLOOKUP($AM164,'BuffValue&lt;Child&gt;'!$A:$A,'BuffValue&lt;Child&gt;'!$F:$F),"None")</f>
        <v>None</v>
      </c>
      <c r="AY164" s="47">
        <f>IFERROR(_xlfn.XLOOKUP($AM164,#REF!,#REF!),0)</f>
        <v>0</v>
      </c>
    </row>
    <row r="165" spans="1:51" x14ac:dyDescent="0.3">
      <c r="A165" s="1">
        <f>INT(2&amp;MID(_xlfn.XLOOKUP(B165,[2]Timeline!$B:$B,[2]Timeline!$A:$A),2,5)&amp;1)</f>
        <v>2301241</v>
      </c>
      <c r="B165" s="7" t="s">
        <v>154</v>
      </c>
      <c r="C165" s="7" t="s">
        <v>319</v>
      </c>
      <c r="D165" s="7" t="s">
        <v>558</v>
      </c>
      <c r="E165" s="1" t="str">
        <f t="shared" si="31"/>
        <v>skill_name_2301241</v>
      </c>
      <c r="F165" s="1" t="s">
        <v>117</v>
      </c>
      <c r="G165" s="1" t="s">
        <v>446</v>
      </c>
      <c r="H165" s="1" t="str">
        <f t="shared" si="32"/>
        <v>skill_desc_2301241</v>
      </c>
      <c r="I165" s="1" t="s">
        <v>205</v>
      </c>
      <c r="J165" s="1" t="str">
        <f>IFERROR(_xlfn.XLOOKUP(W165,Target!A:A,Target!J:J),"")</f>
        <v>Skill_Target_Icon_Enemy_Near_One</v>
      </c>
      <c r="K165" s="1" t="s">
        <v>205</v>
      </c>
      <c r="L165" s="1" t="str">
        <f>IFERROR(_xlfn.XLOOKUP(W165,Target!A:A,Target!K:K),"")</f>
        <v>Skill_Area_Icon_Pivot_Centor</v>
      </c>
      <c r="M165" s="1" t="str">
        <f>_xlfn.XLOOKUP(B165,'[2]Detail&lt;Child&gt;'!$B:$B,'[2]Detail&lt;Child&gt;'!$M:$M)</f>
        <v>Water</v>
      </c>
      <c r="N165" s="1" t="str">
        <f>_xlfn.XLOOKUP(B165,'[2]Detail&lt;Child&gt;'!$B:$B,'[2]Detail&lt;Child&gt;'!$N:$N)</f>
        <v>Supporter</v>
      </c>
      <c r="O165" s="1" t="s">
        <v>33</v>
      </c>
      <c r="P165" s="33">
        <v>2</v>
      </c>
      <c r="Q165" s="68" t="str" cm="1">
        <f t="array" ref="Q165">_xlfn.IFS(R165="Move","Move",R165="NonTargetMove","Move",R165="Static","Stand",R165="None","Stand")</f>
        <v>Move</v>
      </c>
      <c r="R165" s="1" t="s">
        <v>137</v>
      </c>
      <c r="S165" s="1">
        <v>1</v>
      </c>
      <c r="T165" s="2" t="str">
        <f t="shared" si="26"/>
        <v>SignalHit</v>
      </c>
      <c r="U165" s="2" t="str" cm="1">
        <f t="array" ref="U165">_xlfn.IFS(T165="SignalHIt","TurnEnd",T165="AttackBegin","TurnEnd",T165="AttackEnd","TurnEnd",T165="Immediately","Applied",T165="None","None")</f>
        <v>TurnEnd</v>
      </c>
      <c r="V165" s="2">
        <v>0</v>
      </c>
      <c r="W165" s="1">
        <v>2000011</v>
      </c>
      <c r="X165" s="8">
        <f t="shared" si="30"/>
        <v>23012411</v>
      </c>
      <c r="Y165" s="1" t="str">
        <f t="shared" si="27"/>
        <v>Immediately</v>
      </c>
      <c r="Z165" s="2" t="str" cm="1">
        <f t="array" ref="Z165">_xlfn.IFS(Y165="SignalHIt","TurnEnd",Y165="AttackBegin","TurnEnd",Y165="AttackEnd","TurnEnd",Y165="Immediately","Applied",Y165="None","None")</f>
        <v>Applied</v>
      </c>
      <c r="AA165" s="2">
        <v>0</v>
      </c>
      <c r="AB165" s="1">
        <v>0</v>
      </c>
      <c r="AC165" s="8">
        <v>0</v>
      </c>
      <c r="AD165" s="2" t="str">
        <f t="shared" si="28"/>
        <v>AttackEnd</v>
      </c>
      <c r="AE165" s="2" t="str" cm="1">
        <f t="array" ref="AE165">_xlfn.IFS(AD165="SignalHIt","TurnEnd",AD165="AttackBegin","TurnEnd",AD165="AttackEnd","TurnEnd",AD165="Immediately","Applied",AD165="None","None")</f>
        <v>TurnEnd</v>
      </c>
      <c r="AF165" s="2">
        <v>0</v>
      </c>
      <c r="AG165" s="1">
        <v>2000011</v>
      </c>
      <c r="AH165" s="8">
        <f>X165+1</f>
        <v>23012412</v>
      </c>
      <c r="AI165" s="2" t="str">
        <f t="shared" si="29"/>
        <v>Immediately</v>
      </c>
      <c r="AJ165" s="2" t="str" cm="1">
        <f t="array" ref="AJ165">_xlfn.IFS(AI165="SignalHIt","TurnEnd",AI165="AttackBegin","TurnEnd",AI165="AttackEnd","TurnEnd",AI165="Immediately","Applied",AI165="None","None")</f>
        <v>Applied</v>
      </c>
      <c r="AK165" s="2">
        <v>0</v>
      </c>
      <c r="AL165" s="8">
        <v>0</v>
      </c>
      <c r="AM165" s="48">
        <v>0</v>
      </c>
      <c r="AN165" s="45" t="str">
        <f>IFERROR(_xlfn.XLOOKUP(W165,Target!$A:$A,Target!$B:$B),"None")</f>
        <v xml:space="preserve">가까운 적 1명 </v>
      </c>
      <c r="AO165" s="43" t="str">
        <f>IFERROR(_xlfn.XLOOKUP($X165,'BuffValue&lt;Child&gt;'!$A:$A,'BuffValue&lt;Child&gt;'!$F:$F),"None")</f>
        <v>액티브 대미지</v>
      </c>
      <c r="AP165" s="43">
        <f>IFERROR(_xlfn.XLOOKUP($X165,'BuffValue&lt;Child&gt;'!$A:$A,'BuffValue&lt;Child&gt;'!$K:$K),0)</f>
        <v>190000</v>
      </c>
      <c r="AQ165" s="43" t="str">
        <f>IFERROR(_xlfn.XLOOKUP(AB165,Target!$A:$A,Target!$B:$B),"None")</f>
        <v>None</v>
      </c>
      <c r="AR165" s="45" t="str">
        <f>IFERROR(_xlfn.XLOOKUP($AC165,'BuffValue&lt;Child&gt;'!$A:$A,'BuffValue&lt;Child&gt;'!$F:$F),"None")</f>
        <v>None</v>
      </c>
      <c r="AS165" s="45">
        <f>IFERROR(_xlfn.XLOOKUP($AC165,'BuffValue&lt;Child&gt;'!$A:$A,'BuffValue&lt;Child&gt;'!$K:$K),0)</f>
        <v>0</v>
      </c>
      <c r="AT165" s="43" t="str">
        <f>IFERROR(_xlfn.XLOOKUP(AG165,Target!$A:$A,Target!$B:$B),"None")</f>
        <v xml:space="preserve">가까운 적 1명 </v>
      </c>
      <c r="AU165" s="43" t="str">
        <f>IFERROR(_xlfn.XLOOKUP($AH165,'BuffValue&lt;Child&gt;'!$A:$A,'BuffValue&lt;Child&gt;'!$F:$F),"None")</f>
        <v>기절</v>
      </c>
      <c r="AV165" s="43">
        <f>IFERROR(_xlfn.XLOOKUP($AH165,'BuffValue&lt;Child&gt;'!$A:$A,'BuffValue&lt;Child&gt;'!$K:$K),0)</f>
        <v>0</v>
      </c>
      <c r="AW165" s="43" t="str">
        <f>IFERROR(_xlfn.XLOOKUP(AL165,Target!$A:$A,Target!$B:$B),"None")</f>
        <v>None</v>
      </c>
      <c r="AX165" s="43" t="str">
        <f>IFERROR(_xlfn.XLOOKUP($AM165,'BuffValue&lt;Child&gt;'!$A:$A,'BuffValue&lt;Child&gt;'!$F:$F),"None")</f>
        <v>None</v>
      </c>
      <c r="AY165" s="43">
        <f>IFERROR(_xlfn.XLOOKUP($AM165,#REF!,#REF!),0)</f>
        <v>0</v>
      </c>
    </row>
    <row r="166" spans="1:51" x14ac:dyDescent="0.3">
      <c r="A166" s="1">
        <f>INT(2&amp;MID(_xlfn.XLOOKUP(B166,[2]Timeline!$B:$B,[2]Timeline!$A:$A),2,5)&amp;2)</f>
        <v>2301242</v>
      </c>
      <c r="B166" s="7" t="s">
        <v>154</v>
      </c>
      <c r="C166" s="7" t="s">
        <v>319</v>
      </c>
      <c r="D166" s="7" t="s">
        <v>558</v>
      </c>
      <c r="E166" s="1" t="str">
        <f t="shared" si="31"/>
        <v>skill_name_2301242</v>
      </c>
      <c r="F166" s="1" t="s">
        <v>117</v>
      </c>
      <c r="G166" s="1" t="s">
        <v>446</v>
      </c>
      <c r="H166" s="1" t="str">
        <f t="shared" si="32"/>
        <v>skill_desc_2301242</v>
      </c>
      <c r="I166" s="1" t="s">
        <v>205</v>
      </c>
      <c r="J166" s="1" t="str">
        <f>IFERROR(_xlfn.XLOOKUP(W166,Target!A:A,Target!J:J),"")</f>
        <v>Skill_Target_Icon_Enemy_Near_One</v>
      </c>
      <c r="K166" s="1" t="s">
        <v>205</v>
      </c>
      <c r="L166" s="1" t="str">
        <f>IFERROR(_xlfn.XLOOKUP(W166,Target!A:A,Target!K:K),"")</f>
        <v>Skill_Area_Icon_Pivot_Centor</v>
      </c>
      <c r="M166" s="1" t="str">
        <f>_xlfn.XLOOKUP(B166,'[2]Detail&lt;Child&gt;'!$B:$B,'[2]Detail&lt;Child&gt;'!$M:$M)</f>
        <v>Water</v>
      </c>
      <c r="N166" s="1" t="str">
        <f>_xlfn.XLOOKUP(B166,'[2]Detail&lt;Child&gt;'!$B:$B,'[2]Detail&lt;Child&gt;'!$N:$N)</f>
        <v>Supporter</v>
      </c>
      <c r="O166" s="1" t="s">
        <v>33</v>
      </c>
      <c r="P166" s="33">
        <v>2</v>
      </c>
      <c r="Q166" s="68" t="str" cm="1">
        <f t="array" ref="Q166">_xlfn.IFS(R166="Move","Move",R166="NonTargetMove","Move",R166="Static","Stand",R166="None","Stand")</f>
        <v>Move</v>
      </c>
      <c r="R166" s="1" t="s">
        <v>137</v>
      </c>
      <c r="S166" s="1">
        <v>1</v>
      </c>
      <c r="T166" s="2" t="str">
        <f t="shared" si="26"/>
        <v>SignalHit</v>
      </c>
      <c r="U166" s="2" t="str" cm="1">
        <f t="array" ref="U166">_xlfn.IFS(T166="SignalHIt","TurnEnd",T166="AttackBegin","TurnEnd",T166="AttackEnd","TurnEnd",T166="Immediately","Applied",T166="None","None")</f>
        <v>TurnEnd</v>
      </c>
      <c r="V166" s="2">
        <v>0</v>
      </c>
      <c r="W166" s="1">
        <v>2000011</v>
      </c>
      <c r="X166" s="8">
        <f t="shared" si="30"/>
        <v>23012421</v>
      </c>
      <c r="Y166" s="1" t="str">
        <f t="shared" si="27"/>
        <v>Immediately</v>
      </c>
      <c r="Z166" s="2" t="str" cm="1">
        <f t="array" ref="Z166">_xlfn.IFS(Y166="SignalHIt","TurnEnd",Y166="AttackBegin","TurnEnd",Y166="AttackEnd","TurnEnd",Y166="Immediately","Applied",Y166="None","None")</f>
        <v>Applied</v>
      </c>
      <c r="AA166" s="2">
        <v>0</v>
      </c>
      <c r="AB166" s="1">
        <v>0</v>
      </c>
      <c r="AC166" s="8">
        <v>0</v>
      </c>
      <c r="AD166" s="2" t="str">
        <f t="shared" si="28"/>
        <v>AttackEnd</v>
      </c>
      <c r="AE166" s="2" t="str" cm="1">
        <f t="array" ref="AE166">_xlfn.IFS(AD166="SignalHIt","TurnEnd",AD166="AttackBegin","TurnEnd",AD166="AttackEnd","TurnEnd",AD166="Immediately","Applied",AD166="None","None")</f>
        <v>TurnEnd</v>
      </c>
      <c r="AF166" s="2">
        <v>0</v>
      </c>
      <c r="AG166" s="1">
        <v>2000011</v>
      </c>
      <c r="AH166" s="8">
        <f>X166+1</f>
        <v>23012422</v>
      </c>
      <c r="AI166" s="2" t="str">
        <f t="shared" si="29"/>
        <v>Immediately</v>
      </c>
      <c r="AJ166" s="2" t="str" cm="1">
        <f t="array" ref="AJ166">_xlfn.IFS(AI166="SignalHIt","TurnEnd",AI166="AttackBegin","TurnEnd",AI166="AttackEnd","TurnEnd",AI166="Immediately","Applied",AI166="None","None")</f>
        <v>Applied</v>
      </c>
      <c r="AK166" s="2">
        <v>0</v>
      </c>
      <c r="AL166" s="8">
        <v>0</v>
      </c>
      <c r="AM166" s="48">
        <v>0</v>
      </c>
      <c r="AN166" s="45" t="str">
        <f>IFERROR(_xlfn.XLOOKUP(W166,Target!$A:$A,Target!$B:$B),"None")</f>
        <v xml:space="preserve">가까운 적 1명 </v>
      </c>
      <c r="AO166" s="43" t="str">
        <f>IFERROR(_xlfn.XLOOKUP($X166,'BuffValue&lt;Child&gt;'!$A:$A,'BuffValue&lt;Child&gt;'!$F:$F),"None")</f>
        <v>액티브 대미지</v>
      </c>
      <c r="AP166" s="43">
        <f>IFERROR(_xlfn.XLOOKUP($X166,'BuffValue&lt;Child&gt;'!$A:$A,'BuffValue&lt;Child&gt;'!$K:$K),0)</f>
        <v>190000</v>
      </c>
      <c r="AQ166" s="43" t="str">
        <f>IFERROR(_xlfn.XLOOKUP(AB166,Target!$A:$A,Target!$B:$B),"None")</f>
        <v>None</v>
      </c>
      <c r="AR166" s="45" t="str">
        <f>IFERROR(_xlfn.XLOOKUP($AC166,'BuffValue&lt;Child&gt;'!$A:$A,'BuffValue&lt;Child&gt;'!$F:$F),"None")</f>
        <v>None</v>
      </c>
      <c r="AS166" s="45">
        <f>IFERROR(_xlfn.XLOOKUP($AC166,'BuffValue&lt;Child&gt;'!$A:$A,'BuffValue&lt;Child&gt;'!$K:$K),0)</f>
        <v>0</v>
      </c>
      <c r="AT166" s="43" t="str">
        <f>IFERROR(_xlfn.XLOOKUP(AG166,Target!$A:$A,Target!$B:$B),"None")</f>
        <v xml:space="preserve">가까운 적 1명 </v>
      </c>
      <c r="AU166" s="43" t="str">
        <f>IFERROR(_xlfn.XLOOKUP($AH166,'BuffValue&lt;Child&gt;'!$A:$A,'BuffValue&lt;Child&gt;'!$F:$F),"None")</f>
        <v>기절</v>
      </c>
      <c r="AV166" s="43">
        <f>IFERROR(_xlfn.XLOOKUP($AH166,'BuffValue&lt;Child&gt;'!$A:$A,'BuffValue&lt;Child&gt;'!$K:$K),0)</f>
        <v>0</v>
      </c>
      <c r="AW166" s="43" t="str">
        <f>IFERROR(_xlfn.XLOOKUP(AL166,Target!$A:$A,Target!$B:$B),"None")</f>
        <v>None</v>
      </c>
      <c r="AX166" s="43" t="str">
        <f>IFERROR(_xlfn.XLOOKUP($AM166,'BuffValue&lt;Child&gt;'!$A:$A,'BuffValue&lt;Child&gt;'!$F:$F),"None")</f>
        <v>None</v>
      </c>
      <c r="AY166" s="43">
        <f>IFERROR(_xlfn.XLOOKUP($AM166,#REF!,#REF!),0)</f>
        <v>0</v>
      </c>
    </row>
    <row r="167" spans="1:51" x14ac:dyDescent="0.3">
      <c r="A167" s="1">
        <f>INT(3&amp;MID(_xlfn.XLOOKUP(B167,[2]Timeline!$B:$B,[2]Timeline!$A:$A),2,5)&amp;1)</f>
        <v>3301241</v>
      </c>
      <c r="B167" s="7" t="s">
        <v>154</v>
      </c>
      <c r="C167" s="7" t="s">
        <v>320</v>
      </c>
      <c r="D167" s="7" t="s">
        <v>559</v>
      </c>
      <c r="E167" s="1" t="str">
        <f t="shared" si="31"/>
        <v>skill_name_3301241</v>
      </c>
      <c r="F167" s="1" t="s">
        <v>117</v>
      </c>
      <c r="G167" s="1" t="s">
        <v>405</v>
      </c>
      <c r="H167" s="1" t="str">
        <f t="shared" si="32"/>
        <v>skill_desc_3301241</v>
      </c>
      <c r="I167" s="1" t="s">
        <v>205</v>
      </c>
      <c r="J167" s="1" t="str">
        <f>IFERROR(_xlfn.XLOOKUP(W167,Target!A:A,Target!J:J),"")</f>
        <v>Skill_Target_Icon_Enemy</v>
      </c>
      <c r="K167" s="1" t="s">
        <v>205</v>
      </c>
      <c r="L167" s="1" t="str">
        <f>IFERROR(_xlfn.XLOOKUP(W167,Target!A:A,Target!K:K),"")</f>
        <v>Skill_Area_Icon_NonTarget_All</v>
      </c>
      <c r="M167" s="1" t="str">
        <f>_xlfn.XLOOKUP(B167,'[2]Detail&lt;Child&gt;'!$B:$B,'[2]Detail&lt;Child&gt;'!$M:$M)</f>
        <v>Water</v>
      </c>
      <c r="N167" s="1" t="str">
        <f>_xlfn.XLOOKUP(B167,'[2]Detail&lt;Child&gt;'!$B:$B,'[2]Detail&lt;Child&gt;'!$N:$N)</f>
        <v>Supporter</v>
      </c>
      <c r="O167" s="1" t="s">
        <v>141</v>
      </c>
      <c r="P167" s="33">
        <v>0</v>
      </c>
      <c r="Q167" s="68" t="str" cm="1">
        <f t="array" ref="Q167">_xlfn.IFS(R167="Move","Move",R167="NonTargetMove","Move",R167="Static","Stand",R167="None","Stand")</f>
        <v>Move</v>
      </c>
      <c r="R167" s="1" t="s">
        <v>193</v>
      </c>
      <c r="S167" s="1">
        <v>4</v>
      </c>
      <c r="T167" s="2" t="str">
        <f t="shared" si="26"/>
        <v>SignalHit</v>
      </c>
      <c r="U167" s="2" t="str" cm="1">
        <f t="array" ref="U167">_xlfn.IFS(T167="SignalHIt","TurnEnd",T167="AttackBegin","TurnEnd",T167="AttackEnd","TurnEnd",T167="Immediately","Applied",T167="None","None")</f>
        <v>TurnEnd</v>
      </c>
      <c r="V167" s="2">
        <v>0</v>
      </c>
      <c r="W167" s="1">
        <v>920001</v>
      </c>
      <c r="X167" s="8">
        <f t="shared" si="30"/>
        <v>33012411</v>
      </c>
      <c r="Y167" s="1" t="str">
        <f t="shared" si="27"/>
        <v>Immediately</v>
      </c>
      <c r="Z167" s="2" t="str" cm="1">
        <f t="array" ref="Z167">_xlfn.IFS(Y167="SignalHIt","TurnEnd",Y167="AttackBegin","TurnEnd",Y167="AttackEnd","TurnEnd",Y167="Immediately","Applied",Y167="None","None")</f>
        <v>Applied</v>
      </c>
      <c r="AA167" s="2">
        <v>0</v>
      </c>
      <c r="AB167" s="1">
        <v>0</v>
      </c>
      <c r="AC167" s="8">
        <v>0</v>
      </c>
      <c r="AD167" s="2" t="str">
        <f t="shared" si="28"/>
        <v>AttackEnd</v>
      </c>
      <c r="AE167" s="2" t="str" cm="1">
        <f t="array" ref="AE167">_xlfn.IFS(AD167="SignalHIt","TurnEnd",AD167="AttackBegin","TurnEnd",AD167="AttackEnd","TurnEnd",AD167="Immediately","Applied",AD167="None","None")</f>
        <v>TurnEnd</v>
      </c>
      <c r="AF167" s="2">
        <v>0</v>
      </c>
      <c r="AG167" s="1">
        <v>1</v>
      </c>
      <c r="AH167" s="8">
        <f>X167+1</f>
        <v>33012412</v>
      </c>
      <c r="AI167" s="2" t="str">
        <f t="shared" si="29"/>
        <v>Immediately</v>
      </c>
      <c r="AJ167" s="2" t="str" cm="1">
        <f t="array" ref="AJ167">_xlfn.IFS(AI167="SignalHIt","TurnEnd",AI167="AttackBegin","TurnEnd",AI167="AttackEnd","TurnEnd",AI167="Immediately","Applied",AI167="None","None")</f>
        <v>Applied</v>
      </c>
      <c r="AK167" s="2">
        <v>0</v>
      </c>
      <c r="AL167" s="8">
        <v>0</v>
      </c>
      <c r="AM167" s="48">
        <v>0</v>
      </c>
      <c r="AN167" s="45" t="str">
        <f>IFERROR(_xlfn.XLOOKUP(W167,Target!$A:$A,Target!$B:$B),"None")</f>
        <v>논타겟 적 9칸</v>
      </c>
      <c r="AO167" s="43" t="str">
        <f>IFERROR(_xlfn.XLOOKUP($X167,'BuffValue&lt;Child&gt;'!$A:$A,'BuffValue&lt;Child&gt;'!$F:$F),"None")</f>
        <v>얼티밋 대미지</v>
      </c>
      <c r="AP167" s="43">
        <f>IFERROR(_xlfn.XLOOKUP($X167,'BuffValue&lt;Child&gt;'!$A:$A,'BuffValue&lt;Child&gt;'!$K:$K),0)</f>
        <v>20000</v>
      </c>
      <c r="AQ167" s="43" t="str">
        <f>IFERROR(_xlfn.XLOOKUP(AB167,Target!$A:$A,Target!$B:$B),"None")</f>
        <v>None</v>
      </c>
      <c r="AR167" s="45" t="str">
        <f>IFERROR(_xlfn.XLOOKUP($AC167,'BuffValue&lt;Child&gt;'!$A:$A,'BuffValue&lt;Child&gt;'!$F:$F),"None")</f>
        <v>None</v>
      </c>
      <c r="AS167" s="45">
        <f>IFERROR(_xlfn.XLOOKUP($AC167,'BuffValue&lt;Child&gt;'!$A:$A,'BuffValue&lt;Child&gt;'!$K:$K),0)</f>
        <v>0</v>
      </c>
      <c r="AT167" s="43" t="str">
        <f>IFERROR(_xlfn.XLOOKUP(AG167,Target!$A:$A,Target!$B:$B),"None")</f>
        <v xml:space="preserve"> 자신 1명 </v>
      </c>
      <c r="AU167" s="43" t="str">
        <f>IFERROR(_xlfn.XLOOKUP($AH167,'BuffValue&lt;Child&gt;'!$A:$A,'BuffValue&lt;Child&gt;'!$F:$F),"None")</f>
        <v>이브 치확, 치피증</v>
      </c>
      <c r="AV167" s="43">
        <f>IFERROR(_xlfn.XLOOKUP($AH167,'BuffValue&lt;Child&gt;'!$A:$A,'BuffValue&lt;Child&gt;'!$K:$K),0)</f>
        <v>10000</v>
      </c>
      <c r="AW167" s="43" t="str">
        <f>IFERROR(_xlfn.XLOOKUP(AL167,Target!$A:$A,Target!$B:$B),"None")</f>
        <v>None</v>
      </c>
      <c r="AX167" s="43" t="str">
        <f>IFERROR(_xlfn.XLOOKUP($AM167,'BuffValue&lt;Child&gt;'!$A:$A,'BuffValue&lt;Child&gt;'!$F:$F),"None")</f>
        <v>None</v>
      </c>
      <c r="AY167" s="43">
        <f>IFERROR(_xlfn.XLOOKUP($AM167,#REF!,#REF!),0)</f>
        <v>0</v>
      </c>
    </row>
    <row r="168" spans="1:51" x14ac:dyDescent="0.3">
      <c r="A168" s="1">
        <f>INT(3&amp;MID(_xlfn.XLOOKUP(B168,[2]Timeline!$B:$B,[2]Timeline!$A:$A),2,5)&amp;2)</f>
        <v>3301242</v>
      </c>
      <c r="B168" s="7" t="s">
        <v>154</v>
      </c>
      <c r="C168" s="7" t="s">
        <v>320</v>
      </c>
      <c r="D168" s="7" t="s">
        <v>559</v>
      </c>
      <c r="E168" s="1" t="str">
        <f t="shared" si="31"/>
        <v>skill_name_3301242</v>
      </c>
      <c r="F168" s="1" t="s">
        <v>117</v>
      </c>
      <c r="G168" s="1" t="s">
        <v>405</v>
      </c>
      <c r="H168" s="1" t="str">
        <f t="shared" si="32"/>
        <v>skill_desc_3301242</v>
      </c>
      <c r="I168" s="1" t="s">
        <v>205</v>
      </c>
      <c r="J168" s="1" t="str">
        <f>IFERROR(_xlfn.XLOOKUP(W168,Target!A:A,Target!J:J),"")</f>
        <v>Skill_Target_Icon_Enemy</v>
      </c>
      <c r="K168" s="1" t="s">
        <v>205</v>
      </c>
      <c r="L168" s="1" t="str">
        <f>IFERROR(_xlfn.XLOOKUP(W168,Target!A:A,Target!K:K),"")</f>
        <v>Skill_Area_Icon_NonTarget_All</v>
      </c>
      <c r="M168" s="1" t="str">
        <f>_xlfn.XLOOKUP(B168,'[2]Detail&lt;Child&gt;'!$B:$B,'[2]Detail&lt;Child&gt;'!$M:$M)</f>
        <v>Water</v>
      </c>
      <c r="N168" s="1" t="str">
        <f>_xlfn.XLOOKUP(B168,'[2]Detail&lt;Child&gt;'!$B:$B,'[2]Detail&lt;Child&gt;'!$N:$N)</f>
        <v>Supporter</v>
      </c>
      <c r="O168" s="1" t="s">
        <v>140</v>
      </c>
      <c r="P168" s="33">
        <v>0</v>
      </c>
      <c r="Q168" s="68" t="str" cm="1">
        <f t="array" ref="Q168">_xlfn.IFS(R168="Move","Move",R168="NonTargetMove","Move",R168="Static","Stand",R168="None","Stand")</f>
        <v>Move</v>
      </c>
      <c r="R168" s="1" t="s">
        <v>193</v>
      </c>
      <c r="S168" s="1">
        <v>4</v>
      </c>
      <c r="T168" s="2" t="str">
        <f t="shared" si="26"/>
        <v>SignalHit</v>
      </c>
      <c r="U168" s="2" t="str" cm="1">
        <f t="array" ref="U168">_xlfn.IFS(T168="SignalHIt","TurnEnd",T168="AttackBegin","TurnEnd",T168="AttackEnd","TurnEnd",T168="Immediately","Applied",T168="None","None")</f>
        <v>TurnEnd</v>
      </c>
      <c r="V168" s="2">
        <v>0</v>
      </c>
      <c r="W168" s="1">
        <v>920001</v>
      </c>
      <c r="X168" s="8">
        <f t="shared" si="30"/>
        <v>33012421</v>
      </c>
      <c r="Y168" s="1" t="str">
        <f t="shared" si="27"/>
        <v>Immediately</v>
      </c>
      <c r="Z168" s="2" t="str" cm="1">
        <f t="array" ref="Z168">_xlfn.IFS(Y168="SignalHIt","TurnEnd",Y168="AttackBegin","TurnEnd",Y168="AttackEnd","TurnEnd",Y168="Immediately","Applied",Y168="None","None")</f>
        <v>Applied</v>
      </c>
      <c r="AA168" s="2">
        <v>0</v>
      </c>
      <c r="AB168" s="1">
        <v>0</v>
      </c>
      <c r="AC168" s="8">
        <v>0</v>
      </c>
      <c r="AD168" s="2" t="str">
        <f t="shared" si="28"/>
        <v>AttackEnd</v>
      </c>
      <c r="AE168" s="2" t="str" cm="1">
        <f t="array" ref="AE168">_xlfn.IFS(AD168="SignalHIt","TurnEnd",AD168="AttackBegin","TurnEnd",AD168="AttackEnd","TurnEnd",AD168="Immediately","Applied",AD168="None","None")</f>
        <v>TurnEnd</v>
      </c>
      <c r="AF168" s="2">
        <v>0</v>
      </c>
      <c r="AG168" s="1">
        <v>1</v>
      </c>
      <c r="AH168" s="8">
        <f>X168+1</f>
        <v>33012422</v>
      </c>
      <c r="AI168" s="2" t="str">
        <f t="shared" si="29"/>
        <v>Immediately</v>
      </c>
      <c r="AJ168" s="2" t="str" cm="1">
        <f t="array" ref="AJ168">_xlfn.IFS(AI168="SignalHIt","TurnEnd",AI168="AttackBegin","TurnEnd",AI168="AttackEnd","TurnEnd",AI168="Immediately","Applied",AI168="None","None")</f>
        <v>Applied</v>
      </c>
      <c r="AK168" s="2">
        <v>0</v>
      </c>
      <c r="AL168" s="8">
        <v>0</v>
      </c>
      <c r="AM168" s="48">
        <v>0</v>
      </c>
      <c r="AN168" s="45" t="str">
        <f>IFERROR(_xlfn.XLOOKUP(W168,Target!$A:$A,Target!$B:$B),"None")</f>
        <v>논타겟 적 9칸</v>
      </c>
      <c r="AO168" s="43" t="str">
        <f>IFERROR(_xlfn.XLOOKUP($X168,'BuffValue&lt;Child&gt;'!$A:$A,'BuffValue&lt;Child&gt;'!$F:$F),"None")</f>
        <v>얼티밋 대미지</v>
      </c>
      <c r="AP168" s="43">
        <f>IFERROR(_xlfn.XLOOKUP($X168,'BuffValue&lt;Child&gt;'!$A:$A,'BuffValue&lt;Child&gt;'!$K:$K),0)</f>
        <v>20000</v>
      </c>
      <c r="AQ168" s="43" t="str">
        <f>IFERROR(_xlfn.XLOOKUP(AB168,Target!$A:$A,Target!$B:$B),"None")</f>
        <v>None</v>
      </c>
      <c r="AR168" s="45" t="str">
        <f>IFERROR(_xlfn.XLOOKUP($AC168,'BuffValue&lt;Child&gt;'!$A:$A,'BuffValue&lt;Child&gt;'!$F:$F),"None")</f>
        <v>None</v>
      </c>
      <c r="AS168" s="45">
        <f>IFERROR(_xlfn.XLOOKUP($AC168,'BuffValue&lt;Child&gt;'!$A:$A,'BuffValue&lt;Child&gt;'!$K:$K),0)</f>
        <v>0</v>
      </c>
      <c r="AT168" s="43" t="str">
        <f>IFERROR(_xlfn.XLOOKUP(AG168,Target!$A:$A,Target!$B:$B),"None")</f>
        <v xml:space="preserve"> 자신 1명 </v>
      </c>
      <c r="AU168" s="43" t="str">
        <f>IFERROR(_xlfn.XLOOKUP($AH168,'BuffValue&lt;Child&gt;'!$A:$A,'BuffValue&lt;Child&gt;'!$F:$F),"None")</f>
        <v>이브 치확, 치피증</v>
      </c>
      <c r="AV168" s="43">
        <f>IFERROR(_xlfn.XLOOKUP($AH168,'BuffValue&lt;Child&gt;'!$A:$A,'BuffValue&lt;Child&gt;'!$K:$K),0)</f>
        <v>10000</v>
      </c>
      <c r="AW168" s="43" t="str">
        <f>IFERROR(_xlfn.XLOOKUP(AL168,Target!$A:$A,Target!$B:$B),"None")</f>
        <v>None</v>
      </c>
      <c r="AX168" s="43" t="str">
        <f>IFERROR(_xlfn.XLOOKUP($AM168,'BuffValue&lt;Child&gt;'!$A:$A,'BuffValue&lt;Child&gt;'!$F:$F),"None")</f>
        <v>None</v>
      </c>
      <c r="AY168" s="43">
        <f>IFERROR(_xlfn.XLOOKUP($AM168,#REF!,#REF!),0)</f>
        <v>0</v>
      </c>
    </row>
    <row r="169" spans="1:51" x14ac:dyDescent="0.3">
      <c r="A169" s="1">
        <f>INT(3&amp;MID(_xlfn.XLOOKUP(B169,[2]Timeline!$B:$B,[2]Timeline!$A:$A),2,5)&amp;3)</f>
        <v>3301243</v>
      </c>
      <c r="B169" s="7" t="s">
        <v>154</v>
      </c>
      <c r="C169" s="7" t="s">
        <v>320</v>
      </c>
      <c r="D169" s="7" t="s">
        <v>559</v>
      </c>
      <c r="E169" s="1" t="str">
        <f t="shared" si="31"/>
        <v>skill_name_3301243</v>
      </c>
      <c r="F169" s="1" t="s">
        <v>117</v>
      </c>
      <c r="G169" s="1" t="s">
        <v>405</v>
      </c>
      <c r="H169" s="1" t="str">
        <f t="shared" si="32"/>
        <v>skill_desc_3301243</v>
      </c>
      <c r="I169" s="1" t="s">
        <v>205</v>
      </c>
      <c r="J169" s="1" t="str">
        <f>IFERROR(_xlfn.XLOOKUP(W169,Target!A:A,Target!J:J),"")</f>
        <v>Skill_Target_Icon_Enemy</v>
      </c>
      <c r="K169" s="1" t="s">
        <v>205</v>
      </c>
      <c r="L169" s="1" t="str">
        <f>IFERROR(_xlfn.XLOOKUP(W169,Target!A:A,Target!K:K),"")</f>
        <v>Skill_Area_Icon_NonTarget_All</v>
      </c>
      <c r="M169" s="1" t="str">
        <f>_xlfn.XLOOKUP(B169,'[2]Detail&lt;Child&gt;'!$B:$B,'[2]Detail&lt;Child&gt;'!$M:$M)</f>
        <v>Water</v>
      </c>
      <c r="N169" s="1" t="str">
        <f>_xlfn.XLOOKUP(B169,'[2]Detail&lt;Child&gt;'!$B:$B,'[2]Detail&lt;Child&gt;'!$N:$N)</f>
        <v>Supporter</v>
      </c>
      <c r="O169" s="1" t="s">
        <v>140</v>
      </c>
      <c r="P169" s="33">
        <v>0</v>
      </c>
      <c r="Q169" s="68" t="str" cm="1">
        <f t="array" ref="Q169">_xlfn.IFS(R169="Move","Move",R169="NonTargetMove","Move",R169="Static","Stand",R169="None","Stand")</f>
        <v>Move</v>
      </c>
      <c r="R169" s="1" t="s">
        <v>193</v>
      </c>
      <c r="S169" s="1">
        <v>4</v>
      </c>
      <c r="T169" s="2" t="str">
        <f t="shared" si="26"/>
        <v>SignalHit</v>
      </c>
      <c r="U169" s="2" t="str" cm="1">
        <f t="array" ref="U169">_xlfn.IFS(T169="SignalHIt","TurnEnd",T169="AttackBegin","TurnEnd",T169="AttackEnd","TurnEnd",T169="Immediately","Applied",T169="None","None")</f>
        <v>TurnEnd</v>
      </c>
      <c r="V169" s="2">
        <v>0</v>
      </c>
      <c r="W169" s="1">
        <v>920001</v>
      </c>
      <c r="X169" s="8">
        <f t="shared" si="30"/>
        <v>33012431</v>
      </c>
      <c r="Y169" s="1" t="str">
        <f t="shared" si="27"/>
        <v>Immediately</v>
      </c>
      <c r="Z169" s="2" t="str" cm="1">
        <f t="array" ref="Z169">_xlfn.IFS(Y169="SignalHIt","TurnEnd",Y169="AttackBegin","TurnEnd",Y169="AttackEnd","TurnEnd",Y169="Immediately","Applied",Y169="None","None")</f>
        <v>Applied</v>
      </c>
      <c r="AA169" s="2">
        <v>0</v>
      </c>
      <c r="AB169" s="1">
        <v>0</v>
      </c>
      <c r="AC169" s="8">
        <v>0</v>
      </c>
      <c r="AD169" s="2" t="str">
        <f t="shared" si="28"/>
        <v>AttackEnd</v>
      </c>
      <c r="AE169" s="2" t="str" cm="1">
        <f t="array" ref="AE169">_xlfn.IFS(AD169="SignalHIt","TurnEnd",AD169="AttackBegin","TurnEnd",AD169="AttackEnd","TurnEnd",AD169="Immediately","Applied",AD169="None","None")</f>
        <v>TurnEnd</v>
      </c>
      <c r="AF169" s="2">
        <v>0</v>
      </c>
      <c r="AG169" s="1">
        <v>1</v>
      </c>
      <c r="AH169" s="8">
        <f>X169+1</f>
        <v>33012432</v>
      </c>
      <c r="AI169" s="2" t="str">
        <f t="shared" si="29"/>
        <v>Immediately</v>
      </c>
      <c r="AJ169" s="2" t="str" cm="1">
        <f t="array" ref="AJ169">_xlfn.IFS(AI169="SignalHIt","TurnEnd",AI169="AttackBegin","TurnEnd",AI169="AttackEnd","TurnEnd",AI169="Immediately","Applied",AI169="None","None")</f>
        <v>Applied</v>
      </c>
      <c r="AK169" s="2">
        <v>0</v>
      </c>
      <c r="AL169" s="8">
        <v>0</v>
      </c>
      <c r="AM169" s="48">
        <v>0</v>
      </c>
      <c r="AN169" s="45" t="str">
        <f>IFERROR(_xlfn.XLOOKUP(W169,Target!$A:$A,Target!$B:$B),"None")</f>
        <v>논타겟 적 9칸</v>
      </c>
      <c r="AO169" s="43" t="str">
        <f>IFERROR(_xlfn.XLOOKUP($X169,'BuffValue&lt;Child&gt;'!$A:$A,'BuffValue&lt;Child&gt;'!$F:$F),"None")</f>
        <v>얼티밋 대미지</v>
      </c>
      <c r="AP169" s="43">
        <f>IFERROR(_xlfn.XLOOKUP($X169,'BuffValue&lt;Child&gt;'!$A:$A,'BuffValue&lt;Child&gt;'!$K:$K),0)</f>
        <v>20000</v>
      </c>
      <c r="AQ169" s="43" t="str">
        <f>IFERROR(_xlfn.XLOOKUP(AB169,Target!$A:$A,Target!$B:$B),"None")</f>
        <v>None</v>
      </c>
      <c r="AR169" s="45" t="str">
        <f>IFERROR(_xlfn.XLOOKUP($AC169,'BuffValue&lt;Child&gt;'!$A:$A,'BuffValue&lt;Child&gt;'!$F:$F),"None")</f>
        <v>None</v>
      </c>
      <c r="AS169" s="45">
        <f>IFERROR(_xlfn.XLOOKUP($AC169,'BuffValue&lt;Child&gt;'!$A:$A,'BuffValue&lt;Child&gt;'!$K:$K),0)</f>
        <v>0</v>
      </c>
      <c r="AT169" s="43" t="str">
        <f>IFERROR(_xlfn.XLOOKUP(AG169,Target!$A:$A,Target!$B:$B),"None")</f>
        <v xml:space="preserve"> 자신 1명 </v>
      </c>
      <c r="AU169" s="43" t="str">
        <f>IFERROR(_xlfn.XLOOKUP($AH169,'BuffValue&lt;Child&gt;'!$A:$A,'BuffValue&lt;Child&gt;'!$F:$F),"None")</f>
        <v>이브 치확, 치피증</v>
      </c>
      <c r="AV169" s="43">
        <f>IFERROR(_xlfn.XLOOKUP($AH169,'BuffValue&lt;Child&gt;'!$A:$A,'BuffValue&lt;Child&gt;'!$K:$K),0)</f>
        <v>10000</v>
      </c>
      <c r="AW169" s="43" t="str">
        <f>IFERROR(_xlfn.XLOOKUP(AL169,Target!$A:$A,Target!$B:$B),"None")</f>
        <v>None</v>
      </c>
      <c r="AX169" s="43" t="str">
        <f>IFERROR(_xlfn.XLOOKUP($AM169,'BuffValue&lt;Child&gt;'!$A:$A,'BuffValue&lt;Child&gt;'!$F:$F),"None")</f>
        <v>None</v>
      </c>
      <c r="AY169" s="43">
        <f>IFERROR(_xlfn.XLOOKUP($AM169,#REF!,#REF!),0)</f>
        <v>0</v>
      </c>
    </row>
    <row r="170" spans="1:51" x14ac:dyDescent="0.3">
      <c r="A170" s="1">
        <f>INT(4&amp;MID(_xlfn.XLOOKUP(B170,[2]Timeline!$B:$B,[2]Timeline!$A:$A),2,5)&amp;1)</f>
        <v>4301241</v>
      </c>
      <c r="B170" s="7" t="s">
        <v>154</v>
      </c>
      <c r="C170" s="7" t="s">
        <v>122</v>
      </c>
      <c r="D170" s="7" t="s">
        <v>345</v>
      </c>
      <c r="E170" s="1" t="str">
        <f t="shared" si="31"/>
        <v>skill_name_4301241</v>
      </c>
      <c r="F170" s="1" t="s">
        <v>117</v>
      </c>
      <c r="G170" s="1" t="s">
        <v>448</v>
      </c>
      <c r="H170" s="1" t="str">
        <f t="shared" si="32"/>
        <v>skill_desc_4301241</v>
      </c>
      <c r="I170" s="1" t="s">
        <v>205</v>
      </c>
      <c r="J170" s="1" t="str">
        <f>IFERROR(_xlfn.XLOOKUP(W170,Target!A:A,Target!J:J),"")</f>
        <v>Skill_Target_Icon_Mine</v>
      </c>
      <c r="K170" s="1" t="s">
        <v>205</v>
      </c>
      <c r="L170" s="1" t="str">
        <f>IFERROR(_xlfn.XLOOKUP(W170,Target!A:A,Target!K:K),"")</f>
        <v>Skill_Area_Icon_Pivot_Centor</v>
      </c>
      <c r="M170" s="1" t="str">
        <f>_xlfn.XLOOKUP(B170,'[2]Detail&lt;Child&gt;'!$B:$B,'[2]Detail&lt;Child&gt;'!$M:$M)</f>
        <v>Water</v>
      </c>
      <c r="N170" s="1" t="str">
        <f>_xlfn.XLOOKUP(B170,'[2]Detail&lt;Child&gt;'!$B:$B,'[2]Detail&lt;Child&gt;'!$N:$N)</f>
        <v>Supporter</v>
      </c>
      <c r="O170" s="1" t="s">
        <v>167</v>
      </c>
      <c r="P170" s="33">
        <v>0</v>
      </c>
      <c r="Q170" s="68" t="str" cm="1">
        <f t="array" ref="Q170">_xlfn.IFS(R170="Move","Move",R170="NonTargetMove","Move",R170="Static","Stand",R170="None","Stand")</f>
        <v>Stand</v>
      </c>
      <c r="R170" s="1" t="s">
        <v>136</v>
      </c>
      <c r="S170" s="1">
        <v>0</v>
      </c>
      <c r="T170" s="2" t="str">
        <f t="shared" si="26"/>
        <v>Immediately</v>
      </c>
      <c r="U170" s="2" t="str" cm="1">
        <f t="array" ref="U170">_xlfn.IFS(T170="SignalHIt","TurnEnd",T170="AttackBegin","TurnEnd",T170="AttackEnd","TurnEnd",T170="Immediately","Applied",T170="None","None")</f>
        <v>Applied</v>
      </c>
      <c r="V170" s="2">
        <v>0</v>
      </c>
      <c r="W170" s="1">
        <v>1</v>
      </c>
      <c r="X170" s="8">
        <f t="shared" si="30"/>
        <v>43012411</v>
      </c>
      <c r="Y170" s="1" t="str">
        <f t="shared" si="27"/>
        <v>Immediately</v>
      </c>
      <c r="Z170" s="2" t="str" cm="1">
        <f t="array" ref="Z170">_xlfn.IFS(Y170="SignalHIt","TurnEnd",Y170="AttackBegin","TurnEnd",Y170="AttackEnd","TurnEnd",Y170="Immediately","Applied",Y170="None","None")</f>
        <v>Applied</v>
      </c>
      <c r="AA170" s="2">
        <v>0</v>
      </c>
      <c r="AB170" s="1">
        <v>0</v>
      </c>
      <c r="AC170" s="8">
        <v>0</v>
      </c>
      <c r="AD170" s="2" t="str">
        <f t="shared" si="28"/>
        <v>Immediately</v>
      </c>
      <c r="AE170" s="2" t="str" cm="1">
        <f t="array" ref="AE170">_xlfn.IFS(AD170="SignalHIt","TurnEnd",AD170="AttackBegin","TurnEnd",AD170="AttackEnd","TurnEnd",AD170="Immediately","Applied",AD170="None","None")</f>
        <v>Applied</v>
      </c>
      <c r="AF170" s="2">
        <v>0</v>
      </c>
      <c r="AG170" s="1">
        <v>0</v>
      </c>
      <c r="AH170" s="8">
        <v>0</v>
      </c>
      <c r="AI170" s="2" t="str">
        <f t="shared" si="29"/>
        <v>Immediately</v>
      </c>
      <c r="AJ170" s="2" t="str" cm="1">
        <f t="array" ref="AJ170">_xlfn.IFS(AI170="SignalHIt","TurnEnd",AI170="AttackBegin","TurnEnd",AI170="AttackEnd","TurnEnd",AI170="Immediately","Applied",AI170="None","None")</f>
        <v>Applied</v>
      </c>
      <c r="AK170" s="2">
        <v>0</v>
      </c>
      <c r="AL170" s="8">
        <v>0</v>
      </c>
      <c r="AM170" s="48">
        <v>0</v>
      </c>
      <c r="AN170" s="45" t="str">
        <f>IFERROR(_xlfn.XLOOKUP(W170,Target!$A:$A,Target!$B:$B),"None")</f>
        <v xml:space="preserve"> 자신 1명 </v>
      </c>
      <c r="AO170" s="43" t="str">
        <f>IFERROR(_xlfn.XLOOKUP($X170,'BuffValue&lt;Child&gt;'!$A:$A,'BuffValue&lt;Child&gt;'!$F:$F),"None")</f>
        <v>이브 패시브 회복</v>
      </c>
      <c r="AP170" s="43">
        <f>IFERROR(_xlfn.XLOOKUP($X170,'BuffValue&lt;Child&gt;'!$A:$A,'BuffValue&lt;Child&gt;'!$K:$K),0)</f>
        <v>10000</v>
      </c>
      <c r="AQ170" s="43" t="str">
        <f>IFERROR(_xlfn.XLOOKUP(AB170,Target!$A:$A,Target!$B:$B),"None")</f>
        <v>None</v>
      </c>
      <c r="AR170" s="45" t="str">
        <f>IFERROR(_xlfn.XLOOKUP($AC170,'BuffValue&lt;Child&gt;'!$A:$A,'BuffValue&lt;Child&gt;'!$F:$F),"None")</f>
        <v>None</v>
      </c>
      <c r="AS170" s="45">
        <f>IFERROR(_xlfn.XLOOKUP($AC170,'BuffValue&lt;Child&gt;'!$A:$A,'BuffValue&lt;Child&gt;'!$K:$K),0)</f>
        <v>0</v>
      </c>
      <c r="AT170" s="43" t="str">
        <f>IFERROR(_xlfn.XLOOKUP(AG170,Target!$A:$A,Target!$B:$B),"None")</f>
        <v>None</v>
      </c>
      <c r="AU170" s="43" t="str">
        <f>IFERROR(_xlfn.XLOOKUP($AH170,'BuffValue&lt;Child&gt;'!$A:$A,'BuffValue&lt;Child&gt;'!$F:$F),"None")</f>
        <v>None</v>
      </c>
      <c r="AV170" s="43">
        <f>IFERROR(_xlfn.XLOOKUP($AH170,'BuffValue&lt;Child&gt;'!$A:$A,'BuffValue&lt;Child&gt;'!$K:$K),0)</f>
        <v>0</v>
      </c>
      <c r="AW170" s="43" t="str">
        <f>IFERROR(_xlfn.XLOOKUP(AL170,Target!$A:$A,Target!$B:$B),"None")</f>
        <v>None</v>
      </c>
      <c r="AX170" s="43" t="str">
        <f>IFERROR(_xlfn.XLOOKUP($AM170,'BuffValue&lt;Child&gt;'!$A:$A,'BuffValue&lt;Child&gt;'!$F:$F),"None")</f>
        <v>None</v>
      </c>
      <c r="AY170" s="43">
        <f>IFERROR(_xlfn.XLOOKUP($AM170,#REF!,#REF!),0)</f>
        <v>0</v>
      </c>
    </row>
    <row r="171" spans="1:51" x14ac:dyDescent="0.3">
      <c r="A171" s="1">
        <f>INT(4&amp;MID(_xlfn.XLOOKUP(B171,[2]Timeline!$B:$B,[2]Timeline!$A:$A),2,5)&amp;2)</f>
        <v>4301242</v>
      </c>
      <c r="B171" s="7" t="s">
        <v>154</v>
      </c>
      <c r="C171" s="7" t="s">
        <v>122</v>
      </c>
      <c r="D171" s="7" t="s">
        <v>345</v>
      </c>
      <c r="E171" s="1" t="str">
        <f t="shared" si="31"/>
        <v>skill_name_4301242</v>
      </c>
      <c r="F171" s="1" t="s">
        <v>117</v>
      </c>
      <c r="G171" s="1" t="s">
        <v>448</v>
      </c>
      <c r="H171" s="1" t="str">
        <f t="shared" si="32"/>
        <v>skill_desc_4301242</v>
      </c>
      <c r="I171" s="1" t="s">
        <v>205</v>
      </c>
      <c r="J171" s="1" t="str">
        <f>IFERROR(_xlfn.XLOOKUP(W171,Target!A:A,Target!J:J),"")</f>
        <v>Skill_Target_Icon_Mine</v>
      </c>
      <c r="K171" s="1" t="s">
        <v>205</v>
      </c>
      <c r="L171" s="1" t="str">
        <f>IFERROR(_xlfn.XLOOKUP(W171,Target!A:A,Target!K:K),"")</f>
        <v>Skill_Area_Icon_Pivot_Centor</v>
      </c>
      <c r="M171" s="1" t="str">
        <f>_xlfn.XLOOKUP(B171,'[2]Detail&lt;Child&gt;'!$B:$B,'[2]Detail&lt;Child&gt;'!$M:$M)</f>
        <v>Water</v>
      </c>
      <c r="N171" s="1" t="str">
        <f>_xlfn.XLOOKUP(B171,'[2]Detail&lt;Child&gt;'!$B:$B,'[2]Detail&lt;Child&gt;'!$N:$N)</f>
        <v>Supporter</v>
      </c>
      <c r="O171" s="1" t="s">
        <v>167</v>
      </c>
      <c r="P171" s="33">
        <v>0</v>
      </c>
      <c r="Q171" s="68" t="str" cm="1">
        <f t="array" ref="Q171">_xlfn.IFS(R171="Move","Move",R171="NonTargetMove","Move",R171="Static","Stand",R171="None","Stand")</f>
        <v>Stand</v>
      </c>
      <c r="R171" s="1" t="s">
        <v>136</v>
      </c>
      <c r="S171" s="1">
        <f>IF(R171="Static",0,1)</f>
        <v>0</v>
      </c>
      <c r="T171" s="2" t="str">
        <f t="shared" si="26"/>
        <v>Immediately</v>
      </c>
      <c r="U171" s="2" t="str" cm="1">
        <f t="array" ref="U171">_xlfn.IFS(T171="SignalHIt","TurnEnd",T171="AttackBegin","TurnEnd",T171="AttackEnd","TurnEnd",T171="Immediately","Applied",T171="None","None")</f>
        <v>Applied</v>
      </c>
      <c r="V171" s="2">
        <v>0</v>
      </c>
      <c r="W171" s="1">
        <v>1</v>
      </c>
      <c r="X171" s="8">
        <f t="shared" si="30"/>
        <v>43012421</v>
      </c>
      <c r="Y171" s="1" t="str">
        <f t="shared" si="27"/>
        <v>Immediately</v>
      </c>
      <c r="Z171" s="2" t="str" cm="1">
        <f t="array" ref="Z171">_xlfn.IFS(Y171="SignalHIt","TurnEnd",Y171="AttackBegin","TurnEnd",Y171="AttackEnd","TurnEnd",Y171="Immediately","Applied",Y171="None","None")</f>
        <v>Applied</v>
      </c>
      <c r="AA171" s="2">
        <v>0</v>
      </c>
      <c r="AB171" s="1">
        <v>0</v>
      </c>
      <c r="AC171" s="8">
        <v>0</v>
      </c>
      <c r="AD171" s="2" t="str">
        <f t="shared" si="28"/>
        <v>Immediately</v>
      </c>
      <c r="AE171" s="2" t="str" cm="1">
        <f t="array" ref="AE171">_xlfn.IFS(AD171="SignalHIt","TurnEnd",AD171="AttackBegin","TurnEnd",AD171="AttackEnd","TurnEnd",AD171="Immediately","Applied",AD171="None","None")</f>
        <v>Applied</v>
      </c>
      <c r="AF171" s="2">
        <v>0</v>
      </c>
      <c r="AG171" s="1">
        <v>0</v>
      </c>
      <c r="AH171" s="8">
        <v>0</v>
      </c>
      <c r="AI171" s="2" t="str">
        <f t="shared" si="29"/>
        <v>Immediately</v>
      </c>
      <c r="AJ171" s="2" t="str" cm="1">
        <f t="array" ref="AJ171">_xlfn.IFS(AI171="SignalHIt","TurnEnd",AI171="AttackBegin","TurnEnd",AI171="AttackEnd","TurnEnd",AI171="Immediately","Applied",AI171="None","None")</f>
        <v>Applied</v>
      </c>
      <c r="AK171" s="2">
        <v>0</v>
      </c>
      <c r="AL171" s="8">
        <v>0</v>
      </c>
      <c r="AM171" s="48">
        <v>0</v>
      </c>
      <c r="AN171" s="45" t="str">
        <f>IFERROR(_xlfn.XLOOKUP(W171,Target!$A:$A,Target!$B:$B),"None")</f>
        <v xml:space="preserve"> 자신 1명 </v>
      </c>
      <c r="AO171" s="43" t="str">
        <f>IFERROR(_xlfn.XLOOKUP($X171,'BuffValue&lt;Child&gt;'!$A:$A,'BuffValue&lt;Child&gt;'!$F:$F),"None")</f>
        <v>이브 패시브 회복</v>
      </c>
      <c r="AP171" s="43">
        <f>IFERROR(_xlfn.XLOOKUP($X171,'BuffValue&lt;Child&gt;'!$A:$A,'BuffValue&lt;Child&gt;'!$K:$K),0)</f>
        <v>10000</v>
      </c>
      <c r="AQ171" s="43" t="str">
        <f>IFERROR(_xlfn.XLOOKUP(AB171,Target!$A:$A,Target!$B:$B),"None")</f>
        <v>None</v>
      </c>
      <c r="AR171" s="45" t="str">
        <f>IFERROR(_xlfn.XLOOKUP($AC171,'BuffValue&lt;Child&gt;'!$A:$A,'BuffValue&lt;Child&gt;'!$F:$F),"None")</f>
        <v>None</v>
      </c>
      <c r="AS171" s="45">
        <f>IFERROR(_xlfn.XLOOKUP($AC171,'BuffValue&lt;Child&gt;'!$A:$A,'BuffValue&lt;Child&gt;'!$K:$K),0)</f>
        <v>0</v>
      </c>
      <c r="AT171" s="43" t="str">
        <f>IFERROR(_xlfn.XLOOKUP(AG171,Target!$A:$A,Target!$B:$B),"None")</f>
        <v>None</v>
      </c>
      <c r="AU171" s="43" t="str">
        <f>IFERROR(_xlfn.XLOOKUP($AH171,'BuffValue&lt;Child&gt;'!$A:$A,'BuffValue&lt;Child&gt;'!$F:$F),"None")</f>
        <v>None</v>
      </c>
      <c r="AV171" s="43">
        <f>IFERROR(_xlfn.XLOOKUP($AH171,'BuffValue&lt;Child&gt;'!$A:$A,'BuffValue&lt;Child&gt;'!$K:$K),0)</f>
        <v>0</v>
      </c>
      <c r="AW171" s="43" t="str">
        <f>IFERROR(_xlfn.XLOOKUP(AL171,Target!$A:$A,Target!$B:$B),"None")</f>
        <v>None</v>
      </c>
      <c r="AX171" s="43" t="str">
        <f>IFERROR(_xlfn.XLOOKUP($AM171,'BuffValue&lt;Child&gt;'!$A:$A,'BuffValue&lt;Child&gt;'!$F:$F),"None")</f>
        <v>None</v>
      </c>
      <c r="AY171" s="43">
        <f>IFERROR(_xlfn.XLOOKUP($AM171,#REF!,#REF!),0)</f>
        <v>0</v>
      </c>
    </row>
    <row r="172" spans="1:51" s="11" customFormat="1" x14ac:dyDescent="0.3">
      <c r="A172" s="11">
        <f>INT(1&amp;MID(_xlfn.XLOOKUP(B172,[2]Timeline!$B:$B,[2]Timeline!$A:$A),2,5)&amp;1)</f>
        <v>1304121</v>
      </c>
      <c r="B172" s="12" t="s">
        <v>190</v>
      </c>
      <c r="C172" s="12" t="s">
        <v>300</v>
      </c>
      <c r="D172" s="12" t="s">
        <v>341</v>
      </c>
      <c r="E172" s="11" t="str">
        <f t="shared" si="31"/>
        <v>skill_name_1304121</v>
      </c>
      <c r="F172" s="11" t="s">
        <v>117</v>
      </c>
      <c r="G172" s="11" t="s">
        <v>432</v>
      </c>
      <c r="H172" s="11" t="str">
        <f t="shared" si="32"/>
        <v>skill_desc_1304121</v>
      </c>
      <c r="I172" s="11" t="s">
        <v>205</v>
      </c>
      <c r="J172" s="11" t="str">
        <f>IFERROR(_xlfn.XLOOKUP(W172,Target!A:A,Target!J:J),"")</f>
        <v>Skill_Target_Icon_Enemy_Near_One</v>
      </c>
      <c r="K172" s="11" t="s">
        <v>205</v>
      </c>
      <c r="L172" s="11" t="str">
        <f>IFERROR(_xlfn.XLOOKUP(W172,Target!A:A,Target!K:K),"")</f>
        <v>Skill_Area_Icon_Pivot_Centor</v>
      </c>
      <c r="M172" s="11" t="str">
        <f>_xlfn.XLOOKUP(B172,'[2]Detail&lt;Child&gt;'!$B:$B,'[2]Detail&lt;Child&gt;'!$M:$M)</f>
        <v>Fire</v>
      </c>
      <c r="N172" s="11" t="str">
        <f>_xlfn.XLOOKUP(B172,'[2]Detail&lt;Child&gt;'!$B:$B,'[2]Detail&lt;Child&gt;'!$N:$N)</f>
        <v>Attacker</v>
      </c>
      <c r="O172" s="11" t="s">
        <v>30</v>
      </c>
      <c r="P172" s="34">
        <v>0</v>
      </c>
      <c r="Q172" s="69" t="str" cm="1">
        <f t="array" ref="Q172">_xlfn.IFS(R172="Move","Move",R172="NonTargetMove","Move",R172="Static","Stand",R172="None","Stand")</f>
        <v>Stand</v>
      </c>
      <c r="R172" s="11" t="s">
        <v>136</v>
      </c>
      <c r="S172" s="11">
        <f>IF(R172="Static",0,1)</f>
        <v>0</v>
      </c>
      <c r="T172" s="15" t="str">
        <f t="shared" si="26"/>
        <v>SignalHit</v>
      </c>
      <c r="U172" s="15" t="str" cm="1">
        <f t="array" ref="U172">_xlfn.IFS(T172="SignalHIt","TurnEnd",T172="AttackBegin","TurnEnd",T172="AttackEnd","TurnEnd",T172="Immediately","Applied",T172="None","None")</f>
        <v>TurnEnd</v>
      </c>
      <c r="V172" s="15">
        <v>0</v>
      </c>
      <c r="W172" s="11">
        <v>2000011</v>
      </c>
      <c r="X172" s="10">
        <f t="shared" si="30"/>
        <v>13041211</v>
      </c>
      <c r="Y172" s="11" t="str">
        <f t="shared" si="27"/>
        <v>Immediately</v>
      </c>
      <c r="Z172" s="15" t="str" cm="1">
        <f t="array" ref="Z172">_xlfn.IFS(Y172="SignalHIt","TurnEnd",Y172="AttackBegin","TurnEnd",Y172="AttackEnd","TurnEnd",Y172="Immediately","Applied",Y172="None","None")</f>
        <v>Applied</v>
      </c>
      <c r="AA172" s="15">
        <v>0</v>
      </c>
      <c r="AB172" s="11">
        <v>0</v>
      </c>
      <c r="AC172" s="10">
        <v>0</v>
      </c>
      <c r="AD172" s="15" t="str">
        <f t="shared" si="28"/>
        <v>Immediately</v>
      </c>
      <c r="AE172" s="15" t="str" cm="1">
        <f t="array" ref="AE172">_xlfn.IFS(AD172="SignalHIt","TurnEnd",AD172="AttackBegin","TurnEnd",AD172="AttackEnd","TurnEnd",AD172="Immediately","Applied",AD172="None","None")</f>
        <v>Applied</v>
      </c>
      <c r="AF172" s="15">
        <v>0</v>
      </c>
      <c r="AG172" s="11">
        <v>0</v>
      </c>
      <c r="AH172" s="10">
        <v>0</v>
      </c>
      <c r="AI172" s="15" t="str">
        <f t="shared" si="29"/>
        <v>Immediately</v>
      </c>
      <c r="AJ172" s="15" t="str" cm="1">
        <f t="array" ref="AJ172">_xlfn.IFS(AI172="SignalHIt","TurnEnd",AI172="AttackBegin","TurnEnd",AI172="AttackEnd","TurnEnd",AI172="Immediately","Applied",AI172="None","None")</f>
        <v>Applied</v>
      </c>
      <c r="AK172" s="15">
        <v>0</v>
      </c>
      <c r="AL172" s="10">
        <v>0</v>
      </c>
      <c r="AM172" s="50">
        <v>0</v>
      </c>
      <c r="AN172" s="46" t="str">
        <f>IFERROR(_xlfn.XLOOKUP(W172,Target!$A:$A,Target!$B:$B),"None")</f>
        <v xml:space="preserve">가까운 적 1명 </v>
      </c>
      <c r="AO172" s="47" t="str">
        <f>IFERROR(_xlfn.XLOOKUP($X172,'BuffValue&lt;Child&gt;'!$A:$A,'BuffValue&lt;Child&gt;'!$F:$F),"None")</f>
        <v>공용 대미지</v>
      </c>
      <c r="AP172" s="47">
        <f>IFERROR(_xlfn.XLOOKUP($X172,'BuffValue&lt;Child&gt;'!$A:$A,'BuffValue&lt;Child&gt;'!$K:$K),0)</f>
        <v>295000</v>
      </c>
      <c r="AQ172" s="47" t="str">
        <f>IFERROR(_xlfn.XLOOKUP(AB172,Target!$A:$A,Target!$B:$B),"None")</f>
        <v>None</v>
      </c>
      <c r="AR172" s="46" t="str">
        <f>IFERROR(_xlfn.XLOOKUP($AC172,'BuffValue&lt;Child&gt;'!$A:$A,'BuffValue&lt;Child&gt;'!$F:$F),"None")</f>
        <v>None</v>
      </c>
      <c r="AS172" s="46">
        <f>IFERROR(_xlfn.XLOOKUP($AC172,'BuffValue&lt;Child&gt;'!$A:$A,'BuffValue&lt;Child&gt;'!$K:$K),0)</f>
        <v>0</v>
      </c>
      <c r="AT172" s="47" t="str">
        <f>IFERROR(_xlfn.XLOOKUP(AG172,Target!$A:$A,Target!$B:$B),"None")</f>
        <v>None</v>
      </c>
      <c r="AU172" s="47" t="str">
        <f>IFERROR(_xlfn.XLOOKUP($AH172,'BuffValue&lt;Child&gt;'!$A:$A,'BuffValue&lt;Child&gt;'!$F:$F),"None")</f>
        <v>None</v>
      </c>
      <c r="AV172" s="47">
        <f>IFERROR(_xlfn.XLOOKUP($AH172,'BuffValue&lt;Child&gt;'!$A:$A,'BuffValue&lt;Child&gt;'!$K:$K),0)</f>
        <v>0</v>
      </c>
      <c r="AW172" s="47" t="str">
        <f>IFERROR(_xlfn.XLOOKUP(AL172,Target!$A:$A,Target!$B:$B),"None")</f>
        <v>None</v>
      </c>
      <c r="AX172" s="47" t="str">
        <f>IFERROR(_xlfn.XLOOKUP($AM172,'BuffValue&lt;Child&gt;'!$A:$A,'BuffValue&lt;Child&gt;'!$F:$F),"None")</f>
        <v>None</v>
      </c>
      <c r="AY172" s="47">
        <f>IFERROR(_xlfn.XLOOKUP($AM172,#REF!,#REF!),0)</f>
        <v>0</v>
      </c>
    </row>
    <row r="173" spans="1:51" x14ac:dyDescent="0.3">
      <c r="A173" s="1">
        <f>INT(2&amp;MID(_xlfn.XLOOKUP(B173,[2]Timeline!$B:$B,[2]Timeline!$A:$A),2,5)&amp;1)</f>
        <v>2304121</v>
      </c>
      <c r="B173" s="7" t="s">
        <v>161</v>
      </c>
      <c r="C173" s="7" t="s">
        <v>301</v>
      </c>
      <c r="D173" s="7" t="s">
        <v>580</v>
      </c>
      <c r="E173" s="1" t="str">
        <f t="shared" si="31"/>
        <v>skill_name_2304121</v>
      </c>
      <c r="F173" s="1" t="s">
        <v>117</v>
      </c>
      <c r="G173" s="1" t="s">
        <v>431</v>
      </c>
      <c r="H173" s="1" t="str">
        <f t="shared" si="32"/>
        <v>skill_desc_2304121</v>
      </c>
      <c r="I173" s="1" t="s">
        <v>205</v>
      </c>
      <c r="J173" s="1" t="str">
        <f>IFERROR(_xlfn.XLOOKUP(W173,Target!A:A,Target!J:J),"")</f>
        <v>Skill_Target_Icon_Mine</v>
      </c>
      <c r="K173" s="1" t="s">
        <v>205</v>
      </c>
      <c r="L173" s="1" t="str">
        <f>IFERROR(_xlfn.XLOOKUP(W173,Target!A:A,Target!K:K),"")</f>
        <v>Skill_Area_Icon_Pivot_Centor</v>
      </c>
      <c r="M173" s="1" t="str">
        <f>_xlfn.XLOOKUP(B173,'[2]Detail&lt;Child&gt;'!$B:$B,'[2]Detail&lt;Child&gt;'!$M:$M)</f>
        <v>Fire</v>
      </c>
      <c r="N173" s="1" t="str">
        <f>_xlfn.XLOOKUP(B173,'[2]Detail&lt;Child&gt;'!$B:$B,'[2]Detail&lt;Child&gt;'!$N:$N)</f>
        <v>Attacker</v>
      </c>
      <c r="O173" s="1" t="s">
        <v>33</v>
      </c>
      <c r="P173" s="33">
        <v>3</v>
      </c>
      <c r="Q173" s="68" t="s">
        <v>496</v>
      </c>
      <c r="R173" s="1" t="s">
        <v>136</v>
      </c>
      <c r="S173" s="1">
        <f>IF(R173="Static",0,1)</f>
        <v>0</v>
      </c>
      <c r="T173" s="2" t="str">
        <f t="shared" si="26"/>
        <v>SignalHit</v>
      </c>
      <c r="U173" s="2" t="str" cm="1">
        <f t="array" ref="U173">_xlfn.IFS(T173="SignalHIt","TurnEnd",T173="AttackBegin","TurnEnd",T173="AttackEnd","TurnEnd",T173="Immediately","Applied",T173="None","None")</f>
        <v>TurnEnd</v>
      </c>
      <c r="V173" s="2">
        <v>0</v>
      </c>
      <c r="W173" s="1">
        <v>1</v>
      </c>
      <c r="X173" s="8">
        <v>23041211</v>
      </c>
      <c r="Y173" s="1" t="str">
        <f t="shared" si="27"/>
        <v>Immediately</v>
      </c>
      <c r="Z173" s="2" t="str" cm="1">
        <f t="array" ref="Z173">_xlfn.IFS(Y173="SignalHIt","TurnEnd",Y173="AttackBegin","TurnEnd",Y173="AttackEnd","TurnEnd",Y173="Immediately","Applied",Y173="None","None")</f>
        <v>Applied</v>
      </c>
      <c r="AA173" s="2">
        <v>0</v>
      </c>
      <c r="AB173" s="1">
        <v>0</v>
      </c>
      <c r="AC173" s="8">
        <v>0</v>
      </c>
      <c r="AD173" s="2" t="str">
        <f t="shared" si="28"/>
        <v>AttackEnd</v>
      </c>
      <c r="AE173" s="2" t="str" cm="1">
        <f t="array" ref="AE173">_xlfn.IFS(AD173="SignalHIt","TurnEnd",AD173="AttackBegin","TurnEnd",AD173="AttackEnd","TurnEnd",AD173="Immediately","Applied",AD173="None","None")</f>
        <v>TurnEnd</v>
      </c>
      <c r="AF173" s="2">
        <v>0</v>
      </c>
      <c r="AG173" s="1">
        <v>1</v>
      </c>
      <c r="AH173" s="8">
        <v>23041213</v>
      </c>
      <c r="AI173" s="2" t="str">
        <f t="shared" si="29"/>
        <v>Immediately</v>
      </c>
      <c r="AJ173" s="2" t="str" cm="1">
        <f t="array" ref="AJ173">_xlfn.IFS(AI173="SignalHIt","TurnEnd",AI173="AttackBegin","TurnEnd",AI173="AttackEnd","TurnEnd",AI173="Immediately","Applied",AI173="None","None")</f>
        <v>Applied</v>
      </c>
      <c r="AK173" s="2">
        <v>0</v>
      </c>
      <c r="AL173" s="8">
        <v>0</v>
      </c>
      <c r="AM173" s="48">
        <v>0</v>
      </c>
      <c r="AN173" s="45" t="str">
        <f>IFERROR(_xlfn.XLOOKUP(W173,Target!$A:$A,Target!$B:$B),"None")</f>
        <v xml:space="preserve"> 자신 1명 </v>
      </c>
      <c r="AO173" s="43" t="str">
        <f>IFERROR(_xlfn.XLOOKUP($X173,'BuffValue&lt;Child&gt;'!$A:$A,'BuffValue&lt;Child&gt;'!$F:$F),"None")</f>
        <v>체력 비례 대미지</v>
      </c>
      <c r="AP173" s="43">
        <f>IFERROR(_xlfn.XLOOKUP($X173,'BuffValue&lt;Child&gt;'!$A:$A,'BuffValue&lt;Child&gt;'!$K:$K),0)</f>
        <v>20000</v>
      </c>
      <c r="AQ173" s="43" t="str">
        <f>IFERROR(_xlfn.XLOOKUP(AB173,Target!$A:$A,Target!$B:$B),"None")</f>
        <v>None</v>
      </c>
      <c r="AR173" s="45" t="str">
        <f>IFERROR(_xlfn.XLOOKUP($AC173,'BuffValue&lt;Child&gt;'!$A:$A,'BuffValue&lt;Child&gt;'!$F:$F),"None")</f>
        <v>None</v>
      </c>
      <c r="AS173" s="45">
        <f>IFERROR(_xlfn.XLOOKUP($AC173,'BuffValue&lt;Child&gt;'!$A:$A,'BuffValue&lt;Child&gt;'!$K:$K),0)</f>
        <v>0</v>
      </c>
      <c r="AT173" s="43" t="str">
        <f>IFERROR(_xlfn.XLOOKUP(AG173,Target!$A:$A,Target!$B:$B),"None")</f>
        <v xml:space="preserve"> 자신 1명 </v>
      </c>
      <c r="AU173" s="43" t="str">
        <f>IFERROR(_xlfn.XLOOKUP($AH173,'BuffValue&lt;Child&gt;'!$A:$A,'BuffValue&lt;Child&gt;'!$F:$F),"None")</f>
        <v>카인 얼티밋 대미지 증가(중첩)</v>
      </c>
      <c r="AV173" s="43">
        <f>IFERROR(_xlfn.XLOOKUP($AH173,'BuffValue&lt;Child&gt;'!$A:$A,'BuffValue&lt;Child&gt;'!$K:$K),0)</f>
        <v>50000</v>
      </c>
      <c r="AW173" s="43" t="str">
        <f>IFERROR(_xlfn.XLOOKUP(AL173,Target!$A:$A,Target!$B:$B),"None")</f>
        <v>None</v>
      </c>
      <c r="AX173" s="43" t="str">
        <f>IFERROR(_xlfn.XLOOKUP($AM173,'BuffValue&lt;Child&gt;'!$A:$A,'BuffValue&lt;Child&gt;'!$F:$F),"None")</f>
        <v>None</v>
      </c>
      <c r="AY173" s="43">
        <f>IFERROR(_xlfn.XLOOKUP($AM173,#REF!,#REF!),0)</f>
        <v>0</v>
      </c>
    </row>
    <row r="174" spans="1:51" x14ac:dyDescent="0.3">
      <c r="A174" s="1">
        <f>INT(2&amp;MID(_xlfn.XLOOKUP(B174,[2]Timeline!$B:$B,[2]Timeline!$A:$A),2,5)&amp;2)</f>
        <v>2304122</v>
      </c>
      <c r="B174" s="7" t="s">
        <v>161</v>
      </c>
      <c r="C174" s="7" t="s">
        <v>301</v>
      </c>
      <c r="D174" s="7" t="s">
        <v>579</v>
      </c>
      <c r="E174" s="1" t="str">
        <f t="shared" si="31"/>
        <v>skill_name_2304122</v>
      </c>
      <c r="F174" s="1" t="s">
        <v>117</v>
      </c>
      <c r="G174" s="1" t="s">
        <v>431</v>
      </c>
      <c r="H174" s="1" t="str">
        <f t="shared" si="32"/>
        <v>skill_desc_2304122</v>
      </c>
      <c r="I174" s="1" t="s">
        <v>205</v>
      </c>
      <c r="J174" s="1" t="str">
        <f>IFERROR(_xlfn.XLOOKUP(W174,Target!A:A,Target!J:J),"")</f>
        <v>Skill_Target_Icon_Mine</v>
      </c>
      <c r="K174" s="1" t="s">
        <v>205</v>
      </c>
      <c r="L174" s="1" t="str">
        <f>IFERROR(_xlfn.XLOOKUP(W174,Target!A:A,Target!K:K),"")</f>
        <v>Skill_Area_Icon_Pivot_Centor</v>
      </c>
      <c r="M174" s="1" t="str">
        <f>_xlfn.XLOOKUP(B174,'[2]Detail&lt;Child&gt;'!$B:$B,'[2]Detail&lt;Child&gt;'!$M:$M)</f>
        <v>Fire</v>
      </c>
      <c r="N174" s="1" t="str">
        <f>_xlfn.XLOOKUP(B174,'[2]Detail&lt;Child&gt;'!$B:$B,'[2]Detail&lt;Child&gt;'!$N:$N)</f>
        <v>Attacker</v>
      </c>
      <c r="O174" s="1" t="s">
        <v>33</v>
      </c>
      <c r="P174" s="33">
        <v>2</v>
      </c>
      <c r="Q174" s="68" t="s">
        <v>137</v>
      </c>
      <c r="R174" s="1" t="s">
        <v>136</v>
      </c>
      <c r="S174" s="1">
        <f>IF(R174="Static",0,1)</f>
        <v>0</v>
      </c>
      <c r="T174" s="2" t="str">
        <f t="shared" si="26"/>
        <v>SignalHit</v>
      </c>
      <c r="U174" s="2" t="str" cm="1">
        <f t="array" ref="U174">_xlfn.IFS(T174="SignalHIt","TurnEnd",T174="AttackBegin","TurnEnd",T174="AttackEnd","TurnEnd",T174="Immediately","Applied",T174="None","None")</f>
        <v>TurnEnd</v>
      </c>
      <c r="V174" s="2">
        <v>0</v>
      </c>
      <c r="W174" s="1">
        <v>1</v>
      </c>
      <c r="X174" s="8">
        <v>23041221</v>
      </c>
      <c r="Y174" s="1" t="str">
        <f t="shared" si="27"/>
        <v>Immediately</v>
      </c>
      <c r="Z174" s="2" t="str" cm="1">
        <f t="array" ref="Z174">_xlfn.IFS(Y174="SignalHIt","TurnEnd",Y174="AttackBegin","TurnEnd",Y174="AttackEnd","TurnEnd",Y174="Immediately","Applied",Y174="None","None")</f>
        <v>Applied</v>
      </c>
      <c r="AA174" s="2">
        <v>0</v>
      </c>
      <c r="AB174" s="1">
        <v>0</v>
      </c>
      <c r="AC174" s="8">
        <v>0</v>
      </c>
      <c r="AD174" s="2" t="str">
        <f t="shared" si="28"/>
        <v>AttackEnd</v>
      </c>
      <c r="AE174" s="2" t="str" cm="1">
        <f t="array" ref="AE174">_xlfn.IFS(AD174="SignalHIt","TurnEnd",AD174="AttackBegin","TurnEnd",AD174="AttackEnd","TurnEnd",AD174="Immediately","Applied",AD174="None","None")</f>
        <v>TurnEnd</v>
      </c>
      <c r="AF174" s="2">
        <v>0</v>
      </c>
      <c r="AG174" s="1">
        <v>1</v>
      </c>
      <c r="AH174" s="8">
        <v>23041223</v>
      </c>
      <c r="AI174" s="2" t="str">
        <f t="shared" si="29"/>
        <v>Immediately</v>
      </c>
      <c r="AJ174" s="2" t="str" cm="1">
        <f t="array" ref="AJ174">_xlfn.IFS(AI174="SignalHIt","TurnEnd",AI174="AttackBegin","TurnEnd",AI174="AttackEnd","TurnEnd",AI174="Immediately","Applied",AI174="None","None")</f>
        <v>Applied</v>
      </c>
      <c r="AK174" s="2">
        <v>0</v>
      </c>
      <c r="AL174" s="8">
        <v>0</v>
      </c>
      <c r="AM174" s="48">
        <v>0</v>
      </c>
      <c r="AN174" s="45" t="str">
        <f>IFERROR(_xlfn.XLOOKUP(W174,Target!$A:$A,Target!$B:$B),"None")</f>
        <v xml:space="preserve"> 자신 1명 </v>
      </c>
      <c r="AO174" s="43" t="str">
        <f>IFERROR(_xlfn.XLOOKUP($X174,'BuffValue&lt;Child&gt;'!$A:$A,'BuffValue&lt;Child&gt;'!$F:$F),"None")</f>
        <v>체력 비례 대미지</v>
      </c>
      <c r="AP174" s="43">
        <f>IFERROR(_xlfn.XLOOKUP($X174,'BuffValue&lt;Child&gt;'!$A:$A,'BuffValue&lt;Child&gt;'!$K:$K),0)</f>
        <v>20000</v>
      </c>
      <c r="AQ174" s="43" t="str">
        <f>IFERROR(_xlfn.XLOOKUP(AB174,Target!$A:$A,Target!$B:$B),"None")</f>
        <v>None</v>
      </c>
      <c r="AR174" s="45" t="str">
        <f>IFERROR(_xlfn.XLOOKUP($AC174,'BuffValue&lt;Child&gt;'!$A:$A,'BuffValue&lt;Child&gt;'!$F:$F),"None")</f>
        <v>None</v>
      </c>
      <c r="AS174" s="45">
        <f>IFERROR(_xlfn.XLOOKUP($AC174,'BuffValue&lt;Child&gt;'!$A:$A,'BuffValue&lt;Child&gt;'!$K:$K),0)</f>
        <v>0</v>
      </c>
      <c r="AT174" s="43" t="str">
        <f>IFERROR(_xlfn.XLOOKUP(AG174,Target!$A:$A,Target!$B:$B),"None")</f>
        <v xml:space="preserve"> 자신 1명 </v>
      </c>
      <c r="AU174" s="43" t="str">
        <f>IFERROR(_xlfn.XLOOKUP($AH174,'BuffValue&lt;Child&gt;'!$A:$A,'BuffValue&lt;Child&gt;'!$F:$F),"None")</f>
        <v>카인 얼티밋 대미지 증가(중첩)</v>
      </c>
      <c r="AV174" s="43">
        <f>IFERROR(_xlfn.XLOOKUP($AH174,'BuffValue&lt;Child&gt;'!$A:$A,'BuffValue&lt;Child&gt;'!$K:$K),0)</f>
        <v>50000</v>
      </c>
      <c r="AW174" s="43" t="str">
        <f>IFERROR(_xlfn.XLOOKUP(AL174,Target!$A:$A,Target!$B:$B),"None")</f>
        <v>None</v>
      </c>
      <c r="AX174" s="43" t="str">
        <f>IFERROR(_xlfn.XLOOKUP($AM174,'BuffValue&lt;Child&gt;'!$A:$A,'BuffValue&lt;Child&gt;'!$F:$F),"None")</f>
        <v>None</v>
      </c>
      <c r="AY174" s="43">
        <f>IFERROR(_xlfn.XLOOKUP($AM174,#REF!,#REF!),0)</f>
        <v>0</v>
      </c>
    </row>
    <row r="175" spans="1:51" x14ac:dyDescent="0.3">
      <c r="A175" s="1">
        <f>INT(3&amp;MID(_xlfn.XLOOKUP(B175,[2]Timeline!$B:$B,[2]Timeline!$A:$A),2,5)&amp;1)</f>
        <v>3304121</v>
      </c>
      <c r="B175" s="7" t="s">
        <v>161</v>
      </c>
      <c r="C175" s="7" t="s">
        <v>302</v>
      </c>
      <c r="D175" s="7" t="s">
        <v>346</v>
      </c>
      <c r="E175" s="1" t="str">
        <f t="shared" si="31"/>
        <v>skill_name_3304121</v>
      </c>
      <c r="F175" s="1" t="s">
        <v>117</v>
      </c>
      <c r="G175" s="1" t="s">
        <v>406</v>
      </c>
      <c r="H175" s="1" t="str">
        <f t="shared" si="32"/>
        <v>skill_desc_3304121</v>
      </c>
      <c r="I175" s="1" t="s">
        <v>205</v>
      </c>
      <c r="J175" s="1" t="str">
        <f>IFERROR(_xlfn.XLOOKUP(W175,Target!A:A,Target!J:J),"")</f>
        <v>Skill_Target_Icon_Enemy</v>
      </c>
      <c r="K175" s="1" t="s">
        <v>205</v>
      </c>
      <c r="L175" s="1" t="str">
        <f>IFERROR(_xlfn.XLOOKUP(W175,Target!A:A,Target!K:K),"")</f>
        <v>Skill_Area_Icon_NonTarget_All</v>
      </c>
      <c r="M175" s="1" t="str">
        <f>_xlfn.XLOOKUP(B175,'[2]Detail&lt;Child&gt;'!$B:$B,'[2]Detail&lt;Child&gt;'!$M:$M)</f>
        <v>Fire</v>
      </c>
      <c r="N175" s="1" t="str">
        <f>_xlfn.XLOOKUP(B175,'[2]Detail&lt;Child&gt;'!$B:$B,'[2]Detail&lt;Child&gt;'!$N:$N)</f>
        <v>Attacker</v>
      </c>
      <c r="O175" s="1" t="s">
        <v>141</v>
      </c>
      <c r="P175" s="33">
        <v>0</v>
      </c>
      <c r="Q175" s="68" t="str" cm="1">
        <f t="array" ref="Q175">_xlfn.IFS(R175="Move","Move",R175="NonTargetMove","Move",R175="Static","Stand",R175="None","Stand")</f>
        <v>Move</v>
      </c>
      <c r="R175" s="1" t="s">
        <v>153</v>
      </c>
      <c r="S175" s="1">
        <v>1</v>
      </c>
      <c r="T175" s="2" t="str">
        <f t="shared" si="26"/>
        <v>SignalHit</v>
      </c>
      <c r="U175" s="2" t="str" cm="1">
        <f t="array" ref="U175">_xlfn.IFS(T175="SignalHIt","TurnEnd",T175="AttackBegin","TurnEnd",T175="AttackEnd","TurnEnd",T175="Immediately","Applied",T175="None","None")</f>
        <v>TurnEnd</v>
      </c>
      <c r="V175" s="2">
        <v>0</v>
      </c>
      <c r="W175" s="1">
        <v>920001</v>
      </c>
      <c r="X175" s="8">
        <f>INT(A175&amp;1)</f>
        <v>33041211</v>
      </c>
      <c r="Y175" s="1" t="str">
        <f t="shared" si="27"/>
        <v>Immediately</v>
      </c>
      <c r="Z175" s="2" t="str" cm="1">
        <f t="array" ref="Z175">_xlfn.IFS(Y175="SignalHIt","TurnEnd",Y175="AttackBegin","TurnEnd",Y175="AttackEnd","TurnEnd",Y175="Immediately","Applied",Y175="None","None")</f>
        <v>Applied</v>
      </c>
      <c r="AA175" s="2">
        <v>0</v>
      </c>
      <c r="AB175" s="1">
        <v>0</v>
      </c>
      <c r="AC175" s="8">
        <v>0</v>
      </c>
      <c r="AD175" s="2" t="str">
        <f t="shared" si="28"/>
        <v>Immediately</v>
      </c>
      <c r="AE175" s="2" t="str" cm="1">
        <f t="array" ref="AE175">_xlfn.IFS(AD175="SignalHIt","TurnEnd",AD175="AttackBegin","TurnEnd",AD175="AttackEnd","TurnEnd",AD175="Immediately","Applied",AD175="None","None")</f>
        <v>Applied</v>
      </c>
      <c r="AF175" s="2">
        <v>0</v>
      </c>
      <c r="AG175" s="1">
        <v>0</v>
      </c>
      <c r="AH175" s="8">
        <v>0</v>
      </c>
      <c r="AI175" s="2" t="str">
        <f t="shared" si="29"/>
        <v>Immediately</v>
      </c>
      <c r="AJ175" s="2" t="str" cm="1">
        <f t="array" ref="AJ175">_xlfn.IFS(AI175="SignalHIt","TurnEnd",AI175="AttackBegin","TurnEnd",AI175="AttackEnd","TurnEnd",AI175="Immediately","Applied",AI175="None","None")</f>
        <v>Applied</v>
      </c>
      <c r="AK175" s="2">
        <v>0</v>
      </c>
      <c r="AL175" s="8">
        <v>0</v>
      </c>
      <c r="AM175" s="48">
        <v>0</v>
      </c>
      <c r="AN175" s="45" t="str">
        <f>IFERROR(_xlfn.XLOOKUP(W175,Target!$A:$A,Target!$B:$B),"None")</f>
        <v>논타겟 적 9칸</v>
      </c>
      <c r="AO175" s="43" t="str">
        <f>IFERROR(_xlfn.XLOOKUP($X175,'BuffValue&lt;Child&gt;'!$A:$A,'BuffValue&lt;Child&gt;'!$F:$F),"None")</f>
        <v>얼티밋 대미지</v>
      </c>
      <c r="AP175" s="43">
        <f>IFERROR(_xlfn.XLOOKUP($X175,'BuffValue&lt;Child&gt;'!$A:$A,'BuffValue&lt;Child&gt;'!$K:$K),0)</f>
        <v>130000</v>
      </c>
      <c r="AQ175" s="43" t="str">
        <f>IFERROR(_xlfn.XLOOKUP(AB175,Target!$A:$A,Target!$B:$B),"None")</f>
        <v>None</v>
      </c>
      <c r="AR175" s="45" t="str">
        <f>IFERROR(_xlfn.XLOOKUP($AC175,'BuffValue&lt;Child&gt;'!$A:$A,'BuffValue&lt;Child&gt;'!$F:$F),"None")</f>
        <v>None</v>
      </c>
      <c r="AS175" s="45">
        <f>IFERROR(_xlfn.XLOOKUP($AC175,'BuffValue&lt;Child&gt;'!$A:$A,'BuffValue&lt;Child&gt;'!$K:$K),0)</f>
        <v>0</v>
      </c>
      <c r="AT175" s="43" t="str">
        <f>IFERROR(_xlfn.XLOOKUP(AG175,Target!$A:$A,Target!$B:$B),"None")</f>
        <v>None</v>
      </c>
      <c r="AU175" s="43" t="str">
        <f>IFERROR(_xlfn.XLOOKUP($AH175,'BuffValue&lt;Child&gt;'!$A:$A,'BuffValue&lt;Child&gt;'!$F:$F),"None")</f>
        <v>None</v>
      </c>
      <c r="AV175" s="43">
        <f>IFERROR(_xlfn.XLOOKUP($AH175,'BuffValue&lt;Child&gt;'!$A:$A,'BuffValue&lt;Child&gt;'!$K:$K),0)</f>
        <v>0</v>
      </c>
      <c r="AW175" s="43" t="str">
        <f>IFERROR(_xlfn.XLOOKUP(AL175,Target!$A:$A,Target!$B:$B),"None")</f>
        <v>None</v>
      </c>
      <c r="AX175" s="43" t="str">
        <f>IFERROR(_xlfn.XLOOKUP($AM175,'BuffValue&lt;Child&gt;'!$A:$A,'BuffValue&lt;Child&gt;'!$F:$F),"None")</f>
        <v>None</v>
      </c>
      <c r="AY175" s="43">
        <f>IFERROR(_xlfn.XLOOKUP($AM175,#REF!,#REF!),0)</f>
        <v>0</v>
      </c>
    </row>
    <row r="176" spans="1:51" x14ac:dyDescent="0.3">
      <c r="A176" s="1">
        <f>INT(3&amp;MID(_xlfn.XLOOKUP(B176,[2]Timeline!$B:$B,[2]Timeline!$A:$A),2,5)&amp;2)</f>
        <v>3304122</v>
      </c>
      <c r="B176" s="7" t="s">
        <v>161</v>
      </c>
      <c r="C176" s="7" t="s">
        <v>302</v>
      </c>
      <c r="D176" s="7" t="s">
        <v>346</v>
      </c>
      <c r="E176" s="1" t="str">
        <f t="shared" si="31"/>
        <v>skill_name_3304122</v>
      </c>
      <c r="F176" s="1" t="s">
        <v>117</v>
      </c>
      <c r="G176" s="1" t="s">
        <v>406</v>
      </c>
      <c r="H176" s="1" t="str">
        <f t="shared" si="32"/>
        <v>skill_desc_3304122</v>
      </c>
      <c r="I176" s="1" t="s">
        <v>205</v>
      </c>
      <c r="J176" s="1" t="str">
        <f>IFERROR(_xlfn.XLOOKUP(W176,Target!A:A,Target!J:J),"")</f>
        <v>Skill_Target_Icon_Enemy</v>
      </c>
      <c r="K176" s="1" t="s">
        <v>205</v>
      </c>
      <c r="L176" s="1" t="str">
        <f>IFERROR(_xlfn.XLOOKUP(W176,Target!A:A,Target!K:K),"")</f>
        <v>Skill_Area_Icon_NonTarget_All</v>
      </c>
      <c r="M176" s="1" t="str">
        <f>_xlfn.XLOOKUP(B176,'[2]Detail&lt;Child&gt;'!$B:$B,'[2]Detail&lt;Child&gt;'!$M:$M)</f>
        <v>Fire</v>
      </c>
      <c r="N176" s="1" t="str">
        <f>_xlfn.XLOOKUP(B176,'[2]Detail&lt;Child&gt;'!$B:$B,'[2]Detail&lt;Child&gt;'!$N:$N)</f>
        <v>Attacker</v>
      </c>
      <c r="O176" s="1" t="s">
        <v>140</v>
      </c>
      <c r="P176" s="33">
        <v>0</v>
      </c>
      <c r="Q176" s="68" t="str" cm="1">
        <f t="array" ref="Q176">_xlfn.IFS(R176="Move","Move",R176="NonTargetMove","Move",R176="Static","Stand",R176="None","Stand")</f>
        <v>Move</v>
      </c>
      <c r="R176" s="1" t="s">
        <v>153</v>
      </c>
      <c r="S176" s="1">
        <v>1</v>
      </c>
      <c r="T176" s="2" t="str">
        <f t="shared" si="26"/>
        <v>SignalHit</v>
      </c>
      <c r="U176" s="2" t="str" cm="1">
        <f t="array" ref="U176">_xlfn.IFS(T176="SignalHIt","TurnEnd",T176="AttackBegin","TurnEnd",T176="AttackEnd","TurnEnd",T176="Immediately","Applied",T176="None","None")</f>
        <v>TurnEnd</v>
      </c>
      <c r="V176" s="2">
        <v>0</v>
      </c>
      <c r="W176" s="1">
        <v>920001</v>
      </c>
      <c r="X176" s="8">
        <f>INT(A176&amp;1)</f>
        <v>33041221</v>
      </c>
      <c r="Y176" s="1" t="str">
        <f t="shared" si="27"/>
        <v>Immediately</v>
      </c>
      <c r="Z176" s="2" t="str" cm="1">
        <f t="array" ref="Z176">_xlfn.IFS(Y176="SignalHIt","TurnEnd",Y176="AttackBegin","TurnEnd",Y176="AttackEnd","TurnEnd",Y176="Immediately","Applied",Y176="None","None")</f>
        <v>Applied</v>
      </c>
      <c r="AA176" s="2">
        <v>0</v>
      </c>
      <c r="AB176" s="1">
        <v>0</v>
      </c>
      <c r="AC176" s="8">
        <v>0</v>
      </c>
      <c r="AD176" s="2" t="str">
        <f t="shared" si="28"/>
        <v>Immediately</v>
      </c>
      <c r="AE176" s="2" t="str" cm="1">
        <f t="array" ref="AE176">_xlfn.IFS(AD176="SignalHIt","TurnEnd",AD176="AttackBegin","TurnEnd",AD176="AttackEnd","TurnEnd",AD176="Immediately","Applied",AD176="None","None")</f>
        <v>Applied</v>
      </c>
      <c r="AF176" s="2">
        <v>0</v>
      </c>
      <c r="AG176" s="1">
        <v>0</v>
      </c>
      <c r="AH176" s="8">
        <v>0</v>
      </c>
      <c r="AI176" s="2" t="str">
        <f t="shared" si="29"/>
        <v>Immediately</v>
      </c>
      <c r="AJ176" s="2" t="str" cm="1">
        <f t="array" ref="AJ176">_xlfn.IFS(AI176="SignalHIt","TurnEnd",AI176="AttackBegin","TurnEnd",AI176="AttackEnd","TurnEnd",AI176="Immediately","Applied",AI176="None","None")</f>
        <v>Applied</v>
      </c>
      <c r="AK176" s="2">
        <v>0</v>
      </c>
      <c r="AL176" s="8">
        <v>0</v>
      </c>
      <c r="AM176" s="48">
        <v>0</v>
      </c>
      <c r="AN176" s="45" t="str">
        <f>IFERROR(_xlfn.XLOOKUP(W176,Target!$A:$A,Target!$B:$B),"None")</f>
        <v>논타겟 적 9칸</v>
      </c>
      <c r="AO176" s="43" t="str">
        <f>IFERROR(_xlfn.XLOOKUP($X176,'BuffValue&lt;Child&gt;'!$A:$A,'BuffValue&lt;Child&gt;'!$F:$F),"None")</f>
        <v>얼티밋 대미지</v>
      </c>
      <c r="AP176" s="43">
        <f>IFERROR(_xlfn.XLOOKUP($X176,'BuffValue&lt;Child&gt;'!$A:$A,'BuffValue&lt;Child&gt;'!$K:$K),0)</f>
        <v>130000</v>
      </c>
      <c r="AQ176" s="43" t="str">
        <f>IFERROR(_xlfn.XLOOKUP(AB176,Target!$A:$A,Target!$B:$B),"None")</f>
        <v>None</v>
      </c>
      <c r="AR176" s="45" t="str">
        <f>IFERROR(_xlfn.XLOOKUP($AC176,'BuffValue&lt;Child&gt;'!$A:$A,'BuffValue&lt;Child&gt;'!$F:$F),"None")</f>
        <v>None</v>
      </c>
      <c r="AS176" s="45">
        <f>IFERROR(_xlfn.XLOOKUP($AC176,'BuffValue&lt;Child&gt;'!$A:$A,'BuffValue&lt;Child&gt;'!$K:$K),0)</f>
        <v>0</v>
      </c>
      <c r="AT176" s="43" t="str">
        <f>IFERROR(_xlfn.XLOOKUP(AG176,Target!$A:$A,Target!$B:$B),"None")</f>
        <v>None</v>
      </c>
      <c r="AU176" s="43" t="str">
        <f>IFERROR(_xlfn.XLOOKUP($AH176,'BuffValue&lt;Child&gt;'!$A:$A,'BuffValue&lt;Child&gt;'!$F:$F),"None")</f>
        <v>None</v>
      </c>
      <c r="AV176" s="43">
        <f>IFERROR(_xlfn.XLOOKUP($AH176,'BuffValue&lt;Child&gt;'!$A:$A,'BuffValue&lt;Child&gt;'!$K:$K),0)</f>
        <v>0</v>
      </c>
      <c r="AW176" s="43" t="str">
        <f>IFERROR(_xlfn.XLOOKUP(AL176,Target!$A:$A,Target!$B:$B),"None")</f>
        <v>None</v>
      </c>
      <c r="AX176" s="43" t="str">
        <f>IFERROR(_xlfn.XLOOKUP($AM176,'BuffValue&lt;Child&gt;'!$A:$A,'BuffValue&lt;Child&gt;'!$F:$F),"None")</f>
        <v>None</v>
      </c>
      <c r="AY176" s="43">
        <f>IFERROR(_xlfn.XLOOKUP($AM176,#REF!,#REF!),0)</f>
        <v>0</v>
      </c>
    </row>
    <row r="177" spans="1:51" x14ac:dyDescent="0.3">
      <c r="A177" s="1">
        <f>INT(3&amp;MID(_xlfn.XLOOKUP(B177,[2]Timeline!$B:$B,[2]Timeline!$A:$A),2,5)&amp;3)</f>
        <v>3304123</v>
      </c>
      <c r="B177" s="7" t="s">
        <v>161</v>
      </c>
      <c r="C177" s="7" t="s">
        <v>302</v>
      </c>
      <c r="D177" s="7" t="s">
        <v>346</v>
      </c>
      <c r="E177" s="1" t="str">
        <f t="shared" si="31"/>
        <v>skill_name_3304123</v>
      </c>
      <c r="F177" s="1" t="s">
        <v>117</v>
      </c>
      <c r="G177" s="1" t="s">
        <v>406</v>
      </c>
      <c r="H177" s="1" t="str">
        <f t="shared" si="32"/>
        <v>skill_desc_3304123</v>
      </c>
      <c r="I177" s="1" t="s">
        <v>205</v>
      </c>
      <c r="J177" s="1" t="str">
        <f>IFERROR(_xlfn.XLOOKUP(W177,Target!A:A,Target!J:J),"")</f>
        <v>Skill_Target_Icon_Enemy</v>
      </c>
      <c r="K177" s="1" t="s">
        <v>205</v>
      </c>
      <c r="L177" s="1" t="str">
        <f>IFERROR(_xlfn.XLOOKUP(W177,Target!A:A,Target!K:K),"")</f>
        <v>Skill_Area_Icon_NonTarget_All</v>
      </c>
      <c r="M177" s="1" t="str">
        <f>_xlfn.XLOOKUP(B177,'[2]Detail&lt;Child&gt;'!$B:$B,'[2]Detail&lt;Child&gt;'!$M:$M)</f>
        <v>Fire</v>
      </c>
      <c r="N177" s="1" t="str">
        <f>_xlfn.XLOOKUP(B177,'[2]Detail&lt;Child&gt;'!$B:$B,'[2]Detail&lt;Child&gt;'!$N:$N)</f>
        <v>Attacker</v>
      </c>
      <c r="O177" s="1" t="s">
        <v>140</v>
      </c>
      <c r="P177" s="33">
        <v>0</v>
      </c>
      <c r="Q177" s="68" t="str" cm="1">
        <f t="array" ref="Q177">_xlfn.IFS(R177="Move","Move",R177="NonTargetMove","Move",R177="Static","Stand",R177="None","Stand")</f>
        <v>Move</v>
      </c>
      <c r="R177" s="1" t="s">
        <v>153</v>
      </c>
      <c r="S177" s="1">
        <v>1</v>
      </c>
      <c r="T177" s="2" t="str">
        <f t="shared" si="26"/>
        <v>SignalHit</v>
      </c>
      <c r="U177" s="2" t="str" cm="1">
        <f t="array" ref="U177">_xlfn.IFS(T177="SignalHIt","TurnEnd",T177="AttackBegin","TurnEnd",T177="AttackEnd","TurnEnd",T177="Immediately","Applied",T177="None","None")</f>
        <v>TurnEnd</v>
      </c>
      <c r="V177" s="2">
        <v>0</v>
      </c>
      <c r="W177" s="1">
        <v>920001</v>
      </c>
      <c r="X177" s="8">
        <f>INT(A177&amp;1)</f>
        <v>33041231</v>
      </c>
      <c r="Y177" s="1" t="str">
        <f t="shared" si="27"/>
        <v>Immediately</v>
      </c>
      <c r="Z177" s="2" t="str" cm="1">
        <f t="array" ref="Z177">_xlfn.IFS(Y177="SignalHIt","TurnEnd",Y177="AttackBegin","TurnEnd",Y177="AttackEnd","TurnEnd",Y177="Immediately","Applied",Y177="None","None")</f>
        <v>Applied</v>
      </c>
      <c r="AA177" s="2">
        <v>0</v>
      </c>
      <c r="AB177" s="1">
        <v>0</v>
      </c>
      <c r="AC177" s="8">
        <v>0</v>
      </c>
      <c r="AD177" s="2" t="str">
        <f t="shared" si="28"/>
        <v>Immediately</v>
      </c>
      <c r="AE177" s="2" t="str" cm="1">
        <f t="array" ref="AE177">_xlfn.IFS(AD177="SignalHIt","TurnEnd",AD177="AttackBegin","TurnEnd",AD177="AttackEnd","TurnEnd",AD177="Immediately","Applied",AD177="None","None")</f>
        <v>Applied</v>
      </c>
      <c r="AF177" s="2">
        <v>0</v>
      </c>
      <c r="AG177" s="1">
        <v>0</v>
      </c>
      <c r="AH177" s="8">
        <v>0</v>
      </c>
      <c r="AI177" s="2" t="str">
        <f t="shared" si="29"/>
        <v>Immediately</v>
      </c>
      <c r="AJ177" s="2" t="str" cm="1">
        <f t="array" ref="AJ177">_xlfn.IFS(AI177="SignalHIt","TurnEnd",AI177="AttackBegin","TurnEnd",AI177="AttackEnd","TurnEnd",AI177="Immediately","Applied",AI177="None","None")</f>
        <v>Applied</v>
      </c>
      <c r="AK177" s="2">
        <v>0</v>
      </c>
      <c r="AL177" s="8">
        <v>0</v>
      </c>
      <c r="AM177" s="48">
        <v>0</v>
      </c>
      <c r="AN177" s="45" t="str">
        <f>IFERROR(_xlfn.XLOOKUP(W177,Target!$A:$A,Target!$B:$B),"None")</f>
        <v>논타겟 적 9칸</v>
      </c>
      <c r="AO177" s="43" t="str">
        <f>IFERROR(_xlfn.XLOOKUP($X177,'BuffValue&lt;Child&gt;'!$A:$A,'BuffValue&lt;Child&gt;'!$F:$F),"None")</f>
        <v>얼티밋 대미지</v>
      </c>
      <c r="AP177" s="43">
        <f>IFERROR(_xlfn.XLOOKUP($X177,'BuffValue&lt;Child&gt;'!$A:$A,'BuffValue&lt;Child&gt;'!$K:$K),0)</f>
        <v>130000</v>
      </c>
      <c r="AQ177" s="43" t="str">
        <f>IFERROR(_xlfn.XLOOKUP(AB177,Target!$A:$A,Target!$B:$B),"None")</f>
        <v>None</v>
      </c>
      <c r="AR177" s="45" t="str">
        <f>IFERROR(_xlfn.XLOOKUP($AC177,'BuffValue&lt;Child&gt;'!$A:$A,'BuffValue&lt;Child&gt;'!$F:$F),"None")</f>
        <v>None</v>
      </c>
      <c r="AS177" s="45">
        <f>IFERROR(_xlfn.XLOOKUP($AC177,'BuffValue&lt;Child&gt;'!$A:$A,'BuffValue&lt;Child&gt;'!$K:$K),0)</f>
        <v>0</v>
      </c>
      <c r="AT177" s="43" t="str">
        <f>IFERROR(_xlfn.XLOOKUP(AG177,Target!$A:$A,Target!$B:$B),"None")</f>
        <v>None</v>
      </c>
      <c r="AU177" s="43" t="str">
        <f>IFERROR(_xlfn.XLOOKUP($AH177,'BuffValue&lt;Child&gt;'!$A:$A,'BuffValue&lt;Child&gt;'!$F:$F),"None")</f>
        <v>None</v>
      </c>
      <c r="AV177" s="43">
        <f>IFERROR(_xlfn.XLOOKUP($AH177,'BuffValue&lt;Child&gt;'!$A:$A,'BuffValue&lt;Child&gt;'!$K:$K),0)</f>
        <v>0</v>
      </c>
      <c r="AW177" s="43" t="str">
        <f>IFERROR(_xlfn.XLOOKUP(AL177,Target!$A:$A,Target!$B:$B),"None")</f>
        <v>None</v>
      </c>
      <c r="AX177" s="43" t="str">
        <f>IFERROR(_xlfn.XLOOKUP($AM177,'BuffValue&lt;Child&gt;'!$A:$A,'BuffValue&lt;Child&gt;'!$F:$F),"None")</f>
        <v>None</v>
      </c>
      <c r="AY177" s="43">
        <f>IFERROR(_xlfn.XLOOKUP($AM177,#REF!,#REF!),0)</f>
        <v>0</v>
      </c>
    </row>
    <row r="178" spans="1:51" x14ac:dyDescent="0.3">
      <c r="A178" s="1">
        <f>INT(4&amp;MID(_xlfn.XLOOKUP(B178,[2]Timeline!$B:$B,[2]Timeline!$A:$A),2,5)&amp;1)</f>
        <v>4304121</v>
      </c>
      <c r="B178" s="7" t="s">
        <v>161</v>
      </c>
      <c r="C178" s="7" t="s">
        <v>122</v>
      </c>
      <c r="D178" s="7" t="s">
        <v>560</v>
      </c>
      <c r="E178" s="1" t="str">
        <f t="shared" si="31"/>
        <v>skill_name_4304121</v>
      </c>
      <c r="F178" s="1" t="s">
        <v>117</v>
      </c>
      <c r="G178" s="1" t="s">
        <v>433</v>
      </c>
      <c r="H178" s="1" t="str">
        <f t="shared" si="32"/>
        <v>skill_desc_4304121</v>
      </c>
      <c r="I178" s="1" t="s">
        <v>205</v>
      </c>
      <c r="J178" s="1" t="str">
        <f>IFERROR(_xlfn.XLOOKUP(W178,Target!A:A,Target!J:J),"")</f>
        <v>Skill_Target_Icon_Mine</v>
      </c>
      <c r="K178" s="1" t="s">
        <v>205</v>
      </c>
      <c r="L178" s="1" t="str">
        <f>IFERROR(_xlfn.XLOOKUP(W178,Target!A:A,Target!K:K),"")</f>
        <v>Skill_Area_Icon_Pivot_Centor</v>
      </c>
      <c r="M178" s="1" t="str">
        <f>_xlfn.XLOOKUP(B178,'[2]Detail&lt;Child&gt;'!$B:$B,'[2]Detail&lt;Child&gt;'!$M:$M)</f>
        <v>Fire</v>
      </c>
      <c r="N178" s="1" t="str">
        <f>_xlfn.XLOOKUP(B178,'[2]Detail&lt;Child&gt;'!$B:$B,'[2]Detail&lt;Child&gt;'!$N:$N)</f>
        <v>Attacker</v>
      </c>
      <c r="O178" s="1" t="s">
        <v>167</v>
      </c>
      <c r="P178" s="33">
        <v>0</v>
      </c>
      <c r="Q178" s="68" t="str" cm="1">
        <f t="array" ref="Q178">_xlfn.IFS(R178="Move","Move",R178="NonTargetMove","Move",R178="Static","Stand",R178="None","Stand")</f>
        <v>Stand</v>
      </c>
      <c r="R178" s="1" t="s">
        <v>136</v>
      </c>
      <c r="S178" s="1">
        <f>IF(R178="Static",0,1)</f>
        <v>0</v>
      </c>
      <c r="T178" s="2" t="str">
        <f t="shared" si="26"/>
        <v>Immediately</v>
      </c>
      <c r="U178" s="2" t="str" cm="1">
        <f t="array" ref="U178">_xlfn.IFS(T178="SignalHIt","TurnEnd",T178="AttackBegin","TurnEnd",T178="AttackEnd","TurnEnd",T178="Immediately","Applied",T178="None","None")</f>
        <v>Applied</v>
      </c>
      <c r="V178" s="2">
        <v>0</v>
      </c>
      <c r="W178" s="1">
        <v>1</v>
      </c>
      <c r="X178" s="8">
        <f>INT(A178&amp;1)</f>
        <v>43041211</v>
      </c>
      <c r="Y178" s="1" t="str">
        <f t="shared" si="27"/>
        <v>Immediately</v>
      </c>
      <c r="Z178" s="2" t="str" cm="1">
        <f t="array" ref="Z178">_xlfn.IFS(Y178="SignalHIt","TurnEnd",Y178="AttackBegin","TurnEnd",Y178="AttackEnd","TurnEnd",Y178="Immediately","Applied",Y178="None","None")</f>
        <v>Applied</v>
      </c>
      <c r="AA178" s="2">
        <v>0</v>
      </c>
      <c r="AB178" s="1">
        <v>0</v>
      </c>
      <c r="AC178" s="8">
        <v>0</v>
      </c>
      <c r="AD178" s="2" t="str">
        <f t="shared" si="28"/>
        <v>Immediately</v>
      </c>
      <c r="AE178" s="2" t="str" cm="1">
        <f t="array" ref="AE178">_xlfn.IFS(AD178="SignalHIt","TurnEnd",AD178="AttackBegin","TurnEnd",AD178="AttackEnd","TurnEnd",AD178="Immediately","Applied",AD178="None","None")</f>
        <v>Applied</v>
      </c>
      <c r="AF178" s="2">
        <v>0</v>
      </c>
      <c r="AG178" s="1">
        <v>0</v>
      </c>
      <c r="AH178" s="8">
        <v>0</v>
      </c>
      <c r="AI178" s="2" t="str">
        <f t="shared" si="29"/>
        <v>Immediately</v>
      </c>
      <c r="AJ178" s="2" t="str" cm="1">
        <f t="array" ref="AJ178">_xlfn.IFS(AI178="SignalHIt","TurnEnd",AI178="AttackBegin","TurnEnd",AI178="AttackEnd","TurnEnd",AI178="Immediately","Applied",AI178="None","None")</f>
        <v>Applied</v>
      </c>
      <c r="AK178" s="2">
        <v>0</v>
      </c>
      <c r="AL178" s="8">
        <v>0</v>
      </c>
      <c r="AM178" s="48">
        <v>0</v>
      </c>
      <c r="AN178" s="45" t="str">
        <f>IFERROR(_xlfn.XLOOKUP(W178,Target!$A:$A,Target!$B:$B),"None")</f>
        <v xml:space="preserve"> 자신 1명 </v>
      </c>
      <c r="AO178" s="43" t="str">
        <f>IFERROR(_xlfn.XLOOKUP($X178,'BuffValue&lt;Child&gt;'!$A:$A,'BuffValue&lt;Child&gt;'!$F:$F),"None")</f>
        <v>카인 패시브 체력낮을수록 얼티밋 증가</v>
      </c>
      <c r="AP178" s="43">
        <f>IFERROR(_xlfn.XLOOKUP($X178,'BuffValue&lt;Child&gt;'!$A:$A,'BuffValue&lt;Child&gt;'!$K:$K),0)</f>
        <v>1000</v>
      </c>
      <c r="AQ178" s="43" t="str">
        <f>IFERROR(_xlfn.XLOOKUP(AB178,Target!$A:$A,Target!$B:$B),"None")</f>
        <v>None</v>
      </c>
      <c r="AR178" s="45" t="str">
        <f>IFERROR(_xlfn.XLOOKUP($AC178,'BuffValue&lt;Child&gt;'!$A:$A,'BuffValue&lt;Child&gt;'!$F:$F),"None")</f>
        <v>None</v>
      </c>
      <c r="AS178" s="45">
        <f>IFERROR(_xlfn.XLOOKUP($AC178,'BuffValue&lt;Child&gt;'!$A:$A,'BuffValue&lt;Child&gt;'!$K:$K),0)</f>
        <v>0</v>
      </c>
      <c r="AT178" s="43" t="str">
        <f>IFERROR(_xlfn.XLOOKUP(AG178,Target!$A:$A,Target!$B:$B),"None")</f>
        <v>None</v>
      </c>
      <c r="AU178" s="43" t="str">
        <f>IFERROR(_xlfn.XLOOKUP($AH178,'BuffValue&lt;Child&gt;'!$A:$A,'BuffValue&lt;Child&gt;'!$F:$F),"None")</f>
        <v>None</v>
      </c>
      <c r="AV178" s="43">
        <f>IFERROR(_xlfn.XLOOKUP($AH178,'BuffValue&lt;Child&gt;'!$A:$A,'BuffValue&lt;Child&gt;'!$K:$K),0)</f>
        <v>0</v>
      </c>
      <c r="AW178" s="43" t="str">
        <f>IFERROR(_xlfn.XLOOKUP(AL178,Target!$A:$A,Target!$B:$B),"None")</f>
        <v>None</v>
      </c>
      <c r="AX178" s="43" t="str">
        <f>IFERROR(_xlfn.XLOOKUP($AM178,'BuffValue&lt;Child&gt;'!$A:$A,'BuffValue&lt;Child&gt;'!$F:$F),"None")</f>
        <v>None</v>
      </c>
      <c r="AY178" s="43">
        <f>IFERROR(_xlfn.XLOOKUP($AM178,#REF!,#REF!),0)</f>
        <v>0</v>
      </c>
    </row>
    <row r="179" spans="1:51" x14ac:dyDescent="0.3">
      <c r="A179" s="1">
        <f>INT(4&amp;MID(_xlfn.XLOOKUP(B179,[2]Timeline!$B:$B,[2]Timeline!$A:$A),2,5)&amp;2)</f>
        <v>4304122</v>
      </c>
      <c r="B179" s="7" t="s">
        <v>161</v>
      </c>
      <c r="C179" s="7" t="s">
        <v>122</v>
      </c>
      <c r="D179" s="7" t="s">
        <v>560</v>
      </c>
      <c r="E179" s="1" t="str">
        <f t="shared" si="31"/>
        <v>skill_name_4304122</v>
      </c>
      <c r="F179" s="1" t="s">
        <v>117</v>
      </c>
      <c r="G179" s="1" t="s">
        <v>433</v>
      </c>
      <c r="H179" s="1" t="str">
        <f t="shared" si="32"/>
        <v>skill_desc_4304122</v>
      </c>
      <c r="I179" s="1" t="s">
        <v>205</v>
      </c>
      <c r="J179" s="1" t="str">
        <f>IFERROR(_xlfn.XLOOKUP(W179,Target!A:A,Target!J:J),"")</f>
        <v>Skill_Target_Icon_Mine</v>
      </c>
      <c r="K179" s="1" t="s">
        <v>205</v>
      </c>
      <c r="L179" s="1" t="str">
        <f>IFERROR(_xlfn.XLOOKUP(W179,Target!A:A,Target!K:K),"")</f>
        <v>Skill_Area_Icon_Pivot_Centor</v>
      </c>
      <c r="M179" s="1" t="str">
        <f>_xlfn.XLOOKUP(B179,'[2]Detail&lt;Child&gt;'!$B:$B,'[2]Detail&lt;Child&gt;'!$M:$M)</f>
        <v>Fire</v>
      </c>
      <c r="N179" s="1" t="str">
        <f>_xlfn.XLOOKUP(B179,'[2]Detail&lt;Child&gt;'!$B:$B,'[2]Detail&lt;Child&gt;'!$N:$N)</f>
        <v>Attacker</v>
      </c>
      <c r="O179" s="1" t="s">
        <v>167</v>
      </c>
      <c r="P179" s="33">
        <v>0</v>
      </c>
      <c r="Q179" s="68" t="str" cm="1">
        <f t="array" ref="Q179">_xlfn.IFS(R179="Move","Move",R179="NonTargetMove","Move",R179="Static","Stand",R179="None","Stand")</f>
        <v>Stand</v>
      </c>
      <c r="R179" s="1" t="s">
        <v>136</v>
      </c>
      <c r="S179" s="1">
        <f>IF(R179="Static",0,1)</f>
        <v>0</v>
      </c>
      <c r="T179" s="2" t="str">
        <f t="shared" si="26"/>
        <v>Immediately</v>
      </c>
      <c r="U179" s="2" t="str" cm="1">
        <f t="array" ref="U179">_xlfn.IFS(T179="SignalHIt","TurnEnd",T179="AttackBegin","TurnEnd",T179="AttackEnd","TurnEnd",T179="Immediately","Applied",T179="None","None")</f>
        <v>Applied</v>
      </c>
      <c r="V179" s="2">
        <v>0</v>
      </c>
      <c r="W179" s="1">
        <v>1</v>
      </c>
      <c r="X179" s="8">
        <f>INT(A179&amp;1)</f>
        <v>43041221</v>
      </c>
      <c r="Y179" s="1" t="str">
        <f t="shared" si="27"/>
        <v>Immediately</v>
      </c>
      <c r="Z179" s="2" t="str" cm="1">
        <f t="array" ref="Z179">_xlfn.IFS(Y179="SignalHIt","TurnEnd",Y179="AttackBegin","TurnEnd",Y179="AttackEnd","TurnEnd",Y179="Immediately","Applied",Y179="None","None")</f>
        <v>Applied</v>
      </c>
      <c r="AA179" s="2">
        <v>0</v>
      </c>
      <c r="AB179" s="1">
        <v>0</v>
      </c>
      <c r="AC179" s="8">
        <v>0</v>
      </c>
      <c r="AD179" s="2" t="str">
        <f t="shared" si="28"/>
        <v>Immediately</v>
      </c>
      <c r="AE179" s="2" t="str" cm="1">
        <f t="array" ref="AE179">_xlfn.IFS(AD179="SignalHIt","TurnEnd",AD179="AttackBegin","TurnEnd",AD179="AttackEnd","TurnEnd",AD179="Immediately","Applied",AD179="None","None")</f>
        <v>Applied</v>
      </c>
      <c r="AF179" s="2">
        <v>0</v>
      </c>
      <c r="AG179" s="1">
        <v>0</v>
      </c>
      <c r="AH179" s="8">
        <v>0</v>
      </c>
      <c r="AI179" s="2" t="str">
        <f t="shared" si="29"/>
        <v>Immediately</v>
      </c>
      <c r="AJ179" s="2" t="str" cm="1">
        <f t="array" ref="AJ179">_xlfn.IFS(AI179="SignalHIt","TurnEnd",AI179="AttackBegin","TurnEnd",AI179="AttackEnd","TurnEnd",AI179="Immediately","Applied",AI179="None","None")</f>
        <v>Applied</v>
      </c>
      <c r="AK179" s="2">
        <v>0</v>
      </c>
      <c r="AL179" s="8">
        <v>0</v>
      </c>
      <c r="AM179" s="48">
        <v>0</v>
      </c>
      <c r="AN179" s="45" t="str">
        <f>IFERROR(_xlfn.XLOOKUP(W179,Target!$A:$A,Target!$B:$B),"None")</f>
        <v xml:space="preserve"> 자신 1명 </v>
      </c>
      <c r="AO179" s="43" t="str">
        <f>IFERROR(_xlfn.XLOOKUP($X179,'BuffValue&lt;Child&gt;'!$A:$A,'BuffValue&lt;Child&gt;'!$F:$F),"None")</f>
        <v>카인 패시브 체력낮을수록 얼티밋 증가</v>
      </c>
      <c r="AP179" s="43">
        <f>IFERROR(_xlfn.XLOOKUP($X179,'BuffValue&lt;Child&gt;'!$A:$A,'BuffValue&lt;Child&gt;'!$K:$K),0)</f>
        <v>1000</v>
      </c>
      <c r="AQ179" s="43" t="str">
        <f>IFERROR(_xlfn.XLOOKUP(AB179,Target!$A:$A,Target!$B:$B),"None")</f>
        <v>None</v>
      </c>
      <c r="AR179" s="45" t="str">
        <f>IFERROR(_xlfn.XLOOKUP($AC179,'BuffValue&lt;Child&gt;'!$A:$A,'BuffValue&lt;Child&gt;'!$F:$F),"None")</f>
        <v>None</v>
      </c>
      <c r="AS179" s="45">
        <f>IFERROR(_xlfn.XLOOKUP($AC179,'BuffValue&lt;Child&gt;'!$A:$A,'BuffValue&lt;Child&gt;'!$K:$K),0)</f>
        <v>0</v>
      </c>
      <c r="AT179" s="43" t="str">
        <f>IFERROR(_xlfn.XLOOKUP(AG179,Target!$A:$A,Target!$B:$B),"None")</f>
        <v>None</v>
      </c>
      <c r="AU179" s="43" t="str">
        <f>IFERROR(_xlfn.XLOOKUP($AH179,'BuffValue&lt;Child&gt;'!$A:$A,'BuffValue&lt;Child&gt;'!$F:$F),"None")</f>
        <v>None</v>
      </c>
      <c r="AV179" s="43">
        <f>IFERROR(_xlfn.XLOOKUP($AH179,'BuffValue&lt;Child&gt;'!$A:$A,'BuffValue&lt;Child&gt;'!$K:$K),0)</f>
        <v>0</v>
      </c>
      <c r="AW179" s="43" t="str">
        <f>IFERROR(_xlfn.XLOOKUP(AL179,Target!$A:$A,Target!$B:$B),"None")</f>
        <v>None</v>
      </c>
      <c r="AX179" s="43" t="str">
        <f>IFERROR(_xlfn.XLOOKUP($AM179,'BuffValue&lt;Child&gt;'!$A:$A,'BuffValue&lt;Child&gt;'!$F:$F),"None")</f>
        <v>None</v>
      </c>
      <c r="AY179" s="43">
        <f>IFERROR(_xlfn.XLOOKUP($AM179,#REF!,#REF!),0)</f>
        <v>0</v>
      </c>
    </row>
    <row r="180" spans="1:51" s="11" customFormat="1" x14ac:dyDescent="0.3">
      <c r="A180" s="11">
        <f>INT(1&amp;MID(_xlfn.XLOOKUP(B180,[2]Timeline!$B:$B,[2]Timeline!$A:$A),2,5)&amp;1)</f>
        <v>1304861</v>
      </c>
      <c r="B180" s="12" t="s">
        <v>149</v>
      </c>
      <c r="C180" s="12" t="s">
        <v>288</v>
      </c>
      <c r="D180" s="12" t="s">
        <v>341</v>
      </c>
      <c r="E180" s="11" t="str">
        <f t="shared" si="31"/>
        <v>skill_name_1304861</v>
      </c>
      <c r="F180" s="11" t="s">
        <v>117</v>
      </c>
      <c r="G180" s="11" t="s">
        <v>459</v>
      </c>
      <c r="H180" s="11" t="str">
        <f t="shared" si="32"/>
        <v>skill_desc_1304861</v>
      </c>
      <c r="I180" s="11" t="s">
        <v>205</v>
      </c>
      <c r="J180" s="11" t="str">
        <f>IFERROR(_xlfn.XLOOKUP(W180,Target!A:A,Target!J:J),"")</f>
        <v>Skill_Target_Icon_Enemy_Near_One</v>
      </c>
      <c r="K180" s="11" t="s">
        <v>205</v>
      </c>
      <c r="L180" s="11" t="str">
        <f>IFERROR(_xlfn.XLOOKUP(W180,Target!A:A,Target!K:K),"")</f>
        <v>Skill_Area_Icon_Pivot_Centor</v>
      </c>
      <c r="M180" s="11" t="str">
        <f>_xlfn.XLOOKUP(B180,'[2]Detail&lt;Child&gt;'!$B:$B,'[2]Detail&lt;Child&gt;'!$M:$M)</f>
        <v>Dark</v>
      </c>
      <c r="N180" s="11" t="str">
        <f>_xlfn.XLOOKUP(B180,'[2]Detail&lt;Child&gt;'!$B:$B,'[2]Detail&lt;Child&gt;'!$N:$N)</f>
        <v>Attacker</v>
      </c>
      <c r="O180" s="11" t="s">
        <v>30</v>
      </c>
      <c r="P180" s="34">
        <v>0</v>
      </c>
      <c r="Q180" s="69" t="str" cm="1">
        <f t="array" ref="Q180">_xlfn.IFS(R180="Move","Move",R180="NonTargetMove","Move",R180="Static","Stand",R180="None","Stand")</f>
        <v>Move</v>
      </c>
      <c r="R180" s="11" t="s">
        <v>144</v>
      </c>
      <c r="S180" s="11">
        <v>2</v>
      </c>
      <c r="T180" s="15" t="str">
        <f t="shared" si="26"/>
        <v>SignalHit</v>
      </c>
      <c r="U180" s="15" t="str" cm="1">
        <f t="array" ref="U180">_xlfn.IFS(T180="SignalHIt","TurnEnd",T180="AttackBegin","TurnEnd",T180="AttackEnd","TurnEnd",T180="Immediately","Applied",T180="None","None")</f>
        <v>TurnEnd</v>
      </c>
      <c r="V180" s="15">
        <v>0</v>
      </c>
      <c r="W180" s="11">
        <v>2000011</v>
      </c>
      <c r="X180" s="10">
        <v>13048611</v>
      </c>
      <c r="Y180" s="11" t="str">
        <f t="shared" si="27"/>
        <v>Immediately</v>
      </c>
      <c r="Z180" s="15" t="str" cm="1">
        <f t="array" ref="Z180">_xlfn.IFS(Y180="SignalHIt","TurnEnd",Y180="AttackBegin","TurnEnd",Y180="AttackEnd","TurnEnd",Y180="Immediately","Applied",Y180="None","None")</f>
        <v>Applied</v>
      </c>
      <c r="AA180" s="15">
        <v>0</v>
      </c>
      <c r="AB180" s="11">
        <v>0</v>
      </c>
      <c r="AC180" s="10">
        <v>0</v>
      </c>
      <c r="AD180" s="15" t="str">
        <f t="shared" si="28"/>
        <v>Immediately</v>
      </c>
      <c r="AE180" s="15" t="str" cm="1">
        <f t="array" ref="AE180">_xlfn.IFS(AD180="SignalHIt","TurnEnd",AD180="AttackBegin","TurnEnd",AD180="AttackEnd","TurnEnd",AD180="Immediately","Applied",AD180="None","None")</f>
        <v>Applied</v>
      </c>
      <c r="AF180" s="15">
        <v>0</v>
      </c>
      <c r="AG180" s="11">
        <v>0</v>
      </c>
      <c r="AH180" s="10">
        <v>0</v>
      </c>
      <c r="AI180" s="15" t="str">
        <f t="shared" si="29"/>
        <v>Immediately</v>
      </c>
      <c r="AJ180" s="15" t="str" cm="1">
        <f t="array" ref="AJ180">_xlfn.IFS(AI180="SignalHIt","TurnEnd",AI180="AttackBegin","TurnEnd",AI180="AttackEnd","TurnEnd",AI180="Immediately","Applied",AI180="None","None")</f>
        <v>Applied</v>
      </c>
      <c r="AK180" s="15">
        <v>0</v>
      </c>
      <c r="AL180" s="10">
        <v>0</v>
      </c>
      <c r="AM180" s="50">
        <v>0</v>
      </c>
      <c r="AN180" s="46" t="str">
        <f>IFERROR(_xlfn.XLOOKUP(W180,Target!$A:$A,Target!$B:$B),"None")</f>
        <v xml:space="preserve">가까운 적 1명 </v>
      </c>
      <c r="AO180" s="47" t="str">
        <f>IFERROR(_xlfn.XLOOKUP($X180,'BuffValue&lt;Child&gt;'!$A:$A,'BuffValue&lt;Child&gt;'!$F:$F),"None")</f>
        <v>공용 대미지</v>
      </c>
      <c r="AP180" s="47">
        <f>IFERROR(_xlfn.XLOOKUP($X180,'BuffValue&lt;Child&gt;'!$A:$A,'BuffValue&lt;Child&gt;'!$K:$K),0)</f>
        <v>295000</v>
      </c>
      <c r="AQ180" s="47" t="str">
        <f>IFERROR(_xlfn.XLOOKUP(AB180,Target!$A:$A,Target!$B:$B),"None")</f>
        <v>None</v>
      </c>
      <c r="AR180" s="46" t="str">
        <f>IFERROR(_xlfn.XLOOKUP($AC180,'BuffValue&lt;Child&gt;'!$A:$A,'BuffValue&lt;Child&gt;'!$F:$F),"None")</f>
        <v>None</v>
      </c>
      <c r="AS180" s="46">
        <f>IFERROR(_xlfn.XLOOKUP($AC180,'BuffValue&lt;Child&gt;'!$A:$A,'BuffValue&lt;Child&gt;'!$K:$K),0)</f>
        <v>0</v>
      </c>
      <c r="AT180" s="47" t="str">
        <f>IFERROR(_xlfn.XLOOKUP(AG180,Target!$A:$A,Target!$B:$B),"None")</f>
        <v>None</v>
      </c>
      <c r="AU180" s="47" t="str">
        <f>IFERROR(_xlfn.XLOOKUP($AH180,'BuffValue&lt;Child&gt;'!$A:$A,'BuffValue&lt;Child&gt;'!$F:$F),"None")</f>
        <v>None</v>
      </c>
      <c r="AV180" s="47">
        <f>IFERROR(_xlfn.XLOOKUP($AH180,'BuffValue&lt;Child&gt;'!$A:$A,'BuffValue&lt;Child&gt;'!$K:$K),0)</f>
        <v>0</v>
      </c>
      <c r="AW180" s="47" t="str">
        <f>IFERROR(_xlfn.XLOOKUP(AL180,Target!$A:$A,Target!$B:$B),"None")</f>
        <v>None</v>
      </c>
      <c r="AX180" s="47" t="str">
        <f>IFERROR(_xlfn.XLOOKUP($AM180,'BuffValue&lt;Child&gt;'!$A:$A,'BuffValue&lt;Child&gt;'!$F:$F),"None")</f>
        <v>None</v>
      </c>
      <c r="AY180" s="47">
        <f>IFERROR(_xlfn.XLOOKUP($AM180,#REF!,#REF!),0)</f>
        <v>0</v>
      </c>
    </row>
    <row r="181" spans="1:51" x14ac:dyDescent="0.3">
      <c r="A181" s="1">
        <f>INT(2&amp;MID(_xlfn.XLOOKUP(B181,[2]Timeline!$B:$B,[2]Timeline!$A:$A),2,5)&amp;1)</f>
        <v>2304861</v>
      </c>
      <c r="B181" s="7" t="s">
        <v>148</v>
      </c>
      <c r="C181" s="7" t="s">
        <v>289</v>
      </c>
      <c r="D181" s="7" t="s">
        <v>568</v>
      </c>
      <c r="E181" s="1" t="str">
        <f t="shared" si="31"/>
        <v>skill_name_2304861</v>
      </c>
      <c r="F181" s="1" t="s">
        <v>117</v>
      </c>
      <c r="G181" s="1" t="s">
        <v>458</v>
      </c>
      <c r="H181" s="1" t="str">
        <f t="shared" si="32"/>
        <v>skill_desc_2304861</v>
      </c>
      <c r="I181" s="1" t="s">
        <v>205</v>
      </c>
      <c r="J181" s="1" t="str">
        <f>IFERROR(_xlfn.XLOOKUP(W181,Target!A:A,Target!J:J),"")</f>
        <v>Skill_Target_Icon_Enemy</v>
      </c>
      <c r="K181" s="1" t="s">
        <v>205</v>
      </c>
      <c r="L181" s="1" t="str">
        <f>IFERROR(_xlfn.XLOOKUP(W181,Target!A:A,Target!K:K),"")</f>
        <v>Skill_Area_Icon_NonTarget_All</v>
      </c>
      <c r="M181" s="1" t="str">
        <f>_xlfn.XLOOKUP(B181,'[2]Detail&lt;Child&gt;'!$B:$B,'[2]Detail&lt;Child&gt;'!$M:$M)</f>
        <v>Dark</v>
      </c>
      <c r="N181" s="1" t="str">
        <f>_xlfn.XLOOKUP(B181,'[2]Detail&lt;Child&gt;'!$B:$B,'[2]Detail&lt;Child&gt;'!$N:$N)</f>
        <v>Attacker</v>
      </c>
      <c r="O181" s="1" t="s">
        <v>33</v>
      </c>
      <c r="P181" s="33">
        <v>3</v>
      </c>
      <c r="Q181" s="68" t="str" cm="1">
        <f t="array" ref="Q181">_xlfn.IFS(R181="Move","Move",R181="NonTargetMove","Move",R181="Static","Stand",R181="None","Stand")</f>
        <v>Move</v>
      </c>
      <c r="R181" s="1" t="s">
        <v>153</v>
      </c>
      <c r="S181" s="1">
        <v>1</v>
      </c>
      <c r="T181" s="2" t="str">
        <f t="shared" si="26"/>
        <v>SignalHit</v>
      </c>
      <c r="U181" s="2" t="str" cm="1">
        <f t="array" ref="U181">_xlfn.IFS(T181="SignalHIt","TurnEnd",T181="AttackBegin","TurnEnd",T181="AttackEnd","TurnEnd",T181="Immediately","Applied",T181="None","None")</f>
        <v>TurnEnd</v>
      </c>
      <c r="V181" s="2">
        <v>0</v>
      </c>
      <c r="W181" s="1">
        <v>920001</v>
      </c>
      <c r="X181" s="8">
        <v>23048611</v>
      </c>
      <c r="Y181" s="1" t="str">
        <f t="shared" si="27"/>
        <v>Immediately</v>
      </c>
      <c r="Z181" s="2" t="str" cm="1">
        <f t="array" ref="Z181">_xlfn.IFS(Y181="SignalHIt","TurnEnd",Y181="AttackBegin","TurnEnd",Y181="AttackEnd","TurnEnd",Y181="Immediately","Applied",Y181="None","None")</f>
        <v>Applied</v>
      </c>
      <c r="AA181" s="2">
        <v>0</v>
      </c>
      <c r="AB181" s="1">
        <v>0</v>
      </c>
      <c r="AC181" s="8">
        <v>0</v>
      </c>
      <c r="AD181" s="2" t="str">
        <f t="shared" si="28"/>
        <v>AttackEnd</v>
      </c>
      <c r="AE181" s="2" t="str" cm="1">
        <f t="array" ref="AE181">_xlfn.IFS(AD181="SignalHIt","TurnEnd",AD181="AttackBegin","TurnEnd",AD181="AttackEnd","TurnEnd",AD181="Immediately","Applied",AD181="None","None")</f>
        <v>TurnEnd</v>
      </c>
      <c r="AF181" s="2">
        <v>0</v>
      </c>
      <c r="AG181" s="1">
        <v>1</v>
      </c>
      <c r="AH181" s="8">
        <f>X181+1</f>
        <v>23048612</v>
      </c>
      <c r="AI181" s="2" t="str">
        <f t="shared" si="29"/>
        <v>Immediately</v>
      </c>
      <c r="AJ181" s="2" t="str" cm="1">
        <f t="array" ref="AJ181">_xlfn.IFS(AI181="SignalHIt","TurnEnd",AI181="AttackBegin","TurnEnd",AI181="AttackEnd","TurnEnd",AI181="Immediately","Applied",AI181="None","None")</f>
        <v>Applied</v>
      </c>
      <c r="AK181" s="2">
        <v>0</v>
      </c>
      <c r="AL181" s="8">
        <v>0</v>
      </c>
      <c r="AM181" s="48">
        <v>0</v>
      </c>
      <c r="AN181" s="45" t="str">
        <f>IFERROR(_xlfn.XLOOKUP(W181,Target!$A:$A,Target!$B:$B),"None")</f>
        <v>논타겟 적 9칸</v>
      </c>
      <c r="AO181" s="43" t="str">
        <f>IFERROR(_xlfn.XLOOKUP($X181,'BuffValue&lt;Child&gt;'!$A:$A,'BuffValue&lt;Child&gt;'!$F:$F),"None")</f>
        <v>액티브 대미지</v>
      </c>
      <c r="AP181" s="43">
        <f>IFERROR(_xlfn.XLOOKUP($X181,'BuffValue&lt;Child&gt;'!$A:$A,'BuffValue&lt;Child&gt;'!$K:$K),0)</f>
        <v>22000</v>
      </c>
      <c r="AQ181" s="43" t="str">
        <f>IFERROR(_xlfn.XLOOKUP(AB181,Target!$A:$A,Target!$B:$B),"None")</f>
        <v>None</v>
      </c>
      <c r="AR181" s="45" t="str">
        <f>IFERROR(_xlfn.XLOOKUP($AC181,'BuffValue&lt;Child&gt;'!$A:$A,'BuffValue&lt;Child&gt;'!$F:$F),"None")</f>
        <v>None</v>
      </c>
      <c r="AS181" s="45">
        <f>IFERROR(_xlfn.XLOOKUP($AC181,'BuffValue&lt;Child&gt;'!$A:$A,'BuffValue&lt;Child&gt;'!$K:$K),0)</f>
        <v>0</v>
      </c>
      <c r="AT181" s="43" t="str">
        <f>IFERROR(_xlfn.XLOOKUP(AG181,Target!$A:$A,Target!$B:$B),"None")</f>
        <v xml:space="preserve"> 자신 1명 </v>
      </c>
      <c r="AU181" s="43" t="str">
        <f>IFERROR(_xlfn.XLOOKUP($AH181,'BuffValue&lt;Child&gt;'!$A:$A,'BuffValue&lt;Child&gt;'!$F:$F),"None")</f>
        <v>쿠바바 피해량 증가</v>
      </c>
      <c r="AV181" s="43">
        <f>IFERROR(_xlfn.XLOOKUP($AH181,'BuffValue&lt;Child&gt;'!$A:$A,'BuffValue&lt;Child&gt;'!$K:$K),0)</f>
        <v>9100101</v>
      </c>
      <c r="AW181" s="43" t="str">
        <f>IFERROR(_xlfn.XLOOKUP(AL181,Target!$A:$A,Target!$B:$B),"None")</f>
        <v>None</v>
      </c>
      <c r="AX181" s="43" t="str">
        <f>IFERROR(_xlfn.XLOOKUP($AM181,'BuffValue&lt;Child&gt;'!$A:$A,'BuffValue&lt;Child&gt;'!$F:$F),"None")</f>
        <v>None</v>
      </c>
      <c r="AY181" s="43">
        <f>IFERROR(_xlfn.XLOOKUP($AM181,#REF!,#REF!),0)</f>
        <v>0</v>
      </c>
    </row>
    <row r="182" spans="1:51" x14ac:dyDescent="0.3">
      <c r="A182" s="1">
        <f>INT(2&amp;MID(_xlfn.XLOOKUP(B182,[2]Timeline!$B:$B,[2]Timeline!$A:$A),2,5)&amp;2)</f>
        <v>2304862</v>
      </c>
      <c r="B182" s="7" t="s">
        <v>148</v>
      </c>
      <c r="C182" s="7" t="s">
        <v>289</v>
      </c>
      <c r="D182" s="7" t="s">
        <v>567</v>
      </c>
      <c r="E182" s="1" t="str">
        <f t="shared" si="31"/>
        <v>skill_name_2304862</v>
      </c>
      <c r="F182" s="1" t="s">
        <v>117</v>
      </c>
      <c r="G182" s="1" t="s">
        <v>458</v>
      </c>
      <c r="H182" s="1" t="str">
        <f t="shared" si="32"/>
        <v>skill_desc_2304862</v>
      </c>
      <c r="I182" s="1" t="s">
        <v>205</v>
      </c>
      <c r="J182" s="1" t="str">
        <f>IFERROR(_xlfn.XLOOKUP(W182,Target!A:A,Target!J:J),"")</f>
        <v>Skill_Target_Icon_Enemy</v>
      </c>
      <c r="K182" s="1" t="s">
        <v>205</v>
      </c>
      <c r="L182" s="1" t="str">
        <f>IFERROR(_xlfn.XLOOKUP(W182,Target!A:A,Target!K:K),"")</f>
        <v>Skill_Area_Icon_NonTarget_All</v>
      </c>
      <c r="M182" s="1" t="str">
        <f>_xlfn.XLOOKUP(B182,'[2]Detail&lt;Child&gt;'!$B:$B,'[2]Detail&lt;Child&gt;'!$M:$M)</f>
        <v>Dark</v>
      </c>
      <c r="N182" s="1" t="str">
        <f>_xlfn.XLOOKUP(B182,'[2]Detail&lt;Child&gt;'!$B:$B,'[2]Detail&lt;Child&gt;'!$N:$N)</f>
        <v>Attacker</v>
      </c>
      <c r="O182" s="1" t="s">
        <v>33</v>
      </c>
      <c r="P182" s="33">
        <v>2</v>
      </c>
      <c r="Q182" s="68" t="str" cm="1">
        <f t="array" ref="Q182">_xlfn.IFS(R182="Move","Move",R182="NonTargetMove","Move",R182="Static","Stand",R182="None","Stand")</f>
        <v>Move</v>
      </c>
      <c r="R182" s="1" t="s">
        <v>153</v>
      </c>
      <c r="S182" s="1">
        <v>1</v>
      </c>
      <c r="T182" s="2" t="str">
        <f t="shared" si="26"/>
        <v>SignalHit</v>
      </c>
      <c r="U182" s="2" t="str" cm="1">
        <f t="array" ref="U182">_xlfn.IFS(T182="SignalHIt","TurnEnd",T182="AttackBegin","TurnEnd",T182="AttackEnd","TurnEnd",T182="Immediately","Applied",T182="None","None")</f>
        <v>TurnEnd</v>
      </c>
      <c r="V182" s="2">
        <v>0</v>
      </c>
      <c r="W182" s="1">
        <v>920001</v>
      </c>
      <c r="X182" s="8">
        <v>23048621</v>
      </c>
      <c r="Y182" s="1" t="str">
        <f t="shared" si="27"/>
        <v>Immediately</v>
      </c>
      <c r="Z182" s="2" t="str" cm="1">
        <f t="array" ref="Z182">_xlfn.IFS(Y182="SignalHIt","TurnEnd",Y182="AttackBegin","TurnEnd",Y182="AttackEnd","TurnEnd",Y182="Immediately","Applied",Y182="None","None")</f>
        <v>Applied</v>
      </c>
      <c r="AA182" s="2">
        <v>0</v>
      </c>
      <c r="AB182" s="1">
        <v>0</v>
      </c>
      <c r="AC182" s="8">
        <v>0</v>
      </c>
      <c r="AD182" s="2" t="str">
        <f t="shared" si="28"/>
        <v>AttackEnd</v>
      </c>
      <c r="AE182" s="2" t="str" cm="1">
        <f t="array" ref="AE182">_xlfn.IFS(AD182="SignalHIt","TurnEnd",AD182="AttackBegin","TurnEnd",AD182="AttackEnd","TurnEnd",AD182="Immediately","Applied",AD182="None","None")</f>
        <v>TurnEnd</v>
      </c>
      <c r="AF182" s="2">
        <v>0</v>
      </c>
      <c r="AG182" s="1">
        <v>1</v>
      </c>
      <c r="AH182" s="8">
        <f>X182+1</f>
        <v>23048622</v>
      </c>
      <c r="AI182" s="2" t="str">
        <f t="shared" si="29"/>
        <v>Immediately</v>
      </c>
      <c r="AJ182" s="2" t="str" cm="1">
        <f t="array" ref="AJ182">_xlfn.IFS(AI182="SignalHIt","TurnEnd",AI182="AttackBegin","TurnEnd",AI182="AttackEnd","TurnEnd",AI182="Immediately","Applied",AI182="None","None")</f>
        <v>Applied</v>
      </c>
      <c r="AK182" s="2">
        <v>0</v>
      </c>
      <c r="AL182" s="8">
        <v>0</v>
      </c>
      <c r="AM182" s="48">
        <v>0</v>
      </c>
      <c r="AN182" s="45" t="str">
        <f>IFERROR(_xlfn.XLOOKUP(W182,Target!$A:$A,Target!$B:$B),"None")</f>
        <v>논타겟 적 9칸</v>
      </c>
      <c r="AO182" s="43" t="str">
        <f>IFERROR(_xlfn.XLOOKUP($X182,'BuffValue&lt;Child&gt;'!$A:$A,'BuffValue&lt;Child&gt;'!$F:$F),"None")</f>
        <v>액티브 대미지</v>
      </c>
      <c r="AP182" s="43">
        <f>IFERROR(_xlfn.XLOOKUP($X182,'BuffValue&lt;Child&gt;'!$A:$A,'BuffValue&lt;Child&gt;'!$K:$K),0)</f>
        <v>22000</v>
      </c>
      <c r="AQ182" s="43" t="str">
        <f>IFERROR(_xlfn.XLOOKUP(AB182,Target!$A:$A,Target!$B:$B),"None")</f>
        <v>None</v>
      </c>
      <c r="AR182" s="45" t="str">
        <f>IFERROR(_xlfn.XLOOKUP($AC182,'BuffValue&lt;Child&gt;'!$A:$A,'BuffValue&lt;Child&gt;'!$F:$F),"None")</f>
        <v>None</v>
      </c>
      <c r="AS182" s="45">
        <f>IFERROR(_xlfn.XLOOKUP($AC182,'BuffValue&lt;Child&gt;'!$A:$A,'BuffValue&lt;Child&gt;'!$K:$K),0)</f>
        <v>0</v>
      </c>
      <c r="AT182" s="43" t="str">
        <f>IFERROR(_xlfn.XLOOKUP(AG182,Target!$A:$A,Target!$B:$B),"None")</f>
        <v xml:space="preserve"> 자신 1명 </v>
      </c>
      <c r="AU182" s="43" t="str">
        <f>IFERROR(_xlfn.XLOOKUP($AH182,'BuffValue&lt;Child&gt;'!$A:$A,'BuffValue&lt;Child&gt;'!$F:$F),"None")</f>
        <v>쿠바바 피해량 증가</v>
      </c>
      <c r="AV182" s="43">
        <f>IFERROR(_xlfn.XLOOKUP($AH182,'BuffValue&lt;Child&gt;'!$A:$A,'BuffValue&lt;Child&gt;'!$K:$K),0)</f>
        <v>9100101</v>
      </c>
      <c r="AW182" s="43" t="str">
        <f>IFERROR(_xlfn.XLOOKUP(AL182,Target!$A:$A,Target!$B:$B),"None")</f>
        <v>None</v>
      </c>
      <c r="AX182" s="43" t="str">
        <f>IFERROR(_xlfn.XLOOKUP($AM182,'BuffValue&lt;Child&gt;'!$A:$A,'BuffValue&lt;Child&gt;'!$F:$F),"None")</f>
        <v>None</v>
      </c>
      <c r="AY182" s="43">
        <f>IFERROR(_xlfn.XLOOKUP($AM182,#REF!,#REF!),0)</f>
        <v>0</v>
      </c>
    </row>
    <row r="183" spans="1:51" x14ac:dyDescent="0.3">
      <c r="A183" s="1">
        <f>INT(3&amp;MID(_xlfn.XLOOKUP(B183,[2]Timeline!$B:$B,[2]Timeline!$A:$A),2,5)&amp;1)</f>
        <v>3304861</v>
      </c>
      <c r="B183" s="7" t="s">
        <v>148</v>
      </c>
      <c r="C183" s="7" t="s">
        <v>290</v>
      </c>
      <c r="D183" s="7" t="s">
        <v>507</v>
      </c>
      <c r="E183" s="1" t="str">
        <f t="shared" si="31"/>
        <v>skill_name_3304861</v>
      </c>
      <c r="F183" s="1" t="s">
        <v>117</v>
      </c>
      <c r="G183" s="1" t="s">
        <v>407</v>
      </c>
      <c r="H183" s="1" t="str">
        <f t="shared" si="32"/>
        <v>skill_desc_3304861</v>
      </c>
      <c r="I183" s="1" t="s">
        <v>205</v>
      </c>
      <c r="J183" s="1" t="str">
        <f>IFERROR(_xlfn.XLOOKUP(W183,Target!A:A,Target!J:J),"")</f>
        <v>Skill_Target_Icon_Enemy_Near_One</v>
      </c>
      <c r="K183" s="1" t="s">
        <v>205</v>
      </c>
      <c r="L183" s="1" t="str">
        <f>IFERROR(_xlfn.XLOOKUP(W183,Target!A:A,Target!K:K),"")</f>
        <v>Skill_Area_Icon_Pivot_Row</v>
      </c>
      <c r="M183" s="1" t="str">
        <f>_xlfn.XLOOKUP(B183,'[2]Detail&lt;Child&gt;'!$B:$B,'[2]Detail&lt;Child&gt;'!$M:$M)</f>
        <v>Dark</v>
      </c>
      <c r="N183" s="1" t="str">
        <f>_xlfn.XLOOKUP(B183,'[2]Detail&lt;Child&gt;'!$B:$B,'[2]Detail&lt;Child&gt;'!$N:$N)</f>
        <v>Attacker</v>
      </c>
      <c r="O183" s="1" t="s">
        <v>141</v>
      </c>
      <c r="P183" s="33">
        <v>0</v>
      </c>
      <c r="Q183" s="68" t="str" cm="1">
        <f t="array" ref="Q183">_xlfn.IFS(R183="Move","Move",R183="NonTargetMove","Move",R183="Static","Stand",R183="None","Stand")</f>
        <v>Move</v>
      </c>
      <c r="R183" s="1" t="s">
        <v>492</v>
      </c>
      <c r="S183" s="1">
        <v>2</v>
      </c>
      <c r="T183" s="2" t="str">
        <f t="shared" si="26"/>
        <v>SignalHit</v>
      </c>
      <c r="U183" s="2" t="str" cm="1">
        <f t="array" ref="U183">_xlfn.IFS(T183="SignalHIt","TurnEnd",T183="AttackBegin","TurnEnd",T183="AttackEnd","TurnEnd",T183="Immediately","Applied",T183="None","None")</f>
        <v>TurnEnd</v>
      </c>
      <c r="V183" s="2">
        <v>0</v>
      </c>
      <c r="W183" s="1">
        <v>2000014</v>
      </c>
      <c r="X183" s="8">
        <v>33048611</v>
      </c>
      <c r="Y183" s="1" t="str">
        <f t="shared" si="27"/>
        <v>Immediately</v>
      </c>
      <c r="Z183" s="2" t="str" cm="1">
        <f t="array" ref="Z183">_xlfn.IFS(Y183="SignalHIt","TurnEnd",Y183="AttackBegin","TurnEnd",Y183="AttackEnd","TurnEnd",Y183="Immediately","Applied",Y183="None","None")</f>
        <v>Applied</v>
      </c>
      <c r="AA183" s="2">
        <v>0</v>
      </c>
      <c r="AB183" s="1">
        <v>0</v>
      </c>
      <c r="AC183" s="8">
        <v>0</v>
      </c>
      <c r="AD183" s="2" t="str">
        <f t="shared" si="28"/>
        <v>AttackEnd</v>
      </c>
      <c r="AE183" s="2" t="str" cm="1">
        <f t="array" ref="AE183">_xlfn.IFS(AD183="SignalHIt","TurnEnd",AD183="AttackBegin","TurnEnd",AD183="AttackEnd","TurnEnd",AD183="Immediately","Applied",AD183="None","None")</f>
        <v>TurnEnd</v>
      </c>
      <c r="AF183" s="2">
        <v>0</v>
      </c>
      <c r="AG183" s="1">
        <v>2000014</v>
      </c>
      <c r="AH183" s="8">
        <f>X183+1</f>
        <v>33048612</v>
      </c>
      <c r="AI183" s="2" t="str">
        <f t="shared" si="29"/>
        <v>Immediately</v>
      </c>
      <c r="AJ183" s="2" t="str" cm="1">
        <f t="array" ref="AJ183">_xlfn.IFS(AI183="SignalHIt","TurnEnd",AI183="AttackBegin","TurnEnd",AI183="AttackEnd","TurnEnd",AI183="Immediately","Applied",AI183="None","None")</f>
        <v>Applied</v>
      </c>
      <c r="AK183" s="2">
        <v>0</v>
      </c>
      <c r="AL183" s="8">
        <v>0</v>
      </c>
      <c r="AM183" s="48">
        <v>0</v>
      </c>
      <c r="AN183" s="45" t="str">
        <f>IFERROR(_xlfn.XLOOKUP(W183,Target!$A:$A,Target!$B:$B),"None")</f>
        <v>가까운 적 1명 2행</v>
      </c>
      <c r="AO183" s="43" t="str">
        <f>IFERROR(_xlfn.XLOOKUP($X183,'BuffValue&lt;Child&gt;'!$A:$A,'BuffValue&lt;Child&gt;'!$F:$F),"None")</f>
        <v>얼티밋 대미지</v>
      </c>
      <c r="AP183" s="43">
        <f>IFERROR(_xlfn.XLOOKUP($X183,'BuffValue&lt;Child&gt;'!$A:$A,'BuffValue&lt;Child&gt;'!$K:$K),0)</f>
        <v>230000</v>
      </c>
      <c r="AQ183" s="43" t="str">
        <f>IFERROR(_xlfn.XLOOKUP(AB183,Target!$A:$A,Target!$B:$B),"None")</f>
        <v>None</v>
      </c>
      <c r="AR183" s="45" t="str">
        <f>IFERROR(_xlfn.XLOOKUP($AC183,'BuffValue&lt;Child&gt;'!$A:$A,'BuffValue&lt;Child&gt;'!$F:$F),"None")</f>
        <v>None</v>
      </c>
      <c r="AS183" s="45">
        <f>IFERROR(_xlfn.XLOOKUP($AC183,'BuffValue&lt;Child&gt;'!$A:$A,'BuffValue&lt;Child&gt;'!$K:$K),0)</f>
        <v>0</v>
      </c>
      <c r="AT183" s="43" t="str">
        <f>IFERROR(_xlfn.XLOOKUP(AG183,Target!$A:$A,Target!$B:$B),"None")</f>
        <v>가까운 적 1명 2행</v>
      </c>
      <c r="AU183" s="43" t="str">
        <f>IFERROR(_xlfn.XLOOKUP($AH183,'BuffValue&lt;Child&gt;'!$A:$A,'BuffValue&lt;Child&gt;'!$F:$F),"None")</f>
        <v>쿠바바 출혈</v>
      </c>
      <c r="AV183" s="43">
        <f>IFERROR(_xlfn.XLOOKUP($AH183,'BuffValue&lt;Child&gt;'!$A:$A,'BuffValue&lt;Child&gt;'!$K:$K),0)</f>
        <v>20000</v>
      </c>
      <c r="AW183" s="43" t="str">
        <f>IFERROR(_xlfn.XLOOKUP(AL183,Target!$A:$A,Target!$B:$B),"None")</f>
        <v>None</v>
      </c>
      <c r="AX183" s="43" t="str">
        <f>IFERROR(_xlfn.XLOOKUP($AM183,'BuffValue&lt;Child&gt;'!$A:$A,'BuffValue&lt;Child&gt;'!$F:$F),"None")</f>
        <v>None</v>
      </c>
      <c r="AY183" s="43">
        <f>IFERROR(_xlfn.XLOOKUP($AM183,#REF!,#REF!),0)</f>
        <v>0</v>
      </c>
    </row>
    <row r="184" spans="1:51" x14ac:dyDescent="0.3">
      <c r="A184" s="1">
        <f>INT(3&amp;MID(_xlfn.XLOOKUP(B184,[2]Timeline!$B:$B,[2]Timeline!$A:$A),2,5)&amp;2)</f>
        <v>3304862</v>
      </c>
      <c r="B184" s="7" t="s">
        <v>148</v>
      </c>
      <c r="C184" s="7" t="s">
        <v>290</v>
      </c>
      <c r="D184" s="7" t="s">
        <v>507</v>
      </c>
      <c r="E184" s="1" t="str">
        <f t="shared" si="31"/>
        <v>skill_name_3304862</v>
      </c>
      <c r="F184" s="1" t="s">
        <v>117</v>
      </c>
      <c r="G184" s="1" t="s">
        <v>407</v>
      </c>
      <c r="H184" s="1" t="str">
        <f t="shared" si="32"/>
        <v>skill_desc_3304862</v>
      </c>
      <c r="I184" s="1" t="s">
        <v>205</v>
      </c>
      <c r="J184" s="1" t="str">
        <f>IFERROR(_xlfn.XLOOKUP(W184,Target!A:A,Target!J:J),"")</f>
        <v>Skill_Target_Icon_Enemy_Near_One</v>
      </c>
      <c r="K184" s="1" t="s">
        <v>205</v>
      </c>
      <c r="L184" s="1" t="str">
        <f>IFERROR(_xlfn.XLOOKUP(W184,Target!A:A,Target!K:K),"")</f>
        <v>Skill_Area_Icon_Pivot_Row</v>
      </c>
      <c r="M184" s="1" t="str">
        <f>_xlfn.XLOOKUP(B184,'[2]Detail&lt;Child&gt;'!$B:$B,'[2]Detail&lt;Child&gt;'!$M:$M)</f>
        <v>Dark</v>
      </c>
      <c r="N184" s="1" t="str">
        <f>_xlfn.XLOOKUP(B184,'[2]Detail&lt;Child&gt;'!$B:$B,'[2]Detail&lt;Child&gt;'!$N:$N)</f>
        <v>Attacker</v>
      </c>
      <c r="O184" s="1" t="s">
        <v>140</v>
      </c>
      <c r="P184" s="33">
        <v>0</v>
      </c>
      <c r="Q184" s="68" t="str" cm="1">
        <f t="array" ref="Q184">_xlfn.IFS(R184="Move","Move",R184="NonTargetMove","Move",R184="Static","Stand",R184="None","Stand")</f>
        <v>Move</v>
      </c>
      <c r="R184" s="1" t="s">
        <v>137</v>
      </c>
      <c r="S184" s="1">
        <v>2</v>
      </c>
      <c r="T184" s="2" t="str">
        <f t="shared" si="26"/>
        <v>SignalHit</v>
      </c>
      <c r="U184" s="2" t="str" cm="1">
        <f t="array" ref="U184">_xlfn.IFS(T184="SignalHIt","TurnEnd",T184="AttackBegin","TurnEnd",T184="AttackEnd","TurnEnd",T184="Immediately","Applied",T184="None","None")</f>
        <v>TurnEnd</v>
      </c>
      <c r="V184" s="2">
        <v>0</v>
      </c>
      <c r="W184" s="1">
        <v>2000014</v>
      </c>
      <c r="X184" s="8">
        <v>33048621</v>
      </c>
      <c r="Y184" s="1" t="str">
        <f t="shared" si="27"/>
        <v>Immediately</v>
      </c>
      <c r="Z184" s="2" t="str" cm="1">
        <f t="array" ref="Z184">_xlfn.IFS(Y184="SignalHIt","TurnEnd",Y184="AttackBegin","TurnEnd",Y184="AttackEnd","TurnEnd",Y184="Immediately","Applied",Y184="None","None")</f>
        <v>Applied</v>
      </c>
      <c r="AA184" s="2">
        <v>0</v>
      </c>
      <c r="AB184" s="1">
        <v>0</v>
      </c>
      <c r="AC184" s="8">
        <v>0</v>
      </c>
      <c r="AD184" s="2" t="str">
        <f t="shared" si="28"/>
        <v>AttackEnd</v>
      </c>
      <c r="AE184" s="2" t="str" cm="1">
        <f t="array" ref="AE184">_xlfn.IFS(AD184="SignalHIt","TurnEnd",AD184="AttackBegin","TurnEnd",AD184="AttackEnd","TurnEnd",AD184="Immediately","Applied",AD184="None","None")</f>
        <v>TurnEnd</v>
      </c>
      <c r="AF184" s="2">
        <v>0</v>
      </c>
      <c r="AG184" s="1">
        <v>2000014</v>
      </c>
      <c r="AH184" s="8">
        <f>X184+1</f>
        <v>33048622</v>
      </c>
      <c r="AI184" s="2" t="str">
        <f t="shared" si="29"/>
        <v>Immediately</v>
      </c>
      <c r="AJ184" s="2" t="str" cm="1">
        <f t="array" ref="AJ184">_xlfn.IFS(AI184="SignalHIt","TurnEnd",AI184="AttackBegin","TurnEnd",AI184="AttackEnd","TurnEnd",AI184="Immediately","Applied",AI184="None","None")</f>
        <v>Applied</v>
      </c>
      <c r="AK184" s="2">
        <v>0</v>
      </c>
      <c r="AL184" s="8">
        <v>0</v>
      </c>
      <c r="AM184" s="48">
        <v>0</v>
      </c>
      <c r="AN184" s="45" t="str">
        <f>IFERROR(_xlfn.XLOOKUP(W184,Target!$A:$A,Target!$B:$B),"None")</f>
        <v>가까운 적 1명 2행</v>
      </c>
      <c r="AO184" s="43" t="str">
        <f>IFERROR(_xlfn.XLOOKUP($X184,'BuffValue&lt;Child&gt;'!$A:$A,'BuffValue&lt;Child&gt;'!$F:$F),"None")</f>
        <v>얼티밋 대미지</v>
      </c>
      <c r="AP184" s="43">
        <f>IFERROR(_xlfn.XLOOKUP($X184,'BuffValue&lt;Child&gt;'!$A:$A,'BuffValue&lt;Child&gt;'!$K:$K),0)</f>
        <v>230000</v>
      </c>
      <c r="AQ184" s="43" t="str">
        <f>IFERROR(_xlfn.XLOOKUP(AB184,Target!$A:$A,Target!$B:$B),"None")</f>
        <v>None</v>
      </c>
      <c r="AR184" s="45" t="str">
        <f>IFERROR(_xlfn.XLOOKUP($AC184,'BuffValue&lt;Child&gt;'!$A:$A,'BuffValue&lt;Child&gt;'!$F:$F),"None")</f>
        <v>None</v>
      </c>
      <c r="AS184" s="45">
        <f>IFERROR(_xlfn.XLOOKUP($AC184,'BuffValue&lt;Child&gt;'!$A:$A,'BuffValue&lt;Child&gt;'!$K:$K),0)</f>
        <v>0</v>
      </c>
      <c r="AT184" s="43" t="str">
        <f>IFERROR(_xlfn.XLOOKUP(AG184,Target!$A:$A,Target!$B:$B),"None")</f>
        <v>가까운 적 1명 2행</v>
      </c>
      <c r="AU184" s="43" t="str">
        <f>IFERROR(_xlfn.XLOOKUP($AH184,'BuffValue&lt;Child&gt;'!$A:$A,'BuffValue&lt;Child&gt;'!$F:$F),"None")</f>
        <v>쿠바바 출혈</v>
      </c>
      <c r="AV184" s="43">
        <f>IFERROR(_xlfn.XLOOKUP($AH184,'BuffValue&lt;Child&gt;'!$A:$A,'BuffValue&lt;Child&gt;'!$K:$K),0)</f>
        <v>20000</v>
      </c>
      <c r="AW184" s="43" t="str">
        <f>IFERROR(_xlfn.XLOOKUP(AL184,Target!$A:$A,Target!$B:$B),"None")</f>
        <v>None</v>
      </c>
      <c r="AX184" s="43" t="str">
        <f>IFERROR(_xlfn.XLOOKUP($AM184,'BuffValue&lt;Child&gt;'!$A:$A,'BuffValue&lt;Child&gt;'!$F:$F),"None")</f>
        <v>None</v>
      </c>
      <c r="AY184" s="43">
        <f>IFERROR(_xlfn.XLOOKUP($AM184,#REF!,#REF!),0)</f>
        <v>0</v>
      </c>
    </row>
    <row r="185" spans="1:51" x14ac:dyDescent="0.3">
      <c r="A185" s="1">
        <f>INT(3&amp;MID(_xlfn.XLOOKUP(B185,[2]Timeline!$B:$B,[2]Timeline!$A:$A),2,5)&amp;3)</f>
        <v>3304863</v>
      </c>
      <c r="B185" s="7" t="s">
        <v>148</v>
      </c>
      <c r="C185" s="7" t="s">
        <v>290</v>
      </c>
      <c r="D185" s="7" t="s">
        <v>507</v>
      </c>
      <c r="E185" s="1" t="str">
        <f t="shared" si="31"/>
        <v>skill_name_3304863</v>
      </c>
      <c r="F185" s="1" t="s">
        <v>117</v>
      </c>
      <c r="G185" s="1" t="s">
        <v>407</v>
      </c>
      <c r="H185" s="1" t="str">
        <f t="shared" si="32"/>
        <v>skill_desc_3304863</v>
      </c>
      <c r="I185" s="1" t="s">
        <v>205</v>
      </c>
      <c r="J185" s="1" t="str">
        <f>IFERROR(_xlfn.XLOOKUP(W185,Target!A:A,Target!J:J),"")</f>
        <v>Skill_Target_Icon_Enemy_Near_One</v>
      </c>
      <c r="K185" s="1" t="s">
        <v>205</v>
      </c>
      <c r="L185" s="1" t="str">
        <f>IFERROR(_xlfn.XLOOKUP(W185,Target!A:A,Target!K:K),"")</f>
        <v>Skill_Area_Icon_Pivot_Row</v>
      </c>
      <c r="M185" s="1" t="str">
        <f>_xlfn.XLOOKUP(B185,'[2]Detail&lt;Child&gt;'!$B:$B,'[2]Detail&lt;Child&gt;'!$M:$M)</f>
        <v>Dark</v>
      </c>
      <c r="N185" s="1" t="str">
        <f>_xlfn.XLOOKUP(B185,'[2]Detail&lt;Child&gt;'!$B:$B,'[2]Detail&lt;Child&gt;'!$N:$N)</f>
        <v>Attacker</v>
      </c>
      <c r="O185" s="1" t="s">
        <v>140</v>
      </c>
      <c r="P185" s="33">
        <v>0</v>
      </c>
      <c r="Q185" s="68" t="str" cm="1">
        <f t="array" ref="Q185">_xlfn.IFS(R185="Move","Move",R185="NonTargetMove","Move",R185="Static","Stand",R185="None","Stand")</f>
        <v>Move</v>
      </c>
      <c r="R185" s="1" t="s">
        <v>137</v>
      </c>
      <c r="S185" s="1">
        <v>2</v>
      </c>
      <c r="T185" s="2" t="str">
        <f t="shared" si="26"/>
        <v>SignalHit</v>
      </c>
      <c r="U185" s="2" t="str" cm="1">
        <f t="array" ref="U185">_xlfn.IFS(T185="SignalHIt","TurnEnd",T185="AttackBegin","TurnEnd",T185="AttackEnd","TurnEnd",T185="Immediately","Applied",T185="None","None")</f>
        <v>TurnEnd</v>
      </c>
      <c r="V185" s="2">
        <v>0</v>
      </c>
      <c r="W185" s="1">
        <v>2000014</v>
      </c>
      <c r="X185" s="8">
        <v>33048631</v>
      </c>
      <c r="Y185" s="1" t="str">
        <f t="shared" si="27"/>
        <v>Immediately</v>
      </c>
      <c r="Z185" s="2" t="str" cm="1">
        <f t="array" ref="Z185">_xlfn.IFS(Y185="SignalHIt","TurnEnd",Y185="AttackBegin","TurnEnd",Y185="AttackEnd","TurnEnd",Y185="Immediately","Applied",Y185="None","None")</f>
        <v>Applied</v>
      </c>
      <c r="AA185" s="2">
        <v>0</v>
      </c>
      <c r="AB185" s="1">
        <v>0</v>
      </c>
      <c r="AC185" s="8">
        <v>0</v>
      </c>
      <c r="AD185" s="2" t="str">
        <f t="shared" si="28"/>
        <v>AttackEnd</v>
      </c>
      <c r="AE185" s="2" t="str" cm="1">
        <f t="array" ref="AE185">_xlfn.IFS(AD185="SignalHIt","TurnEnd",AD185="AttackBegin","TurnEnd",AD185="AttackEnd","TurnEnd",AD185="Immediately","Applied",AD185="None","None")</f>
        <v>TurnEnd</v>
      </c>
      <c r="AF185" s="2">
        <v>0</v>
      </c>
      <c r="AG185" s="1">
        <v>2000014</v>
      </c>
      <c r="AH185" s="8">
        <f>X185+1</f>
        <v>33048632</v>
      </c>
      <c r="AI185" s="2" t="str">
        <f t="shared" si="29"/>
        <v>Immediately</v>
      </c>
      <c r="AJ185" s="2" t="str" cm="1">
        <f t="array" ref="AJ185">_xlfn.IFS(AI185="SignalHIt","TurnEnd",AI185="AttackBegin","TurnEnd",AI185="AttackEnd","TurnEnd",AI185="Immediately","Applied",AI185="None","None")</f>
        <v>Applied</v>
      </c>
      <c r="AK185" s="2">
        <v>0</v>
      </c>
      <c r="AL185" s="8">
        <v>0</v>
      </c>
      <c r="AM185" s="48">
        <v>0</v>
      </c>
      <c r="AN185" s="45" t="str">
        <f>IFERROR(_xlfn.XLOOKUP(W185,Target!$A:$A,Target!$B:$B),"None")</f>
        <v>가까운 적 1명 2행</v>
      </c>
      <c r="AO185" s="43" t="str">
        <f>IFERROR(_xlfn.XLOOKUP($X185,'BuffValue&lt;Child&gt;'!$A:$A,'BuffValue&lt;Child&gt;'!$F:$F),"None")</f>
        <v>얼티밋 대미지</v>
      </c>
      <c r="AP185" s="43">
        <f>IFERROR(_xlfn.XLOOKUP($X185,'BuffValue&lt;Child&gt;'!$A:$A,'BuffValue&lt;Child&gt;'!$K:$K),0)</f>
        <v>230000</v>
      </c>
      <c r="AQ185" s="43" t="str">
        <f>IFERROR(_xlfn.XLOOKUP(AB185,Target!$A:$A,Target!$B:$B),"None")</f>
        <v>None</v>
      </c>
      <c r="AR185" s="45" t="str">
        <f>IFERROR(_xlfn.XLOOKUP($AC185,'BuffValue&lt;Child&gt;'!$A:$A,'BuffValue&lt;Child&gt;'!$F:$F),"None")</f>
        <v>None</v>
      </c>
      <c r="AS185" s="45">
        <f>IFERROR(_xlfn.XLOOKUP($AC185,'BuffValue&lt;Child&gt;'!$A:$A,'BuffValue&lt;Child&gt;'!$K:$K),0)</f>
        <v>0</v>
      </c>
      <c r="AT185" s="43" t="str">
        <f>IFERROR(_xlfn.XLOOKUP(AG185,Target!$A:$A,Target!$B:$B),"None")</f>
        <v>가까운 적 1명 2행</v>
      </c>
      <c r="AU185" s="43" t="str">
        <f>IFERROR(_xlfn.XLOOKUP($AH185,'BuffValue&lt;Child&gt;'!$A:$A,'BuffValue&lt;Child&gt;'!$F:$F),"None")</f>
        <v>쿠바바 출혈</v>
      </c>
      <c r="AV185" s="43">
        <f>IFERROR(_xlfn.XLOOKUP($AH185,'BuffValue&lt;Child&gt;'!$A:$A,'BuffValue&lt;Child&gt;'!$K:$K),0)</f>
        <v>20000</v>
      </c>
      <c r="AW185" s="43" t="str">
        <f>IFERROR(_xlfn.XLOOKUP(AL185,Target!$A:$A,Target!$B:$B),"None")</f>
        <v>None</v>
      </c>
      <c r="AX185" s="43" t="str">
        <f>IFERROR(_xlfn.XLOOKUP($AM185,'BuffValue&lt;Child&gt;'!$A:$A,'BuffValue&lt;Child&gt;'!$F:$F),"None")</f>
        <v>None</v>
      </c>
      <c r="AY185" s="43">
        <f>IFERROR(_xlfn.XLOOKUP($AM185,#REF!,#REF!),0)</f>
        <v>0</v>
      </c>
    </row>
    <row r="186" spans="1:51" x14ac:dyDescent="0.3">
      <c r="A186" s="1">
        <f>INT(4&amp;MID(_xlfn.XLOOKUP(B186,[2]Timeline!$B:$B,[2]Timeline!$A:$A),2,5)&amp;1)</f>
        <v>4304861</v>
      </c>
      <c r="B186" s="7" t="s">
        <v>148</v>
      </c>
      <c r="C186" s="7" t="s">
        <v>122</v>
      </c>
      <c r="D186" s="7" t="s">
        <v>521</v>
      </c>
      <c r="E186" s="1" t="str">
        <f t="shared" si="31"/>
        <v>skill_name_4304861</v>
      </c>
      <c r="F186" s="1" t="s">
        <v>117</v>
      </c>
      <c r="G186" s="1" t="s">
        <v>460</v>
      </c>
      <c r="H186" s="1" t="str">
        <f t="shared" si="32"/>
        <v>skill_desc_4304861</v>
      </c>
      <c r="I186" s="1" t="s">
        <v>205</v>
      </c>
      <c r="J186" s="1" t="str">
        <f>IFERROR(_xlfn.XLOOKUP(W186,Target!A:A,Target!J:J),"")</f>
        <v>Skill_Target_Icon_Ally</v>
      </c>
      <c r="K186" s="1" t="s">
        <v>205</v>
      </c>
      <c r="L186" s="1" t="s">
        <v>513</v>
      </c>
      <c r="M186" s="1" t="str">
        <f>_xlfn.XLOOKUP(B186,'[2]Detail&lt;Child&gt;'!$B:$B,'[2]Detail&lt;Child&gt;'!$M:$M)</f>
        <v>Dark</v>
      </c>
      <c r="N186" s="1" t="str">
        <f>_xlfn.XLOOKUP(B186,'[2]Detail&lt;Child&gt;'!$B:$B,'[2]Detail&lt;Child&gt;'!$N:$N)</f>
        <v>Attacker</v>
      </c>
      <c r="O186" s="1" t="s">
        <v>167</v>
      </c>
      <c r="P186" s="33">
        <v>0</v>
      </c>
      <c r="Q186" s="68" t="str" cm="1">
        <f t="array" ref="Q186">_xlfn.IFS(R186="Move","Move",R186="NonTargetMove","Move",R186="Static","Stand",R186="None","Stand")</f>
        <v>Move</v>
      </c>
      <c r="R186" s="1" t="s">
        <v>144</v>
      </c>
      <c r="S186" s="1">
        <v>2</v>
      </c>
      <c r="T186" s="2" t="str">
        <f t="shared" si="26"/>
        <v>Immediately</v>
      </c>
      <c r="U186" s="2" t="str" cm="1">
        <f t="array" ref="U186">_xlfn.IFS(T186="SignalHIt","TurnEnd",T186="AttackBegin","TurnEnd",T186="AttackEnd","TurnEnd",T186="Immediately","Applied",T186="None","None")</f>
        <v>Applied</v>
      </c>
      <c r="V186" s="2">
        <v>0</v>
      </c>
      <c r="W186" s="1">
        <v>5</v>
      </c>
      <c r="X186" s="8">
        <v>43048611</v>
      </c>
      <c r="Y186" s="1" t="str">
        <f t="shared" si="27"/>
        <v>Immediately</v>
      </c>
      <c r="Z186" s="2" t="str" cm="1">
        <f t="array" ref="Z186">_xlfn.IFS(Y186="SignalHIt","TurnEnd",Y186="AttackBegin","TurnEnd",Y186="AttackEnd","TurnEnd",Y186="Immediately","Applied",Y186="None","None")</f>
        <v>Applied</v>
      </c>
      <c r="AA186" s="2">
        <v>0</v>
      </c>
      <c r="AB186" s="1">
        <v>0</v>
      </c>
      <c r="AC186" s="8">
        <v>0</v>
      </c>
      <c r="AD186" s="2" t="str">
        <f t="shared" si="28"/>
        <v>Immediately</v>
      </c>
      <c r="AE186" s="2" t="str" cm="1">
        <f t="array" ref="AE186">_xlfn.IFS(AD186="SignalHIt","TurnEnd",AD186="AttackBegin","TurnEnd",AD186="AttackEnd","TurnEnd",AD186="Immediately","Applied",AD186="None","None")</f>
        <v>Applied</v>
      </c>
      <c r="AF186" s="2">
        <v>0</v>
      </c>
      <c r="AG186" s="1">
        <v>0</v>
      </c>
      <c r="AH186" s="8">
        <v>0</v>
      </c>
      <c r="AI186" s="2" t="str">
        <f t="shared" si="29"/>
        <v>Immediately</v>
      </c>
      <c r="AJ186" s="2" t="str" cm="1">
        <f t="array" ref="AJ186">_xlfn.IFS(AI186="SignalHIt","TurnEnd",AI186="AttackBegin","TurnEnd",AI186="AttackEnd","TurnEnd",AI186="Immediately","Applied",AI186="None","None")</f>
        <v>Applied</v>
      </c>
      <c r="AK186" s="2">
        <v>0</v>
      </c>
      <c r="AL186" s="8">
        <v>0</v>
      </c>
      <c r="AM186" s="48">
        <v>0</v>
      </c>
      <c r="AN186" s="45" t="str">
        <f>IFERROR(_xlfn.XLOOKUP(W186,Target!$A:$A,Target!$B:$B),"None")</f>
        <v>자신 앞 1칸</v>
      </c>
      <c r="AO186" s="43" t="str">
        <f>IFERROR(_xlfn.XLOOKUP($X186,'BuffValue&lt;Child&gt;'!$A:$A,'BuffValue&lt;Child&gt;'!$F:$F),"None")</f>
        <v>쿠바바 공증, 방증</v>
      </c>
      <c r="AP186" s="43">
        <f>IFERROR(_xlfn.XLOOKUP($X186,'BuffValue&lt;Child&gt;'!$A:$A,'BuffValue&lt;Child&gt;'!$K:$K),0)</f>
        <v>10000</v>
      </c>
      <c r="AQ186" s="43" t="str">
        <f>IFERROR(_xlfn.XLOOKUP(AB186,Target!$A:$A,Target!$B:$B),"None")</f>
        <v>None</v>
      </c>
      <c r="AR186" s="45" t="str">
        <f>IFERROR(_xlfn.XLOOKUP($AC186,'BuffValue&lt;Child&gt;'!$A:$A,'BuffValue&lt;Child&gt;'!$F:$F),"None")</f>
        <v>None</v>
      </c>
      <c r="AS186" s="45">
        <f>IFERROR(_xlfn.XLOOKUP($AC186,'BuffValue&lt;Child&gt;'!$A:$A,'BuffValue&lt;Child&gt;'!$K:$K),0)</f>
        <v>0</v>
      </c>
      <c r="AT186" s="43" t="str">
        <f>IFERROR(_xlfn.XLOOKUP(AG186,Target!$A:$A,Target!$B:$B),"None")</f>
        <v>None</v>
      </c>
      <c r="AU186" s="43" t="str">
        <f>IFERROR(_xlfn.XLOOKUP($AH186,'BuffValue&lt;Child&gt;'!$A:$A,'BuffValue&lt;Child&gt;'!$F:$F),"None")</f>
        <v>None</v>
      </c>
      <c r="AV186" s="43">
        <f>IFERROR(_xlfn.XLOOKUP($AH186,'BuffValue&lt;Child&gt;'!$A:$A,'BuffValue&lt;Child&gt;'!$K:$K),0)</f>
        <v>0</v>
      </c>
      <c r="AW186" s="43" t="str">
        <f>IFERROR(_xlfn.XLOOKUP(AL186,Target!$A:$A,Target!$B:$B),"None")</f>
        <v>None</v>
      </c>
      <c r="AX186" s="43" t="str">
        <f>IFERROR(_xlfn.XLOOKUP($AM186,'BuffValue&lt;Child&gt;'!$A:$A,'BuffValue&lt;Child&gt;'!$F:$F),"None")</f>
        <v>None</v>
      </c>
      <c r="AY186" s="43">
        <f>IFERROR(_xlfn.XLOOKUP($AM186,#REF!,#REF!),0)</f>
        <v>0</v>
      </c>
    </row>
    <row r="187" spans="1:51" x14ac:dyDescent="0.3">
      <c r="A187" s="1">
        <f>INT(4&amp;MID(_xlfn.XLOOKUP(B187,[2]Timeline!$B:$B,[2]Timeline!$A:$A),2,5)&amp;2)</f>
        <v>4304862</v>
      </c>
      <c r="B187" s="7" t="s">
        <v>148</v>
      </c>
      <c r="C187" s="7" t="s">
        <v>122</v>
      </c>
      <c r="D187" s="7" t="s">
        <v>521</v>
      </c>
      <c r="E187" s="1" t="str">
        <f t="shared" si="31"/>
        <v>skill_name_4304862</v>
      </c>
      <c r="F187" s="1" t="s">
        <v>117</v>
      </c>
      <c r="G187" s="1" t="s">
        <v>460</v>
      </c>
      <c r="H187" s="1" t="str">
        <f t="shared" si="32"/>
        <v>skill_desc_4304862</v>
      </c>
      <c r="I187" s="1" t="s">
        <v>205</v>
      </c>
      <c r="J187" s="1" t="str">
        <f>IFERROR(_xlfn.XLOOKUP(W187,Target!A:A,Target!J:J),"")</f>
        <v>Skill_Target_Icon_Ally</v>
      </c>
      <c r="K187" s="1" t="s">
        <v>205</v>
      </c>
      <c r="L187" s="1" t="s">
        <v>513</v>
      </c>
      <c r="M187" s="1" t="str">
        <f>_xlfn.XLOOKUP(B187,'[2]Detail&lt;Child&gt;'!$B:$B,'[2]Detail&lt;Child&gt;'!$M:$M)</f>
        <v>Dark</v>
      </c>
      <c r="N187" s="1" t="str">
        <f>_xlfn.XLOOKUP(B187,'[2]Detail&lt;Child&gt;'!$B:$B,'[2]Detail&lt;Child&gt;'!$N:$N)</f>
        <v>Attacker</v>
      </c>
      <c r="O187" s="1" t="s">
        <v>167</v>
      </c>
      <c r="P187" s="33">
        <v>0</v>
      </c>
      <c r="Q187" s="68" t="str" cm="1">
        <f t="array" ref="Q187">_xlfn.IFS(R187="Move","Move",R187="NonTargetMove","Move",R187="Static","Stand",R187="None","Stand")</f>
        <v>Stand</v>
      </c>
      <c r="R187" s="1" t="s">
        <v>136</v>
      </c>
      <c r="S187" s="1">
        <f>IF(R187="Static",0,1)</f>
        <v>0</v>
      </c>
      <c r="T187" s="2" t="str">
        <f t="shared" si="26"/>
        <v>Immediately</v>
      </c>
      <c r="U187" s="2" t="str" cm="1">
        <f t="array" ref="U187">_xlfn.IFS(T187="SignalHIt","TurnEnd",T187="AttackBegin","TurnEnd",T187="AttackEnd","TurnEnd",T187="Immediately","Applied",T187="None","None")</f>
        <v>Applied</v>
      </c>
      <c r="V187" s="2">
        <v>0</v>
      </c>
      <c r="W187" s="1">
        <v>5</v>
      </c>
      <c r="X187" s="8">
        <v>43048621</v>
      </c>
      <c r="Y187" s="1" t="str">
        <f t="shared" si="27"/>
        <v>Immediately</v>
      </c>
      <c r="Z187" s="2" t="str" cm="1">
        <f t="array" ref="Z187">_xlfn.IFS(Y187="SignalHIt","TurnEnd",Y187="AttackBegin","TurnEnd",Y187="AttackEnd","TurnEnd",Y187="Immediately","Applied",Y187="None","None")</f>
        <v>Applied</v>
      </c>
      <c r="AA187" s="2">
        <v>0</v>
      </c>
      <c r="AB187" s="1">
        <v>0</v>
      </c>
      <c r="AC187" s="8">
        <v>0</v>
      </c>
      <c r="AD187" s="2" t="str">
        <f t="shared" si="28"/>
        <v>Immediately</v>
      </c>
      <c r="AE187" s="2" t="str" cm="1">
        <f t="array" ref="AE187">_xlfn.IFS(AD187="SignalHIt","TurnEnd",AD187="AttackBegin","TurnEnd",AD187="AttackEnd","TurnEnd",AD187="Immediately","Applied",AD187="None","None")</f>
        <v>Applied</v>
      </c>
      <c r="AF187" s="2">
        <v>0</v>
      </c>
      <c r="AG187" s="1">
        <v>0</v>
      </c>
      <c r="AH187" s="8">
        <v>0</v>
      </c>
      <c r="AI187" s="2" t="str">
        <f t="shared" si="29"/>
        <v>Immediately</v>
      </c>
      <c r="AJ187" s="2" t="str" cm="1">
        <f t="array" ref="AJ187">_xlfn.IFS(AI187="SignalHIt","TurnEnd",AI187="AttackBegin","TurnEnd",AI187="AttackEnd","TurnEnd",AI187="Immediately","Applied",AI187="None","None")</f>
        <v>Applied</v>
      </c>
      <c r="AK187" s="2">
        <v>0</v>
      </c>
      <c r="AL187" s="8">
        <v>0</v>
      </c>
      <c r="AM187" s="48">
        <v>0</v>
      </c>
      <c r="AN187" s="45" t="str">
        <f>IFERROR(_xlfn.XLOOKUP(W187,Target!$A:$A,Target!$B:$B),"None")</f>
        <v>자신 앞 1칸</v>
      </c>
      <c r="AO187" s="43" t="str">
        <f>IFERROR(_xlfn.XLOOKUP($X187,'BuffValue&lt;Child&gt;'!$A:$A,'BuffValue&lt;Child&gt;'!$F:$F),"None")</f>
        <v>쿠바바 공증, 방증</v>
      </c>
      <c r="AP187" s="43">
        <f>IFERROR(_xlfn.XLOOKUP($X187,'BuffValue&lt;Child&gt;'!$A:$A,'BuffValue&lt;Child&gt;'!$K:$K),0)</f>
        <v>10000</v>
      </c>
      <c r="AQ187" s="43" t="str">
        <f>IFERROR(_xlfn.XLOOKUP(AB187,Target!$A:$A,Target!$B:$B),"None")</f>
        <v>None</v>
      </c>
      <c r="AR187" s="45" t="str">
        <f>IFERROR(_xlfn.XLOOKUP($AC187,'BuffValue&lt;Child&gt;'!$A:$A,'BuffValue&lt;Child&gt;'!$F:$F),"None")</f>
        <v>None</v>
      </c>
      <c r="AS187" s="45">
        <f>IFERROR(_xlfn.XLOOKUP($AC187,'BuffValue&lt;Child&gt;'!$A:$A,'BuffValue&lt;Child&gt;'!$K:$K),0)</f>
        <v>0</v>
      </c>
      <c r="AT187" s="43" t="str">
        <f>IFERROR(_xlfn.XLOOKUP(AG187,Target!$A:$A,Target!$B:$B),"None")</f>
        <v>None</v>
      </c>
      <c r="AU187" s="43" t="str">
        <f>IFERROR(_xlfn.XLOOKUP($AH187,'BuffValue&lt;Child&gt;'!$A:$A,'BuffValue&lt;Child&gt;'!$F:$F),"None")</f>
        <v>None</v>
      </c>
      <c r="AV187" s="43">
        <f>IFERROR(_xlfn.XLOOKUP($AH187,'BuffValue&lt;Child&gt;'!$A:$A,'BuffValue&lt;Child&gt;'!$K:$K),0)</f>
        <v>0</v>
      </c>
      <c r="AW187" s="43" t="str">
        <f>IFERROR(_xlfn.XLOOKUP(AL187,Target!$A:$A,Target!$B:$B),"None")</f>
        <v>None</v>
      </c>
      <c r="AX187" s="43" t="str">
        <f>IFERROR(_xlfn.XLOOKUP($AM187,'BuffValue&lt;Child&gt;'!$A:$A,'BuffValue&lt;Child&gt;'!$F:$F),"None")</f>
        <v>None</v>
      </c>
      <c r="AY187" s="43">
        <f>IFERROR(_xlfn.XLOOKUP($AM187,#REF!,#REF!),0)</f>
        <v>0</v>
      </c>
    </row>
    <row r="188" spans="1:51" s="11" customFormat="1" x14ac:dyDescent="0.3">
      <c r="A188" s="11">
        <f>INT(1&amp;MID(_xlfn.XLOOKUP(B188,[2]Timeline!$B:$B,[2]Timeline!$A:$A),2,5)&amp;1)</f>
        <v>1300511</v>
      </c>
      <c r="B188" s="12" t="s">
        <v>111</v>
      </c>
      <c r="C188" s="12" t="s">
        <v>273</v>
      </c>
      <c r="D188" s="12" t="s">
        <v>341</v>
      </c>
      <c r="E188" s="11" t="str">
        <f t="shared" si="31"/>
        <v>skill_name_1300511</v>
      </c>
      <c r="F188" s="11" t="s">
        <v>117</v>
      </c>
      <c r="G188" s="11" t="s">
        <v>450</v>
      </c>
      <c r="H188" s="11" t="str">
        <f t="shared" si="32"/>
        <v>skill_desc_1300511</v>
      </c>
      <c r="I188" s="11" t="s">
        <v>205</v>
      </c>
      <c r="J188" s="11" t="str">
        <f>IFERROR(_xlfn.XLOOKUP(W188,Target!A:A,Target!J:J),"")</f>
        <v>Skill_Target_Icon_Enemy_Near_One</v>
      </c>
      <c r="K188" s="11" t="s">
        <v>205</v>
      </c>
      <c r="L188" s="11" t="str">
        <f>IFERROR(_xlfn.XLOOKUP(W188,Target!A:A,Target!K:K),"")</f>
        <v>Skill_Area_Icon_Pivot_Centor</v>
      </c>
      <c r="M188" s="11" t="str">
        <f>_xlfn.XLOOKUP(B188,'[2]Detail&lt;Child&gt;'!$B:$B,'[2]Detail&lt;Child&gt;'!$M:$M)</f>
        <v>Dark</v>
      </c>
      <c r="N188" s="11" t="str">
        <f>_xlfn.XLOOKUP(B188,'[2]Detail&lt;Child&gt;'!$B:$B,'[2]Detail&lt;Child&gt;'!$N:$N)</f>
        <v>Defender</v>
      </c>
      <c r="O188" s="11" t="s">
        <v>31</v>
      </c>
      <c r="P188" s="34">
        <v>0</v>
      </c>
      <c r="Q188" s="69" t="str" cm="1">
        <f t="array" ref="Q188">_xlfn.IFS(R188="Move","Move",R188="NonTargetMove","Move",R188="Static","Stand",R188="None","Stand")</f>
        <v>Stand</v>
      </c>
      <c r="R188" s="11" t="s">
        <v>136</v>
      </c>
      <c r="S188" s="11">
        <f>IF(R188="Static",0,1)</f>
        <v>0</v>
      </c>
      <c r="T188" s="15" t="str">
        <f t="shared" si="26"/>
        <v>SignalHit</v>
      </c>
      <c r="U188" s="15" t="str" cm="1">
        <f t="array" ref="U188">_xlfn.IFS(T188="SignalHIt","TurnEnd",T188="AttackBegin","TurnEnd",T188="AttackEnd","TurnEnd",T188="Immediately","Applied",T188="None","None")</f>
        <v>TurnEnd</v>
      </c>
      <c r="V188" s="15">
        <v>0</v>
      </c>
      <c r="W188" s="11">
        <v>2000011</v>
      </c>
      <c r="X188" s="10">
        <v>13005111</v>
      </c>
      <c r="Y188" s="11" t="str">
        <f t="shared" si="27"/>
        <v>Immediately</v>
      </c>
      <c r="Z188" s="15" t="str" cm="1">
        <f t="array" ref="Z188">_xlfn.IFS(Y188="SignalHIt","TurnEnd",Y188="AttackBegin","TurnEnd",Y188="AttackEnd","TurnEnd",Y188="Immediately","Applied",Y188="None","None")</f>
        <v>Applied</v>
      </c>
      <c r="AA188" s="15">
        <v>0</v>
      </c>
      <c r="AB188" s="11">
        <v>0</v>
      </c>
      <c r="AC188" s="10">
        <v>0</v>
      </c>
      <c r="AD188" s="15" t="str">
        <f t="shared" si="28"/>
        <v>Immediately</v>
      </c>
      <c r="AE188" s="15" t="str" cm="1">
        <f t="array" ref="AE188">_xlfn.IFS(AD188="SignalHIt","TurnEnd",AD188="AttackBegin","TurnEnd",AD188="AttackEnd","TurnEnd",AD188="Immediately","Applied",AD188="None","None")</f>
        <v>Applied</v>
      </c>
      <c r="AF188" s="15">
        <v>0</v>
      </c>
      <c r="AG188" s="11">
        <v>0</v>
      </c>
      <c r="AH188" s="10">
        <v>0</v>
      </c>
      <c r="AI188" s="15" t="str">
        <f t="shared" si="29"/>
        <v>Immediately</v>
      </c>
      <c r="AJ188" s="15" t="str" cm="1">
        <f t="array" ref="AJ188">_xlfn.IFS(AI188="SignalHIt","TurnEnd",AI188="AttackBegin","TurnEnd",AI188="AttackEnd","TurnEnd",AI188="Immediately","Applied",AI188="None","None")</f>
        <v>Applied</v>
      </c>
      <c r="AK188" s="15">
        <v>0</v>
      </c>
      <c r="AL188" s="10">
        <v>0</v>
      </c>
      <c r="AM188" s="50">
        <v>0</v>
      </c>
      <c r="AN188" s="46" t="str">
        <f>IFERROR(_xlfn.XLOOKUP(W188,Target!$A:$A,Target!$B:$B),"None")</f>
        <v xml:space="preserve">가까운 적 1명 </v>
      </c>
      <c r="AO188" s="47" t="str">
        <f>IFERROR(_xlfn.XLOOKUP($X188,'BuffValue&lt;Child&gt;'!$A:$A,'BuffValue&lt;Child&gt;'!$F:$F),"None")</f>
        <v>공용 대미지</v>
      </c>
      <c r="AP188" s="47">
        <f>IFERROR(_xlfn.XLOOKUP($X188,'BuffValue&lt;Child&gt;'!$A:$A,'BuffValue&lt;Child&gt;'!$K:$K),0)</f>
        <v>290000</v>
      </c>
      <c r="AQ188" s="47" t="str">
        <f>IFERROR(_xlfn.XLOOKUP(AB188,Target!$A:$A,Target!$B:$B),"None")</f>
        <v>None</v>
      </c>
      <c r="AR188" s="46" t="str">
        <f>IFERROR(_xlfn.XLOOKUP($AC188,'BuffValue&lt;Child&gt;'!$A:$A,'BuffValue&lt;Child&gt;'!$F:$F),"None")</f>
        <v>None</v>
      </c>
      <c r="AS188" s="46">
        <f>IFERROR(_xlfn.XLOOKUP($AC188,'BuffValue&lt;Child&gt;'!$A:$A,'BuffValue&lt;Child&gt;'!$K:$K),0)</f>
        <v>0</v>
      </c>
      <c r="AT188" s="47" t="str">
        <f>IFERROR(_xlfn.XLOOKUP(AG188,Target!$A:$A,Target!$B:$B),"None")</f>
        <v>None</v>
      </c>
      <c r="AU188" s="47" t="str">
        <f>IFERROR(_xlfn.XLOOKUP($AH188,'BuffValue&lt;Child&gt;'!$A:$A,'BuffValue&lt;Child&gt;'!$F:$F),"None")</f>
        <v>None</v>
      </c>
      <c r="AV188" s="47">
        <f>IFERROR(_xlfn.XLOOKUP($AH188,'BuffValue&lt;Child&gt;'!$A:$A,'BuffValue&lt;Child&gt;'!$K:$K),0)</f>
        <v>0</v>
      </c>
      <c r="AW188" s="47" t="str">
        <f>IFERROR(_xlfn.XLOOKUP(AL188,Target!$A:$A,Target!$B:$B),"None")</f>
        <v>None</v>
      </c>
      <c r="AX188" s="47" t="str">
        <f>IFERROR(_xlfn.XLOOKUP($AM188,'BuffValue&lt;Child&gt;'!$A:$A,'BuffValue&lt;Child&gt;'!$F:$F),"None")</f>
        <v>None</v>
      </c>
      <c r="AY188" s="47">
        <f>IFERROR(_xlfn.XLOOKUP($AM188,#REF!,#REF!),0)</f>
        <v>0</v>
      </c>
    </row>
    <row r="189" spans="1:51" x14ac:dyDescent="0.3">
      <c r="A189" s="1">
        <f>INT(2&amp;MID(_xlfn.XLOOKUP(B189,[2]Timeline!$B:$B,[2]Timeline!$A:$A),2,5)&amp;1)</f>
        <v>2300511</v>
      </c>
      <c r="B189" s="7" t="s">
        <v>110</v>
      </c>
      <c r="C189" s="7" t="s">
        <v>274</v>
      </c>
      <c r="D189" s="7" t="s">
        <v>561</v>
      </c>
      <c r="E189" s="1" t="str">
        <f t="shared" si="31"/>
        <v>skill_name_2300511</v>
      </c>
      <c r="F189" s="1" t="s">
        <v>117</v>
      </c>
      <c r="G189" s="1" t="s">
        <v>449</v>
      </c>
      <c r="H189" s="1" t="str">
        <f t="shared" si="32"/>
        <v>skill_desc_2300511</v>
      </c>
      <c r="I189" s="1" t="s">
        <v>205</v>
      </c>
      <c r="J189" s="1" t="str">
        <f>IFERROR(_xlfn.XLOOKUP(W189,Target!A:A,Target!J:J),"")</f>
        <v>Skill_Target_Icon_Ally</v>
      </c>
      <c r="K189" s="1" t="s">
        <v>205</v>
      </c>
      <c r="L189" s="1" t="s">
        <v>512</v>
      </c>
      <c r="M189" s="1" t="str">
        <f>_xlfn.XLOOKUP(B189,'[2]Detail&lt;Child&gt;'!$B:$B,'[2]Detail&lt;Child&gt;'!$M:$M)</f>
        <v>Dark</v>
      </c>
      <c r="N189" s="1" t="str">
        <f>_xlfn.XLOOKUP(B189,'[2]Detail&lt;Child&gt;'!$B:$B,'[2]Detail&lt;Child&gt;'!$N:$N)</f>
        <v>Defender</v>
      </c>
      <c r="O189" s="1" t="s">
        <v>33</v>
      </c>
      <c r="P189" s="33">
        <v>3</v>
      </c>
      <c r="Q189" s="68" t="s">
        <v>496</v>
      </c>
      <c r="R189" s="1" t="s">
        <v>136</v>
      </c>
      <c r="S189" s="1">
        <v>0</v>
      </c>
      <c r="T189" s="2" t="str">
        <f t="shared" si="26"/>
        <v>SignalHit</v>
      </c>
      <c r="U189" s="2" t="str" cm="1">
        <f t="array" ref="U189">_xlfn.IFS(T189="SignalHIt","TurnEnd",T189="AttackBegin","TurnEnd",T189="AttackEnd","TurnEnd",T189="Immediately","Applied",T189="None","None")</f>
        <v>TurnEnd</v>
      </c>
      <c r="V189" s="2">
        <v>0</v>
      </c>
      <c r="W189" s="1">
        <v>6</v>
      </c>
      <c r="X189" s="8">
        <v>23005111</v>
      </c>
      <c r="Y189" s="1" t="str">
        <f t="shared" si="27"/>
        <v>Immediately</v>
      </c>
      <c r="Z189" s="2" t="str" cm="1">
        <f t="array" ref="Z189">_xlfn.IFS(Y189="SignalHIt","TurnEnd",Y189="AttackBegin","TurnEnd",Y189="AttackEnd","TurnEnd",Y189="Immediately","Applied",Y189="None","None")</f>
        <v>Applied</v>
      </c>
      <c r="AA189" s="2">
        <v>0</v>
      </c>
      <c r="AB189" s="1">
        <v>0</v>
      </c>
      <c r="AC189" s="8">
        <v>0</v>
      </c>
      <c r="AD189" s="2" t="str">
        <f t="shared" si="28"/>
        <v>Immediately</v>
      </c>
      <c r="AE189" s="2" t="str" cm="1">
        <f t="array" ref="AE189">_xlfn.IFS(AD189="SignalHIt","TurnEnd",AD189="AttackBegin","TurnEnd",AD189="AttackEnd","TurnEnd",AD189="Immediately","Applied",AD189="None","None")</f>
        <v>Applied</v>
      </c>
      <c r="AF189" s="2">
        <v>0</v>
      </c>
      <c r="AG189" s="1">
        <v>0</v>
      </c>
      <c r="AH189" s="8">
        <v>0</v>
      </c>
      <c r="AI189" s="2" t="str">
        <f t="shared" si="29"/>
        <v>Immediately</v>
      </c>
      <c r="AJ189" s="2" t="str" cm="1">
        <f t="array" ref="AJ189">_xlfn.IFS(AI189="SignalHIt","TurnEnd",AI189="AttackBegin","TurnEnd",AI189="AttackEnd","TurnEnd",AI189="Immediately","Applied",AI189="None","None")</f>
        <v>Applied</v>
      </c>
      <c r="AK189" s="2">
        <v>0</v>
      </c>
      <c r="AL189" s="8">
        <v>0</v>
      </c>
      <c r="AM189" s="48">
        <v>0</v>
      </c>
      <c r="AN189" s="45" t="str">
        <f>IFERROR(_xlfn.XLOOKUP(W189,Target!$A:$A,Target!$B:$B),"None")</f>
        <v>자신 뒤 1칸</v>
      </c>
      <c r="AO189" s="43" t="str">
        <f>IFERROR(_xlfn.XLOOKUP($X189,'BuffValue&lt;Child&gt;'!$A:$A,'BuffValue&lt;Child&gt;'!$F:$F),"None")</f>
        <v>프레이 계약</v>
      </c>
      <c r="AP189" s="43">
        <f>IFERROR(_xlfn.XLOOKUP($X189,'BuffValue&lt;Child&gt;'!$A:$A,'BuffValue&lt;Child&gt;'!$K:$K),0)</f>
        <v>20000</v>
      </c>
      <c r="AQ189" s="43" t="str">
        <f>IFERROR(_xlfn.XLOOKUP(AB189,Target!$A:$A,Target!$B:$B),"None")</f>
        <v>None</v>
      </c>
      <c r="AR189" s="45" t="str">
        <f>IFERROR(_xlfn.XLOOKUP($AC189,'BuffValue&lt;Child&gt;'!$A:$A,'BuffValue&lt;Child&gt;'!$F:$F),"None")</f>
        <v>None</v>
      </c>
      <c r="AS189" s="45">
        <f>IFERROR(_xlfn.XLOOKUP($AC189,'BuffValue&lt;Child&gt;'!$A:$A,'BuffValue&lt;Child&gt;'!$K:$K),0)</f>
        <v>0</v>
      </c>
      <c r="AT189" s="43" t="str">
        <f>IFERROR(_xlfn.XLOOKUP(AG189,Target!$A:$A,Target!$B:$B),"None")</f>
        <v>None</v>
      </c>
      <c r="AU189" s="43" t="str">
        <f>IFERROR(_xlfn.XLOOKUP($AH189,'BuffValue&lt;Child&gt;'!$A:$A,'BuffValue&lt;Child&gt;'!$F:$F),"None")</f>
        <v>None</v>
      </c>
      <c r="AV189" s="43">
        <f>IFERROR(_xlfn.XLOOKUP($AH189,'BuffValue&lt;Child&gt;'!$A:$A,'BuffValue&lt;Child&gt;'!$K:$K),0)</f>
        <v>0</v>
      </c>
      <c r="AW189" s="43" t="str">
        <f>IFERROR(_xlfn.XLOOKUP(AL189,Target!$A:$A,Target!$B:$B),"None")</f>
        <v>None</v>
      </c>
      <c r="AX189" s="43" t="str">
        <f>IFERROR(_xlfn.XLOOKUP($AM189,'BuffValue&lt;Child&gt;'!$A:$A,'BuffValue&lt;Child&gt;'!$F:$F),"None")</f>
        <v>None</v>
      </c>
      <c r="AY189" s="43">
        <f>IFERROR(_xlfn.XLOOKUP($AM189,#REF!,#REF!),0)</f>
        <v>0</v>
      </c>
    </row>
    <row r="190" spans="1:51" x14ac:dyDescent="0.3">
      <c r="A190" s="1">
        <f>INT(2&amp;MID(_xlfn.XLOOKUP(B190,[2]Timeline!$B:$B,[2]Timeline!$A:$A),2,5)&amp;2)</f>
        <v>2300512</v>
      </c>
      <c r="B190" s="7" t="s">
        <v>110</v>
      </c>
      <c r="C190" s="7" t="s">
        <v>274</v>
      </c>
      <c r="D190" s="7" t="s">
        <v>561</v>
      </c>
      <c r="E190" s="1" t="str">
        <f t="shared" si="31"/>
        <v>skill_name_2300512</v>
      </c>
      <c r="F190" s="1" t="s">
        <v>117</v>
      </c>
      <c r="G190" s="1" t="s">
        <v>449</v>
      </c>
      <c r="H190" s="1" t="str">
        <f t="shared" si="32"/>
        <v>skill_desc_2300512</v>
      </c>
      <c r="I190" s="1" t="s">
        <v>205</v>
      </c>
      <c r="J190" s="1" t="str">
        <f>IFERROR(_xlfn.XLOOKUP(W190,Target!A:A,Target!J:J),"")</f>
        <v>Skill_Target_Icon_Ally</v>
      </c>
      <c r="K190" s="1" t="s">
        <v>205</v>
      </c>
      <c r="L190" s="1" t="s">
        <v>512</v>
      </c>
      <c r="M190" s="1" t="str">
        <f>_xlfn.XLOOKUP(B190,'[2]Detail&lt;Child&gt;'!$B:$B,'[2]Detail&lt;Child&gt;'!$M:$M)</f>
        <v>Dark</v>
      </c>
      <c r="N190" s="1" t="str">
        <f>_xlfn.XLOOKUP(B190,'[2]Detail&lt;Child&gt;'!$B:$B,'[2]Detail&lt;Child&gt;'!$N:$N)</f>
        <v>Defender</v>
      </c>
      <c r="O190" s="1" t="s">
        <v>33</v>
      </c>
      <c r="P190" s="33">
        <v>2</v>
      </c>
      <c r="Q190" s="68" t="s">
        <v>137</v>
      </c>
      <c r="R190" s="1" t="s">
        <v>136</v>
      </c>
      <c r="S190" s="1">
        <v>0</v>
      </c>
      <c r="T190" s="2" t="str">
        <f t="shared" si="26"/>
        <v>SignalHit</v>
      </c>
      <c r="U190" s="2" t="str" cm="1">
        <f t="array" ref="U190">_xlfn.IFS(T190="SignalHIt","TurnEnd",T190="AttackBegin","TurnEnd",T190="AttackEnd","TurnEnd",T190="Immediately","Applied",T190="None","None")</f>
        <v>TurnEnd</v>
      </c>
      <c r="V190" s="2">
        <v>0</v>
      </c>
      <c r="W190" s="1">
        <v>6</v>
      </c>
      <c r="X190" s="8">
        <v>23005121</v>
      </c>
      <c r="Y190" s="1" t="str">
        <f t="shared" si="27"/>
        <v>Immediately</v>
      </c>
      <c r="Z190" s="2" t="str" cm="1">
        <f t="array" ref="Z190">_xlfn.IFS(Y190="SignalHIt","TurnEnd",Y190="AttackBegin","TurnEnd",Y190="AttackEnd","TurnEnd",Y190="Immediately","Applied",Y190="None","None")</f>
        <v>Applied</v>
      </c>
      <c r="AA190" s="2">
        <v>0</v>
      </c>
      <c r="AB190" s="1">
        <v>0</v>
      </c>
      <c r="AC190" s="8">
        <v>0</v>
      </c>
      <c r="AD190" s="2" t="str">
        <f t="shared" si="28"/>
        <v>Immediately</v>
      </c>
      <c r="AE190" s="2" t="str" cm="1">
        <f t="array" ref="AE190">_xlfn.IFS(AD190="SignalHIt","TurnEnd",AD190="AttackBegin","TurnEnd",AD190="AttackEnd","TurnEnd",AD190="Immediately","Applied",AD190="None","None")</f>
        <v>Applied</v>
      </c>
      <c r="AF190" s="2">
        <v>0</v>
      </c>
      <c r="AG190" s="1">
        <v>0</v>
      </c>
      <c r="AH190" s="8">
        <v>0</v>
      </c>
      <c r="AI190" s="2" t="str">
        <f t="shared" si="29"/>
        <v>Immediately</v>
      </c>
      <c r="AJ190" s="2" t="str" cm="1">
        <f t="array" ref="AJ190">_xlfn.IFS(AI190="SignalHIt","TurnEnd",AI190="AttackBegin","TurnEnd",AI190="AttackEnd","TurnEnd",AI190="Immediately","Applied",AI190="None","None")</f>
        <v>Applied</v>
      </c>
      <c r="AK190" s="2">
        <v>0</v>
      </c>
      <c r="AL190" s="8">
        <v>0</v>
      </c>
      <c r="AM190" s="48">
        <v>0</v>
      </c>
      <c r="AN190" s="45" t="str">
        <f>IFERROR(_xlfn.XLOOKUP(W190,Target!$A:$A,Target!$B:$B),"None")</f>
        <v>자신 뒤 1칸</v>
      </c>
      <c r="AO190" s="43" t="str">
        <f>IFERROR(_xlfn.XLOOKUP($X190,'BuffValue&lt;Child&gt;'!$A:$A,'BuffValue&lt;Child&gt;'!$F:$F),"None")</f>
        <v>프레이 계약</v>
      </c>
      <c r="AP190" s="43">
        <f>IFERROR(_xlfn.XLOOKUP($X190,'BuffValue&lt;Child&gt;'!$A:$A,'BuffValue&lt;Child&gt;'!$K:$K),0)</f>
        <v>20000</v>
      </c>
      <c r="AQ190" s="43" t="str">
        <f>IFERROR(_xlfn.XLOOKUP(AB190,Target!$A:$A,Target!$B:$B),"None")</f>
        <v>None</v>
      </c>
      <c r="AR190" s="45" t="str">
        <f>IFERROR(_xlfn.XLOOKUP($AC190,'BuffValue&lt;Child&gt;'!$A:$A,'BuffValue&lt;Child&gt;'!$F:$F),"None")</f>
        <v>None</v>
      </c>
      <c r="AS190" s="45">
        <f>IFERROR(_xlfn.XLOOKUP($AC190,'BuffValue&lt;Child&gt;'!$A:$A,'BuffValue&lt;Child&gt;'!$K:$K),0)</f>
        <v>0</v>
      </c>
      <c r="AT190" s="43" t="str">
        <f>IFERROR(_xlfn.XLOOKUP(AG190,Target!$A:$A,Target!$B:$B),"None")</f>
        <v>None</v>
      </c>
      <c r="AU190" s="43" t="str">
        <f>IFERROR(_xlfn.XLOOKUP($AH190,'BuffValue&lt;Child&gt;'!$A:$A,'BuffValue&lt;Child&gt;'!$F:$F),"None")</f>
        <v>None</v>
      </c>
      <c r="AV190" s="43">
        <f>IFERROR(_xlfn.XLOOKUP($AH190,'BuffValue&lt;Child&gt;'!$A:$A,'BuffValue&lt;Child&gt;'!$K:$K),0)</f>
        <v>0</v>
      </c>
      <c r="AW190" s="43" t="str">
        <f>IFERROR(_xlfn.XLOOKUP(AL190,Target!$A:$A,Target!$B:$B),"None")</f>
        <v>None</v>
      </c>
      <c r="AX190" s="43" t="str">
        <f>IFERROR(_xlfn.XLOOKUP($AM190,'BuffValue&lt;Child&gt;'!$A:$A,'BuffValue&lt;Child&gt;'!$F:$F),"None")</f>
        <v>None</v>
      </c>
      <c r="AY190" s="43">
        <f>IFERROR(_xlfn.XLOOKUP($AM190,#REF!,#REF!),0)</f>
        <v>0</v>
      </c>
    </row>
    <row r="191" spans="1:51" x14ac:dyDescent="0.3">
      <c r="A191" s="1">
        <f>INT(3&amp;MID(_xlfn.XLOOKUP(B191,[2]Timeline!$B:$B,[2]Timeline!$A:$A),2,5)&amp;1)</f>
        <v>3300511</v>
      </c>
      <c r="B191" s="7" t="s">
        <v>110</v>
      </c>
      <c r="C191" s="7" t="s">
        <v>275</v>
      </c>
      <c r="D191" s="7" t="s">
        <v>562</v>
      </c>
      <c r="E191" s="1" t="str">
        <f t="shared" si="31"/>
        <v>skill_name_3300511</v>
      </c>
      <c r="F191" s="1" t="s">
        <v>117</v>
      </c>
      <c r="G191" s="1" t="s">
        <v>408</v>
      </c>
      <c r="H191" s="1" t="str">
        <f t="shared" si="32"/>
        <v>skill_desc_3300511</v>
      </c>
      <c r="I191" s="1" t="s">
        <v>205</v>
      </c>
      <c r="J191" s="1" t="str">
        <f>IFERROR(_xlfn.XLOOKUP(W191,Target!A:A,Target!J:J),"")</f>
        <v>Skill_Target_Icon_Enemy</v>
      </c>
      <c r="K191" s="1" t="s">
        <v>205</v>
      </c>
      <c r="L191" s="1" t="str">
        <f>IFERROR(_xlfn.XLOOKUP(W191,Target!A:A,Target!K:K),"")</f>
        <v>Skill_Area_Icon_NonTarget_All</v>
      </c>
      <c r="M191" s="1" t="str">
        <f>_xlfn.XLOOKUP(B191,'[2]Detail&lt;Child&gt;'!$B:$B,'[2]Detail&lt;Child&gt;'!$M:$M)</f>
        <v>Dark</v>
      </c>
      <c r="N191" s="1" t="str">
        <f>_xlfn.XLOOKUP(B191,'[2]Detail&lt;Child&gt;'!$B:$B,'[2]Detail&lt;Child&gt;'!$N:$N)</f>
        <v>Defender</v>
      </c>
      <c r="O191" s="1" t="s">
        <v>140</v>
      </c>
      <c r="P191" s="33">
        <v>0</v>
      </c>
      <c r="Q191" s="68" t="str" cm="1">
        <f t="array" ref="Q191">_xlfn.IFS(R191="Move","Move",R191="NonTargetMove","Move",R191="Static","Stand",R191="None","Stand")</f>
        <v>Move</v>
      </c>
      <c r="R191" s="1" t="s">
        <v>153</v>
      </c>
      <c r="S191" s="1">
        <v>1</v>
      </c>
      <c r="T191" s="2" t="str">
        <f t="shared" si="26"/>
        <v>SignalHit</v>
      </c>
      <c r="U191" s="2" t="str" cm="1">
        <f t="array" ref="U191">_xlfn.IFS(T191="SignalHIt","TurnEnd",T191="AttackBegin","TurnEnd",T191="AttackEnd","TurnEnd",T191="Immediately","Applied",T191="None","None")</f>
        <v>TurnEnd</v>
      </c>
      <c r="V191" s="2">
        <v>0</v>
      </c>
      <c r="W191" s="1">
        <v>920001</v>
      </c>
      <c r="X191" s="8">
        <v>33005111</v>
      </c>
      <c r="Y191" s="1" t="str">
        <f t="shared" si="27"/>
        <v>Immediately</v>
      </c>
      <c r="Z191" s="2" t="str" cm="1">
        <f t="array" ref="Z191">_xlfn.IFS(Y191="SignalHIt","TurnEnd",Y191="AttackBegin","TurnEnd",Y191="AttackEnd","TurnEnd",Y191="Immediately","Applied",Y191="None","None")</f>
        <v>Applied</v>
      </c>
      <c r="AA191" s="2">
        <v>0</v>
      </c>
      <c r="AB191" s="1">
        <v>0</v>
      </c>
      <c r="AC191" s="8">
        <v>0</v>
      </c>
      <c r="AD191" s="2" t="str">
        <f t="shared" si="28"/>
        <v>AttackEnd</v>
      </c>
      <c r="AE191" s="2" t="str" cm="1">
        <f t="array" ref="AE191">_xlfn.IFS(AD191="SignalHIt","TurnEnd",AD191="AttackBegin","TurnEnd",AD191="AttackEnd","TurnEnd",AD191="Immediately","Applied",AD191="None","None")</f>
        <v>TurnEnd</v>
      </c>
      <c r="AF191" s="2">
        <v>0</v>
      </c>
      <c r="AG191" s="1">
        <v>1000000</v>
      </c>
      <c r="AH191" s="8">
        <v>33005112</v>
      </c>
      <c r="AI191" s="2" t="str">
        <f t="shared" si="29"/>
        <v>Immediately</v>
      </c>
      <c r="AJ191" s="2" t="str" cm="1">
        <f t="array" ref="AJ191">_xlfn.IFS(AI191="SignalHIt","TurnEnd",AI191="AttackBegin","TurnEnd",AI191="AttackEnd","TurnEnd",AI191="Immediately","Applied",AI191="None","None")</f>
        <v>Applied</v>
      </c>
      <c r="AK191" s="2">
        <v>0</v>
      </c>
      <c r="AL191" s="8">
        <v>0</v>
      </c>
      <c r="AM191" s="48">
        <v>0</v>
      </c>
      <c r="AN191" s="45" t="str">
        <f>IFERROR(_xlfn.XLOOKUP(W191,Target!$A:$A,Target!$B:$B),"None")</f>
        <v>논타겟 적 9칸</v>
      </c>
      <c r="AO191" s="43" t="str">
        <f>IFERROR(_xlfn.XLOOKUP($X191,'BuffValue&lt;Child&gt;'!$A:$A,'BuffValue&lt;Child&gt;'!$F:$F),"None")</f>
        <v>얼티밋 대미지</v>
      </c>
      <c r="AP191" s="43">
        <f>IFERROR(_xlfn.XLOOKUP($X191,'BuffValue&lt;Child&gt;'!$A:$A,'BuffValue&lt;Child&gt;'!$K:$K),0)</f>
        <v>120000</v>
      </c>
      <c r="AQ191" s="43" t="str">
        <f>IFERROR(_xlfn.XLOOKUP(AB191,Target!$A:$A,Target!$B:$B),"None")</f>
        <v>None</v>
      </c>
      <c r="AR191" s="45" t="str">
        <f>IFERROR(_xlfn.XLOOKUP($AC191,'BuffValue&lt;Child&gt;'!$A:$A,'BuffValue&lt;Child&gt;'!$F:$F),"None")</f>
        <v>None</v>
      </c>
      <c r="AS191" s="45">
        <f>IFERROR(_xlfn.XLOOKUP($AC191,'BuffValue&lt;Child&gt;'!$A:$A,'BuffValue&lt;Child&gt;'!$K:$K),0)</f>
        <v>0</v>
      </c>
      <c r="AT191" s="43" t="str">
        <f>IFERROR(_xlfn.XLOOKUP(AG191,Target!$A:$A,Target!$B:$B),"None")</f>
        <v>모든 아군</v>
      </c>
      <c r="AU191" s="43" t="str">
        <f>IFERROR(_xlfn.XLOOKUP($AH191,'BuffValue&lt;Child&gt;'!$A:$A,'BuffValue&lt;Child&gt;'!$F:$F),"None")</f>
        <v>프레이 얼티밋 속도 증가</v>
      </c>
      <c r="AV191" s="43">
        <f>IFERROR(_xlfn.XLOOKUP($AH191,'BuffValue&lt;Child&gt;'!$A:$A,'BuffValue&lt;Child&gt;'!$K:$K),0)</f>
        <v>20</v>
      </c>
      <c r="AW191" s="43" t="str">
        <f>IFERROR(_xlfn.XLOOKUP(AL191,Target!$A:$A,Target!$B:$B),"None")</f>
        <v>None</v>
      </c>
      <c r="AX191" s="43" t="str">
        <f>IFERROR(_xlfn.XLOOKUP($AM191,'BuffValue&lt;Child&gt;'!$A:$A,'BuffValue&lt;Child&gt;'!$F:$F),"None")</f>
        <v>None</v>
      </c>
      <c r="AY191" s="43">
        <f>IFERROR(_xlfn.XLOOKUP($AM191,#REF!,#REF!),0)</f>
        <v>0</v>
      </c>
    </row>
    <row r="192" spans="1:51" x14ac:dyDescent="0.3">
      <c r="A192" s="1">
        <f>INT(3&amp;MID(_xlfn.XLOOKUP(B192,[2]Timeline!$B:$B,[2]Timeline!$A:$A),2,5)&amp;2)</f>
        <v>3300512</v>
      </c>
      <c r="B192" s="7" t="s">
        <v>110</v>
      </c>
      <c r="C192" s="7" t="s">
        <v>275</v>
      </c>
      <c r="D192" s="7" t="s">
        <v>562</v>
      </c>
      <c r="E192" s="1" t="str">
        <f t="shared" si="31"/>
        <v>skill_name_3300512</v>
      </c>
      <c r="F192" s="1" t="s">
        <v>117</v>
      </c>
      <c r="G192" s="1" t="s">
        <v>408</v>
      </c>
      <c r="H192" s="1" t="str">
        <f t="shared" si="32"/>
        <v>skill_desc_3300512</v>
      </c>
      <c r="I192" s="1" t="s">
        <v>205</v>
      </c>
      <c r="J192" s="1" t="str">
        <f>IFERROR(_xlfn.XLOOKUP(W192,Target!A:A,Target!J:J),"")</f>
        <v>Skill_Target_Icon_Enemy</v>
      </c>
      <c r="K192" s="1" t="s">
        <v>205</v>
      </c>
      <c r="L192" s="1" t="str">
        <f>IFERROR(_xlfn.XLOOKUP(W192,Target!A:A,Target!K:K),"")</f>
        <v>Skill_Area_Icon_NonTarget_All</v>
      </c>
      <c r="M192" s="1" t="str">
        <f>_xlfn.XLOOKUP(B192,'[2]Detail&lt;Child&gt;'!$B:$B,'[2]Detail&lt;Child&gt;'!$M:$M)</f>
        <v>Dark</v>
      </c>
      <c r="N192" s="1" t="str">
        <f>_xlfn.XLOOKUP(B192,'[2]Detail&lt;Child&gt;'!$B:$B,'[2]Detail&lt;Child&gt;'!$N:$N)</f>
        <v>Defender</v>
      </c>
      <c r="O192" s="1" t="s">
        <v>140</v>
      </c>
      <c r="P192" s="33">
        <v>0</v>
      </c>
      <c r="Q192" s="68" t="str" cm="1">
        <f t="array" ref="Q192">_xlfn.IFS(R192="Move","Move",R192="NonTargetMove","Move",R192="Static","Stand",R192="None","Stand")</f>
        <v>Move</v>
      </c>
      <c r="R192" s="1" t="s">
        <v>153</v>
      </c>
      <c r="S192" s="1">
        <v>1</v>
      </c>
      <c r="T192" s="2" t="str">
        <f t="shared" si="26"/>
        <v>SignalHit</v>
      </c>
      <c r="U192" s="2" t="str" cm="1">
        <f t="array" ref="U192">_xlfn.IFS(T192="SignalHIt","TurnEnd",T192="AttackBegin","TurnEnd",T192="AttackEnd","TurnEnd",T192="Immediately","Applied",T192="None","None")</f>
        <v>TurnEnd</v>
      </c>
      <c r="V192" s="2">
        <v>0</v>
      </c>
      <c r="W192" s="1">
        <v>920001</v>
      </c>
      <c r="X192" s="8">
        <v>33005121</v>
      </c>
      <c r="Y192" s="1" t="str">
        <f t="shared" si="27"/>
        <v>Immediately</v>
      </c>
      <c r="Z192" s="2" t="str" cm="1">
        <f t="array" ref="Z192">_xlfn.IFS(Y192="SignalHIt","TurnEnd",Y192="AttackBegin","TurnEnd",Y192="AttackEnd","TurnEnd",Y192="Immediately","Applied",Y192="None","None")</f>
        <v>Applied</v>
      </c>
      <c r="AA192" s="2">
        <v>0</v>
      </c>
      <c r="AB192" s="1">
        <v>0</v>
      </c>
      <c r="AC192" s="8">
        <v>0</v>
      </c>
      <c r="AD192" s="2" t="str">
        <f t="shared" si="28"/>
        <v>AttackEnd</v>
      </c>
      <c r="AE192" s="2" t="str" cm="1">
        <f t="array" ref="AE192">_xlfn.IFS(AD192="SignalHIt","TurnEnd",AD192="AttackBegin","TurnEnd",AD192="AttackEnd","TurnEnd",AD192="Immediately","Applied",AD192="None","None")</f>
        <v>TurnEnd</v>
      </c>
      <c r="AF192" s="2">
        <v>0</v>
      </c>
      <c r="AG192" s="1">
        <v>1000000</v>
      </c>
      <c r="AH192" s="8">
        <v>33005122</v>
      </c>
      <c r="AI192" s="2" t="str">
        <f t="shared" si="29"/>
        <v>Immediately</v>
      </c>
      <c r="AJ192" s="2" t="str" cm="1">
        <f t="array" ref="AJ192">_xlfn.IFS(AI192="SignalHIt","TurnEnd",AI192="AttackBegin","TurnEnd",AI192="AttackEnd","TurnEnd",AI192="Immediately","Applied",AI192="None","None")</f>
        <v>Applied</v>
      </c>
      <c r="AK192" s="2">
        <v>0</v>
      </c>
      <c r="AL192" s="8">
        <v>0</v>
      </c>
      <c r="AM192" s="48">
        <v>0</v>
      </c>
      <c r="AN192" s="45" t="str">
        <f>IFERROR(_xlfn.XLOOKUP(W192,Target!$A:$A,Target!$B:$B),"None")</f>
        <v>논타겟 적 9칸</v>
      </c>
      <c r="AO192" s="43" t="str">
        <f>IFERROR(_xlfn.XLOOKUP($X192,'BuffValue&lt;Child&gt;'!$A:$A,'BuffValue&lt;Child&gt;'!$F:$F),"None")</f>
        <v>얼티밋 대미지</v>
      </c>
      <c r="AP192" s="43">
        <f>IFERROR(_xlfn.XLOOKUP($X192,'BuffValue&lt;Child&gt;'!$A:$A,'BuffValue&lt;Child&gt;'!$K:$K),0)</f>
        <v>120000</v>
      </c>
      <c r="AQ192" s="43" t="str">
        <f>IFERROR(_xlfn.XLOOKUP(AB192,Target!$A:$A,Target!$B:$B),"None")</f>
        <v>None</v>
      </c>
      <c r="AR192" s="45" t="str">
        <f>IFERROR(_xlfn.XLOOKUP($AC192,'BuffValue&lt;Child&gt;'!$A:$A,'BuffValue&lt;Child&gt;'!$F:$F),"None")</f>
        <v>None</v>
      </c>
      <c r="AS192" s="45">
        <f>IFERROR(_xlfn.XLOOKUP($AC192,'BuffValue&lt;Child&gt;'!$A:$A,'BuffValue&lt;Child&gt;'!$K:$K),0)</f>
        <v>0</v>
      </c>
      <c r="AT192" s="43" t="str">
        <f>IFERROR(_xlfn.XLOOKUP(AG192,Target!$A:$A,Target!$B:$B),"None")</f>
        <v>모든 아군</v>
      </c>
      <c r="AU192" s="43" t="str">
        <f>IFERROR(_xlfn.XLOOKUP($AH192,'BuffValue&lt;Child&gt;'!$A:$A,'BuffValue&lt;Child&gt;'!$F:$F),"None")</f>
        <v>프레이 얼티밋 속도 증가</v>
      </c>
      <c r="AV192" s="43">
        <f>IFERROR(_xlfn.XLOOKUP($AH192,'BuffValue&lt;Child&gt;'!$A:$A,'BuffValue&lt;Child&gt;'!$K:$K),0)</f>
        <v>20</v>
      </c>
      <c r="AW192" s="43" t="str">
        <f>IFERROR(_xlfn.XLOOKUP(AL192,Target!$A:$A,Target!$B:$B),"None")</f>
        <v>None</v>
      </c>
      <c r="AX192" s="43" t="str">
        <f>IFERROR(_xlfn.XLOOKUP($AM192,'BuffValue&lt;Child&gt;'!$A:$A,'BuffValue&lt;Child&gt;'!$F:$F),"None")</f>
        <v>None</v>
      </c>
      <c r="AY192" s="43">
        <f>IFERROR(_xlfn.XLOOKUP($AM192,#REF!,#REF!),0)</f>
        <v>0</v>
      </c>
    </row>
    <row r="193" spans="1:51" x14ac:dyDescent="0.3">
      <c r="A193" s="1">
        <f>INT(3&amp;MID(_xlfn.XLOOKUP(B193,[2]Timeline!$B:$B,[2]Timeline!$A:$A),2,5)&amp;3)</f>
        <v>3300513</v>
      </c>
      <c r="B193" s="7" t="s">
        <v>110</v>
      </c>
      <c r="C193" s="7" t="s">
        <v>275</v>
      </c>
      <c r="D193" s="7" t="s">
        <v>562</v>
      </c>
      <c r="E193" s="1" t="str">
        <f t="shared" si="31"/>
        <v>skill_name_3300513</v>
      </c>
      <c r="F193" s="1" t="s">
        <v>117</v>
      </c>
      <c r="G193" s="1" t="s">
        <v>408</v>
      </c>
      <c r="H193" s="1" t="str">
        <f t="shared" si="32"/>
        <v>skill_desc_3300513</v>
      </c>
      <c r="I193" s="1" t="s">
        <v>205</v>
      </c>
      <c r="J193" s="1" t="str">
        <f>IFERROR(_xlfn.XLOOKUP(W193,Target!A:A,Target!J:J),"")</f>
        <v>Skill_Target_Icon_Enemy</v>
      </c>
      <c r="K193" s="1" t="s">
        <v>205</v>
      </c>
      <c r="L193" s="1" t="str">
        <f>IFERROR(_xlfn.XLOOKUP(W193,Target!A:A,Target!K:K),"")</f>
        <v>Skill_Area_Icon_NonTarget_All</v>
      </c>
      <c r="M193" s="1" t="str">
        <f>_xlfn.XLOOKUP(B193,'[2]Detail&lt;Child&gt;'!$B:$B,'[2]Detail&lt;Child&gt;'!$M:$M)</f>
        <v>Dark</v>
      </c>
      <c r="N193" s="1" t="str">
        <f>_xlfn.XLOOKUP(B193,'[2]Detail&lt;Child&gt;'!$B:$B,'[2]Detail&lt;Child&gt;'!$N:$N)</f>
        <v>Defender</v>
      </c>
      <c r="O193" s="1" t="s">
        <v>140</v>
      </c>
      <c r="P193" s="33">
        <v>0</v>
      </c>
      <c r="Q193" s="68" t="str" cm="1">
        <f t="array" ref="Q193">_xlfn.IFS(R193="Move","Move",R193="NonTargetMove","Move",R193="Static","Stand",R193="None","Stand")</f>
        <v>Move</v>
      </c>
      <c r="R193" s="1" t="s">
        <v>153</v>
      </c>
      <c r="S193" s="1">
        <v>1</v>
      </c>
      <c r="T193" s="2" t="str">
        <f t="shared" si="26"/>
        <v>SignalHit</v>
      </c>
      <c r="U193" s="2" t="str" cm="1">
        <f t="array" ref="U193">_xlfn.IFS(T193="SignalHIt","TurnEnd",T193="AttackBegin","TurnEnd",T193="AttackEnd","TurnEnd",T193="Immediately","Applied",T193="None","None")</f>
        <v>TurnEnd</v>
      </c>
      <c r="V193" s="2">
        <v>0</v>
      </c>
      <c r="W193" s="1">
        <v>920001</v>
      </c>
      <c r="X193" s="8">
        <v>33005131</v>
      </c>
      <c r="Y193" s="1" t="str">
        <f t="shared" si="27"/>
        <v>Immediately</v>
      </c>
      <c r="Z193" s="2" t="str" cm="1">
        <f t="array" ref="Z193">_xlfn.IFS(Y193="SignalHIt","TurnEnd",Y193="AttackBegin","TurnEnd",Y193="AttackEnd","TurnEnd",Y193="Immediately","Applied",Y193="None","None")</f>
        <v>Applied</v>
      </c>
      <c r="AA193" s="2">
        <v>0</v>
      </c>
      <c r="AB193" s="1">
        <v>0</v>
      </c>
      <c r="AC193" s="8">
        <v>0</v>
      </c>
      <c r="AD193" s="2" t="str">
        <f t="shared" si="28"/>
        <v>AttackEnd</v>
      </c>
      <c r="AE193" s="2" t="str" cm="1">
        <f t="array" ref="AE193">_xlfn.IFS(AD193="SignalHIt","TurnEnd",AD193="AttackBegin","TurnEnd",AD193="AttackEnd","TurnEnd",AD193="Immediately","Applied",AD193="None","None")</f>
        <v>TurnEnd</v>
      </c>
      <c r="AF193" s="2">
        <v>0</v>
      </c>
      <c r="AG193" s="1">
        <v>1000000</v>
      </c>
      <c r="AH193" s="8">
        <v>33005132</v>
      </c>
      <c r="AI193" s="2" t="str">
        <f t="shared" si="29"/>
        <v>Immediately</v>
      </c>
      <c r="AJ193" s="2" t="str" cm="1">
        <f t="array" ref="AJ193">_xlfn.IFS(AI193="SignalHIt","TurnEnd",AI193="AttackBegin","TurnEnd",AI193="AttackEnd","TurnEnd",AI193="Immediately","Applied",AI193="None","None")</f>
        <v>Applied</v>
      </c>
      <c r="AK193" s="2">
        <v>0</v>
      </c>
      <c r="AL193" s="8">
        <v>0</v>
      </c>
      <c r="AM193" s="48">
        <v>0</v>
      </c>
      <c r="AN193" s="45" t="str">
        <f>IFERROR(_xlfn.XLOOKUP(W193,Target!$A:$A,Target!$B:$B),"None")</f>
        <v>논타겟 적 9칸</v>
      </c>
      <c r="AO193" s="43" t="str">
        <f>IFERROR(_xlfn.XLOOKUP($X193,'BuffValue&lt;Child&gt;'!$A:$A,'BuffValue&lt;Child&gt;'!$F:$F),"None")</f>
        <v>얼티밋 대미지</v>
      </c>
      <c r="AP193" s="43">
        <f>IFERROR(_xlfn.XLOOKUP($X193,'BuffValue&lt;Child&gt;'!$A:$A,'BuffValue&lt;Child&gt;'!$K:$K),0)</f>
        <v>120000</v>
      </c>
      <c r="AQ193" s="43" t="str">
        <f>IFERROR(_xlfn.XLOOKUP(AB193,Target!$A:$A,Target!$B:$B),"None")</f>
        <v>None</v>
      </c>
      <c r="AR193" s="45" t="str">
        <f>IFERROR(_xlfn.XLOOKUP($AC193,'BuffValue&lt;Child&gt;'!$A:$A,'BuffValue&lt;Child&gt;'!$F:$F),"None")</f>
        <v>None</v>
      </c>
      <c r="AS193" s="45">
        <f>IFERROR(_xlfn.XLOOKUP($AC193,'BuffValue&lt;Child&gt;'!$A:$A,'BuffValue&lt;Child&gt;'!$K:$K),0)</f>
        <v>0</v>
      </c>
      <c r="AT193" s="43" t="str">
        <f>IFERROR(_xlfn.XLOOKUP(AG193,Target!$A:$A,Target!$B:$B),"None")</f>
        <v>모든 아군</v>
      </c>
      <c r="AU193" s="43" t="str">
        <f>IFERROR(_xlfn.XLOOKUP($AH193,'BuffValue&lt;Child&gt;'!$A:$A,'BuffValue&lt;Child&gt;'!$F:$F),"None")</f>
        <v>프레이 얼티밋 속도 증가</v>
      </c>
      <c r="AV193" s="43">
        <f>IFERROR(_xlfn.XLOOKUP($AH193,'BuffValue&lt;Child&gt;'!$A:$A,'BuffValue&lt;Child&gt;'!$K:$K),0)</f>
        <v>20</v>
      </c>
      <c r="AW193" s="43" t="str">
        <f>IFERROR(_xlfn.XLOOKUP(AL193,Target!$A:$A,Target!$B:$B),"None")</f>
        <v>None</v>
      </c>
      <c r="AX193" s="43" t="str">
        <f>IFERROR(_xlfn.XLOOKUP($AM193,'BuffValue&lt;Child&gt;'!$A:$A,'BuffValue&lt;Child&gt;'!$F:$F),"None")</f>
        <v>None</v>
      </c>
      <c r="AY193" s="43">
        <f>IFERROR(_xlfn.XLOOKUP($AM193,#REF!,#REF!),0)</f>
        <v>0</v>
      </c>
    </row>
    <row r="194" spans="1:51" x14ac:dyDescent="0.3">
      <c r="A194" s="1">
        <f>INT(4&amp;MID(_xlfn.XLOOKUP(B194,[2]Timeline!$B:$B,[2]Timeline!$A:$A),2,5)&amp;1)</f>
        <v>4300511</v>
      </c>
      <c r="B194" s="7" t="s">
        <v>110</v>
      </c>
      <c r="C194" s="7" t="s">
        <v>122</v>
      </c>
      <c r="D194" s="7" t="s">
        <v>563</v>
      </c>
      <c r="E194" s="1" t="str">
        <f t="shared" si="31"/>
        <v>skill_name_4300511</v>
      </c>
      <c r="F194" s="1" t="s">
        <v>117</v>
      </c>
      <c r="G194" s="1" t="s">
        <v>451</v>
      </c>
      <c r="H194" s="1" t="str">
        <f t="shared" si="32"/>
        <v>skill_desc_4300511</v>
      </c>
      <c r="I194" s="1" t="s">
        <v>205</v>
      </c>
      <c r="J194" s="1" t="str">
        <f>IFERROR(_xlfn.XLOOKUP(W194,Target!A:A,Target!J:J),"")</f>
        <v>Skill_Target_Icon_Ally</v>
      </c>
      <c r="K194" s="1" t="s">
        <v>205</v>
      </c>
      <c r="L194" s="1" t="str">
        <f>IFERROR(_xlfn.XLOOKUP(W194,Target!A:A,Target!K:K),"")</f>
        <v>Skill_Area_Icon_Pivot_Centor</v>
      </c>
      <c r="M194" s="1" t="str">
        <f>_xlfn.XLOOKUP(B194,'[2]Detail&lt;Child&gt;'!$B:$B,'[2]Detail&lt;Child&gt;'!$M:$M)</f>
        <v>Dark</v>
      </c>
      <c r="N194" s="1" t="str">
        <f>_xlfn.XLOOKUP(B194,'[2]Detail&lt;Child&gt;'!$B:$B,'[2]Detail&lt;Child&gt;'!$N:$N)</f>
        <v>Defender</v>
      </c>
      <c r="O194" s="1" t="s">
        <v>167</v>
      </c>
      <c r="P194" s="33">
        <v>0</v>
      </c>
      <c r="Q194" s="68" t="str" cm="1">
        <f t="array" ref="Q194">_xlfn.IFS(R194="Move","Move",R194="NonTargetMove","Move",R194="Static","Stand",R194="None","Stand")</f>
        <v>Stand</v>
      </c>
      <c r="R194" s="1" t="s">
        <v>136</v>
      </c>
      <c r="S194" s="1">
        <f>IF(R194="Static",0,1)</f>
        <v>0</v>
      </c>
      <c r="T194" s="2" t="str">
        <f t="shared" si="26"/>
        <v>Immediately</v>
      </c>
      <c r="U194" s="2" t="str" cm="1">
        <f t="array" ref="U194">_xlfn.IFS(T194="SignalHIt","TurnEnd",T194="AttackBegin","TurnEnd",T194="AttackEnd","TurnEnd",T194="Immediately","Applied",T194="None","None")</f>
        <v>Applied</v>
      </c>
      <c r="V194" s="2">
        <v>0</v>
      </c>
      <c r="W194" s="1">
        <v>1000000</v>
      </c>
      <c r="X194" s="8">
        <v>43005111</v>
      </c>
      <c r="Y194" s="1" t="str">
        <f t="shared" si="27"/>
        <v>Immediately</v>
      </c>
      <c r="Z194" s="2" t="str" cm="1">
        <f t="array" ref="Z194">_xlfn.IFS(Y194="SignalHIt","TurnEnd",Y194="AttackBegin","TurnEnd",Y194="AttackEnd","TurnEnd",Y194="Immediately","Applied",Y194="None","None")</f>
        <v>Applied</v>
      </c>
      <c r="AA194" s="2">
        <v>0</v>
      </c>
      <c r="AB194" s="1">
        <v>0</v>
      </c>
      <c r="AC194" s="8">
        <v>0</v>
      </c>
      <c r="AD194" s="2" t="str">
        <f t="shared" si="28"/>
        <v>Immediately</v>
      </c>
      <c r="AE194" s="2" t="str" cm="1">
        <f t="array" ref="AE194">_xlfn.IFS(AD194="SignalHIt","TurnEnd",AD194="AttackBegin","TurnEnd",AD194="AttackEnd","TurnEnd",AD194="Immediately","Applied",AD194="None","None")</f>
        <v>Applied</v>
      </c>
      <c r="AF194" s="2">
        <v>0</v>
      </c>
      <c r="AG194" s="1">
        <v>0</v>
      </c>
      <c r="AH194" s="8">
        <v>0</v>
      </c>
      <c r="AI194" s="2" t="str">
        <f t="shared" si="29"/>
        <v>Immediately</v>
      </c>
      <c r="AJ194" s="2" t="str" cm="1">
        <f t="array" ref="AJ194">_xlfn.IFS(AI194="SignalHIt","TurnEnd",AI194="AttackBegin","TurnEnd",AI194="AttackEnd","TurnEnd",AI194="Immediately","Applied",AI194="None","None")</f>
        <v>Applied</v>
      </c>
      <c r="AK194" s="2">
        <v>0</v>
      </c>
      <c r="AL194" s="8">
        <v>0</v>
      </c>
      <c r="AM194" s="48">
        <v>0</v>
      </c>
      <c r="AN194" s="45" t="str">
        <f>IFERROR(_xlfn.XLOOKUP(W194,Target!$A:$A,Target!$B:$B),"None")</f>
        <v>모든 아군</v>
      </c>
      <c r="AO194" s="43" t="str">
        <f>IFERROR(_xlfn.XLOOKUP($X194,'BuffValue&lt;Child&gt;'!$A:$A,'BuffValue&lt;Child&gt;'!$F:$F),"None")</f>
        <v>프레이 패시브 스킬 사용</v>
      </c>
      <c r="AP194" s="43">
        <f>IFERROR(_xlfn.XLOOKUP($X194,'BuffValue&lt;Child&gt;'!$A:$A,'BuffValue&lt;Child&gt;'!$K:$K),0)</f>
        <v>9100041</v>
      </c>
      <c r="AQ194" s="43" t="str">
        <f>IFERROR(_xlfn.XLOOKUP(AB194,Target!$A:$A,Target!$B:$B),"None")</f>
        <v>None</v>
      </c>
      <c r="AR194" s="45" t="str">
        <f>IFERROR(_xlfn.XLOOKUP($AC194,'BuffValue&lt;Child&gt;'!$A:$A,'BuffValue&lt;Child&gt;'!$F:$F),"None")</f>
        <v>None</v>
      </c>
      <c r="AS194" s="45">
        <f>IFERROR(_xlfn.XLOOKUP($AC194,'BuffValue&lt;Child&gt;'!$A:$A,'BuffValue&lt;Child&gt;'!$K:$K),0)</f>
        <v>0</v>
      </c>
      <c r="AT194" s="43" t="str">
        <f>IFERROR(_xlfn.XLOOKUP(AG194,Target!$A:$A,Target!$B:$B),"None")</f>
        <v>None</v>
      </c>
      <c r="AU194" s="43" t="str">
        <f>IFERROR(_xlfn.XLOOKUP($AH194,'BuffValue&lt;Child&gt;'!$A:$A,'BuffValue&lt;Child&gt;'!$F:$F),"None")</f>
        <v>None</v>
      </c>
      <c r="AV194" s="43">
        <f>IFERROR(_xlfn.XLOOKUP($AH194,'BuffValue&lt;Child&gt;'!$A:$A,'BuffValue&lt;Child&gt;'!$K:$K),0)</f>
        <v>0</v>
      </c>
      <c r="AW194" s="43" t="str">
        <f>IFERROR(_xlfn.XLOOKUP(AL194,Target!$A:$A,Target!$B:$B),"None")</f>
        <v>None</v>
      </c>
      <c r="AX194" s="43" t="str">
        <f>IFERROR(_xlfn.XLOOKUP($AM194,'BuffValue&lt;Child&gt;'!$A:$A,'BuffValue&lt;Child&gt;'!$F:$F),"None")</f>
        <v>None</v>
      </c>
      <c r="AY194" s="43">
        <f>IFERROR(_xlfn.XLOOKUP($AM194,#REF!,#REF!),0)</f>
        <v>0</v>
      </c>
    </row>
    <row r="195" spans="1:51" x14ac:dyDescent="0.3">
      <c r="A195" s="1">
        <f>INT(4&amp;MID(_xlfn.XLOOKUP(B195,[2]Timeline!$B:$B,[2]Timeline!$A:$A),2,5)&amp;2)</f>
        <v>4300512</v>
      </c>
      <c r="B195" s="7" t="s">
        <v>110</v>
      </c>
      <c r="C195" s="7" t="s">
        <v>122</v>
      </c>
      <c r="D195" s="7" t="s">
        <v>563</v>
      </c>
      <c r="E195" s="1" t="str">
        <f t="shared" si="31"/>
        <v>skill_name_4300512</v>
      </c>
      <c r="F195" s="1" t="s">
        <v>117</v>
      </c>
      <c r="G195" s="1" t="s">
        <v>451</v>
      </c>
      <c r="H195" s="1" t="str">
        <f t="shared" si="32"/>
        <v>skill_desc_4300512</v>
      </c>
      <c r="I195" s="1" t="s">
        <v>205</v>
      </c>
      <c r="J195" s="1" t="str">
        <f>IFERROR(_xlfn.XLOOKUP(W195,Target!A:A,Target!J:J),"")</f>
        <v>Skill_Target_Icon_Ally</v>
      </c>
      <c r="K195" s="1" t="s">
        <v>205</v>
      </c>
      <c r="L195" s="1" t="str">
        <f>IFERROR(_xlfn.XLOOKUP(W195,Target!A:A,Target!K:K),"")</f>
        <v>Skill_Area_Icon_Pivot_Centor</v>
      </c>
      <c r="M195" s="1" t="str">
        <f>_xlfn.XLOOKUP(B195,'[2]Detail&lt;Child&gt;'!$B:$B,'[2]Detail&lt;Child&gt;'!$M:$M)</f>
        <v>Dark</v>
      </c>
      <c r="N195" s="1" t="str">
        <f>_xlfn.XLOOKUP(B195,'[2]Detail&lt;Child&gt;'!$B:$B,'[2]Detail&lt;Child&gt;'!$N:$N)</f>
        <v>Defender</v>
      </c>
      <c r="O195" s="1" t="s">
        <v>167</v>
      </c>
      <c r="P195" s="33">
        <v>0</v>
      </c>
      <c r="Q195" s="68" t="str" cm="1">
        <f t="array" ref="Q195">_xlfn.IFS(R195="Move","Move",R195="NonTargetMove","Move",R195="Static","Stand",R195="None","Stand")</f>
        <v>Stand</v>
      </c>
      <c r="R195" s="1" t="s">
        <v>136</v>
      </c>
      <c r="S195" s="1">
        <f>IF(R195="Static",0,1)</f>
        <v>0</v>
      </c>
      <c r="T195" s="2" t="str">
        <f t="shared" si="26"/>
        <v>Immediately</v>
      </c>
      <c r="U195" s="2" t="str" cm="1">
        <f t="array" ref="U195">_xlfn.IFS(T195="SignalHIt","TurnEnd",T195="AttackBegin","TurnEnd",T195="AttackEnd","TurnEnd",T195="Immediately","Applied",T195="None","None")</f>
        <v>Applied</v>
      </c>
      <c r="V195" s="2">
        <v>0</v>
      </c>
      <c r="W195" s="1">
        <v>1000000</v>
      </c>
      <c r="X195" s="8">
        <v>43005121</v>
      </c>
      <c r="Y195" s="1" t="str">
        <f t="shared" si="27"/>
        <v>Immediately</v>
      </c>
      <c r="Z195" s="2" t="str" cm="1">
        <f t="array" ref="Z195">_xlfn.IFS(Y195="SignalHIt","TurnEnd",Y195="AttackBegin","TurnEnd",Y195="AttackEnd","TurnEnd",Y195="Immediately","Applied",Y195="None","None")</f>
        <v>Applied</v>
      </c>
      <c r="AA195" s="2">
        <v>0</v>
      </c>
      <c r="AB195" s="1">
        <v>0</v>
      </c>
      <c r="AC195" s="8">
        <v>0</v>
      </c>
      <c r="AD195" s="2" t="str">
        <f t="shared" si="28"/>
        <v>Immediately</v>
      </c>
      <c r="AE195" s="2" t="str" cm="1">
        <f t="array" ref="AE195">_xlfn.IFS(AD195="SignalHIt","TurnEnd",AD195="AttackBegin","TurnEnd",AD195="AttackEnd","TurnEnd",AD195="Immediately","Applied",AD195="None","None")</f>
        <v>Applied</v>
      </c>
      <c r="AF195" s="2">
        <v>0</v>
      </c>
      <c r="AG195" s="1">
        <v>0</v>
      </c>
      <c r="AH195" s="8">
        <v>0</v>
      </c>
      <c r="AI195" s="2" t="str">
        <f t="shared" si="29"/>
        <v>Immediately</v>
      </c>
      <c r="AJ195" s="2" t="str" cm="1">
        <f t="array" ref="AJ195">_xlfn.IFS(AI195="SignalHIt","TurnEnd",AI195="AttackBegin","TurnEnd",AI195="AttackEnd","TurnEnd",AI195="Immediately","Applied",AI195="None","None")</f>
        <v>Applied</v>
      </c>
      <c r="AK195" s="2">
        <v>0</v>
      </c>
      <c r="AL195" s="8">
        <v>0</v>
      </c>
      <c r="AM195" s="48">
        <v>0</v>
      </c>
      <c r="AN195" s="45" t="str">
        <f>IFERROR(_xlfn.XLOOKUP(W195,Target!$A:$A,Target!$B:$B),"None")</f>
        <v>모든 아군</v>
      </c>
      <c r="AO195" s="43" t="str">
        <f>IFERROR(_xlfn.XLOOKUP($X195,'BuffValue&lt;Child&gt;'!$A:$A,'BuffValue&lt;Child&gt;'!$F:$F),"None")</f>
        <v>프레이 패시브 스킬 사용</v>
      </c>
      <c r="AP195" s="43">
        <f>IFERROR(_xlfn.XLOOKUP($X195,'BuffValue&lt;Child&gt;'!$A:$A,'BuffValue&lt;Child&gt;'!$K:$K),0)</f>
        <v>9100041</v>
      </c>
      <c r="AQ195" s="43" t="str">
        <f>IFERROR(_xlfn.XLOOKUP(AB195,Target!$A:$A,Target!$B:$B),"None")</f>
        <v>None</v>
      </c>
      <c r="AR195" s="45" t="str">
        <f>IFERROR(_xlfn.XLOOKUP($AC195,'BuffValue&lt;Child&gt;'!$A:$A,'BuffValue&lt;Child&gt;'!$F:$F),"None")</f>
        <v>None</v>
      </c>
      <c r="AS195" s="45">
        <f>IFERROR(_xlfn.XLOOKUP($AC195,'BuffValue&lt;Child&gt;'!$A:$A,'BuffValue&lt;Child&gt;'!$K:$K),0)</f>
        <v>0</v>
      </c>
      <c r="AT195" s="43" t="str">
        <f>IFERROR(_xlfn.XLOOKUP(AG195,Target!$A:$A,Target!$B:$B),"None")</f>
        <v>None</v>
      </c>
      <c r="AU195" s="43" t="str">
        <f>IFERROR(_xlfn.XLOOKUP($AH195,'BuffValue&lt;Child&gt;'!$A:$A,'BuffValue&lt;Child&gt;'!$F:$F),"None")</f>
        <v>None</v>
      </c>
      <c r="AV195" s="43">
        <f>IFERROR(_xlfn.XLOOKUP($AH195,'BuffValue&lt;Child&gt;'!$A:$A,'BuffValue&lt;Child&gt;'!$K:$K),0)</f>
        <v>0</v>
      </c>
      <c r="AW195" s="43" t="str">
        <f>IFERROR(_xlfn.XLOOKUP(AL195,Target!$A:$A,Target!$B:$B),"None")</f>
        <v>None</v>
      </c>
      <c r="AX195" s="43" t="str">
        <f>IFERROR(_xlfn.XLOOKUP($AM195,'BuffValue&lt;Child&gt;'!$A:$A,'BuffValue&lt;Child&gt;'!$F:$F),"None")</f>
        <v>None</v>
      </c>
      <c r="AY195" s="43">
        <f>IFERROR(_xlfn.XLOOKUP($AM195,#REF!,#REF!),0)</f>
        <v>0</v>
      </c>
    </row>
    <row r="196" spans="1:51" s="11" customFormat="1" x14ac:dyDescent="0.3">
      <c r="A196" s="11">
        <f>INT(1&amp;MID(_xlfn.XLOOKUP(B196,[2]Timeline!$B:$B,[2]Timeline!$A:$A),2,5)&amp;1)</f>
        <v>1302961</v>
      </c>
      <c r="B196" s="12" t="s">
        <v>6</v>
      </c>
      <c r="C196" s="12" t="s">
        <v>276</v>
      </c>
      <c r="D196" s="12" t="s">
        <v>544</v>
      </c>
      <c r="E196" s="11" t="str">
        <f t="shared" ref="E196:E203" si="33">"skill_name_"&amp;A196</f>
        <v>skill_name_1302961</v>
      </c>
      <c r="F196" s="11" t="s">
        <v>117</v>
      </c>
      <c r="G196" s="11" t="s">
        <v>456</v>
      </c>
      <c r="H196" s="11" t="str">
        <f t="shared" ref="H196:H283" si="34">"skill_desc_"&amp;$A196</f>
        <v>skill_desc_1302961</v>
      </c>
      <c r="I196" s="11" t="s">
        <v>205</v>
      </c>
      <c r="J196" s="11" t="str">
        <f>IFERROR(_xlfn.XLOOKUP(W196,Target!A:A,Target!J:J),"")</f>
        <v>Skill_Target_Icon_Enemy_Near_One</v>
      </c>
      <c r="K196" s="11" t="s">
        <v>205</v>
      </c>
      <c r="L196" s="11" t="str">
        <f>IFERROR(_xlfn.XLOOKUP(W196,Target!A:A,Target!K:K),"")</f>
        <v>Skill_Area_Icon_Pivot_Centor</v>
      </c>
      <c r="M196" s="11" t="str">
        <f>_xlfn.XLOOKUP(B196,'[2]Detail&lt;Child&gt;'!$B:$B,'[2]Detail&lt;Child&gt;'!$M:$M)</f>
        <v>Light</v>
      </c>
      <c r="N196" s="11" t="str">
        <f>_xlfn.XLOOKUP(B196,'[2]Detail&lt;Child&gt;'!$B:$B,'[2]Detail&lt;Child&gt;'!$N:$N)</f>
        <v>Attacker</v>
      </c>
      <c r="O196" s="11" t="s">
        <v>30</v>
      </c>
      <c r="P196" s="34">
        <v>0</v>
      </c>
      <c r="Q196" s="69" t="str" cm="1">
        <f t="array" ref="Q196">_xlfn.IFS(R196="Move","Move",R196="NonTargetMove","Move",R196="Static","Stand",R196="None","Stand")</f>
        <v>Move</v>
      </c>
      <c r="R196" s="11" t="s">
        <v>137</v>
      </c>
      <c r="S196" s="11">
        <v>2</v>
      </c>
      <c r="T196" s="15" t="str">
        <f t="shared" si="26"/>
        <v>SignalHit</v>
      </c>
      <c r="U196" s="15" t="str" cm="1">
        <f t="array" ref="U196">_xlfn.IFS(T196="SignalHIt","TurnEnd",T196="AttackBegin","TurnEnd",T196="AttackEnd","TurnEnd",T196="Immediately","Applied",T196="None","None")</f>
        <v>TurnEnd</v>
      </c>
      <c r="V196" s="15">
        <v>0</v>
      </c>
      <c r="W196" s="11">
        <v>2000011</v>
      </c>
      <c r="X196" s="10">
        <v>13029611</v>
      </c>
      <c r="Y196" s="11" t="str">
        <f t="shared" si="27"/>
        <v>Immediately</v>
      </c>
      <c r="Z196" s="15" t="str" cm="1">
        <f t="array" ref="Z196">_xlfn.IFS(Y196="SignalHIt","TurnEnd",Y196="AttackBegin","TurnEnd",Y196="AttackEnd","TurnEnd",Y196="Immediately","Applied",Y196="None","None")</f>
        <v>Applied</v>
      </c>
      <c r="AA196" s="15">
        <v>0</v>
      </c>
      <c r="AB196" s="11">
        <v>0</v>
      </c>
      <c r="AC196" s="10">
        <v>0</v>
      </c>
      <c r="AD196" s="15" t="str">
        <f t="shared" si="28"/>
        <v>Immediately</v>
      </c>
      <c r="AE196" s="15" t="str" cm="1">
        <f t="array" ref="AE196">_xlfn.IFS(AD196="SignalHIt","TurnEnd",AD196="AttackBegin","TurnEnd",AD196="AttackEnd","TurnEnd",AD196="Immediately","Applied",AD196="None","None")</f>
        <v>Applied</v>
      </c>
      <c r="AF196" s="15">
        <v>0</v>
      </c>
      <c r="AG196" s="11">
        <v>0</v>
      </c>
      <c r="AH196" s="10">
        <v>0</v>
      </c>
      <c r="AI196" s="15" t="str">
        <f t="shared" si="29"/>
        <v>Immediately</v>
      </c>
      <c r="AJ196" s="15" t="str" cm="1">
        <f t="array" ref="AJ196">_xlfn.IFS(AI196="SignalHIt","TurnEnd",AI196="AttackBegin","TurnEnd",AI196="AttackEnd","TurnEnd",AI196="Immediately","Applied",AI196="None","None")</f>
        <v>Applied</v>
      </c>
      <c r="AK196" s="15">
        <v>0</v>
      </c>
      <c r="AL196" s="10">
        <v>0</v>
      </c>
      <c r="AM196" s="50">
        <v>0</v>
      </c>
      <c r="AN196" s="46" t="str">
        <f>IFERROR(_xlfn.XLOOKUP(W196,Target!$A:$A,Target!$B:$B),"None")</f>
        <v xml:space="preserve">가까운 적 1명 </v>
      </c>
      <c r="AO196" s="47" t="str">
        <f>IFERROR(_xlfn.XLOOKUP($X196,'BuffValue&lt;Child&gt;'!$A:$A,'BuffValue&lt;Child&gt;'!$F:$F),"None")</f>
        <v>공용 대미지</v>
      </c>
      <c r="AP196" s="47">
        <f>IFERROR(_xlfn.XLOOKUP($X196,'BuffValue&lt;Child&gt;'!$A:$A,'BuffValue&lt;Child&gt;'!$K:$K),0)</f>
        <v>150000</v>
      </c>
      <c r="AQ196" s="47" t="str">
        <f>IFERROR(_xlfn.XLOOKUP(AB196,Target!$A:$A,Target!$B:$B),"None")</f>
        <v>None</v>
      </c>
      <c r="AR196" s="46" t="str">
        <f>IFERROR(_xlfn.XLOOKUP($AC196,'BuffValue&lt;Child&gt;'!$A:$A,'BuffValue&lt;Child&gt;'!$F:$F),"None")</f>
        <v>None</v>
      </c>
      <c r="AS196" s="46">
        <f>IFERROR(_xlfn.XLOOKUP($AC196,'BuffValue&lt;Child&gt;'!$A:$A,'BuffValue&lt;Child&gt;'!$K:$K),0)</f>
        <v>0</v>
      </c>
      <c r="AT196" s="47" t="str">
        <f>IFERROR(_xlfn.XLOOKUP(AG196,Target!$A:$A,Target!$B:$B),"None")</f>
        <v>None</v>
      </c>
      <c r="AU196" s="47" t="str">
        <f>IFERROR(_xlfn.XLOOKUP($AH196,'BuffValue&lt;Child&gt;'!$A:$A,'BuffValue&lt;Child&gt;'!$F:$F),"None")</f>
        <v>None</v>
      </c>
      <c r="AV196" s="47">
        <f>IFERROR(_xlfn.XLOOKUP($AH196,'BuffValue&lt;Child&gt;'!$A:$A,'BuffValue&lt;Child&gt;'!$K:$K),0)</f>
        <v>0</v>
      </c>
      <c r="AW196" s="47" t="str">
        <f>IFERROR(_xlfn.XLOOKUP(AL196,Target!$A:$A,Target!$B:$B),"None")</f>
        <v>None</v>
      </c>
      <c r="AX196" s="47" t="str">
        <f>IFERROR(_xlfn.XLOOKUP($AM196,'BuffValue&lt;Child&gt;'!$A:$A,'BuffValue&lt;Child&gt;'!$F:$F),"None")</f>
        <v>None</v>
      </c>
      <c r="AY196" s="47">
        <f>IFERROR(_xlfn.XLOOKUP($AM196,#REF!,#REF!),0)</f>
        <v>0</v>
      </c>
    </row>
    <row r="197" spans="1:51" x14ac:dyDescent="0.3">
      <c r="A197" s="1">
        <f>INT(2&amp;MID(_xlfn.XLOOKUP(B197,[2]Timeline!$B:$B,[2]Timeline!$A:$A),2,5)&amp;1)</f>
        <v>2302961</v>
      </c>
      <c r="B197" s="7" t="s">
        <v>6</v>
      </c>
      <c r="C197" s="7" t="s">
        <v>277</v>
      </c>
      <c r="D197" s="7" t="s">
        <v>572</v>
      </c>
      <c r="E197" s="1" t="str">
        <f t="shared" si="33"/>
        <v>skill_name_2302961</v>
      </c>
      <c r="F197" s="1" t="s">
        <v>117</v>
      </c>
      <c r="G197" s="1" t="s">
        <v>455</v>
      </c>
      <c r="H197" s="1" t="str">
        <f t="shared" si="34"/>
        <v>skill_desc_2302961</v>
      </c>
      <c r="I197" s="1" t="s">
        <v>205</v>
      </c>
      <c r="J197" s="1" t="str">
        <f>IFERROR(_xlfn.XLOOKUP(W197,Target!A:A,Target!J:J),"")</f>
        <v>Skill_Target_Icon_Enemy_Near_One</v>
      </c>
      <c r="K197" s="1" t="s">
        <v>205</v>
      </c>
      <c r="L197" s="1" t="str">
        <f>IFERROR(_xlfn.XLOOKUP(W197,Target!A:A,Target!K:K),"")</f>
        <v>Skill_Area_Icon_Pivot_Centor</v>
      </c>
      <c r="M197" s="1" t="str">
        <f>_xlfn.XLOOKUP(B197,'[2]Detail&lt;Child&gt;'!$B:$B,'[2]Detail&lt;Child&gt;'!$M:$M)</f>
        <v>Light</v>
      </c>
      <c r="N197" s="1" t="str">
        <f>_xlfn.XLOOKUP(B197,'[2]Detail&lt;Child&gt;'!$B:$B,'[2]Detail&lt;Child&gt;'!$N:$N)</f>
        <v>Attacker</v>
      </c>
      <c r="O197" s="1" t="s">
        <v>33</v>
      </c>
      <c r="P197" s="33">
        <v>3</v>
      </c>
      <c r="Q197" s="68" t="str" cm="1">
        <f t="array" ref="Q197">_xlfn.IFS(R197="Move","Move",R197="NonTargetMove","Move",R197="Static","Stand",R197="None","Stand")</f>
        <v>Move</v>
      </c>
      <c r="R197" s="1" t="s">
        <v>144</v>
      </c>
      <c r="S197" s="1">
        <v>2</v>
      </c>
      <c r="T197" s="2" t="str">
        <f t="shared" ref="T197:T227" si="35">IF(X197=0,"Immediately",IF($O197="Passive","Immediately",IF(W197=0,"None","SignalHit")))</f>
        <v>SignalHit</v>
      </c>
      <c r="U197" s="2" t="str" cm="1">
        <f t="array" ref="U197">_xlfn.IFS(T197="SignalHIt","TurnEnd",T197="AttackBegin","TurnEnd",T197="AttackEnd","TurnEnd",T197="Immediately","Applied",T197="None","None")</f>
        <v>TurnEnd</v>
      </c>
      <c r="V197" s="2">
        <v>0</v>
      </c>
      <c r="W197" s="1">
        <v>2000011</v>
      </c>
      <c r="X197" s="8">
        <v>23029611</v>
      </c>
      <c r="Y197" s="1" t="str">
        <f t="shared" ref="Y197:Y227" si="36">IF($O197="Passive","Immediately",IF(AB197=0,"Immediately","AttackBegin"))</f>
        <v>Immediately</v>
      </c>
      <c r="Z197" s="2" t="str" cm="1">
        <f t="array" ref="Z197">_xlfn.IFS(Y197="SignalHIt","TurnEnd",Y197="AttackBegin","TurnEnd",Y197="AttackEnd","TurnEnd",Y197="Immediately","Applied",Y197="None","None")</f>
        <v>Applied</v>
      </c>
      <c r="AA197" s="2">
        <v>0</v>
      </c>
      <c r="AB197" s="1">
        <v>0</v>
      </c>
      <c r="AC197" s="8">
        <v>0</v>
      </c>
      <c r="AD197" s="2" t="str">
        <f t="shared" ref="AD197:AD227" si="37">IF($O197="Passive","Immediately",IF(AG197=0,"Immediately","AttackEnd"))</f>
        <v>AttackEnd</v>
      </c>
      <c r="AE197" s="2" t="str" cm="1">
        <f t="array" ref="AE197">_xlfn.IFS(AD197="SignalHIt","TurnEnd",AD197="AttackBegin","TurnEnd",AD197="AttackEnd","TurnEnd",AD197="Immediately","Applied",AD197="None","None")</f>
        <v>TurnEnd</v>
      </c>
      <c r="AF197" s="2">
        <v>0</v>
      </c>
      <c r="AG197" s="1">
        <v>2000011</v>
      </c>
      <c r="AH197" s="8">
        <f>X197+1</f>
        <v>23029612</v>
      </c>
      <c r="AI197" s="2" t="str">
        <f t="shared" ref="AI197:AI227" si="38">IF($O197="Passive","Immediately",IF(AL197=0,"Immediately","AttackEnd"))</f>
        <v>Immediately</v>
      </c>
      <c r="AJ197" s="2" t="str" cm="1">
        <f t="array" ref="AJ197">_xlfn.IFS(AI197="SignalHIt","TurnEnd",AI197="AttackBegin","TurnEnd",AI197="AttackEnd","TurnEnd",AI197="Immediately","Applied",AI197="None","None")</f>
        <v>Applied</v>
      </c>
      <c r="AK197" s="2">
        <v>0</v>
      </c>
      <c r="AL197" s="8">
        <v>0</v>
      </c>
      <c r="AM197" s="48">
        <v>0</v>
      </c>
      <c r="AN197" s="45" t="str">
        <f>IFERROR(_xlfn.XLOOKUP(W197,Target!$A:$A,Target!$B:$B),"None")</f>
        <v xml:space="preserve">가까운 적 1명 </v>
      </c>
      <c r="AO197" s="43" t="str">
        <f>IFERROR(_xlfn.XLOOKUP($X197,'BuffValue&lt;Child&gt;'!$A:$A,'BuffValue&lt;Child&gt;'!$F:$F),"None")</f>
        <v>액티브 대미지</v>
      </c>
      <c r="AP197" s="43">
        <f>IFERROR(_xlfn.XLOOKUP($X197,'BuffValue&lt;Child&gt;'!$A:$A,'BuffValue&lt;Child&gt;'!$K:$K),0)</f>
        <v>40000</v>
      </c>
      <c r="AQ197" s="43" t="str">
        <f>IFERROR(_xlfn.XLOOKUP(AB197,Target!$A:$A,Target!$B:$B),"None")</f>
        <v>None</v>
      </c>
      <c r="AR197" s="45" t="str">
        <f>IFERROR(_xlfn.XLOOKUP($AC197,'BuffValue&lt;Child&gt;'!$A:$A,'BuffValue&lt;Child&gt;'!$F:$F),"None")</f>
        <v>None</v>
      </c>
      <c r="AS197" s="45">
        <f>IFERROR(_xlfn.XLOOKUP($AC197,'BuffValue&lt;Child&gt;'!$A:$A,'BuffValue&lt;Child&gt;'!$K:$K),0)</f>
        <v>0</v>
      </c>
      <c r="AT197" s="43" t="str">
        <f>IFERROR(_xlfn.XLOOKUP(AG197,Target!$A:$A,Target!$B:$B),"None")</f>
        <v xml:space="preserve">가까운 적 1명 </v>
      </c>
      <c r="AU197" s="43" t="str">
        <f>IFERROR(_xlfn.XLOOKUP($AH197,'BuffValue&lt;Child&gt;'!$A:$A,'BuffValue&lt;Child&gt;'!$F:$F),"None")</f>
        <v>힐드 속도 감소</v>
      </c>
      <c r="AV197" s="43">
        <f>IFERROR(_xlfn.XLOOKUP($AH197,'BuffValue&lt;Child&gt;'!$A:$A,'BuffValue&lt;Child&gt;'!$K:$K),0)</f>
        <v>-20</v>
      </c>
      <c r="AW197" s="43" t="str">
        <f>IFERROR(_xlfn.XLOOKUP(AL197,Target!$A:$A,Target!$B:$B),"None")</f>
        <v>None</v>
      </c>
      <c r="AX197" s="43" t="str">
        <f>IFERROR(_xlfn.XLOOKUP($AM197,'BuffValue&lt;Child&gt;'!$A:$A,'BuffValue&lt;Child&gt;'!$F:$F),"None")</f>
        <v>None</v>
      </c>
      <c r="AY197" s="43">
        <f>IFERROR(_xlfn.XLOOKUP($AM197,#REF!,#REF!),0)</f>
        <v>0</v>
      </c>
    </row>
    <row r="198" spans="1:51" x14ac:dyDescent="0.3">
      <c r="A198" s="1">
        <f>INT(2&amp;MID(_xlfn.XLOOKUP(B198,[2]Timeline!$B:$B,[2]Timeline!$A:$A),2,5)&amp;2)</f>
        <v>2302962</v>
      </c>
      <c r="B198" s="7" t="s">
        <v>6</v>
      </c>
      <c r="C198" s="7" t="s">
        <v>328</v>
      </c>
      <c r="D198" s="7" t="s">
        <v>572</v>
      </c>
      <c r="E198" s="1" t="str">
        <f t="shared" si="33"/>
        <v>skill_name_2302962</v>
      </c>
      <c r="F198" s="1" t="s">
        <v>117</v>
      </c>
      <c r="G198" s="1" t="s">
        <v>455</v>
      </c>
      <c r="H198" s="1" t="str">
        <f t="shared" si="34"/>
        <v>skill_desc_2302962</v>
      </c>
      <c r="I198" s="1" t="s">
        <v>205</v>
      </c>
      <c r="J198" s="1" t="str">
        <f>IFERROR(_xlfn.XLOOKUP(W198,Target!A:A,Target!J:J),"")</f>
        <v>Skill_Target_Icon_Enemy_Near_One</v>
      </c>
      <c r="K198" s="1" t="s">
        <v>205</v>
      </c>
      <c r="L198" s="1" t="str">
        <f>IFERROR(_xlfn.XLOOKUP(W198,Target!A:A,Target!K:K),"")</f>
        <v>Skill_Area_Icon_Pivot_Centor</v>
      </c>
      <c r="M198" s="1" t="str">
        <f>_xlfn.XLOOKUP(B198,'[2]Detail&lt;Child&gt;'!$B:$B,'[2]Detail&lt;Child&gt;'!$M:$M)</f>
        <v>Light</v>
      </c>
      <c r="N198" s="1" t="str">
        <f>_xlfn.XLOOKUP(B198,'[2]Detail&lt;Child&gt;'!$B:$B,'[2]Detail&lt;Child&gt;'!$N:$N)</f>
        <v>Attacker</v>
      </c>
      <c r="O198" s="1" t="s">
        <v>33</v>
      </c>
      <c r="P198" s="33">
        <v>2</v>
      </c>
      <c r="Q198" s="68" t="str" cm="1">
        <f t="array" ref="Q198">_xlfn.IFS(R198="Move","Move",R198="NonTargetMove","Move",R198="Static","Stand",R198="None","Stand")</f>
        <v>Move</v>
      </c>
      <c r="R198" s="1" t="s">
        <v>144</v>
      </c>
      <c r="S198" s="1">
        <v>2</v>
      </c>
      <c r="T198" s="2" t="str">
        <f t="shared" si="35"/>
        <v>SignalHit</v>
      </c>
      <c r="U198" s="2" t="str" cm="1">
        <f t="array" ref="U198">_xlfn.IFS(T198="SignalHIt","TurnEnd",T198="AttackBegin","TurnEnd",T198="AttackEnd","TurnEnd",T198="Immediately","Applied",T198="None","None")</f>
        <v>TurnEnd</v>
      </c>
      <c r="V198" s="2">
        <v>0</v>
      </c>
      <c r="W198" s="1">
        <v>2000011</v>
      </c>
      <c r="X198" s="8">
        <v>23029621</v>
      </c>
      <c r="Y198" s="1" t="str">
        <f t="shared" si="36"/>
        <v>Immediately</v>
      </c>
      <c r="Z198" s="2" t="str" cm="1">
        <f t="array" ref="Z198">_xlfn.IFS(Y198="SignalHIt","TurnEnd",Y198="AttackBegin","TurnEnd",Y198="AttackEnd","TurnEnd",Y198="Immediately","Applied",Y198="None","None")</f>
        <v>Applied</v>
      </c>
      <c r="AA198" s="2">
        <v>0</v>
      </c>
      <c r="AB198" s="1">
        <v>0</v>
      </c>
      <c r="AC198" s="8">
        <v>0</v>
      </c>
      <c r="AD198" s="2" t="str">
        <f t="shared" si="37"/>
        <v>AttackEnd</v>
      </c>
      <c r="AE198" s="2" t="str" cm="1">
        <f t="array" ref="AE198">_xlfn.IFS(AD198="SignalHIt","TurnEnd",AD198="AttackBegin","TurnEnd",AD198="AttackEnd","TurnEnd",AD198="Immediately","Applied",AD198="None","None")</f>
        <v>TurnEnd</v>
      </c>
      <c r="AF198" s="2">
        <v>0</v>
      </c>
      <c r="AG198" s="1">
        <v>2000011</v>
      </c>
      <c r="AH198" s="8">
        <f>X198+1</f>
        <v>23029622</v>
      </c>
      <c r="AI198" s="2" t="str">
        <f t="shared" si="38"/>
        <v>Immediately</v>
      </c>
      <c r="AJ198" s="2" t="str" cm="1">
        <f t="array" ref="AJ198">_xlfn.IFS(AI198="SignalHIt","TurnEnd",AI198="AttackBegin","TurnEnd",AI198="AttackEnd","TurnEnd",AI198="Immediately","Applied",AI198="None","None")</f>
        <v>Applied</v>
      </c>
      <c r="AK198" s="2">
        <v>0</v>
      </c>
      <c r="AL198" s="8">
        <v>0</v>
      </c>
      <c r="AM198" s="48">
        <v>0</v>
      </c>
      <c r="AN198" s="45" t="str">
        <f>IFERROR(_xlfn.XLOOKUP(W198,Target!$A:$A,Target!$B:$B),"None")</f>
        <v xml:space="preserve">가까운 적 1명 </v>
      </c>
      <c r="AO198" s="43" t="str">
        <f>IFERROR(_xlfn.XLOOKUP($X198,'BuffValue&lt;Child&gt;'!$A:$A,'BuffValue&lt;Child&gt;'!$F:$F),"None")</f>
        <v>액티브 대미지</v>
      </c>
      <c r="AP198" s="43">
        <f>IFERROR(_xlfn.XLOOKUP($X198,'BuffValue&lt;Child&gt;'!$A:$A,'BuffValue&lt;Child&gt;'!$K:$K),0)</f>
        <v>40000</v>
      </c>
      <c r="AQ198" s="43" t="str">
        <f>IFERROR(_xlfn.XLOOKUP(AB198,Target!$A:$A,Target!$B:$B),"None")</f>
        <v>None</v>
      </c>
      <c r="AR198" s="45" t="str">
        <f>IFERROR(_xlfn.XLOOKUP($AC198,'BuffValue&lt;Child&gt;'!$A:$A,'BuffValue&lt;Child&gt;'!$F:$F),"None")</f>
        <v>None</v>
      </c>
      <c r="AS198" s="45">
        <f>IFERROR(_xlfn.XLOOKUP($AC198,'BuffValue&lt;Child&gt;'!$A:$A,'BuffValue&lt;Child&gt;'!$K:$K),0)</f>
        <v>0</v>
      </c>
      <c r="AT198" s="43" t="str">
        <f>IFERROR(_xlfn.XLOOKUP(AG198,Target!$A:$A,Target!$B:$B),"None")</f>
        <v xml:space="preserve">가까운 적 1명 </v>
      </c>
      <c r="AU198" s="43" t="str">
        <f>IFERROR(_xlfn.XLOOKUP($AH198,'BuffValue&lt;Child&gt;'!$A:$A,'BuffValue&lt;Child&gt;'!$F:$F),"None")</f>
        <v>힐드 속도 감소</v>
      </c>
      <c r="AV198" s="43">
        <f>IFERROR(_xlfn.XLOOKUP($AH198,'BuffValue&lt;Child&gt;'!$A:$A,'BuffValue&lt;Child&gt;'!$K:$K),0)</f>
        <v>-20</v>
      </c>
      <c r="AW198" s="43" t="str">
        <f>IFERROR(_xlfn.XLOOKUP(AL198,Target!$A:$A,Target!$B:$B),"None")</f>
        <v>None</v>
      </c>
      <c r="AX198" s="43" t="str">
        <f>IFERROR(_xlfn.XLOOKUP($AM198,'BuffValue&lt;Child&gt;'!$A:$A,'BuffValue&lt;Child&gt;'!$F:$F),"None")</f>
        <v>None</v>
      </c>
      <c r="AY198" s="43">
        <f>IFERROR(_xlfn.XLOOKUP($AM198,#REF!,#REF!),0)</f>
        <v>0</v>
      </c>
    </row>
    <row r="199" spans="1:51" x14ac:dyDescent="0.3">
      <c r="A199" s="1">
        <f>INT(3&amp;MID(_xlfn.XLOOKUP(B199,[2]Timeline!$B:$B,[2]Timeline!$A:$A),2,5)&amp;1)</f>
        <v>3302961</v>
      </c>
      <c r="B199" s="7" t="s">
        <v>6</v>
      </c>
      <c r="C199" s="7" t="s">
        <v>278</v>
      </c>
      <c r="D199" s="7" t="s">
        <v>516</v>
      </c>
      <c r="E199" s="1" t="str">
        <f t="shared" si="33"/>
        <v>skill_name_3302961</v>
      </c>
      <c r="F199" s="1" t="s">
        <v>117</v>
      </c>
      <c r="G199" s="1" t="s">
        <v>409</v>
      </c>
      <c r="H199" s="1" t="str">
        <f t="shared" si="34"/>
        <v>skill_desc_3302961</v>
      </c>
      <c r="I199" s="1" t="s">
        <v>205</v>
      </c>
      <c r="J199" s="1" t="str">
        <f>IFERROR(_xlfn.XLOOKUP(W199,Target!A:A,Target!J:J),"")</f>
        <v>Skill_Target_Icon_Enemy_Near_One</v>
      </c>
      <c r="K199" s="1" t="s">
        <v>205</v>
      </c>
      <c r="L199" s="1" t="str">
        <f>IFERROR(_xlfn.XLOOKUP(W199,Target!A:A,Target!K:K),"")</f>
        <v>Skill_Area_Icon_Pivot_Row</v>
      </c>
      <c r="M199" s="1" t="str">
        <f>_xlfn.XLOOKUP(B199,'[2]Detail&lt;Child&gt;'!$B:$B,'[2]Detail&lt;Child&gt;'!$M:$M)</f>
        <v>Light</v>
      </c>
      <c r="N199" s="1" t="str">
        <f>_xlfn.XLOOKUP(B199,'[2]Detail&lt;Child&gt;'!$B:$B,'[2]Detail&lt;Child&gt;'!$N:$N)</f>
        <v>Attacker</v>
      </c>
      <c r="O199" s="1" t="s">
        <v>140</v>
      </c>
      <c r="P199" s="33">
        <v>0</v>
      </c>
      <c r="Q199" s="68" t="str" cm="1">
        <f t="array" ref="Q199">_xlfn.IFS(R199="Move","Move",R199="NonTargetMove","Move",R199="Static","Stand",R199="None","Stand")</f>
        <v>Move</v>
      </c>
      <c r="R199" s="1" t="s">
        <v>144</v>
      </c>
      <c r="S199" s="1">
        <v>2</v>
      </c>
      <c r="T199" s="2" t="str">
        <f t="shared" si="35"/>
        <v>SignalHit</v>
      </c>
      <c r="U199" s="2" t="str" cm="1">
        <f t="array" ref="U199">_xlfn.IFS(T199="SignalHIt","TurnEnd",T199="AttackBegin","TurnEnd",T199="AttackEnd","TurnEnd",T199="Immediately","Applied",T199="None","None")</f>
        <v>TurnEnd</v>
      </c>
      <c r="V199" s="2">
        <v>0</v>
      </c>
      <c r="W199" s="1">
        <v>2000014</v>
      </c>
      <c r="X199" s="8">
        <v>33029611</v>
      </c>
      <c r="Y199" s="1" t="str">
        <f t="shared" si="36"/>
        <v>Immediately</v>
      </c>
      <c r="Z199" s="2" t="str" cm="1">
        <f t="array" ref="Z199">_xlfn.IFS(Y199="SignalHIt","TurnEnd",Y199="AttackBegin","TurnEnd",Y199="AttackEnd","TurnEnd",Y199="Immediately","Applied",Y199="None","None")</f>
        <v>Applied</v>
      </c>
      <c r="AA199" s="2">
        <v>0</v>
      </c>
      <c r="AB199" s="1">
        <v>0</v>
      </c>
      <c r="AC199" s="8">
        <v>0</v>
      </c>
      <c r="AD199" s="2" t="str">
        <f t="shared" si="37"/>
        <v>AttackEnd</v>
      </c>
      <c r="AE199" s="2" t="str" cm="1">
        <f t="array" ref="AE199">_xlfn.IFS(AD199="SignalHIt","TurnEnd",AD199="AttackBegin","TurnEnd",AD199="AttackEnd","TurnEnd",AD199="Immediately","Applied",AD199="None","None")</f>
        <v>TurnEnd</v>
      </c>
      <c r="AF199" s="2">
        <v>0</v>
      </c>
      <c r="AG199" s="1">
        <v>1</v>
      </c>
      <c r="AH199" s="8">
        <f>X199+1</f>
        <v>33029612</v>
      </c>
      <c r="AI199" s="2" t="str">
        <f t="shared" si="38"/>
        <v>Immediately</v>
      </c>
      <c r="AJ199" s="2" t="str" cm="1">
        <f t="array" ref="AJ199">_xlfn.IFS(AI199="SignalHIt","TurnEnd",AI199="AttackBegin","TurnEnd",AI199="AttackEnd","TurnEnd",AI199="Immediately","Applied",AI199="None","None")</f>
        <v>Applied</v>
      </c>
      <c r="AK199" s="2">
        <v>0</v>
      </c>
      <c r="AL199" s="1">
        <v>0</v>
      </c>
      <c r="AM199" s="48">
        <v>0</v>
      </c>
      <c r="AN199" s="45" t="str">
        <f>IFERROR(_xlfn.XLOOKUP(W199,Target!$A:$A,Target!$B:$B),"None")</f>
        <v>가까운 적 1명 2행</v>
      </c>
      <c r="AO199" s="43" t="str">
        <f>IFERROR(_xlfn.XLOOKUP($X199,'BuffValue&lt;Child&gt;'!$A:$A,'BuffValue&lt;Child&gt;'!$F:$F),"None")</f>
        <v>얼티밋 대미지</v>
      </c>
      <c r="AP199" s="43">
        <f>IFERROR(_xlfn.XLOOKUP($X199,'BuffValue&lt;Child&gt;'!$A:$A,'BuffValue&lt;Child&gt;'!$K:$K),0)</f>
        <v>320000</v>
      </c>
      <c r="AQ199" s="43" t="str">
        <f>IFERROR(_xlfn.XLOOKUP(AB199,Target!$A:$A,Target!$B:$B),"None")</f>
        <v>None</v>
      </c>
      <c r="AR199" s="45" t="str">
        <f>IFERROR(_xlfn.XLOOKUP($AC199,'BuffValue&lt;Child&gt;'!$A:$A,'BuffValue&lt;Child&gt;'!$F:$F),"None")</f>
        <v>None</v>
      </c>
      <c r="AS199" s="45">
        <f>IFERROR(_xlfn.XLOOKUP($AC199,'BuffValue&lt;Child&gt;'!$A:$A,'BuffValue&lt;Child&gt;'!$K:$K),0)</f>
        <v>0</v>
      </c>
      <c r="AT199" s="43" t="str">
        <f>IFERROR(_xlfn.XLOOKUP(AG199,Target!$A:$A,Target!$B:$B),"None")</f>
        <v xml:space="preserve"> 자신 1명 </v>
      </c>
      <c r="AU199" s="43" t="str">
        <f>IFERROR(_xlfn.XLOOKUP($AH199,'BuffValue&lt;Child&gt;'!$A:$A,'BuffValue&lt;Child&gt;'!$F:$F),"None")</f>
        <v>힐드 Sp 추가</v>
      </c>
      <c r="AV199" s="43">
        <f>IFERROR(_xlfn.XLOOKUP($AH199,'BuffValue&lt;Child&gt;'!$A:$A,'BuffValue&lt;Child&gt;'!$K:$K),0)</f>
        <v>150</v>
      </c>
      <c r="AW199" s="43" t="str">
        <f>IFERROR(_xlfn.XLOOKUP(AL199,Target!$A:$A,Target!$B:$B),"None")</f>
        <v>None</v>
      </c>
      <c r="AX199" s="43" t="str">
        <f>IFERROR(_xlfn.XLOOKUP($AM199,'BuffValue&lt;Child&gt;'!$A:$A,'BuffValue&lt;Child&gt;'!$F:$F),"None")</f>
        <v>None</v>
      </c>
      <c r="AY199" s="43">
        <f>IFERROR(_xlfn.XLOOKUP($AM199,#REF!,#REF!),0)</f>
        <v>0</v>
      </c>
    </row>
    <row r="200" spans="1:51" x14ac:dyDescent="0.3">
      <c r="A200" s="1">
        <f>INT(3&amp;MID(_xlfn.XLOOKUP(B200,[2]Timeline!$B:$B,[2]Timeline!$A:$A),2,5)&amp;2)</f>
        <v>3302962</v>
      </c>
      <c r="B200" s="7" t="s">
        <v>6</v>
      </c>
      <c r="C200" s="7" t="s">
        <v>278</v>
      </c>
      <c r="D200" s="7" t="s">
        <v>516</v>
      </c>
      <c r="E200" s="1" t="str">
        <f t="shared" si="33"/>
        <v>skill_name_3302962</v>
      </c>
      <c r="F200" s="1" t="s">
        <v>117</v>
      </c>
      <c r="G200" s="1" t="s">
        <v>409</v>
      </c>
      <c r="H200" s="1" t="str">
        <f t="shared" si="34"/>
        <v>skill_desc_3302962</v>
      </c>
      <c r="I200" s="1" t="s">
        <v>205</v>
      </c>
      <c r="J200" s="1" t="str">
        <f>IFERROR(_xlfn.XLOOKUP(W200,Target!A:A,Target!J:J),"")</f>
        <v>Skill_Target_Icon_Enemy_Near_One</v>
      </c>
      <c r="K200" s="1" t="s">
        <v>205</v>
      </c>
      <c r="L200" s="1" t="str">
        <f>IFERROR(_xlfn.XLOOKUP(W200,Target!A:A,Target!K:K),"")</f>
        <v>Skill_Area_Icon_Pivot_Row</v>
      </c>
      <c r="M200" s="1" t="str">
        <f>_xlfn.XLOOKUP(B200,'[2]Detail&lt;Child&gt;'!$B:$B,'[2]Detail&lt;Child&gt;'!$M:$M)</f>
        <v>Light</v>
      </c>
      <c r="N200" s="1" t="str">
        <f>_xlfn.XLOOKUP(B200,'[2]Detail&lt;Child&gt;'!$B:$B,'[2]Detail&lt;Child&gt;'!$N:$N)</f>
        <v>Attacker</v>
      </c>
      <c r="O200" s="1" t="s">
        <v>140</v>
      </c>
      <c r="P200" s="33">
        <v>0</v>
      </c>
      <c r="Q200" s="68" t="str" cm="1">
        <f t="array" ref="Q200">_xlfn.IFS(R200="Move","Move",R200="NonTargetMove","Move",R200="Static","Stand",R200="None","Stand")</f>
        <v>Move</v>
      </c>
      <c r="R200" s="1" t="s">
        <v>144</v>
      </c>
      <c r="S200" s="1">
        <v>2</v>
      </c>
      <c r="T200" s="2" t="str">
        <f t="shared" si="35"/>
        <v>SignalHit</v>
      </c>
      <c r="U200" s="2" t="str" cm="1">
        <f t="array" ref="U200">_xlfn.IFS(T200="SignalHIt","TurnEnd",T200="AttackBegin","TurnEnd",T200="AttackEnd","TurnEnd",T200="Immediately","Applied",T200="None","None")</f>
        <v>TurnEnd</v>
      </c>
      <c r="V200" s="2">
        <v>0</v>
      </c>
      <c r="W200" s="1">
        <v>2000014</v>
      </c>
      <c r="X200" s="8">
        <v>33029621</v>
      </c>
      <c r="Y200" s="1" t="str">
        <f t="shared" si="36"/>
        <v>Immediately</v>
      </c>
      <c r="Z200" s="2" t="str" cm="1">
        <f t="array" ref="Z200">_xlfn.IFS(Y200="SignalHIt","TurnEnd",Y200="AttackBegin","TurnEnd",Y200="AttackEnd","TurnEnd",Y200="Immediately","Applied",Y200="None","None")</f>
        <v>Applied</v>
      </c>
      <c r="AA200" s="2">
        <v>0</v>
      </c>
      <c r="AB200" s="1">
        <v>0</v>
      </c>
      <c r="AC200" s="8">
        <v>0</v>
      </c>
      <c r="AD200" s="2" t="str">
        <f t="shared" si="37"/>
        <v>AttackEnd</v>
      </c>
      <c r="AE200" s="2" t="str" cm="1">
        <f t="array" ref="AE200">_xlfn.IFS(AD200="SignalHIt","TurnEnd",AD200="AttackBegin","TurnEnd",AD200="AttackEnd","TurnEnd",AD200="Immediately","Applied",AD200="None","None")</f>
        <v>TurnEnd</v>
      </c>
      <c r="AF200" s="2">
        <v>0</v>
      </c>
      <c r="AG200" s="1">
        <v>1</v>
      </c>
      <c r="AH200" s="8">
        <f>X200+1</f>
        <v>33029622</v>
      </c>
      <c r="AI200" s="2" t="str">
        <f t="shared" si="38"/>
        <v>Immediately</v>
      </c>
      <c r="AJ200" s="2" t="str" cm="1">
        <f t="array" ref="AJ200">_xlfn.IFS(AI200="SignalHIt","TurnEnd",AI200="AttackBegin","TurnEnd",AI200="AttackEnd","TurnEnd",AI200="Immediately","Applied",AI200="None","None")</f>
        <v>Applied</v>
      </c>
      <c r="AK200" s="2">
        <v>0</v>
      </c>
      <c r="AL200" s="1">
        <v>0</v>
      </c>
      <c r="AM200" s="48">
        <v>0</v>
      </c>
      <c r="AN200" s="45" t="str">
        <f>IFERROR(_xlfn.XLOOKUP(W200,Target!$A:$A,Target!$B:$B),"None")</f>
        <v>가까운 적 1명 2행</v>
      </c>
      <c r="AO200" s="43" t="str">
        <f>IFERROR(_xlfn.XLOOKUP($X200,'BuffValue&lt;Child&gt;'!$A:$A,'BuffValue&lt;Child&gt;'!$F:$F),"None")</f>
        <v>얼티밋 대미지</v>
      </c>
      <c r="AP200" s="43">
        <f>IFERROR(_xlfn.XLOOKUP($X200,'BuffValue&lt;Child&gt;'!$A:$A,'BuffValue&lt;Child&gt;'!$K:$K),0)</f>
        <v>320000</v>
      </c>
      <c r="AQ200" s="43" t="str">
        <f>IFERROR(_xlfn.XLOOKUP(AB200,Target!$A:$A,Target!$B:$B),"None")</f>
        <v>None</v>
      </c>
      <c r="AR200" s="45" t="str">
        <f>IFERROR(_xlfn.XLOOKUP($AC200,'BuffValue&lt;Child&gt;'!$A:$A,'BuffValue&lt;Child&gt;'!$F:$F),"None")</f>
        <v>None</v>
      </c>
      <c r="AS200" s="45">
        <f>IFERROR(_xlfn.XLOOKUP($AC200,'BuffValue&lt;Child&gt;'!$A:$A,'BuffValue&lt;Child&gt;'!$K:$K),0)</f>
        <v>0</v>
      </c>
      <c r="AT200" s="43" t="str">
        <f>IFERROR(_xlfn.XLOOKUP(AG200,Target!$A:$A,Target!$B:$B),"None")</f>
        <v xml:space="preserve"> 자신 1명 </v>
      </c>
      <c r="AU200" s="43" t="str">
        <f>IFERROR(_xlfn.XLOOKUP($AH200,'BuffValue&lt;Child&gt;'!$A:$A,'BuffValue&lt;Child&gt;'!$F:$F),"None")</f>
        <v>힐드 Sp 추가</v>
      </c>
      <c r="AV200" s="43">
        <f>IFERROR(_xlfn.XLOOKUP($AH200,'BuffValue&lt;Child&gt;'!$A:$A,'BuffValue&lt;Child&gt;'!$K:$K),0)</f>
        <v>150</v>
      </c>
      <c r="AW200" s="43" t="str">
        <f>IFERROR(_xlfn.XLOOKUP(AL200,Target!$A:$A,Target!$B:$B),"None")</f>
        <v>None</v>
      </c>
      <c r="AX200" s="43" t="str">
        <f>IFERROR(_xlfn.XLOOKUP($AM200,'BuffValue&lt;Child&gt;'!$A:$A,'BuffValue&lt;Child&gt;'!$F:$F),"None")</f>
        <v>None</v>
      </c>
      <c r="AY200" s="43">
        <f>IFERROR(_xlfn.XLOOKUP($AM200,#REF!,#REF!),0)</f>
        <v>0</v>
      </c>
    </row>
    <row r="201" spans="1:51" x14ac:dyDescent="0.3">
      <c r="A201" s="1">
        <f>INT(3&amp;MID(_xlfn.XLOOKUP(B201,[2]Timeline!$B:$B,[2]Timeline!$A:$A),2,5)&amp;3)</f>
        <v>3302963</v>
      </c>
      <c r="B201" s="7" t="s">
        <v>6</v>
      </c>
      <c r="C201" s="7" t="s">
        <v>278</v>
      </c>
      <c r="D201" s="7" t="s">
        <v>516</v>
      </c>
      <c r="E201" s="1" t="str">
        <f t="shared" si="33"/>
        <v>skill_name_3302963</v>
      </c>
      <c r="F201" s="1" t="s">
        <v>117</v>
      </c>
      <c r="G201" s="1" t="s">
        <v>409</v>
      </c>
      <c r="H201" s="1" t="str">
        <f t="shared" si="34"/>
        <v>skill_desc_3302963</v>
      </c>
      <c r="I201" s="1" t="s">
        <v>205</v>
      </c>
      <c r="J201" s="1" t="str">
        <f>IFERROR(_xlfn.XLOOKUP(W201,Target!A:A,Target!J:J),"")</f>
        <v>Skill_Target_Icon_Enemy_Near_One</v>
      </c>
      <c r="K201" s="1" t="s">
        <v>205</v>
      </c>
      <c r="L201" s="1" t="str">
        <f>IFERROR(_xlfn.XLOOKUP(W201,Target!A:A,Target!K:K),"")</f>
        <v>Skill_Area_Icon_Pivot_Row</v>
      </c>
      <c r="M201" s="1" t="str">
        <f>_xlfn.XLOOKUP(B201,'[2]Detail&lt;Child&gt;'!$B:$B,'[2]Detail&lt;Child&gt;'!$M:$M)</f>
        <v>Light</v>
      </c>
      <c r="N201" s="1" t="str">
        <f>_xlfn.XLOOKUP(B201,'[2]Detail&lt;Child&gt;'!$B:$B,'[2]Detail&lt;Child&gt;'!$N:$N)</f>
        <v>Attacker</v>
      </c>
      <c r="O201" s="1" t="s">
        <v>140</v>
      </c>
      <c r="P201" s="33">
        <v>0</v>
      </c>
      <c r="Q201" s="68" t="str" cm="1">
        <f t="array" ref="Q201">_xlfn.IFS(R201="Move","Move",R201="NonTargetMove","Move",R201="Static","Stand",R201="None","Stand")</f>
        <v>Move</v>
      </c>
      <c r="R201" s="1" t="s">
        <v>144</v>
      </c>
      <c r="S201" s="1">
        <v>2</v>
      </c>
      <c r="T201" s="2" t="str">
        <f t="shared" si="35"/>
        <v>SignalHit</v>
      </c>
      <c r="U201" s="2" t="str" cm="1">
        <f t="array" ref="U201">_xlfn.IFS(T201="SignalHIt","TurnEnd",T201="AttackBegin","TurnEnd",T201="AttackEnd","TurnEnd",T201="Immediately","Applied",T201="None","None")</f>
        <v>TurnEnd</v>
      </c>
      <c r="V201" s="2">
        <v>0</v>
      </c>
      <c r="W201" s="1">
        <v>2000014</v>
      </c>
      <c r="X201" s="8">
        <v>33029631</v>
      </c>
      <c r="Y201" s="1" t="str">
        <f t="shared" si="36"/>
        <v>Immediately</v>
      </c>
      <c r="Z201" s="2" t="str" cm="1">
        <f t="array" ref="Z201">_xlfn.IFS(Y201="SignalHIt","TurnEnd",Y201="AttackBegin","TurnEnd",Y201="AttackEnd","TurnEnd",Y201="Immediately","Applied",Y201="None","None")</f>
        <v>Applied</v>
      </c>
      <c r="AA201" s="2">
        <v>0</v>
      </c>
      <c r="AB201" s="1">
        <v>0</v>
      </c>
      <c r="AC201" s="8">
        <v>0</v>
      </c>
      <c r="AD201" s="2" t="str">
        <f t="shared" si="37"/>
        <v>AttackEnd</v>
      </c>
      <c r="AE201" s="2" t="str" cm="1">
        <f t="array" ref="AE201">_xlfn.IFS(AD201="SignalHIt","TurnEnd",AD201="AttackBegin","TurnEnd",AD201="AttackEnd","TurnEnd",AD201="Immediately","Applied",AD201="None","None")</f>
        <v>TurnEnd</v>
      </c>
      <c r="AF201" s="2">
        <v>0</v>
      </c>
      <c r="AG201" s="1">
        <v>1</v>
      </c>
      <c r="AH201" s="8">
        <f>X201+1</f>
        <v>33029632</v>
      </c>
      <c r="AI201" s="2" t="str">
        <f t="shared" si="38"/>
        <v>Immediately</v>
      </c>
      <c r="AJ201" s="2" t="str" cm="1">
        <f t="array" ref="AJ201">_xlfn.IFS(AI201="SignalHIt","TurnEnd",AI201="AttackBegin","TurnEnd",AI201="AttackEnd","TurnEnd",AI201="Immediately","Applied",AI201="None","None")</f>
        <v>Applied</v>
      </c>
      <c r="AK201" s="2">
        <v>0</v>
      </c>
      <c r="AL201" s="1">
        <v>0</v>
      </c>
      <c r="AM201" s="48">
        <v>0</v>
      </c>
      <c r="AN201" s="45" t="str">
        <f>IFERROR(_xlfn.XLOOKUP(W201,Target!$A:$A,Target!$B:$B),"None")</f>
        <v>가까운 적 1명 2행</v>
      </c>
      <c r="AO201" s="43" t="str">
        <f>IFERROR(_xlfn.XLOOKUP($X201,'BuffValue&lt;Child&gt;'!$A:$A,'BuffValue&lt;Child&gt;'!$F:$F),"None")</f>
        <v>얼티밋 대미지</v>
      </c>
      <c r="AP201" s="43">
        <f>IFERROR(_xlfn.XLOOKUP($X201,'BuffValue&lt;Child&gt;'!$A:$A,'BuffValue&lt;Child&gt;'!$K:$K),0)</f>
        <v>320000</v>
      </c>
      <c r="AQ201" s="43" t="str">
        <f>IFERROR(_xlfn.XLOOKUP(AB201,Target!$A:$A,Target!$B:$B),"None")</f>
        <v>None</v>
      </c>
      <c r="AR201" s="45" t="str">
        <f>IFERROR(_xlfn.XLOOKUP($AC201,'BuffValue&lt;Child&gt;'!$A:$A,'BuffValue&lt;Child&gt;'!$F:$F),"None")</f>
        <v>None</v>
      </c>
      <c r="AS201" s="45">
        <f>IFERROR(_xlfn.XLOOKUP($AC201,'BuffValue&lt;Child&gt;'!$A:$A,'BuffValue&lt;Child&gt;'!$K:$K),0)</f>
        <v>0</v>
      </c>
      <c r="AT201" s="43" t="str">
        <f>IFERROR(_xlfn.XLOOKUP(AG201,Target!$A:$A,Target!$B:$B),"None")</f>
        <v xml:space="preserve"> 자신 1명 </v>
      </c>
      <c r="AU201" s="43" t="str">
        <f>IFERROR(_xlfn.XLOOKUP($AH201,'BuffValue&lt;Child&gt;'!$A:$A,'BuffValue&lt;Child&gt;'!$F:$F),"None")</f>
        <v>힐드 Sp 추가</v>
      </c>
      <c r="AV201" s="43">
        <f>IFERROR(_xlfn.XLOOKUP($AH201,'BuffValue&lt;Child&gt;'!$A:$A,'BuffValue&lt;Child&gt;'!$K:$K),0)</f>
        <v>150</v>
      </c>
      <c r="AW201" s="43" t="str">
        <f>IFERROR(_xlfn.XLOOKUP(AL201,Target!$A:$A,Target!$B:$B),"None")</f>
        <v>None</v>
      </c>
      <c r="AX201" s="43" t="str">
        <f>IFERROR(_xlfn.XLOOKUP($AM201,'BuffValue&lt;Child&gt;'!$A:$A,'BuffValue&lt;Child&gt;'!$F:$F),"None")</f>
        <v>None</v>
      </c>
      <c r="AY201" s="43">
        <f>IFERROR(_xlfn.XLOOKUP($AM201,#REF!,#REF!),0)</f>
        <v>0</v>
      </c>
    </row>
    <row r="202" spans="1:51" x14ac:dyDescent="0.3">
      <c r="A202" s="1">
        <f>INT(4&amp;MID(_xlfn.XLOOKUP(B202,[2]Timeline!$B:$B,[2]Timeline!$A:$A),2,5)&amp;1)</f>
        <v>4302961</v>
      </c>
      <c r="B202" s="7" t="s">
        <v>6</v>
      </c>
      <c r="C202" s="7" t="s">
        <v>122</v>
      </c>
      <c r="D202" s="7" t="s">
        <v>347</v>
      </c>
      <c r="E202" s="1" t="str">
        <f t="shared" si="33"/>
        <v>skill_name_4302961</v>
      </c>
      <c r="F202" s="1" t="s">
        <v>117</v>
      </c>
      <c r="G202" s="1" t="s">
        <v>457</v>
      </c>
      <c r="H202" s="1" t="str">
        <f t="shared" si="34"/>
        <v>skill_desc_4302961</v>
      </c>
      <c r="I202" s="1" t="s">
        <v>205</v>
      </c>
      <c r="J202" s="1" t="str">
        <f>IFERROR(_xlfn.XLOOKUP(W202,Target!A:A,Target!J:J),"")</f>
        <v>Skill_Target_Icon_Mine</v>
      </c>
      <c r="K202" s="1" t="s">
        <v>205</v>
      </c>
      <c r="L202" s="1" t="str">
        <f>IFERROR(_xlfn.XLOOKUP(W202,Target!A:A,Target!K:K),"")</f>
        <v>Skill_Area_Icon_Pivot_Centor</v>
      </c>
      <c r="M202" s="1" t="str">
        <f>_xlfn.XLOOKUP(B202,'[2]Detail&lt;Child&gt;'!$B:$B,'[2]Detail&lt;Child&gt;'!$M:$M)</f>
        <v>Light</v>
      </c>
      <c r="N202" s="1" t="str">
        <f>_xlfn.XLOOKUP(B202,'[2]Detail&lt;Child&gt;'!$B:$B,'[2]Detail&lt;Child&gt;'!$N:$N)</f>
        <v>Attacker</v>
      </c>
      <c r="O202" s="1" t="s">
        <v>167</v>
      </c>
      <c r="P202" s="33">
        <v>0</v>
      </c>
      <c r="Q202" s="68" t="str" cm="1">
        <f t="array" ref="Q202">_xlfn.IFS(R202="Move","Move",R202="NonTargetMove","Move",R202="Static","Stand",R202="None","Stand")</f>
        <v>Stand</v>
      </c>
      <c r="R202" s="1" t="s">
        <v>136</v>
      </c>
      <c r="S202" s="1">
        <f>IF(R202="Static",0,1)</f>
        <v>0</v>
      </c>
      <c r="T202" s="2" t="str">
        <f t="shared" si="35"/>
        <v>Immediately</v>
      </c>
      <c r="U202" s="2" t="str" cm="1">
        <f t="array" ref="U202">_xlfn.IFS(T202="SignalHIt","TurnEnd",T202="AttackBegin","TurnEnd",T202="AttackEnd","TurnEnd",T202="Immediately","Applied",T202="None","None")</f>
        <v>Applied</v>
      </c>
      <c r="V202" s="2">
        <v>0</v>
      </c>
      <c r="W202" s="1">
        <v>1</v>
      </c>
      <c r="X202" s="8">
        <v>43029611</v>
      </c>
      <c r="Y202" s="1" t="str">
        <f t="shared" si="36"/>
        <v>Immediately</v>
      </c>
      <c r="Z202" s="2" t="str" cm="1">
        <f t="array" ref="Z202">_xlfn.IFS(Y202="SignalHIt","TurnEnd",Y202="AttackBegin","TurnEnd",Y202="AttackEnd","TurnEnd",Y202="Immediately","Applied",Y202="None","None")</f>
        <v>Applied</v>
      </c>
      <c r="AA202" s="2">
        <v>0</v>
      </c>
      <c r="AB202" s="1">
        <v>0</v>
      </c>
      <c r="AC202" s="8">
        <v>0</v>
      </c>
      <c r="AD202" s="2" t="str">
        <f t="shared" si="37"/>
        <v>Immediately</v>
      </c>
      <c r="AE202" s="2" t="str" cm="1">
        <f t="array" ref="AE202">_xlfn.IFS(AD202="SignalHIt","TurnEnd",AD202="AttackBegin","TurnEnd",AD202="AttackEnd","TurnEnd",AD202="Immediately","Applied",AD202="None","None")</f>
        <v>Applied</v>
      </c>
      <c r="AF202" s="2">
        <v>0</v>
      </c>
      <c r="AG202" s="1">
        <v>0</v>
      </c>
      <c r="AH202" s="8">
        <v>0</v>
      </c>
      <c r="AI202" s="2" t="str">
        <f t="shared" si="38"/>
        <v>Immediately</v>
      </c>
      <c r="AJ202" s="2" t="str" cm="1">
        <f t="array" ref="AJ202">_xlfn.IFS(AI202="SignalHIt","TurnEnd",AI202="AttackBegin","TurnEnd",AI202="AttackEnd","TurnEnd",AI202="Immediately","Applied",AI202="None","None")</f>
        <v>Applied</v>
      </c>
      <c r="AK202" s="2">
        <v>0</v>
      </c>
      <c r="AL202" s="8">
        <v>0</v>
      </c>
      <c r="AM202" s="48">
        <v>0</v>
      </c>
      <c r="AN202" s="45" t="str">
        <f>IFERROR(_xlfn.XLOOKUP(W202,Target!$A:$A,Target!$B:$B),"None")</f>
        <v xml:space="preserve"> 자신 1명 </v>
      </c>
      <c r="AO202" s="43" t="str">
        <f>IFERROR(_xlfn.XLOOKUP($X202,'BuffValue&lt;Child&gt;'!$A:$A,'BuffValue&lt;Child&gt;'!$F:$F),"None")</f>
        <v>힐드 패시브 버프당 치명타 확률 증가</v>
      </c>
      <c r="AP202" s="43">
        <f>IFERROR(_xlfn.XLOOKUP($X202,'BuffValue&lt;Child&gt;'!$A:$A,'BuffValue&lt;Child&gt;'!$K:$K),0)</f>
        <v>5000</v>
      </c>
      <c r="AQ202" s="43" t="str">
        <f>IFERROR(_xlfn.XLOOKUP(AB202,Target!$A:$A,Target!$B:$B),"None")</f>
        <v>None</v>
      </c>
      <c r="AR202" s="45" t="str">
        <f>IFERROR(_xlfn.XLOOKUP($AC202,'BuffValue&lt;Child&gt;'!$A:$A,'BuffValue&lt;Child&gt;'!$F:$F),"None")</f>
        <v>None</v>
      </c>
      <c r="AS202" s="45">
        <f>IFERROR(_xlfn.XLOOKUP($AC202,'BuffValue&lt;Child&gt;'!$A:$A,'BuffValue&lt;Child&gt;'!$K:$K),0)</f>
        <v>0</v>
      </c>
      <c r="AT202" s="43" t="str">
        <f>IFERROR(_xlfn.XLOOKUP(AG202,Target!$A:$A,Target!$B:$B),"None")</f>
        <v>None</v>
      </c>
      <c r="AU202" s="43" t="str">
        <f>IFERROR(_xlfn.XLOOKUP($AH202,'BuffValue&lt;Child&gt;'!$A:$A,'BuffValue&lt;Child&gt;'!$F:$F),"None")</f>
        <v>None</v>
      </c>
      <c r="AV202" s="43">
        <f>IFERROR(_xlfn.XLOOKUP($AH202,'BuffValue&lt;Child&gt;'!$A:$A,'BuffValue&lt;Child&gt;'!$K:$K),0)</f>
        <v>0</v>
      </c>
      <c r="AW202" s="43" t="str">
        <f>IFERROR(_xlfn.XLOOKUP(AL202,Target!$A:$A,Target!$B:$B),"None")</f>
        <v>None</v>
      </c>
      <c r="AX202" s="43" t="str">
        <f>IFERROR(_xlfn.XLOOKUP($AM202,'BuffValue&lt;Child&gt;'!$A:$A,'BuffValue&lt;Child&gt;'!$F:$F),"None")</f>
        <v>None</v>
      </c>
      <c r="AY202" s="43">
        <f>IFERROR(_xlfn.XLOOKUP($AM202,#REF!,#REF!),0)</f>
        <v>0</v>
      </c>
    </row>
    <row r="203" spans="1:51" x14ac:dyDescent="0.3">
      <c r="A203" s="1">
        <f>INT(4&amp;MID(_xlfn.XLOOKUP(B203,[2]Timeline!$B:$B,[2]Timeline!$A:$A),2,5)&amp;2)</f>
        <v>4302962</v>
      </c>
      <c r="B203" s="7" t="s">
        <v>6</v>
      </c>
      <c r="C203" s="7" t="s">
        <v>122</v>
      </c>
      <c r="D203" s="7" t="s">
        <v>347</v>
      </c>
      <c r="E203" s="1" t="str">
        <f t="shared" si="33"/>
        <v>skill_name_4302962</v>
      </c>
      <c r="F203" s="1" t="s">
        <v>117</v>
      </c>
      <c r="G203" s="1" t="s">
        <v>457</v>
      </c>
      <c r="H203" s="1" t="str">
        <f t="shared" si="34"/>
        <v>skill_desc_4302962</v>
      </c>
      <c r="I203" s="1" t="s">
        <v>205</v>
      </c>
      <c r="J203" s="1" t="str">
        <f>IFERROR(_xlfn.XLOOKUP(W203,Target!A:A,Target!J:J),"")</f>
        <v>Skill_Target_Icon_Mine</v>
      </c>
      <c r="K203" s="1" t="s">
        <v>205</v>
      </c>
      <c r="L203" s="1" t="str">
        <f>IFERROR(_xlfn.XLOOKUP(W203,Target!A:A,Target!K:K),"")</f>
        <v>Skill_Area_Icon_Pivot_Centor</v>
      </c>
      <c r="M203" s="1" t="str">
        <f>_xlfn.XLOOKUP(B203,'[2]Detail&lt;Child&gt;'!$B:$B,'[2]Detail&lt;Child&gt;'!$M:$M)</f>
        <v>Light</v>
      </c>
      <c r="N203" s="1" t="str">
        <f>_xlfn.XLOOKUP(B203,'[2]Detail&lt;Child&gt;'!$B:$B,'[2]Detail&lt;Child&gt;'!$N:$N)</f>
        <v>Attacker</v>
      </c>
      <c r="O203" s="1" t="s">
        <v>167</v>
      </c>
      <c r="P203" s="33">
        <v>0</v>
      </c>
      <c r="Q203" s="68" t="str" cm="1">
        <f t="array" ref="Q203">_xlfn.IFS(R203="Move","Move",R203="NonTargetMove","Move",R203="Static","Stand",R203="None","Stand")</f>
        <v>Stand</v>
      </c>
      <c r="R203" s="1" t="s">
        <v>136</v>
      </c>
      <c r="S203" s="1">
        <f>IF(R203="Static",0,1)</f>
        <v>0</v>
      </c>
      <c r="T203" s="2" t="str">
        <f t="shared" si="35"/>
        <v>Immediately</v>
      </c>
      <c r="U203" s="2" t="str" cm="1">
        <f t="array" ref="U203">_xlfn.IFS(T203="SignalHIt","TurnEnd",T203="AttackBegin","TurnEnd",T203="AttackEnd","TurnEnd",T203="Immediately","Applied",T203="None","None")</f>
        <v>Applied</v>
      </c>
      <c r="V203" s="2">
        <v>0</v>
      </c>
      <c r="W203" s="1">
        <v>1</v>
      </c>
      <c r="X203" s="8">
        <v>43029621</v>
      </c>
      <c r="Y203" s="1" t="str">
        <f t="shared" si="36"/>
        <v>Immediately</v>
      </c>
      <c r="Z203" s="2" t="str" cm="1">
        <f t="array" ref="Z203">_xlfn.IFS(Y203="SignalHIt","TurnEnd",Y203="AttackBegin","TurnEnd",Y203="AttackEnd","TurnEnd",Y203="Immediately","Applied",Y203="None","None")</f>
        <v>Applied</v>
      </c>
      <c r="AA203" s="2">
        <v>0</v>
      </c>
      <c r="AB203" s="1">
        <v>0</v>
      </c>
      <c r="AC203" s="8">
        <v>0</v>
      </c>
      <c r="AD203" s="2" t="str">
        <f t="shared" si="37"/>
        <v>Immediately</v>
      </c>
      <c r="AE203" s="2" t="str" cm="1">
        <f t="array" ref="AE203">_xlfn.IFS(AD203="SignalHIt","TurnEnd",AD203="AttackBegin","TurnEnd",AD203="AttackEnd","TurnEnd",AD203="Immediately","Applied",AD203="None","None")</f>
        <v>Applied</v>
      </c>
      <c r="AF203" s="2">
        <v>0</v>
      </c>
      <c r="AG203" s="1">
        <v>0</v>
      </c>
      <c r="AH203" s="8">
        <v>0</v>
      </c>
      <c r="AI203" s="2" t="str">
        <f t="shared" si="38"/>
        <v>Immediately</v>
      </c>
      <c r="AJ203" s="2" t="str" cm="1">
        <f t="array" ref="AJ203">_xlfn.IFS(AI203="SignalHIt","TurnEnd",AI203="AttackBegin","TurnEnd",AI203="AttackEnd","TurnEnd",AI203="Immediately","Applied",AI203="None","None")</f>
        <v>Applied</v>
      </c>
      <c r="AK203" s="2">
        <v>0</v>
      </c>
      <c r="AL203" s="8">
        <v>0</v>
      </c>
      <c r="AM203" s="48">
        <v>0</v>
      </c>
      <c r="AN203" s="45" t="str">
        <f>IFERROR(_xlfn.XLOOKUP(W203,Target!$A:$A,Target!$B:$B),"None")</f>
        <v xml:space="preserve"> 자신 1명 </v>
      </c>
      <c r="AO203" s="43" t="str">
        <f>IFERROR(_xlfn.XLOOKUP($X203,'BuffValue&lt;Child&gt;'!$A:$A,'BuffValue&lt;Child&gt;'!$F:$F),"None")</f>
        <v>힐드 패시브 버프당 치명타 확률 증가</v>
      </c>
      <c r="AP203" s="43">
        <f>IFERROR(_xlfn.XLOOKUP($X203,'BuffValue&lt;Child&gt;'!$A:$A,'BuffValue&lt;Child&gt;'!$K:$K),0)</f>
        <v>5000</v>
      </c>
      <c r="AQ203" s="43" t="str">
        <f>IFERROR(_xlfn.XLOOKUP(AB203,Target!$A:$A,Target!$B:$B),"None")</f>
        <v>None</v>
      </c>
      <c r="AR203" s="45" t="str">
        <f>IFERROR(_xlfn.XLOOKUP($AC203,'BuffValue&lt;Child&gt;'!$A:$A,'BuffValue&lt;Child&gt;'!$F:$F),"None")</f>
        <v>None</v>
      </c>
      <c r="AS203" s="45">
        <f>IFERROR(_xlfn.XLOOKUP($AC203,'BuffValue&lt;Child&gt;'!$A:$A,'BuffValue&lt;Child&gt;'!$K:$K),0)</f>
        <v>0</v>
      </c>
      <c r="AT203" s="43" t="str">
        <f>IFERROR(_xlfn.XLOOKUP(AG203,Target!$A:$A,Target!$B:$B),"None")</f>
        <v>None</v>
      </c>
      <c r="AU203" s="43" t="str">
        <f>IFERROR(_xlfn.XLOOKUP($AH203,'BuffValue&lt;Child&gt;'!$A:$A,'BuffValue&lt;Child&gt;'!$F:$F),"None")</f>
        <v>None</v>
      </c>
      <c r="AV203" s="43">
        <f>IFERROR(_xlfn.XLOOKUP($AH203,'BuffValue&lt;Child&gt;'!$A:$A,'BuffValue&lt;Child&gt;'!$K:$K),0)</f>
        <v>0</v>
      </c>
      <c r="AW203" s="43" t="str">
        <f>IFERROR(_xlfn.XLOOKUP(AL203,Target!$A:$A,Target!$B:$B),"None")</f>
        <v>None</v>
      </c>
      <c r="AX203" s="43" t="str">
        <f>IFERROR(_xlfn.XLOOKUP($AM203,'BuffValue&lt;Child&gt;'!$A:$A,'BuffValue&lt;Child&gt;'!$F:$F),"None")</f>
        <v>None</v>
      </c>
      <c r="AY203" s="43">
        <f>IFERROR(_xlfn.XLOOKUP($AM203,#REF!,#REF!),0)</f>
        <v>0</v>
      </c>
    </row>
    <row r="204" spans="1:51" s="11" customFormat="1" x14ac:dyDescent="0.3">
      <c r="A204" s="11">
        <f>INT(1&amp;MID(_xlfn.XLOOKUP(B204,[2]Timeline!$B:$B,[2]Timeline!$A:$A),2,5)&amp;1)</f>
        <v>1303361</v>
      </c>
      <c r="B204" s="12" t="s">
        <v>592</v>
      </c>
      <c r="C204" s="12" t="s">
        <v>593</v>
      </c>
      <c r="D204" s="12" t="s">
        <v>544</v>
      </c>
      <c r="E204" s="11" t="str">
        <f t="shared" ref="E204:E211" si="39">"skill_name_"&amp;A204</f>
        <v>skill_name_1303361</v>
      </c>
      <c r="F204" s="11" t="s">
        <v>117</v>
      </c>
      <c r="G204" s="11" t="s">
        <v>598</v>
      </c>
      <c r="H204" s="11" t="str">
        <f t="shared" si="34"/>
        <v>skill_desc_1303361</v>
      </c>
      <c r="I204" s="11" t="s">
        <v>205</v>
      </c>
      <c r="J204" s="11" t="str">
        <f>IFERROR(_xlfn.XLOOKUP(W204,Target!A:A,Target!J:J),"")</f>
        <v>Skill_Target_Icon_Enemy_Near_One</v>
      </c>
      <c r="K204" s="11" t="s">
        <v>205</v>
      </c>
      <c r="L204" s="11" t="str">
        <f>IFERROR(_xlfn.XLOOKUP(W204,Target!A:A,Target!K:K),"")</f>
        <v>Skill_Area_Icon_Pivot_Centor</v>
      </c>
      <c r="M204" s="11" t="str">
        <f>_xlfn.XLOOKUP(B204,'[2]Detail&lt;Child&gt;'!$B:$B,'[2]Detail&lt;Child&gt;'!$M:$M)</f>
        <v>Forest</v>
      </c>
      <c r="N204" s="11" t="str">
        <f>_xlfn.XLOOKUP(B204,'[2]Detail&lt;Child&gt;'!$B:$B,'[2]Detail&lt;Child&gt;'!$N:$N)</f>
        <v>Supporter</v>
      </c>
      <c r="O204" s="11" t="s">
        <v>30</v>
      </c>
      <c r="P204" s="34">
        <v>0</v>
      </c>
      <c r="Q204" s="69" t="s">
        <v>499</v>
      </c>
      <c r="R204" s="11" t="s">
        <v>137</v>
      </c>
      <c r="S204" s="11">
        <v>2</v>
      </c>
      <c r="T204" s="15" t="str">
        <f t="shared" si="35"/>
        <v>SignalHit</v>
      </c>
      <c r="U204" s="15" t="str" cm="1">
        <f t="array" ref="U204">_xlfn.IFS(T204="SignalHIt","TurnEnd",T204="AttackBegin","TurnEnd",T204="AttackEnd","TurnEnd",T204="Immediately","Applied",T204="None","None")</f>
        <v>TurnEnd</v>
      </c>
      <c r="V204" s="15">
        <v>0</v>
      </c>
      <c r="W204" s="11">
        <v>2000011</v>
      </c>
      <c r="X204" s="10">
        <f>INT(A204&amp;1)</f>
        <v>13033611</v>
      </c>
      <c r="Y204" s="11" t="str">
        <f t="shared" si="36"/>
        <v>Immediately</v>
      </c>
      <c r="Z204" s="15" t="str" cm="1">
        <f t="array" ref="Z204">_xlfn.IFS(Y204="SignalHIt","TurnEnd",Y204="AttackBegin","TurnEnd",Y204="AttackEnd","TurnEnd",Y204="Immediately","Applied",Y204="None","None")</f>
        <v>Applied</v>
      </c>
      <c r="AA204" s="15">
        <v>0</v>
      </c>
      <c r="AB204" s="11">
        <v>0</v>
      </c>
      <c r="AC204" s="10">
        <v>0</v>
      </c>
      <c r="AD204" s="15" t="str">
        <f t="shared" si="37"/>
        <v>Immediately</v>
      </c>
      <c r="AE204" s="15" t="str" cm="1">
        <f t="array" ref="AE204">_xlfn.IFS(AD204="SignalHIt","TurnEnd",AD204="AttackBegin","TurnEnd",AD204="AttackEnd","TurnEnd",AD204="Immediately","Applied",AD204="None","None")</f>
        <v>Applied</v>
      </c>
      <c r="AF204" s="15">
        <v>0</v>
      </c>
      <c r="AG204" s="11">
        <v>0</v>
      </c>
      <c r="AH204" s="10">
        <v>0</v>
      </c>
      <c r="AI204" s="15" t="str">
        <f t="shared" si="38"/>
        <v>Immediately</v>
      </c>
      <c r="AJ204" s="15" t="str" cm="1">
        <f t="array" ref="AJ204">_xlfn.IFS(AI204="SignalHIt","TurnEnd",AI204="AttackBegin","TurnEnd",AI204="AttackEnd","TurnEnd",AI204="Immediately","Applied",AI204="None","None")</f>
        <v>Applied</v>
      </c>
      <c r="AK204" s="15">
        <v>0</v>
      </c>
      <c r="AL204" s="10">
        <v>0</v>
      </c>
      <c r="AM204" s="50">
        <v>0</v>
      </c>
      <c r="AN204" s="46" t="str">
        <f>IFERROR(_xlfn.XLOOKUP(W204,Target!$A:$A,Target!$B:$B),"None")</f>
        <v xml:space="preserve">가까운 적 1명 </v>
      </c>
      <c r="AO204" s="47" t="str">
        <f>IFERROR(_xlfn.XLOOKUP($X204,'BuffValue&lt;Child&gt;'!$A:$A,'BuffValue&lt;Child&gt;'!$F:$F),"None")</f>
        <v>공용 대미지</v>
      </c>
      <c r="AP204" s="47">
        <f>IFERROR(_xlfn.XLOOKUP($X204,'BuffValue&lt;Child&gt;'!$A:$A,'BuffValue&lt;Child&gt;'!$K:$K),0)</f>
        <v>150000</v>
      </c>
      <c r="AQ204" s="47" t="str">
        <f>IFERROR(_xlfn.XLOOKUP(AB204,Target!$A:$A,Target!$B:$B),"None")</f>
        <v>None</v>
      </c>
      <c r="AR204" s="46" t="str">
        <f>IFERROR(_xlfn.XLOOKUP($AC204,'BuffValue&lt;Child&gt;'!$A:$A,'BuffValue&lt;Child&gt;'!$F:$F),"None")</f>
        <v>None</v>
      </c>
      <c r="AS204" s="46">
        <f>IFERROR(_xlfn.XLOOKUP($AC204,'BuffValue&lt;Child&gt;'!$A:$A,'BuffValue&lt;Child&gt;'!$K:$K),0)</f>
        <v>0</v>
      </c>
      <c r="AT204" s="47" t="str">
        <f>IFERROR(_xlfn.XLOOKUP(AG204,Target!$A:$A,Target!$B:$B),"None")</f>
        <v>None</v>
      </c>
      <c r="AU204" s="47" t="str">
        <f>IFERROR(_xlfn.XLOOKUP($AH204,'BuffValue&lt;Child&gt;'!$A:$A,'BuffValue&lt;Child&gt;'!$F:$F),"None")</f>
        <v>None</v>
      </c>
      <c r="AV204" s="47">
        <f>IFERROR(_xlfn.XLOOKUP($AH204,'BuffValue&lt;Child&gt;'!$A:$A,'BuffValue&lt;Child&gt;'!$K:$K),0)</f>
        <v>0</v>
      </c>
      <c r="AW204" s="47" t="str">
        <f>IFERROR(_xlfn.XLOOKUP(AL204,Target!$A:$A,Target!$B:$B),"None")</f>
        <v>None</v>
      </c>
      <c r="AX204" s="47" t="str">
        <f>IFERROR(_xlfn.XLOOKUP($AM204,'BuffValue&lt;Child&gt;'!$A:$A,'BuffValue&lt;Child&gt;'!$F:$F),"None")</f>
        <v>None</v>
      </c>
      <c r="AY204" s="47">
        <f>IFERROR(_xlfn.XLOOKUP($AM204,#REF!,#REF!),0)</f>
        <v>0</v>
      </c>
    </row>
    <row r="205" spans="1:51" x14ac:dyDescent="0.3">
      <c r="A205" s="1">
        <f>INT(2&amp;MID(_xlfn.XLOOKUP(B205,[2]Timeline!$B:$B,[2]Timeline!$A:$A),2,5)&amp;1)</f>
        <v>2303361</v>
      </c>
      <c r="B205" s="7" t="s">
        <v>591</v>
      </c>
      <c r="C205" s="7" t="s">
        <v>594</v>
      </c>
      <c r="D205" s="7" t="s">
        <v>572</v>
      </c>
      <c r="E205" s="1" t="str">
        <f t="shared" si="39"/>
        <v>skill_name_2303361</v>
      </c>
      <c r="F205" s="1" t="s">
        <v>117</v>
      </c>
      <c r="G205" s="1" t="s">
        <v>599</v>
      </c>
      <c r="H205" s="1" t="str">
        <f t="shared" si="34"/>
        <v>skill_desc_2303361</v>
      </c>
      <c r="I205" s="1" t="s">
        <v>205</v>
      </c>
      <c r="J205" s="1" t="str">
        <f>IFERROR(_xlfn.XLOOKUP(W205,Target!A:A,Target!J:J),"")</f>
        <v>Skill_Target_Icon_Enemy_Near_One</v>
      </c>
      <c r="K205" s="1" t="s">
        <v>205</v>
      </c>
      <c r="L205" s="1" t="str">
        <f>IFERROR(_xlfn.XLOOKUP(W205,Target!A:A,Target!K:K),"")</f>
        <v>Skill_Area_Icon_Pivot_Centor</v>
      </c>
      <c r="M205" s="1" t="str">
        <f>_xlfn.XLOOKUP(B205,'[2]Detail&lt;Child&gt;'!$B:$B,'[2]Detail&lt;Child&gt;'!$M:$M)</f>
        <v>Forest</v>
      </c>
      <c r="N205" s="1" t="str">
        <f>_xlfn.XLOOKUP(B205,'[2]Detail&lt;Child&gt;'!$B:$B,'[2]Detail&lt;Child&gt;'!$N:$N)</f>
        <v>Supporter</v>
      </c>
      <c r="O205" s="1" t="s">
        <v>33</v>
      </c>
      <c r="P205" s="33">
        <v>3</v>
      </c>
      <c r="Q205" s="68" t="str" cm="1">
        <f t="array" ref="Q205">_xlfn.IFS(R205="Move","Move",R205="NonTargetMove","Move",R205="Static","Stand",R205="None","Stand")</f>
        <v>Move</v>
      </c>
      <c r="R205" s="1" t="s">
        <v>144</v>
      </c>
      <c r="S205" s="1">
        <v>2</v>
      </c>
      <c r="T205" s="2" t="str">
        <f t="shared" si="35"/>
        <v>SignalHit</v>
      </c>
      <c r="U205" s="2" t="str" cm="1">
        <f t="array" ref="U205">_xlfn.IFS(T205="SignalHIt","TurnEnd",T205="AttackBegin","TurnEnd",T205="AttackEnd","TurnEnd",T205="Immediately","Applied",T205="None","None")</f>
        <v>TurnEnd</v>
      </c>
      <c r="V205" s="2">
        <v>0</v>
      </c>
      <c r="W205" s="1">
        <v>2000011</v>
      </c>
      <c r="X205" s="8">
        <f t="shared" ref="X205:X211" si="40">INT(A205&amp;1)</f>
        <v>23033611</v>
      </c>
      <c r="Y205" s="1" t="str">
        <f t="shared" si="36"/>
        <v>Immediately</v>
      </c>
      <c r="Z205" s="2" t="str" cm="1">
        <f t="array" ref="Z205">_xlfn.IFS(Y205="SignalHIt","TurnEnd",Y205="AttackBegin","TurnEnd",Y205="AttackEnd","TurnEnd",Y205="Immediately","Applied",Y205="None","None")</f>
        <v>Applied</v>
      </c>
      <c r="AA205" s="2">
        <v>0</v>
      </c>
      <c r="AB205" s="1">
        <v>0</v>
      </c>
      <c r="AC205" s="8">
        <v>0</v>
      </c>
      <c r="AD205" s="2" t="str">
        <f t="shared" si="37"/>
        <v>Immediately</v>
      </c>
      <c r="AE205" s="2" t="str" cm="1">
        <f t="array" ref="AE205">_xlfn.IFS(AD205="SignalHIt","TurnEnd",AD205="AttackBegin","TurnEnd",AD205="AttackEnd","TurnEnd",AD205="Immediately","Applied",AD205="None","None")</f>
        <v>Applied</v>
      </c>
      <c r="AF205" s="2">
        <v>0</v>
      </c>
      <c r="AG205" s="1">
        <v>0</v>
      </c>
      <c r="AH205" s="8">
        <v>0</v>
      </c>
      <c r="AI205" s="2" t="str">
        <f t="shared" si="38"/>
        <v>Immediately</v>
      </c>
      <c r="AJ205" s="2" t="str" cm="1">
        <f t="array" ref="AJ205">_xlfn.IFS(AI205="SignalHIt","TurnEnd",AI205="AttackBegin","TurnEnd",AI205="AttackEnd","TurnEnd",AI205="Immediately","Applied",AI205="None","None")</f>
        <v>Applied</v>
      </c>
      <c r="AK205" s="2">
        <v>0</v>
      </c>
      <c r="AL205" s="8">
        <v>0</v>
      </c>
      <c r="AM205" s="48">
        <v>0</v>
      </c>
      <c r="AN205" s="45" t="str">
        <f>IFERROR(_xlfn.XLOOKUP(W205,Target!$A:$A,Target!$B:$B),"None")</f>
        <v xml:space="preserve">가까운 적 1명 </v>
      </c>
      <c r="AO205" s="43" t="str">
        <f>IFERROR(_xlfn.XLOOKUP($X205,'BuffValue&lt;Child&gt;'!$A:$A,'BuffValue&lt;Child&gt;'!$F:$F),"None")</f>
        <v>액티브 대미지</v>
      </c>
      <c r="AP205" s="43">
        <f>IFERROR(_xlfn.XLOOKUP($X205,'BuffValue&lt;Child&gt;'!$A:$A,'BuffValue&lt;Child&gt;'!$K:$K),0)</f>
        <v>40000</v>
      </c>
      <c r="AQ205" s="43" t="str">
        <f>IFERROR(_xlfn.XLOOKUP(AB205,Target!$A:$A,Target!$B:$B),"None")</f>
        <v>None</v>
      </c>
      <c r="AR205" s="45" t="str">
        <f>IFERROR(_xlfn.XLOOKUP($AC205,'BuffValue&lt;Child&gt;'!$A:$A,'BuffValue&lt;Child&gt;'!$F:$F),"None")</f>
        <v>None</v>
      </c>
      <c r="AS205" s="45">
        <f>IFERROR(_xlfn.XLOOKUP($AC205,'BuffValue&lt;Child&gt;'!$A:$A,'BuffValue&lt;Child&gt;'!$K:$K),0)</f>
        <v>0</v>
      </c>
      <c r="AT205" s="43" t="str">
        <f>IFERROR(_xlfn.XLOOKUP(AG205,Target!$A:$A,Target!$B:$B),"None")</f>
        <v>None</v>
      </c>
      <c r="AU205" s="43" t="str">
        <f>IFERROR(_xlfn.XLOOKUP($AH205,'BuffValue&lt;Child&gt;'!$A:$A,'BuffValue&lt;Child&gt;'!$F:$F),"None")</f>
        <v>None</v>
      </c>
      <c r="AV205" s="43">
        <f>IFERROR(_xlfn.XLOOKUP($AH205,'BuffValue&lt;Child&gt;'!$A:$A,'BuffValue&lt;Child&gt;'!$K:$K),0)</f>
        <v>0</v>
      </c>
      <c r="AW205" s="43" t="str">
        <f>IFERROR(_xlfn.XLOOKUP(AL205,Target!$A:$A,Target!$B:$B),"None")</f>
        <v>None</v>
      </c>
      <c r="AX205" s="43" t="str">
        <f>IFERROR(_xlfn.XLOOKUP($AM205,'BuffValue&lt;Child&gt;'!$A:$A,'BuffValue&lt;Child&gt;'!$F:$F),"None")</f>
        <v>None</v>
      </c>
      <c r="AY205" s="43">
        <f>IFERROR(_xlfn.XLOOKUP($AM205,#REF!,#REF!),0)</f>
        <v>0</v>
      </c>
    </row>
    <row r="206" spans="1:51" x14ac:dyDescent="0.3">
      <c r="A206" s="1">
        <f>INT(2&amp;MID(_xlfn.XLOOKUP(B206,[2]Timeline!$B:$B,[2]Timeline!$A:$A),2,5)&amp;2)</f>
        <v>2303362</v>
      </c>
      <c r="B206" s="7" t="s">
        <v>591</v>
      </c>
      <c r="C206" s="7" t="s">
        <v>595</v>
      </c>
      <c r="D206" s="7" t="s">
        <v>572</v>
      </c>
      <c r="E206" s="1" t="str">
        <f t="shared" si="39"/>
        <v>skill_name_2303362</v>
      </c>
      <c r="F206" s="1" t="s">
        <v>117</v>
      </c>
      <c r="G206" s="1" t="s">
        <v>599</v>
      </c>
      <c r="H206" s="1" t="str">
        <f t="shared" si="34"/>
        <v>skill_desc_2303362</v>
      </c>
      <c r="I206" s="1" t="s">
        <v>205</v>
      </c>
      <c r="J206" s="1" t="str">
        <f>IFERROR(_xlfn.XLOOKUP(W206,Target!A:A,Target!J:J),"")</f>
        <v>Skill_Target_Icon_Enemy_Near_One</v>
      </c>
      <c r="K206" s="1" t="s">
        <v>205</v>
      </c>
      <c r="L206" s="1" t="str">
        <f>IFERROR(_xlfn.XLOOKUP(W206,Target!A:A,Target!K:K),"")</f>
        <v>Skill_Area_Icon_Pivot_Centor</v>
      </c>
      <c r="M206" s="1" t="str">
        <f>_xlfn.XLOOKUP(B206,'[2]Detail&lt;Child&gt;'!$B:$B,'[2]Detail&lt;Child&gt;'!$M:$M)</f>
        <v>Forest</v>
      </c>
      <c r="N206" s="1" t="str">
        <f>_xlfn.XLOOKUP(B206,'[2]Detail&lt;Child&gt;'!$B:$B,'[2]Detail&lt;Child&gt;'!$N:$N)</f>
        <v>Supporter</v>
      </c>
      <c r="O206" s="1" t="s">
        <v>33</v>
      </c>
      <c r="P206" s="33">
        <v>2</v>
      </c>
      <c r="Q206" s="68" t="str" cm="1">
        <f t="array" ref="Q206">_xlfn.IFS(R206="Move","Move",R206="NonTargetMove","Move",R206="Static","Stand",R206="None","Stand")</f>
        <v>Move</v>
      </c>
      <c r="R206" s="1" t="s">
        <v>144</v>
      </c>
      <c r="S206" s="1">
        <v>2</v>
      </c>
      <c r="T206" s="2" t="str">
        <f t="shared" si="35"/>
        <v>SignalHit</v>
      </c>
      <c r="U206" s="2" t="str" cm="1">
        <f t="array" ref="U206">_xlfn.IFS(T206="SignalHIt","TurnEnd",T206="AttackBegin","TurnEnd",T206="AttackEnd","TurnEnd",T206="Immediately","Applied",T206="None","None")</f>
        <v>TurnEnd</v>
      </c>
      <c r="V206" s="2">
        <v>0</v>
      </c>
      <c r="W206" s="1">
        <v>2000011</v>
      </c>
      <c r="X206" s="8">
        <f t="shared" si="40"/>
        <v>23033621</v>
      </c>
      <c r="Y206" s="1" t="str">
        <f t="shared" si="36"/>
        <v>Immediately</v>
      </c>
      <c r="Z206" s="2" t="str" cm="1">
        <f t="array" ref="Z206">_xlfn.IFS(Y206="SignalHIt","TurnEnd",Y206="AttackBegin","TurnEnd",Y206="AttackEnd","TurnEnd",Y206="Immediately","Applied",Y206="None","None")</f>
        <v>Applied</v>
      </c>
      <c r="AA206" s="2">
        <v>0</v>
      </c>
      <c r="AB206" s="1">
        <v>0</v>
      </c>
      <c r="AC206" s="8">
        <v>0</v>
      </c>
      <c r="AD206" s="2" t="str">
        <f t="shared" si="37"/>
        <v>Immediately</v>
      </c>
      <c r="AE206" s="2" t="str" cm="1">
        <f t="array" ref="AE206">_xlfn.IFS(AD206="SignalHIt","TurnEnd",AD206="AttackBegin","TurnEnd",AD206="AttackEnd","TurnEnd",AD206="Immediately","Applied",AD206="None","None")</f>
        <v>Applied</v>
      </c>
      <c r="AF206" s="2">
        <v>0</v>
      </c>
      <c r="AG206" s="1">
        <v>0</v>
      </c>
      <c r="AH206" s="8">
        <v>0</v>
      </c>
      <c r="AI206" s="2" t="str">
        <f t="shared" si="38"/>
        <v>Immediately</v>
      </c>
      <c r="AJ206" s="2" t="str" cm="1">
        <f t="array" ref="AJ206">_xlfn.IFS(AI206="SignalHIt","TurnEnd",AI206="AttackBegin","TurnEnd",AI206="AttackEnd","TurnEnd",AI206="Immediately","Applied",AI206="None","None")</f>
        <v>Applied</v>
      </c>
      <c r="AK206" s="2">
        <v>0</v>
      </c>
      <c r="AL206" s="8">
        <v>0</v>
      </c>
      <c r="AM206" s="48">
        <v>0</v>
      </c>
      <c r="AN206" s="45" t="str">
        <f>IFERROR(_xlfn.XLOOKUP(W206,Target!$A:$A,Target!$B:$B),"None")</f>
        <v xml:space="preserve">가까운 적 1명 </v>
      </c>
      <c r="AO206" s="43" t="str">
        <f>IFERROR(_xlfn.XLOOKUP($X206,'BuffValue&lt;Child&gt;'!$A:$A,'BuffValue&lt;Child&gt;'!$F:$F),"None")</f>
        <v>액티브 대미지</v>
      </c>
      <c r="AP206" s="43">
        <f>IFERROR(_xlfn.XLOOKUP($X206,'BuffValue&lt;Child&gt;'!$A:$A,'BuffValue&lt;Child&gt;'!$K:$K),0)</f>
        <v>40000</v>
      </c>
      <c r="AQ206" s="43" t="str">
        <f>IFERROR(_xlfn.XLOOKUP(AB206,Target!$A:$A,Target!$B:$B),"None")</f>
        <v>None</v>
      </c>
      <c r="AR206" s="45" t="str">
        <f>IFERROR(_xlfn.XLOOKUP($AC206,'BuffValue&lt;Child&gt;'!$A:$A,'BuffValue&lt;Child&gt;'!$F:$F),"None")</f>
        <v>None</v>
      </c>
      <c r="AS206" s="45">
        <f>IFERROR(_xlfn.XLOOKUP($AC206,'BuffValue&lt;Child&gt;'!$A:$A,'BuffValue&lt;Child&gt;'!$K:$K),0)</f>
        <v>0</v>
      </c>
      <c r="AT206" s="43" t="str">
        <f>IFERROR(_xlfn.XLOOKUP(AG206,Target!$A:$A,Target!$B:$B),"None")</f>
        <v>None</v>
      </c>
      <c r="AU206" s="43" t="str">
        <f>IFERROR(_xlfn.XLOOKUP($AH206,'BuffValue&lt;Child&gt;'!$A:$A,'BuffValue&lt;Child&gt;'!$F:$F),"None")</f>
        <v>None</v>
      </c>
      <c r="AV206" s="43">
        <f>IFERROR(_xlfn.XLOOKUP($AH206,'BuffValue&lt;Child&gt;'!$A:$A,'BuffValue&lt;Child&gt;'!$K:$K),0)</f>
        <v>0</v>
      </c>
      <c r="AW206" s="43" t="str">
        <f>IFERROR(_xlfn.XLOOKUP(AL206,Target!$A:$A,Target!$B:$B),"None")</f>
        <v>None</v>
      </c>
      <c r="AX206" s="43" t="str">
        <f>IFERROR(_xlfn.XLOOKUP($AM206,'BuffValue&lt;Child&gt;'!$A:$A,'BuffValue&lt;Child&gt;'!$F:$F),"None")</f>
        <v>None</v>
      </c>
      <c r="AY206" s="43">
        <f>IFERROR(_xlfn.XLOOKUP($AM206,#REF!,#REF!),0)</f>
        <v>0</v>
      </c>
    </row>
    <row r="207" spans="1:51" x14ac:dyDescent="0.3">
      <c r="A207" s="1">
        <f>INT(3&amp;MID(_xlfn.XLOOKUP(B207,[2]Timeline!$B:$B,[2]Timeline!$A:$A),2,5)&amp;1)</f>
        <v>3303361</v>
      </c>
      <c r="B207" s="7" t="s">
        <v>591</v>
      </c>
      <c r="C207" s="7" t="s">
        <v>597</v>
      </c>
      <c r="D207" s="7" t="s">
        <v>516</v>
      </c>
      <c r="E207" s="1" t="str">
        <f t="shared" si="39"/>
        <v>skill_name_3303361</v>
      </c>
      <c r="F207" s="1" t="s">
        <v>117</v>
      </c>
      <c r="G207" s="1" t="s">
        <v>600</v>
      </c>
      <c r="H207" s="1" t="str">
        <f t="shared" si="34"/>
        <v>skill_desc_3303361</v>
      </c>
      <c r="I207" s="1" t="s">
        <v>205</v>
      </c>
      <c r="J207" s="1" t="str">
        <f>IFERROR(_xlfn.XLOOKUP(W207,Target!A:A,Target!J:J),"")</f>
        <v>Skill_Target_Icon_Enemy_Near_One</v>
      </c>
      <c r="K207" s="1" t="s">
        <v>205</v>
      </c>
      <c r="L207" s="1" t="str">
        <f>IFERROR(_xlfn.XLOOKUP(W207,Target!A:A,Target!K:K),"")</f>
        <v>Skill_Area_Icon_Pivot_Row</v>
      </c>
      <c r="M207" s="1" t="str">
        <f>_xlfn.XLOOKUP(B207,'[2]Detail&lt;Child&gt;'!$B:$B,'[2]Detail&lt;Child&gt;'!$M:$M)</f>
        <v>Forest</v>
      </c>
      <c r="N207" s="1" t="str">
        <f>_xlfn.XLOOKUP(B207,'[2]Detail&lt;Child&gt;'!$B:$B,'[2]Detail&lt;Child&gt;'!$N:$N)</f>
        <v>Supporter</v>
      </c>
      <c r="O207" s="1" t="s">
        <v>140</v>
      </c>
      <c r="P207" s="33">
        <v>0</v>
      </c>
      <c r="Q207" s="68" t="str" cm="1">
        <f t="array" ref="Q207">_xlfn.IFS(R207="Move","Move",R207="NonTargetMove","Move",R207="Static","Stand",R207="None","Stand")</f>
        <v>Move</v>
      </c>
      <c r="R207" s="1" t="s">
        <v>153</v>
      </c>
      <c r="S207" s="1">
        <v>2</v>
      </c>
      <c r="T207" s="2" t="str">
        <f t="shared" si="35"/>
        <v>SignalHit</v>
      </c>
      <c r="U207" s="2" t="str" cm="1">
        <f t="array" ref="U207">_xlfn.IFS(T207="SignalHIt","TurnEnd",T207="AttackBegin","TurnEnd",T207="AttackEnd","TurnEnd",T207="Immediately","Applied",T207="None","None")</f>
        <v>TurnEnd</v>
      </c>
      <c r="V207" s="2">
        <v>0</v>
      </c>
      <c r="W207" s="1">
        <v>2000014</v>
      </c>
      <c r="X207" s="8">
        <f t="shared" si="40"/>
        <v>33033611</v>
      </c>
      <c r="Y207" s="1" t="str">
        <f t="shared" si="36"/>
        <v>Immediately</v>
      </c>
      <c r="Z207" s="2" t="str" cm="1">
        <f t="array" ref="Z207">_xlfn.IFS(Y207="SignalHIt","TurnEnd",Y207="AttackBegin","TurnEnd",Y207="AttackEnd","TurnEnd",Y207="Immediately","Applied",Y207="None","None")</f>
        <v>Applied</v>
      </c>
      <c r="AA207" s="2">
        <v>0</v>
      </c>
      <c r="AB207" s="1">
        <v>0</v>
      </c>
      <c r="AC207" s="8">
        <v>0</v>
      </c>
      <c r="AD207" s="2" t="str">
        <f t="shared" si="37"/>
        <v>Immediately</v>
      </c>
      <c r="AE207" s="2" t="str" cm="1">
        <f t="array" ref="AE207">_xlfn.IFS(AD207="SignalHIt","TurnEnd",AD207="AttackBegin","TurnEnd",AD207="AttackEnd","TurnEnd",AD207="Immediately","Applied",AD207="None","None")</f>
        <v>Applied</v>
      </c>
      <c r="AF207" s="2">
        <v>0</v>
      </c>
      <c r="AG207" s="1">
        <v>0</v>
      </c>
      <c r="AH207" s="8">
        <v>0</v>
      </c>
      <c r="AI207" s="2" t="str">
        <f t="shared" si="38"/>
        <v>Immediately</v>
      </c>
      <c r="AJ207" s="2" t="str" cm="1">
        <f t="array" ref="AJ207">_xlfn.IFS(AI207="SignalHIt","TurnEnd",AI207="AttackBegin","TurnEnd",AI207="AttackEnd","TurnEnd",AI207="Immediately","Applied",AI207="None","None")</f>
        <v>Applied</v>
      </c>
      <c r="AK207" s="2">
        <v>0</v>
      </c>
      <c r="AL207" s="1">
        <v>0</v>
      </c>
      <c r="AM207" s="48">
        <v>0</v>
      </c>
      <c r="AN207" s="45" t="str">
        <f>IFERROR(_xlfn.XLOOKUP(W207,Target!$A:$A,Target!$B:$B),"None")</f>
        <v>가까운 적 1명 2행</v>
      </c>
      <c r="AO207" s="43" t="str">
        <f>IFERROR(_xlfn.XLOOKUP($X207,'BuffValue&lt;Child&gt;'!$A:$A,'BuffValue&lt;Child&gt;'!$F:$F),"None")</f>
        <v>얼티밋 대미지</v>
      </c>
      <c r="AP207" s="43">
        <f>IFERROR(_xlfn.XLOOKUP($X207,'BuffValue&lt;Child&gt;'!$A:$A,'BuffValue&lt;Child&gt;'!$K:$K),0)</f>
        <v>320000</v>
      </c>
      <c r="AQ207" s="43" t="str">
        <f>IFERROR(_xlfn.XLOOKUP(AB207,Target!$A:$A,Target!$B:$B),"None")</f>
        <v>None</v>
      </c>
      <c r="AR207" s="45" t="str">
        <f>IFERROR(_xlfn.XLOOKUP($AC207,'BuffValue&lt;Child&gt;'!$A:$A,'BuffValue&lt;Child&gt;'!$F:$F),"None")</f>
        <v>None</v>
      </c>
      <c r="AS207" s="45">
        <f>IFERROR(_xlfn.XLOOKUP($AC207,'BuffValue&lt;Child&gt;'!$A:$A,'BuffValue&lt;Child&gt;'!$K:$K),0)</f>
        <v>0</v>
      </c>
      <c r="AT207" s="43" t="str">
        <f>IFERROR(_xlfn.XLOOKUP(AG207,Target!$A:$A,Target!$B:$B),"None")</f>
        <v>None</v>
      </c>
      <c r="AU207" s="43" t="str">
        <f>IFERROR(_xlfn.XLOOKUP($AH207,'BuffValue&lt;Child&gt;'!$A:$A,'BuffValue&lt;Child&gt;'!$F:$F),"None")</f>
        <v>None</v>
      </c>
      <c r="AV207" s="43">
        <f>IFERROR(_xlfn.XLOOKUP($AH207,'BuffValue&lt;Child&gt;'!$A:$A,'BuffValue&lt;Child&gt;'!$K:$K),0)</f>
        <v>0</v>
      </c>
      <c r="AW207" s="43" t="str">
        <f>IFERROR(_xlfn.XLOOKUP(AL207,Target!$A:$A,Target!$B:$B),"None")</f>
        <v>None</v>
      </c>
      <c r="AX207" s="43" t="str">
        <f>IFERROR(_xlfn.XLOOKUP($AM207,'BuffValue&lt;Child&gt;'!$A:$A,'BuffValue&lt;Child&gt;'!$F:$F),"None")</f>
        <v>None</v>
      </c>
      <c r="AY207" s="43">
        <f>IFERROR(_xlfn.XLOOKUP($AM207,#REF!,#REF!),0)</f>
        <v>0</v>
      </c>
    </row>
    <row r="208" spans="1:51" x14ac:dyDescent="0.3">
      <c r="A208" s="1">
        <f>INT(3&amp;MID(_xlfn.XLOOKUP(B208,[2]Timeline!$B:$B,[2]Timeline!$A:$A),2,5)&amp;2)</f>
        <v>3303362</v>
      </c>
      <c r="B208" s="7" t="s">
        <v>591</v>
      </c>
      <c r="C208" s="7" t="s">
        <v>596</v>
      </c>
      <c r="D208" s="7" t="s">
        <v>516</v>
      </c>
      <c r="E208" s="1" t="str">
        <f t="shared" si="39"/>
        <v>skill_name_3303362</v>
      </c>
      <c r="F208" s="1" t="s">
        <v>117</v>
      </c>
      <c r="G208" s="1" t="s">
        <v>600</v>
      </c>
      <c r="H208" s="1" t="str">
        <f t="shared" si="34"/>
        <v>skill_desc_3303362</v>
      </c>
      <c r="I208" s="1" t="s">
        <v>205</v>
      </c>
      <c r="J208" s="1" t="str">
        <f>IFERROR(_xlfn.XLOOKUP(W208,Target!A:A,Target!J:J),"")</f>
        <v>Skill_Target_Icon_Enemy_Near_One</v>
      </c>
      <c r="K208" s="1" t="s">
        <v>205</v>
      </c>
      <c r="L208" s="1" t="str">
        <f>IFERROR(_xlfn.XLOOKUP(W208,Target!A:A,Target!K:K),"")</f>
        <v>Skill_Area_Icon_Pivot_Row</v>
      </c>
      <c r="M208" s="1" t="str">
        <f>_xlfn.XLOOKUP(B208,'[2]Detail&lt;Child&gt;'!$B:$B,'[2]Detail&lt;Child&gt;'!$M:$M)</f>
        <v>Forest</v>
      </c>
      <c r="N208" s="1" t="str">
        <f>_xlfn.XLOOKUP(B208,'[2]Detail&lt;Child&gt;'!$B:$B,'[2]Detail&lt;Child&gt;'!$N:$N)</f>
        <v>Supporter</v>
      </c>
      <c r="O208" s="1" t="s">
        <v>140</v>
      </c>
      <c r="P208" s="33">
        <v>0</v>
      </c>
      <c r="Q208" s="68" t="str" cm="1">
        <f t="array" ref="Q208">_xlfn.IFS(R208="Move","Move",R208="NonTargetMove","Move",R208="Static","Stand",R208="None","Stand")</f>
        <v>Move</v>
      </c>
      <c r="R208" s="1" t="s">
        <v>153</v>
      </c>
      <c r="S208" s="1">
        <v>2</v>
      </c>
      <c r="T208" s="2" t="str">
        <f t="shared" si="35"/>
        <v>SignalHit</v>
      </c>
      <c r="U208" s="2" t="str" cm="1">
        <f t="array" ref="U208">_xlfn.IFS(T208="SignalHIt","TurnEnd",T208="AttackBegin","TurnEnd",T208="AttackEnd","TurnEnd",T208="Immediately","Applied",T208="None","None")</f>
        <v>TurnEnd</v>
      </c>
      <c r="V208" s="2">
        <v>0</v>
      </c>
      <c r="W208" s="1">
        <v>2000014</v>
      </c>
      <c r="X208" s="8">
        <f t="shared" si="40"/>
        <v>33033621</v>
      </c>
      <c r="Y208" s="1" t="str">
        <f t="shared" si="36"/>
        <v>Immediately</v>
      </c>
      <c r="Z208" s="2" t="str" cm="1">
        <f t="array" ref="Z208">_xlfn.IFS(Y208="SignalHIt","TurnEnd",Y208="AttackBegin","TurnEnd",Y208="AttackEnd","TurnEnd",Y208="Immediately","Applied",Y208="None","None")</f>
        <v>Applied</v>
      </c>
      <c r="AA208" s="2">
        <v>0</v>
      </c>
      <c r="AB208" s="1">
        <v>0</v>
      </c>
      <c r="AC208" s="8">
        <v>0</v>
      </c>
      <c r="AD208" s="2" t="str">
        <f t="shared" si="37"/>
        <v>Immediately</v>
      </c>
      <c r="AE208" s="2" t="str" cm="1">
        <f t="array" ref="AE208">_xlfn.IFS(AD208="SignalHIt","TurnEnd",AD208="AttackBegin","TurnEnd",AD208="AttackEnd","TurnEnd",AD208="Immediately","Applied",AD208="None","None")</f>
        <v>Applied</v>
      </c>
      <c r="AF208" s="2">
        <v>0</v>
      </c>
      <c r="AG208" s="1">
        <v>0</v>
      </c>
      <c r="AH208" s="8">
        <v>0</v>
      </c>
      <c r="AI208" s="2" t="str">
        <f t="shared" si="38"/>
        <v>Immediately</v>
      </c>
      <c r="AJ208" s="2" t="str" cm="1">
        <f t="array" ref="AJ208">_xlfn.IFS(AI208="SignalHIt","TurnEnd",AI208="AttackBegin","TurnEnd",AI208="AttackEnd","TurnEnd",AI208="Immediately","Applied",AI208="None","None")</f>
        <v>Applied</v>
      </c>
      <c r="AK208" s="2">
        <v>0</v>
      </c>
      <c r="AL208" s="1">
        <v>0</v>
      </c>
      <c r="AM208" s="48">
        <v>0</v>
      </c>
      <c r="AN208" s="45" t="str">
        <f>IFERROR(_xlfn.XLOOKUP(W208,Target!$A:$A,Target!$B:$B),"None")</f>
        <v>가까운 적 1명 2행</v>
      </c>
      <c r="AO208" s="43" t="str">
        <f>IFERROR(_xlfn.XLOOKUP($X208,'BuffValue&lt;Child&gt;'!$A:$A,'BuffValue&lt;Child&gt;'!$F:$F),"None")</f>
        <v>얼티밋 대미지</v>
      </c>
      <c r="AP208" s="43">
        <f>IFERROR(_xlfn.XLOOKUP($X208,'BuffValue&lt;Child&gt;'!$A:$A,'BuffValue&lt;Child&gt;'!$K:$K),0)</f>
        <v>320000</v>
      </c>
      <c r="AQ208" s="43" t="str">
        <f>IFERROR(_xlfn.XLOOKUP(AB208,Target!$A:$A,Target!$B:$B),"None")</f>
        <v>None</v>
      </c>
      <c r="AR208" s="45" t="str">
        <f>IFERROR(_xlfn.XLOOKUP($AC208,'BuffValue&lt;Child&gt;'!$A:$A,'BuffValue&lt;Child&gt;'!$F:$F),"None")</f>
        <v>None</v>
      </c>
      <c r="AS208" s="45">
        <f>IFERROR(_xlfn.XLOOKUP($AC208,'BuffValue&lt;Child&gt;'!$A:$A,'BuffValue&lt;Child&gt;'!$K:$K),0)</f>
        <v>0</v>
      </c>
      <c r="AT208" s="43" t="str">
        <f>IFERROR(_xlfn.XLOOKUP(AG208,Target!$A:$A,Target!$B:$B),"None")</f>
        <v>None</v>
      </c>
      <c r="AU208" s="43" t="str">
        <f>IFERROR(_xlfn.XLOOKUP($AH208,'BuffValue&lt;Child&gt;'!$A:$A,'BuffValue&lt;Child&gt;'!$F:$F),"None")</f>
        <v>None</v>
      </c>
      <c r="AV208" s="43">
        <f>IFERROR(_xlfn.XLOOKUP($AH208,'BuffValue&lt;Child&gt;'!$A:$A,'BuffValue&lt;Child&gt;'!$K:$K),0)</f>
        <v>0</v>
      </c>
      <c r="AW208" s="43" t="str">
        <f>IFERROR(_xlfn.XLOOKUP(AL208,Target!$A:$A,Target!$B:$B),"None")</f>
        <v>None</v>
      </c>
      <c r="AX208" s="43" t="str">
        <f>IFERROR(_xlfn.XLOOKUP($AM208,'BuffValue&lt;Child&gt;'!$A:$A,'BuffValue&lt;Child&gt;'!$F:$F),"None")</f>
        <v>None</v>
      </c>
      <c r="AY208" s="43">
        <f>IFERROR(_xlfn.XLOOKUP($AM208,#REF!,#REF!),0)</f>
        <v>0</v>
      </c>
    </row>
    <row r="209" spans="1:51" x14ac:dyDescent="0.3">
      <c r="A209" s="1">
        <f>INT(3&amp;MID(_xlfn.XLOOKUP(B209,[2]Timeline!$B:$B,[2]Timeline!$A:$A),2,5)&amp;3)</f>
        <v>3303363</v>
      </c>
      <c r="B209" s="7" t="s">
        <v>591</v>
      </c>
      <c r="C209" s="7" t="s">
        <v>596</v>
      </c>
      <c r="D209" s="7" t="s">
        <v>516</v>
      </c>
      <c r="E209" s="1" t="str">
        <f t="shared" si="39"/>
        <v>skill_name_3303363</v>
      </c>
      <c r="F209" s="1" t="s">
        <v>117</v>
      </c>
      <c r="G209" s="1" t="s">
        <v>600</v>
      </c>
      <c r="H209" s="1" t="str">
        <f t="shared" si="34"/>
        <v>skill_desc_3303363</v>
      </c>
      <c r="I209" s="1" t="s">
        <v>205</v>
      </c>
      <c r="J209" s="1" t="str">
        <f>IFERROR(_xlfn.XLOOKUP(W209,Target!A:A,Target!J:J),"")</f>
        <v>Skill_Target_Icon_Enemy_Near_One</v>
      </c>
      <c r="K209" s="1" t="s">
        <v>205</v>
      </c>
      <c r="L209" s="1" t="str">
        <f>IFERROR(_xlfn.XLOOKUP(W209,Target!A:A,Target!K:K),"")</f>
        <v>Skill_Area_Icon_Pivot_Row</v>
      </c>
      <c r="M209" s="1" t="str">
        <f>_xlfn.XLOOKUP(B209,'[2]Detail&lt;Child&gt;'!$B:$B,'[2]Detail&lt;Child&gt;'!$M:$M)</f>
        <v>Forest</v>
      </c>
      <c r="N209" s="1" t="str">
        <f>_xlfn.XLOOKUP(B209,'[2]Detail&lt;Child&gt;'!$B:$B,'[2]Detail&lt;Child&gt;'!$N:$N)</f>
        <v>Supporter</v>
      </c>
      <c r="O209" s="1" t="s">
        <v>140</v>
      </c>
      <c r="P209" s="33">
        <v>0</v>
      </c>
      <c r="Q209" s="68" t="str" cm="1">
        <f t="array" ref="Q209">_xlfn.IFS(R209="Move","Move",R209="NonTargetMove","Move",R209="Static","Stand",R209="None","Stand")</f>
        <v>Move</v>
      </c>
      <c r="R209" s="1" t="s">
        <v>153</v>
      </c>
      <c r="S209" s="1">
        <v>2</v>
      </c>
      <c r="T209" s="2" t="str">
        <f t="shared" si="35"/>
        <v>SignalHit</v>
      </c>
      <c r="U209" s="2" t="str" cm="1">
        <f t="array" ref="U209">_xlfn.IFS(T209="SignalHIt","TurnEnd",T209="AttackBegin","TurnEnd",T209="AttackEnd","TurnEnd",T209="Immediately","Applied",T209="None","None")</f>
        <v>TurnEnd</v>
      </c>
      <c r="V209" s="2">
        <v>0</v>
      </c>
      <c r="W209" s="1">
        <v>2000014</v>
      </c>
      <c r="X209" s="8">
        <f t="shared" si="40"/>
        <v>33033631</v>
      </c>
      <c r="Y209" s="1" t="str">
        <f t="shared" si="36"/>
        <v>Immediately</v>
      </c>
      <c r="Z209" s="2" t="str" cm="1">
        <f t="array" ref="Z209">_xlfn.IFS(Y209="SignalHIt","TurnEnd",Y209="AttackBegin","TurnEnd",Y209="AttackEnd","TurnEnd",Y209="Immediately","Applied",Y209="None","None")</f>
        <v>Applied</v>
      </c>
      <c r="AA209" s="2">
        <v>0</v>
      </c>
      <c r="AB209" s="1">
        <v>0</v>
      </c>
      <c r="AC209" s="8">
        <v>0</v>
      </c>
      <c r="AD209" s="2" t="str">
        <f t="shared" si="37"/>
        <v>Immediately</v>
      </c>
      <c r="AE209" s="2" t="str" cm="1">
        <f t="array" ref="AE209">_xlfn.IFS(AD209="SignalHIt","TurnEnd",AD209="AttackBegin","TurnEnd",AD209="AttackEnd","TurnEnd",AD209="Immediately","Applied",AD209="None","None")</f>
        <v>Applied</v>
      </c>
      <c r="AF209" s="2">
        <v>0</v>
      </c>
      <c r="AG209" s="1">
        <v>0</v>
      </c>
      <c r="AH209" s="8">
        <v>0</v>
      </c>
      <c r="AI209" s="2" t="str">
        <f t="shared" si="38"/>
        <v>Immediately</v>
      </c>
      <c r="AJ209" s="2" t="str" cm="1">
        <f t="array" ref="AJ209">_xlfn.IFS(AI209="SignalHIt","TurnEnd",AI209="AttackBegin","TurnEnd",AI209="AttackEnd","TurnEnd",AI209="Immediately","Applied",AI209="None","None")</f>
        <v>Applied</v>
      </c>
      <c r="AK209" s="2">
        <v>0</v>
      </c>
      <c r="AL209" s="1">
        <v>0</v>
      </c>
      <c r="AM209" s="48">
        <v>0</v>
      </c>
      <c r="AN209" s="45" t="str">
        <f>IFERROR(_xlfn.XLOOKUP(W209,Target!$A:$A,Target!$B:$B),"None")</f>
        <v>가까운 적 1명 2행</v>
      </c>
      <c r="AO209" s="43" t="str">
        <f>IFERROR(_xlfn.XLOOKUP($X209,'BuffValue&lt;Child&gt;'!$A:$A,'BuffValue&lt;Child&gt;'!$F:$F),"None")</f>
        <v>얼티밋 대미지</v>
      </c>
      <c r="AP209" s="43">
        <f>IFERROR(_xlfn.XLOOKUP($X209,'BuffValue&lt;Child&gt;'!$A:$A,'BuffValue&lt;Child&gt;'!$K:$K),0)</f>
        <v>320000</v>
      </c>
      <c r="AQ209" s="43" t="str">
        <f>IFERROR(_xlfn.XLOOKUP(AB209,Target!$A:$A,Target!$B:$B),"None")</f>
        <v>None</v>
      </c>
      <c r="AR209" s="45" t="str">
        <f>IFERROR(_xlfn.XLOOKUP($AC209,'BuffValue&lt;Child&gt;'!$A:$A,'BuffValue&lt;Child&gt;'!$F:$F),"None")</f>
        <v>None</v>
      </c>
      <c r="AS209" s="45">
        <f>IFERROR(_xlfn.XLOOKUP($AC209,'BuffValue&lt;Child&gt;'!$A:$A,'BuffValue&lt;Child&gt;'!$K:$K),0)</f>
        <v>0</v>
      </c>
      <c r="AT209" s="43" t="str">
        <f>IFERROR(_xlfn.XLOOKUP(AG209,Target!$A:$A,Target!$B:$B),"None")</f>
        <v>None</v>
      </c>
      <c r="AU209" s="43" t="str">
        <f>IFERROR(_xlfn.XLOOKUP($AH209,'BuffValue&lt;Child&gt;'!$A:$A,'BuffValue&lt;Child&gt;'!$F:$F),"None")</f>
        <v>None</v>
      </c>
      <c r="AV209" s="43">
        <f>IFERROR(_xlfn.XLOOKUP($AH209,'BuffValue&lt;Child&gt;'!$A:$A,'BuffValue&lt;Child&gt;'!$K:$K),0)</f>
        <v>0</v>
      </c>
      <c r="AW209" s="43" t="str">
        <f>IFERROR(_xlfn.XLOOKUP(AL209,Target!$A:$A,Target!$B:$B),"None")</f>
        <v>None</v>
      </c>
      <c r="AX209" s="43" t="str">
        <f>IFERROR(_xlfn.XLOOKUP($AM209,'BuffValue&lt;Child&gt;'!$A:$A,'BuffValue&lt;Child&gt;'!$F:$F),"None")</f>
        <v>None</v>
      </c>
      <c r="AY209" s="43">
        <f>IFERROR(_xlfn.XLOOKUP($AM209,#REF!,#REF!),0)</f>
        <v>0</v>
      </c>
    </row>
    <row r="210" spans="1:51" x14ac:dyDescent="0.3">
      <c r="A210" s="1">
        <f>INT(4&amp;MID(_xlfn.XLOOKUP(B210,[2]Timeline!$B:$B,[2]Timeline!$A:$A),2,5)&amp;1)</f>
        <v>4303361</v>
      </c>
      <c r="B210" s="7" t="s">
        <v>591</v>
      </c>
      <c r="C210" s="7" t="s">
        <v>122</v>
      </c>
      <c r="D210" s="7" t="s">
        <v>347</v>
      </c>
      <c r="E210" s="1" t="str">
        <f t="shared" si="39"/>
        <v>skill_name_4303361</v>
      </c>
      <c r="F210" s="1" t="s">
        <v>117</v>
      </c>
      <c r="G210" s="1" t="s">
        <v>601</v>
      </c>
      <c r="H210" s="1" t="str">
        <f t="shared" si="34"/>
        <v>skill_desc_4303361</v>
      </c>
      <c r="I210" s="1" t="s">
        <v>205</v>
      </c>
      <c r="J210" s="1" t="str">
        <f>IFERROR(_xlfn.XLOOKUP(W210,Target!A:A,Target!J:J),"")</f>
        <v>Skill_Target_Icon_Mine</v>
      </c>
      <c r="K210" s="1" t="s">
        <v>205</v>
      </c>
      <c r="L210" s="1" t="str">
        <f>IFERROR(_xlfn.XLOOKUP(W210,Target!A:A,Target!K:K),"")</f>
        <v>Skill_Area_Icon_Pivot_Centor</v>
      </c>
      <c r="M210" s="1" t="str">
        <f>_xlfn.XLOOKUP(B210,'[2]Detail&lt;Child&gt;'!$B:$B,'[2]Detail&lt;Child&gt;'!$M:$M)</f>
        <v>Forest</v>
      </c>
      <c r="N210" s="1" t="str">
        <f>_xlfn.XLOOKUP(B210,'[2]Detail&lt;Child&gt;'!$B:$B,'[2]Detail&lt;Child&gt;'!$N:$N)</f>
        <v>Supporter</v>
      </c>
      <c r="O210" s="1" t="s">
        <v>167</v>
      </c>
      <c r="P210" s="33">
        <v>0</v>
      </c>
      <c r="Q210" s="68" t="str" cm="1">
        <f t="array" ref="Q210">_xlfn.IFS(R210="Move","Move",R210="NonTargetMove","Move",R210="Static","Stand",R210="None","Stand")</f>
        <v>Stand</v>
      </c>
      <c r="R210" s="1" t="s">
        <v>136</v>
      </c>
      <c r="S210" s="1">
        <f>IF(R210="Static",0,1)</f>
        <v>0</v>
      </c>
      <c r="T210" s="2" t="str">
        <f t="shared" si="35"/>
        <v>Immediately</v>
      </c>
      <c r="U210" s="2" t="str" cm="1">
        <f t="array" ref="U210">_xlfn.IFS(T210="SignalHIt","TurnEnd",T210="AttackBegin","TurnEnd",T210="AttackEnd","TurnEnd",T210="Immediately","Applied",T210="None","None")</f>
        <v>Applied</v>
      </c>
      <c r="V210" s="2">
        <v>0</v>
      </c>
      <c r="W210" s="1">
        <v>1</v>
      </c>
      <c r="X210" s="8">
        <f t="shared" si="40"/>
        <v>43033611</v>
      </c>
      <c r="Y210" s="1" t="str">
        <f t="shared" si="36"/>
        <v>Immediately</v>
      </c>
      <c r="Z210" s="2" t="str" cm="1">
        <f t="array" ref="Z210">_xlfn.IFS(Y210="SignalHIt","TurnEnd",Y210="AttackBegin","TurnEnd",Y210="AttackEnd","TurnEnd",Y210="Immediately","Applied",Y210="None","None")</f>
        <v>Applied</v>
      </c>
      <c r="AA210" s="2">
        <v>0</v>
      </c>
      <c r="AB210" s="1">
        <v>0</v>
      </c>
      <c r="AC210" s="8">
        <v>0</v>
      </c>
      <c r="AD210" s="2" t="str">
        <f t="shared" si="37"/>
        <v>Immediately</v>
      </c>
      <c r="AE210" s="2" t="str" cm="1">
        <f t="array" ref="AE210">_xlfn.IFS(AD210="SignalHIt","TurnEnd",AD210="AttackBegin","TurnEnd",AD210="AttackEnd","TurnEnd",AD210="Immediately","Applied",AD210="None","None")</f>
        <v>Applied</v>
      </c>
      <c r="AF210" s="2">
        <v>0</v>
      </c>
      <c r="AG210" s="1">
        <v>0</v>
      </c>
      <c r="AH210" s="8">
        <v>0</v>
      </c>
      <c r="AI210" s="2" t="str">
        <f t="shared" si="38"/>
        <v>Immediately</v>
      </c>
      <c r="AJ210" s="2" t="str" cm="1">
        <f t="array" ref="AJ210">_xlfn.IFS(AI210="SignalHIt","TurnEnd",AI210="AttackBegin","TurnEnd",AI210="AttackEnd","TurnEnd",AI210="Immediately","Applied",AI210="None","None")</f>
        <v>Applied</v>
      </c>
      <c r="AK210" s="2">
        <v>0</v>
      </c>
      <c r="AL210" s="8">
        <v>0</v>
      </c>
      <c r="AM210" s="48">
        <v>0</v>
      </c>
      <c r="AN210" s="45" t="str">
        <f>IFERROR(_xlfn.XLOOKUP(W210,Target!$A:$A,Target!$B:$B),"None")</f>
        <v xml:space="preserve"> 자신 1명 </v>
      </c>
      <c r="AO210" s="43" t="str">
        <f>IFERROR(_xlfn.XLOOKUP($X210,'BuffValue&lt;Child&gt;'!$A:$A,'BuffValue&lt;Child&gt;'!$F:$F),"None")</f>
        <v>힐드 패시브 버프당 치명타 확률 증가</v>
      </c>
      <c r="AP210" s="43">
        <f>IFERROR(_xlfn.XLOOKUP($X210,'BuffValue&lt;Child&gt;'!$A:$A,'BuffValue&lt;Child&gt;'!$K:$K),0)</f>
        <v>5000</v>
      </c>
      <c r="AQ210" s="43" t="str">
        <f>IFERROR(_xlfn.XLOOKUP(AB210,Target!$A:$A,Target!$B:$B),"None")</f>
        <v>None</v>
      </c>
      <c r="AR210" s="45" t="str">
        <f>IFERROR(_xlfn.XLOOKUP($AC210,'BuffValue&lt;Child&gt;'!$A:$A,'BuffValue&lt;Child&gt;'!$F:$F),"None")</f>
        <v>None</v>
      </c>
      <c r="AS210" s="45">
        <f>IFERROR(_xlfn.XLOOKUP($AC210,'BuffValue&lt;Child&gt;'!$A:$A,'BuffValue&lt;Child&gt;'!$K:$K),0)</f>
        <v>0</v>
      </c>
      <c r="AT210" s="43" t="str">
        <f>IFERROR(_xlfn.XLOOKUP(AG210,Target!$A:$A,Target!$B:$B),"None")</f>
        <v>None</v>
      </c>
      <c r="AU210" s="43" t="str">
        <f>IFERROR(_xlfn.XLOOKUP($AH210,'BuffValue&lt;Child&gt;'!$A:$A,'BuffValue&lt;Child&gt;'!$F:$F),"None")</f>
        <v>None</v>
      </c>
      <c r="AV210" s="43">
        <f>IFERROR(_xlfn.XLOOKUP($AH210,'BuffValue&lt;Child&gt;'!$A:$A,'BuffValue&lt;Child&gt;'!$K:$K),0)</f>
        <v>0</v>
      </c>
      <c r="AW210" s="43" t="str">
        <f>IFERROR(_xlfn.XLOOKUP(AL210,Target!$A:$A,Target!$B:$B),"None")</f>
        <v>None</v>
      </c>
      <c r="AX210" s="43" t="str">
        <f>IFERROR(_xlfn.XLOOKUP($AM210,'BuffValue&lt;Child&gt;'!$A:$A,'BuffValue&lt;Child&gt;'!$F:$F),"None")</f>
        <v>None</v>
      </c>
      <c r="AY210" s="43">
        <f>IFERROR(_xlfn.XLOOKUP($AM210,#REF!,#REF!),0)</f>
        <v>0</v>
      </c>
    </row>
    <row r="211" spans="1:51" x14ac:dyDescent="0.3">
      <c r="A211" s="1">
        <f>INT(4&amp;MID(_xlfn.XLOOKUP(B211,[2]Timeline!$B:$B,[2]Timeline!$A:$A),2,5)&amp;2)</f>
        <v>4303362</v>
      </c>
      <c r="B211" s="7" t="s">
        <v>591</v>
      </c>
      <c r="C211" s="7" t="s">
        <v>122</v>
      </c>
      <c r="D211" s="7" t="s">
        <v>347</v>
      </c>
      <c r="E211" s="1" t="str">
        <f t="shared" si="39"/>
        <v>skill_name_4303362</v>
      </c>
      <c r="F211" s="1" t="s">
        <v>117</v>
      </c>
      <c r="G211" s="1" t="s">
        <v>601</v>
      </c>
      <c r="H211" s="1" t="str">
        <f t="shared" si="34"/>
        <v>skill_desc_4303362</v>
      </c>
      <c r="I211" s="1" t="s">
        <v>205</v>
      </c>
      <c r="J211" s="1" t="str">
        <f>IFERROR(_xlfn.XLOOKUP(W211,Target!A:A,Target!J:J),"")</f>
        <v>Skill_Target_Icon_Mine</v>
      </c>
      <c r="K211" s="1" t="s">
        <v>205</v>
      </c>
      <c r="L211" s="1" t="str">
        <f>IFERROR(_xlfn.XLOOKUP(W211,Target!A:A,Target!K:K),"")</f>
        <v>Skill_Area_Icon_Pivot_Centor</v>
      </c>
      <c r="M211" s="1" t="str">
        <f>_xlfn.XLOOKUP(B211,'[2]Detail&lt;Child&gt;'!$B:$B,'[2]Detail&lt;Child&gt;'!$M:$M)</f>
        <v>Forest</v>
      </c>
      <c r="N211" s="1" t="str">
        <f>_xlfn.XLOOKUP(B211,'[2]Detail&lt;Child&gt;'!$B:$B,'[2]Detail&lt;Child&gt;'!$N:$N)</f>
        <v>Supporter</v>
      </c>
      <c r="O211" s="1" t="s">
        <v>167</v>
      </c>
      <c r="P211" s="33">
        <v>0</v>
      </c>
      <c r="Q211" s="68" t="str" cm="1">
        <f t="array" ref="Q211">_xlfn.IFS(R211="Move","Move",R211="NonTargetMove","Move",R211="Static","Stand",R211="None","Stand")</f>
        <v>Stand</v>
      </c>
      <c r="R211" s="1" t="s">
        <v>136</v>
      </c>
      <c r="S211" s="1">
        <f>IF(R211="Static",0,1)</f>
        <v>0</v>
      </c>
      <c r="T211" s="2" t="str">
        <f t="shared" si="35"/>
        <v>Immediately</v>
      </c>
      <c r="U211" s="2" t="str" cm="1">
        <f t="array" ref="U211">_xlfn.IFS(T211="SignalHIt","TurnEnd",T211="AttackBegin","TurnEnd",T211="AttackEnd","TurnEnd",T211="Immediately","Applied",T211="None","None")</f>
        <v>Applied</v>
      </c>
      <c r="V211" s="2">
        <v>0</v>
      </c>
      <c r="W211" s="1">
        <v>1</v>
      </c>
      <c r="X211" s="8">
        <f t="shared" si="40"/>
        <v>43033621</v>
      </c>
      <c r="Y211" s="1" t="str">
        <f t="shared" si="36"/>
        <v>Immediately</v>
      </c>
      <c r="Z211" s="2" t="str" cm="1">
        <f t="array" ref="Z211">_xlfn.IFS(Y211="SignalHIt","TurnEnd",Y211="AttackBegin","TurnEnd",Y211="AttackEnd","TurnEnd",Y211="Immediately","Applied",Y211="None","None")</f>
        <v>Applied</v>
      </c>
      <c r="AA211" s="2">
        <v>0</v>
      </c>
      <c r="AB211" s="1">
        <v>0</v>
      </c>
      <c r="AC211" s="8">
        <v>0</v>
      </c>
      <c r="AD211" s="2" t="str">
        <f t="shared" si="37"/>
        <v>Immediately</v>
      </c>
      <c r="AE211" s="2" t="str" cm="1">
        <f t="array" ref="AE211">_xlfn.IFS(AD211="SignalHIt","TurnEnd",AD211="AttackBegin","TurnEnd",AD211="AttackEnd","TurnEnd",AD211="Immediately","Applied",AD211="None","None")</f>
        <v>Applied</v>
      </c>
      <c r="AF211" s="2">
        <v>0</v>
      </c>
      <c r="AG211" s="1">
        <v>0</v>
      </c>
      <c r="AH211" s="8">
        <v>0</v>
      </c>
      <c r="AI211" s="2" t="str">
        <f t="shared" si="38"/>
        <v>Immediately</v>
      </c>
      <c r="AJ211" s="2" t="str" cm="1">
        <f t="array" ref="AJ211">_xlfn.IFS(AI211="SignalHIt","TurnEnd",AI211="AttackBegin","TurnEnd",AI211="AttackEnd","TurnEnd",AI211="Immediately","Applied",AI211="None","None")</f>
        <v>Applied</v>
      </c>
      <c r="AK211" s="2">
        <v>0</v>
      </c>
      <c r="AL211" s="8">
        <v>0</v>
      </c>
      <c r="AM211" s="48">
        <v>0</v>
      </c>
      <c r="AN211" s="45" t="str">
        <f>IFERROR(_xlfn.XLOOKUP(W211,Target!$A:$A,Target!$B:$B),"None")</f>
        <v xml:space="preserve"> 자신 1명 </v>
      </c>
      <c r="AO211" s="43" t="str">
        <f>IFERROR(_xlfn.XLOOKUP($X211,'BuffValue&lt;Child&gt;'!$A:$A,'BuffValue&lt;Child&gt;'!$F:$F),"None")</f>
        <v>힐드 패시브 버프당 치명타 확률 증가</v>
      </c>
      <c r="AP211" s="43">
        <f>IFERROR(_xlfn.XLOOKUP($X211,'BuffValue&lt;Child&gt;'!$A:$A,'BuffValue&lt;Child&gt;'!$K:$K),0)</f>
        <v>5000</v>
      </c>
      <c r="AQ211" s="43" t="str">
        <f>IFERROR(_xlfn.XLOOKUP(AB211,Target!$A:$A,Target!$B:$B),"None")</f>
        <v>None</v>
      </c>
      <c r="AR211" s="45" t="str">
        <f>IFERROR(_xlfn.XLOOKUP($AC211,'BuffValue&lt;Child&gt;'!$A:$A,'BuffValue&lt;Child&gt;'!$F:$F),"None")</f>
        <v>None</v>
      </c>
      <c r="AS211" s="45">
        <f>IFERROR(_xlfn.XLOOKUP($AC211,'BuffValue&lt;Child&gt;'!$A:$A,'BuffValue&lt;Child&gt;'!$K:$K),0)</f>
        <v>0</v>
      </c>
      <c r="AT211" s="43" t="str">
        <f>IFERROR(_xlfn.XLOOKUP(AG211,Target!$A:$A,Target!$B:$B),"None")</f>
        <v>None</v>
      </c>
      <c r="AU211" s="43" t="str">
        <f>IFERROR(_xlfn.XLOOKUP($AH211,'BuffValue&lt;Child&gt;'!$A:$A,'BuffValue&lt;Child&gt;'!$F:$F),"None")</f>
        <v>None</v>
      </c>
      <c r="AV211" s="43">
        <f>IFERROR(_xlfn.XLOOKUP($AH211,'BuffValue&lt;Child&gt;'!$A:$A,'BuffValue&lt;Child&gt;'!$K:$K),0)</f>
        <v>0</v>
      </c>
      <c r="AW211" s="43" t="str">
        <f>IFERROR(_xlfn.XLOOKUP(AL211,Target!$A:$A,Target!$B:$B),"None")</f>
        <v>None</v>
      </c>
      <c r="AX211" s="43" t="str">
        <f>IFERROR(_xlfn.XLOOKUP($AM211,'BuffValue&lt;Child&gt;'!$A:$A,'BuffValue&lt;Child&gt;'!$F:$F),"None")</f>
        <v>None</v>
      </c>
      <c r="AY211" s="43">
        <f>IFERROR(_xlfn.XLOOKUP($AM211,#REF!,#REF!),0)</f>
        <v>0</v>
      </c>
    </row>
    <row r="212" spans="1:51" s="11" customFormat="1" x14ac:dyDescent="0.3">
      <c r="A212" s="11">
        <f>INT(1&amp;MID(_xlfn.XLOOKUP(B212,[2]Timeline!$B:$B,[2]Timeline!$A:$A),2,5)&amp;1)</f>
        <v>1304451</v>
      </c>
      <c r="B212" s="12" t="s">
        <v>603</v>
      </c>
      <c r="C212" s="12" t="s">
        <v>604</v>
      </c>
      <c r="D212" s="12" t="s">
        <v>544</v>
      </c>
      <c r="E212" s="11" t="str">
        <f t="shared" ref="E212:E219" si="41">"skill_name_"&amp;A212</f>
        <v>skill_name_1304451</v>
      </c>
      <c r="F212" s="11" t="s">
        <v>117</v>
      </c>
      <c r="G212" s="11" t="s">
        <v>598</v>
      </c>
      <c r="H212" s="11" t="str">
        <f t="shared" si="34"/>
        <v>skill_desc_1304451</v>
      </c>
      <c r="I212" s="11" t="s">
        <v>205</v>
      </c>
      <c r="J212" s="11" t="str">
        <f>IFERROR(_xlfn.XLOOKUP(W212,Target!A:A,Target!J:J),"")</f>
        <v>Skill_Target_Icon_Enemy_Near_One</v>
      </c>
      <c r="K212" s="11" t="s">
        <v>205</v>
      </c>
      <c r="L212" s="11" t="str">
        <f>IFERROR(_xlfn.XLOOKUP(W212,Target!A:A,Target!K:K),"")</f>
        <v>Skill_Area_Icon_Pivot_Centor</v>
      </c>
      <c r="M212" s="11" t="str">
        <f>_xlfn.XLOOKUP(B212,'[2]Detail&lt;Child&gt;'!$B:$B,'[2]Detail&lt;Child&gt;'!$M:$M)</f>
        <v>Fire</v>
      </c>
      <c r="N212" s="11" t="str">
        <f>_xlfn.XLOOKUP(B212,'[2]Detail&lt;Child&gt;'!$B:$B,'[2]Detail&lt;Child&gt;'!$N:$N)</f>
        <v>Attacker</v>
      </c>
      <c r="O212" s="11" t="s">
        <v>30</v>
      </c>
      <c r="P212" s="34">
        <v>0</v>
      </c>
      <c r="Q212" s="69" t="s">
        <v>499</v>
      </c>
      <c r="R212" s="11" t="s">
        <v>137</v>
      </c>
      <c r="S212" s="11">
        <v>2</v>
      </c>
      <c r="T212" s="15" t="str">
        <f t="shared" si="35"/>
        <v>SignalHit</v>
      </c>
      <c r="U212" s="15" t="str" cm="1">
        <f t="array" ref="U212">_xlfn.IFS(T212="SignalHIt","TurnEnd",T212="AttackBegin","TurnEnd",T212="AttackEnd","TurnEnd",T212="Immediately","Applied",T212="None","None")</f>
        <v>TurnEnd</v>
      </c>
      <c r="V212" s="15">
        <v>0</v>
      </c>
      <c r="W212" s="11">
        <v>2000011</v>
      </c>
      <c r="X212" s="10">
        <f>INT(A212&amp;1)</f>
        <v>13044511</v>
      </c>
      <c r="Y212" s="11" t="str">
        <f t="shared" si="36"/>
        <v>Immediately</v>
      </c>
      <c r="Z212" s="15" t="str" cm="1">
        <f t="array" ref="Z212">_xlfn.IFS(Y212="SignalHIt","TurnEnd",Y212="AttackBegin","TurnEnd",Y212="AttackEnd","TurnEnd",Y212="Immediately","Applied",Y212="None","None")</f>
        <v>Applied</v>
      </c>
      <c r="AA212" s="15">
        <v>0</v>
      </c>
      <c r="AB212" s="11">
        <v>0</v>
      </c>
      <c r="AC212" s="10">
        <v>0</v>
      </c>
      <c r="AD212" s="15" t="str">
        <f t="shared" si="37"/>
        <v>Immediately</v>
      </c>
      <c r="AE212" s="15" t="str" cm="1">
        <f t="array" ref="AE212">_xlfn.IFS(AD212="SignalHIt","TurnEnd",AD212="AttackBegin","TurnEnd",AD212="AttackEnd","TurnEnd",AD212="Immediately","Applied",AD212="None","None")</f>
        <v>Applied</v>
      </c>
      <c r="AF212" s="15">
        <v>0</v>
      </c>
      <c r="AG212" s="11">
        <v>0</v>
      </c>
      <c r="AH212" s="10">
        <v>0</v>
      </c>
      <c r="AI212" s="15" t="str">
        <f t="shared" si="38"/>
        <v>Immediately</v>
      </c>
      <c r="AJ212" s="15" t="str" cm="1">
        <f t="array" ref="AJ212">_xlfn.IFS(AI212="SignalHIt","TurnEnd",AI212="AttackBegin","TurnEnd",AI212="AttackEnd","TurnEnd",AI212="Immediately","Applied",AI212="None","None")</f>
        <v>Applied</v>
      </c>
      <c r="AK212" s="15">
        <v>0</v>
      </c>
      <c r="AL212" s="10">
        <v>0</v>
      </c>
      <c r="AM212" s="50">
        <v>0</v>
      </c>
      <c r="AN212" s="46" t="str">
        <f>IFERROR(_xlfn.XLOOKUP(W212,Target!$A:$A,Target!$B:$B),"None")</f>
        <v xml:space="preserve">가까운 적 1명 </v>
      </c>
      <c r="AO212" s="47" t="str">
        <f>IFERROR(_xlfn.XLOOKUP($X212,'BuffValue&lt;Child&gt;'!$A:$A,'BuffValue&lt;Child&gt;'!$F:$F),"None")</f>
        <v>공용 대미지</v>
      </c>
      <c r="AP212" s="47">
        <f>IFERROR(_xlfn.XLOOKUP($X212,'BuffValue&lt;Child&gt;'!$A:$A,'BuffValue&lt;Child&gt;'!$K:$K),0)</f>
        <v>150000</v>
      </c>
      <c r="AQ212" s="47" t="str">
        <f>IFERROR(_xlfn.XLOOKUP(AB212,Target!$A:$A,Target!$B:$B),"None")</f>
        <v>None</v>
      </c>
      <c r="AR212" s="46" t="str">
        <f>IFERROR(_xlfn.XLOOKUP($AC212,'BuffValue&lt;Child&gt;'!$A:$A,'BuffValue&lt;Child&gt;'!$F:$F),"None")</f>
        <v>None</v>
      </c>
      <c r="AS212" s="46">
        <f>IFERROR(_xlfn.XLOOKUP($AC212,'BuffValue&lt;Child&gt;'!$A:$A,'BuffValue&lt;Child&gt;'!$K:$K),0)</f>
        <v>0</v>
      </c>
      <c r="AT212" s="47" t="str">
        <f>IFERROR(_xlfn.XLOOKUP(AG212,Target!$A:$A,Target!$B:$B),"None")</f>
        <v>None</v>
      </c>
      <c r="AU212" s="47" t="str">
        <f>IFERROR(_xlfn.XLOOKUP($AH212,'BuffValue&lt;Child&gt;'!$A:$A,'BuffValue&lt;Child&gt;'!$F:$F),"None")</f>
        <v>None</v>
      </c>
      <c r="AV212" s="47">
        <f>IFERROR(_xlfn.XLOOKUP($AH212,'BuffValue&lt;Child&gt;'!$A:$A,'BuffValue&lt;Child&gt;'!$K:$K),0)</f>
        <v>0</v>
      </c>
      <c r="AW212" s="47" t="str">
        <f>IFERROR(_xlfn.XLOOKUP(AL212,Target!$A:$A,Target!$B:$B),"None")</f>
        <v>None</v>
      </c>
      <c r="AX212" s="47" t="str">
        <f>IFERROR(_xlfn.XLOOKUP($AM212,'BuffValue&lt;Child&gt;'!$A:$A,'BuffValue&lt;Child&gt;'!$F:$F),"None")</f>
        <v>None</v>
      </c>
      <c r="AY212" s="47">
        <f>IFERROR(_xlfn.XLOOKUP($AM212,#REF!,#REF!),0)</f>
        <v>0</v>
      </c>
    </row>
    <row r="213" spans="1:51" x14ac:dyDescent="0.3">
      <c r="A213" s="1">
        <f>INT(2&amp;MID(_xlfn.XLOOKUP(B213,[2]Timeline!$B:$B,[2]Timeline!$A:$A),2,5)&amp;1)</f>
        <v>2304451</v>
      </c>
      <c r="B213" s="7" t="s">
        <v>602</v>
      </c>
      <c r="C213" s="7" t="s">
        <v>605</v>
      </c>
      <c r="D213" s="7" t="s">
        <v>572</v>
      </c>
      <c r="E213" s="1" t="str">
        <f t="shared" si="41"/>
        <v>skill_name_2304451</v>
      </c>
      <c r="F213" s="1" t="s">
        <v>117</v>
      </c>
      <c r="G213" s="1" t="s">
        <v>599</v>
      </c>
      <c r="H213" s="1" t="str">
        <f t="shared" si="34"/>
        <v>skill_desc_2304451</v>
      </c>
      <c r="I213" s="1" t="s">
        <v>205</v>
      </c>
      <c r="J213" s="1" t="str">
        <f>IFERROR(_xlfn.XLOOKUP(W213,Target!A:A,Target!J:J),"")</f>
        <v>Skill_Target_Icon_Enemy_Near_One</v>
      </c>
      <c r="K213" s="1" t="s">
        <v>205</v>
      </c>
      <c r="L213" s="1" t="str">
        <f>IFERROR(_xlfn.XLOOKUP(W213,Target!A:A,Target!K:K),"")</f>
        <v>Skill_Area_Icon_Pivot_Centor</v>
      </c>
      <c r="M213" s="1" t="str">
        <f>_xlfn.XLOOKUP(B213,'[2]Detail&lt;Child&gt;'!$B:$B,'[2]Detail&lt;Child&gt;'!$M:$M)</f>
        <v>Fire</v>
      </c>
      <c r="N213" s="1" t="str">
        <f>_xlfn.XLOOKUP(B213,'[2]Detail&lt;Child&gt;'!$B:$B,'[2]Detail&lt;Child&gt;'!$N:$N)</f>
        <v>Attacker</v>
      </c>
      <c r="O213" s="1" t="s">
        <v>33</v>
      </c>
      <c r="P213" s="33">
        <v>3</v>
      </c>
      <c r="Q213" s="68" t="str" cm="1">
        <f t="array" ref="Q213">_xlfn.IFS(R213="Move","Move",R213="NonTargetMove","Move",R213="Static","Stand",R213="None","Stand")</f>
        <v>Move</v>
      </c>
      <c r="R213" s="1" t="s">
        <v>144</v>
      </c>
      <c r="S213" s="1">
        <v>2</v>
      </c>
      <c r="T213" s="2" t="str">
        <f t="shared" si="35"/>
        <v>SignalHit</v>
      </c>
      <c r="U213" s="2" t="str" cm="1">
        <f t="array" ref="U213">_xlfn.IFS(T213="SignalHIt","TurnEnd",T213="AttackBegin","TurnEnd",T213="AttackEnd","TurnEnd",T213="Immediately","Applied",T213="None","None")</f>
        <v>TurnEnd</v>
      </c>
      <c r="V213" s="2">
        <v>0</v>
      </c>
      <c r="W213" s="1">
        <v>2000011</v>
      </c>
      <c r="X213" s="8">
        <f t="shared" ref="X213:X219" si="42">INT(A213&amp;1)</f>
        <v>23044511</v>
      </c>
      <c r="Y213" s="1" t="str">
        <f t="shared" si="36"/>
        <v>Immediately</v>
      </c>
      <c r="Z213" s="2" t="str" cm="1">
        <f t="array" ref="Z213">_xlfn.IFS(Y213="SignalHIt","TurnEnd",Y213="AttackBegin","TurnEnd",Y213="AttackEnd","TurnEnd",Y213="Immediately","Applied",Y213="None","None")</f>
        <v>Applied</v>
      </c>
      <c r="AA213" s="2">
        <v>0</v>
      </c>
      <c r="AB213" s="1">
        <v>0</v>
      </c>
      <c r="AC213" s="8">
        <v>0</v>
      </c>
      <c r="AD213" s="2" t="str">
        <f t="shared" si="37"/>
        <v>Immediately</v>
      </c>
      <c r="AE213" s="2" t="str" cm="1">
        <f t="array" ref="AE213">_xlfn.IFS(AD213="SignalHIt","TurnEnd",AD213="AttackBegin","TurnEnd",AD213="AttackEnd","TurnEnd",AD213="Immediately","Applied",AD213="None","None")</f>
        <v>Applied</v>
      </c>
      <c r="AF213" s="2">
        <v>0</v>
      </c>
      <c r="AG213" s="1">
        <v>0</v>
      </c>
      <c r="AH213" s="8">
        <v>0</v>
      </c>
      <c r="AI213" s="2" t="str">
        <f t="shared" si="38"/>
        <v>Immediately</v>
      </c>
      <c r="AJ213" s="2" t="str" cm="1">
        <f t="array" ref="AJ213">_xlfn.IFS(AI213="SignalHIt","TurnEnd",AI213="AttackBegin","TurnEnd",AI213="AttackEnd","TurnEnd",AI213="Immediately","Applied",AI213="None","None")</f>
        <v>Applied</v>
      </c>
      <c r="AK213" s="2">
        <v>0</v>
      </c>
      <c r="AL213" s="8">
        <v>0</v>
      </c>
      <c r="AM213" s="48">
        <v>0</v>
      </c>
      <c r="AN213" s="45" t="str">
        <f>IFERROR(_xlfn.XLOOKUP(W213,Target!$A:$A,Target!$B:$B),"None")</f>
        <v xml:space="preserve">가까운 적 1명 </v>
      </c>
      <c r="AO213" s="43" t="str">
        <f>IFERROR(_xlfn.XLOOKUP($X213,'BuffValue&lt;Child&gt;'!$A:$A,'BuffValue&lt;Child&gt;'!$F:$F),"None")</f>
        <v>액티브 대미지</v>
      </c>
      <c r="AP213" s="43">
        <f>IFERROR(_xlfn.XLOOKUP($X213,'BuffValue&lt;Child&gt;'!$A:$A,'BuffValue&lt;Child&gt;'!$K:$K),0)</f>
        <v>40000</v>
      </c>
      <c r="AQ213" s="43" t="str">
        <f>IFERROR(_xlfn.XLOOKUP(AB213,Target!$A:$A,Target!$B:$B),"None")</f>
        <v>None</v>
      </c>
      <c r="AR213" s="45" t="str">
        <f>IFERROR(_xlfn.XLOOKUP($AC213,'BuffValue&lt;Child&gt;'!$A:$A,'BuffValue&lt;Child&gt;'!$F:$F),"None")</f>
        <v>None</v>
      </c>
      <c r="AS213" s="45">
        <f>IFERROR(_xlfn.XLOOKUP($AC213,'BuffValue&lt;Child&gt;'!$A:$A,'BuffValue&lt;Child&gt;'!$K:$K),0)</f>
        <v>0</v>
      </c>
      <c r="AT213" s="43" t="str">
        <f>IFERROR(_xlfn.XLOOKUP(AG213,Target!$A:$A,Target!$B:$B),"None")</f>
        <v>None</v>
      </c>
      <c r="AU213" s="43" t="str">
        <f>IFERROR(_xlfn.XLOOKUP($AH213,'BuffValue&lt;Child&gt;'!$A:$A,'BuffValue&lt;Child&gt;'!$F:$F),"None")</f>
        <v>None</v>
      </c>
      <c r="AV213" s="43">
        <f>IFERROR(_xlfn.XLOOKUP($AH213,'BuffValue&lt;Child&gt;'!$A:$A,'BuffValue&lt;Child&gt;'!$K:$K),0)</f>
        <v>0</v>
      </c>
      <c r="AW213" s="43" t="str">
        <f>IFERROR(_xlfn.XLOOKUP(AL213,Target!$A:$A,Target!$B:$B),"None")</f>
        <v>None</v>
      </c>
      <c r="AX213" s="43" t="str">
        <f>IFERROR(_xlfn.XLOOKUP($AM213,'BuffValue&lt;Child&gt;'!$A:$A,'BuffValue&lt;Child&gt;'!$F:$F),"None")</f>
        <v>None</v>
      </c>
      <c r="AY213" s="43">
        <f>IFERROR(_xlfn.XLOOKUP($AM213,#REF!,#REF!),0)</f>
        <v>0</v>
      </c>
    </row>
    <row r="214" spans="1:51" x14ac:dyDescent="0.3">
      <c r="A214" s="1">
        <f>INT(2&amp;MID(_xlfn.XLOOKUP(B214,[2]Timeline!$B:$B,[2]Timeline!$A:$A),2,5)&amp;2)</f>
        <v>2304452</v>
      </c>
      <c r="B214" s="7" t="s">
        <v>602</v>
      </c>
      <c r="C214" s="7" t="s">
        <v>605</v>
      </c>
      <c r="D214" s="7" t="s">
        <v>572</v>
      </c>
      <c r="E214" s="1" t="str">
        <f t="shared" si="41"/>
        <v>skill_name_2304452</v>
      </c>
      <c r="F214" s="1" t="s">
        <v>117</v>
      </c>
      <c r="G214" s="1" t="s">
        <v>599</v>
      </c>
      <c r="H214" s="1" t="str">
        <f t="shared" si="34"/>
        <v>skill_desc_2304452</v>
      </c>
      <c r="I214" s="1" t="s">
        <v>205</v>
      </c>
      <c r="J214" s="1" t="str">
        <f>IFERROR(_xlfn.XLOOKUP(W214,Target!A:A,Target!J:J),"")</f>
        <v>Skill_Target_Icon_Enemy_Near_One</v>
      </c>
      <c r="K214" s="1" t="s">
        <v>205</v>
      </c>
      <c r="L214" s="1" t="str">
        <f>IFERROR(_xlfn.XLOOKUP(W214,Target!A:A,Target!K:K),"")</f>
        <v>Skill_Area_Icon_Pivot_Centor</v>
      </c>
      <c r="M214" s="1" t="str">
        <f>_xlfn.XLOOKUP(B214,'[2]Detail&lt;Child&gt;'!$B:$B,'[2]Detail&lt;Child&gt;'!$M:$M)</f>
        <v>Fire</v>
      </c>
      <c r="N214" s="1" t="str">
        <f>_xlfn.XLOOKUP(B214,'[2]Detail&lt;Child&gt;'!$B:$B,'[2]Detail&lt;Child&gt;'!$N:$N)</f>
        <v>Attacker</v>
      </c>
      <c r="O214" s="1" t="s">
        <v>33</v>
      </c>
      <c r="P214" s="33">
        <v>2</v>
      </c>
      <c r="Q214" s="68" t="str" cm="1">
        <f t="array" ref="Q214">_xlfn.IFS(R214="Move","Move",R214="NonTargetMove","Move",R214="Static","Stand",R214="None","Stand")</f>
        <v>Move</v>
      </c>
      <c r="R214" s="1" t="s">
        <v>144</v>
      </c>
      <c r="S214" s="1">
        <v>2</v>
      </c>
      <c r="T214" s="2" t="str">
        <f t="shared" si="35"/>
        <v>SignalHit</v>
      </c>
      <c r="U214" s="2" t="str" cm="1">
        <f t="array" ref="U214">_xlfn.IFS(T214="SignalHIt","TurnEnd",T214="AttackBegin","TurnEnd",T214="AttackEnd","TurnEnd",T214="Immediately","Applied",T214="None","None")</f>
        <v>TurnEnd</v>
      </c>
      <c r="V214" s="2">
        <v>0</v>
      </c>
      <c r="W214" s="1">
        <v>2000011</v>
      </c>
      <c r="X214" s="8">
        <f t="shared" si="42"/>
        <v>23044521</v>
      </c>
      <c r="Y214" s="1" t="str">
        <f t="shared" si="36"/>
        <v>Immediately</v>
      </c>
      <c r="Z214" s="2" t="str" cm="1">
        <f t="array" ref="Z214">_xlfn.IFS(Y214="SignalHIt","TurnEnd",Y214="AttackBegin","TurnEnd",Y214="AttackEnd","TurnEnd",Y214="Immediately","Applied",Y214="None","None")</f>
        <v>Applied</v>
      </c>
      <c r="AA214" s="2">
        <v>0</v>
      </c>
      <c r="AB214" s="1">
        <v>0</v>
      </c>
      <c r="AC214" s="8">
        <v>0</v>
      </c>
      <c r="AD214" s="2" t="str">
        <f t="shared" si="37"/>
        <v>Immediately</v>
      </c>
      <c r="AE214" s="2" t="str" cm="1">
        <f t="array" ref="AE214">_xlfn.IFS(AD214="SignalHIt","TurnEnd",AD214="AttackBegin","TurnEnd",AD214="AttackEnd","TurnEnd",AD214="Immediately","Applied",AD214="None","None")</f>
        <v>Applied</v>
      </c>
      <c r="AF214" s="2">
        <v>0</v>
      </c>
      <c r="AG214" s="1">
        <v>0</v>
      </c>
      <c r="AH214" s="8">
        <v>0</v>
      </c>
      <c r="AI214" s="2" t="str">
        <f t="shared" si="38"/>
        <v>Immediately</v>
      </c>
      <c r="AJ214" s="2" t="str" cm="1">
        <f t="array" ref="AJ214">_xlfn.IFS(AI214="SignalHIt","TurnEnd",AI214="AttackBegin","TurnEnd",AI214="AttackEnd","TurnEnd",AI214="Immediately","Applied",AI214="None","None")</f>
        <v>Applied</v>
      </c>
      <c r="AK214" s="2">
        <v>0</v>
      </c>
      <c r="AL214" s="8">
        <v>0</v>
      </c>
      <c r="AM214" s="48">
        <v>0</v>
      </c>
      <c r="AN214" s="45" t="str">
        <f>IFERROR(_xlfn.XLOOKUP(W214,Target!$A:$A,Target!$B:$B),"None")</f>
        <v xml:space="preserve">가까운 적 1명 </v>
      </c>
      <c r="AO214" s="43" t="str">
        <f>IFERROR(_xlfn.XLOOKUP($X214,'BuffValue&lt;Child&gt;'!$A:$A,'BuffValue&lt;Child&gt;'!$F:$F),"None")</f>
        <v>액티브 대미지</v>
      </c>
      <c r="AP214" s="43">
        <f>IFERROR(_xlfn.XLOOKUP($X214,'BuffValue&lt;Child&gt;'!$A:$A,'BuffValue&lt;Child&gt;'!$K:$K),0)</f>
        <v>40000</v>
      </c>
      <c r="AQ214" s="43" t="str">
        <f>IFERROR(_xlfn.XLOOKUP(AB214,Target!$A:$A,Target!$B:$B),"None")</f>
        <v>None</v>
      </c>
      <c r="AR214" s="45" t="str">
        <f>IFERROR(_xlfn.XLOOKUP($AC214,'BuffValue&lt;Child&gt;'!$A:$A,'BuffValue&lt;Child&gt;'!$F:$F),"None")</f>
        <v>None</v>
      </c>
      <c r="AS214" s="45">
        <f>IFERROR(_xlfn.XLOOKUP($AC214,'BuffValue&lt;Child&gt;'!$A:$A,'BuffValue&lt;Child&gt;'!$K:$K),0)</f>
        <v>0</v>
      </c>
      <c r="AT214" s="43" t="str">
        <f>IFERROR(_xlfn.XLOOKUP(AG214,Target!$A:$A,Target!$B:$B),"None")</f>
        <v>None</v>
      </c>
      <c r="AU214" s="43" t="str">
        <f>IFERROR(_xlfn.XLOOKUP($AH214,'BuffValue&lt;Child&gt;'!$A:$A,'BuffValue&lt;Child&gt;'!$F:$F),"None")</f>
        <v>None</v>
      </c>
      <c r="AV214" s="43">
        <f>IFERROR(_xlfn.XLOOKUP($AH214,'BuffValue&lt;Child&gt;'!$A:$A,'BuffValue&lt;Child&gt;'!$K:$K),0)</f>
        <v>0</v>
      </c>
      <c r="AW214" s="43" t="str">
        <f>IFERROR(_xlfn.XLOOKUP(AL214,Target!$A:$A,Target!$B:$B),"None")</f>
        <v>None</v>
      </c>
      <c r="AX214" s="43" t="str">
        <f>IFERROR(_xlfn.XLOOKUP($AM214,'BuffValue&lt;Child&gt;'!$A:$A,'BuffValue&lt;Child&gt;'!$F:$F),"None")</f>
        <v>None</v>
      </c>
      <c r="AY214" s="43">
        <f>IFERROR(_xlfn.XLOOKUP($AM214,#REF!,#REF!),0)</f>
        <v>0</v>
      </c>
    </row>
    <row r="215" spans="1:51" x14ac:dyDescent="0.3">
      <c r="A215" s="1">
        <f>INT(3&amp;MID(_xlfn.XLOOKUP(B215,[2]Timeline!$B:$B,[2]Timeline!$A:$A),2,5)&amp;1)</f>
        <v>3304451</v>
      </c>
      <c r="B215" s="7" t="s">
        <v>602</v>
      </c>
      <c r="C215" s="7" t="s">
        <v>606</v>
      </c>
      <c r="D215" s="7" t="s">
        <v>516</v>
      </c>
      <c r="E215" s="1" t="str">
        <f t="shared" si="41"/>
        <v>skill_name_3304451</v>
      </c>
      <c r="F215" s="1" t="s">
        <v>117</v>
      </c>
      <c r="G215" s="1" t="s">
        <v>600</v>
      </c>
      <c r="H215" s="1" t="str">
        <f t="shared" si="34"/>
        <v>skill_desc_3304451</v>
      </c>
      <c r="I215" s="1" t="s">
        <v>205</v>
      </c>
      <c r="J215" s="1" t="str">
        <f>IFERROR(_xlfn.XLOOKUP(W215,Target!A:A,Target!J:J),"")</f>
        <v>Skill_Target_Icon_Enemy_Near_One</v>
      </c>
      <c r="K215" s="1" t="s">
        <v>205</v>
      </c>
      <c r="L215" s="1" t="str">
        <f>IFERROR(_xlfn.XLOOKUP(W215,Target!A:A,Target!K:K),"")</f>
        <v>Skill_Area_Icon_Pivot_Row</v>
      </c>
      <c r="M215" s="1" t="str">
        <f>_xlfn.XLOOKUP(B215,'[2]Detail&lt;Child&gt;'!$B:$B,'[2]Detail&lt;Child&gt;'!$M:$M)</f>
        <v>Fire</v>
      </c>
      <c r="N215" s="1" t="str">
        <f>_xlfn.XLOOKUP(B215,'[2]Detail&lt;Child&gt;'!$B:$B,'[2]Detail&lt;Child&gt;'!$N:$N)</f>
        <v>Attacker</v>
      </c>
      <c r="O215" s="1" t="s">
        <v>140</v>
      </c>
      <c r="P215" s="33">
        <v>0</v>
      </c>
      <c r="Q215" s="68" t="str" cm="1">
        <f t="array" ref="Q215">_xlfn.IFS(R215="Move","Move",R215="NonTargetMove","Move",R215="Static","Stand",R215="None","Stand")</f>
        <v>Move</v>
      </c>
      <c r="R215" s="1" t="s">
        <v>153</v>
      </c>
      <c r="S215" s="1">
        <v>2</v>
      </c>
      <c r="T215" s="2" t="str">
        <f t="shared" si="35"/>
        <v>SignalHit</v>
      </c>
      <c r="U215" s="2" t="str" cm="1">
        <f t="array" ref="U215">_xlfn.IFS(T215="SignalHIt","TurnEnd",T215="AttackBegin","TurnEnd",T215="AttackEnd","TurnEnd",T215="Immediately","Applied",T215="None","None")</f>
        <v>TurnEnd</v>
      </c>
      <c r="V215" s="2">
        <v>0</v>
      </c>
      <c r="W215" s="1">
        <v>2000014</v>
      </c>
      <c r="X215" s="8">
        <f t="shared" si="42"/>
        <v>33044511</v>
      </c>
      <c r="Y215" s="1" t="str">
        <f t="shared" si="36"/>
        <v>Immediately</v>
      </c>
      <c r="Z215" s="2" t="str" cm="1">
        <f t="array" ref="Z215">_xlfn.IFS(Y215="SignalHIt","TurnEnd",Y215="AttackBegin","TurnEnd",Y215="AttackEnd","TurnEnd",Y215="Immediately","Applied",Y215="None","None")</f>
        <v>Applied</v>
      </c>
      <c r="AA215" s="2">
        <v>0</v>
      </c>
      <c r="AB215" s="1">
        <v>0</v>
      </c>
      <c r="AC215" s="8">
        <v>0</v>
      </c>
      <c r="AD215" s="2" t="str">
        <f t="shared" si="37"/>
        <v>Immediately</v>
      </c>
      <c r="AE215" s="2" t="str" cm="1">
        <f t="array" ref="AE215">_xlfn.IFS(AD215="SignalHIt","TurnEnd",AD215="AttackBegin","TurnEnd",AD215="AttackEnd","TurnEnd",AD215="Immediately","Applied",AD215="None","None")</f>
        <v>Applied</v>
      </c>
      <c r="AF215" s="2">
        <v>0</v>
      </c>
      <c r="AG215" s="1">
        <v>0</v>
      </c>
      <c r="AH215" s="8">
        <v>0</v>
      </c>
      <c r="AI215" s="2" t="str">
        <f t="shared" si="38"/>
        <v>Immediately</v>
      </c>
      <c r="AJ215" s="2" t="str" cm="1">
        <f t="array" ref="AJ215">_xlfn.IFS(AI215="SignalHIt","TurnEnd",AI215="AttackBegin","TurnEnd",AI215="AttackEnd","TurnEnd",AI215="Immediately","Applied",AI215="None","None")</f>
        <v>Applied</v>
      </c>
      <c r="AK215" s="2">
        <v>0</v>
      </c>
      <c r="AL215" s="1">
        <v>0</v>
      </c>
      <c r="AM215" s="48">
        <v>0</v>
      </c>
      <c r="AN215" s="45" t="str">
        <f>IFERROR(_xlfn.XLOOKUP(W215,Target!$A:$A,Target!$B:$B),"None")</f>
        <v>가까운 적 1명 2행</v>
      </c>
      <c r="AO215" s="43" t="str">
        <f>IFERROR(_xlfn.XLOOKUP($X215,'BuffValue&lt;Child&gt;'!$A:$A,'BuffValue&lt;Child&gt;'!$F:$F),"None")</f>
        <v>얼티밋 대미지</v>
      </c>
      <c r="AP215" s="43">
        <f>IFERROR(_xlfn.XLOOKUP($X215,'BuffValue&lt;Child&gt;'!$A:$A,'BuffValue&lt;Child&gt;'!$K:$K),0)</f>
        <v>320000</v>
      </c>
      <c r="AQ215" s="43" t="str">
        <f>IFERROR(_xlfn.XLOOKUP(AB215,Target!$A:$A,Target!$B:$B),"None")</f>
        <v>None</v>
      </c>
      <c r="AR215" s="45" t="str">
        <f>IFERROR(_xlfn.XLOOKUP($AC215,'BuffValue&lt;Child&gt;'!$A:$A,'BuffValue&lt;Child&gt;'!$F:$F),"None")</f>
        <v>None</v>
      </c>
      <c r="AS215" s="45">
        <f>IFERROR(_xlfn.XLOOKUP($AC215,'BuffValue&lt;Child&gt;'!$A:$A,'BuffValue&lt;Child&gt;'!$K:$K),0)</f>
        <v>0</v>
      </c>
      <c r="AT215" s="43" t="str">
        <f>IFERROR(_xlfn.XLOOKUP(AG215,Target!$A:$A,Target!$B:$B),"None")</f>
        <v>None</v>
      </c>
      <c r="AU215" s="43" t="str">
        <f>IFERROR(_xlfn.XLOOKUP($AH215,'BuffValue&lt;Child&gt;'!$A:$A,'BuffValue&lt;Child&gt;'!$F:$F),"None")</f>
        <v>None</v>
      </c>
      <c r="AV215" s="43">
        <f>IFERROR(_xlfn.XLOOKUP($AH215,'BuffValue&lt;Child&gt;'!$A:$A,'BuffValue&lt;Child&gt;'!$K:$K),0)</f>
        <v>0</v>
      </c>
      <c r="AW215" s="43" t="str">
        <f>IFERROR(_xlfn.XLOOKUP(AL215,Target!$A:$A,Target!$B:$B),"None")</f>
        <v>None</v>
      </c>
      <c r="AX215" s="43" t="str">
        <f>IFERROR(_xlfn.XLOOKUP($AM215,'BuffValue&lt;Child&gt;'!$A:$A,'BuffValue&lt;Child&gt;'!$F:$F),"None")</f>
        <v>None</v>
      </c>
      <c r="AY215" s="43">
        <f>IFERROR(_xlfn.XLOOKUP($AM215,#REF!,#REF!),0)</f>
        <v>0</v>
      </c>
    </row>
    <row r="216" spans="1:51" x14ac:dyDescent="0.3">
      <c r="A216" s="1">
        <f>INT(3&amp;MID(_xlfn.XLOOKUP(B216,[2]Timeline!$B:$B,[2]Timeline!$A:$A),2,5)&amp;2)</f>
        <v>3304452</v>
      </c>
      <c r="B216" s="7" t="s">
        <v>602</v>
      </c>
      <c r="C216" s="7" t="s">
        <v>606</v>
      </c>
      <c r="D216" s="7" t="s">
        <v>516</v>
      </c>
      <c r="E216" s="1" t="str">
        <f t="shared" si="41"/>
        <v>skill_name_3304452</v>
      </c>
      <c r="F216" s="1" t="s">
        <v>117</v>
      </c>
      <c r="G216" s="1" t="s">
        <v>600</v>
      </c>
      <c r="H216" s="1" t="str">
        <f t="shared" si="34"/>
        <v>skill_desc_3304452</v>
      </c>
      <c r="I216" s="1" t="s">
        <v>205</v>
      </c>
      <c r="J216" s="1" t="str">
        <f>IFERROR(_xlfn.XLOOKUP(W216,Target!A:A,Target!J:J),"")</f>
        <v>Skill_Target_Icon_Enemy_Near_One</v>
      </c>
      <c r="K216" s="1" t="s">
        <v>205</v>
      </c>
      <c r="L216" s="1" t="str">
        <f>IFERROR(_xlfn.XLOOKUP(W216,Target!A:A,Target!K:K),"")</f>
        <v>Skill_Area_Icon_Pivot_Row</v>
      </c>
      <c r="M216" s="1" t="str">
        <f>_xlfn.XLOOKUP(B216,'[2]Detail&lt;Child&gt;'!$B:$B,'[2]Detail&lt;Child&gt;'!$M:$M)</f>
        <v>Fire</v>
      </c>
      <c r="N216" s="1" t="str">
        <f>_xlfn.XLOOKUP(B216,'[2]Detail&lt;Child&gt;'!$B:$B,'[2]Detail&lt;Child&gt;'!$N:$N)</f>
        <v>Attacker</v>
      </c>
      <c r="O216" s="1" t="s">
        <v>140</v>
      </c>
      <c r="P216" s="33">
        <v>0</v>
      </c>
      <c r="Q216" s="68" t="str" cm="1">
        <f t="array" ref="Q216">_xlfn.IFS(R216="Move","Move",R216="NonTargetMove","Move",R216="Static","Stand",R216="None","Stand")</f>
        <v>Move</v>
      </c>
      <c r="R216" s="1" t="s">
        <v>153</v>
      </c>
      <c r="S216" s="1">
        <v>2</v>
      </c>
      <c r="T216" s="2" t="str">
        <f t="shared" si="35"/>
        <v>SignalHit</v>
      </c>
      <c r="U216" s="2" t="str" cm="1">
        <f t="array" ref="U216">_xlfn.IFS(T216="SignalHIt","TurnEnd",T216="AttackBegin","TurnEnd",T216="AttackEnd","TurnEnd",T216="Immediately","Applied",T216="None","None")</f>
        <v>TurnEnd</v>
      </c>
      <c r="V216" s="2">
        <v>0</v>
      </c>
      <c r="W216" s="1">
        <v>2000014</v>
      </c>
      <c r="X216" s="8">
        <f t="shared" si="42"/>
        <v>33044521</v>
      </c>
      <c r="Y216" s="1" t="str">
        <f t="shared" si="36"/>
        <v>Immediately</v>
      </c>
      <c r="Z216" s="2" t="str" cm="1">
        <f t="array" ref="Z216">_xlfn.IFS(Y216="SignalHIt","TurnEnd",Y216="AttackBegin","TurnEnd",Y216="AttackEnd","TurnEnd",Y216="Immediately","Applied",Y216="None","None")</f>
        <v>Applied</v>
      </c>
      <c r="AA216" s="2">
        <v>0</v>
      </c>
      <c r="AB216" s="1">
        <v>0</v>
      </c>
      <c r="AC216" s="8">
        <v>0</v>
      </c>
      <c r="AD216" s="2" t="str">
        <f t="shared" si="37"/>
        <v>Immediately</v>
      </c>
      <c r="AE216" s="2" t="str" cm="1">
        <f t="array" ref="AE216">_xlfn.IFS(AD216="SignalHIt","TurnEnd",AD216="AttackBegin","TurnEnd",AD216="AttackEnd","TurnEnd",AD216="Immediately","Applied",AD216="None","None")</f>
        <v>Applied</v>
      </c>
      <c r="AF216" s="2">
        <v>0</v>
      </c>
      <c r="AG216" s="1">
        <v>0</v>
      </c>
      <c r="AH216" s="8">
        <v>0</v>
      </c>
      <c r="AI216" s="2" t="str">
        <f t="shared" si="38"/>
        <v>Immediately</v>
      </c>
      <c r="AJ216" s="2" t="str" cm="1">
        <f t="array" ref="AJ216">_xlfn.IFS(AI216="SignalHIt","TurnEnd",AI216="AttackBegin","TurnEnd",AI216="AttackEnd","TurnEnd",AI216="Immediately","Applied",AI216="None","None")</f>
        <v>Applied</v>
      </c>
      <c r="AK216" s="2">
        <v>0</v>
      </c>
      <c r="AL216" s="1">
        <v>0</v>
      </c>
      <c r="AM216" s="48">
        <v>0</v>
      </c>
      <c r="AN216" s="45" t="str">
        <f>IFERROR(_xlfn.XLOOKUP(W216,Target!$A:$A,Target!$B:$B),"None")</f>
        <v>가까운 적 1명 2행</v>
      </c>
      <c r="AO216" s="43" t="str">
        <f>IFERROR(_xlfn.XLOOKUP($X216,'BuffValue&lt;Child&gt;'!$A:$A,'BuffValue&lt;Child&gt;'!$F:$F),"None")</f>
        <v>얼티밋 대미지</v>
      </c>
      <c r="AP216" s="43">
        <f>IFERROR(_xlfn.XLOOKUP($X216,'BuffValue&lt;Child&gt;'!$A:$A,'BuffValue&lt;Child&gt;'!$K:$K),0)</f>
        <v>320000</v>
      </c>
      <c r="AQ216" s="43" t="str">
        <f>IFERROR(_xlfn.XLOOKUP(AB216,Target!$A:$A,Target!$B:$B),"None")</f>
        <v>None</v>
      </c>
      <c r="AR216" s="45" t="str">
        <f>IFERROR(_xlfn.XLOOKUP($AC216,'BuffValue&lt;Child&gt;'!$A:$A,'BuffValue&lt;Child&gt;'!$F:$F),"None")</f>
        <v>None</v>
      </c>
      <c r="AS216" s="45">
        <f>IFERROR(_xlfn.XLOOKUP($AC216,'BuffValue&lt;Child&gt;'!$A:$A,'BuffValue&lt;Child&gt;'!$K:$K),0)</f>
        <v>0</v>
      </c>
      <c r="AT216" s="43" t="str">
        <f>IFERROR(_xlfn.XLOOKUP(AG216,Target!$A:$A,Target!$B:$B),"None")</f>
        <v>None</v>
      </c>
      <c r="AU216" s="43" t="str">
        <f>IFERROR(_xlfn.XLOOKUP($AH216,'BuffValue&lt;Child&gt;'!$A:$A,'BuffValue&lt;Child&gt;'!$F:$F),"None")</f>
        <v>None</v>
      </c>
      <c r="AV216" s="43">
        <f>IFERROR(_xlfn.XLOOKUP($AH216,'BuffValue&lt;Child&gt;'!$A:$A,'BuffValue&lt;Child&gt;'!$K:$K),0)</f>
        <v>0</v>
      </c>
      <c r="AW216" s="43" t="str">
        <f>IFERROR(_xlfn.XLOOKUP(AL216,Target!$A:$A,Target!$B:$B),"None")</f>
        <v>None</v>
      </c>
      <c r="AX216" s="43" t="str">
        <f>IFERROR(_xlfn.XLOOKUP($AM216,'BuffValue&lt;Child&gt;'!$A:$A,'BuffValue&lt;Child&gt;'!$F:$F),"None")</f>
        <v>None</v>
      </c>
      <c r="AY216" s="43">
        <f>IFERROR(_xlfn.XLOOKUP($AM216,#REF!,#REF!),0)</f>
        <v>0</v>
      </c>
    </row>
    <row r="217" spans="1:51" x14ac:dyDescent="0.3">
      <c r="A217" s="1">
        <f>INT(3&amp;MID(_xlfn.XLOOKUP(B217,[2]Timeline!$B:$B,[2]Timeline!$A:$A),2,5)&amp;3)</f>
        <v>3304453</v>
      </c>
      <c r="B217" s="7" t="s">
        <v>602</v>
      </c>
      <c r="C217" s="7" t="s">
        <v>606</v>
      </c>
      <c r="D217" s="7" t="s">
        <v>516</v>
      </c>
      <c r="E217" s="1" t="str">
        <f t="shared" si="41"/>
        <v>skill_name_3304453</v>
      </c>
      <c r="F217" s="1" t="s">
        <v>117</v>
      </c>
      <c r="G217" s="1" t="s">
        <v>600</v>
      </c>
      <c r="H217" s="1" t="str">
        <f t="shared" si="34"/>
        <v>skill_desc_3304453</v>
      </c>
      <c r="I217" s="1" t="s">
        <v>205</v>
      </c>
      <c r="J217" s="1" t="str">
        <f>IFERROR(_xlfn.XLOOKUP(W217,Target!A:A,Target!J:J),"")</f>
        <v>Skill_Target_Icon_Enemy_Near_One</v>
      </c>
      <c r="K217" s="1" t="s">
        <v>205</v>
      </c>
      <c r="L217" s="1" t="str">
        <f>IFERROR(_xlfn.XLOOKUP(W217,Target!A:A,Target!K:K),"")</f>
        <v>Skill_Area_Icon_Pivot_Row</v>
      </c>
      <c r="M217" s="1" t="str">
        <f>_xlfn.XLOOKUP(B217,'[2]Detail&lt;Child&gt;'!$B:$B,'[2]Detail&lt;Child&gt;'!$M:$M)</f>
        <v>Fire</v>
      </c>
      <c r="N217" s="1" t="str">
        <f>_xlfn.XLOOKUP(B217,'[2]Detail&lt;Child&gt;'!$B:$B,'[2]Detail&lt;Child&gt;'!$N:$N)</f>
        <v>Attacker</v>
      </c>
      <c r="O217" s="1" t="s">
        <v>140</v>
      </c>
      <c r="P217" s="33">
        <v>0</v>
      </c>
      <c r="Q217" s="68" t="str" cm="1">
        <f t="array" ref="Q217">_xlfn.IFS(R217="Move","Move",R217="NonTargetMove","Move",R217="Static","Stand",R217="None","Stand")</f>
        <v>Move</v>
      </c>
      <c r="R217" s="1" t="s">
        <v>153</v>
      </c>
      <c r="S217" s="1">
        <v>2</v>
      </c>
      <c r="T217" s="2" t="str">
        <f t="shared" si="35"/>
        <v>SignalHit</v>
      </c>
      <c r="U217" s="2" t="str" cm="1">
        <f t="array" ref="U217">_xlfn.IFS(T217="SignalHIt","TurnEnd",T217="AttackBegin","TurnEnd",T217="AttackEnd","TurnEnd",T217="Immediately","Applied",T217="None","None")</f>
        <v>TurnEnd</v>
      </c>
      <c r="V217" s="2">
        <v>0</v>
      </c>
      <c r="W217" s="1">
        <v>2000014</v>
      </c>
      <c r="X217" s="8">
        <f t="shared" si="42"/>
        <v>33044531</v>
      </c>
      <c r="Y217" s="1" t="str">
        <f t="shared" si="36"/>
        <v>Immediately</v>
      </c>
      <c r="Z217" s="2" t="str" cm="1">
        <f t="array" ref="Z217">_xlfn.IFS(Y217="SignalHIt","TurnEnd",Y217="AttackBegin","TurnEnd",Y217="AttackEnd","TurnEnd",Y217="Immediately","Applied",Y217="None","None")</f>
        <v>Applied</v>
      </c>
      <c r="AA217" s="2">
        <v>0</v>
      </c>
      <c r="AB217" s="1">
        <v>0</v>
      </c>
      <c r="AC217" s="8">
        <v>0</v>
      </c>
      <c r="AD217" s="2" t="str">
        <f t="shared" si="37"/>
        <v>Immediately</v>
      </c>
      <c r="AE217" s="2" t="str" cm="1">
        <f t="array" ref="AE217">_xlfn.IFS(AD217="SignalHIt","TurnEnd",AD217="AttackBegin","TurnEnd",AD217="AttackEnd","TurnEnd",AD217="Immediately","Applied",AD217="None","None")</f>
        <v>Applied</v>
      </c>
      <c r="AF217" s="2">
        <v>0</v>
      </c>
      <c r="AG217" s="1">
        <v>0</v>
      </c>
      <c r="AH217" s="8">
        <v>0</v>
      </c>
      <c r="AI217" s="2" t="str">
        <f t="shared" si="38"/>
        <v>Immediately</v>
      </c>
      <c r="AJ217" s="2" t="str" cm="1">
        <f t="array" ref="AJ217">_xlfn.IFS(AI217="SignalHIt","TurnEnd",AI217="AttackBegin","TurnEnd",AI217="AttackEnd","TurnEnd",AI217="Immediately","Applied",AI217="None","None")</f>
        <v>Applied</v>
      </c>
      <c r="AK217" s="2">
        <v>0</v>
      </c>
      <c r="AL217" s="1">
        <v>0</v>
      </c>
      <c r="AM217" s="48">
        <v>0</v>
      </c>
      <c r="AN217" s="45" t="str">
        <f>IFERROR(_xlfn.XLOOKUP(W217,Target!$A:$A,Target!$B:$B),"None")</f>
        <v>가까운 적 1명 2행</v>
      </c>
      <c r="AO217" s="43" t="str">
        <f>IFERROR(_xlfn.XLOOKUP($X217,'BuffValue&lt;Child&gt;'!$A:$A,'BuffValue&lt;Child&gt;'!$F:$F),"None")</f>
        <v>얼티밋 대미지</v>
      </c>
      <c r="AP217" s="43">
        <f>IFERROR(_xlfn.XLOOKUP($X217,'BuffValue&lt;Child&gt;'!$A:$A,'BuffValue&lt;Child&gt;'!$K:$K),0)</f>
        <v>320000</v>
      </c>
      <c r="AQ217" s="43" t="str">
        <f>IFERROR(_xlfn.XLOOKUP(AB217,Target!$A:$A,Target!$B:$B),"None")</f>
        <v>None</v>
      </c>
      <c r="AR217" s="45" t="str">
        <f>IFERROR(_xlfn.XLOOKUP($AC217,'BuffValue&lt;Child&gt;'!$A:$A,'BuffValue&lt;Child&gt;'!$F:$F),"None")</f>
        <v>None</v>
      </c>
      <c r="AS217" s="45">
        <f>IFERROR(_xlfn.XLOOKUP($AC217,'BuffValue&lt;Child&gt;'!$A:$A,'BuffValue&lt;Child&gt;'!$K:$K),0)</f>
        <v>0</v>
      </c>
      <c r="AT217" s="43" t="str">
        <f>IFERROR(_xlfn.XLOOKUP(AG217,Target!$A:$A,Target!$B:$B),"None")</f>
        <v>None</v>
      </c>
      <c r="AU217" s="43" t="str">
        <f>IFERROR(_xlfn.XLOOKUP($AH217,'BuffValue&lt;Child&gt;'!$A:$A,'BuffValue&lt;Child&gt;'!$F:$F),"None")</f>
        <v>None</v>
      </c>
      <c r="AV217" s="43">
        <f>IFERROR(_xlfn.XLOOKUP($AH217,'BuffValue&lt;Child&gt;'!$A:$A,'BuffValue&lt;Child&gt;'!$K:$K),0)</f>
        <v>0</v>
      </c>
      <c r="AW217" s="43" t="str">
        <f>IFERROR(_xlfn.XLOOKUP(AL217,Target!$A:$A,Target!$B:$B),"None")</f>
        <v>None</v>
      </c>
      <c r="AX217" s="43" t="str">
        <f>IFERROR(_xlfn.XLOOKUP($AM217,'BuffValue&lt;Child&gt;'!$A:$A,'BuffValue&lt;Child&gt;'!$F:$F),"None")</f>
        <v>None</v>
      </c>
      <c r="AY217" s="43">
        <f>IFERROR(_xlfn.XLOOKUP($AM217,#REF!,#REF!),0)</f>
        <v>0</v>
      </c>
    </row>
    <row r="218" spans="1:51" x14ac:dyDescent="0.3">
      <c r="A218" s="1">
        <f>INT(4&amp;MID(_xlfn.XLOOKUP(B218,[2]Timeline!$B:$B,[2]Timeline!$A:$A),2,5)&amp;1)</f>
        <v>4304451</v>
      </c>
      <c r="B218" s="7" t="s">
        <v>602</v>
      </c>
      <c r="C218" s="7" t="s">
        <v>122</v>
      </c>
      <c r="D218" s="7" t="s">
        <v>347</v>
      </c>
      <c r="E218" s="1" t="str">
        <f t="shared" si="41"/>
        <v>skill_name_4304451</v>
      </c>
      <c r="F218" s="1" t="s">
        <v>117</v>
      </c>
      <c r="G218" s="1" t="s">
        <v>601</v>
      </c>
      <c r="H218" s="1" t="str">
        <f t="shared" si="34"/>
        <v>skill_desc_4304451</v>
      </c>
      <c r="I218" s="1" t="s">
        <v>205</v>
      </c>
      <c r="J218" s="1" t="str">
        <f>IFERROR(_xlfn.XLOOKUP(W218,Target!A:A,Target!J:J),"")</f>
        <v>Skill_Target_Icon_Mine</v>
      </c>
      <c r="K218" s="1" t="s">
        <v>205</v>
      </c>
      <c r="L218" s="1" t="str">
        <f>IFERROR(_xlfn.XLOOKUP(W218,Target!A:A,Target!K:K),"")</f>
        <v>Skill_Area_Icon_Pivot_Centor</v>
      </c>
      <c r="M218" s="1" t="str">
        <f>_xlfn.XLOOKUP(B218,'[2]Detail&lt;Child&gt;'!$B:$B,'[2]Detail&lt;Child&gt;'!$M:$M)</f>
        <v>Fire</v>
      </c>
      <c r="N218" s="1" t="str">
        <f>_xlfn.XLOOKUP(B218,'[2]Detail&lt;Child&gt;'!$B:$B,'[2]Detail&lt;Child&gt;'!$N:$N)</f>
        <v>Attacker</v>
      </c>
      <c r="O218" s="1" t="s">
        <v>167</v>
      </c>
      <c r="P218" s="33">
        <v>0</v>
      </c>
      <c r="Q218" s="68" t="str" cm="1">
        <f t="array" ref="Q218">_xlfn.IFS(R218="Move","Move",R218="NonTargetMove","Move",R218="Static","Stand",R218="None","Stand")</f>
        <v>Stand</v>
      </c>
      <c r="R218" s="1" t="s">
        <v>136</v>
      </c>
      <c r="S218" s="1">
        <f>IF(R218="Static",0,1)</f>
        <v>0</v>
      </c>
      <c r="T218" s="2" t="str">
        <f t="shared" si="35"/>
        <v>Immediately</v>
      </c>
      <c r="U218" s="2" t="str" cm="1">
        <f t="array" ref="U218">_xlfn.IFS(T218="SignalHIt","TurnEnd",T218="AttackBegin","TurnEnd",T218="AttackEnd","TurnEnd",T218="Immediately","Applied",T218="None","None")</f>
        <v>Applied</v>
      </c>
      <c r="V218" s="2">
        <v>0</v>
      </c>
      <c r="W218" s="1">
        <v>1</v>
      </c>
      <c r="X218" s="8">
        <f t="shared" si="42"/>
        <v>43044511</v>
      </c>
      <c r="Y218" s="1" t="str">
        <f t="shared" si="36"/>
        <v>Immediately</v>
      </c>
      <c r="Z218" s="2" t="str" cm="1">
        <f t="array" ref="Z218">_xlfn.IFS(Y218="SignalHIt","TurnEnd",Y218="AttackBegin","TurnEnd",Y218="AttackEnd","TurnEnd",Y218="Immediately","Applied",Y218="None","None")</f>
        <v>Applied</v>
      </c>
      <c r="AA218" s="2">
        <v>0</v>
      </c>
      <c r="AB218" s="1">
        <v>0</v>
      </c>
      <c r="AC218" s="8">
        <v>0</v>
      </c>
      <c r="AD218" s="2" t="str">
        <f t="shared" si="37"/>
        <v>Immediately</v>
      </c>
      <c r="AE218" s="2" t="str" cm="1">
        <f t="array" ref="AE218">_xlfn.IFS(AD218="SignalHIt","TurnEnd",AD218="AttackBegin","TurnEnd",AD218="AttackEnd","TurnEnd",AD218="Immediately","Applied",AD218="None","None")</f>
        <v>Applied</v>
      </c>
      <c r="AF218" s="2">
        <v>0</v>
      </c>
      <c r="AG218" s="1">
        <v>0</v>
      </c>
      <c r="AH218" s="8">
        <v>0</v>
      </c>
      <c r="AI218" s="2" t="str">
        <f t="shared" si="38"/>
        <v>Immediately</v>
      </c>
      <c r="AJ218" s="2" t="str" cm="1">
        <f t="array" ref="AJ218">_xlfn.IFS(AI218="SignalHIt","TurnEnd",AI218="AttackBegin","TurnEnd",AI218="AttackEnd","TurnEnd",AI218="Immediately","Applied",AI218="None","None")</f>
        <v>Applied</v>
      </c>
      <c r="AK218" s="2">
        <v>0</v>
      </c>
      <c r="AL218" s="8">
        <v>0</v>
      </c>
      <c r="AM218" s="48">
        <v>0</v>
      </c>
      <c r="AN218" s="45" t="str">
        <f>IFERROR(_xlfn.XLOOKUP(W218,Target!$A:$A,Target!$B:$B),"None")</f>
        <v xml:space="preserve"> 자신 1명 </v>
      </c>
      <c r="AO218" s="43" t="str">
        <f>IFERROR(_xlfn.XLOOKUP($X218,'BuffValue&lt;Child&gt;'!$A:$A,'BuffValue&lt;Child&gt;'!$F:$F),"None")</f>
        <v>힐드 패시브 버프당 치명타 확률 증가</v>
      </c>
      <c r="AP218" s="43">
        <f>IFERROR(_xlfn.XLOOKUP($X218,'BuffValue&lt;Child&gt;'!$A:$A,'BuffValue&lt;Child&gt;'!$K:$K),0)</f>
        <v>5000</v>
      </c>
      <c r="AQ218" s="43" t="str">
        <f>IFERROR(_xlfn.XLOOKUP(AB218,Target!$A:$A,Target!$B:$B),"None")</f>
        <v>None</v>
      </c>
      <c r="AR218" s="45" t="str">
        <f>IFERROR(_xlfn.XLOOKUP($AC218,'BuffValue&lt;Child&gt;'!$A:$A,'BuffValue&lt;Child&gt;'!$F:$F),"None")</f>
        <v>None</v>
      </c>
      <c r="AS218" s="45">
        <f>IFERROR(_xlfn.XLOOKUP($AC218,'BuffValue&lt;Child&gt;'!$A:$A,'BuffValue&lt;Child&gt;'!$K:$K),0)</f>
        <v>0</v>
      </c>
      <c r="AT218" s="43" t="str">
        <f>IFERROR(_xlfn.XLOOKUP(AG218,Target!$A:$A,Target!$B:$B),"None")</f>
        <v>None</v>
      </c>
      <c r="AU218" s="43" t="str">
        <f>IFERROR(_xlfn.XLOOKUP($AH218,'BuffValue&lt;Child&gt;'!$A:$A,'BuffValue&lt;Child&gt;'!$F:$F),"None")</f>
        <v>None</v>
      </c>
      <c r="AV218" s="43">
        <f>IFERROR(_xlfn.XLOOKUP($AH218,'BuffValue&lt;Child&gt;'!$A:$A,'BuffValue&lt;Child&gt;'!$K:$K),0)</f>
        <v>0</v>
      </c>
      <c r="AW218" s="43" t="str">
        <f>IFERROR(_xlfn.XLOOKUP(AL218,Target!$A:$A,Target!$B:$B),"None")</f>
        <v>None</v>
      </c>
      <c r="AX218" s="43" t="str">
        <f>IFERROR(_xlfn.XLOOKUP($AM218,'BuffValue&lt;Child&gt;'!$A:$A,'BuffValue&lt;Child&gt;'!$F:$F),"None")</f>
        <v>None</v>
      </c>
      <c r="AY218" s="43">
        <f>IFERROR(_xlfn.XLOOKUP($AM218,#REF!,#REF!),0)</f>
        <v>0</v>
      </c>
    </row>
    <row r="219" spans="1:51" x14ac:dyDescent="0.3">
      <c r="A219" s="1">
        <f>INT(4&amp;MID(_xlfn.XLOOKUP(B219,[2]Timeline!$B:$B,[2]Timeline!$A:$A),2,5)&amp;2)</f>
        <v>4304452</v>
      </c>
      <c r="B219" s="7" t="s">
        <v>602</v>
      </c>
      <c r="C219" s="7" t="s">
        <v>122</v>
      </c>
      <c r="D219" s="7" t="s">
        <v>347</v>
      </c>
      <c r="E219" s="1" t="str">
        <f t="shared" si="41"/>
        <v>skill_name_4304452</v>
      </c>
      <c r="F219" s="1" t="s">
        <v>117</v>
      </c>
      <c r="G219" s="1" t="s">
        <v>601</v>
      </c>
      <c r="H219" s="1" t="str">
        <f t="shared" si="34"/>
        <v>skill_desc_4304452</v>
      </c>
      <c r="I219" s="1" t="s">
        <v>205</v>
      </c>
      <c r="J219" s="1" t="str">
        <f>IFERROR(_xlfn.XLOOKUP(W219,Target!A:A,Target!J:J),"")</f>
        <v>Skill_Target_Icon_Mine</v>
      </c>
      <c r="K219" s="1" t="s">
        <v>205</v>
      </c>
      <c r="L219" s="1" t="str">
        <f>IFERROR(_xlfn.XLOOKUP(W219,Target!A:A,Target!K:K),"")</f>
        <v>Skill_Area_Icon_Pivot_Centor</v>
      </c>
      <c r="M219" s="1" t="str">
        <f>_xlfn.XLOOKUP(B219,'[2]Detail&lt;Child&gt;'!$B:$B,'[2]Detail&lt;Child&gt;'!$M:$M)</f>
        <v>Fire</v>
      </c>
      <c r="N219" s="1" t="str">
        <f>_xlfn.XLOOKUP(B219,'[2]Detail&lt;Child&gt;'!$B:$B,'[2]Detail&lt;Child&gt;'!$N:$N)</f>
        <v>Attacker</v>
      </c>
      <c r="O219" s="1" t="s">
        <v>167</v>
      </c>
      <c r="P219" s="33">
        <v>0</v>
      </c>
      <c r="Q219" s="68" t="str" cm="1">
        <f t="array" ref="Q219">_xlfn.IFS(R219="Move","Move",R219="NonTargetMove","Move",R219="Static","Stand",R219="None","Stand")</f>
        <v>Stand</v>
      </c>
      <c r="R219" s="1" t="s">
        <v>136</v>
      </c>
      <c r="S219" s="1">
        <f>IF(R219="Static",0,1)</f>
        <v>0</v>
      </c>
      <c r="T219" s="2" t="str">
        <f t="shared" si="35"/>
        <v>Immediately</v>
      </c>
      <c r="U219" s="2" t="str" cm="1">
        <f t="array" ref="U219">_xlfn.IFS(T219="SignalHIt","TurnEnd",T219="AttackBegin","TurnEnd",T219="AttackEnd","TurnEnd",T219="Immediately","Applied",T219="None","None")</f>
        <v>Applied</v>
      </c>
      <c r="V219" s="2">
        <v>0</v>
      </c>
      <c r="W219" s="1">
        <v>1</v>
      </c>
      <c r="X219" s="8">
        <f t="shared" si="42"/>
        <v>43044521</v>
      </c>
      <c r="Y219" s="1" t="str">
        <f t="shared" si="36"/>
        <v>Immediately</v>
      </c>
      <c r="Z219" s="2" t="str" cm="1">
        <f t="array" ref="Z219">_xlfn.IFS(Y219="SignalHIt","TurnEnd",Y219="AttackBegin","TurnEnd",Y219="AttackEnd","TurnEnd",Y219="Immediately","Applied",Y219="None","None")</f>
        <v>Applied</v>
      </c>
      <c r="AA219" s="2">
        <v>0</v>
      </c>
      <c r="AB219" s="1">
        <v>0</v>
      </c>
      <c r="AC219" s="8">
        <v>0</v>
      </c>
      <c r="AD219" s="2" t="str">
        <f t="shared" si="37"/>
        <v>Immediately</v>
      </c>
      <c r="AE219" s="2" t="str" cm="1">
        <f t="array" ref="AE219">_xlfn.IFS(AD219="SignalHIt","TurnEnd",AD219="AttackBegin","TurnEnd",AD219="AttackEnd","TurnEnd",AD219="Immediately","Applied",AD219="None","None")</f>
        <v>Applied</v>
      </c>
      <c r="AF219" s="2">
        <v>0</v>
      </c>
      <c r="AG219" s="1">
        <v>0</v>
      </c>
      <c r="AH219" s="8">
        <v>0</v>
      </c>
      <c r="AI219" s="2" t="str">
        <f t="shared" si="38"/>
        <v>Immediately</v>
      </c>
      <c r="AJ219" s="2" t="str" cm="1">
        <f t="array" ref="AJ219">_xlfn.IFS(AI219="SignalHIt","TurnEnd",AI219="AttackBegin","TurnEnd",AI219="AttackEnd","TurnEnd",AI219="Immediately","Applied",AI219="None","None")</f>
        <v>Applied</v>
      </c>
      <c r="AK219" s="2">
        <v>0</v>
      </c>
      <c r="AL219" s="8">
        <v>0</v>
      </c>
      <c r="AM219" s="48">
        <v>0</v>
      </c>
      <c r="AN219" s="45" t="str">
        <f>IFERROR(_xlfn.XLOOKUP(W219,Target!$A:$A,Target!$B:$B),"None")</f>
        <v xml:space="preserve"> 자신 1명 </v>
      </c>
      <c r="AO219" s="43" t="str">
        <f>IFERROR(_xlfn.XLOOKUP($X219,'BuffValue&lt;Child&gt;'!$A:$A,'BuffValue&lt;Child&gt;'!$F:$F),"None")</f>
        <v>힐드 패시브 버프당 치명타 확률 증가</v>
      </c>
      <c r="AP219" s="43">
        <f>IFERROR(_xlfn.XLOOKUP($X219,'BuffValue&lt;Child&gt;'!$A:$A,'BuffValue&lt;Child&gt;'!$K:$K),0)</f>
        <v>5000</v>
      </c>
      <c r="AQ219" s="43" t="str">
        <f>IFERROR(_xlfn.XLOOKUP(AB219,Target!$A:$A,Target!$B:$B),"None")</f>
        <v>None</v>
      </c>
      <c r="AR219" s="45" t="str">
        <f>IFERROR(_xlfn.XLOOKUP($AC219,'BuffValue&lt;Child&gt;'!$A:$A,'BuffValue&lt;Child&gt;'!$F:$F),"None")</f>
        <v>None</v>
      </c>
      <c r="AS219" s="45">
        <f>IFERROR(_xlfn.XLOOKUP($AC219,'BuffValue&lt;Child&gt;'!$A:$A,'BuffValue&lt;Child&gt;'!$K:$K),0)</f>
        <v>0</v>
      </c>
      <c r="AT219" s="43" t="str">
        <f>IFERROR(_xlfn.XLOOKUP(AG219,Target!$A:$A,Target!$B:$B),"None")</f>
        <v>None</v>
      </c>
      <c r="AU219" s="43" t="str">
        <f>IFERROR(_xlfn.XLOOKUP($AH219,'BuffValue&lt;Child&gt;'!$A:$A,'BuffValue&lt;Child&gt;'!$F:$F),"None")</f>
        <v>None</v>
      </c>
      <c r="AV219" s="43">
        <f>IFERROR(_xlfn.XLOOKUP($AH219,'BuffValue&lt;Child&gt;'!$A:$A,'BuffValue&lt;Child&gt;'!$K:$K),0)</f>
        <v>0</v>
      </c>
      <c r="AW219" s="43" t="str">
        <f>IFERROR(_xlfn.XLOOKUP(AL219,Target!$A:$A,Target!$B:$B),"None")</f>
        <v>None</v>
      </c>
      <c r="AX219" s="43" t="str">
        <f>IFERROR(_xlfn.XLOOKUP($AM219,'BuffValue&lt;Child&gt;'!$A:$A,'BuffValue&lt;Child&gt;'!$F:$F),"None")</f>
        <v>None</v>
      </c>
      <c r="AY219" s="43">
        <f>IFERROR(_xlfn.XLOOKUP($AM219,#REF!,#REF!),0)</f>
        <v>0</v>
      </c>
    </row>
    <row r="220" spans="1:51" s="11" customFormat="1" x14ac:dyDescent="0.3">
      <c r="A220" s="11">
        <f>INT(1&amp;MID(_xlfn.XLOOKUP(B220,[2]Timeline!$B:$B,[2]Timeline!$A:$A),2,5)&amp;1)</f>
        <v>1304611</v>
      </c>
      <c r="B220" s="12" t="s">
        <v>608</v>
      </c>
      <c r="C220" s="12" t="s">
        <v>609</v>
      </c>
      <c r="D220" s="12" t="s">
        <v>544</v>
      </c>
      <c r="E220" s="11" t="str">
        <f t="shared" ref="E220:E227" si="43">"skill_name_"&amp;A220</f>
        <v>skill_name_1304611</v>
      </c>
      <c r="F220" s="11" t="s">
        <v>117</v>
      </c>
      <c r="G220" s="11" t="s">
        <v>598</v>
      </c>
      <c r="H220" s="11" t="str">
        <f t="shared" si="34"/>
        <v>skill_desc_1304611</v>
      </c>
      <c r="I220" s="11" t="s">
        <v>205</v>
      </c>
      <c r="J220" s="11" t="str">
        <f>IFERROR(_xlfn.XLOOKUP(W220,Target!A:A,Target!J:J),"")</f>
        <v>Skill_Target_Icon_Enemy_Near_One</v>
      </c>
      <c r="K220" s="11" t="s">
        <v>205</v>
      </c>
      <c r="L220" s="11" t="str">
        <f>IFERROR(_xlfn.XLOOKUP(W220,Target!A:A,Target!K:K),"")</f>
        <v>Skill_Area_Icon_Pivot_Centor</v>
      </c>
      <c r="M220" s="11" t="str">
        <f>_xlfn.XLOOKUP(B220,'[2]Detail&lt;Child&gt;'!$B:$B,'[2]Detail&lt;Child&gt;'!$M:$M)</f>
        <v>Forest</v>
      </c>
      <c r="N220" s="11" t="str">
        <f>_xlfn.XLOOKUP(B220,'[2]Detail&lt;Child&gt;'!$B:$B,'[2]Detail&lt;Child&gt;'!$N:$N)</f>
        <v>Supporter</v>
      </c>
      <c r="O220" s="11" t="s">
        <v>30</v>
      </c>
      <c r="P220" s="34">
        <v>0</v>
      </c>
      <c r="Q220" s="69" t="s">
        <v>499</v>
      </c>
      <c r="R220" s="11" t="s">
        <v>137</v>
      </c>
      <c r="S220" s="11">
        <v>2</v>
      </c>
      <c r="T220" s="15" t="str">
        <f t="shared" si="35"/>
        <v>SignalHit</v>
      </c>
      <c r="U220" s="15" t="str" cm="1">
        <f t="array" ref="U220">_xlfn.IFS(T220="SignalHIt","TurnEnd",T220="AttackBegin","TurnEnd",T220="AttackEnd","TurnEnd",T220="Immediately","Applied",T220="None","None")</f>
        <v>TurnEnd</v>
      </c>
      <c r="V220" s="15">
        <v>0</v>
      </c>
      <c r="W220" s="11">
        <v>2000011</v>
      </c>
      <c r="X220" s="10">
        <f>INT(A220&amp;1)</f>
        <v>13046111</v>
      </c>
      <c r="Y220" s="11" t="str">
        <f t="shared" si="36"/>
        <v>Immediately</v>
      </c>
      <c r="Z220" s="15" t="str" cm="1">
        <f t="array" ref="Z220">_xlfn.IFS(Y220="SignalHIt","TurnEnd",Y220="AttackBegin","TurnEnd",Y220="AttackEnd","TurnEnd",Y220="Immediately","Applied",Y220="None","None")</f>
        <v>Applied</v>
      </c>
      <c r="AA220" s="15">
        <v>0</v>
      </c>
      <c r="AB220" s="11">
        <v>0</v>
      </c>
      <c r="AC220" s="10">
        <v>0</v>
      </c>
      <c r="AD220" s="15" t="str">
        <f t="shared" si="37"/>
        <v>Immediately</v>
      </c>
      <c r="AE220" s="15" t="str" cm="1">
        <f t="array" ref="AE220">_xlfn.IFS(AD220="SignalHIt","TurnEnd",AD220="AttackBegin","TurnEnd",AD220="AttackEnd","TurnEnd",AD220="Immediately","Applied",AD220="None","None")</f>
        <v>Applied</v>
      </c>
      <c r="AF220" s="15">
        <v>0</v>
      </c>
      <c r="AG220" s="11">
        <v>0</v>
      </c>
      <c r="AH220" s="10">
        <v>0</v>
      </c>
      <c r="AI220" s="15" t="str">
        <f t="shared" si="38"/>
        <v>Immediately</v>
      </c>
      <c r="AJ220" s="15" t="str" cm="1">
        <f t="array" ref="AJ220">_xlfn.IFS(AI220="SignalHIt","TurnEnd",AI220="AttackBegin","TurnEnd",AI220="AttackEnd","TurnEnd",AI220="Immediately","Applied",AI220="None","None")</f>
        <v>Applied</v>
      </c>
      <c r="AK220" s="15">
        <v>0</v>
      </c>
      <c r="AL220" s="10">
        <v>0</v>
      </c>
      <c r="AM220" s="50">
        <v>0</v>
      </c>
      <c r="AN220" s="46" t="str">
        <f>IFERROR(_xlfn.XLOOKUP(W220,Target!$A:$A,Target!$B:$B),"None")</f>
        <v xml:space="preserve">가까운 적 1명 </v>
      </c>
      <c r="AO220" s="47" t="str">
        <f>IFERROR(_xlfn.XLOOKUP($X220,'BuffValue&lt;Child&gt;'!$A:$A,'BuffValue&lt;Child&gt;'!$F:$F),"None")</f>
        <v>공용 대미지</v>
      </c>
      <c r="AP220" s="47">
        <f>IFERROR(_xlfn.XLOOKUP($X220,'BuffValue&lt;Child&gt;'!$A:$A,'BuffValue&lt;Child&gt;'!$K:$K),0)</f>
        <v>150000</v>
      </c>
      <c r="AQ220" s="47" t="str">
        <f>IFERROR(_xlfn.XLOOKUP(AB220,Target!$A:$A,Target!$B:$B),"None")</f>
        <v>None</v>
      </c>
      <c r="AR220" s="46" t="str">
        <f>IFERROR(_xlfn.XLOOKUP($AC220,'BuffValue&lt;Child&gt;'!$A:$A,'BuffValue&lt;Child&gt;'!$F:$F),"None")</f>
        <v>None</v>
      </c>
      <c r="AS220" s="46">
        <f>IFERROR(_xlfn.XLOOKUP($AC220,'BuffValue&lt;Child&gt;'!$A:$A,'BuffValue&lt;Child&gt;'!$K:$K),0)</f>
        <v>0</v>
      </c>
      <c r="AT220" s="47" t="str">
        <f>IFERROR(_xlfn.XLOOKUP(AG220,Target!$A:$A,Target!$B:$B),"None")</f>
        <v>None</v>
      </c>
      <c r="AU220" s="47" t="str">
        <f>IFERROR(_xlfn.XLOOKUP($AH220,'BuffValue&lt;Child&gt;'!$A:$A,'BuffValue&lt;Child&gt;'!$F:$F),"None")</f>
        <v>None</v>
      </c>
      <c r="AV220" s="47">
        <f>IFERROR(_xlfn.XLOOKUP($AH220,'BuffValue&lt;Child&gt;'!$A:$A,'BuffValue&lt;Child&gt;'!$K:$K),0)</f>
        <v>0</v>
      </c>
      <c r="AW220" s="47" t="str">
        <f>IFERROR(_xlfn.XLOOKUP(AL220,Target!$A:$A,Target!$B:$B),"None")</f>
        <v>None</v>
      </c>
      <c r="AX220" s="47" t="str">
        <f>IFERROR(_xlfn.XLOOKUP($AM220,'BuffValue&lt;Child&gt;'!$A:$A,'BuffValue&lt;Child&gt;'!$F:$F),"None")</f>
        <v>None</v>
      </c>
      <c r="AY220" s="47">
        <f>IFERROR(_xlfn.XLOOKUP($AM220,#REF!,#REF!),0)</f>
        <v>0</v>
      </c>
    </row>
    <row r="221" spans="1:51" x14ac:dyDescent="0.3">
      <c r="A221" s="1">
        <f>INT(2&amp;MID(_xlfn.XLOOKUP(B221,[2]Timeline!$B:$B,[2]Timeline!$A:$A),2,5)&amp;1)</f>
        <v>2304611</v>
      </c>
      <c r="B221" s="7" t="s">
        <v>607</v>
      </c>
      <c r="C221" s="7" t="s">
        <v>611</v>
      </c>
      <c r="D221" s="7" t="s">
        <v>572</v>
      </c>
      <c r="E221" s="1" t="str">
        <f t="shared" si="43"/>
        <v>skill_name_2304611</v>
      </c>
      <c r="F221" s="1" t="s">
        <v>117</v>
      </c>
      <c r="G221" s="1" t="s">
        <v>599</v>
      </c>
      <c r="H221" s="1" t="str">
        <f t="shared" si="34"/>
        <v>skill_desc_2304611</v>
      </c>
      <c r="I221" s="1" t="s">
        <v>205</v>
      </c>
      <c r="J221" s="1" t="str">
        <f>IFERROR(_xlfn.XLOOKUP(W221,Target!A:A,Target!J:J),"")</f>
        <v>Skill_Target_Icon_Enemy_Near_One</v>
      </c>
      <c r="K221" s="1" t="s">
        <v>205</v>
      </c>
      <c r="L221" s="1" t="str">
        <f>IFERROR(_xlfn.XLOOKUP(W221,Target!A:A,Target!K:K),"")</f>
        <v>Skill_Area_Icon_Pivot_Centor</v>
      </c>
      <c r="M221" s="1" t="str">
        <f>_xlfn.XLOOKUP(B221,'[2]Detail&lt;Child&gt;'!$B:$B,'[2]Detail&lt;Child&gt;'!$M:$M)</f>
        <v>Forest</v>
      </c>
      <c r="N221" s="1" t="str">
        <f>_xlfn.XLOOKUP(B221,'[2]Detail&lt;Child&gt;'!$B:$B,'[2]Detail&lt;Child&gt;'!$N:$N)</f>
        <v>Supporter</v>
      </c>
      <c r="O221" s="1" t="s">
        <v>33</v>
      </c>
      <c r="P221" s="33">
        <v>3</v>
      </c>
      <c r="Q221" s="68" t="str" cm="1">
        <f t="array" ref="Q221">_xlfn.IFS(R221="Move","Move",R221="NonTargetMove","Move",R221="Static","Stand",R221="None","Stand")</f>
        <v>Move</v>
      </c>
      <c r="R221" s="1" t="s">
        <v>144</v>
      </c>
      <c r="S221" s="1">
        <v>2</v>
      </c>
      <c r="T221" s="2" t="str">
        <f t="shared" si="35"/>
        <v>SignalHit</v>
      </c>
      <c r="U221" s="2" t="str" cm="1">
        <f t="array" ref="U221">_xlfn.IFS(T221="SignalHIt","TurnEnd",T221="AttackBegin","TurnEnd",T221="AttackEnd","TurnEnd",T221="Immediately","Applied",T221="None","None")</f>
        <v>TurnEnd</v>
      </c>
      <c r="V221" s="2">
        <v>0</v>
      </c>
      <c r="W221" s="1">
        <v>2000011</v>
      </c>
      <c r="X221" s="8">
        <f t="shared" ref="X221:X227" si="44">INT(A221&amp;1)</f>
        <v>23046111</v>
      </c>
      <c r="Y221" s="1" t="str">
        <f t="shared" si="36"/>
        <v>Immediately</v>
      </c>
      <c r="Z221" s="2" t="str" cm="1">
        <f t="array" ref="Z221">_xlfn.IFS(Y221="SignalHIt","TurnEnd",Y221="AttackBegin","TurnEnd",Y221="AttackEnd","TurnEnd",Y221="Immediately","Applied",Y221="None","None")</f>
        <v>Applied</v>
      </c>
      <c r="AA221" s="2">
        <v>0</v>
      </c>
      <c r="AB221" s="1">
        <v>0</v>
      </c>
      <c r="AC221" s="8">
        <v>0</v>
      </c>
      <c r="AD221" s="2" t="str">
        <f t="shared" si="37"/>
        <v>Immediately</v>
      </c>
      <c r="AE221" s="2" t="str" cm="1">
        <f t="array" ref="AE221">_xlfn.IFS(AD221="SignalHIt","TurnEnd",AD221="AttackBegin","TurnEnd",AD221="AttackEnd","TurnEnd",AD221="Immediately","Applied",AD221="None","None")</f>
        <v>Applied</v>
      </c>
      <c r="AF221" s="2">
        <v>0</v>
      </c>
      <c r="AG221" s="1">
        <v>0</v>
      </c>
      <c r="AH221" s="8">
        <v>0</v>
      </c>
      <c r="AI221" s="2" t="str">
        <f t="shared" si="38"/>
        <v>Immediately</v>
      </c>
      <c r="AJ221" s="2" t="str" cm="1">
        <f t="array" ref="AJ221">_xlfn.IFS(AI221="SignalHIt","TurnEnd",AI221="AttackBegin","TurnEnd",AI221="AttackEnd","TurnEnd",AI221="Immediately","Applied",AI221="None","None")</f>
        <v>Applied</v>
      </c>
      <c r="AK221" s="2">
        <v>0</v>
      </c>
      <c r="AL221" s="8">
        <v>0</v>
      </c>
      <c r="AM221" s="48">
        <v>0</v>
      </c>
      <c r="AN221" s="45" t="str">
        <f>IFERROR(_xlfn.XLOOKUP(W221,Target!$A:$A,Target!$B:$B),"None")</f>
        <v xml:space="preserve">가까운 적 1명 </v>
      </c>
      <c r="AO221" s="43" t="str">
        <f>IFERROR(_xlfn.XLOOKUP($X221,'BuffValue&lt;Child&gt;'!$A:$A,'BuffValue&lt;Child&gt;'!$F:$F),"None")</f>
        <v>액티브 대미지</v>
      </c>
      <c r="AP221" s="43">
        <f>IFERROR(_xlfn.XLOOKUP($X221,'BuffValue&lt;Child&gt;'!$A:$A,'BuffValue&lt;Child&gt;'!$K:$K),0)</f>
        <v>40000</v>
      </c>
      <c r="AQ221" s="43" t="str">
        <f>IFERROR(_xlfn.XLOOKUP(AB221,Target!$A:$A,Target!$B:$B),"None")</f>
        <v>None</v>
      </c>
      <c r="AR221" s="45" t="str">
        <f>IFERROR(_xlfn.XLOOKUP($AC221,'BuffValue&lt;Child&gt;'!$A:$A,'BuffValue&lt;Child&gt;'!$F:$F),"None")</f>
        <v>None</v>
      </c>
      <c r="AS221" s="45">
        <f>IFERROR(_xlfn.XLOOKUP($AC221,'BuffValue&lt;Child&gt;'!$A:$A,'BuffValue&lt;Child&gt;'!$K:$K),0)</f>
        <v>0</v>
      </c>
      <c r="AT221" s="43" t="str">
        <f>IFERROR(_xlfn.XLOOKUP(AG221,Target!$A:$A,Target!$B:$B),"None")</f>
        <v>None</v>
      </c>
      <c r="AU221" s="43" t="str">
        <f>IFERROR(_xlfn.XLOOKUP($AH221,'BuffValue&lt;Child&gt;'!$A:$A,'BuffValue&lt;Child&gt;'!$F:$F),"None")</f>
        <v>None</v>
      </c>
      <c r="AV221" s="43">
        <f>IFERROR(_xlfn.XLOOKUP($AH221,'BuffValue&lt;Child&gt;'!$A:$A,'BuffValue&lt;Child&gt;'!$K:$K),0)</f>
        <v>0</v>
      </c>
      <c r="AW221" s="43" t="str">
        <f>IFERROR(_xlfn.XLOOKUP(AL221,Target!$A:$A,Target!$B:$B),"None")</f>
        <v>None</v>
      </c>
      <c r="AX221" s="43" t="str">
        <f>IFERROR(_xlfn.XLOOKUP($AM221,'BuffValue&lt;Child&gt;'!$A:$A,'BuffValue&lt;Child&gt;'!$F:$F),"None")</f>
        <v>None</v>
      </c>
      <c r="AY221" s="43">
        <f>IFERROR(_xlfn.XLOOKUP($AM221,#REF!,#REF!),0)</f>
        <v>0</v>
      </c>
    </row>
    <row r="222" spans="1:51" x14ac:dyDescent="0.3">
      <c r="A222" s="1">
        <f>INT(2&amp;MID(_xlfn.XLOOKUP(B222,[2]Timeline!$B:$B,[2]Timeline!$A:$A),2,5)&amp;2)</f>
        <v>2304612</v>
      </c>
      <c r="B222" s="7" t="s">
        <v>607</v>
      </c>
      <c r="C222" s="7" t="s">
        <v>610</v>
      </c>
      <c r="D222" s="7" t="s">
        <v>572</v>
      </c>
      <c r="E222" s="1" t="str">
        <f t="shared" si="43"/>
        <v>skill_name_2304612</v>
      </c>
      <c r="F222" s="1" t="s">
        <v>117</v>
      </c>
      <c r="G222" s="1" t="s">
        <v>599</v>
      </c>
      <c r="H222" s="1" t="str">
        <f t="shared" si="34"/>
        <v>skill_desc_2304612</v>
      </c>
      <c r="I222" s="1" t="s">
        <v>205</v>
      </c>
      <c r="J222" s="1" t="str">
        <f>IFERROR(_xlfn.XLOOKUP(W222,Target!A:A,Target!J:J),"")</f>
        <v>Skill_Target_Icon_Enemy_Near_One</v>
      </c>
      <c r="K222" s="1" t="s">
        <v>205</v>
      </c>
      <c r="L222" s="1" t="str">
        <f>IFERROR(_xlfn.XLOOKUP(W222,Target!A:A,Target!K:K),"")</f>
        <v>Skill_Area_Icon_Pivot_Centor</v>
      </c>
      <c r="M222" s="1" t="str">
        <f>_xlfn.XLOOKUP(B222,'[2]Detail&lt;Child&gt;'!$B:$B,'[2]Detail&lt;Child&gt;'!$M:$M)</f>
        <v>Forest</v>
      </c>
      <c r="N222" s="1" t="str">
        <f>_xlfn.XLOOKUP(B222,'[2]Detail&lt;Child&gt;'!$B:$B,'[2]Detail&lt;Child&gt;'!$N:$N)</f>
        <v>Supporter</v>
      </c>
      <c r="O222" s="1" t="s">
        <v>33</v>
      </c>
      <c r="P222" s="33">
        <v>2</v>
      </c>
      <c r="Q222" s="68" t="str" cm="1">
        <f t="array" ref="Q222">_xlfn.IFS(R222="Move","Move",R222="NonTargetMove","Move",R222="Static","Stand",R222="None","Stand")</f>
        <v>Move</v>
      </c>
      <c r="R222" s="1" t="s">
        <v>144</v>
      </c>
      <c r="S222" s="1">
        <v>2</v>
      </c>
      <c r="T222" s="2" t="str">
        <f t="shared" si="35"/>
        <v>SignalHit</v>
      </c>
      <c r="U222" s="2" t="str" cm="1">
        <f t="array" ref="U222">_xlfn.IFS(T222="SignalHIt","TurnEnd",T222="AttackBegin","TurnEnd",T222="AttackEnd","TurnEnd",T222="Immediately","Applied",T222="None","None")</f>
        <v>TurnEnd</v>
      </c>
      <c r="V222" s="2">
        <v>0</v>
      </c>
      <c r="W222" s="1">
        <v>2000011</v>
      </c>
      <c r="X222" s="8">
        <f t="shared" si="44"/>
        <v>23046121</v>
      </c>
      <c r="Y222" s="1" t="str">
        <f t="shared" si="36"/>
        <v>Immediately</v>
      </c>
      <c r="Z222" s="2" t="str" cm="1">
        <f t="array" ref="Z222">_xlfn.IFS(Y222="SignalHIt","TurnEnd",Y222="AttackBegin","TurnEnd",Y222="AttackEnd","TurnEnd",Y222="Immediately","Applied",Y222="None","None")</f>
        <v>Applied</v>
      </c>
      <c r="AA222" s="2">
        <v>0</v>
      </c>
      <c r="AB222" s="1">
        <v>0</v>
      </c>
      <c r="AC222" s="8">
        <v>0</v>
      </c>
      <c r="AD222" s="2" t="str">
        <f t="shared" si="37"/>
        <v>Immediately</v>
      </c>
      <c r="AE222" s="2" t="str" cm="1">
        <f t="array" ref="AE222">_xlfn.IFS(AD222="SignalHIt","TurnEnd",AD222="AttackBegin","TurnEnd",AD222="AttackEnd","TurnEnd",AD222="Immediately","Applied",AD222="None","None")</f>
        <v>Applied</v>
      </c>
      <c r="AF222" s="2">
        <v>0</v>
      </c>
      <c r="AG222" s="1">
        <v>0</v>
      </c>
      <c r="AH222" s="8">
        <v>0</v>
      </c>
      <c r="AI222" s="2" t="str">
        <f t="shared" si="38"/>
        <v>Immediately</v>
      </c>
      <c r="AJ222" s="2" t="str" cm="1">
        <f t="array" ref="AJ222">_xlfn.IFS(AI222="SignalHIt","TurnEnd",AI222="AttackBegin","TurnEnd",AI222="AttackEnd","TurnEnd",AI222="Immediately","Applied",AI222="None","None")</f>
        <v>Applied</v>
      </c>
      <c r="AK222" s="2">
        <v>0</v>
      </c>
      <c r="AL222" s="8">
        <v>0</v>
      </c>
      <c r="AM222" s="48">
        <v>0</v>
      </c>
      <c r="AN222" s="45" t="str">
        <f>IFERROR(_xlfn.XLOOKUP(W222,Target!$A:$A,Target!$B:$B),"None")</f>
        <v xml:space="preserve">가까운 적 1명 </v>
      </c>
      <c r="AO222" s="43" t="str">
        <f>IFERROR(_xlfn.XLOOKUP($X222,'BuffValue&lt;Child&gt;'!$A:$A,'BuffValue&lt;Child&gt;'!$F:$F),"None")</f>
        <v>액티브 대미지</v>
      </c>
      <c r="AP222" s="43">
        <f>IFERROR(_xlfn.XLOOKUP($X222,'BuffValue&lt;Child&gt;'!$A:$A,'BuffValue&lt;Child&gt;'!$K:$K),0)</f>
        <v>40000</v>
      </c>
      <c r="AQ222" s="43" t="str">
        <f>IFERROR(_xlfn.XLOOKUP(AB222,Target!$A:$A,Target!$B:$B),"None")</f>
        <v>None</v>
      </c>
      <c r="AR222" s="45" t="str">
        <f>IFERROR(_xlfn.XLOOKUP($AC222,'BuffValue&lt;Child&gt;'!$A:$A,'BuffValue&lt;Child&gt;'!$F:$F),"None")</f>
        <v>None</v>
      </c>
      <c r="AS222" s="45">
        <f>IFERROR(_xlfn.XLOOKUP($AC222,'BuffValue&lt;Child&gt;'!$A:$A,'BuffValue&lt;Child&gt;'!$K:$K),0)</f>
        <v>0</v>
      </c>
      <c r="AT222" s="43" t="str">
        <f>IFERROR(_xlfn.XLOOKUP(AG222,Target!$A:$A,Target!$B:$B),"None")</f>
        <v>None</v>
      </c>
      <c r="AU222" s="43" t="str">
        <f>IFERROR(_xlfn.XLOOKUP($AH222,'BuffValue&lt;Child&gt;'!$A:$A,'BuffValue&lt;Child&gt;'!$F:$F),"None")</f>
        <v>None</v>
      </c>
      <c r="AV222" s="43">
        <f>IFERROR(_xlfn.XLOOKUP($AH222,'BuffValue&lt;Child&gt;'!$A:$A,'BuffValue&lt;Child&gt;'!$K:$K),0)</f>
        <v>0</v>
      </c>
      <c r="AW222" s="43" t="str">
        <f>IFERROR(_xlfn.XLOOKUP(AL222,Target!$A:$A,Target!$B:$B),"None")</f>
        <v>None</v>
      </c>
      <c r="AX222" s="43" t="str">
        <f>IFERROR(_xlfn.XLOOKUP($AM222,'BuffValue&lt;Child&gt;'!$A:$A,'BuffValue&lt;Child&gt;'!$F:$F),"None")</f>
        <v>None</v>
      </c>
      <c r="AY222" s="43">
        <f>IFERROR(_xlfn.XLOOKUP($AM222,#REF!,#REF!),0)</f>
        <v>0</v>
      </c>
    </row>
    <row r="223" spans="1:51" x14ac:dyDescent="0.3">
      <c r="A223" s="1">
        <f>INT(3&amp;MID(_xlfn.XLOOKUP(B223,[2]Timeline!$B:$B,[2]Timeline!$A:$A),2,5)&amp;1)</f>
        <v>3304611</v>
      </c>
      <c r="B223" s="7" t="s">
        <v>607</v>
      </c>
      <c r="C223" s="7" t="s">
        <v>613</v>
      </c>
      <c r="D223" s="7" t="s">
        <v>516</v>
      </c>
      <c r="E223" s="1" t="str">
        <f t="shared" si="43"/>
        <v>skill_name_3304611</v>
      </c>
      <c r="F223" s="1" t="s">
        <v>117</v>
      </c>
      <c r="G223" s="1" t="s">
        <v>600</v>
      </c>
      <c r="H223" s="1" t="str">
        <f t="shared" si="34"/>
        <v>skill_desc_3304611</v>
      </c>
      <c r="I223" s="1" t="s">
        <v>205</v>
      </c>
      <c r="J223" s="1" t="str">
        <f>IFERROR(_xlfn.XLOOKUP(W223,Target!A:A,Target!J:J),"")</f>
        <v>Skill_Target_Icon_Enemy_Near_One</v>
      </c>
      <c r="K223" s="1" t="s">
        <v>205</v>
      </c>
      <c r="L223" s="1" t="str">
        <f>IFERROR(_xlfn.XLOOKUP(W223,Target!A:A,Target!K:K),"")</f>
        <v>Skill_Area_Icon_Pivot_Row</v>
      </c>
      <c r="M223" s="1" t="str">
        <f>_xlfn.XLOOKUP(B223,'[2]Detail&lt;Child&gt;'!$B:$B,'[2]Detail&lt;Child&gt;'!$M:$M)</f>
        <v>Forest</v>
      </c>
      <c r="N223" s="1" t="str">
        <f>_xlfn.XLOOKUP(B223,'[2]Detail&lt;Child&gt;'!$B:$B,'[2]Detail&lt;Child&gt;'!$N:$N)</f>
        <v>Supporter</v>
      </c>
      <c r="O223" s="1" t="s">
        <v>140</v>
      </c>
      <c r="P223" s="33">
        <v>0</v>
      </c>
      <c r="Q223" s="68" t="str" cm="1">
        <f t="array" ref="Q223">_xlfn.IFS(R223="Move","Move",R223="NonTargetMove","Move",R223="Static","Stand",R223="None","Stand")</f>
        <v>Move</v>
      </c>
      <c r="R223" s="1" t="s">
        <v>153</v>
      </c>
      <c r="S223" s="1">
        <v>2</v>
      </c>
      <c r="T223" s="2" t="str">
        <f t="shared" si="35"/>
        <v>SignalHit</v>
      </c>
      <c r="U223" s="2" t="str" cm="1">
        <f t="array" ref="U223">_xlfn.IFS(T223="SignalHIt","TurnEnd",T223="AttackBegin","TurnEnd",T223="AttackEnd","TurnEnd",T223="Immediately","Applied",T223="None","None")</f>
        <v>TurnEnd</v>
      </c>
      <c r="V223" s="2">
        <v>0</v>
      </c>
      <c r="W223" s="1">
        <v>2000014</v>
      </c>
      <c r="X223" s="8">
        <f t="shared" si="44"/>
        <v>33046111</v>
      </c>
      <c r="Y223" s="1" t="str">
        <f t="shared" si="36"/>
        <v>Immediately</v>
      </c>
      <c r="Z223" s="2" t="str" cm="1">
        <f t="array" ref="Z223">_xlfn.IFS(Y223="SignalHIt","TurnEnd",Y223="AttackBegin","TurnEnd",Y223="AttackEnd","TurnEnd",Y223="Immediately","Applied",Y223="None","None")</f>
        <v>Applied</v>
      </c>
      <c r="AA223" s="2">
        <v>0</v>
      </c>
      <c r="AB223" s="1">
        <v>0</v>
      </c>
      <c r="AC223" s="8">
        <v>0</v>
      </c>
      <c r="AD223" s="2" t="str">
        <f t="shared" si="37"/>
        <v>Immediately</v>
      </c>
      <c r="AE223" s="2" t="str" cm="1">
        <f t="array" ref="AE223">_xlfn.IFS(AD223="SignalHIt","TurnEnd",AD223="AttackBegin","TurnEnd",AD223="AttackEnd","TurnEnd",AD223="Immediately","Applied",AD223="None","None")</f>
        <v>Applied</v>
      </c>
      <c r="AF223" s="2">
        <v>0</v>
      </c>
      <c r="AG223" s="1">
        <v>0</v>
      </c>
      <c r="AH223" s="8">
        <v>0</v>
      </c>
      <c r="AI223" s="2" t="str">
        <f t="shared" si="38"/>
        <v>Immediately</v>
      </c>
      <c r="AJ223" s="2" t="str" cm="1">
        <f t="array" ref="AJ223">_xlfn.IFS(AI223="SignalHIt","TurnEnd",AI223="AttackBegin","TurnEnd",AI223="AttackEnd","TurnEnd",AI223="Immediately","Applied",AI223="None","None")</f>
        <v>Applied</v>
      </c>
      <c r="AK223" s="2">
        <v>0</v>
      </c>
      <c r="AL223" s="1">
        <v>0</v>
      </c>
      <c r="AM223" s="48">
        <v>0</v>
      </c>
      <c r="AN223" s="45" t="str">
        <f>IFERROR(_xlfn.XLOOKUP(W223,Target!$A:$A,Target!$B:$B),"None")</f>
        <v>가까운 적 1명 2행</v>
      </c>
      <c r="AO223" s="43" t="str">
        <f>IFERROR(_xlfn.XLOOKUP($X223,'BuffValue&lt;Child&gt;'!$A:$A,'BuffValue&lt;Child&gt;'!$F:$F),"None")</f>
        <v>얼티밋 대미지</v>
      </c>
      <c r="AP223" s="43">
        <f>IFERROR(_xlfn.XLOOKUP($X223,'BuffValue&lt;Child&gt;'!$A:$A,'BuffValue&lt;Child&gt;'!$K:$K),0)</f>
        <v>320000</v>
      </c>
      <c r="AQ223" s="43" t="str">
        <f>IFERROR(_xlfn.XLOOKUP(AB223,Target!$A:$A,Target!$B:$B),"None")</f>
        <v>None</v>
      </c>
      <c r="AR223" s="45" t="str">
        <f>IFERROR(_xlfn.XLOOKUP($AC223,'BuffValue&lt;Child&gt;'!$A:$A,'BuffValue&lt;Child&gt;'!$F:$F),"None")</f>
        <v>None</v>
      </c>
      <c r="AS223" s="45">
        <f>IFERROR(_xlfn.XLOOKUP($AC223,'BuffValue&lt;Child&gt;'!$A:$A,'BuffValue&lt;Child&gt;'!$K:$K),0)</f>
        <v>0</v>
      </c>
      <c r="AT223" s="43" t="str">
        <f>IFERROR(_xlfn.XLOOKUP(AG223,Target!$A:$A,Target!$B:$B),"None")</f>
        <v>None</v>
      </c>
      <c r="AU223" s="43" t="str">
        <f>IFERROR(_xlfn.XLOOKUP($AH223,'BuffValue&lt;Child&gt;'!$A:$A,'BuffValue&lt;Child&gt;'!$F:$F),"None")</f>
        <v>None</v>
      </c>
      <c r="AV223" s="43">
        <f>IFERROR(_xlfn.XLOOKUP($AH223,'BuffValue&lt;Child&gt;'!$A:$A,'BuffValue&lt;Child&gt;'!$K:$K),0)</f>
        <v>0</v>
      </c>
      <c r="AW223" s="43" t="str">
        <f>IFERROR(_xlfn.XLOOKUP(AL223,Target!$A:$A,Target!$B:$B),"None")</f>
        <v>None</v>
      </c>
      <c r="AX223" s="43" t="str">
        <f>IFERROR(_xlfn.XLOOKUP($AM223,'BuffValue&lt;Child&gt;'!$A:$A,'BuffValue&lt;Child&gt;'!$F:$F),"None")</f>
        <v>None</v>
      </c>
      <c r="AY223" s="43">
        <f>IFERROR(_xlfn.XLOOKUP($AM223,#REF!,#REF!),0)</f>
        <v>0</v>
      </c>
    </row>
    <row r="224" spans="1:51" x14ac:dyDescent="0.3">
      <c r="A224" s="1">
        <f>INT(3&amp;MID(_xlfn.XLOOKUP(B224,[2]Timeline!$B:$B,[2]Timeline!$A:$A),2,5)&amp;2)</f>
        <v>3304612</v>
      </c>
      <c r="B224" s="7" t="s">
        <v>607</v>
      </c>
      <c r="C224" s="7" t="s">
        <v>612</v>
      </c>
      <c r="D224" s="7" t="s">
        <v>516</v>
      </c>
      <c r="E224" s="1" t="str">
        <f t="shared" si="43"/>
        <v>skill_name_3304612</v>
      </c>
      <c r="F224" s="1" t="s">
        <v>117</v>
      </c>
      <c r="G224" s="1" t="s">
        <v>600</v>
      </c>
      <c r="H224" s="1" t="str">
        <f t="shared" si="34"/>
        <v>skill_desc_3304612</v>
      </c>
      <c r="I224" s="1" t="s">
        <v>205</v>
      </c>
      <c r="J224" s="1" t="str">
        <f>IFERROR(_xlfn.XLOOKUP(W224,Target!A:A,Target!J:J),"")</f>
        <v>Skill_Target_Icon_Enemy_Near_One</v>
      </c>
      <c r="K224" s="1" t="s">
        <v>205</v>
      </c>
      <c r="L224" s="1" t="str">
        <f>IFERROR(_xlfn.XLOOKUP(W224,Target!A:A,Target!K:K),"")</f>
        <v>Skill_Area_Icon_Pivot_Row</v>
      </c>
      <c r="M224" s="1" t="str">
        <f>_xlfn.XLOOKUP(B224,'[2]Detail&lt;Child&gt;'!$B:$B,'[2]Detail&lt;Child&gt;'!$M:$M)</f>
        <v>Forest</v>
      </c>
      <c r="N224" s="1" t="str">
        <f>_xlfn.XLOOKUP(B224,'[2]Detail&lt;Child&gt;'!$B:$B,'[2]Detail&lt;Child&gt;'!$N:$N)</f>
        <v>Supporter</v>
      </c>
      <c r="O224" s="1" t="s">
        <v>140</v>
      </c>
      <c r="P224" s="33">
        <v>0</v>
      </c>
      <c r="Q224" s="68" t="str" cm="1">
        <f t="array" ref="Q224">_xlfn.IFS(R224="Move","Move",R224="NonTargetMove","Move",R224="Static","Stand",R224="None","Stand")</f>
        <v>Move</v>
      </c>
      <c r="R224" s="1" t="s">
        <v>153</v>
      </c>
      <c r="S224" s="1">
        <v>2</v>
      </c>
      <c r="T224" s="2" t="str">
        <f t="shared" si="35"/>
        <v>SignalHit</v>
      </c>
      <c r="U224" s="2" t="str" cm="1">
        <f t="array" ref="U224">_xlfn.IFS(T224="SignalHIt","TurnEnd",T224="AttackBegin","TurnEnd",T224="AttackEnd","TurnEnd",T224="Immediately","Applied",T224="None","None")</f>
        <v>TurnEnd</v>
      </c>
      <c r="V224" s="2">
        <v>0</v>
      </c>
      <c r="W224" s="1">
        <v>2000014</v>
      </c>
      <c r="X224" s="8">
        <f t="shared" si="44"/>
        <v>33046121</v>
      </c>
      <c r="Y224" s="1" t="str">
        <f t="shared" si="36"/>
        <v>Immediately</v>
      </c>
      <c r="Z224" s="2" t="str" cm="1">
        <f t="array" ref="Z224">_xlfn.IFS(Y224="SignalHIt","TurnEnd",Y224="AttackBegin","TurnEnd",Y224="AttackEnd","TurnEnd",Y224="Immediately","Applied",Y224="None","None")</f>
        <v>Applied</v>
      </c>
      <c r="AA224" s="2">
        <v>0</v>
      </c>
      <c r="AB224" s="1">
        <v>0</v>
      </c>
      <c r="AC224" s="8">
        <v>0</v>
      </c>
      <c r="AD224" s="2" t="str">
        <f t="shared" si="37"/>
        <v>Immediately</v>
      </c>
      <c r="AE224" s="2" t="str" cm="1">
        <f t="array" ref="AE224">_xlfn.IFS(AD224="SignalHIt","TurnEnd",AD224="AttackBegin","TurnEnd",AD224="AttackEnd","TurnEnd",AD224="Immediately","Applied",AD224="None","None")</f>
        <v>Applied</v>
      </c>
      <c r="AF224" s="2">
        <v>0</v>
      </c>
      <c r="AG224" s="1">
        <v>0</v>
      </c>
      <c r="AH224" s="8">
        <v>0</v>
      </c>
      <c r="AI224" s="2" t="str">
        <f t="shared" si="38"/>
        <v>Immediately</v>
      </c>
      <c r="AJ224" s="2" t="str" cm="1">
        <f t="array" ref="AJ224">_xlfn.IFS(AI224="SignalHIt","TurnEnd",AI224="AttackBegin","TurnEnd",AI224="AttackEnd","TurnEnd",AI224="Immediately","Applied",AI224="None","None")</f>
        <v>Applied</v>
      </c>
      <c r="AK224" s="2">
        <v>0</v>
      </c>
      <c r="AL224" s="1">
        <v>0</v>
      </c>
      <c r="AM224" s="48">
        <v>0</v>
      </c>
      <c r="AN224" s="45" t="str">
        <f>IFERROR(_xlfn.XLOOKUP(W224,Target!$A:$A,Target!$B:$B),"None")</f>
        <v>가까운 적 1명 2행</v>
      </c>
      <c r="AO224" s="43" t="str">
        <f>IFERROR(_xlfn.XLOOKUP($X224,'BuffValue&lt;Child&gt;'!$A:$A,'BuffValue&lt;Child&gt;'!$F:$F),"None")</f>
        <v>얼티밋 대미지</v>
      </c>
      <c r="AP224" s="43">
        <f>IFERROR(_xlfn.XLOOKUP($X224,'BuffValue&lt;Child&gt;'!$A:$A,'BuffValue&lt;Child&gt;'!$K:$K),0)</f>
        <v>320000</v>
      </c>
      <c r="AQ224" s="43" t="str">
        <f>IFERROR(_xlfn.XLOOKUP(AB224,Target!$A:$A,Target!$B:$B),"None")</f>
        <v>None</v>
      </c>
      <c r="AR224" s="45" t="str">
        <f>IFERROR(_xlfn.XLOOKUP($AC224,'BuffValue&lt;Child&gt;'!$A:$A,'BuffValue&lt;Child&gt;'!$F:$F),"None")</f>
        <v>None</v>
      </c>
      <c r="AS224" s="45">
        <f>IFERROR(_xlfn.XLOOKUP($AC224,'BuffValue&lt;Child&gt;'!$A:$A,'BuffValue&lt;Child&gt;'!$K:$K),0)</f>
        <v>0</v>
      </c>
      <c r="AT224" s="43" t="str">
        <f>IFERROR(_xlfn.XLOOKUP(AG224,Target!$A:$A,Target!$B:$B),"None")</f>
        <v>None</v>
      </c>
      <c r="AU224" s="43" t="str">
        <f>IFERROR(_xlfn.XLOOKUP($AH224,'BuffValue&lt;Child&gt;'!$A:$A,'BuffValue&lt;Child&gt;'!$F:$F),"None")</f>
        <v>None</v>
      </c>
      <c r="AV224" s="43">
        <f>IFERROR(_xlfn.XLOOKUP($AH224,'BuffValue&lt;Child&gt;'!$A:$A,'BuffValue&lt;Child&gt;'!$K:$K),0)</f>
        <v>0</v>
      </c>
      <c r="AW224" s="43" t="str">
        <f>IFERROR(_xlfn.XLOOKUP(AL224,Target!$A:$A,Target!$B:$B),"None")</f>
        <v>None</v>
      </c>
      <c r="AX224" s="43" t="str">
        <f>IFERROR(_xlfn.XLOOKUP($AM224,'BuffValue&lt;Child&gt;'!$A:$A,'BuffValue&lt;Child&gt;'!$F:$F),"None")</f>
        <v>None</v>
      </c>
      <c r="AY224" s="43">
        <f>IFERROR(_xlfn.XLOOKUP($AM224,#REF!,#REF!),0)</f>
        <v>0</v>
      </c>
    </row>
    <row r="225" spans="1:51" x14ac:dyDescent="0.3">
      <c r="A225" s="1">
        <f>INT(3&amp;MID(_xlfn.XLOOKUP(B225,[2]Timeline!$B:$B,[2]Timeline!$A:$A),2,5)&amp;3)</f>
        <v>3304613</v>
      </c>
      <c r="B225" s="7" t="s">
        <v>607</v>
      </c>
      <c r="C225" s="7" t="s">
        <v>612</v>
      </c>
      <c r="D225" s="7" t="s">
        <v>516</v>
      </c>
      <c r="E225" s="1" t="str">
        <f t="shared" si="43"/>
        <v>skill_name_3304613</v>
      </c>
      <c r="F225" s="1" t="s">
        <v>117</v>
      </c>
      <c r="G225" s="1" t="s">
        <v>600</v>
      </c>
      <c r="H225" s="1" t="str">
        <f t="shared" si="34"/>
        <v>skill_desc_3304613</v>
      </c>
      <c r="I225" s="1" t="s">
        <v>205</v>
      </c>
      <c r="J225" s="1" t="str">
        <f>IFERROR(_xlfn.XLOOKUP(W225,Target!A:A,Target!J:J),"")</f>
        <v>Skill_Target_Icon_Enemy_Near_One</v>
      </c>
      <c r="K225" s="1" t="s">
        <v>205</v>
      </c>
      <c r="L225" s="1" t="str">
        <f>IFERROR(_xlfn.XLOOKUP(W225,Target!A:A,Target!K:K),"")</f>
        <v>Skill_Area_Icon_Pivot_Row</v>
      </c>
      <c r="M225" s="1" t="str">
        <f>_xlfn.XLOOKUP(B225,'[2]Detail&lt;Child&gt;'!$B:$B,'[2]Detail&lt;Child&gt;'!$M:$M)</f>
        <v>Forest</v>
      </c>
      <c r="N225" s="1" t="str">
        <f>_xlfn.XLOOKUP(B225,'[2]Detail&lt;Child&gt;'!$B:$B,'[2]Detail&lt;Child&gt;'!$N:$N)</f>
        <v>Supporter</v>
      </c>
      <c r="O225" s="1" t="s">
        <v>140</v>
      </c>
      <c r="P225" s="33">
        <v>0</v>
      </c>
      <c r="Q225" s="68" t="str" cm="1">
        <f t="array" ref="Q225">_xlfn.IFS(R225="Move","Move",R225="NonTargetMove","Move",R225="Static","Stand",R225="None","Stand")</f>
        <v>Move</v>
      </c>
      <c r="R225" s="1" t="s">
        <v>153</v>
      </c>
      <c r="S225" s="1">
        <v>2</v>
      </c>
      <c r="T225" s="2" t="str">
        <f t="shared" si="35"/>
        <v>SignalHit</v>
      </c>
      <c r="U225" s="2" t="str" cm="1">
        <f t="array" ref="U225">_xlfn.IFS(T225="SignalHIt","TurnEnd",T225="AttackBegin","TurnEnd",T225="AttackEnd","TurnEnd",T225="Immediately","Applied",T225="None","None")</f>
        <v>TurnEnd</v>
      </c>
      <c r="V225" s="2">
        <v>0</v>
      </c>
      <c r="W225" s="1">
        <v>2000014</v>
      </c>
      <c r="X225" s="8">
        <f t="shared" si="44"/>
        <v>33046131</v>
      </c>
      <c r="Y225" s="1" t="str">
        <f t="shared" si="36"/>
        <v>Immediately</v>
      </c>
      <c r="Z225" s="2" t="str" cm="1">
        <f t="array" ref="Z225">_xlfn.IFS(Y225="SignalHIt","TurnEnd",Y225="AttackBegin","TurnEnd",Y225="AttackEnd","TurnEnd",Y225="Immediately","Applied",Y225="None","None")</f>
        <v>Applied</v>
      </c>
      <c r="AA225" s="2">
        <v>0</v>
      </c>
      <c r="AB225" s="1">
        <v>0</v>
      </c>
      <c r="AC225" s="8">
        <v>0</v>
      </c>
      <c r="AD225" s="2" t="str">
        <f t="shared" si="37"/>
        <v>Immediately</v>
      </c>
      <c r="AE225" s="2" t="str" cm="1">
        <f t="array" ref="AE225">_xlfn.IFS(AD225="SignalHIt","TurnEnd",AD225="AttackBegin","TurnEnd",AD225="AttackEnd","TurnEnd",AD225="Immediately","Applied",AD225="None","None")</f>
        <v>Applied</v>
      </c>
      <c r="AF225" s="2">
        <v>0</v>
      </c>
      <c r="AG225" s="1">
        <v>0</v>
      </c>
      <c r="AH225" s="8">
        <v>0</v>
      </c>
      <c r="AI225" s="2" t="str">
        <f t="shared" si="38"/>
        <v>Immediately</v>
      </c>
      <c r="AJ225" s="2" t="str" cm="1">
        <f t="array" ref="AJ225">_xlfn.IFS(AI225="SignalHIt","TurnEnd",AI225="AttackBegin","TurnEnd",AI225="AttackEnd","TurnEnd",AI225="Immediately","Applied",AI225="None","None")</f>
        <v>Applied</v>
      </c>
      <c r="AK225" s="2">
        <v>0</v>
      </c>
      <c r="AL225" s="1">
        <v>0</v>
      </c>
      <c r="AM225" s="48">
        <v>0</v>
      </c>
      <c r="AN225" s="45" t="str">
        <f>IFERROR(_xlfn.XLOOKUP(W225,Target!$A:$A,Target!$B:$B),"None")</f>
        <v>가까운 적 1명 2행</v>
      </c>
      <c r="AO225" s="43" t="str">
        <f>IFERROR(_xlfn.XLOOKUP($X225,'BuffValue&lt;Child&gt;'!$A:$A,'BuffValue&lt;Child&gt;'!$F:$F),"None")</f>
        <v>얼티밋 대미지</v>
      </c>
      <c r="AP225" s="43">
        <f>IFERROR(_xlfn.XLOOKUP($X225,'BuffValue&lt;Child&gt;'!$A:$A,'BuffValue&lt;Child&gt;'!$K:$K),0)</f>
        <v>320000</v>
      </c>
      <c r="AQ225" s="43" t="str">
        <f>IFERROR(_xlfn.XLOOKUP(AB225,Target!$A:$A,Target!$B:$B),"None")</f>
        <v>None</v>
      </c>
      <c r="AR225" s="45" t="str">
        <f>IFERROR(_xlfn.XLOOKUP($AC225,'BuffValue&lt;Child&gt;'!$A:$A,'BuffValue&lt;Child&gt;'!$F:$F),"None")</f>
        <v>None</v>
      </c>
      <c r="AS225" s="45">
        <f>IFERROR(_xlfn.XLOOKUP($AC225,'BuffValue&lt;Child&gt;'!$A:$A,'BuffValue&lt;Child&gt;'!$K:$K),0)</f>
        <v>0</v>
      </c>
      <c r="AT225" s="43" t="str">
        <f>IFERROR(_xlfn.XLOOKUP(AG225,Target!$A:$A,Target!$B:$B),"None")</f>
        <v>None</v>
      </c>
      <c r="AU225" s="43" t="str">
        <f>IFERROR(_xlfn.XLOOKUP($AH225,'BuffValue&lt;Child&gt;'!$A:$A,'BuffValue&lt;Child&gt;'!$F:$F),"None")</f>
        <v>None</v>
      </c>
      <c r="AV225" s="43">
        <f>IFERROR(_xlfn.XLOOKUP($AH225,'BuffValue&lt;Child&gt;'!$A:$A,'BuffValue&lt;Child&gt;'!$K:$K),0)</f>
        <v>0</v>
      </c>
      <c r="AW225" s="43" t="str">
        <f>IFERROR(_xlfn.XLOOKUP(AL225,Target!$A:$A,Target!$B:$B),"None")</f>
        <v>None</v>
      </c>
      <c r="AX225" s="43" t="str">
        <f>IFERROR(_xlfn.XLOOKUP($AM225,'BuffValue&lt;Child&gt;'!$A:$A,'BuffValue&lt;Child&gt;'!$F:$F),"None")</f>
        <v>None</v>
      </c>
      <c r="AY225" s="43">
        <f>IFERROR(_xlfn.XLOOKUP($AM225,#REF!,#REF!),0)</f>
        <v>0</v>
      </c>
    </row>
    <row r="226" spans="1:51" x14ac:dyDescent="0.3">
      <c r="A226" s="1">
        <f>INT(4&amp;MID(_xlfn.XLOOKUP(B226,[2]Timeline!$B:$B,[2]Timeline!$A:$A),2,5)&amp;1)</f>
        <v>4304611</v>
      </c>
      <c r="B226" s="7" t="s">
        <v>607</v>
      </c>
      <c r="C226" s="7" t="s">
        <v>122</v>
      </c>
      <c r="D226" s="7" t="s">
        <v>347</v>
      </c>
      <c r="E226" s="1" t="str">
        <f t="shared" si="43"/>
        <v>skill_name_4304611</v>
      </c>
      <c r="F226" s="1" t="s">
        <v>117</v>
      </c>
      <c r="G226" s="1" t="s">
        <v>601</v>
      </c>
      <c r="H226" s="1" t="str">
        <f t="shared" si="34"/>
        <v>skill_desc_4304611</v>
      </c>
      <c r="I226" s="1" t="s">
        <v>205</v>
      </c>
      <c r="J226" s="1" t="str">
        <f>IFERROR(_xlfn.XLOOKUP(W226,Target!A:A,Target!J:J),"")</f>
        <v>Skill_Target_Icon_Mine</v>
      </c>
      <c r="K226" s="1" t="s">
        <v>205</v>
      </c>
      <c r="L226" s="1" t="str">
        <f>IFERROR(_xlfn.XLOOKUP(W226,Target!A:A,Target!K:K),"")</f>
        <v>Skill_Area_Icon_Pivot_Centor</v>
      </c>
      <c r="M226" s="1" t="str">
        <f>_xlfn.XLOOKUP(B226,'[2]Detail&lt;Child&gt;'!$B:$B,'[2]Detail&lt;Child&gt;'!$M:$M)</f>
        <v>Forest</v>
      </c>
      <c r="N226" s="1" t="str">
        <f>_xlfn.XLOOKUP(B226,'[2]Detail&lt;Child&gt;'!$B:$B,'[2]Detail&lt;Child&gt;'!$N:$N)</f>
        <v>Supporter</v>
      </c>
      <c r="O226" s="1" t="s">
        <v>167</v>
      </c>
      <c r="P226" s="33">
        <v>0</v>
      </c>
      <c r="Q226" s="68" t="str" cm="1">
        <f t="array" ref="Q226">_xlfn.IFS(R226="Move","Move",R226="NonTargetMove","Move",R226="Static","Stand",R226="None","Stand")</f>
        <v>Stand</v>
      </c>
      <c r="R226" s="1" t="s">
        <v>136</v>
      </c>
      <c r="S226" s="1">
        <f>IF(R226="Static",0,1)</f>
        <v>0</v>
      </c>
      <c r="T226" s="2" t="str">
        <f t="shared" si="35"/>
        <v>Immediately</v>
      </c>
      <c r="U226" s="2" t="str" cm="1">
        <f t="array" ref="U226">_xlfn.IFS(T226="SignalHIt","TurnEnd",T226="AttackBegin","TurnEnd",T226="AttackEnd","TurnEnd",T226="Immediately","Applied",T226="None","None")</f>
        <v>Applied</v>
      </c>
      <c r="V226" s="2">
        <v>0</v>
      </c>
      <c r="W226" s="1">
        <v>1</v>
      </c>
      <c r="X226" s="8">
        <f t="shared" si="44"/>
        <v>43046111</v>
      </c>
      <c r="Y226" s="1" t="str">
        <f t="shared" si="36"/>
        <v>Immediately</v>
      </c>
      <c r="Z226" s="2" t="str" cm="1">
        <f t="array" ref="Z226">_xlfn.IFS(Y226="SignalHIt","TurnEnd",Y226="AttackBegin","TurnEnd",Y226="AttackEnd","TurnEnd",Y226="Immediately","Applied",Y226="None","None")</f>
        <v>Applied</v>
      </c>
      <c r="AA226" s="2">
        <v>0</v>
      </c>
      <c r="AB226" s="1">
        <v>0</v>
      </c>
      <c r="AC226" s="8">
        <v>0</v>
      </c>
      <c r="AD226" s="2" t="str">
        <f t="shared" si="37"/>
        <v>Immediately</v>
      </c>
      <c r="AE226" s="2" t="str" cm="1">
        <f t="array" ref="AE226">_xlfn.IFS(AD226="SignalHIt","TurnEnd",AD226="AttackBegin","TurnEnd",AD226="AttackEnd","TurnEnd",AD226="Immediately","Applied",AD226="None","None")</f>
        <v>Applied</v>
      </c>
      <c r="AF226" s="2">
        <v>0</v>
      </c>
      <c r="AG226" s="1">
        <v>0</v>
      </c>
      <c r="AH226" s="8">
        <v>0</v>
      </c>
      <c r="AI226" s="2" t="str">
        <f t="shared" si="38"/>
        <v>Immediately</v>
      </c>
      <c r="AJ226" s="2" t="str" cm="1">
        <f t="array" ref="AJ226">_xlfn.IFS(AI226="SignalHIt","TurnEnd",AI226="AttackBegin","TurnEnd",AI226="AttackEnd","TurnEnd",AI226="Immediately","Applied",AI226="None","None")</f>
        <v>Applied</v>
      </c>
      <c r="AK226" s="2">
        <v>0</v>
      </c>
      <c r="AL226" s="8">
        <v>0</v>
      </c>
      <c r="AM226" s="48">
        <v>0</v>
      </c>
      <c r="AN226" s="45" t="str">
        <f>IFERROR(_xlfn.XLOOKUP(W226,Target!$A:$A,Target!$B:$B),"None")</f>
        <v xml:space="preserve"> 자신 1명 </v>
      </c>
      <c r="AO226" s="43" t="str">
        <f>IFERROR(_xlfn.XLOOKUP($X226,'BuffValue&lt;Child&gt;'!$A:$A,'BuffValue&lt;Child&gt;'!$F:$F),"None")</f>
        <v>힐드 패시브 버프당 치명타 확률 증가</v>
      </c>
      <c r="AP226" s="43">
        <f>IFERROR(_xlfn.XLOOKUP($X226,'BuffValue&lt;Child&gt;'!$A:$A,'BuffValue&lt;Child&gt;'!$K:$K),0)</f>
        <v>5000</v>
      </c>
      <c r="AQ226" s="43" t="str">
        <f>IFERROR(_xlfn.XLOOKUP(AB226,Target!$A:$A,Target!$B:$B),"None")</f>
        <v>None</v>
      </c>
      <c r="AR226" s="45" t="str">
        <f>IFERROR(_xlfn.XLOOKUP($AC226,'BuffValue&lt;Child&gt;'!$A:$A,'BuffValue&lt;Child&gt;'!$F:$F),"None")</f>
        <v>None</v>
      </c>
      <c r="AS226" s="45">
        <f>IFERROR(_xlfn.XLOOKUP($AC226,'BuffValue&lt;Child&gt;'!$A:$A,'BuffValue&lt;Child&gt;'!$K:$K),0)</f>
        <v>0</v>
      </c>
      <c r="AT226" s="43" t="str">
        <f>IFERROR(_xlfn.XLOOKUP(AG226,Target!$A:$A,Target!$B:$B),"None")</f>
        <v>None</v>
      </c>
      <c r="AU226" s="43" t="str">
        <f>IFERROR(_xlfn.XLOOKUP($AH226,'BuffValue&lt;Child&gt;'!$A:$A,'BuffValue&lt;Child&gt;'!$F:$F),"None")</f>
        <v>None</v>
      </c>
      <c r="AV226" s="43">
        <f>IFERROR(_xlfn.XLOOKUP($AH226,'BuffValue&lt;Child&gt;'!$A:$A,'BuffValue&lt;Child&gt;'!$K:$K),0)</f>
        <v>0</v>
      </c>
      <c r="AW226" s="43" t="str">
        <f>IFERROR(_xlfn.XLOOKUP(AL226,Target!$A:$A,Target!$B:$B),"None")</f>
        <v>None</v>
      </c>
      <c r="AX226" s="43" t="str">
        <f>IFERROR(_xlfn.XLOOKUP($AM226,'BuffValue&lt;Child&gt;'!$A:$A,'BuffValue&lt;Child&gt;'!$F:$F),"None")</f>
        <v>None</v>
      </c>
      <c r="AY226" s="43">
        <f>IFERROR(_xlfn.XLOOKUP($AM226,#REF!,#REF!),0)</f>
        <v>0</v>
      </c>
    </row>
    <row r="227" spans="1:51" x14ac:dyDescent="0.3">
      <c r="A227" s="1">
        <f>INT(4&amp;MID(_xlfn.XLOOKUP(B227,[2]Timeline!$B:$B,[2]Timeline!$A:$A),2,5)&amp;2)</f>
        <v>4304612</v>
      </c>
      <c r="B227" s="7" t="s">
        <v>607</v>
      </c>
      <c r="C227" s="7" t="s">
        <v>122</v>
      </c>
      <c r="D227" s="7" t="s">
        <v>347</v>
      </c>
      <c r="E227" s="1" t="str">
        <f t="shared" si="43"/>
        <v>skill_name_4304612</v>
      </c>
      <c r="F227" s="1" t="s">
        <v>117</v>
      </c>
      <c r="G227" s="1" t="s">
        <v>601</v>
      </c>
      <c r="H227" s="1" t="str">
        <f t="shared" si="34"/>
        <v>skill_desc_4304612</v>
      </c>
      <c r="I227" s="1" t="s">
        <v>205</v>
      </c>
      <c r="J227" s="1" t="str">
        <f>IFERROR(_xlfn.XLOOKUP(W227,Target!A:A,Target!J:J),"")</f>
        <v>Skill_Target_Icon_Mine</v>
      </c>
      <c r="K227" s="1" t="s">
        <v>205</v>
      </c>
      <c r="L227" s="1" t="str">
        <f>IFERROR(_xlfn.XLOOKUP(W227,Target!A:A,Target!K:K),"")</f>
        <v>Skill_Area_Icon_Pivot_Centor</v>
      </c>
      <c r="M227" s="1" t="str">
        <f>_xlfn.XLOOKUP(B227,'[2]Detail&lt;Child&gt;'!$B:$B,'[2]Detail&lt;Child&gt;'!$M:$M)</f>
        <v>Forest</v>
      </c>
      <c r="N227" s="1" t="str">
        <f>_xlfn.XLOOKUP(B227,'[2]Detail&lt;Child&gt;'!$B:$B,'[2]Detail&lt;Child&gt;'!$N:$N)</f>
        <v>Supporter</v>
      </c>
      <c r="O227" s="1" t="s">
        <v>167</v>
      </c>
      <c r="P227" s="33">
        <v>0</v>
      </c>
      <c r="Q227" s="68" t="str" cm="1">
        <f t="array" ref="Q227">_xlfn.IFS(R227="Move","Move",R227="NonTargetMove","Move",R227="Static","Stand",R227="None","Stand")</f>
        <v>Stand</v>
      </c>
      <c r="R227" s="1" t="s">
        <v>136</v>
      </c>
      <c r="S227" s="1">
        <f>IF(R227="Static",0,1)</f>
        <v>0</v>
      </c>
      <c r="T227" s="2" t="str">
        <f t="shared" si="35"/>
        <v>Immediately</v>
      </c>
      <c r="U227" s="2" t="str" cm="1">
        <f t="array" ref="U227">_xlfn.IFS(T227="SignalHIt","TurnEnd",T227="AttackBegin","TurnEnd",T227="AttackEnd","TurnEnd",T227="Immediately","Applied",T227="None","None")</f>
        <v>Applied</v>
      </c>
      <c r="V227" s="2">
        <v>0</v>
      </c>
      <c r="W227" s="1">
        <v>1</v>
      </c>
      <c r="X227" s="8">
        <f t="shared" si="44"/>
        <v>43046121</v>
      </c>
      <c r="Y227" s="1" t="str">
        <f t="shared" si="36"/>
        <v>Immediately</v>
      </c>
      <c r="Z227" s="2" t="str" cm="1">
        <f t="array" ref="Z227">_xlfn.IFS(Y227="SignalHIt","TurnEnd",Y227="AttackBegin","TurnEnd",Y227="AttackEnd","TurnEnd",Y227="Immediately","Applied",Y227="None","None")</f>
        <v>Applied</v>
      </c>
      <c r="AA227" s="2">
        <v>0</v>
      </c>
      <c r="AB227" s="1">
        <v>0</v>
      </c>
      <c r="AC227" s="8">
        <v>0</v>
      </c>
      <c r="AD227" s="2" t="str">
        <f t="shared" si="37"/>
        <v>Immediately</v>
      </c>
      <c r="AE227" s="2" t="str" cm="1">
        <f t="array" ref="AE227">_xlfn.IFS(AD227="SignalHIt","TurnEnd",AD227="AttackBegin","TurnEnd",AD227="AttackEnd","TurnEnd",AD227="Immediately","Applied",AD227="None","None")</f>
        <v>Applied</v>
      </c>
      <c r="AF227" s="2">
        <v>0</v>
      </c>
      <c r="AG227" s="1">
        <v>0</v>
      </c>
      <c r="AH227" s="8">
        <v>0</v>
      </c>
      <c r="AI227" s="2" t="str">
        <f t="shared" si="38"/>
        <v>Immediately</v>
      </c>
      <c r="AJ227" s="2" t="str" cm="1">
        <f t="array" ref="AJ227">_xlfn.IFS(AI227="SignalHIt","TurnEnd",AI227="AttackBegin","TurnEnd",AI227="AttackEnd","TurnEnd",AI227="Immediately","Applied",AI227="None","None")</f>
        <v>Applied</v>
      </c>
      <c r="AK227" s="2">
        <v>0</v>
      </c>
      <c r="AL227" s="8">
        <v>0</v>
      </c>
      <c r="AM227" s="48">
        <v>0</v>
      </c>
      <c r="AN227" s="45" t="str">
        <f>IFERROR(_xlfn.XLOOKUP(W227,Target!$A:$A,Target!$B:$B),"None")</f>
        <v xml:space="preserve"> 자신 1명 </v>
      </c>
      <c r="AO227" s="43" t="str">
        <f>IFERROR(_xlfn.XLOOKUP($X227,'BuffValue&lt;Child&gt;'!$A:$A,'BuffValue&lt;Child&gt;'!$F:$F),"None")</f>
        <v>힐드 패시브 버프당 치명타 확률 증가</v>
      </c>
      <c r="AP227" s="43">
        <f>IFERROR(_xlfn.XLOOKUP($X227,'BuffValue&lt;Child&gt;'!$A:$A,'BuffValue&lt;Child&gt;'!$K:$K),0)</f>
        <v>5000</v>
      </c>
      <c r="AQ227" s="43" t="str">
        <f>IFERROR(_xlfn.XLOOKUP(AB227,Target!$A:$A,Target!$B:$B),"None")</f>
        <v>None</v>
      </c>
      <c r="AR227" s="45" t="str">
        <f>IFERROR(_xlfn.XLOOKUP($AC227,'BuffValue&lt;Child&gt;'!$A:$A,'BuffValue&lt;Child&gt;'!$F:$F),"None")</f>
        <v>None</v>
      </c>
      <c r="AS227" s="45">
        <f>IFERROR(_xlfn.XLOOKUP($AC227,'BuffValue&lt;Child&gt;'!$A:$A,'BuffValue&lt;Child&gt;'!$K:$K),0)</f>
        <v>0</v>
      </c>
      <c r="AT227" s="43" t="str">
        <f>IFERROR(_xlfn.XLOOKUP(AG227,Target!$A:$A,Target!$B:$B),"None")</f>
        <v>None</v>
      </c>
      <c r="AU227" s="43" t="str">
        <f>IFERROR(_xlfn.XLOOKUP($AH227,'BuffValue&lt;Child&gt;'!$A:$A,'BuffValue&lt;Child&gt;'!$F:$F),"None")</f>
        <v>None</v>
      </c>
      <c r="AV227" s="43">
        <f>IFERROR(_xlfn.XLOOKUP($AH227,'BuffValue&lt;Child&gt;'!$A:$A,'BuffValue&lt;Child&gt;'!$K:$K),0)</f>
        <v>0</v>
      </c>
      <c r="AW227" s="43" t="str">
        <f>IFERROR(_xlfn.XLOOKUP(AL227,Target!$A:$A,Target!$B:$B),"None")</f>
        <v>None</v>
      </c>
      <c r="AX227" s="43" t="str">
        <f>IFERROR(_xlfn.XLOOKUP($AM227,'BuffValue&lt;Child&gt;'!$A:$A,'BuffValue&lt;Child&gt;'!$F:$F),"None")</f>
        <v>None</v>
      </c>
      <c r="AY227" s="43">
        <f>IFERROR(_xlfn.XLOOKUP($AM227,#REF!,#REF!),0)</f>
        <v>0</v>
      </c>
    </row>
    <row r="228" spans="1:51" s="11" customFormat="1" x14ac:dyDescent="0.3">
      <c r="A228" s="11">
        <f>INT(1&amp;MID(_xlfn.XLOOKUP(B228,[2]Timeline!$B:$B,[2]Timeline!$A:$A),2,5)&amp;1)</f>
        <v>1302831</v>
      </c>
      <c r="B228" s="12" t="s">
        <v>615</v>
      </c>
      <c r="C228" s="12" t="s">
        <v>618</v>
      </c>
      <c r="D228" s="12" t="s">
        <v>544</v>
      </c>
      <c r="E228" s="11" t="str">
        <f t="shared" ref="E228:E235" si="45">"skill_name_"&amp;A228</f>
        <v>skill_name_1302831</v>
      </c>
      <c r="F228" s="11" t="s">
        <v>117</v>
      </c>
      <c r="G228" s="11" t="s">
        <v>598</v>
      </c>
      <c r="H228" s="11" t="str">
        <f t="shared" si="34"/>
        <v>skill_desc_1302831</v>
      </c>
      <c r="I228" s="11" t="s">
        <v>205</v>
      </c>
      <c r="J228" s="11" t="str">
        <f>IFERROR(_xlfn.XLOOKUP(W228,Target!A:A,Target!J:J),"")</f>
        <v>Skill_Target_Icon_Enemy_Near_One</v>
      </c>
      <c r="K228" s="11" t="s">
        <v>205</v>
      </c>
      <c r="L228" s="11" t="str">
        <f>IFERROR(_xlfn.XLOOKUP(W228,Target!A:A,Target!K:K),"")</f>
        <v>Skill_Area_Icon_Pivot_Centor</v>
      </c>
      <c r="M228" s="11" t="str">
        <f>_xlfn.XLOOKUP(B228,'[2]Detail&lt;Child&gt;'!$B:$B,'[2]Detail&lt;Child&gt;'!$M:$M)</f>
        <v>Fire</v>
      </c>
      <c r="N228" s="11" t="str">
        <f>_xlfn.XLOOKUP(B228,'[2]Detail&lt;Child&gt;'!$B:$B,'[2]Detail&lt;Child&gt;'!$N:$N)</f>
        <v>Attacker</v>
      </c>
      <c r="O228" s="11" t="s">
        <v>30</v>
      </c>
      <c r="P228" s="34">
        <v>0</v>
      </c>
      <c r="Q228" s="69" t="s">
        <v>499</v>
      </c>
      <c r="R228" s="11" t="s">
        <v>137</v>
      </c>
      <c r="S228" s="11">
        <v>2</v>
      </c>
      <c r="T228" s="15" t="str">
        <f t="shared" ref="T228:T235" si="46">IF(X228=0,"Immediately",IF($O228="Passive","Immediately",IF(W228=0,"None","SignalHit")))</f>
        <v>SignalHit</v>
      </c>
      <c r="U228" s="15" t="str" cm="1">
        <f t="array" ref="U228">_xlfn.IFS(T228="SignalHIt","TurnEnd",T228="AttackBegin","TurnEnd",T228="AttackEnd","TurnEnd",T228="Immediately","Applied",T228="None","None")</f>
        <v>TurnEnd</v>
      </c>
      <c r="V228" s="15">
        <v>0</v>
      </c>
      <c r="W228" s="11">
        <v>2000011</v>
      </c>
      <c r="X228" s="10">
        <f>INT(A228&amp;1)</f>
        <v>13028311</v>
      </c>
      <c r="Y228" s="11" t="str">
        <f t="shared" ref="Y228:Y235" si="47">IF($O228="Passive","Immediately",IF(AB228=0,"Immediately","AttackBegin"))</f>
        <v>Immediately</v>
      </c>
      <c r="Z228" s="15" t="str" cm="1">
        <f t="array" ref="Z228">_xlfn.IFS(Y228="SignalHIt","TurnEnd",Y228="AttackBegin","TurnEnd",Y228="AttackEnd","TurnEnd",Y228="Immediately","Applied",Y228="None","None")</f>
        <v>Applied</v>
      </c>
      <c r="AA228" s="15">
        <v>0</v>
      </c>
      <c r="AB228" s="11">
        <v>0</v>
      </c>
      <c r="AC228" s="10">
        <v>0</v>
      </c>
      <c r="AD228" s="15" t="str">
        <f t="shared" ref="AD228:AD235" si="48">IF($O228="Passive","Immediately",IF(AG228=0,"Immediately","AttackEnd"))</f>
        <v>Immediately</v>
      </c>
      <c r="AE228" s="15" t="str" cm="1">
        <f t="array" ref="AE228">_xlfn.IFS(AD228="SignalHIt","TurnEnd",AD228="AttackBegin","TurnEnd",AD228="AttackEnd","TurnEnd",AD228="Immediately","Applied",AD228="None","None")</f>
        <v>Applied</v>
      </c>
      <c r="AF228" s="15">
        <v>0</v>
      </c>
      <c r="AG228" s="11">
        <v>0</v>
      </c>
      <c r="AH228" s="10">
        <v>0</v>
      </c>
      <c r="AI228" s="15" t="str">
        <f t="shared" ref="AI228:AI235" si="49">IF($O228="Passive","Immediately",IF(AL228=0,"Immediately","AttackEnd"))</f>
        <v>Immediately</v>
      </c>
      <c r="AJ228" s="15" t="str" cm="1">
        <f t="array" ref="AJ228">_xlfn.IFS(AI228="SignalHIt","TurnEnd",AI228="AttackBegin","TurnEnd",AI228="AttackEnd","TurnEnd",AI228="Immediately","Applied",AI228="None","None")</f>
        <v>Applied</v>
      </c>
      <c r="AK228" s="15">
        <v>0</v>
      </c>
      <c r="AL228" s="10">
        <v>0</v>
      </c>
      <c r="AM228" s="50">
        <v>0</v>
      </c>
      <c r="AN228" s="46" t="str">
        <f>IFERROR(_xlfn.XLOOKUP(W228,Target!$A:$A,Target!$B:$B),"None")</f>
        <v xml:space="preserve">가까운 적 1명 </v>
      </c>
      <c r="AO228" s="47" t="str">
        <f>IFERROR(_xlfn.XLOOKUP($X228,'BuffValue&lt;Child&gt;'!$A:$A,'BuffValue&lt;Child&gt;'!$F:$F),"None")</f>
        <v>공용 대미지</v>
      </c>
      <c r="AP228" s="47">
        <f>IFERROR(_xlfn.XLOOKUP($X228,'BuffValue&lt;Child&gt;'!$A:$A,'BuffValue&lt;Child&gt;'!$K:$K),0)</f>
        <v>150000</v>
      </c>
      <c r="AQ228" s="47" t="str">
        <f>IFERROR(_xlfn.XLOOKUP(AB228,Target!$A:$A,Target!$B:$B),"None")</f>
        <v>None</v>
      </c>
      <c r="AR228" s="46" t="str">
        <f>IFERROR(_xlfn.XLOOKUP($AC228,'BuffValue&lt;Child&gt;'!$A:$A,'BuffValue&lt;Child&gt;'!$F:$F),"None")</f>
        <v>None</v>
      </c>
      <c r="AS228" s="46">
        <f>IFERROR(_xlfn.XLOOKUP($AC228,'BuffValue&lt;Child&gt;'!$A:$A,'BuffValue&lt;Child&gt;'!$K:$K),0)</f>
        <v>0</v>
      </c>
      <c r="AT228" s="47" t="str">
        <f>IFERROR(_xlfn.XLOOKUP(AG228,Target!$A:$A,Target!$B:$B),"None")</f>
        <v>None</v>
      </c>
      <c r="AU228" s="47" t="str">
        <f>IFERROR(_xlfn.XLOOKUP($AH228,'BuffValue&lt;Child&gt;'!$A:$A,'BuffValue&lt;Child&gt;'!$F:$F),"None")</f>
        <v>None</v>
      </c>
      <c r="AV228" s="47">
        <f>IFERROR(_xlfn.XLOOKUP($AH228,'BuffValue&lt;Child&gt;'!$A:$A,'BuffValue&lt;Child&gt;'!$K:$K),0)</f>
        <v>0</v>
      </c>
      <c r="AW228" s="47" t="str">
        <f>IFERROR(_xlfn.XLOOKUP(AL228,Target!$A:$A,Target!$B:$B),"None")</f>
        <v>None</v>
      </c>
      <c r="AX228" s="47" t="str">
        <f>IFERROR(_xlfn.XLOOKUP($AM228,'BuffValue&lt;Child&gt;'!$A:$A,'BuffValue&lt;Child&gt;'!$F:$F),"None")</f>
        <v>None</v>
      </c>
      <c r="AY228" s="47">
        <f>IFERROR(_xlfn.XLOOKUP($AM228,#REF!,#REF!),0)</f>
        <v>0</v>
      </c>
    </row>
    <row r="229" spans="1:51" x14ac:dyDescent="0.3">
      <c r="A229" s="1">
        <f>INT(2&amp;MID(_xlfn.XLOOKUP(B229,[2]Timeline!$B:$B,[2]Timeline!$A:$A),2,5)&amp;1)</f>
        <v>2302831</v>
      </c>
      <c r="B229" s="7" t="s">
        <v>614</v>
      </c>
      <c r="C229" s="7" t="s">
        <v>616</v>
      </c>
      <c r="D229" s="7" t="s">
        <v>572</v>
      </c>
      <c r="E229" s="1" t="str">
        <f t="shared" si="45"/>
        <v>skill_name_2302831</v>
      </c>
      <c r="F229" s="1" t="s">
        <v>117</v>
      </c>
      <c r="G229" s="1" t="s">
        <v>599</v>
      </c>
      <c r="H229" s="1" t="str">
        <f t="shared" si="34"/>
        <v>skill_desc_2302831</v>
      </c>
      <c r="I229" s="1" t="s">
        <v>205</v>
      </c>
      <c r="J229" s="1" t="str">
        <f>IFERROR(_xlfn.XLOOKUP(W229,Target!A:A,Target!J:J),"")</f>
        <v>Skill_Target_Icon_Enemy_Near_One</v>
      </c>
      <c r="K229" s="1" t="s">
        <v>205</v>
      </c>
      <c r="L229" s="1" t="str">
        <f>IFERROR(_xlfn.XLOOKUP(W229,Target!A:A,Target!K:K),"")</f>
        <v>Skill_Area_Icon_Pivot_Centor</v>
      </c>
      <c r="M229" s="1" t="str">
        <f>_xlfn.XLOOKUP(B229,'[2]Detail&lt;Child&gt;'!$B:$B,'[2]Detail&lt;Child&gt;'!$M:$M)</f>
        <v>Fire</v>
      </c>
      <c r="N229" s="1" t="str">
        <f>_xlfn.XLOOKUP(B229,'[2]Detail&lt;Child&gt;'!$B:$B,'[2]Detail&lt;Child&gt;'!$N:$N)</f>
        <v>Attacker</v>
      </c>
      <c r="O229" s="1" t="s">
        <v>33</v>
      </c>
      <c r="P229" s="33">
        <v>3</v>
      </c>
      <c r="Q229" s="68" t="str" cm="1">
        <f t="array" ref="Q229">_xlfn.IFS(R229="Move","Move",R229="NonTargetMove","Move",R229="Static","Stand",R229="None","Stand")</f>
        <v>Move</v>
      </c>
      <c r="R229" s="1" t="s">
        <v>144</v>
      </c>
      <c r="S229" s="1">
        <v>2</v>
      </c>
      <c r="T229" s="2" t="str">
        <f t="shared" si="46"/>
        <v>SignalHit</v>
      </c>
      <c r="U229" s="2" t="str" cm="1">
        <f t="array" ref="U229">_xlfn.IFS(T229="SignalHIt","TurnEnd",T229="AttackBegin","TurnEnd",T229="AttackEnd","TurnEnd",T229="Immediately","Applied",T229="None","None")</f>
        <v>TurnEnd</v>
      </c>
      <c r="V229" s="2">
        <v>0</v>
      </c>
      <c r="W229" s="1">
        <v>2000011</v>
      </c>
      <c r="X229" s="8">
        <f t="shared" ref="X229:X235" si="50">INT(A229&amp;1)</f>
        <v>23028311</v>
      </c>
      <c r="Y229" s="1" t="str">
        <f t="shared" si="47"/>
        <v>Immediately</v>
      </c>
      <c r="Z229" s="2" t="str" cm="1">
        <f t="array" ref="Z229">_xlfn.IFS(Y229="SignalHIt","TurnEnd",Y229="AttackBegin","TurnEnd",Y229="AttackEnd","TurnEnd",Y229="Immediately","Applied",Y229="None","None")</f>
        <v>Applied</v>
      </c>
      <c r="AA229" s="2">
        <v>0</v>
      </c>
      <c r="AB229" s="1">
        <v>0</v>
      </c>
      <c r="AC229" s="8">
        <v>0</v>
      </c>
      <c r="AD229" s="2" t="str">
        <f t="shared" si="48"/>
        <v>Immediately</v>
      </c>
      <c r="AE229" s="2" t="str" cm="1">
        <f t="array" ref="AE229">_xlfn.IFS(AD229="SignalHIt","TurnEnd",AD229="AttackBegin","TurnEnd",AD229="AttackEnd","TurnEnd",AD229="Immediately","Applied",AD229="None","None")</f>
        <v>Applied</v>
      </c>
      <c r="AF229" s="2">
        <v>0</v>
      </c>
      <c r="AG229" s="1">
        <v>0</v>
      </c>
      <c r="AH229" s="8">
        <v>0</v>
      </c>
      <c r="AI229" s="2" t="str">
        <f t="shared" si="49"/>
        <v>Immediately</v>
      </c>
      <c r="AJ229" s="2" t="str" cm="1">
        <f t="array" ref="AJ229">_xlfn.IFS(AI229="SignalHIt","TurnEnd",AI229="AttackBegin","TurnEnd",AI229="AttackEnd","TurnEnd",AI229="Immediately","Applied",AI229="None","None")</f>
        <v>Applied</v>
      </c>
      <c r="AK229" s="2">
        <v>0</v>
      </c>
      <c r="AL229" s="8">
        <v>0</v>
      </c>
      <c r="AM229" s="48">
        <v>0</v>
      </c>
      <c r="AN229" s="45" t="str">
        <f>IFERROR(_xlfn.XLOOKUP(W229,Target!$A:$A,Target!$B:$B),"None")</f>
        <v xml:space="preserve">가까운 적 1명 </v>
      </c>
      <c r="AO229" s="43" t="str">
        <f>IFERROR(_xlfn.XLOOKUP($X229,'BuffValue&lt;Child&gt;'!$A:$A,'BuffValue&lt;Child&gt;'!$F:$F),"None")</f>
        <v>액티브 대미지</v>
      </c>
      <c r="AP229" s="43">
        <f>IFERROR(_xlfn.XLOOKUP($X229,'BuffValue&lt;Child&gt;'!$A:$A,'BuffValue&lt;Child&gt;'!$K:$K),0)</f>
        <v>40000</v>
      </c>
      <c r="AQ229" s="43" t="str">
        <f>IFERROR(_xlfn.XLOOKUP(AB229,Target!$A:$A,Target!$B:$B),"None")</f>
        <v>None</v>
      </c>
      <c r="AR229" s="45" t="str">
        <f>IFERROR(_xlfn.XLOOKUP($AC229,'BuffValue&lt;Child&gt;'!$A:$A,'BuffValue&lt;Child&gt;'!$F:$F),"None")</f>
        <v>None</v>
      </c>
      <c r="AS229" s="45">
        <f>IFERROR(_xlfn.XLOOKUP($AC229,'BuffValue&lt;Child&gt;'!$A:$A,'BuffValue&lt;Child&gt;'!$K:$K),0)</f>
        <v>0</v>
      </c>
      <c r="AT229" s="43" t="str">
        <f>IFERROR(_xlfn.XLOOKUP(AG229,Target!$A:$A,Target!$B:$B),"None")</f>
        <v>None</v>
      </c>
      <c r="AU229" s="43" t="str">
        <f>IFERROR(_xlfn.XLOOKUP($AH229,'BuffValue&lt;Child&gt;'!$A:$A,'BuffValue&lt;Child&gt;'!$F:$F),"None")</f>
        <v>None</v>
      </c>
      <c r="AV229" s="43">
        <f>IFERROR(_xlfn.XLOOKUP($AH229,'BuffValue&lt;Child&gt;'!$A:$A,'BuffValue&lt;Child&gt;'!$K:$K),0)</f>
        <v>0</v>
      </c>
      <c r="AW229" s="43" t="str">
        <f>IFERROR(_xlfn.XLOOKUP(AL229,Target!$A:$A,Target!$B:$B),"None")</f>
        <v>None</v>
      </c>
      <c r="AX229" s="43" t="str">
        <f>IFERROR(_xlfn.XLOOKUP($AM229,'BuffValue&lt;Child&gt;'!$A:$A,'BuffValue&lt;Child&gt;'!$F:$F),"None")</f>
        <v>None</v>
      </c>
      <c r="AY229" s="43">
        <f>IFERROR(_xlfn.XLOOKUP($AM229,#REF!,#REF!),0)</f>
        <v>0</v>
      </c>
    </row>
    <row r="230" spans="1:51" x14ac:dyDescent="0.3">
      <c r="A230" s="1">
        <f>INT(2&amp;MID(_xlfn.XLOOKUP(B230,[2]Timeline!$B:$B,[2]Timeline!$A:$A),2,5)&amp;2)</f>
        <v>2302832</v>
      </c>
      <c r="B230" s="7" t="s">
        <v>614</v>
      </c>
      <c r="C230" s="7" t="s">
        <v>616</v>
      </c>
      <c r="D230" s="7" t="s">
        <v>572</v>
      </c>
      <c r="E230" s="1" t="str">
        <f t="shared" si="45"/>
        <v>skill_name_2302832</v>
      </c>
      <c r="F230" s="1" t="s">
        <v>117</v>
      </c>
      <c r="G230" s="1" t="s">
        <v>599</v>
      </c>
      <c r="H230" s="1" t="str">
        <f t="shared" si="34"/>
        <v>skill_desc_2302832</v>
      </c>
      <c r="I230" s="1" t="s">
        <v>205</v>
      </c>
      <c r="J230" s="1" t="str">
        <f>IFERROR(_xlfn.XLOOKUP(W230,Target!A:A,Target!J:J),"")</f>
        <v>Skill_Target_Icon_Enemy_Near_One</v>
      </c>
      <c r="K230" s="1" t="s">
        <v>205</v>
      </c>
      <c r="L230" s="1" t="str">
        <f>IFERROR(_xlfn.XLOOKUP(W230,Target!A:A,Target!K:K),"")</f>
        <v>Skill_Area_Icon_Pivot_Centor</v>
      </c>
      <c r="M230" s="1" t="str">
        <f>_xlfn.XLOOKUP(B230,'[2]Detail&lt;Child&gt;'!$B:$B,'[2]Detail&lt;Child&gt;'!$M:$M)</f>
        <v>Fire</v>
      </c>
      <c r="N230" s="1" t="str">
        <f>_xlfn.XLOOKUP(B230,'[2]Detail&lt;Child&gt;'!$B:$B,'[2]Detail&lt;Child&gt;'!$N:$N)</f>
        <v>Attacker</v>
      </c>
      <c r="O230" s="1" t="s">
        <v>33</v>
      </c>
      <c r="P230" s="33">
        <v>2</v>
      </c>
      <c r="Q230" s="68" t="str" cm="1">
        <f t="array" ref="Q230">_xlfn.IFS(R230="Move","Move",R230="NonTargetMove","Move",R230="Static","Stand",R230="None","Stand")</f>
        <v>Move</v>
      </c>
      <c r="R230" s="1" t="s">
        <v>144</v>
      </c>
      <c r="S230" s="1">
        <v>2</v>
      </c>
      <c r="T230" s="2" t="str">
        <f t="shared" si="46"/>
        <v>SignalHit</v>
      </c>
      <c r="U230" s="2" t="str" cm="1">
        <f t="array" ref="U230">_xlfn.IFS(T230="SignalHIt","TurnEnd",T230="AttackBegin","TurnEnd",T230="AttackEnd","TurnEnd",T230="Immediately","Applied",T230="None","None")</f>
        <v>TurnEnd</v>
      </c>
      <c r="V230" s="2">
        <v>0</v>
      </c>
      <c r="W230" s="1">
        <v>2000011</v>
      </c>
      <c r="X230" s="8">
        <f t="shared" si="50"/>
        <v>23028321</v>
      </c>
      <c r="Y230" s="1" t="str">
        <f t="shared" si="47"/>
        <v>Immediately</v>
      </c>
      <c r="Z230" s="2" t="str" cm="1">
        <f t="array" ref="Z230">_xlfn.IFS(Y230="SignalHIt","TurnEnd",Y230="AttackBegin","TurnEnd",Y230="AttackEnd","TurnEnd",Y230="Immediately","Applied",Y230="None","None")</f>
        <v>Applied</v>
      </c>
      <c r="AA230" s="2">
        <v>0</v>
      </c>
      <c r="AB230" s="1">
        <v>0</v>
      </c>
      <c r="AC230" s="8">
        <v>0</v>
      </c>
      <c r="AD230" s="2" t="str">
        <f t="shared" si="48"/>
        <v>Immediately</v>
      </c>
      <c r="AE230" s="2" t="str" cm="1">
        <f t="array" ref="AE230">_xlfn.IFS(AD230="SignalHIt","TurnEnd",AD230="AttackBegin","TurnEnd",AD230="AttackEnd","TurnEnd",AD230="Immediately","Applied",AD230="None","None")</f>
        <v>Applied</v>
      </c>
      <c r="AF230" s="2">
        <v>0</v>
      </c>
      <c r="AG230" s="1">
        <v>0</v>
      </c>
      <c r="AH230" s="8">
        <v>0</v>
      </c>
      <c r="AI230" s="2" t="str">
        <f t="shared" si="49"/>
        <v>Immediately</v>
      </c>
      <c r="AJ230" s="2" t="str" cm="1">
        <f t="array" ref="AJ230">_xlfn.IFS(AI230="SignalHIt","TurnEnd",AI230="AttackBegin","TurnEnd",AI230="AttackEnd","TurnEnd",AI230="Immediately","Applied",AI230="None","None")</f>
        <v>Applied</v>
      </c>
      <c r="AK230" s="2">
        <v>0</v>
      </c>
      <c r="AL230" s="8">
        <v>0</v>
      </c>
      <c r="AM230" s="48">
        <v>0</v>
      </c>
      <c r="AN230" s="45" t="str">
        <f>IFERROR(_xlfn.XLOOKUP(W230,Target!$A:$A,Target!$B:$B),"None")</f>
        <v xml:space="preserve">가까운 적 1명 </v>
      </c>
      <c r="AO230" s="43" t="str">
        <f>IFERROR(_xlfn.XLOOKUP($X230,'BuffValue&lt;Child&gt;'!$A:$A,'BuffValue&lt;Child&gt;'!$F:$F),"None")</f>
        <v>액티브 대미지</v>
      </c>
      <c r="AP230" s="43">
        <f>IFERROR(_xlfn.XLOOKUP($X230,'BuffValue&lt;Child&gt;'!$A:$A,'BuffValue&lt;Child&gt;'!$K:$K),0)</f>
        <v>40000</v>
      </c>
      <c r="AQ230" s="43" t="str">
        <f>IFERROR(_xlfn.XLOOKUP(AB230,Target!$A:$A,Target!$B:$B),"None")</f>
        <v>None</v>
      </c>
      <c r="AR230" s="45" t="str">
        <f>IFERROR(_xlfn.XLOOKUP($AC230,'BuffValue&lt;Child&gt;'!$A:$A,'BuffValue&lt;Child&gt;'!$F:$F),"None")</f>
        <v>None</v>
      </c>
      <c r="AS230" s="45">
        <f>IFERROR(_xlfn.XLOOKUP($AC230,'BuffValue&lt;Child&gt;'!$A:$A,'BuffValue&lt;Child&gt;'!$K:$K),0)</f>
        <v>0</v>
      </c>
      <c r="AT230" s="43" t="str">
        <f>IFERROR(_xlfn.XLOOKUP(AG230,Target!$A:$A,Target!$B:$B),"None")</f>
        <v>None</v>
      </c>
      <c r="AU230" s="43" t="str">
        <f>IFERROR(_xlfn.XLOOKUP($AH230,'BuffValue&lt;Child&gt;'!$A:$A,'BuffValue&lt;Child&gt;'!$F:$F),"None")</f>
        <v>None</v>
      </c>
      <c r="AV230" s="43">
        <f>IFERROR(_xlfn.XLOOKUP($AH230,'BuffValue&lt;Child&gt;'!$A:$A,'BuffValue&lt;Child&gt;'!$K:$K),0)</f>
        <v>0</v>
      </c>
      <c r="AW230" s="43" t="str">
        <f>IFERROR(_xlfn.XLOOKUP(AL230,Target!$A:$A,Target!$B:$B),"None")</f>
        <v>None</v>
      </c>
      <c r="AX230" s="43" t="str">
        <f>IFERROR(_xlfn.XLOOKUP($AM230,'BuffValue&lt;Child&gt;'!$A:$A,'BuffValue&lt;Child&gt;'!$F:$F),"None")</f>
        <v>None</v>
      </c>
      <c r="AY230" s="43">
        <f>IFERROR(_xlfn.XLOOKUP($AM230,#REF!,#REF!),0)</f>
        <v>0</v>
      </c>
    </row>
    <row r="231" spans="1:51" x14ac:dyDescent="0.3">
      <c r="A231" s="1">
        <f>INT(3&amp;MID(_xlfn.XLOOKUP(B231,[2]Timeline!$B:$B,[2]Timeline!$A:$A),2,5)&amp;1)</f>
        <v>3302831</v>
      </c>
      <c r="B231" s="7" t="s">
        <v>614</v>
      </c>
      <c r="C231" s="7" t="s">
        <v>617</v>
      </c>
      <c r="D231" s="7" t="s">
        <v>516</v>
      </c>
      <c r="E231" s="1" t="str">
        <f t="shared" si="45"/>
        <v>skill_name_3302831</v>
      </c>
      <c r="F231" s="1" t="s">
        <v>117</v>
      </c>
      <c r="G231" s="1" t="s">
        <v>600</v>
      </c>
      <c r="H231" s="1" t="str">
        <f t="shared" si="34"/>
        <v>skill_desc_3302831</v>
      </c>
      <c r="I231" s="1" t="s">
        <v>205</v>
      </c>
      <c r="J231" s="1" t="str">
        <f>IFERROR(_xlfn.XLOOKUP(W231,Target!A:A,Target!J:J),"")</f>
        <v>Skill_Target_Icon_Enemy_Near_One</v>
      </c>
      <c r="K231" s="1" t="s">
        <v>205</v>
      </c>
      <c r="L231" s="1" t="str">
        <f>IFERROR(_xlfn.XLOOKUP(W231,Target!A:A,Target!K:K),"")</f>
        <v>Skill_Area_Icon_Pivot_Row</v>
      </c>
      <c r="M231" s="1" t="str">
        <f>_xlfn.XLOOKUP(B231,'[2]Detail&lt;Child&gt;'!$B:$B,'[2]Detail&lt;Child&gt;'!$M:$M)</f>
        <v>Fire</v>
      </c>
      <c r="N231" s="1" t="str">
        <f>_xlfn.XLOOKUP(B231,'[2]Detail&lt;Child&gt;'!$B:$B,'[2]Detail&lt;Child&gt;'!$N:$N)</f>
        <v>Attacker</v>
      </c>
      <c r="O231" s="1" t="s">
        <v>140</v>
      </c>
      <c r="P231" s="33">
        <v>0</v>
      </c>
      <c r="Q231" s="68" t="str" cm="1">
        <f t="array" ref="Q231">_xlfn.IFS(R231="Move","Move",R231="NonTargetMove","Move",R231="Static","Stand",R231="None","Stand")</f>
        <v>Move</v>
      </c>
      <c r="R231" s="1" t="s">
        <v>153</v>
      </c>
      <c r="S231" s="1">
        <v>2</v>
      </c>
      <c r="T231" s="2" t="str">
        <f t="shared" si="46"/>
        <v>SignalHit</v>
      </c>
      <c r="U231" s="2" t="str" cm="1">
        <f t="array" ref="U231">_xlfn.IFS(T231="SignalHIt","TurnEnd",T231="AttackBegin","TurnEnd",T231="AttackEnd","TurnEnd",T231="Immediately","Applied",T231="None","None")</f>
        <v>TurnEnd</v>
      </c>
      <c r="V231" s="2">
        <v>0</v>
      </c>
      <c r="W231" s="1">
        <v>2000014</v>
      </c>
      <c r="X231" s="8">
        <f t="shared" si="50"/>
        <v>33028311</v>
      </c>
      <c r="Y231" s="1" t="str">
        <f t="shared" si="47"/>
        <v>Immediately</v>
      </c>
      <c r="Z231" s="2" t="str" cm="1">
        <f t="array" ref="Z231">_xlfn.IFS(Y231="SignalHIt","TurnEnd",Y231="AttackBegin","TurnEnd",Y231="AttackEnd","TurnEnd",Y231="Immediately","Applied",Y231="None","None")</f>
        <v>Applied</v>
      </c>
      <c r="AA231" s="2">
        <v>0</v>
      </c>
      <c r="AB231" s="1">
        <v>0</v>
      </c>
      <c r="AC231" s="8">
        <v>0</v>
      </c>
      <c r="AD231" s="2" t="str">
        <f t="shared" si="48"/>
        <v>Immediately</v>
      </c>
      <c r="AE231" s="2" t="str" cm="1">
        <f t="array" ref="AE231">_xlfn.IFS(AD231="SignalHIt","TurnEnd",AD231="AttackBegin","TurnEnd",AD231="AttackEnd","TurnEnd",AD231="Immediately","Applied",AD231="None","None")</f>
        <v>Applied</v>
      </c>
      <c r="AF231" s="2">
        <v>0</v>
      </c>
      <c r="AG231" s="1">
        <v>0</v>
      </c>
      <c r="AH231" s="8">
        <v>0</v>
      </c>
      <c r="AI231" s="2" t="str">
        <f t="shared" si="49"/>
        <v>Immediately</v>
      </c>
      <c r="AJ231" s="2" t="str" cm="1">
        <f t="array" ref="AJ231">_xlfn.IFS(AI231="SignalHIt","TurnEnd",AI231="AttackBegin","TurnEnd",AI231="AttackEnd","TurnEnd",AI231="Immediately","Applied",AI231="None","None")</f>
        <v>Applied</v>
      </c>
      <c r="AK231" s="2">
        <v>0</v>
      </c>
      <c r="AL231" s="1">
        <v>0</v>
      </c>
      <c r="AM231" s="48">
        <v>0</v>
      </c>
      <c r="AN231" s="45" t="str">
        <f>IFERROR(_xlfn.XLOOKUP(W231,Target!$A:$A,Target!$B:$B),"None")</f>
        <v>가까운 적 1명 2행</v>
      </c>
      <c r="AO231" s="43" t="str">
        <f>IFERROR(_xlfn.XLOOKUP($X231,'BuffValue&lt;Child&gt;'!$A:$A,'BuffValue&lt;Child&gt;'!$F:$F),"None")</f>
        <v>얼티밋 대미지</v>
      </c>
      <c r="AP231" s="43">
        <f>IFERROR(_xlfn.XLOOKUP($X231,'BuffValue&lt;Child&gt;'!$A:$A,'BuffValue&lt;Child&gt;'!$K:$K),0)</f>
        <v>320000</v>
      </c>
      <c r="AQ231" s="43" t="str">
        <f>IFERROR(_xlfn.XLOOKUP(AB231,Target!$A:$A,Target!$B:$B),"None")</f>
        <v>None</v>
      </c>
      <c r="AR231" s="45" t="str">
        <f>IFERROR(_xlfn.XLOOKUP($AC231,'BuffValue&lt;Child&gt;'!$A:$A,'BuffValue&lt;Child&gt;'!$F:$F),"None")</f>
        <v>None</v>
      </c>
      <c r="AS231" s="45">
        <f>IFERROR(_xlfn.XLOOKUP($AC231,'BuffValue&lt;Child&gt;'!$A:$A,'BuffValue&lt;Child&gt;'!$K:$K),0)</f>
        <v>0</v>
      </c>
      <c r="AT231" s="43" t="str">
        <f>IFERROR(_xlfn.XLOOKUP(AG231,Target!$A:$A,Target!$B:$B),"None")</f>
        <v>None</v>
      </c>
      <c r="AU231" s="43" t="str">
        <f>IFERROR(_xlfn.XLOOKUP($AH231,'BuffValue&lt;Child&gt;'!$A:$A,'BuffValue&lt;Child&gt;'!$F:$F),"None")</f>
        <v>None</v>
      </c>
      <c r="AV231" s="43">
        <f>IFERROR(_xlfn.XLOOKUP($AH231,'BuffValue&lt;Child&gt;'!$A:$A,'BuffValue&lt;Child&gt;'!$K:$K),0)</f>
        <v>0</v>
      </c>
      <c r="AW231" s="43" t="str">
        <f>IFERROR(_xlfn.XLOOKUP(AL231,Target!$A:$A,Target!$B:$B),"None")</f>
        <v>None</v>
      </c>
      <c r="AX231" s="43" t="str">
        <f>IFERROR(_xlfn.XLOOKUP($AM231,'BuffValue&lt;Child&gt;'!$A:$A,'BuffValue&lt;Child&gt;'!$F:$F),"None")</f>
        <v>None</v>
      </c>
      <c r="AY231" s="43">
        <f>IFERROR(_xlfn.XLOOKUP($AM231,#REF!,#REF!),0)</f>
        <v>0</v>
      </c>
    </row>
    <row r="232" spans="1:51" x14ac:dyDescent="0.3">
      <c r="A232" s="1">
        <f>INT(3&amp;MID(_xlfn.XLOOKUP(B232,[2]Timeline!$B:$B,[2]Timeline!$A:$A),2,5)&amp;2)</f>
        <v>3302832</v>
      </c>
      <c r="B232" s="7" t="s">
        <v>614</v>
      </c>
      <c r="C232" s="7" t="s">
        <v>617</v>
      </c>
      <c r="D232" s="7" t="s">
        <v>516</v>
      </c>
      <c r="E232" s="1" t="str">
        <f t="shared" si="45"/>
        <v>skill_name_3302832</v>
      </c>
      <c r="F232" s="1" t="s">
        <v>117</v>
      </c>
      <c r="G232" s="1" t="s">
        <v>600</v>
      </c>
      <c r="H232" s="1" t="str">
        <f t="shared" si="34"/>
        <v>skill_desc_3302832</v>
      </c>
      <c r="I232" s="1" t="s">
        <v>205</v>
      </c>
      <c r="J232" s="1" t="str">
        <f>IFERROR(_xlfn.XLOOKUP(W232,Target!A:A,Target!J:J),"")</f>
        <v>Skill_Target_Icon_Enemy_Near_One</v>
      </c>
      <c r="K232" s="1" t="s">
        <v>205</v>
      </c>
      <c r="L232" s="1" t="str">
        <f>IFERROR(_xlfn.XLOOKUP(W232,Target!A:A,Target!K:K),"")</f>
        <v>Skill_Area_Icon_Pivot_Row</v>
      </c>
      <c r="M232" s="1" t="str">
        <f>_xlfn.XLOOKUP(B232,'[2]Detail&lt;Child&gt;'!$B:$B,'[2]Detail&lt;Child&gt;'!$M:$M)</f>
        <v>Fire</v>
      </c>
      <c r="N232" s="1" t="str">
        <f>_xlfn.XLOOKUP(B232,'[2]Detail&lt;Child&gt;'!$B:$B,'[2]Detail&lt;Child&gt;'!$N:$N)</f>
        <v>Attacker</v>
      </c>
      <c r="O232" s="1" t="s">
        <v>140</v>
      </c>
      <c r="P232" s="33">
        <v>0</v>
      </c>
      <c r="Q232" s="68" t="str" cm="1">
        <f t="array" ref="Q232">_xlfn.IFS(R232="Move","Move",R232="NonTargetMove","Move",R232="Static","Stand",R232="None","Stand")</f>
        <v>Move</v>
      </c>
      <c r="R232" s="1" t="s">
        <v>153</v>
      </c>
      <c r="S232" s="1">
        <v>2</v>
      </c>
      <c r="T232" s="2" t="str">
        <f t="shared" si="46"/>
        <v>SignalHit</v>
      </c>
      <c r="U232" s="2" t="str" cm="1">
        <f t="array" ref="U232">_xlfn.IFS(T232="SignalHIt","TurnEnd",T232="AttackBegin","TurnEnd",T232="AttackEnd","TurnEnd",T232="Immediately","Applied",T232="None","None")</f>
        <v>TurnEnd</v>
      </c>
      <c r="V232" s="2">
        <v>0</v>
      </c>
      <c r="W232" s="1">
        <v>2000014</v>
      </c>
      <c r="X232" s="8">
        <f t="shared" si="50"/>
        <v>33028321</v>
      </c>
      <c r="Y232" s="1" t="str">
        <f t="shared" si="47"/>
        <v>Immediately</v>
      </c>
      <c r="Z232" s="2" t="str" cm="1">
        <f t="array" ref="Z232">_xlfn.IFS(Y232="SignalHIt","TurnEnd",Y232="AttackBegin","TurnEnd",Y232="AttackEnd","TurnEnd",Y232="Immediately","Applied",Y232="None","None")</f>
        <v>Applied</v>
      </c>
      <c r="AA232" s="2">
        <v>0</v>
      </c>
      <c r="AB232" s="1">
        <v>0</v>
      </c>
      <c r="AC232" s="8">
        <v>0</v>
      </c>
      <c r="AD232" s="2" t="str">
        <f t="shared" si="48"/>
        <v>Immediately</v>
      </c>
      <c r="AE232" s="2" t="str" cm="1">
        <f t="array" ref="AE232">_xlfn.IFS(AD232="SignalHIt","TurnEnd",AD232="AttackBegin","TurnEnd",AD232="AttackEnd","TurnEnd",AD232="Immediately","Applied",AD232="None","None")</f>
        <v>Applied</v>
      </c>
      <c r="AF232" s="2">
        <v>0</v>
      </c>
      <c r="AG232" s="1">
        <v>0</v>
      </c>
      <c r="AH232" s="8">
        <v>0</v>
      </c>
      <c r="AI232" s="2" t="str">
        <f t="shared" si="49"/>
        <v>Immediately</v>
      </c>
      <c r="AJ232" s="2" t="str" cm="1">
        <f t="array" ref="AJ232">_xlfn.IFS(AI232="SignalHIt","TurnEnd",AI232="AttackBegin","TurnEnd",AI232="AttackEnd","TurnEnd",AI232="Immediately","Applied",AI232="None","None")</f>
        <v>Applied</v>
      </c>
      <c r="AK232" s="2">
        <v>0</v>
      </c>
      <c r="AL232" s="1">
        <v>0</v>
      </c>
      <c r="AM232" s="48">
        <v>0</v>
      </c>
      <c r="AN232" s="45" t="str">
        <f>IFERROR(_xlfn.XLOOKUP(W232,Target!$A:$A,Target!$B:$B),"None")</f>
        <v>가까운 적 1명 2행</v>
      </c>
      <c r="AO232" s="43" t="str">
        <f>IFERROR(_xlfn.XLOOKUP($X232,'BuffValue&lt;Child&gt;'!$A:$A,'BuffValue&lt;Child&gt;'!$F:$F),"None")</f>
        <v>얼티밋 대미지</v>
      </c>
      <c r="AP232" s="43">
        <f>IFERROR(_xlfn.XLOOKUP($X232,'BuffValue&lt;Child&gt;'!$A:$A,'BuffValue&lt;Child&gt;'!$K:$K),0)</f>
        <v>320000</v>
      </c>
      <c r="AQ232" s="43" t="str">
        <f>IFERROR(_xlfn.XLOOKUP(AB232,Target!$A:$A,Target!$B:$B),"None")</f>
        <v>None</v>
      </c>
      <c r="AR232" s="45" t="str">
        <f>IFERROR(_xlfn.XLOOKUP($AC232,'BuffValue&lt;Child&gt;'!$A:$A,'BuffValue&lt;Child&gt;'!$F:$F),"None")</f>
        <v>None</v>
      </c>
      <c r="AS232" s="45">
        <f>IFERROR(_xlfn.XLOOKUP($AC232,'BuffValue&lt;Child&gt;'!$A:$A,'BuffValue&lt;Child&gt;'!$K:$K),0)</f>
        <v>0</v>
      </c>
      <c r="AT232" s="43" t="str">
        <f>IFERROR(_xlfn.XLOOKUP(AG232,Target!$A:$A,Target!$B:$B),"None")</f>
        <v>None</v>
      </c>
      <c r="AU232" s="43" t="str">
        <f>IFERROR(_xlfn.XLOOKUP($AH232,'BuffValue&lt;Child&gt;'!$A:$A,'BuffValue&lt;Child&gt;'!$F:$F),"None")</f>
        <v>None</v>
      </c>
      <c r="AV232" s="43">
        <f>IFERROR(_xlfn.XLOOKUP($AH232,'BuffValue&lt;Child&gt;'!$A:$A,'BuffValue&lt;Child&gt;'!$K:$K),0)</f>
        <v>0</v>
      </c>
      <c r="AW232" s="43" t="str">
        <f>IFERROR(_xlfn.XLOOKUP(AL232,Target!$A:$A,Target!$B:$B),"None")</f>
        <v>None</v>
      </c>
      <c r="AX232" s="43" t="str">
        <f>IFERROR(_xlfn.XLOOKUP($AM232,'BuffValue&lt;Child&gt;'!$A:$A,'BuffValue&lt;Child&gt;'!$F:$F),"None")</f>
        <v>None</v>
      </c>
      <c r="AY232" s="43">
        <f>IFERROR(_xlfn.XLOOKUP($AM232,#REF!,#REF!),0)</f>
        <v>0</v>
      </c>
    </row>
    <row r="233" spans="1:51" x14ac:dyDescent="0.3">
      <c r="A233" s="1">
        <f>INT(3&amp;MID(_xlfn.XLOOKUP(B233,[2]Timeline!$B:$B,[2]Timeline!$A:$A),2,5)&amp;3)</f>
        <v>3302833</v>
      </c>
      <c r="B233" s="7" t="s">
        <v>614</v>
      </c>
      <c r="C233" s="7" t="s">
        <v>617</v>
      </c>
      <c r="D233" s="7" t="s">
        <v>516</v>
      </c>
      <c r="E233" s="1" t="str">
        <f t="shared" si="45"/>
        <v>skill_name_3302833</v>
      </c>
      <c r="F233" s="1" t="s">
        <v>117</v>
      </c>
      <c r="G233" s="1" t="s">
        <v>600</v>
      </c>
      <c r="H233" s="1" t="str">
        <f t="shared" si="34"/>
        <v>skill_desc_3302833</v>
      </c>
      <c r="I233" s="1" t="s">
        <v>205</v>
      </c>
      <c r="J233" s="1" t="str">
        <f>IFERROR(_xlfn.XLOOKUP(W233,Target!A:A,Target!J:J),"")</f>
        <v>Skill_Target_Icon_Enemy_Near_One</v>
      </c>
      <c r="K233" s="1" t="s">
        <v>205</v>
      </c>
      <c r="L233" s="1" t="str">
        <f>IFERROR(_xlfn.XLOOKUP(W233,Target!A:A,Target!K:K),"")</f>
        <v>Skill_Area_Icon_Pivot_Row</v>
      </c>
      <c r="M233" s="1" t="str">
        <f>_xlfn.XLOOKUP(B233,'[2]Detail&lt;Child&gt;'!$B:$B,'[2]Detail&lt;Child&gt;'!$M:$M)</f>
        <v>Fire</v>
      </c>
      <c r="N233" s="1" t="str">
        <f>_xlfn.XLOOKUP(B233,'[2]Detail&lt;Child&gt;'!$B:$B,'[2]Detail&lt;Child&gt;'!$N:$N)</f>
        <v>Attacker</v>
      </c>
      <c r="O233" s="1" t="s">
        <v>140</v>
      </c>
      <c r="P233" s="33">
        <v>0</v>
      </c>
      <c r="Q233" s="68" t="str" cm="1">
        <f t="array" ref="Q233">_xlfn.IFS(R233="Move","Move",R233="NonTargetMove","Move",R233="Static","Stand",R233="None","Stand")</f>
        <v>Move</v>
      </c>
      <c r="R233" s="1" t="s">
        <v>153</v>
      </c>
      <c r="S233" s="1">
        <v>2</v>
      </c>
      <c r="T233" s="2" t="str">
        <f t="shared" si="46"/>
        <v>SignalHit</v>
      </c>
      <c r="U233" s="2" t="str" cm="1">
        <f t="array" ref="U233">_xlfn.IFS(T233="SignalHIt","TurnEnd",T233="AttackBegin","TurnEnd",T233="AttackEnd","TurnEnd",T233="Immediately","Applied",T233="None","None")</f>
        <v>TurnEnd</v>
      </c>
      <c r="V233" s="2">
        <v>0</v>
      </c>
      <c r="W233" s="1">
        <v>2000014</v>
      </c>
      <c r="X233" s="8">
        <f t="shared" si="50"/>
        <v>33028331</v>
      </c>
      <c r="Y233" s="1" t="str">
        <f t="shared" si="47"/>
        <v>Immediately</v>
      </c>
      <c r="Z233" s="2" t="str" cm="1">
        <f t="array" ref="Z233">_xlfn.IFS(Y233="SignalHIt","TurnEnd",Y233="AttackBegin","TurnEnd",Y233="AttackEnd","TurnEnd",Y233="Immediately","Applied",Y233="None","None")</f>
        <v>Applied</v>
      </c>
      <c r="AA233" s="2">
        <v>0</v>
      </c>
      <c r="AB233" s="1">
        <v>0</v>
      </c>
      <c r="AC233" s="8">
        <v>0</v>
      </c>
      <c r="AD233" s="2" t="str">
        <f t="shared" si="48"/>
        <v>Immediately</v>
      </c>
      <c r="AE233" s="2" t="str" cm="1">
        <f t="array" ref="AE233">_xlfn.IFS(AD233="SignalHIt","TurnEnd",AD233="AttackBegin","TurnEnd",AD233="AttackEnd","TurnEnd",AD233="Immediately","Applied",AD233="None","None")</f>
        <v>Applied</v>
      </c>
      <c r="AF233" s="2">
        <v>0</v>
      </c>
      <c r="AG233" s="1">
        <v>0</v>
      </c>
      <c r="AH233" s="8">
        <v>0</v>
      </c>
      <c r="AI233" s="2" t="str">
        <f t="shared" si="49"/>
        <v>Immediately</v>
      </c>
      <c r="AJ233" s="2" t="str" cm="1">
        <f t="array" ref="AJ233">_xlfn.IFS(AI233="SignalHIt","TurnEnd",AI233="AttackBegin","TurnEnd",AI233="AttackEnd","TurnEnd",AI233="Immediately","Applied",AI233="None","None")</f>
        <v>Applied</v>
      </c>
      <c r="AK233" s="2">
        <v>0</v>
      </c>
      <c r="AL233" s="1">
        <v>0</v>
      </c>
      <c r="AM233" s="48">
        <v>0</v>
      </c>
      <c r="AN233" s="45" t="str">
        <f>IFERROR(_xlfn.XLOOKUP(W233,Target!$A:$A,Target!$B:$B),"None")</f>
        <v>가까운 적 1명 2행</v>
      </c>
      <c r="AO233" s="43" t="str">
        <f>IFERROR(_xlfn.XLOOKUP($X233,'BuffValue&lt;Child&gt;'!$A:$A,'BuffValue&lt;Child&gt;'!$F:$F),"None")</f>
        <v>얼티밋 대미지</v>
      </c>
      <c r="AP233" s="43">
        <f>IFERROR(_xlfn.XLOOKUP($X233,'BuffValue&lt;Child&gt;'!$A:$A,'BuffValue&lt;Child&gt;'!$K:$K),0)</f>
        <v>320000</v>
      </c>
      <c r="AQ233" s="43" t="str">
        <f>IFERROR(_xlfn.XLOOKUP(AB233,Target!$A:$A,Target!$B:$B),"None")</f>
        <v>None</v>
      </c>
      <c r="AR233" s="45" t="str">
        <f>IFERROR(_xlfn.XLOOKUP($AC233,'BuffValue&lt;Child&gt;'!$A:$A,'BuffValue&lt;Child&gt;'!$F:$F),"None")</f>
        <v>None</v>
      </c>
      <c r="AS233" s="45">
        <f>IFERROR(_xlfn.XLOOKUP($AC233,'BuffValue&lt;Child&gt;'!$A:$A,'BuffValue&lt;Child&gt;'!$K:$K),0)</f>
        <v>0</v>
      </c>
      <c r="AT233" s="43" t="str">
        <f>IFERROR(_xlfn.XLOOKUP(AG233,Target!$A:$A,Target!$B:$B),"None")</f>
        <v>None</v>
      </c>
      <c r="AU233" s="43" t="str">
        <f>IFERROR(_xlfn.XLOOKUP($AH233,'BuffValue&lt;Child&gt;'!$A:$A,'BuffValue&lt;Child&gt;'!$F:$F),"None")</f>
        <v>None</v>
      </c>
      <c r="AV233" s="43">
        <f>IFERROR(_xlfn.XLOOKUP($AH233,'BuffValue&lt;Child&gt;'!$A:$A,'BuffValue&lt;Child&gt;'!$K:$K),0)</f>
        <v>0</v>
      </c>
      <c r="AW233" s="43" t="str">
        <f>IFERROR(_xlfn.XLOOKUP(AL233,Target!$A:$A,Target!$B:$B),"None")</f>
        <v>None</v>
      </c>
      <c r="AX233" s="43" t="str">
        <f>IFERROR(_xlfn.XLOOKUP($AM233,'BuffValue&lt;Child&gt;'!$A:$A,'BuffValue&lt;Child&gt;'!$F:$F),"None")</f>
        <v>None</v>
      </c>
      <c r="AY233" s="43">
        <f>IFERROR(_xlfn.XLOOKUP($AM233,#REF!,#REF!),0)</f>
        <v>0</v>
      </c>
    </row>
    <row r="234" spans="1:51" x14ac:dyDescent="0.3">
      <c r="A234" s="1">
        <f>INT(4&amp;MID(_xlfn.XLOOKUP(B234,[2]Timeline!$B:$B,[2]Timeline!$A:$A),2,5)&amp;1)</f>
        <v>4302831</v>
      </c>
      <c r="B234" s="7" t="s">
        <v>614</v>
      </c>
      <c r="C234" s="7" t="s">
        <v>122</v>
      </c>
      <c r="D234" s="7" t="s">
        <v>347</v>
      </c>
      <c r="E234" s="1" t="str">
        <f t="shared" si="45"/>
        <v>skill_name_4302831</v>
      </c>
      <c r="F234" s="1" t="s">
        <v>117</v>
      </c>
      <c r="G234" s="1" t="s">
        <v>601</v>
      </c>
      <c r="H234" s="1" t="str">
        <f t="shared" si="34"/>
        <v>skill_desc_4302831</v>
      </c>
      <c r="I234" s="1" t="s">
        <v>205</v>
      </c>
      <c r="J234" s="1" t="str">
        <f>IFERROR(_xlfn.XLOOKUP(W234,Target!A:A,Target!J:J),"")</f>
        <v>Skill_Target_Icon_Mine</v>
      </c>
      <c r="K234" s="1" t="s">
        <v>205</v>
      </c>
      <c r="L234" s="1" t="str">
        <f>IFERROR(_xlfn.XLOOKUP(W234,Target!A:A,Target!K:K),"")</f>
        <v>Skill_Area_Icon_Pivot_Centor</v>
      </c>
      <c r="M234" s="1" t="str">
        <f>_xlfn.XLOOKUP(B234,'[2]Detail&lt;Child&gt;'!$B:$B,'[2]Detail&lt;Child&gt;'!$M:$M)</f>
        <v>Fire</v>
      </c>
      <c r="N234" s="1" t="str">
        <f>_xlfn.XLOOKUP(B234,'[2]Detail&lt;Child&gt;'!$B:$B,'[2]Detail&lt;Child&gt;'!$N:$N)</f>
        <v>Attacker</v>
      </c>
      <c r="O234" s="1" t="s">
        <v>167</v>
      </c>
      <c r="P234" s="33">
        <v>0</v>
      </c>
      <c r="Q234" s="68" t="str" cm="1">
        <f t="array" ref="Q234">_xlfn.IFS(R234="Move","Move",R234="NonTargetMove","Move",R234="Static","Stand",R234="None","Stand")</f>
        <v>Stand</v>
      </c>
      <c r="R234" s="1" t="s">
        <v>136</v>
      </c>
      <c r="S234" s="1">
        <f>IF(R234="Static",0,1)</f>
        <v>0</v>
      </c>
      <c r="T234" s="2" t="str">
        <f t="shared" si="46"/>
        <v>Immediately</v>
      </c>
      <c r="U234" s="2" t="str" cm="1">
        <f t="array" ref="U234">_xlfn.IFS(T234="SignalHIt","TurnEnd",T234="AttackBegin","TurnEnd",T234="AttackEnd","TurnEnd",T234="Immediately","Applied",T234="None","None")</f>
        <v>Applied</v>
      </c>
      <c r="V234" s="2">
        <v>0</v>
      </c>
      <c r="W234" s="1">
        <v>1</v>
      </c>
      <c r="X234" s="8">
        <f t="shared" si="50"/>
        <v>43028311</v>
      </c>
      <c r="Y234" s="1" t="str">
        <f t="shared" si="47"/>
        <v>Immediately</v>
      </c>
      <c r="Z234" s="2" t="str" cm="1">
        <f t="array" ref="Z234">_xlfn.IFS(Y234="SignalHIt","TurnEnd",Y234="AttackBegin","TurnEnd",Y234="AttackEnd","TurnEnd",Y234="Immediately","Applied",Y234="None","None")</f>
        <v>Applied</v>
      </c>
      <c r="AA234" s="2">
        <v>0</v>
      </c>
      <c r="AB234" s="1">
        <v>0</v>
      </c>
      <c r="AC234" s="8">
        <v>0</v>
      </c>
      <c r="AD234" s="2" t="str">
        <f t="shared" si="48"/>
        <v>Immediately</v>
      </c>
      <c r="AE234" s="2" t="str" cm="1">
        <f t="array" ref="AE234">_xlfn.IFS(AD234="SignalHIt","TurnEnd",AD234="AttackBegin","TurnEnd",AD234="AttackEnd","TurnEnd",AD234="Immediately","Applied",AD234="None","None")</f>
        <v>Applied</v>
      </c>
      <c r="AF234" s="2">
        <v>0</v>
      </c>
      <c r="AG234" s="1">
        <v>0</v>
      </c>
      <c r="AH234" s="8">
        <v>0</v>
      </c>
      <c r="AI234" s="2" t="str">
        <f t="shared" si="49"/>
        <v>Immediately</v>
      </c>
      <c r="AJ234" s="2" t="str" cm="1">
        <f t="array" ref="AJ234">_xlfn.IFS(AI234="SignalHIt","TurnEnd",AI234="AttackBegin","TurnEnd",AI234="AttackEnd","TurnEnd",AI234="Immediately","Applied",AI234="None","None")</f>
        <v>Applied</v>
      </c>
      <c r="AK234" s="2">
        <v>0</v>
      </c>
      <c r="AL234" s="8">
        <v>0</v>
      </c>
      <c r="AM234" s="48">
        <v>0</v>
      </c>
      <c r="AN234" s="45" t="str">
        <f>IFERROR(_xlfn.XLOOKUP(W234,Target!$A:$A,Target!$B:$B),"None")</f>
        <v xml:space="preserve"> 자신 1명 </v>
      </c>
      <c r="AO234" s="43" t="str">
        <f>IFERROR(_xlfn.XLOOKUP($X234,'BuffValue&lt;Child&gt;'!$A:$A,'BuffValue&lt;Child&gt;'!$F:$F),"None")</f>
        <v>힐드 패시브 버프당 치명타 확률 증가</v>
      </c>
      <c r="AP234" s="43">
        <f>IFERROR(_xlfn.XLOOKUP($X234,'BuffValue&lt;Child&gt;'!$A:$A,'BuffValue&lt;Child&gt;'!$K:$K),0)</f>
        <v>5000</v>
      </c>
      <c r="AQ234" s="43" t="str">
        <f>IFERROR(_xlfn.XLOOKUP(AB234,Target!$A:$A,Target!$B:$B),"None")</f>
        <v>None</v>
      </c>
      <c r="AR234" s="45" t="str">
        <f>IFERROR(_xlfn.XLOOKUP($AC234,'BuffValue&lt;Child&gt;'!$A:$A,'BuffValue&lt;Child&gt;'!$F:$F),"None")</f>
        <v>None</v>
      </c>
      <c r="AS234" s="45">
        <f>IFERROR(_xlfn.XLOOKUP($AC234,'BuffValue&lt;Child&gt;'!$A:$A,'BuffValue&lt;Child&gt;'!$K:$K),0)</f>
        <v>0</v>
      </c>
      <c r="AT234" s="43" t="str">
        <f>IFERROR(_xlfn.XLOOKUP(AG234,Target!$A:$A,Target!$B:$B),"None")</f>
        <v>None</v>
      </c>
      <c r="AU234" s="43" t="str">
        <f>IFERROR(_xlfn.XLOOKUP($AH234,'BuffValue&lt;Child&gt;'!$A:$A,'BuffValue&lt;Child&gt;'!$F:$F),"None")</f>
        <v>None</v>
      </c>
      <c r="AV234" s="43">
        <f>IFERROR(_xlfn.XLOOKUP($AH234,'BuffValue&lt;Child&gt;'!$A:$A,'BuffValue&lt;Child&gt;'!$K:$K),0)</f>
        <v>0</v>
      </c>
      <c r="AW234" s="43" t="str">
        <f>IFERROR(_xlfn.XLOOKUP(AL234,Target!$A:$A,Target!$B:$B),"None")</f>
        <v>None</v>
      </c>
      <c r="AX234" s="43" t="str">
        <f>IFERROR(_xlfn.XLOOKUP($AM234,'BuffValue&lt;Child&gt;'!$A:$A,'BuffValue&lt;Child&gt;'!$F:$F),"None")</f>
        <v>None</v>
      </c>
      <c r="AY234" s="43">
        <f>IFERROR(_xlfn.XLOOKUP($AM234,#REF!,#REF!),0)</f>
        <v>0</v>
      </c>
    </row>
    <row r="235" spans="1:51" x14ac:dyDescent="0.3">
      <c r="A235" s="1">
        <f>INT(4&amp;MID(_xlfn.XLOOKUP(B235,[2]Timeline!$B:$B,[2]Timeline!$A:$A),2,5)&amp;2)</f>
        <v>4302832</v>
      </c>
      <c r="B235" s="7" t="s">
        <v>614</v>
      </c>
      <c r="C235" s="7" t="s">
        <v>122</v>
      </c>
      <c r="D235" s="7" t="s">
        <v>347</v>
      </c>
      <c r="E235" s="1" t="str">
        <f t="shared" si="45"/>
        <v>skill_name_4302832</v>
      </c>
      <c r="F235" s="1" t="s">
        <v>117</v>
      </c>
      <c r="G235" s="1" t="s">
        <v>601</v>
      </c>
      <c r="H235" s="1" t="str">
        <f t="shared" si="34"/>
        <v>skill_desc_4302832</v>
      </c>
      <c r="I235" s="1" t="s">
        <v>205</v>
      </c>
      <c r="J235" s="1" t="str">
        <f>IFERROR(_xlfn.XLOOKUP(W235,Target!A:A,Target!J:J),"")</f>
        <v>Skill_Target_Icon_Mine</v>
      </c>
      <c r="K235" s="1" t="s">
        <v>205</v>
      </c>
      <c r="L235" s="1" t="str">
        <f>IFERROR(_xlfn.XLOOKUP(W235,Target!A:A,Target!K:K),"")</f>
        <v>Skill_Area_Icon_Pivot_Centor</v>
      </c>
      <c r="M235" s="1" t="str">
        <f>_xlfn.XLOOKUP(B235,'[2]Detail&lt;Child&gt;'!$B:$B,'[2]Detail&lt;Child&gt;'!$M:$M)</f>
        <v>Fire</v>
      </c>
      <c r="N235" s="1" t="str">
        <f>_xlfn.XLOOKUP(B235,'[2]Detail&lt;Child&gt;'!$B:$B,'[2]Detail&lt;Child&gt;'!$N:$N)</f>
        <v>Attacker</v>
      </c>
      <c r="O235" s="1" t="s">
        <v>167</v>
      </c>
      <c r="P235" s="33">
        <v>0</v>
      </c>
      <c r="Q235" s="68" t="str" cm="1">
        <f t="array" ref="Q235">_xlfn.IFS(R235="Move","Move",R235="NonTargetMove","Move",R235="Static","Stand",R235="None","Stand")</f>
        <v>Stand</v>
      </c>
      <c r="R235" s="1" t="s">
        <v>136</v>
      </c>
      <c r="S235" s="1">
        <f>IF(R235="Static",0,1)</f>
        <v>0</v>
      </c>
      <c r="T235" s="2" t="str">
        <f t="shared" si="46"/>
        <v>Immediately</v>
      </c>
      <c r="U235" s="2" t="str" cm="1">
        <f t="array" ref="U235">_xlfn.IFS(T235="SignalHIt","TurnEnd",T235="AttackBegin","TurnEnd",T235="AttackEnd","TurnEnd",T235="Immediately","Applied",T235="None","None")</f>
        <v>Applied</v>
      </c>
      <c r="V235" s="2">
        <v>0</v>
      </c>
      <c r="W235" s="1">
        <v>1</v>
      </c>
      <c r="X235" s="8">
        <f t="shared" si="50"/>
        <v>43028321</v>
      </c>
      <c r="Y235" s="1" t="str">
        <f t="shared" si="47"/>
        <v>Immediately</v>
      </c>
      <c r="Z235" s="2" t="str" cm="1">
        <f t="array" ref="Z235">_xlfn.IFS(Y235="SignalHIt","TurnEnd",Y235="AttackBegin","TurnEnd",Y235="AttackEnd","TurnEnd",Y235="Immediately","Applied",Y235="None","None")</f>
        <v>Applied</v>
      </c>
      <c r="AA235" s="2">
        <v>0</v>
      </c>
      <c r="AB235" s="1">
        <v>0</v>
      </c>
      <c r="AC235" s="8">
        <v>0</v>
      </c>
      <c r="AD235" s="2" t="str">
        <f t="shared" si="48"/>
        <v>Immediately</v>
      </c>
      <c r="AE235" s="2" t="str" cm="1">
        <f t="array" ref="AE235">_xlfn.IFS(AD235="SignalHIt","TurnEnd",AD235="AttackBegin","TurnEnd",AD235="AttackEnd","TurnEnd",AD235="Immediately","Applied",AD235="None","None")</f>
        <v>Applied</v>
      </c>
      <c r="AF235" s="2">
        <v>0</v>
      </c>
      <c r="AG235" s="1">
        <v>0</v>
      </c>
      <c r="AH235" s="8">
        <v>0</v>
      </c>
      <c r="AI235" s="2" t="str">
        <f t="shared" si="49"/>
        <v>Immediately</v>
      </c>
      <c r="AJ235" s="2" t="str" cm="1">
        <f t="array" ref="AJ235">_xlfn.IFS(AI235="SignalHIt","TurnEnd",AI235="AttackBegin","TurnEnd",AI235="AttackEnd","TurnEnd",AI235="Immediately","Applied",AI235="None","None")</f>
        <v>Applied</v>
      </c>
      <c r="AK235" s="2">
        <v>0</v>
      </c>
      <c r="AL235" s="8">
        <v>0</v>
      </c>
      <c r="AM235" s="48">
        <v>0</v>
      </c>
      <c r="AN235" s="45" t="str">
        <f>IFERROR(_xlfn.XLOOKUP(W235,Target!$A:$A,Target!$B:$B),"None")</f>
        <v xml:space="preserve"> 자신 1명 </v>
      </c>
      <c r="AO235" s="43" t="str">
        <f>IFERROR(_xlfn.XLOOKUP($X235,'BuffValue&lt;Child&gt;'!$A:$A,'BuffValue&lt;Child&gt;'!$F:$F),"None")</f>
        <v>힐드 패시브 버프당 치명타 확률 증가</v>
      </c>
      <c r="AP235" s="43">
        <f>IFERROR(_xlfn.XLOOKUP($X235,'BuffValue&lt;Child&gt;'!$A:$A,'BuffValue&lt;Child&gt;'!$K:$K),0)</f>
        <v>5000</v>
      </c>
      <c r="AQ235" s="43" t="str">
        <f>IFERROR(_xlfn.XLOOKUP(AB235,Target!$A:$A,Target!$B:$B),"None")</f>
        <v>None</v>
      </c>
      <c r="AR235" s="45" t="str">
        <f>IFERROR(_xlfn.XLOOKUP($AC235,'BuffValue&lt;Child&gt;'!$A:$A,'BuffValue&lt;Child&gt;'!$F:$F),"None")</f>
        <v>None</v>
      </c>
      <c r="AS235" s="45">
        <f>IFERROR(_xlfn.XLOOKUP($AC235,'BuffValue&lt;Child&gt;'!$A:$A,'BuffValue&lt;Child&gt;'!$K:$K),0)</f>
        <v>0</v>
      </c>
      <c r="AT235" s="43" t="str">
        <f>IFERROR(_xlfn.XLOOKUP(AG235,Target!$A:$A,Target!$B:$B),"None")</f>
        <v>None</v>
      </c>
      <c r="AU235" s="43" t="str">
        <f>IFERROR(_xlfn.XLOOKUP($AH235,'BuffValue&lt;Child&gt;'!$A:$A,'BuffValue&lt;Child&gt;'!$F:$F),"None")</f>
        <v>None</v>
      </c>
      <c r="AV235" s="43">
        <f>IFERROR(_xlfn.XLOOKUP($AH235,'BuffValue&lt;Child&gt;'!$A:$A,'BuffValue&lt;Child&gt;'!$K:$K),0)</f>
        <v>0</v>
      </c>
      <c r="AW235" s="43" t="str">
        <f>IFERROR(_xlfn.XLOOKUP(AL235,Target!$A:$A,Target!$B:$B),"None")</f>
        <v>None</v>
      </c>
      <c r="AX235" s="43" t="str">
        <f>IFERROR(_xlfn.XLOOKUP($AM235,'BuffValue&lt;Child&gt;'!$A:$A,'BuffValue&lt;Child&gt;'!$F:$F),"None")</f>
        <v>None</v>
      </c>
      <c r="AY235" s="43">
        <f>IFERROR(_xlfn.XLOOKUP($AM235,#REF!,#REF!),0)</f>
        <v>0</v>
      </c>
    </row>
    <row r="236" spans="1:51" s="11" customFormat="1" x14ac:dyDescent="0.3">
      <c r="A236" s="11">
        <f>INT(1&amp;MID(_xlfn.XLOOKUP(B236,[2]Timeline!$B:$B,[2]Timeline!$A:$A),2,5)&amp;1)</f>
        <v>1304001</v>
      </c>
      <c r="B236" s="12" t="s">
        <v>620</v>
      </c>
      <c r="C236" s="12" t="s">
        <v>621</v>
      </c>
      <c r="D236" s="12" t="s">
        <v>544</v>
      </c>
      <c r="E236" s="11" t="str">
        <f t="shared" ref="E236:E251" si="51">"skill_name_"&amp;A236</f>
        <v>skill_name_1304001</v>
      </c>
      <c r="F236" s="11" t="s">
        <v>117</v>
      </c>
      <c r="G236" s="11" t="s">
        <v>598</v>
      </c>
      <c r="H236" s="11" t="str">
        <f t="shared" si="34"/>
        <v>skill_desc_1304001</v>
      </c>
      <c r="I236" s="11" t="s">
        <v>205</v>
      </c>
      <c r="J236" s="11" t="str">
        <f>IFERROR(_xlfn.XLOOKUP(W236,Target!A:A,Target!J:J),"")</f>
        <v>Skill_Target_Icon_Enemy_Near_One</v>
      </c>
      <c r="K236" s="11" t="s">
        <v>205</v>
      </c>
      <c r="L236" s="11" t="str">
        <f>IFERROR(_xlfn.XLOOKUP(W236,Target!A:A,Target!K:K),"")</f>
        <v>Skill_Area_Icon_Pivot_Centor</v>
      </c>
      <c r="M236" s="11" t="str">
        <f>_xlfn.XLOOKUP(B236,'[2]Detail&lt;Child&gt;'!$B:$B,'[2]Detail&lt;Child&gt;'!$M:$M)</f>
        <v>Dark</v>
      </c>
      <c r="N236" s="11" t="str">
        <f>_xlfn.XLOOKUP(B236,'[2]Detail&lt;Child&gt;'!$B:$B,'[2]Detail&lt;Child&gt;'!$N:$N)</f>
        <v>Attacker</v>
      </c>
      <c r="O236" s="11" t="s">
        <v>30</v>
      </c>
      <c r="P236" s="34">
        <v>0</v>
      </c>
      <c r="Q236" s="69" t="s">
        <v>499</v>
      </c>
      <c r="R236" s="11" t="s">
        <v>137</v>
      </c>
      <c r="S236" s="11">
        <v>2</v>
      </c>
      <c r="T236" s="15" t="str">
        <f t="shared" ref="T236:T251" si="52">IF(X236=0,"Immediately",IF($O236="Passive","Immediately",IF(W236=0,"None","SignalHit")))</f>
        <v>SignalHit</v>
      </c>
      <c r="U236" s="15" t="str" cm="1">
        <f t="array" ref="U236">_xlfn.IFS(T236="SignalHIt","TurnEnd",T236="AttackBegin","TurnEnd",T236="AttackEnd","TurnEnd",T236="Immediately","Applied",T236="None","None")</f>
        <v>TurnEnd</v>
      </c>
      <c r="V236" s="15">
        <v>0</v>
      </c>
      <c r="W236" s="11">
        <v>2000011</v>
      </c>
      <c r="X236" s="10">
        <f>INT(A236&amp;1)</f>
        <v>13040011</v>
      </c>
      <c r="Y236" s="11" t="str">
        <f t="shared" ref="Y236:Y251" si="53">IF($O236="Passive","Immediately",IF(AB236=0,"Immediately","AttackBegin"))</f>
        <v>Immediately</v>
      </c>
      <c r="Z236" s="15" t="str" cm="1">
        <f t="array" ref="Z236">_xlfn.IFS(Y236="SignalHIt","TurnEnd",Y236="AttackBegin","TurnEnd",Y236="AttackEnd","TurnEnd",Y236="Immediately","Applied",Y236="None","None")</f>
        <v>Applied</v>
      </c>
      <c r="AA236" s="15">
        <v>0</v>
      </c>
      <c r="AB236" s="11">
        <v>0</v>
      </c>
      <c r="AC236" s="10">
        <v>0</v>
      </c>
      <c r="AD236" s="15" t="str">
        <f t="shared" ref="AD236:AD251" si="54">IF($O236="Passive","Immediately",IF(AG236=0,"Immediately","AttackEnd"))</f>
        <v>Immediately</v>
      </c>
      <c r="AE236" s="15" t="str" cm="1">
        <f t="array" ref="AE236">_xlfn.IFS(AD236="SignalHIt","TurnEnd",AD236="AttackBegin","TurnEnd",AD236="AttackEnd","TurnEnd",AD236="Immediately","Applied",AD236="None","None")</f>
        <v>Applied</v>
      </c>
      <c r="AF236" s="15">
        <v>0</v>
      </c>
      <c r="AG236" s="11">
        <v>0</v>
      </c>
      <c r="AH236" s="10">
        <v>0</v>
      </c>
      <c r="AI236" s="15" t="str">
        <f t="shared" ref="AI236:AI251" si="55">IF($O236="Passive","Immediately",IF(AL236=0,"Immediately","AttackEnd"))</f>
        <v>Immediately</v>
      </c>
      <c r="AJ236" s="15" t="str" cm="1">
        <f t="array" ref="AJ236">_xlfn.IFS(AI236="SignalHIt","TurnEnd",AI236="AttackBegin","TurnEnd",AI236="AttackEnd","TurnEnd",AI236="Immediately","Applied",AI236="None","None")</f>
        <v>Applied</v>
      </c>
      <c r="AK236" s="15">
        <v>0</v>
      </c>
      <c r="AL236" s="10">
        <v>0</v>
      </c>
      <c r="AM236" s="50">
        <v>0</v>
      </c>
      <c r="AN236" s="46" t="str">
        <f>IFERROR(_xlfn.XLOOKUP(W236,Target!$A:$A,Target!$B:$B),"None")</f>
        <v xml:space="preserve">가까운 적 1명 </v>
      </c>
      <c r="AO236" s="47" t="str">
        <f>IFERROR(_xlfn.XLOOKUP($X236,'BuffValue&lt;Child&gt;'!$A:$A,'BuffValue&lt;Child&gt;'!$F:$F),"None")</f>
        <v>공용 대미지</v>
      </c>
      <c r="AP236" s="47">
        <f>IFERROR(_xlfn.XLOOKUP($X236,'BuffValue&lt;Child&gt;'!$A:$A,'BuffValue&lt;Child&gt;'!$K:$K),0)</f>
        <v>150000</v>
      </c>
      <c r="AQ236" s="47" t="str">
        <f>IFERROR(_xlfn.XLOOKUP(AB236,Target!$A:$A,Target!$B:$B),"None")</f>
        <v>None</v>
      </c>
      <c r="AR236" s="46" t="str">
        <f>IFERROR(_xlfn.XLOOKUP($AC236,'BuffValue&lt;Child&gt;'!$A:$A,'BuffValue&lt;Child&gt;'!$F:$F),"None")</f>
        <v>None</v>
      </c>
      <c r="AS236" s="46">
        <f>IFERROR(_xlfn.XLOOKUP($AC236,'BuffValue&lt;Child&gt;'!$A:$A,'BuffValue&lt;Child&gt;'!$K:$K),0)</f>
        <v>0</v>
      </c>
      <c r="AT236" s="47" t="str">
        <f>IFERROR(_xlfn.XLOOKUP(AG236,Target!$A:$A,Target!$B:$B),"None")</f>
        <v>None</v>
      </c>
      <c r="AU236" s="47" t="str">
        <f>IFERROR(_xlfn.XLOOKUP($AH236,'BuffValue&lt;Child&gt;'!$A:$A,'BuffValue&lt;Child&gt;'!$F:$F),"None")</f>
        <v>None</v>
      </c>
      <c r="AV236" s="47">
        <f>IFERROR(_xlfn.XLOOKUP($AH236,'BuffValue&lt;Child&gt;'!$A:$A,'BuffValue&lt;Child&gt;'!$K:$K),0)</f>
        <v>0</v>
      </c>
      <c r="AW236" s="47" t="str">
        <f>IFERROR(_xlfn.XLOOKUP(AL236,Target!$A:$A,Target!$B:$B),"None")</f>
        <v>None</v>
      </c>
      <c r="AX236" s="47" t="str">
        <f>IFERROR(_xlfn.XLOOKUP($AM236,'BuffValue&lt;Child&gt;'!$A:$A,'BuffValue&lt;Child&gt;'!$F:$F),"None")</f>
        <v>None</v>
      </c>
      <c r="AY236" s="47">
        <f>IFERROR(_xlfn.XLOOKUP($AM236,#REF!,#REF!),0)</f>
        <v>0</v>
      </c>
    </row>
    <row r="237" spans="1:51" x14ac:dyDescent="0.3">
      <c r="A237" s="1">
        <f>INT(2&amp;MID(_xlfn.XLOOKUP(B237,[2]Timeline!$B:$B,[2]Timeline!$A:$A),2,5)&amp;1)</f>
        <v>2304001</v>
      </c>
      <c r="B237" s="7" t="s">
        <v>619</v>
      </c>
      <c r="C237" s="7" t="s">
        <v>623</v>
      </c>
      <c r="D237" s="7" t="s">
        <v>572</v>
      </c>
      <c r="E237" s="1" t="str">
        <f t="shared" si="51"/>
        <v>skill_name_2304001</v>
      </c>
      <c r="F237" s="1" t="s">
        <v>117</v>
      </c>
      <c r="G237" s="1" t="s">
        <v>599</v>
      </c>
      <c r="H237" s="1" t="str">
        <f t="shared" si="34"/>
        <v>skill_desc_2304001</v>
      </c>
      <c r="I237" s="1" t="s">
        <v>205</v>
      </c>
      <c r="J237" s="1" t="str">
        <f>IFERROR(_xlfn.XLOOKUP(W237,Target!A:A,Target!J:J),"")</f>
        <v>Skill_Target_Icon_Enemy_Near_One</v>
      </c>
      <c r="K237" s="1" t="s">
        <v>205</v>
      </c>
      <c r="L237" s="1" t="str">
        <f>IFERROR(_xlfn.XLOOKUP(W237,Target!A:A,Target!K:K),"")</f>
        <v>Skill_Area_Icon_Pivot_Centor</v>
      </c>
      <c r="M237" s="1" t="str">
        <f>_xlfn.XLOOKUP(B237,'[2]Detail&lt;Child&gt;'!$B:$B,'[2]Detail&lt;Child&gt;'!$M:$M)</f>
        <v>Dark</v>
      </c>
      <c r="N237" s="1" t="str">
        <f>_xlfn.XLOOKUP(B237,'[2]Detail&lt;Child&gt;'!$B:$B,'[2]Detail&lt;Child&gt;'!$N:$N)</f>
        <v>Attacker</v>
      </c>
      <c r="O237" s="1" t="s">
        <v>33</v>
      </c>
      <c r="P237" s="33">
        <v>3</v>
      </c>
      <c r="Q237" s="68" t="str" cm="1">
        <f t="array" ref="Q237">_xlfn.IFS(R237="Move","Move",R237="NonTargetMove","Move",R237="Static","Stand",R237="None","Stand")</f>
        <v>Move</v>
      </c>
      <c r="R237" s="1" t="s">
        <v>144</v>
      </c>
      <c r="S237" s="1">
        <v>2</v>
      </c>
      <c r="T237" s="2" t="str">
        <f t="shared" si="52"/>
        <v>SignalHit</v>
      </c>
      <c r="U237" s="2" t="str" cm="1">
        <f t="array" ref="U237">_xlfn.IFS(T237="SignalHIt","TurnEnd",T237="AttackBegin","TurnEnd",T237="AttackEnd","TurnEnd",T237="Immediately","Applied",T237="None","None")</f>
        <v>TurnEnd</v>
      </c>
      <c r="V237" s="2">
        <v>0</v>
      </c>
      <c r="W237" s="1">
        <v>2000011</v>
      </c>
      <c r="X237" s="8">
        <f t="shared" ref="X237:X243" si="56">INT(A237&amp;1)</f>
        <v>23040011</v>
      </c>
      <c r="Y237" s="1" t="str">
        <f t="shared" si="53"/>
        <v>Immediately</v>
      </c>
      <c r="Z237" s="2" t="str" cm="1">
        <f t="array" ref="Z237">_xlfn.IFS(Y237="SignalHIt","TurnEnd",Y237="AttackBegin","TurnEnd",Y237="AttackEnd","TurnEnd",Y237="Immediately","Applied",Y237="None","None")</f>
        <v>Applied</v>
      </c>
      <c r="AA237" s="2">
        <v>0</v>
      </c>
      <c r="AB237" s="1">
        <v>0</v>
      </c>
      <c r="AC237" s="8">
        <v>0</v>
      </c>
      <c r="AD237" s="2" t="str">
        <f t="shared" si="54"/>
        <v>Immediately</v>
      </c>
      <c r="AE237" s="2" t="str" cm="1">
        <f t="array" ref="AE237">_xlfn.IFS(AD237="SignalHIt","TurnEnd",AD237="AttackBegin","TurnEnd",AD237="AttackEnd","TurnEnd",AD237="Immediately","Applied",AD237="None","None")</f>
        <v>Applied</v>
      </c>
      <c r="AF237" s="2">
        <v>0</v>
      </c>
      <c r="AG237" s="1">
        <v>0</v>
      </c>
      <c r="AH237" s="8">
        <v>0</v>
      </c>
      <c r="AI237" s="2" t="str">
        <f t="shared" si="55"/>
        <v>Immediately</v>
      </c>
      <c r="AJ237" s="2" t="str" cm="1">
        <f t="array" ref="AJ237">_xlfn.IFS(AI237="SignalHIt","TurnEnd",AI237="AttackBegin","TurnEnd",AI237="AttackEnd","TurnEnd",AI237="Immediately","Applied",AI237="None","None")</f>
        <v>Applied</v>
      </c>
      <c r="AK237" s="2">
        <v>0</v>
      </c>
      <c r="AL237" s="8">
        <v>0</v>
      </c>
      <c r="AM237" s="48">
        <v>0</v>
      </c>
      <c r="AN237" s="45" t="str">
        <f>IFERROR(_xlfn.XLOOKUP(W237,Target!$A:$A,Target!$B:$B),"None")</f>
        <v xml:space="preserve">가까운 적 1명 </v>
      </c>
      <c r="AO237" s="43" t="str">
        <f>IFERROR(_xlfn.XLOOKUP($X237,'BuffValue&lt;Child&gt;'!$A:$A,'BuffValue&lt;Child&gt;'!$F:$F),"None")</f>
        <v>액티브 대미지</v>
      </c>
      <c r="AP237" s="43">
        <f>IFERROR(_xlfn.XLOOKUP($X237,'BuffValue&lt;Child&gt;'!$A:$A,'BuffValue&lt;Child&gt;'!$K:$K),0)</f>
        <v>40000</v>
      </c>
      <c r="AQ237" s="43" t="str">
        <f>IFERROR(_xlfn.XLOOKUP(AB237,Target!$A:$A,Target!$B:$B),"None")</f>
        <v>None</v>
      </c>
      <c r="AR237" s="45" t="str">
        <f>IFERROR(_xlfn.XLOOKUP($AC237,'BuffValue&lt;Child&gt;'!$A:$A,'BuffValue&lt;Child&gt;'!$F:$F),"None")</f>
        <v>None</v>
      </c>
      <c r="AS237" s="45">
        <f>IFERROR(_xlfn.XLOOKUP($AC237,'BuffValue&lt;Child&gt;'!$A:$A,'BuffValue&lt;Child&gt;'!$K:$K),0)</f>
        <v>0</v>
      </c>
      <c r="AT237" s="43" t="str">
        <f>IFERROR(_xlfn.XLOOKUP(AG237,Target!$A:$A,Target!$B:$B),"None")</f>
        <v>None</v>
      </c>
      <c r="AU237" s="43" t="str">
        <f>IFERROR(_xlfn.XLOOKUP($AH237,'BuffValue&lt;Child&gt;'!$A:$A,'BuffValue&lt;Child&gt;'!$F:$F),"None")</f>
        <v>None</v>
      </c>
      <c r="AV237" s="43">
        <f>IFERROR(_xlfn.XLOOKUP($AH237,'BuffValue&lt;Child&gt;'!$A:$A,'BuffValue&lt;Child&gt;'!$K:$K),0)</f>
        <v>0</v>
      </c>
      <c r="AW237" s="43" t="str">
        <f>IFERROR(_xlfn.XLOOKUP(AL237,Target!$A:$A,Target!$B:$B),"None")</f>
        <v>None</v>
      </c>
      <c r="AX237" s="43" t="str">
        <f>IFERROR(_xlfn.XLOOKUP($AM237,'BuffValue&lt;Child&gt;'!$A:$A,'BuffValue&lt;Child&gt;'!$F:$F),"None")</f>
        <v>None</v>
      </c>
      <c r="AY237" s="43">
        <f>IFERROR(_xlfn.XLOOKUP($AM237,#REF!,#REF!),0)</f>
        <v>0</v>
      </c>
    </row>
    <row r="238" spans="1:51" x14ac:dyDescent="0.3">
      <c r="A238" s="1">
        <f>INT(2&amp;MID(_xlfn.XLOOKUP(B238,[2]Timeline!$B:$B,[2]Timeline!$A:$A),2,5)&amp;2)</f>
        <v>2304002</v>
      </c>
      <c r="B238" s="7" t="s">
        <v>619</v>
      </c>
      <c r="C238" s="7" t="s">
        <v>622</v>
      </c>
      <c r="D238" s="7" t="s">
        <v>572</v>
      </c>
      <c r="E238" s="1" t="str">
        <f t="shared" si="51"/>
        <v>skill_name_2304002</v>
      </c>
      <c r="F238" s="1" t="s">
        <v>117</v>
      </c>
      <c r="G238" s="1" t="s">
        <v>599</v>
      </c>
      <c r="H238" s="1" t="str">
        <f t="shared" si="34"/>
        <v>skill_desc_2304002</v>
      </c>
      <c r="I238" s="1" t="s">
        <v>205</v>
      </c>
      <c r="J238" s="1" t="str">
        <f>IFERROR(_xlfn.XLOOKUP(W238,Target!A:A,Target!J:J),"")</f>
        <v>Skill_Target_Icon_Enemy_Near_One</v>
      </c>
      <c r="K238" s="1" t="s">
        <v>205</v>
      </c>
      <c r="L238" s="1" t="str">
        <f>IFERROR(_xlfn.XLOOKUP(W238,Target!A:A,Target!K:K),"")</f>
        <v>Skill_Area_Icon_Pivot_Centor</v>
      </c>
      <c r="M238" s="1" t="str">
        <f>_xlfn.XLOOKUP(B238,'[2]Detail&lt;Child&gt;'!$B:$B,'[2]Detail&lt;Child&gt;'!$M:$M)</f>
        <v>Dark</v>
      </c>
      <c r="N238" s="1" t="str">
        <f>_xlfn.XLOOKUP(B238,'[2]Detail&lt;Child&gt;'!$B:$B,'[2]Detail&lt;Child&gt;'!$N:$N)</f>
        <v>Attacker</v>
      </c>
      <c r="O238" s="1" t="s">
        <v>33</v>
      </c>
      <c r="P238" s="33">
        <v>2</v>
      </c>
      <c r="Q238" s="68" t="str" cm="1">
        <f t="array" ref="Q238">_xlfn.IFS(R238="Move","Move",R238="NonTargetMove","Move",R238="Static","Stand",R238="None","Stand")</f>
        <v>Move</v>
      </c>
      <c r="R238" s="1" t="s">
        <v>144</v>
      </c>
      <c r="S238" s="1">
        <v>2</v>
      </c>
      <c r="T238" s="2" t="str">
        <f t="shared" si="52"/>
        <v>SignalHit</v>
      </c>
      <c r="U238" s="2" t="str" cm="1">
        <f t="array" ref="U238">_xlfn.IFS(T238="SignalHIt","TurnEnd",T238="AttackBegin","TurnEnd",T238="AttackEnd","TurnEnd",T238="Immediately","Applied",T238="None","None")</f>
        <v>TurnEnd</v>
      </c>
      <c r="V238" s="2">
        <v>0</v>
      </c>
      <c r="W238" s="1">
        <v>2000011</v>
      </c>
      <c r="X238" s="8">
        <f t="shared" si="56"/>
        <v>23040021</v>
      </c>
      <c r="Y238" s="1" t="str">
        <f t="shared" si="53"/>
        <v>Immediately</v>
      </c>
      <c r="Z238" s="2" t="str" cm="1">
        <f t="array" ref="Z238">_xlfn.IFS(Y238="SignalHIt","TurnEnd",Y238="AttackBegin","TurnEnd",Y238="AttackEnd","TurnEnd",Y238="Immediately","Applied",Y238="None","None")</f>
        <v>Applied</v>
      </c>
      <c r="AA238" s="2">
        <v>0</v>
      </c>
      <c r="AB238" s="1">
        <v>0</v>
      </c>
      <c r="AC238" s="8">
        <v>0</v>
      </c>
      <c r="AD238" s="2" t="str">
        <f t="shared" si="54"/>
        <v>Immediately</v>
      </c>
      <c r="AE238" s="2" t="str" cm="1">
        <f t="array" ref="AE238">_xlfn.IFS(AD238="SignalHIt","TurnEnd",AD238="AttackBegin","TurnEnd",AD238="AttackEnd","TurnEnd",AD238="Immediately","Applied",AD238="None","None")</f>
        <v>Applied</v>
      </c>
      <c r="AF238" s="2">
        <v>0</v>
      </c>
      <c r="AG238" s="1">
        <v>0</v>
      </c>
      <c r="AH238" s="8">
        <v>0</v>
      </c>
      <c r="AI238" s="2" t="str">
        <f t="shared" si="55"/>
        <v>Immediately</v>
      </c>
      <c r="AJ238" s="2" t="str" cm="1">
        <f t="array" ref="AJ238">_xlfn.IFS(AI238="SignalHIt","TurnEnd",AI238="AttackBegin","TurnEnd",AI238="AttackEnd","TurnEnd",AI238="Immediately","Applied",AI238="None","None")</f>
        <v>Applied</v>
      </c>
      <c r="AK238" s="2">
        <v>0</v>
      </c>
      <c r="AL238" s="8">
        <v>0</v>
      </c>
      <c r="AM238" s="48">
        <v>0</v>
      </c>
      <c r="AN238" s="45" t="str">
        <f>IFERROR(_xlfn.XLOOKUP(W238,Target!$A:$A,Target!$B:$B),"None")</f>
        <v xml:space="preserve">가까운 적 1명 </v>
      </c>
      <c r="AO238" s="43" t="str">
        <f>IFERROR(_xlfn.XLOOKUP($X238,'BuffValue&lt;Child&gt;'!$A:$A,'BuffValue&lt;Child&gt;'!$F:$F),"None")</f>
        <v>액티브 대미지</v>
      </c>
      <c r="AP238" s="43">
        <f>IFERROR(_xlfn.XLOOKUP($X238,'BuffValue&lt;Child&gt;'!$A:$A,'BuffValue&lt;Child&gt;'!$K:$K),0)</f>
        <v>40000</v>
      </c>
      <c r="AQ238" s="43" t="str">
        <f>IFERROR(_xlfn.XLOOKUP(AB238,Target!$A:$A,Target!$B:$B),"None")</f>
        <v>None</v>
      </c>
      <c r="AR238" s="45" t="str">
        <f>IFERROR(_xlfn.XLOOKUP($AC238,'BuffValue&lt;Child&gt;'!$A:$A,'BuffValue&lt;Child&gt;'!$F:$F),"None")</f>
        <v>None</v>
      </c>
      <c r="AS238" s="45">
        <f>IFERROR(_xlfn.XLOOKUP($AC238,'BuffValue&lt;Child&gt;'!$A:$A,'BuffValue&lt;Child&gt;'!$K:$K),0)</f>
        <v>0</v>
      </c>
      <c r="AT238" s="43" t="str">
        <f>IFERROR(_xlfn.XLOOKUP(AG238,Target!$A:$A,Target!$B:$B),"None")</f>
        <v>None</v>
      </c>
      <c r="AU238" s="43" t="str">
        <f>IFERROR(_xlfn.XLOOKUP($AH238,'BuffValue&lt;Child&gt;'!$A:$A,'BuffValue&lt;Child&gt;'!$F:$F),"None")</f>
        <v>None</v>
      </c>
      <c r="AV238" s="43">
        <f>IFERROR(_xlfn.XLOOKUP($AH238,'BuffValue&lt;Child&gt;'!$A:$A,'BuffValue&lt;Child&gt;'!$K:$K),0)</f>
        <v>0</v>
      </c>
      <c r="AW238" s="43" t="str">
        <f>IFERROR(_xlfn.XLOOKUP(AL238,Target!$A:$A,Target!$B:$B),"None")</f>
        <v>None</v>
      </c>
      <c r="AX238" s="43" t="str">
        <f>IFERROR(_xlfn.XLOOKUP($AM238,'BuffValue&lt;Child&gt;'!$A:$A,'BuffValue&lt;Child&gt;'!$F:$F),"None")</f>
        <v>None</v>
      </c>
      <c r="AY238" s="43">
        <f>IFERROR(_xlfn.XLOOKUP($AM238,#REF!,#REF!),0)</f>
        <v>0</v>
      </c>
    </row>
    <row r="239" spans="1:51" x14ac:dyDescent="0.3">
      <c r="A239" s="1">
        <f>INT(3&amp;MID(_xlfn.XLOOKUP(B239,[2]Timeline!$B:$B,[2]Timeline!$A:$A),2,5)&amp;1)</f>
        <v>3304001</v>
      </c>
      <c r="B239" s="7" t="s">
        <v>619</v>
      </c>
      <c r="C239" s="7" t="s">
        <v>625</v>
      </c>
      <c r="D239" s="7" t="s">
        <v>516</v>
      </c>
      <c r="E239" s="1" t="str">
        <f t="shared" si="51"/>
        <v>skill_name_3304001</v>
      </c>
      <c r="F239" s="1" t="s">
        <v>117</v>
      </c>
      <c r="G239" s="1" t="s">
        <v>600</v>
      </c>
      <c r="H239" s="1" t="str">
        <f t="shared" si="34"/>
        <v>skill_desc_3304001</v>
      </c>
      <c r="I239" s="1" t="s">
        <v>205</v>
      </c>
      <c r="J239" s="1" t="str">
        <f>IFERROR(_xlfn.XLOOKUP(W239,Target!A:A,Target!J:J),"")</f>
        <v>Skill_Target_Icon_Enemy_Near_One</v>
      </c>
      <c r="K239" s="1" t="s">
        <v>205</v>
      </c>
      <c r="L239" s="1" t="str">
        <f>IFERROR(_xlfn.XLOOKUP(W239,Target!A:A,Target!K:K),"")</f>
        <v>Skill_Area_Icon_Pivot_Row</v>
      </c>
      <c r="M239" s="1" t="str">
        <f>_xlfn.XLOOKUP(B239,'[2]Detail&lt;Child&gt;'!$B:$B,'[2]Detail&lt;Child&gt;'!$M:$M)</f>
        <v>Dark</v>
      </c>
      <c r="N239" s="1" t="str">
        <f>_xlfn.XLOOKUP(B239,'[2]Detail&lt;Child&gt;'!$B:$B,'[2]Detail&lt;Child&gt;'!$N:$N)</f>
        <v>Attacker</v>
      </c>
      <c r="O239" s="1" t="s">
        <v>140</v>
      </c>
      <c r="P239" s="33">
        <v>0</v>
      </c>
      <c r="Q239" s="68" t="str" cm="1">
        <f t="array" ref="Q239">_xlfn.IFS(R239="Move","Move",R239="NonTargetMove","Move",R239="Static","Stand",R239="None","Stand")</f>
        <v>Move</v>
      </c>
      <c r="R239" s="1" t="s">
        <v>153</v>
      </c>
      <c r="S239" s="1">
        <v>2</v>
      </c>
      <c r="T239" s="2" t="str">
        <f t="shared" si="52"/>
        <v>SignalHit</v>
      </c>
      <c r="U239" s="2" t="str" cm="1">
        <f t="array" ref="U239">_xlfn.IFS(T239="SignalHIt","TurnEnd",T239="AttackBegin","TurnEnd",T239="AttackEnd","TurnEnd",T239="Immediately","Applied",T239="None","None")</f>
        <v>TurnEnd</v>
      </c>
      <c r="V239" s="2">
        <v>0</v>
      </c>
      <c r="W239" s="1">
        <v>2000014</v>
      </c>
      <c r="X239" s="8">
        <f t="shared" si="56"/>
        <v>33040011</v>
      </c>
      <c r="Y239" s="1" t="str">
        <f t="shared" si="53"/>
        <v>Immediately</v>
      </c>
      <c r="Z239" s="2" t="str" cm="1">
        <f t="array" ref="Z239">_xlfn.IFS(Y239="SignalHIt","TurnEnd",Y239="AttackBegin","TurnEnd",Y239="AttackEnd","TurnEnd",Y239="Immediately","Applied",Y239="None","None")</f>
        <v>Applied</v>
      </c>
      <c r="AA239" s="2">
        <v>0</v>
      </c>
      <c r="AB239" s="1">
        <v>0</v>
      </c>
      <c r="AC239" s="8">
        <v>0</v>
      </c>
      <c r="AD239" s="2" t="str">
        <f t="shared" si="54"/>
        <v>Immediately</v>
      </c>
      <c r="AE239" s="2" t="str" cm="1">
        <f t="array" ref="AE239">_xlfn.IFS(AD239="SignalHIt","TurnEnd",AD239="AttackBegin","TurnEnd",AD239="AttackEnd","TurnEnd",AD239="Immediately","Applied",AD239="None","None")</f>
        <v>Applied</v>
      </c>
      <c r="AF239" s="2">
        <v>0</v>
      </c>
      <c r="AG239" s="1">
        <v>0</v>
      </c>
      <c r="AH239" s="8">
        <v>0</v>
      </c>
      <c r="AI239" s="2" t="str">
        <f t="shared" si="55"/>
        <v>Immediately</v>
      </c>
      <c r="AJ239" s="2" t="str" cm="1">
        <f t="array" ref="AJ239">_xlfn.IFS(AI239="SignalHIt","TurnEnd",AI239="AttackBegin","TurnEnd",AI239="AttackEnd","TurnEnd",AI239="Immediately","Applied",AI239="None","None")</f>
        <v>Applied</v>
      </c>
      <c r="AK239" s="2">
        <v>0</v>
      </c>
      <c r="AL239" s="1">
        <v>0</v>
      </c>
      <c r="AM239" s="48">
        <v>0</v>
      </c>
      <c r="AN239" s="45" t="str">
        <f>IFERROR(_xlfn.XLOOKUP(W239,Target!$A:$A,Target!$B:$B),"None")</f>
        <v>가까운 적 1명 2행</v>
      </c>
      <c r="AO239" s="43" t="str">
        <f>IFERROR(_xlfn.XLOOKUP($X239,'BuffValue&lt;Child&gt;'!$A:$A,'BuffValue&lt;Child&gt;'!$F:$F),"None")</f>
        <v>얼티밋 대미지</v>
      </c>
      <c r="AP239" s="43">
        <f>IFERROR(_xlfn.XLOOKUP($X239,'BuffValue&lt;Child&gt;'!$A:$A,'BuffValue&lt;Child&gt;'!$K:$K),0)</f>
        <v>320000</v>
      </c>
      <c r="AQ239" s="43" t="str">
        <f>IFERROR(_xlfn.XLOOKUP(AB239,Target!$A:$A,Target!$B:$B),"None")</f>
        <v>None</v>
      </c>
      <c r="AR239" s="45" t="str">
        <f>IFERROR(_xlfn.XLOOKUP($AC239,'BuffValue&lt;Child&gt;'!$A:$A,'BuffValue&lt;Child&gt;'!$F:$F),"None")</f>
        <v>None</v>
      </c>
      <c r="AS239" s="45">
        <f>IFERROR(_xlfn.XLOOKUP($AC239,'BuffValue&lt;Child&gt;'!$A:$A,'BuffValue&lt;Child&gt;'!$K:$K),0)</f>
        <v>0</v>
      </c>
      <c r="AT239" s="43" t="str">
        <f>IFERROR(_xlfn.XLOOKUP(AG239,Target!$A:$A,Target!$B:$B),"None")</f>
        <v>None</v>
      </c>
      <c r="AU239" s="43" t="str">
        <f>IFERROR(_xlfn.XLOOKUP($AH239,'BuffValue&lt;Child&gt;'!$A:$A,'BuffValue&lt;Child&gt;'!$F:$F),"None")</f>
        <v>None</v>
      </c>
      <c r="AV239" s="43">
        <f>IFERROR(_xlfn.XLOOKUP($AH239,'BuffValue&lt;Child&gt;'!$A:$A,'BuffValue&lt;Child&gt;'!$K:$K),0)</f>
        <v>0</v>
      </c>
      <c r="AW239" s="43" t="str">
        <f>IFERROR(_xlfn.XLOOKUP(AL239,Target!$A:$A,Target!$B:$B),"None")</f>
        <v>None</v>
      </c>
      <c r="AX239" s="43" t="str">
        <f>IFERROR(_xlfn.XLOOKUP($AM239,'BuffValue&lt;Child&gt;'!$A:$A,'BuffValue&lt;Child&gt;'!$F:$F),"None")</f>
        <v>None</v>
      </c>
      <c r="AY239" s="43">
        <f>IFERROR(_xlfn.XLOOKUP($AM239,#REF!,#REF!),0)</f>
        <v>0</v>
      </c>
    </row>
    <row r="240" spans="1:51" x14ac:dyDescent="0.3">
      <c r="A240" s="1">
        <f>INT(3&amp;MID(_xlfn.XLOOKUP(B240,[2]Timeline!$B:$B,[2]Timeline!$A:$A),2,5)&amp;2)</f>
        <v>3304002</v>
      </c>
      <c r="B240" s="7" t="s">
        <v>619</v>
      </c>
      <c r="C240" s="7" t="s">
        <v>624</v>
      </c>
      <c r="D240" s="7" t="s">
        <v>516</v>
      </c>
      <c r="E240" s="1" t="str">
        <f t="shared" si="51"/>
        <v>skill_name_3304002</v>
      </c>
      <c r="F240" s="1" t="s">
        <v>117</v>
      </c>
      <c r="G240" s="1" t="s">
        <v>600</v>
      </c>
      <c r="H240" s="1" t="str">
        <f t="shared" si="34"/>
        <v>skill_desc_3304002</v>
      </c>
      <c r="I240" s="1" t="s">
        <v>205</v>
      </c>
      <c r="J240" s="1" t="str">
        <f>IFERROR(_xlfn.XLOOKUP(W240,Target!A:A,Target!J:J),"")</f>
        <v>Skill_Target_Icon_Enemy_Near_One</v>
      </c>
      <c r="K240" s="1" t="s">
        <v>205</v>
      </c>
      <c r="L240" s="1" t="str">
        <f>IFERROR(_xlfn.XLOOKUP(W240,Target!A:A,Target!K:K),"")</f>
        <v>Skill_Area_Icon_Pivot_Row</v>
      </c>
      <c r="M240" s="1" t="str">
        <f>_xlfn.XLOOKUP(B240,'[2]Detail&lt;Child&gt;'!$B:$B,'[2]Detail&lt;Child&gt;'!$M:$M)</f>
        <v>Dark</v>
      </c>
      <c r="N240" s="1" t="str">
        <f>_xlfn.XLOOKUP(B240,'[2]Detail&lt;Child&gt;'!$B:$B,'[2]Detail&lt;Child&gt;'!$N:$N)</f>
        <v>Attacker</v>
      </c>
      <c r="O240" s="1" t="s">
        <v>140</v>
      </c>
      <c r="P240" s="33">
        <v>0</v>
      </c>
      <c r="Q240" s="68" t="str" cm="1">
        <f t="array" ref="Q240">_xlfn.IFS(R240="Move","Move",R240="NonTargetMove","Move",R240="Static","Stand",R240="None","Stand")</f>
        <v>Move</v>
      </c>
      <c r="R240" s="1" t="s">
        <v>153</v>
      </c>
      <c r="S240" s="1">
        <v>2</v>
      </c>
      <c r="T240" s="2" t="str">
        <f t="shared" si="52"/>
        <v>SignalHit</v>
      </c>
      <c r="U240" s="2" t="str" cm="1">
        <f t="array" ref="U240">_xlfn.IFS(T240="SignalHIt","TurnEnd",T240="AttackBegin","TurnEnd",T240="AttackEnd","TurnEnd",T240="Immediately","Applied",T240="None","None")</f>
        <v>TurnEnd</v>
      </c>
      <c r="V240" s="2">
        <v>0</v>
      </c>
      <c r="W240" s="1">
        <v>2000014</v>
      </c>
      <c r="X240" s="8">
        <f t="shared" si="56"/>
        <v>33040021</v>
      </c>
      <c r="Y240" s="1" t="str">
        <f t="shared" si="53"/>
        <v>Immediately</v>
      </c>
      <c r="Z240" s="2" t="str" cm="1">
        <f t="array" ref="Z240">_xlfn.IFS(Y240="SignalHIt","TurnEnd",Y240="AttackBegin","TurnEnd",Y240="AttackEnd","TurnEnd",Y240="Immediately","Applied",Y240="None","None")</f>
        <v>Applied</v>
      </c>
      <c r="AA240" s="2">
        <v>0</v>
      </c>
      <c r="AB240" s="1">
        <v>0</v>
      </c>
      <c r="AC240" s="8">
        <v>0</v>
      </c>
      <c r="AD240" s="2" t="str">
        <f t="shared" si="54"/>
        <v>Immediately</v>
      </c>
      <c r="AE240" s="2" t="str" cm="1">
        <f t="array" ref="AE240">_xlfn.IFS(AD240="SignalHIt","TurnEnd",AD240="AttackBegin","TurnEnd",AD240="AttackEnd","TurnEnd",AD240="Immediately","Applied",AD240="None","None")</f>
        <v>Applied</v>
      </c>
      <c r="AF240" s="2">
        <v>0</v>
      </c>
      <c r="AG240" s="1">
        <v>0</v>
      </c>
      <c r="AH240" s="8">
        <v>0</v>
      </c>
      <c r="AI240" s="2" t="str">
        <f t="shared" si="55"/>
        <v>Immediately</v>
      </c>
      <c r="AJ240" s="2" t="str" cm="1">
        <f t="array" ref="AJ240">_xlfn.IFS(AI240="SignalHIt","TurnEnd",AI240="AttackBegin","TurnEnd",AI240="AttackEnd","TurnEnd",AI240="Immediately","Applied",AI240="None","None")</f>
        <v>Applied</v>
      </c>
      <c r="AK240" s="2">
        <v>0</v>
      </c>
      <c r="AL240" s="1">
        <v>0</v>
      </c>
      <c r="AM240" s="48">
        <v>0</v>
      </c>
      <c r="AN240" s="45" t="str">
        <f>IFERROR(_xlfn.XLOOKUP(W240,Target!$A:$A,Target!$B:$B),"None")</f>
        <v>가까운 적 1명 2행</v>
      </c>
      <c r="AO240" s="43" t="str">
        <f>IFERROR(_xlfn.XLOOKUP($X240,'BuffValue&lt;Child&gt;'!$A:$A,'BuffValue&lt;Child&gt;'!$F:$F),"None")</f>
        <v>얼티밋 대미지</v>
      </c>
      <c r="AP240" s="43">
        <f>IFERROR(_xlfn.XLOOKUP($X240,'BuffValue&lt;Child&gt;'!$A:$A,'BuffValue&lt;Child&gt;'!$K:$K),0)</f>
        <v>320000</v>
      </c>
      <c r="AQ240" s="43" t="str">
        <f>IFERROR(_xlfn.XLOOKUP(AB240,Target!$A:$A,Target!$B:$B),"None")</f>
        <v>None</v>
      </c>
      <c r="AR240" s="45" t="str">
        <f>IFERROR(_xlfn.XLOOKUP($AC240,'BuffValue&lt;Child&gt;'!$A:$A,'BuffValue&lt;Child&gt;'!$F:$F),"None")</f>
        <v>None</v>
      </c>
      <c r="AS240" s="45">
        <f>IFERROR(_xlfn.XLOOKUP($AC240,'BuffValue&lt;Child&gt;'!$A:$A,'BuffValue&lt;Child&gt;'!$K:$K),0)</f>
        <v>0</v>
      </c>
      <c r="AT240" s="43" t="str">
        <f>IFERROR(_xlfn.XLOOKUP(AG240,Target!$A:$A,Target!$B:$B),"None")</f>
        <v>None</v>
      </c>
      <c r="AU240" s="43" t="str">
        <f>IFERROR(_xlfn.XLOOKUP($AH240,'BuffValue&lt;Child&gt;'!$A:$A,'BuffValue&lt;Child&gt;'!$F:$F),"None")</f>
        <v>None</v>
      </c>
      <c r="AV240" s="43">
        <f>IFERROR(_xlfn.XLOOKUP($AH240,'BuffValue&lt;Child&gt;'!$A:$A,'BuffValue&lt;Child&gt;'!$K:$K),0)</f>
        <v>0</v>
      </c>
      <c r="AW240" s="43" t="str">
        <f>IFERROR(_xlfn.XLOOKUP(AL240,Target!$A:$A,Target!$B:$B),"None")</f>
        <v>None</v>
      </c>
      <c r="AX240" s="43" t="str">
        <f>IFERROR(_xlfn.XLOOKUP($AM240,'BuffValue&lt;Child&gt;'!$A:$A,'BuffValue&lt;Child&gt;'!$F:$F),"None")</f>
        <v>None</v>
      </c>
      <c r="AY240" s="43">
        <f>IFERROR(_xlfn.XLOOKUP($AM240,#REF!,#REF!),0)</f>
        <v>0</v>
      </c>
    </row>
    <row r="241" spans="1:51" x14ac:dyDescent="0.3">
      <c r="A241" s="1">
        <f>INT(3&amp;MID(_xlfn.XLOOKUP(B241,[2]Timeline!$B:$B,[2]Timeline!$A:$A),2,5)&amp;3)</f>
        <v>3304003</v>
      </c>
      <c r="B241" s="7" t="s">
        <v>619</v>
      </c>
      <c r="C241" s="7" t="s">
        <v>624</v>
      </c>
      <c r="D241" s="7" t="s">
        <v>516</v>
      </c>
      <c r="E241" s="1" t="str">
        <f t="shared" si="51"/>
        <v>skill_name_3304003</v>
      </c>
      <c r="F241" s="1" t="s">
        <v>117</v>
      </c>
      <c r="G241" s="1" t="s">
        <v>600</v>
      </c>
      <c r="H241" s="1" t="str">
        <f t="shared" si="34"/>
        <v>skill_desc_3304003</v>
      </c>
      <c r="I241" s="1" t="s">
        <v>205</v>
      </c>
      <c r="J241" s="1" t="str">
        <f>IFERROR(_xlfn.XLOOKUP(W241,Target!A:A,Target!J:J),"")</f>
        <v>Skill_Target_Icon_Enemy_Near_One</v>
      </c>
      <c r="K241" s="1" t="s">
        <v>205</v>
      </c>
      <c r="L241" s="1" t="str">
        <f>IFERROR(_xlfn.XLOOKUP(W241,Target!A:A,Target!K:K),"")</f>
        <v>Skill_Area_Icon_Pivot_Row</v>
      </c>
      <c r="M241" s="1" t="str">
        <f>_xlfn.XLOOKUP(B241,'[2]Detail&lt;Child&gt;'!$B:$B,'[2]Detail&lt;Child&gt;'!$M:$M)</f>
        <v>Dark</v>
      </c>
      <c r="N241" s="1" t="str">
        <f>_xlfn.XLOOKUP(B241,'[2]Detail&lt;Child&gt;'!$B:$B,'[2]Detail&lt;Child&gt;'!$N:$N)</f>
        <v>Attacker</v>
      </c>
      <c r="O241" s="1" t="s">
        <v>140</v>
      </c>
      <c r="P241" s="33">
        <v>0</v>
      </c>
      <c r="Q241" s="68" t="str" cm="1">
        <f t="array" ref="Q241">_xlfn.IFS(R241="Move","Move",R241="NonTargetMove","Move",R241="Static","Stand",R241="None","Stand")</f>
        <v>Move</v>
      </c>
      <c r="R241" s="1" t="s">
        <v>153</v>
      </c>
      <c r="S241" s="1">
        <v>2</v>
      </c>
      <c r="T241" s="2" t="str">
        <f t="shared" si="52"/>
        <v>SignalHit</v>
      </c>
      <c r="U241" s="2" t="str" cm="1">
        <f t="array" ref="U241">_xlfn.IFS(T241="SignalHIt","TurnEnd",T241="AttackBegin","TurnEnd",T241="AttackEnd","TurnEnd",T241="Immediately","Applied",T241="None","None")</f>
        <v>TurnEnd</v>
      </c>
      <c r="V241" s="2">
        <v>0</v>
      </c>
      <c r="W241" s="1">
        <v>2000014</v>
      </c>
      <c r="X241" s="8">
        <f t="shared" si="56"/>
        <v>33040031</v>
      </c>
      <c r="Y241" s="1" t="str">
        <f t="shared" si="53"/>
        <v>Immediately</v>
      </c>
      <c r="Z241" s="2" t="str" cm="1">
        <f t="array" ref="Z241">_xlfn.IFS(Y241="SignalHIt","TurnEnd",Y241="AttackBegin","TurnEnd",Y241="AttackEnd","TurnEnd",Y241="Immediately","Applied",Y241="None","None")</f>
        <v>Applied</v>
      </c>
      <c r="AA241" s="2">
        <v>0</v>
      </c>
      <c r="AB241" s="1">
        <v>0</v>
      </c>
      <c r="AC241" s="8">
        <v>0</v>
      </c>
      <c r="AD241" s="2" t="str">
        <f t="shared" si="54"/>
        <v>Immediately</v>
      </c>
      <c r="AE241" s="2" t="str" cm="1">
        <f t="array" ref="AE241">_xlfn.IFS(AD241="SignalHIt","TurnEnd",AD241="AttackBegin","TurnEnd",AD241="AttackEnd","TurnEnd",AD241="Immediately","Applied",AD241="None","None")</f>
        <v>Applied</v>
      </c>
      <c r="AF241" s="2">
        <v>0</v>
      </c>
      <c r="AG241" s="1">
        <v>0</v>
      </c>
      <c r="AH241" s="8">
        <v>0</v>
      </c>
      <c r="AI241" s="2" t="str">
        <f t="shared" si="55"/>
        <v>Immediately</v>
      </c>
      <c r="AJ241" s="2" t="str" cm="1">
        <f t="array" ref="AJ241">_xlfn.IFS(AI241="SignalHIt","TurnEnd",AI241="AttackBegin","TurnEnd",AI241="AttackEnd","TurnEnd",AI241="Immediately","Applied",AI241="None","None")</f>
        <v>Applied</v>
      </c>
      <c r="AK241" s="2">
        <v>0</v>
      </c>
      <c r="AL241" s="1">
        <v>0</v>
      </c>
      <c r="AM241" s="48">
        <v>0</v>
      </c>
      <c r="AN241" s="45" t="str">
        <f>IFERROR(_xlfn.XLOOKUP(W241,Target!$A:$A,Target!$B:$B),"None")</f>
        <v>가까운 적 1명 2행</v>
      </c>
      <c r="AO241" s="43" t="str">
        <f>IFERROR(_xlfn.XLOOKUP($X241,'BuffValue&lt;Child&gt;'!$A:$A,'BuffValue&lt;Child&gt;'!$F:$F),"None")</f>
        <v>얼티밋 대미지</v>
      </c>
      <c r="AP241" s="43">
        <f>IFERROR(_xlfn.XLOOKUP($X241,'BuffValue&lt;Child&gt;'!$A:$A,'BuffValue&lt;Child&gt;'!$K:$K),0)</f>
        <v>320000</v>
      </c>
      <c r="AQ241" s="43" t="str">
        <f>IFERROR(_xlfn.XLOOKUP(AB241,Target!$A:$A,Target!$B:$B),"None")</f>
        <v>None</v>
      </c>
      <c r="AR241" s="45" t="str">
        <f>IFERROR(_xlfn.XLOOKUP($AC241,'BuffValue&lt;Child&gt;'!$A:$A,'BuffValue&lt;Child&gt;'!$F:$F),"None")</f>
        <v>None</v>
      </c>
      <c r="AS241" s="45">
        <f>IFERROR(_xlfn.XLOOKUP($AC241,'BuffValue&lt;Child&gt;'!$A:$A,'BuffValue&lt;Child&gt;'!$K:$K),0)</f>
        <v>0</v>
      </c>
      <c r="AT241" s="43" t="str">
        <f>IFERROR(_xlfn.XLOOKUP(AG241,Target!$A:$A,Target!$B:$B),"None")</f>
        <v>None</v>
      </c>
      <c r="AU241" s="43" t="str">
        <f>IFERROR(_xlfn.XLOOKUP($AH241,'BuffValue&lt;Child&gt;'!$A:$A,'BuffValue&lt;Child&gt;'!$F:$F),"None")</f>
        <v>None</v>
      </c>
      <c r="AV241" s="43">
        <f>IFERROR(_xlfn.XLOOKUP($AH241,'BuffValue&lt;Child&gt;'!$A:$A,'BuffValue&lt;Child&gt;'!$K:$K),0)</f>
        <v>0</v>
      </c>
      <c r="AW241" s="43" t="str">
        <f>IFERROR(_xlfn.XLOOKUP(AL241,Target!$A:$A,Target!$B:$B),"None")</f>
        <v>None</v>
      </c>
      <c r="AX241" s="43" t="str">
        <f>IFERROR(_xlfn.XLOOKUP($AM241,'BuffValue&lt;Child&gt;'!$A:$A,'BuffValue&lt;Child&gt;'!$F:$F),"None")</f>
        <v>None</v>
      </c>
      <c r="AY241" s="43">
        <f>IFERROR(_xlfn.XLOOKUP($AM241,#REF!,#REF!),0)</f>
        <v>0</v>
      </c>
    </row>
    <row r="242" spans="1:51" x14ac:dyDescent="0.3">
      <c r="A242" s="1">
        <f>INT(4&amp;MID(_xlfn.XLOOKUP(B242,[2]Timeline!$B:$B,[2]Timeline!$A:$A),2,5)&amp;1)</f>
        <v>4304001</v>
      </c>
      <c r="B242" s="7" t="s">
        <v>619</v>
      </c>
      <c r="C242" s="7" t="s">
        <v>122</v>
      </c>
      <c r="D242" s="7" t="s">
        <v>347</v>
      </c>
      <c r="E242" s="1" t="str">
        <f t="shared" si="51"/>
        <v>skill_name_4304001</v>
      </c>
      <c r="F242" s="1" t="s">
        <v>117</v>
      </c>
      <c r="G242" s="1" t="s">
        <v>601</v>
      </c>
      <c r="H242" s="1" t="str">
        <f t="shared" si="34"/>
        <v>skill_desc_4304001</v>
      </c>
      <c r="I242" s="1" t="s">
        <v>205</v>
      </c>
      <c r="J242" s="1" t="str">
        <f>IFERROR(_xlfn.XLOOKUP(W242,Target!A:A,Target!J:J),"")</f>
        <v>Skill_Target_Icon_Mine</v>
      </c>
      <c r="K242" s="1" t="s">
        <v>205</v>
      </c>
      <c r="L242" s="1" t="str">
        <f>IFERROR(_xlfn.XLOOKUP(W242,Target!A:A,Target!K:K),"")</f>
        <v>Skill_Area_Icon_Pivot_Centor</v>
      </c>
      <c r="M242" s="1" t="str">
        <f>_xlfn.XLOOKUP(B242,'[2]Detail&lt;Child&gt;'!$B:$B,'[2]Detail&lt;Child&gt;'!$M:$M)</f>
        <v>Dark</v>
      </c>
      <c r="N242" s="1" t="str">
        <f>_xlfn.XLOOKUP(B242,'[2]Detail&lt;Child&gt;'!$B:$B,'[2]Detail&lt;Child&gt;'!$N:$N)</f>
        <v>Attacker</v>
      </c>
      <c r="O242" s="1" t="s">
        <v>167</v>
      </c>
      <c r="P242" s="33">
        <v>0</v>
      </c>
      <c r="Q242" s="68" t="str" cm="1">
        <f t="array" ref="Q242">_xlfn.IFS(R242="Move","Move",R242="NonTargetMove","Move",R242="Static","Stand",R242="None","Stand")</f>
        <v>Stand</v>
      </c>
      <c r="R242" s="1" t="s">
        <v>136</v>
      </c>
      <c r="S242" s="1">
        <f>IF(R242="Static",0,1)</f>
        <v>0</v>
      </c>
      <c r="T242" s="2" t="str">
        <f t="shared" si="52"/>
        <v>Immediately</v>
      </c>
      <c r="U242" s="2" t="str" cm="1">
        <f t="array" ref="U242">_xlfn.IFS(T242="SignalHIt","TurnEnd",T242="AttackBegin","TurnEnd",T242="AttackEnd","TurnEnd",T242="Immediately","Applied",T242="None","None")</f>
        <v>Applied</v>
      </c>
      <c r="V242" s="2">
        <v>0</v>
      </c>
      <c r="W242" s="1">
        <v>1</v>
      </c>
      <c r="X242" s="8">
        <f t="shared" si="56"/>
        <v>43040011</v>
      </c>
      <c r="Y242" s="1" t="str">
        <f t="shared" si="53"/>
        <v>Immediately</v>
      </c>
      <c r="Z242" s="2" t="str" cm="1">
        <f t="array" ref="Z242">_xlfn.IFS(Y242="SignalHIt","TurnEnd",Y242="AttackBegin","TurnEnd",Y242="AttackEnd","TurnEnd",Y242="Immediately","Applied",Y242="None","None")</f>
        <v>Applied</v>
      </c>
      <c r="AA242" s="2">
        <v>0</v>
      </c>
      <c r="AB242" s="1">
        <v>0</v>
      </c>
      <c r="AC242" s="8">
        <v>0</v>
      </c>
      <c r="AD242" s="2" t="str">
        <f t="shared" si="54"/>
        <v>Immediately</v>
      </c>
      <c r="AE242" s="2" t="str" cm="1">
        <f t="array" ref="AE242">_xlfn.IFS(AD242="SignalHIt","TurnEnd",AD242="AttackBegin","TurnEnd",AD242="AttackEnd","TurnEnd",AD242="Immediately","Applied",AD242="None","None")</f>
        <v>Applied</v>
      </c>
      <c r="AF242" s="2">
        <v>0</v>
      </c>
      <c r="AG242" s="1">
        <v>0</v>
      </c>
      <c r="AH242" s="8">
        <v>0</v>
      </c>
      <c r="AI242" s="2" t="str">
        <f t="shared" si="55"/>
        <v>Immediately</v>
      </c>
      <c r="AJ242" s="2" t="str" cm="1">
        <f t="array" ref="AJ242">_xlfn.IFS(AI242="SignalHIt","TurnEnd",AI242="AttackBegin","TurnEnd",AI242="AttackEnd","TurnEnd",AI242="Immediately","Applied",AI242="None","None")</f>
        <v>Applied</v>
      </c>
      <c r="AK242" s="2">
        <v>0</v>
      </c>
      <c r="AL242" s="8">
        <v>0</v>
      </c>
      <c r="AM242" s="48">
        <v>0</v>
      </c>
      <c r="AN242" s="45" t="str">
        <f>IFERROR(_xlfn.XLOOKUP(W242,Target!$A:$A,Target!$B:$B),"None")</f>
        <v xml:space="preserve"> 자신 1명 </v>
      </c>
      <c r="AO242" s="43" t="str">
        <f>IFERROR(_xlfn.XLOOKUP($X242,'BuffValue&lt;Child&gt;'!$A:$A,'BuffValue&lt;Child&gt;'!$F:$F),"None")</f>
        <v>힐드 패시브 버프당 치명타 확률 증가</v>
      </c>
      <c r="AP242" s="43">
        <f>IFERROR(_xlfn.XLOOKUP($X242,'BuffValue&lt;Child&gt;'!$A:$A,'BuffValue&lt;Child&gt;'!$K:$K),0)</f>
        <v>5000</v>
      </c>
      <c r="AQ242" s="43" t="str">
        <f>IFERROR(_xlfn.XLOOKUP(AB242,Target!$A:$A,Target!$B:$B),"None")</f>
        <v>None</v>
      </c>
      <c r="AR242" s="45" t="str">
        <f>IFERROR(_xlfn.XLOOKUP($AC242,'BuffValue&lt;Child&gt;'!$A:$A,'BuffValue&lt;Child&gt;'!$F:$F),"None")</f>
        <v>None</v>
      </c>
      <c r="AS242" s="45">
        <f>IFERROR(_xlfn.XLOOKUP($AC242,'BuffValue&lt;Child&gt;'!$A:$A,'BuffValue&lt;Child&gt;'!$K:$K),0)</f>
        <v>0</v>
      </c>
      <c r="AT242" s="43" t="str">
        <f>IFERROR(_xlfn.XLOOKUP(AG242,Target!$A:$A,Target!$B:$B),"None")</f>
        <v>None</v>
      </c>
      <c r="AU242" s="43" t="str">
        <f>IFERROR(_xlfn.XLOOKUP($AH242,'BuffValue&lt;Child&gt;'!$A:$A,'BuffValue&lt;Child&gt;'!$F:$F),"None")</f>
        <v>None</v>
      </c>
      <c r="AV242" s="43">
        <f>IFERROR(_xlfn.XLOOKUP($AH242,'BuffValue&lt;Child&gt;'!$A:$A,'BuffValue&lt;Child&gt;'!$K:$K),0)</f>
        <v>0</v>
      </c>
      <c r="AW242" s="43" t="str">
        <f>IFERROR(_xlfn.XLOOKUP(AL242,Target!$A:$A,Target!$B:$B),"None")</f>
        <v>None</v>
      </c>
      <c r="AX242" s="43" t="str">
        <f>IFERROR(_xlfn.XLOOKUP($AM242,'BuffValue&lt;Child&gt;'!$A:$A,'BuffValue&lt;Child&gt;'!$F:$F),"None")</f>
        <v>None</v>
      </c>
      <c r="AY242" s="43">
        <f>IFERROR(_xlfn.XLOOKUP($AM242,#REF!,#REF!),0)</f>
        <v>0</v>
      </c>
    </row>
    <row r="243" spans="1:51" x14ac:dyDescent="0.3">
      <c r="A243" s="1">
        <f>INT(4&amp;MID(_xlfn.XLOOKUP(B243,[2]Timeline!$B:$B,[2]Timeline!$A:$A),2,5)&amp;2)</f>
        <v>4304002</v>
      </c>
      <c r="B243" s="7" t="s">
        <v>619</v>
      </c>
      <c r="C243" s="7" t="s">
        <v>122</v>
      </c>
      <c r="D243" s="7" t="s">
        <v>347</v>
      </c>
      <c r="E243" s="1" t="str">
        <f t="shared" si="51"/>
        <v>skill_name_4304002</v>
      </c>
      <c r="F243" s="1" t="s">
        <v>117</v>
      </c>
      <c r="G243" s="1" t="s">
        <v>601</v>
      </c>
      <c r="H243" s="1" t="str">
        <f t="shared" si="34"/>
        <v>skill_desc_4304002</v>
      </c>
      <c r="I243" s="1" t="s">
        <v>205</v>
      </c>
      <c r="J243" s="1" t="str">
        <f>IFERROR(_xlfn.XLOOKUP(W243,Target!A:A,Target!J:J),"")</f>
        <v>Skill_Target_Icon_Mine</v>
      </c>
      <c r="K243" s="1" t="s">
        <v>205</v>
      </c>
      <c r="L243" s="1" t="str">
        <f>IFERROR(_xlfn.XLOOKUP(W243,Target!A:A,Target!K:K),"")</f>
        <v>Skill_Area_Icon_Pivot_Centor</v>
      </c>
      <c r="M243" s="1" t="str">
        <f>_xlfn.XLOOKUP(B243,'[2]Detail&lt;Child&gt;'!$B:$B,'[2]Detail&lt;Child&gt;'!$M:$M)</f>
        <v>Dark</v>
      </c>
      <c r="N243" s="1" t="str">
        <f>_xlfn.XLOOKUP(B243,'[2]Detail&lt;Child&gt;'!$B:$B,'[2]Detail&lt;Child&gt;'!$N:$N)</f>
        <v>Attacker</v>
      </c>
      <c r="O243" s="1" t="s">
        <v>167</v>
      </c>
      <c r="P243" s="33">
        <v>0</v>
      </c>
      <c r="Q243" s="68" t="str" cm="1">
        <f t="array" ref="Q243">_xlfn.IFS(R243="Move","Move",R243="NonTargetMove","Move",R243="Static","Stand",R243="None","Stand")</f>
        <v>Stand</v>
      </c>
      <c r="R243" s="1" t="s">
        <v>136</v>
      </c>
      <c r="S243" s="1">
        <f>IF(R243="Static",0,1)</f>
        <v>0</v>
      </c>
      <c r="T243" s="2" t="str">
        <f t="shared" si="52"/>
        <v>Immediately</v>
      </c>
      <c r="U243" s="2" t="str" cm="1">
        <f t="array" ref="U243">_xlfn.IFS(T243="SignalHIt","TurnEnd",T243="AttackBegin","TurnEnd",T243="AttackEnd","TurnEnd",T243="Immediately","Applied",T243="None","None")</f>
        <v>Applied</v>
      </c>
      <c r="V243" s="2">
        <v>0</v>
      </c>
      <c r="W243" s="1">
        <v>1</v>
      </c>
      <c r="X243" s="8">
        <f t="shared" si="56"/>
        <v>43040021</v>
      </c>
      <c r="Y243" s="1" t="str">
        <f t="shared" si="53"/>
        <v>Immediately</v>
      </c>
      <c r="Z243" s="2" t="str" cm="1">
        <f t="array" ref="Z243">_xlfn.IFS(Y243="SignalHIt","TurnEnd",Y243="AttackBegin","TurnEnd",Y243="AttackEnd","TurnEnd",Y243="Immediately","Applied",Y243="None","None")</f>
        <v>Applied</v>
      </c>
      <c r="AA243" s="2">
        <v>0</v>
      </c>
      <c r="AB243" s="1">
        <v>0</v>
      </c>
      <c r="AC243" s="8">
        <v>0</v>
      </c>
      <c r="AD243" s="2" t="str">
        <f t="shared" si="54"/>
        <v>Immediately</v>
      </c>
      <c r="AE243" s="2" t="str" cm="1">
        <f t="array" ref="AE243">_xlfn.IFS(AD243="SignalHIt","TurnEnd",AD243="AttackBegin","TurnEnd",AD243="AttackEnd","TurnEnd",AD243="Immediately","Applied",AD243="None","None")</f>
        <v>Applied</v>
      </c>
      <c r="AF243" s="2">
        <v>0</v>
      </c>
      <c r="AG243" s="1">
        <v>0</v>
      </c>
      <c r="AH243" s="8">
        <v>0</v>
      </c>
      <c r="AI243" s="2" t="str">
        <f t="shared" si="55"/>
        <v>Immediately</v>
      </c>
      <c r="AJ243" s="2" t="str" cm="1">
        <f t="array" ref="AJ243">_xlfn.IFS(AI243="SignalHIt","TurnEnd",AI243="AttackBegin","TurnEnd",AI243="AttackEnd","TurnEnd",AI243="Immediately","Applied",AI243="None","None")</f>
        <v>Applied</v>
      </c>
      <c r="AK243" s="2">
        <v>0</v>
      </c>
      <c r="AL243" s="8">
        <v>0</v>
      </c>
      <c r="AM243" s="48">
        <v>0</v>
      </c>
      <c r="AN243" s="45" t="str">
        <f>IFERROR(_xlfn.XLOOKUP(W243,Target!$A:$A,Target!$B:$B),"None")</f>
        <v xml:space="preserve"> 자신 1명 </v>
      </c>
      <c r="AO243" s="43" t="str">
        <f>IFERROR(_xlfn.XLOOKUP($X243,'BuffValue&lt;Child&gt;'!$A:$A,'BuffValue&lt;Child&gt;'!$F:$F),"None")</f>
        <v>힐드 패시브 버프당 치명타 확률 증가</v>
      </c>
      <c r="AP243" s="43">
        <f>IFERROR(_xlfn.XLOOKUP($X243,'BuffValue&lt;Child&gt;'!$A:$A,'BuffValue&lt;Child&gt;'!$K:$K),0)</f>
        <v>5000</v>
      </c>
      <c r="AQ243" s="43" t="str">
        <f>IFERROR(_xlfn.XLOOKUP(AB243,Target!$A:$A,Target!$B:$B),"None")</f>
        <v>None</v>
      </c>
      <c r="AR243" s="45" t="str">
        <f>IFERROR(_xlfn.XLOOKUP($AC243,'BuffValue&lt;Child&gt;'!$A:$A,'BuffValue&lt;Child&gt;'!$F:$F),"None")</f>
        <v>None</v>
      </c>
      <c r="AS243" s="45">
        <f>IFERROR(_xlfn.XLOOKUP($AC243,'BuffValue&lt;Child&gt;'!$A:$A,'BuffValue&lt;Child&gt;'!$K:$K),0)</f>
        <v>0</v>
      </c>
      <c r="AT243" s="43" t="str">
        <f>IFERROR(_xlfn.XLOOKUP(AG243,Target!$A:$A,Target!$B:$B),"None")</f>
        <v>None</v>
      </c>
      <c r="AU243" s="43" t="str">
        <f>IFERROR(_xlfn.XLOOKUP($AH243,'BuffValue&lt;Child&gt;'!$A:$A,'BuffValue&lt;Child&gt;'!$F:$F),"None")</f>
        <v>None</v>
      </c>
      <c r="AV243" s="43">
        <f>IFERROR(_xlfn.XLOOKUP($AH243,'BuffValue&lt;Child&gt;'!$A:$A,'BuffValue&lt;Child&gt;'!$K:$K),0)</f>
        <v>0</v>
      </c>
      <c r="AW243" s="43" t="str">
        <f>IFERROR(_xlfn.XLOOKUP(AL243,Target!$A:$A,Target!$B:$B),"None")</f>
        <v>None</v>
      </c>
      <c r="AX243" s="43" t="str">
        <f>IFERROR(_xlfn.XLOOKUP($AM243,'BuffValue&lt;Child&gt;'!$A:$A,'BuffValue&lt;Child&gt;'!$F:$F),"None")</f>
        <v>None</v>
      </c>
      <c r="AY243" s="43">
        <f>IFERROR(_xlfn.XLOOKUP($AM243,#REF!,#REF!),0)</f>
        <v>0</v>
      </c>
    </row>
    <row r="244" spans="1:51" s="11" customFormat="1" x14ac:dyDescent="0.3">
      <c r="A244" s="11">
        <f>INT(1&amp;MID(_xlfn.XLOOKUP(B244,[2]Timeline!$B:$B,[2]Timeline!$A:$A),2,5)&amp;1)</f>
        <v>1304471</v>
      </c>
      <c r="B244" s="12" t="s">
        <v>633</v>
      </c>
      <c r="C244" s="12" t="s">
        <v>626</v>
      </c>
      <c r="D244" s="12" t="s">
        <v>544</v>
      </c>
      <c r="E244" s="11" t="str">
        <f t="shared" si="51"/>
        <v>skill_name_1304471</v>
      </c>
      <c r="F244" s="11" t="s">
        <v>117</v>
      </c>
      <c r="G244" s="11" t="s">
        <v>598</v>
      </c>
      <c r="H244" s="11" t="str">
        <f t="shared" si="34"/>
        <v>skill_desc_1304471</v>
      </c>
      <c r="I244" s="11" t="s">
        <v>205</v>
      </c>
      <c r="J244" s="11" t="str">
        <f>IFERROR(_xlfn.XLOOKUP(W244,Target!A:A,Target!J:J),"")</f>
        <v>Skill_Target_Icon_Enemy_Near_One</v>
      </c>
      <c r="K244" s="11" t="s">
        <v>205</v>
      </c>
      <c r="L244" s="11" t="str">
        <f>IFERROR(_xlfn.XLOOKUP(W244,Target!A:A,Target!K:K),"")</f>
        <v>Skill_Area_Icon_Pivot_Centor</v>
      </c>
      <c r="M244" s="11" t="str">
        <f>_xlfn.XLOOKUP(B244,'[2]Detail&lt;Child&gt;'!$B:$B,'[2]Detail&lt;Child&gt;'!$M:$M)</f>
        <v>Forest</v>
      </c>
      <c r="N244" s="11" t="str">
        <f>_xlfn.XLOOKUP(B244,'[2]Detail&lt;Child&gt;'!$B:$B,'[2]Detail&lt;Child&gt;'!$N:$N)</f>
        <v>Supporter</v>
      </c>
      <c r="O244" s="11" t="s">
        <v>30</v>
      </c>
      <c r="P244" s="34">
        <v>0</v>
      </c>
      <c r="Q244" s="69" t="s">
        <v>499</v>
      </c>
      <c r="R244" s="11" t="s">
        <v>137</v>
      </c>
      <c r="S244" s="11">
        <v>2</v>
      </c>
      <c r="T244" s="15" t="str">
        <f t="shared" si="52"/>
        <v>SignalHit</v>
      </c>
      <c r="U244" s="15" t="str" cm="1">
        <f t="array" ref="U244">_xlfn.IFS(T244="SignalHIt","TurnEnd",T244="AttackBegin","TurnEnd",T244="AttackEnd","TurnEnd",T244="Immediately","Applied",T244="None","None")</f>
        <v>TurnEnd</v>
      </c>
      <c r="V244" s="15">
        <v>0</v>
      </c>
      <c r="W244" s="11">
        <v>2000011</v>
      </c>
      <c r="X244" s="10">
        <f>INT(A244&amp;1)</f>
        <v>13044711</v>
      </c>
      <c r="Y244" s="11" t="str">
        <f t="shared" si="53"/>
        <v>Immediately</v>
      </c>
      <c r="Z244" s="15" t="str" cm="1">
        <f t="array" ref="Z244">_xlfn.IFS(Y244="SignalHIt","TurnEnd",Y244="AttackBegin","TurnEnd",Y244="AttackEnd","TurnEnd",Y244="Immediately","Applied",Y244="None","None")</f>
        <v>Applied</v>
      </c>
      <c r="AA244" s="15">
        <v>0</v>
      </c>
      <c r="AB244" s="11">
        <v>0</v>
      </c>
      <c r="AC244" s="10">
        <v>0</v>
      </c>
      <c r="AD244" s="15" t="str">
        <f t="shared" si="54"/>
        <v>Immediately</v>
      </c>
      <c r="AE244" s="15" t="str" cm="1">
        <f t="array" ref="AE244">_xlfn.IFS(AD244="SignalHIt","TurnEnd",AD244="AttackBegin","TurnEnd",AD244="AttackEnd","TurnEnd",AD244="Immediately","Applied",AD244="None","None")</f>
        <v>Applied</v>
      </c>
      <c r="AF244" s="15">
        <v>0</v>
      </c>
      <c r="AG244" s="11">
        <v>0</v>
      </c>
      <c r="AH244" s="10">
        <v>0</v>
      </c>
      <c r="AI244" s="15" t="str">
        <f t="shared" si="55"/>
        <v>Immediately</v>
      </c>
      <c r="AJ244" s="15" t="str" cm="1">
        <f t="array" ref="AJ244">_xlfn.IFS(AI244="SignalHIt","TurnEnd",AI244="AttackBegin","TurnEnd",AI244="AttackEnd","TurnEnd",AI244="Immediately","Applied",AI244="None","None")</f>
        <v>Applied</v>
      </c>
      <c r="AK244" s="15">
        <v>0</v>
      </c>
      <c r="AL244" s="10">
        <v>0</v>
      </c>
      <c r="AM244" s="50">
        <v>0</v>
      </c>
      <c r="AN244" s="46" t="str">
        <f>IFERROR(_xlfn.XLOOKUP(W244,Target!$A:$A,Target!$B:$B),"None")</f>
        <v xml:space="preserve">가까운 적 1명 </v>
      </c>
      <c r="AO244" s="47" t="str">
        <f>IFERROR(_xlfn.XLOOKUP($X244,'BuffValue&lt;Child&gt;'!$A:$A,'BuffValue&lt;Child&gt;'!$F:$F),"None")</f>
        <v>공용 대미지</v>
      </c>
      <c r="AP244" s="47">
        <f>IFERROR(_xlfn.XLOOKUP($X244,'BuffValue&lt;Child&gt;'!$A:$A,'BuffValue&lt;Child&gt;'!$K:$K),0)</f>
        <v>150000</v>
      </c>
      <c r="AQ244" s="47" t="str">
        <f>IFERROR(_xlfn.XLOOKUP(AB244,Target!$A:$A,Target!$B:$B),"None")</f>
        <v>None</v>
      </c>
      <c r="AR244" s="46" t="str">
        <f>IFERROR(_xlfn.XLOOKUP($AC244,'BuffValue&lt;Child&gt;'!$A:$A,'BuffValue&lt;Child&gt;'!$F:$F),"None")</f>
        <v>None</v>
      </c>
      <c r="AS244" s="46">
        <f>IFERROR(_xlfn.XLOOKUP($AC244,'BuffValue&lt;Child&gt;'!$A:$A,'BuffValue&lt;Child&gt;'!$K:$K),0)</f>
        <v>0</v>
      </c>
      <c r="AT244" s="47" t="str">
        <f>IFERROR(_xlfn.XLOOKUP(AG244,Target!$A:$A,Target!$B:$B),"None")</f>
        <v>None</v>
      </c>
      <c r="AU244" s="47" t="str">
        <f>IFERROR(_xlfn.XLOOKUP($AH244,'BuffValue&lt;Child&gt;'!$A:$A,'BuffValue&lt;Child&gt;'!$F:$F),"None")</f>
        <v>None</v>
      </c>
      <c r="AV244" s="47">
        <f>IFERROR(_xlfn.XLOOKUP($AH244,'BuffValue&lt;Child&gt;'!$A:$A,'BuffValue&lt;Child&gt;'!$K:$K),0)</f>
        <v>0</v>
      </c>
      <c r="AW244" s="47" t="str">
        <f>IFERROR(_xlfn.XLOOKUP(AL244,Target!$A:$A,Target!$B:$B),"None")</f>
        <v>None</v>
      </c>
      <c r="AX244" s="47" t="str">
        <f>IFERROR(_xlfn.XLOOKUP($AM244,'BuffValue&lt;Child&gt;'!$A:$A,'BuffValue&lt;Child&gt;'!$F:$F),"None")</f>
        <v>None</v>
      </c>
      <c r="AY244" s="47">
        <f>IFERROR(_xlfn.XLOOKUP($AM244,#REF!,#REF!),0)</f>
        <v>0</v>
      </c>
    </row>
    <row r="245" spans="1:51" x14ac:dyDescent="0.3">
      <c r="A245" s="1">
        <f>INT(2&amp;MID(_xlfn.XLOOKUP(B245,[2]Timeline!$B:$B,[2]Timeline!$A:$A),2,5)&amp;1)</f>
        <v>2304471</v>
      </c>
      <c r="B245" s="7" t="s">
        <v>632</v>
      </c>
      <c r="C245" s="7" t="s">
        <v>628</v>
      </c>
      <c r="D245" s="7" t="s">
        <v>572</v>
      </c>
      <c r="E245" s="1" t="str">
        <f t="shared" si="51"/>
        <v>skill_name_2304471</v>
      </c>
      <c r="F245" s="1" t="s">
        <v>117</v>
      </c>
      <c r="G245" s="1" t="s">
        <v>599</v>
      </c>
      <c r="H245" s="1" t="str">
        <f t="shared" si="34"/>
        <v>skill_desc_2304471</v>
      </c>
      <c r="I245" s="1" t="s">
        <v>205</v>
      </c>
      <c r="J245" s="1" t="str">
        <f>IFERROR(_xlfn.XLOOKUP(W245,Target!A:A,Target!J:J),"")</f>
        <v>Skill_Target_Icon_Enemy_Near_One</v>
      </c>
      <c r="K245" s="1" t="s">
        <v>205</v>
      </c>
      <c r="L245" s="1" t="str">
        <f>IFERROR(_xlfn.XLOOKUP(W245,Target!A:A,Target!K:K),"")</f>
        <v>Skill_Area_Icon_Pivot_Centor</v>
      </c>
      <c r="M245" s="1" t="str">
        <f>_xlfn.XLOOKUP(B245,'[2]Detail&lt;Child&gt;'!$B:$B,'[2]Detail&lt;Child&gt;'!$M:$M)</f>
        <v>Forest</v>
      </c>
      <c r="N245" s="1" t="str">
        <f>_xlfn.XLOOKUP(B245,'[2]Detail&lt;Child&gt;'!$B:$B,'[2]Detail&lt;Child&gt;'!$N:$N)</f>
        <v>Supporter</v>
      </c>
      <c r="O245" s="1" t="s">
        <v>33</v>
      </c>
      <c r="P245" s="33">
        <v>3</v>
      </c>
      <c r="Q245" s="68" t="str" cm="1">
        <f t="array" ref="Q245">_xlfn.IFS(R245="Move","Move",R245="NonTargetMove","Move",R245="Static","Stand",R245="None","Stand")</f>
        <v>Move</v>
      </c>
      <c r="R245" s="1" t="s">
        <v>144</v>
      </c>
      <c r="S245" s="1">
        <v>2</v>
      </c>
      <c r="T245" s="2" t="str">
        <f t="shared" si="52"/>
        <v>SignalHit</v>
      </c>
      <c r="U245" s="2" t="str" cm="1">
        <f t="array" ref="U245">_xlfn.IFS(T245="SignalHIt","TurnEnd",T245="AttackBegin","TurnEnd",T245="AttackEnd","TurnEnd",T245="Immediately","Applied",T245="None","None")</f>
        <v>TurnEnd</v>
      </c>
      <c r="V245" s="2">
        <v>0</v>
      </c>
      <c r="W245" s="1">
        <v>2000011</v>
      </c>
      <c r="X245" s="8">
        <f t="shared" ref="X245:X251" si="57">INT(A245&amp;1)</f>
        <v>23044711</v>
      </c>
      <c r="Y245" s="1" t="str">
        <f t="shared" si="53"/>
        <v>Immediately</v>
      </c>
      <c r="Z245" s="2" t="str" cm="1">
        <f t="array" ref="Z245">_xlfn.IFS(Y245="SignalHIt","TurnEnd",Y245="AttackBegin","TurnEnd",Y245="AttackEnd","TurnEnd",Y245="Immediately","Applied",Y245="None","None")</f>
        <v>Applied</v>
      </c>
      <c r="AA245" s="2">
        <v>0</v>
      </c>
      <c r="AB245" s="1">
        <v>0</v>
      </c>
      <c r="AC245" s="8">
        <v>0</v>
      </c>
      <c r="AD245" s="2" t="str">
        <f t="shared" si="54"/>
        <v>Immediately</v>
      </c>
      <c r="AE245" s="2" t="str" cm="1">
        <f t="array" ref="AE245">_xlfn.IFS(AD245="SignalHIt","TurnEnd",AD245="AttackBegin","TurnEnd",AD245="AttackEnd","TurnEnd",AD245="Immediately","Applied",AD245="None","None")</f>
        <v>Applied</v>
      </c>
      <c r="AF245" s="2">
        <v>0</v>
      </c>
      <c r="AG245" s="1">
        <v>0</v>
      </c>
      <c r="AH245" s="8">
        <v>0</v>
      </c>
      <c r="AI245" s="2" t="str">
        <f t="shared" si="55"/>
        <v>Immediately</v>
      </c>
      <c r="AJ245" s="2" t="str" cm="1">
        <f t="array" ref="AJ245">_xlfn.IFS(AI245="SignalHIt","TurnEnd",AI245="AttackBegin","TurnEnd",AI245="AttackEnd","TurnEnd",AI245="Immediately","Applied",AI245="None","None")</f>
        <v>Applied</v>
      </c>
      <c r="AK245" s="2">
        <v>0</v>
      </c>
      <c r="AL245" s="8">
        <v>0</v>
      </c>
      <c r="AM245" s="48">
        <v>0</v>
      </c>
      <c r="AN245" s="45" t="str">
        <f>IFERROR(_xlfn.XLOOKUP(W245,Target!$A:$A,Target!$B:$B),"None")</f>
        <v xml:space="preserve">가까운 적 1명 </v>
      </c>
      <c r="AO245" s="43" t="str">
        <f>IFERROR(_xlfn.XLOOKUP($X245,'BuffValue&lt;Child&gt;'!$A:$A,'BuffValue&lt;Child&gt;'!$F:$F),"None")</f>
        <v>액티브 대미지</v>
      </c>
      <c r="AP245" s="43">
        <f>IFERROR(_xlfn.XLOOKUP($X245,'BuffValue&lt;Child&gt;'!$A:$A,'BuffValue&lt;Child&gt;'!$K:$K),0)</f>
        <v>40000</v>
      </c>
      <c r="AQ245" s="43" t="str">
        <f>IFERROR(_xlfn.XLOOKUP(AB245,Target!$A:$A,Target!$B:$B),"None")</f>
        <v>None</v>
      </c>
      <c r="AR245" s="45" t="str">
        <f>IFERROR(_xlfn.XLOOKUP($AC245,'BuffValue&lt;Child&gt;'!$A:$A,'BuffValue&lt;Child&gt;'!$F:$F),"None")</f>
        <v>None</v>
      </c>
      <c r="AS245" s="45">
        <f>IFERROR(_xlfn.XLOOKUP($AC245,'BuffValue&lt;Child&gt;'!$A:$A,'BuffValue&lt;Child&gt;'!$K:$K),0)</f>
        <v>0</v>
      </c>
      <c r="AT245" s="43" t="str">
        <f>IFERROR(_xlfn.XLOOKUP(AG245,Target!$A:$A,Target!$B:$B),"None")</f>
        <v>None</v>
      </c>
      <c r="AU245" s="43" t="str">
        <f>IFERROR(_xlfn.XLOOKUP($AH245,'BuffValue&lt;Child&gt;'!$A:$A,'BuffValue&lt;Child&gt;'!$F:$F),"None")</f>
        <v>None</v>
      </c>
      <c r="AV245" s="43">
        <f>IFERROR(_xlfn.XLOOKUP($AH245,'BuffValue&lt;Child&gt;'!$A:$A,'BuffValue&lt;Child&gt;'!$K:$K),0)</f>
        <v>0</v>
      </c>
      <c r="AW245" s="43" t="str">
        <f>IFERROR(_xlfn.XLOOKUP(AL245,Target!$A:$A,Target!$B:$B),"None")</f>
        <v>None</v>
      </c>
      <c r="AX245" s="43" t="str">
        <f>IFERROR(_xlfn.XLOOKUP($AM245,'BuffValue&lt;Child&gt;'!$A:$A,'BuffValue&lt;Child&gt;'!$F:$F),"None")</f>
        <v>None</v>
      </c>
      <c r="AY245" s="43">
        <f>IFERROR(_xlfn.XLOOKUP($AM245,#REF!,#REF!),0)</f>
        <v>0</v>
      </c>
    </row>
    <row r="246" spans="1:51" x14ac:dyDescent="0.3">
      <c r="A246" s="1">
        <f>INT(2&amp;MID(_xlfn.XLOOKUP(B246,[2]Timeline!$B:$B,[2]Timeline!$A:$A),2,5)&amp;2)</f>
        <v>2304472</v>
      </c>
      <c r="B246" s="7" t="s">
        <v>632</v>
      </c>
      <c r="C246" s="7" t="s">
        <v>627</v>
      </c>
      <c r="D246" s="7" t="s">
        <v>572</v>
      </c>
      <c r="E246" s="1" t="str">
        <f t="shared" si="51"/>
        <v>skill_name_2304472</v>
      </c>
      <c r="F246" s="1" t="s">
        <v>117</v>
      </c>
      <c r="G246" s="1" t="s">
        <v>599</v>
      </c>
      <c r="H246" s="1" t="str">
        <f t="shared" si="34"/>
        <v>skill_desc_2304472</v>
      </c>
      <c r="I246" s="1" t="s">
        <v>205</v>
      </c>
      <c r="J246" s="1" t="str">
        <f>IFERROR(_xlfn.XLOOKUP(W246,Target!A:A,Target!J:J),"")</f>
        <v>Skill_Target_Icon_Enemy_Near_One</v>
      </c>
      <c r="K246" s="1" t="s">
        <v>205</v>
      </c>
      <c r="L246" s="1" t="str">
        <f>IFERROR(_xlfn.XLOOKUP(W246,Target!A:A,Target!K:K),"")</f>
        <v>Skill_Area_Icon_Pivot_Centor</v>
      </c>
      <c r="M246" s="1" t="str">
        <f>_xlfn.XLOOKUP(B246,'[2]Detail&lt;Child&gt;'!$B:$B,'[2]Detail&lt;Child&gt;'!$M:$M)</f>
        <v>Forest</v>
      </c>
      <c r="N246" s="1" t="str">
        <f>_xlfn.XLOOKUP(B246,'[2]Detail&lt;Child&gt;'!$B:$B,'[2]Detail&lt;Child&gt;'!$N:$N)</f>
        <v>Supporter</v>
      </c>
      <c r="O246" s="1" t="s">
        <v>33</v>
      </c>
      <c r="P246" s="33">
        <v>2</v>
      </c>
      <c r="Q246" s="68" t="str" cm="1">
        <f t="array" ref="Q246">_xlfn.IFS(R246="Move","Move",R246="NonTargetMove","Move",R246="Static","Stand",R246="None","Stand")</f>
        <v>Move</v>
      </c>
      <c r="R246" s="1" t="s">
        <v>144</v>
      </c>
      <c r="S246" s="1">
        <v>2</v>
      </c>
      <c r="T246" s="2" t="str">
        <f t="shared" si="52"/>
        <v>SignalHit</v>
      </c>
      <c r="U246" s="2" t="str" cm="1">
        <f t="array" ref="U246">_xlfn.IFS(T246="SignalHIt","TurnEnd",T246="AttackBegin","TurnEnd",T246="AttackEnd","TurnEnd",T246="Immediately","Applied",T246="None","None")</f>
        <v>TurnEnd</v>
      </c>
      <c r="V246" s="2">
        <v>0</v>
      </c>
      <c r="W246" s="1">
        <v>2000011</v>
      </c>
      <c r="X246" s="8">
        <f t="shared" si="57"/>
        <v>23044721</v>
      </c>
      <c r="Y246" s="1" t="str">
        <f t="shared" si="53"/>
        <v>Immediately</v>
      </c>
      <c r="Z246" s="2" t="str" cm="1">
        <f t="array" ref="Z246">_xlfn.IFS(Y246="SignalHIt","TurnEnd",Y246="AttackBegin","TurnEnd",Y246="AttackEnd","TurnEnd",Y246="Immediately","Applied",Y246="None","None")</f>
        <v>Applied</v>
      </c>
      <c r="AA246" s="2">
        <v>0</v>
      </c>
      <c r="AB246" s="1">
        <v>0</v>
      </c>
      <c r="AC246" s="8">
        <v>0</v>
      </c>
      <c r="AD246" s="2" t="str">
        <f t="shared" si="54"/>
        <v>Immediately</v>
      </c>
      <c r="AE246" s="2" t="str" cm="1">
        <f t="array" ref="AE246">_xlfn.IFS(AD246="SignalHIt","TurnEnd",AD246="AttackBegin","TurnEnd",AD246="AttackEnd","TurnEnd",AD246="Immediately","Applied",AD246="None","None")</f>
        <v>Applied</v>
      </c>
      <c r="AF246" s="2">
        <v>0</v>
      </c>
      <c r="AG246" s="1">
        <v>0</v>
      </c>
      <c r="AH246" s="8">
        <v>0</v>
      </c>
      <c r="AI246" s="2" t="str">
        <f t="shared" si="55"/>
        <v>Immediately</v>
      </c>
      <c r="AJ246" s="2" t="str" cm="1">
        <f t="array" ref="AJ246">_xlfn.IFS(AI246="SignalHIt","TurnEnd",AI246="AttackBegin","TurnEnd",AI246="AttackEnd","TurnEnd",AI246="Immediately","Applied",AI246="None","None")</f>
        <v>Applied</v>
      </c>
      <c r="AK246" s="2">
        <v>0</v>
      </c>
      <c r="AL246" s="8">
        <v>0</v>
      </c>
      <c r="AM246" s="48">
        <v>0</v>
      </c>
      <c r="AN246" s="45" t="str">
        <f>IFERROR(_xlfn.XLOOKUP(W246,Target!$A:$A,Target!$B:$B),"None")</f>
        <v xml:space="preserve">가까운 적 1명 </v>
      </c>
      <c r="AO246" s="43" t="str">
        <f>IFERROR(_xlfn.XLOOKUP($X246,'BuffValue&lt;Child&gt;'!$A:$A,'BuffValue&lt;Child&gt;'!$F:$F),"None")</f>
        <v>액티브 대미지</v>
      </c>
      <c r="AP246" s="43">
        <f>IFERROR(_xlfn.XLOOKUP($X246,'BuffValue&lt;Child&gt;'!$A:$A,'BuffValue&lt;Child&gt;'!$K:$K),0)</f>
        <v>40000</v>
      </c>
      <c r="AQ246" s="43" t="str">
        <f>IFERROR(_xlfn.XLOOKUP(AB246,Target!$A:$A,Target!$B:$B),"None")</f>
        <v>None</v>
      </c>
      <c r="AR246" s="45" t="str">
        <f>IFERROR(_xlfn.XLOOKUP($AC246,'BuffValue&lt;Child&gt;'!$A:$A,'BuffValue&lt;Child&gt;'!$F:$F),"None")</f>
        <v>None</v>
      </c>
      <c r="AS246" s="45">
        <f>IFERROR(_xlfn.XLOOKUP($AC246,'BuffValue&lt;Child&gt;'!$A:$A,'BuffValue&lt;Child&gt;'!$K:$K),0)</f>
        <v>0</v>
      </c>
      <c r="AT246" s="43" t="str">
        <f>IFERROR(_xlfn.XLOOKUP(AG246,Target!$A:$A,Target!$B:$B),"None")</f>
        <v>None</v>
      </c>
      <c r="AU246" s="43" t="str">
        <f>IFERROR(_xlfn.XLOOKUP($AH246,'BuffValue&lt;Child&gt;'!$A:$A,'BuffValue&lt;Child&gt;'!$F:$F),"None")</f>
        <v>None</v>
      </c>
      <c r="AV246" s="43">
        <f>IFERROR(_xlfn.XLOOKUP($AH246,'BuffValue&lt;Child&gt;'!$A:$A,'BuffValue&lt;Child&gt;'!$K:$K),0)</f>
        <v>0</v>
      </c>
      <c r="AW246" s="43" t="str">
        <f>IFERROR(_xlfn.XLOOKUP(AL246,Target!$A:$A,Target!$B:$B),"None")</f>
        <v>None</v>
      </c>
      <c r="AX246" s="43" t="str">
        <f>IFERROR(_xlfn.XLOOKUP($AM246,'BuffValue&lt;Child&gt;'!$A:$A,'BuffValue&lt;Child&gt;'!$F:$F),"None")</f>
        <v>None</v>
      </c>
      <c r="AY246" s="43">
        <f>IFERROR(_xlfn.XLOOKUP($AM246,#REF!,#REF!),0)</f>
        <v>0</v>
      </c>
    </row>
    <row r="247" spans="1:51" x14ac:dyDescent="0.3">
      <c r="A247" s="1">
        <f>INT(3&amp;MID(_xlfn.XLOOKUP(B247,[2]Timeline!$B:$B,[2]Timeline!$A:$A),2,5)&amp;1)</f>
        <v>3304471</v>
      </c>
      <c r="B247" s="7" t="s">
        <v>632</v>
      </c>
      <c r="C247" s="7" t="s">
        <v>630</v>
      </c>
      <c r="D247" s="7" t="s">
        <v>516</v>
      </c>
      <c r="E247" s="1" t="str">
        <f t="shared" si="51"/>
        <v>skill_name_3304471</v>
      </c>
      <c r="F247" s="1" t="s">
        <v>117</v>
      </c>
      <c r="G247" s="1" t="s">
        <v>600</v>
      </c>
      <c r="H247" s="1" t="str">
        <f t="shared" si="34"/>
        <v>skill_desc_3304471</v>
      </c>
      <c r="I247" s="1" t="s">
        <v>205</v>
      </c>
      <c r="J247" s="1" t="str">
        <f>IFERROR(_xlfn.XLOOKUP(W247,Target!A:A,Target!J:J),"")</f>
        <v>Skill_Target_Icon_Enemy_Near_One</v>
      </c>
      <c r="K247" s="1" t="s">
        <v>205</v>
      </c>
      <c r="L247" s="1" t="str">
        <f>IFERROR(_xlfn.XLOOKUP(W247,Target!A:A,Target!K:K),"")</f>
        <v>Skill_Area_Icon_Pivot_Row</v>
      </c>
      <c r="M247" s="1" t="str">
        <f>_xlfn.XLOOKUP(B247,'[2]Detail&lt;Child&gt;'!$B:$B,'[2]Detail&lt;Child&gt;'!$M:$M)</f>
        <v>Forest</v>
      </c>
      <c r="N247" s="1" t="str">
        <f>_xlfn.XLOOKUP(B247,'[2]Detail&lt;Child&gt;'!$B:$B,'[2]Detail&lt;Child&gt;'!$N:$N)</f>
        <v>Supporter</v>
      </c>
      <c r="O247" s="1" t="s">
        <v>140</v>
      </c>
      <c r="P247" s="33">
        <v>0</v>
      </c>
      <c r="Q247" s="68" t="str" cm="1">
        <f t="array" ref="Q247">_xlfn.IFS(R247="Move","Move",R247="NonTargetMove","Move",R247="Static","Stand",R247="None","Stand")</f>
        <v>Move</v>
      </c>
      <c r="R247" s="1" t="s">
        <v>153</v>
      </c>
      <c r="S247" s="1">
        <v>2</v>
      </c>
      <c r="T247" s="2" t="str">
        <f t="shared" si="52"/>
        <v>SignalHit</v>
      </c>
      <c r="U247" s="2" t="str" cm="1">
        <f t="array" ref="U247">_xlfn.IFS(T247="SignalHIt","TurnEnd",T247="AttackBegin","TurnEnd",T247="AttackEnd","TurnEnd",T247="Immediately","Applied",T247="None","None")</f>
        <v>TurnEnd</v>
      </c>
      <c r="V247" s="2">
        <v>0</v>
      </c>
      <c r="W247" s="1">
        <v>2000014</v>
      </c>
      <c r="X247" s="8">
        <f t="shared" si="57"/>
        <v>33044711</v>
      </c>
      <c r="Y247" s="1" t="str">
        <f t="shared" si="53"/>
        <v>Immediately</v>
      </c>
      <c r="Z247" s="2" t="str" cm="1">
        <f t="array" ref="Z247">_xlfn.IFS(Y247="SignalHIt","TurnEnd",Y247="AttackBegin","TurnEnd",Y247="AttackEnd","TurnEnd",Y247="Immediately","Applied",Y247="None","None")</f>
        <v>Applied</v>
      </c>
      <c r="AA247" s="2">
        <v>0</v>
      </c>
      <c r="AB247" s="1">
        <v>0</v>
      </c>
      <c r="AC247" s="8">
        <v>0</v>
      </c>
      <c r="AD247" s="2" t="str">
        <f t="shared" si="54"/>
        <v>Immediately</v>
      </c>
      <c r="AE247" s="2" t="str" cm="1">
        <f t="array" ref="AE247">_xlfn.IFS(AD247="SignalHIt","TurnEnd",AD247="AttackBegin","TurnEnd",AD247="AttackEnd","TurnEnd",AD247="Immediately","Applied",AD247="None","None")</f>
        <v>Applied</v>
      </c>
      <c r="AF247" s="2">
        <v>0</v>
      </c>
      <c r="AG247" s="1">
        <v>0</v>
      </c>
      <c r="AH247" s="8">
        <v>0</v>
      </c>
      <c r="AI247" s="2" t="str">
        <f t="shared" si="55"/>
        <v>Immediately</v>
      </c>
      <c r="AJ247" s="2" t="str" cm="1">
        <f t="array" ref="AJ247">_xlfn.IFS(AI247="SignalHIt","TurnEnd",AI247="AttackBegin","TurnEnd",AI247="AttackEnd","TurnEnd",AI247="Immediately","Applied",AI247="None","None")</f>
        <v>Applied</v>
      </c>
      <c r="AK247" s="2">
        <v>0</v>
      </c>
      <c r="AL247" s="1">
        <v>0</v>
      </c>
      <c r="AM247" s="48">
        <v>0</v>
      </c>
      <c r="AN247" s="45" t="str">
        <f>IFERROR(_xlfn.XLOOKUP(W247,Target!$A:$A,Target!$B:$B),"None")</f>
        <v>가까운 적 1명 2행</v>
      </c>
      <c r="AO247" s="43" t="str">
        <f>IFERROR(_xlfn.XLOOKUP($X247,'BuffValue&lt;Child&gt;'!$A:$A,'BuffValue&lt;Child&gt;'!$F:$F),"None")</f>
        <v>얼티밋 대미지</v>
      </c>
      <c r="AP247" s="43">
        <f>IFERROR(_xlfn.XLOOKUP($X247,'BuffValue&lt;Child&gt;'!$A:$A,'BuffValue&lt;Child&gt;'!$K:$K),0)</f>
        <v>320000</v>
      </c>
      <c r="AQ247" s="43" t="str">
        <f>IFERROR(_xlfn.XLOOKUP(AB247,Target!$A:$A,Target!$B:$B),"None")</f>
        <v>None</v>
      </c>
      <c r="AR247" s="45" t="str">
        <f>IFERROR(_xlfn.XLOOKUP($AC247,'BuffValue&lt;Child&gt;'!$A:$A,'BuffValue&lt;Child&gt;'!$F:$F),"None")</f>
        <v>None</v>
      </c>
      <c r="AS247" s="45">
        <f>IFERROR(_xlfn.XLOOKUP($AC247,'BuffValue&lt;Child&gt;'!$A:$A,'BuffValue&lt;Child&gt;'!$K:$K),0)</f>
        <v>0</v>
      </c>
      <c r="AT247" s="43" t="str">
        <f>IFERROR(_xlfn.XLOOKUP(AG247,Target!$A:$A,Target!$B:$B),"None")</f>
        <v>None</v>
      </c>
      <c r="AU247" s="43" t="str">
        <f>IFERROR(_xlfn.XLOOKUP($AH247,'BuffValue&lt;Child&gt;'!$A:$A,'BuffValue&lt;Child&gt;'!$F:$F),"None")</f>
        <v>None</v>
      </c>
      <c r="AV247" s="43">
        <f>IFERROR(_xlfn.XLOOKUP($AH247,'BuffValue&lt;Child&gt;'!$A:$A,'BuffValue&lt;Child&gt;'!$K:$K),0)</f>
        <v>0</v>
      </c>
      <c r="AW247" s="43" t="str">
        <f>IFERROR(_xlfn.XLOOKUP(AL247,Target!$A:$A,Target!$B:$B),"None")</f>
        <v>None</v>
      </c>
      <c r="AX247" s="43" t="str">
        <f>IFERROR(_xlfn.XLOOKUP($AM247,'BuffValue&lt;Child&gt;'!$A:$A,'BuffValue&lt;Child&gt;'!$F:$F),"None")</f>
        <v>None</v>
      </c>
      <c r="AY247" s="43">
        <f>IFERROR(_xlfn.XLOOKUP($AM247,#REF!,#REF!),0)</f>
        <v>0</v>
      </c>
    </row>
    <row r="248" spans="1:51" x14ac:dyDescent="0.3">
      <c r="A248" s="1">
        <f>INT(3&amp;MID(_xlfn.XLOOKUP(B248,[2]Timeline!$B:$B,[2]Timeline!$A:$A),2,5)&amp;2)</f>
        <v>3304472</v>
      </c>
      <c r="B248" s="7" t="s">
        <v>632</v>
      </c>
      <c r="C248" s="7" t="s">
        <v>629</v>
      </c>
      <c r="D248" s="7" t="s">
        <v>516</v>
      </c>
      <c r="E248" s="1" t="str">
        <f t="shared" si="51"/>
        <v>skill_name_3304472</v>
      </c>
      <c r="F248" s="1" t="s">
        <v>117</v>
      </c>
      <c r="G248" s="1" t="s">
        <v>600</v>
      </c>
      <c r="H248" s="1" t="str">
        <f t="shared" si="34"/>
        <v>skill_desc_3304472</v>
      </c>
      <c r="I248" s="1" t="s">
        <v>205</v>
      </c>
      <c r="J248" s="1" t="str">
        <f>IFERROR(_xlfn.XLOOKUP(W248,Target!A:A,Target!J:J),"")</f>
        <v>Skill_Target_Icon_Enemy_Near_One</v>
      </c>
      <c r="K248" s="1" t="s">
        <v>205</v>
      </c>
      <c r="L248" s="1" t="str">
        <f>IFERROR(_xlfn.XLOOKUP(W248,Target!A:A,Target!K:K),"")</f>
        <v>Skill_Area_Icon_Pivot_Row</v>
      </c>
      <c r="M248" s="1" t="str">
        <f>_xlfn.XLOOKUP(B248,'[2]Detail&lt;Child&gt;'!$B:$B,'[2]Detail&lt;Child&gt;'!$M:$M)</f>
        <v>Forest</v>
      </c>
      <c r="N248" s="1" t="str">
        <f>_xlfn.XLOOKUP(B248,'[2]Detail&lt;Child&gt;'!$B:$B,'[2]Detail&lt;Child&gt;'!$N:$N)</f>
        <v>Supporter</v>
      </c>
      <c r="O248" s="1" t="s">
        <v>140</v>
      </c>
      <c r="P248" s="33">
        <v>0</v>
      </c>
      <c r="Q248" s="68" t="str" cm="1">
        <f t="array" ref="Q248">_xlfn.IFS(R248="Move","Move",R248="NonTargetMove","Move",R248="Static","Stand",R248="None","Stand")</f>
        <v>Move</v>
      </c>
      <c r="R248" s="1" t="s">
        <v>153</v>
      </c>
      <c r="S248" s="1">
        <v>2</v>
      </c>
      <c r="T248" s="2" t="str">
        <f t="shared" si="52"/>
        <v>SignalHit</v>
      </c>
      <c r="U248" s="2" t="str" cm="1">
        <f t="array" ref="U248">_xlfn.IFS(T248="SignalHIt","TurnEnd",T248="AttackBegin","TurnEnd",T248="AttackEnd","TurnEnd",T248="Immediately","Applied",T248="None","None")</f>
        <v>TurnEnd</v>
      </c>
      <c r="V248" s="2">
        <v>0</v>
      </c>
      <c r="W248" s="1">
        <v>2000014</v>
      </c>
      <c r="X248" s="8">
        <f t="shared" si="57"/>
        <v>33044721</v>
      </c>
      <c r="Y248" s="1" t="str">
        <f t="shared" si="53"/>
        <v>Immediately</v>
      </c>
      <c r="Z248" s="2" t="str" cm="1">
        <f t="array" ref="Z248">_xlfn.IFS(Y248="SignalHIt","TurnEnd",Y248="AttackBegin","TurnEnd",Y248="AttackEnd","TurnEnd",Y248="Immediately","Applied",Y248="None","None")</f>
        <v>Applied</v>
      </c>
      <c r="AA248" s="2">
        <v>0</v>
      </c>
      <c r="AB248" s="1">
        <v>0</v>
      </c>
      <c r="AC248" s="8">
        <v>0</v>
      </c>
      <c r="AD248" s="2" t="str">
        <f t="shared" si="54"/>
        <v>Immediately</v>
      </c>
      <c r="AE248" s="2" t="str" cm="1">
        <f t="array" ref="AE248">_xlfn.IFS(AD248="SignalHIt","TurnEnd",AD248="AttackBegin","TurnEnd",AD248="AttackEnd","TurnEnd",AD248="Immediately","Applied",AD248="None","None")</f>
        <v>Applied</v>
      </c>
      <c r="AF248" s="2">
        <v>0</v>
      </c>
      <c r="AG248" s="1">
        <v>0</v>
      </c>
      <c r="AH248" s="8">
        <v>0</v>
      </c>
      <c r="AI248" s="2" t="str">
        <f t="shared" si="55"/>
        <v>Immediately</v>
      </c>
      <c r="AJ248" s="2" t="str" cm="1">
        <f t="array" ref="AJ248">_xlfn.IFS(AI248="SignalHIt","TurnEnd",AI248="AttackBegin","TurnEnd",AI248="AttackEnd","TurnEnd",AI248="Immediately","Applied",AI248="None","None")</f>
        <v>Applied</v>
      </c>
      <c r="AK248" s="2">
        <v>0</v>
      </c>
      <c r="AL248" s="1">
        <v>0</v>
      </c>
      <c r="AM248" s="48">
        <v>0</v>
      </c>
      <c r="AN248" s="45" t="str">
        <f>IFERROR(_xlfn.XLOOKUP(W248,Target!$A:$A,Target!$B:$B),"None")</f>
        <v>가까운 적 1명 2행</v>
      </c>
      <c r="AO248" s="43" t="str">
        <f>IFERROR(_xlfn.XLOOKUP($X248,'BuffValue&lt;Child&gt;'!$A:$A,'BuffValue&lt;Child&gt;'!$F:$F),"None")</f>
        <v>얼티밋 대미지</v>
      </c>
      <c r="AP248" s="43">
        <f>IFERROR(_xlfn.XLOOKUP($X248,'BuffValue&lt;Child&gt;'!$A:$A,'BuffValue&lt;Child&gt;'!$K:$K),0)</f>
        <v>320000</v>
      </c>
      <c r="AQ248" s="43" t="str">
        <f>IFERROR(_xlfn.XLOOKUP(AB248,Target!$A:$A,Target!$B:$B),"None")</f>
        <v>None</v>
      </c>
      <c r="AR248" s="45" t="str">
        <f>IFERROR(_xlfn.XLOOKUP($AC248,'BuffValue&lt;Child&gt;'!$A:$A,'BuffValue&lt;Child&gt;'!$F:$F),"None")</f>
        <v>None</v>
      </c>
      <c r="AS248" s="45">
        <f>IFERROR(_xlfn.XLOOKUP($AC248,'BuffValue&lt;Child&gt;'!$A:$A,'BuffValue&lt;Child&gt;'!$K:$K),0)</f>
        <v>0</v>
      </c>
      <c r="AT248" s="43" t="str">
        <f>IFERROR(_xlfn.XLOOKUP(AG248,Target!$A:$A,Target!$B:$B),"None")</f>
        <v>None</v>
      </c>
      <c r="AU248" s="43" t="str">
        <f>IFERROR(_xlfn.XLOOKUP($AH248,'BuffValue&lt;Child&gt;'!$A:$A,'BuffValue&lt;Child&gt;'!$F:$F),"None")</f>
        <v>None</v>
      </c>
      <c r="AV248" s="43">
        <f>IFERROR(_xlfn.XLOOKUP($AH248,'BuffValue&lt;Child&gt;'!$A:$A,'BuffValue&lt;Child&gt;'!$K:$K),0)</f>
        <v>0</v>
      </c>
      <c r="AW248" s="43" t="str">
        <f>IFERROR(_xlfn.XLOOKUP(AL248,Target!$A:$A,Target!$B:$B),"None")</f>
        <v>None</v>
      </c>
      <c r="AX248" s="43" t="str">
        <f>IFERROR(_xlfn.XLOOKUP($AM248,'BuffValue&lt;Child&gt;'!$A:$A,'BuffValue&lt;Child&gt;'!$F:$F),"None")</f>
        <v>None</v>
      </c>
      <c r="AY248" s="43">
        <f>IFERROR(_xlfn.XLOOKUP($AM248,#REF!,#REF!),0)</f>
        <v>0</v>
      </c>
    </row>
    <row r="249" spans="1:51" x14ac:dyDescent="0.3">
      <c r="A249" s="1">
        <f>INT(3&amp;MID(_xlfn.XLOOKUP(B249,[2]Timeline!$B:$B,[2]Timeline!$A:$A),2,5)&amp;3)</f>
        <v>3304473</v>
      </c>
      <c r="B249" s="7" t="s">
        <v>632</v>
      </c>
      <c r="C249" s="7" t="s">
        <v>629</v>
      </c>
      <c r="D249" s="7" t="s">
        <v>516</v>
      </c>
      <c r="E249" s="1" t="str">
        <f t="shared" si="51"/>
        <v>skill_name_3304473</v>
      </c>
      <c r="F249" s="1" t="s">
        <v>117</v>
      </c>
      <c r="G249" s="1" t="s">
        <v>600</v>
      </c>
      <c r="H249" s="1" t="str">
        <f t="shared" si="34"/>
        <v>skill_desc_3304473</v>
      </c>
      <c r="I249" s="1" t="s">
        <v>205</v>
      </c>
      <c r="J249" s="1" t="str">
        <f>IFERROR(_xlfn.XLOOKUP(W249,Target!A:A,Target!J:J),"")</f>
        <v>Skill_Target_Icon_Enemy_Near_One</v>
      </c>
      <c r="K249" s="1" t="s">
        <v>205</v>
      </c>
      <c r="L249" s="1" t="str">
        <f>IFERROR(_xlfn.XLOOKUP(W249,Target!A:A,Target!K:K),"")</f>
        <v>Skill_Area_Icon_Pivot_Row</v>
      </c>
      <c r="M249" s="1" t="str">
        <f>_xlfn.XLOOKUP(B249,'[2]Detail&lt;Child&gt;'!$B:$B,'[2]Detail&lt;Child&gt;'!$M:$M)</f>
        <v>Forest</v>
      </c>
      <c r="N249" s="1" t="str">
        <f>_xlfn.XLOOKUP(B249,'[2]Detail&lt;Child&gt;'!$B:$B,'[2]Detail&lt;Child&gt;'!$N:$N)</f>
        <v>Supporter</v>
      </c>
      <c r="O249" s="1" t="s">
        <v>140</v>
      </c>
      <c r="P249" s="33">
        <v>0</v>
      </c>
      <c r="Q249" s="68" t="str" cm="1">
        <f t="array" ref="Q249">_xlfn.IFS(R249="Move","Move",R249="NonTargetMove","Move",R249="Static","Stand",R249="None","Stand")</f>
        <v>Move</v>
      </c>
      <c r="R249" s="1" t="s">
        <v>153</v>
      </c>
      <c r="S249" s="1">
        <v>2</v>
      </c>
      <c r="T249" s="2" t="str">
        <f t="shared" si="52"/>
        <v>SignalHit</v>
      </c>
      <c r="U249" s="2" t="str" cm="1">
        <f t="array" ref="U249">_xlfn.IFS(T249="SignalHIt","TurnEnd",T249="AttackBegin","TurnEnd",T249="AttackEnd","TurnEnd",T249="Immediately","Applied",T249="None","None")</f>
        <v>TurnEnd</v>
      </c>
      <c r="V249" s="2">
        <v>0</v>
      </c>
      <c r="W249" s="1">
        <v>2000014</v>
      </c>
      <c r="X249" s="8">
        <f t="shared" si="57"/>
        <v>33044731</v>
      </c>
      <c r="Y249" s="1" t="str">
        <f t="shared" si="53"/>
        <v>Immediately</v>
      </c>
      <c r="Z249" s="2" t="str" cm="1">
        <f t="array" ref="Z249">_xlfn.IFS(Y249="SignalHIt","TurnEnd",Y249="AttackBegin","TurnEnd",Y249="AttackEnd","TurnEnd",Y249="Immediately","Applied",Y249="None","None")</f>
        <v>Applied</v>
      </c>
      <c r="AA249" s="2">
        <v>0</v>
      </c>
      <c r="AB249" s="1">
        <v>0</v>
      </c>
      <c r="AC249" s="8">
        <v>0</v>
      </c>
      <c r="AD249" s="2" t="str">
        <f t="shared" si="54"/>
        <v>Immediately</v>
      </c>
      <c r="AE249" s="2" t="str" cm="1">
        <f t="array" ref="AE249">_xlfn.IFS(AD249="SignalHIt","TurnEnd",AD249="AttackBegin","TurnEnd",AD249="AttackEnd","TurnEnd",AD249="Immediately","Applied",AD249="None","None")</f>
        <v>Applied</v>
      </c>
      <c r="AF249" s="2">
        <v>0</v>
      </c>
      <c r="AG249" s="1">
        <v>0</v>
      </c>
      <c r="AH249" s="8">
        <v>0</v>
      </c>
      <c r="AI249" s="2" t="str">
        <f t="shared" si="55"/>
        <v>Immediately</v>
      </c>
      <c r="AJ249" s="2" t="str" cm="1">
        <f t="array" ref="AJ249">_xlfn.IFS(AI249="SignalHIt","TurnEnd",AI249="AttackBegin","TurnEnd",AI249="AttackEnd","TurnEnd",AI249="Immediately","Applied",AI249="None","None")</f>
        <v>Applied</v>
      </c>
      <c r="AK249" s="2">
        <v>0</v>
      </c>
      <c r="AL249" s="1">
        <v>0</v>
      </c>
      <c r="AM249" s="48">
        <v>0</v>
      </c>
      <c r="AN249" s="45" t="str">
        <f>IFERROR(_xlfn.XLOOKUP(W249,Target!$A:$A,Target!$B:$B),"None")</f>
        <v>가까운 적 1명 2행</v>
      </c>
      <c r="AO249" s="43" t="str">
        <f>IFERROR(_xlfn.XLOOKUP($X249,'BuffValue&lt;Child&gt;'!$A:$A,'BuffValue&lt;Child&gt;'!$F:$F),"None")</f>
        <v>얼티밋 대미지</v>
      </c>
      <c r="AP249" s="43">
        <f>IFERROR(_xlfn.XLOOKUP($X249,'BuffValue&lt;Child&gt;'!$A:$A,'BuffValue&lt;Child&gt;'!$K:$K),0)</f>
        <v>320000</v>
      </c>
      <c r="AQ249" s="43" t="str">
        <f>IFERROR(_xlfn.XLOOKUP(AB249,Target!$A:$A,Target!$B:$B),"None")</f>
        <v>None</v>
      </c>
      <c r="AR249" s="45" t="str">
        <f>IFERROR(_xlfn.XLOOKUP($AC249,'BuffValue&lt;Child&gt;'!$A:$A,'BuffValue&lt;Child&gt;'!$F:$F),"None")</f>
        <v>None</v>
      </c>
      <c r="AS249" s="45">
        <f>IFERROR(_xlfn.XLOOKUP($AC249,'BuffValue&lt;Child&gt;'!$A:$A,'BuffValue&lt;Child&gt;'!$K:$K),0)</f>
        <v>0</v>
      </c>
      <c r="AT249" s="43" t="str">
        <f>IFERROR(_xlfn.XLOOKUP(AG249,Target!$A:$A,Target!$B:$B),"None")</f>
        <v>None</v>
      </c>
      <c r="AU249" s="43" t="str">
        <f>IFERROR(_xlfn.XLOOKUP($AH249,'BuffValue&lt;Child&gt;'!$A:$A,'BuffValue&lt;Child&gt;'!$F:$F),"None")</f>
        <v>None</v>
      </c>
      <c r="AV249" s="43">
        <f>IFERROR(_xlfn.XLOOKUP($AH249,'BuffValue&lt;Child&gt;'!$A:$A,'BuffValue&lt;Child&gt;'!$K:$K),0)</f>
        <v>0</v>
      </c>
      <c r="AW249" s="43" t="str">
        <f>IFERROR(_xlfn.XLOOKUP(AL249,Target!$A:$A,Target!$B:$B),"None")</f>
        <v>None</v>
      </c>
      <c r="AX249" s="43" t="str">
        <f>IFERROR(_xlfn.XLOOKUP($AM249,'BuffValue&lt;Child&gt;'!$A:$A,'BuffValue&lt;Child&gt;'!$F:$F),"None")</f>
        <v>None</v>
      </c>
      <c r="AY249" s="43">
        <f>IFERROR(_xlfn.XLOOKUP($AM249,#REF!,#REF!),0)</f>
        <v>0</v>
      </c>
    </row>
    <row r="250" spans="1:51" x14ac:dyDescent="0.3">
      <c r="A250" s="1">
        <f>INT(4&amp;MID(_xlfn.XLOOKUP(B250,[2]Timeline!$B:$B,[2]Timeline!$A:$A),2,5)&amp;1)</f>
        <v>4304471</v>
      </c>
      <c r="B250" s="7" t="s">
        <v>632</v>
      </c>
      <c r="C250" s="7" t="s">
        <v>122</v>
      </c>
      <c r="D250" s="7" t="s">
        <v>347</v>
      </c>
      <c r="E250" s="1" t="str">
        <f t="shared" si="51"/>
        <v>skill_name_4304471</v>
      </c>
      <c r="F250" s="1" t="s">
        <v>117</v>
      </c>
      <c r="G250" s="1" t="s">
        <v>601</v>
      </c>
      <c r="H250" s="1" t="str">
        <f t="shared" si="34"/>
        <v>skill_desc_4304471</v>
      </c>
      <c r="I250" s="1" t="s">
        <v>205</v>
      </c>
      <c r="J250" s="1" t="str">
        <f>IFERROR(_xlfn.XLOOKUP(W250,Target!A:A,Target!J:J),"")</f>
        <v>Skill_Target_Icon_Mine</v>
      </c>
      <c r="K250" s="1" t="s">
        <v>205</v>
      </c>
      <c r="L250" s="1" t="str">
        <f>IFERROR(_xlfn.XLOOKUP(W250,Target!A:A,Target!K:K),"")</f>
        <v>Skill_Area_Icon_Pivot_Centor</v>
      </c>
      <c r="M250" s="1" t="str">
        <f>_xlfn.XLOOKUP(B250,'[2]Detail&lt;Child&gt;'!$B:$B,'[2]Detail&lt;Child&gt;'!$M:$M)</f>
        <v>Forest</v>
      </c>
      <c r="N250" s="1" t="str">
        <f>_xlfn.XLOOKUP(B250,'[2]Detail&lt;Child&gt;'!$B:$B,'[2]Detail&lt;Child&gt;'!$N:$N)</f>
        <v>Supporter</v>
      </c>
      <c r="O250" s="1" t="s">
        <v>167</v>
      </c>
      <c r="P250" s="33">
        <v>0</v>
      </c>
      <c r="Q250" s="68" t="str" cm="1">
        <f t="array" ref="Q250">_xlfn.IFS(R250="Move","Move",R250="NonTargetMove","Move",R250="Static","Stand",R250="None","Stand")</f>
        <v>Stand</v>
      </c>
      <c r="R250" s="1" t="s">
        <v>136</v>
      </c>
      <c r="S250" s="1">
        <f>IF(R250="Static",0,1)</f>
        <v>0</v>
      </c>
      <c r="T250" s="2" t="str">
        <f t="shared" si="52"/>
        <v>Immediately</v>
      </c>
      <c r="U250" s="2" t="str" cm="1">
        <f t="array" ref="U250">_xlfn.IFS(T250="SignalHIt","TurnEnd",T250="AttackBegin","TurnEnd",T250="AttackEnd","TurnEnd",T250="Immediately","Applied",T250="None","None")</f>
        <v>Applied</v>
      </c>
      <c r="V250" s="2">
        <v>0</v>
      </c>
      <c r="W250" s="1">
        <v>1</v>
      </c>
      <c r="X250" s="8">
        <f t="shared" si="57"/>
        <v>43044711</v>
      </c>
      <c r="Y250" s="1" t="str">
        <f t="shared" si="53"/>
        <v>Immediately</v>
      </c>
      <c r="Z250" s="2" t="str" cm="1">
        <f t="array" ref="Z250">_xlfn.IFS(Y250="SignalHIt","TurnEnd",Y250="AttackBegin","TurnEnd",Y250="AttackEnd","TurnEnd",Y250="Immediately","Applied",Y250="None","None")</f>
        <v>Applied</v>
      </c>
      <c r="AA250" s="2">
        <v>0</v>
      </c>
      <c r="AB250" s="1">
        <v>0</v>
      </c>
      <c r="AC250" s="8">
        <v>0</v>
      </c>
      <c r="AD250" s="2" t="str">
        <f t="shared" si="54"/>
        <v>Immediately</v>
      </c>
      <c r="AE250" s="2" t="str" cm="1">
        <f t="array" ref="AE250">_xlfn.IFS(AD250="SignalHIt","TurnEnd",AD250="AttackBegin","TurnEnd",AD250="AttackEnd","TurnEnd",AD250="Immediately","Applied",AD250="None","None")</f>
        <v>Applied</v>
      </c>
      <c r="AF250" s="2">
        <v>0</v>
      </c>
      <c r="AG250" s="1">
        <v>0</v>
      </c>
      <c r="AH250" s="8">
        <v>0</v>
      </c>
      <c r="AI250" s="2" t="str">
        <f t="shared" si="55"/>
        <v>Immediately</v>
      </c>
      <c r="AJ250" s="2" t="str" cm="1">
        <f t="array" ref="AJ250">_xlfn.IFS(AI250="SignalHIt","TurnEnd",AI250="AttackBegin","TurnEnd",AI250="AttackEnd","TurnEnd",AI250="Immediately","Applied",AI250="None","None")</f>
        <v>Applied</v>
      </c>
      <c r="AK250" s="2">
        <v>0</v>
      </c>
      <c r="AL250" s="8">
        <v>0</v>
      </c>
      <c r="AM250" s="48">
        <v>0</v>
      </c>
      <c r="AN250" s="45" t="str">
        <f>IFERROR(_xlfn.XLOOKUP(W250,Target!$A:$A,Target!$B:$B),"None")</f>
        <v xml:space="preserve"> 자신 1명 </v>
      </c>
      <c r="AO250" s="43" t="str">
        <f>IFERROR(_xlfn.XLOOKUP($X250,'BuffValue&lt;Child&gt;'!$A:$A,'BuffValue&lt;Child&gt;'!$F:$F),"None")</f>
        <v>힐드 패시브 버프당 치명타 확률 증가</v>
      </c>
      <c r="AP250" s="43">
        <f>IFERROR(_xlfn.XLOOKUP($X250,'BuffValue&lt;Child&gt;'!$A:$A,'BuffValue&lt;Child&gt;'!$K:$K),0)</f>
        <v>5000</v>
      </c>
      <c r="AQ250" s="43" t="str">
        <f>IFERROR(_xlfn.XLOOKUP(AB250,Target!$A:$A,Target!$B:$B),"None")</f>
        <v>None</v>
      </c>
      <c r="AR250" s="45" t="str">
        <f>IFERROR(_xlfn.XLOOKUP($AC250,'BuffValue&lt;Child&gt;'!$A:$A,'BuffValue&lt;Child&gt;'!$F:$F),"None")</f>
        <v>None</v>
      </c>
      <c r="AS250" s="45">
        <f>IFERROR(_xlfn.XLOOKUP($AC250,'BuffValue&lt;Child&gt;'!$A:$A,'BuffValue&lt;Child&gt;'!$K:$K),0)</f>
        <v>0</v>
      </c>
      <c r="AT250" s="43" t="str">
        <f>IFERROR(_xlfn.XLOOKUP(AG250,Target!$A:$A,Target!$B:$B),"None")</f>
        <v>None</v>
      </c>
      <c r="AU250" s="43" t="str">
        <f>IFERROR(_xlfn.XLOOKUP($AH250,'BuffValue&lt;Child&gt;'!$A:$A,'BuffValue&lt;Child&gt;'!$F:$F),"None")</f>
        <v>None</v>
      </c>
      <c r="AV250" s="43">
        <f>IFERROR(_xlfn.XLOOKUP($AH250,'BuffValue&lt;Child&gt;'!$A:$A,'BuffValue&lt;Child&gt;'!$K:$K),0)</f>
        <v>0</v>
      </c>
      <c r="AW250" s="43" t="str">
        <f>IFERROR(_xlfn.XLOOKUP(AL250,Target!$A:$A,Target!$B:$B),"None")</f>
        <v>None</v>
      </c>
      <c r="AX250" s="43" t="str">
        <f>IFERROR(_xlfn.XLOOKUP($AM250,'BuffValue&lt;Child&gt;'!$A:$A,'BuffValue&lt;Child&gt;'!$F:$F),"None")</f>
        <v>None</v>
      </c>
      <c r="AY250" s="43">
        <f>IFERROR(_xlfn.XLOOKUP($AM250,#REF!,#REF!),0)</f>
        <v>0</v>
      </c>
    </row>
    <row r="251" spans="1:51" x14ac:dyDescent="0.3">
      <c r="A251" s="1">
        <f>INT(4&amp;MID(_xlfn.XLOOKUP(B251,[2]Timeline!$B:$B,[2]Timeline!$A:$A),2,5)&amp;2)</f>
        <v>4304472</v>
      </c>
      <c r="B251" s="7" t="s">
        <v>632</v>
      </c>
      <c r="C251" s="7" t="s">
        <v>631</v>
      </c>
      <c r="D251" s="7" t="s">
        <v>347</v>
      </c>
      <c r="E251" s="1" t="str">
        <f t="shared" si="51"/>
        <v>skill_name_4304472</v>
      </c>
      <c r="F251" s="1" t="s">
        <v>117</v>
      </c>
      <c r="G251" s="1" t="s">
        <v>601</v>
      </c>
      <c r="H251" s="1" t="str">
        <f t="shared" si="34"/>
        <v>skill_desc_4304472</v>
      </c>
      <c r="I251" s="1" t="s">
        <v>205</v>
      </c>
      <c r="J251" s="1" t="str">
        <f>IFERROR(_xlfn.XLOOKUP(W251,Target!A:A,Target!J:J),"")</f>
        <v>Skill_Target_Icon_Mine</v>
      </c>
      <c r="K251" s="1" t="s">
        <v>205</v>
      </c>
      <c r="L251" s="1" t="str">
        <f>IFERROR(_xlfn.XLOOKUP(W251,Target!A:A,Target!K:K),"")</f>
        <v>Skill_Area_Icon_Pivot_Centor</v>
      </c>
      <c r="M251" s="1" t="str">
        <f>_xlfn.XLOOKUP(B251,'[2]Detail&lt;Child&gt;'!$B:$B,'[2]Detail&lt;Child&gt;'!$M:$M)</f>
        <v>Forest</v>
      </c>
      <c r="N251" s="1" t="str">
        <f>_xlfn.XLOOKUP(B251,'[2]Detail&lt;Child&gt;'!$B:$B,'[2]Detail&lt;Child&gt;'!$N:$N)</f>
        <v>Supporter</v>
      </c>
      <c r="O251" s="1" t="s">
        <v>167</v>
      </c>
      <c r="P251" s="33">
        <v>0</v>
      </c>
      <c r="Q251" s="68" t="str" cm="1">
        <f t="array" ref="Q251">_xlfn.IFS(R251="Move","Move",R251="NonTargetMove","Move",R251="Static","Stand",R251="None","Stand")</f>
        <v>Stand</v>
      </c>
      <c r="R251" s="1" t="s">
        <v>136</v>
      </c>
      <c r="S251" s="1">
        <f>IF(R251="Static",0,1)</f>
        <v>0</v>
      </c>
      <c r="T251" s="2" t="str">
        <f t="shared" si="52"/>
        <v>Immediately</v>
      </c>
      <c r="U251" s="2" t="str" cm="1">
        <f t="array" ref="U251">_xlfn.IFS(T251="SignalHIt","TurnEnd",T251="AttackBegin","TurnEnd",T251="AttackEnd","TurnEnd",T251="Immediately","Applied",T251="None","None")</f>
        <v>Applied</v>
      </c>
      <c r="V251" s="2">
        <v>0</v>
      </c>
      <c r="W251" s="1">
        <v>1</v>
      </c>
      <c r="X251" s="8">
        <f t="shared" si="57"/>
        <v>43044721</v>
      </c>
      <c r="Y251" s="1" t="str">
        <f t="shared" si="53"/>
        <v>Immediately</v>
      </c>
      <c r="Z251" s="2" t="str" cm="1">
        <f t="array" ref="Z251">_xlfn.IFS(Y251="SignalHIt","TurnEnd",Y251="AttackBegin","TurnEnd",Y251="AttackEnd","TurnEnd",Y251="Immediately","Applied",Y251="None","None")</f>
        <v>Applied</v>
      </c>
      <c r="AA251" s="2">
        <v>0</v>
      </c>
      <c r="AB251" s="1">
        <v>0</v>
      </c>
      <c r="AC251" s="8">
        <v>0</v>
      </c>
      <c r="AD251" s="2" t="str">
        <f t="shared" si="54"/>
        <v>Immediately</v>
      </c>
      <c r="AE251" s="2" t="str" cm="1">
        <f t="array" ref="AE251">_xlfn.IFS(AD251="SignalHIt","TurnEnd",AD251="AttackBegin","TurnEnd",AD251="AttackEnd","TurnEnd",AD251="Immediately","Applied",AD251="None","None")</f>
        <v>Applied</v>
      </c>
      <c r="AF251" s="2">
        <v>0</v>
      </c>
      <c r="AG251" s="1">
        <v>0</v>
      </c>
      <c r="AH251" s="8">
        <v>0</v>
      </c>
      <c r="AI251" s="2" t="str">
        <f t="shared" si="55"/>
        <v>Immediately</v>
      </c>
      <c r="AJ251" s="2" t="str" cm="1">
        <f t="array" ref="AJ251">_xlfn.IFS(AI251="SignalHIt","TurnEnd",AI251="AttackBegin","TurnEnd",AI251="AttackEnd","TurnEnd",AI251="Immediately","Applied",AI251="None","None")</f>
        <v>Applied</v>
      </c>
      <c r="AK251" s="2">
        <v>0</v>
      </c>
      <c r="AL251" s="8">
        <v>0</v>
      </c>
      <c r="AM251" s="48">
        <v>0</v>
      </c>
      <c r="AN251" s="45" t="str">
        <f>IFERROR(_xlfn.XLOOKUP(W251,Target!$A:$A,Target!$B:$B),"None")</f>
        <v xml:space="preserve"> 자신 1명 </v>
      </c>
      <c r="AO251" s="43" t="str">
        <f>IFERROR(_xlfn.XLOOKUP($X251,'BuffValue&lt;Child&gt;'!$A:$A,'BuffValue&lt;Child&gt;'!$F:$F),"None")</f>
        <v>힐드 패시브 버프당 치명타 확률 증가</v>
      </c>
      <c r="AP251" s="43">
        <f>IFERROR(_xlfn.XLOOKUP($X251,'BuffValue&lt;Child&gt;'!$A:$A,'BuffValue&lt;Child&gt;'!$K:$K),0)</f>
        <v>5000</v>
      </c>
      <c r="AQ251" s="43" t="str">
        <f>IFERROR(_xlfn.XLOOKUP(AB251,Target!$A:$A,Target!$B:$B),"None")</f>
        <v>None</v>
      </c>
      <c r="AR251" s="45" t="str">
        <f>IFERROR(_xlfn.XLOOKUP($AC251,'BuffValue&lt;Child&gt;'!$A:$A,'BuffValue&lt;Child&gt;'!$F:$F),"None")</f>
        <v>None</v>
      </c>
      <c r="AS251" s="45">
        <f>IFERROR(_xlfn.XLOOKUP($AC251,'BuffValue&lt;Child&gt;'!$A:$A,'BuffValue&lt;Child&gt;'!$K:$K),0)</f>
        <v>0</v>
      </c>
      <c r="AT251" s="43" t="str">
        <f>IFERROR(_xlfn.XLOOKUP(AG251,Target!$A:$A,Target!$B:$B),"None")</f>
        <v>None</v>
      </c>
      <c r="AU251" s="43" t="str">
        <f>IFERROR(_xlfn.XLOOKUP($AH251,'BuffValue&lt;Child&gt;'!$A:$A,'BuffValue&lt;Child&gt;'!$F:$F),"None")</f>
        <v>None</v>
      </c>
      <c r="AV251" s="43">
        <f>IFERROR(_xlfn.XLOOKUP($AH251,'BuffValue&lt;Child&gt;'!$A:$A,'BuffValue&lt;Child&gt;'!$K:$K),0)</f>
        <v>0</v>
      </c>
      <c r="AW251" s="43" t="str">
        <f>IFERROR(_xlfn.XLOOKUP(AL251,Target!$A:$A,Target!$B:$B),"None")</f>
        <v>None</v>
      </c>
      <c r="AX251" s="43" t="str">
        <f>IFERROR(_xlfn.XLOOKUP($AM251,'BuffValue&lt;Child&gt;'!$A:$A,'BuffValue&lt;Child&gt;'!$F:$F),"None")</f>
        <v>None</v>
      </c>
      <c r="AY251" s="43">
        <f>IFERROR(_xlfn.XLOOKUP($AM251,#REF!,#REF!),0)</f>
        <v>0</v>
      </c>
    </row>
    <row r="252" spans="1:51" s="11" customFormat="1" x14ac:dyDescent="0.3">
      <c r="A252" s="11">
        <f>INT(1&amp;MID(_xlfn.XLOOKUP(B252,[2]Timeline!$B:$B,[2]Timeline!$A:$A),2,5)&amp;1)</f>
        <v>1304621</v>
      </c>
      <c r="B252" s="12" t="s">
        <v>634</v>
      </c>
      <c r="C252" s="12" t="s">
        <v>635</v>
      </c>
      <c r="D252" s="12" t="s">
        <v>544</v>
      </c>
      <c r="E252" s="11" t="str">
        <f t="shared" ref="E252:E259" si="58">"skill_name_"&amp;A252</f>
        <v>skill_name_1304621</v>
      </c>
      <c r="F252" s="11" t="s">
        <v>117</v>
      </c>
      <c r="G252" s="11" t="s">
        <v>598</v>
      </c>
      <c r="H252" s="11" t="str">
        <f t="shared" si="34"/>
        <v>skill_desc_1304621</v>
      </c>
      <c r="I252" s="11" t="s">
        <v>205</v>
      </c>
      <c r="J252" s="11" t="str">
        <f>IFERROR(_xlfn.XLOOKUP(W252,Target!A:A,Target!J:J),"")</f>
        <v>Skill_Target_Icon_Enemy_Near_One</v>
      </c>
      <c r="K252" s="11" t="s">
        <v>205</v>
      </c>
      <c r="L252" s="11" t="str">
        <f>IFERROR(_xlfn.XLOOKUP(W252,Target!A:A,Target!K:K),"")</f>
        <v>Skill_Area_Icon_Pivot_Centor</v>
      </c>
      <c r="M252" s="11" t="str">
        <f>_xlfn.XLOOKUP(B252,'[2]Detail&lt;Child&gt;'!$B:$B,'[2]Detail&lt;Child&gt;'!$M:$M)</f>
        <v>Fire</v>
      </c>
      <c r="N252" s="11" t="str">
        <f>_xlfn.XLOOKUP(B252,'[2]Detail&lt;Child&gt;'!$B:$B,'[2]Detail&lt;Child&gt;'!$N:$N)</f>
        <v>Defender</v>
      </c>
      <c r="O252" s="11" t="s">
        <v>30</v>
      </c>
      <c r="P252" s="34">
        <v>0</v>
      </c>
      <c r="Q252" s="69" t="s">
        <v>499</v>
      </c>
      <c r="R252" s="11" t="s">
        <v>137</v>
      </c>
      <c r="S252" s="11">
        <v>2</v>
      </c>
      <c r="T252" s="15" t="str">
        <f t="shared" ref="T252:T259" si="59">IF(X252=0,"Immediately",IF($O252="Passive","Immediately",IF(W252=0,"None","SignalHit")))</f>
        <v>SignalHit</v>
      </c>
      <c r="U252" s="15" t="str" cm="1">
        <f t="array" ref="U252">_xlfn.IFS(T252="SignalHIt","TurnEnd",T252="AttackBegin","TurnEnd",T252="AttackEnd","TurnEnd",T252="Immediately","Applied",T252="None","None")</f>
        <v>TurnEnd</v>
      </c>
      <c r="V252" s="15">
        <v>0</v>
      </c>
      <c r="W252" s="11">
        <v>2000011</v>
      </c>
      <c r="X252" s="10">
        <f>INT(A252&amp;1)</f>
        <v>13046211</v>
      </c>
      <c r="Y252" s="11" t="str">
        <f t="shared" ref="Y252:Y259" si="60">IF($O252="Passive","Immediately",IF(AB252=0,"Immediately","AttackBegin"))</f>
        <v>Immediately</v>
      </c>
      <c r="Z252" s="15" t="str" cm="1">
        <f t="array" ref="Z252">_xlfn.IFS(Y252="SignalHIt","TurnEnd",Y252="AttackBegin","TurnEnd",Y252="AttackEnd","TurnEnd",Y252="Immediately","Applied",Y252="None","None")</f>
        <v>Applied</v>
      </c>
      <c r="AA252" s="15">
        <v>0</v>
      </c>
      <c r="AB252" s="11">
        <v>0</v>
      </c>
      <c r="AC252" s="10">
        <v>0</v>
      </c>
      <c r="AD252" s="15" t="str">
        <f t="shared" ref="AD252:AD259" si="61">IF($O252="Passive","Immediately",IF(AG252=0,"Immediately","AttackEnd"))</f>
        <v>Immediately</v>
      </c>
      <c r="AE252" s="15" t="str" cm="1">
        <f t="array" ref="AE252">_xlfn.IFS(AD252="SignalHIt","TurnEnd",AD252="AttackBegin","TurnEnd",AD252="AttackEnd","TurnEnd",AD252="Immediately","Applied",AD252="None","None")</f>
        <v>Applied</v>
      </c>
      <c r="AF252" s="15">
        <v>0</v>
      </c>
      <c r="AG252" s="11">
        <v>0</v>
      </c>
      <c r="AH252" s="10">
        <v>0</v>
      </c>
      <c r="AI252" s="15" t="str">
        <f t="shared" ref="AI252:AI259" si="62">IF($O252="Passive","Immediately",IF(AL252=0,"Immediately","AttackEnd"))</f>
        <v>Immediately</v>
      </c>
      <c r="AJ252" s="15" t="str" cm="1">
        <f t="array" ref="AJ252">_xlfn.IFS(AI252="SignalHIt","TurnEnd",AI252="AttackBegin","TurnEnd",AI252="AttackEnd","TurnEnd",AI252="Immediately","Applied",AI252="None","None")</f>
        <v>Applied</v>
      </c>
      <c r="AK252" s="15">
        <v>0</v>
      </c>
      <c r="AL252" s="10">
        <v>0</v>
      </c>
      <c r="AM252" s="50">
        <v>0</v>
      </c>
      <c r="AN252" s="46" t="str">
        <f>IFERROR(_xlfn.XLOOKUP(W252,Target!$A:$A,Target!$B:$B),"None")</f>
        <v xml:space="preserve">가까운 적 1명 </v>
      </c>
      <c r="AO252" s="47" t="str">
        <f>IFERROR(_xlfn.XLOOKUP($X252,'BuffValue&lt;Child&gt;'!$A:$A,'BuffValue&lt;Child&gt;'!$F:$F),"None")</f>
        <v>공용 대미지</v>
      </c>
      <c r="AP252" s="47">
        <f>IFERROR(_xlfn.XLOOKUP($X252,'BuffValue&lt;Child&gt;'!$A:$A,'BuffValue&lt;Child&gt;'!$K:$K),0)</f>
        <v>150000</v>
      </c>
      <c r="AQ252" s="47" t="str">
        <f>IFERROR(_xlfn.XLOOKUP(AB252,Target!$A:$A,Target!$B:$B),"None")</f>
        <v>None</v>
      </c>
      <c r="AR252" s="46" t="str">
        <f>IFERROR(_xlfn.XLOOKUP($AC252,'BuffValue&lt;Child&gt;'!$A:$A,'BuffValue&lt;Child&gt;'!$F:$F),"None")</f>
        <v>None</v>
      </c>
      <c r="AS252" s="46">
        <f>IFERROR(_xlfn.XLOOKUP($AC252,'BuffValue&lt;Child&gt;'!$A:$A,'BuffValue&lt;Child&gt;'!$K:$K),0)</f>
        <v>0</v>
      </c>
      <c r="AT252" s="47" t="str">
        <f>IFERROR(_xlfn.XLOOKUP(AG252,Target!$A:$A,Target!$B:$B),"None")</f>
        <v>None</v>
      </c>
      <c r="AU252" s="47" t="str">
        <f>IFERROR(_xlfn.XLOOKUP($AH252,'BuffValue&lt;Child&gt;'!$A:$A,'BuffValue&lt;Child&gt;'!$F:$F),"None")</f>
        <v>None</v>
      </c>
      <c r="AV252" s="47">
        <f>IFERROR(_xlfn.XLOOKUP($AH252,'BuffValue&lt;Child&gt;'!$A:$A,'BuffValue&lt;Child&gt;'!$K:$K),0)</f>
        <v>0</v>
      </c>
      <c r="AW252" s="47" t="str">
        <f>IFERROR(_xlfn.XLOOKUP(AL252,Target!$A:$A,Target!$B:$B),"None")</f>
        <v>None</v>
      </c>
      <c r="AX252" s="47" t="str">
        <f>IFERROR(_xlfn.XLOOKUP($AM252,'BuffValue&lt;Child&gt;'!$A:$A,'BuffValue&lt;Child&gt;'!$F:$F),"None")</f>
        <v>None</v>
      </c>
      <c r="AY252" s="47">
        <f>IFERROR(_xlfn.XLOOKUP($AM252,#REF!,#REF!),0)</f>
        <v>0</v>
      </c>
    </row>
    <row r="253" spans="1:51" x14ac:dyDescent="0.3">
      <c r="A253" s="1">
        <f>INT(2&amp;MID(_xlfn.XLOOKUP(B253,[2]Timeline!$B:$B,[2]Timeline!$A:$A),2,5)&amp;1)</f>
        <v>2304621</v>
      </c>
      <c r="B253" s="7" t="s">
        <v>634</v>
      </c>
      <c r="C253" s="7" t="s">
        <v>636</v>
      </c>
      <c r="D253" s="7" t="s">
        <v>572</v>
      </c>
      <c r="E253" s="1" t="str">
        <f t="shared" si="58"/>
        <v>skill_name_2304621</v>
      </c>
      <c r="F253" s="1" t="s">
        <v>117</v>
      </c>
      <c r="G253" s="1" t="s">
        <v>599</v>
      </c>
      <c r="H253" s="1" t="str">
        <f t="shared" si="34"/>
        <v>skill_desc_2304621</v>
      </c>
      <c r="I253" s="1" t="s">
        <v>205</v>
      </c>
      <c r="J253" s="1" t="str">
        <f>IFERROR(_xlfn.XLOOKUP(W253,Target!A:A,Target!J:J),"")</f>
        <v>Skill_Target_Icon_Enemy_Near_One</v>
      </c>
      <c r="K253" s="1" t="s">
        <v>205</v>
      </c>
      <c r="L253" s="1" t="str">
        <f>IFERROR(_xlfn.XLOOKUP(W253,Target!A:A,Target!K:K),"")</f>
        <v>Skill_Area_Icon_Pivot_Centor</v>
      </c>
      <c r="M253" s="1" t="str">
        <f>_xlfn.XLOOKUP(B253,'[2]Detail&lt;Child&gt;'!$B:$B,'[2]Detail&lt;Child&gt;'!$M:$M)</f>
        <v>Fire</v>
      </c>
      <c r="N253" s="1" t="str">
        <f>_xlfn.XLOOKUP(B253,'[2]Detail&lt;Child&gt;'!$B:$B,'[2]Detail&lt;Child&gt;'!$N:$N)</f>
        <v>Defender</v>
      </c>
      <c r="O253" s="1" t="s">
        <v>33</v>
      </c>
      <c r="P253" s="33">
        <v>3</v>
      </c>
      <c r="Q253" s="68" t="str" cm="1">
        <f t="array" ref="Q253">_xlfn.IFS(R253="Move","Move",R253="NonTargetMove","Move",R253="Static","Stand",R253="None","Stand")</f>
        <v>Move</v>
      </c>
      <c r="R253" s="1" t="s">
        <v>144</v>
      </c>
      <c r="S253" s="1">
        <v>2</v>
      </c>
      <c r="T253" s="2" t="str">
        <f t="shared" si="59"/>
        <v>SignalHit</v>
      </c>
      <c r="U253" s="2" t="str" cm="1">
        <f t="array" ref="U253">_xlfn.IFS(T253="SignalHIt","TurnEnd",T253="AttackBegin","TurnEnd",T253="AttackEnd","TurnEnd",T253="Immediately","Applied",T253="None","None")</f>
        <v>TurnEnd</v>
      </c>
      <c r="V253" s="2">
        <v>0</v>
      </c>
      <c r="W253" s="1">
        <v>2000011</v>
      </c>
      <c r="X253" s="8">
        <f t="shared" ref="X253:X259" si="63">INT(A253&amp;1)</f>
        <v>23046211</v>
      </c>
      <c r="Y253" s="1" t="str">
        <f t="shared" si="60"/>
        <v>Immediately</v>
      </c>
      <c r="Z253" s="2" t="str" cm="1">
        <f t="array" ref="Z253">_xlfn.IFS(Y253="SignalHIt","TurnEnd",Y253="AttackBegin","TurnEnd",Y253="AttackEnd","TurnEnd",Y253="Immediately","Applied",Y253="None","None")</f>
        <v>Applied</v>
      </c>
      <c r="AA253" s="2">
        <v>0</v>
      </c>
      <c r="AB253" s="1">
        <v>0</v>
      </c>
      <c r="AC253" s="8">
        <v>0</v>
      </c>
      <c r="AD253" s="2" t="str">
        <f t="shared" si="61"/>
        <v>Immediately</v>
      </c>
      <c r="AE253" s="2" t="str" cm="1">
        <f t="array" ref="AE253">_xlfn.IFS(AD253="SignalHIt","TurnEnd",AD253="AttackBegin","TurnEnd",AD253="AttackEnd","TurnEnd",AD253="Immediately","Applied",AD253="None","None")</f>
        <v>Applied</v>
      </c>
      <c r="AF253" s="2">
        <v>0</v>
      </c>
      <c r="AG253" s="1">
        <v>0</v>
      </c>
      <c r="AH253" s="8">
        <v>0</v>
      </c>
      <c r="AI253" s="2" t="str">
        <f t="shared" si="62"/>
        <v>Immediately</v>
      </c>
      <c r="AJ253" s="2" t="str" cm="1">
        <f t="array" ref="AJ253">_xlfn.IFS(AI253="SignalHIt","TurnEnd",AI253="AttackBegin","TurnEnd",AI253="AttackEnd","TurnEnd",AI253="Immediately","Applied",AI253="None","None")</f>
        <v>Applied</v>
      </c>
      <c r="AK253" s="2">
        <v>0</v>
      </c>
      <c r="AL253" s="8">
        <v>0</v>
      </c>
      <c r="AM253" s="48">
        <v>0</v>
      </c>
      <c r="AN253" s="45" t="str">
        <f>IFERROR(_xlfn.XLOOKUP(W253,Target!$A:$A,Target!$B:$B),"None")</f>
        <v xml:space="preserve">가까운 적 1명 </v>
      </c>
      <c r="AO253" s="43" t="str">
        <f>IFERROR(_xlfn.XLOOKUP($X253,'BuffValue&lt;Child&gt;'!$A:$A,'BuffValue&lt;Child&gt;'!$F:$F),"None")</f>
        <v>액티브 대미지</v>
      </c>
      <c r="AP253" s="43">
        <f>IFERROR(_xlfn.XLOOKUP($X253,'BuffValue&lt;Child&gt;'!$A:$A,'BuffValue&lt;Child&gt;'!$K:$K),0)</f>
        <v>40000</v>
      </c>
      <c r="AQ253" s="43" t="str">
        <f>IFERROR(_xlfn.XLOOKUP(AB253,Target!$A:$A,Target!$B:$B),"None")</f>
        <v>None</v>
      </c>
      <c r="AR253" s="45" t="str">
        <f>IFERROR(_xlfn.XLOOKUP($AC253,'BuffValue&lt;Child&gt;'!$A:$A,'BuffValue&lt;Child&gt;'!$F:$F),"None")</f>
        <v>None</v>
      </c>
      <c r="AS253" s="45">
        <f>IFERROR(_xlfn.XLOOKUP($AC253,'BuffValue&lt;Child&gt;'!$A:$A,'BuffValue&lt;Child&gt;'!$K:$K),0)</f>
        <v>0</v>
      </c>
      <c r="AT253" s="43" t="str">
        <f>IFERROR(_xlfn.XLOOKUP(AG253,Target!$A:$A,Target!$B:$B),"None")</f>
        <v>None</v>
      </c>
      <c r="AU253" s="43" t="str">
        <f>IFERROR(_xlfn.XLOOKUP($AH253,'BuffValue&lt;Child&gt;'!$A:$A,'BuffValue&lt;Child&gt;'!$F:$F),"None")</f>
        <v>None</v>
      </c>
      <c r="AV253" s="43">
        <f>IFERROR(_xlfn.XLOOKUP($AH253,'BuffValue&lt;Child&gt;'!$A:$A,'BuffValue&lt;Child&gt;'!$K:$K),0)</f>
        <v>0</v>
      </c>
      <c r="AW253" s="43" t="str">
        <f>IFERROR(_xlfn.XLOOKUP(AL253,Target!$A:$A,Target!$B:$B),"None")</f>
        <v>None</v>
      </c>
      <c r="AX253" s="43" t="str">
        <f>IFERROR(_xlfn.XLOOKUP($AM253,'BuffValue&lt;Child&gt;'!$A:$A,'BuffValue&lt;Child&gt;'!$F:$F),"None")</f>
        <v>None</v>
      </c>
      <c r="AY253" s="43">
        <f>IFERROR(_xlfn.XLOOKUP($AM253,#REF!,#REF!),0)</f>
        <v>0</v>
      </c>
    </row>
    <row r="254" spans="1:51" x14ac:dyDescent="0.3">
      <c r="A254" s="1">
        <f>INT(2&amp;MID(_xlfn.XLOOKUP(B254,[2]Timeline!$B:$B,[2]Timeline!$A:$A),2,5)&amp;2)</f>
        <v>2304622</v>
      </c>
      <c r="B254" s="7" t="s">
        <v>634</v>
      </c>
      <c r="C254" s="7" t="s">
        <v>636</v>
      </c>
      <c r="D254" s="7" t="s">
        <v>572</v>
      </c>
      <c r="E254" s="1" t="str">
        <f t="shared" si="58"/>
        <v>skill_name_2304622</v>
      </c>
      <c r="F254" s="1" t="s">
        <v>117</v>
      </c>
      <c r="G254" s="1" t="s">
        <v>599</v>
      </c>
      <c r="H254" s="1" t="str">
        <f t="shared" si="34"/>
        <v>skill_desc_2304622</v>
      </c>
      <c r="I254" s="1" t="s">
        <v>205</v>
      </c>
      <c r="J254" s="1" t="str">
        <f>IFERROR(_xlfn.XLOOKUP(W254,Target!A:A,Target!J:J),"")</f>
        <v>Skill_Target_Icon_Enemy_Near_One</v>
      </c>
      <c r="K254" s="1" t="s">
        <v>205</v>
      </c>
      <c r="L254" s="1" t="str">
        <f>IFERROR(_xlfn.XLOOKUP(W254,Target!A:A,Target!K:K),"")</f>
        <v>Skill_Area_Icon_Pivot_Centor</v>
      </c>
      <c r="M254" s="1" t="str">
        <f>_xlfn.XLOOKUP(B254,'[2]Detail&lt;Child&gt;'!$B:$B,'[2]Detail&lt;Child&gt;'!$M:$M)</f>
        <v>Fire</v>
      </c>
      <c r="N254" s="1" t="str">
        <f>_xlfn.XLOOKUP(B254,'[2]Detail&lt;Child&gt;'!$B:$B,'[2]Detail&lt;Child&gt;'!$N:$N)</f>
        <v>Defender</v>
      </c>
      <c r="O254" s="1" t="s">
        <v>33</v>
      </c>
      <c r="P254" s="33">
        <v>2</v>
      </c>
      <c r="Q254" s="68" t="str" cm="1">
        <f t="array" ref="Q254">_xlfn.IFS(R254="Move","Move",R254="NonTargetMove","Move",R254="Static","Stand",R254="None","Stand")</f>
        <v>Move</v>
      </c>
      <c r="R254" s="1" t="s">
        <v>144</v>
      </c>
      <c r="S254" s="1">
        <v>2</v>
      </c>
      <c r="T254" s="2" t="str">
        <f t="shared" si="59"/>
        <v>SignalHit</v>
      </c>
      <c r="U254" s="2" t="str" cm="1">
        <f t="array" ref="U254">_xlfn.IFS(T254="SignalHIt","TurnEnd",T254="AttackBegin","TurnEnd",T254="AttackEnd","TurnEnd",T254="Immediately","Applied",T254="None","None")</f>
        <v>TurnEnd</v>
      </c>
      <c r="V254" s="2">
        <v>0</v>
      </c>
      <c r="W254" s="1">
        <v>2000011</v>
      </c>
      <c r="X254" s="8">
        <f>INT(A254&amp;1)</f>
        <v>23046221</v>
      </c>
      <c r="Y254" s="1" t="str">
        <f t="shared" si="60"/>
        <v>Immediately</v>
      </c>
      <c r="Z254" s="2" t="str" cm="1">
        <f t="array" ref="Z254">_xlfn.IFS(Y254="SignalHIt","TurnEnd",Y254="AttackBegin","TurnEnd",Y254="AttackEnd","TurnEnd",Y254="Immediately","Applied",Y254="None","None")</f>
        <v>Applied</v>
      </c>
      <c r="AA254" s="2">
        <v>0</v>
      </c>
      <c r="AB254" s="1">
        <v>0</v>
      </c>
      <c r="AC254" s="8">
        <v>0</v>
      </c>
      <c r="AD254" s="2" t="str">
        <f t="shared" si="61"/>
        <v>Immediately</v>
      </c>
      <c r="AE254" s="2" t="str" cm="1">
        <f t="array" ref="AE254">_xlfn.IFS(AD254="SignalHIt","TurnEnd",AD254="AttackBegin","TurnEnd",AD254="AttackEnd","TurnEnd",AD254="Immediately","Applied",AD254="None","None")</f>
        <v>Applied</v>
      </c>
      <c r="AF254" s="2">
        <v>0</v>
      </c>
      <c r="AG254" s="1">
        <v>0</v>
      </c>
      <c r="AH254" s="8">
        <v>0</v>
      </c>
      <c r="AI254" s="2" t="str">
        <f t="shared" si="62"/>
        <v>Immediately</v>
      </c>
      <c r="AJ254" s="2" t="str" cm="1">
        <f t="array" ref="AJ254">_xlfn.IFS(AI254="SignalHIt","TurnEnd",AI254="AttackBegin","TurnEnd",AI254="AttackEnd","TurnEnd",AI254="Immediately","Applied",AI254="None","None")</f>
        <v>Applied</v>
      </c>
      <c r="AK254" s="2">
        <v>0</v>
      </c>
      <c r="AL254" s="8">
        <v>0</v>
      </c>
      <c r="AM254" s="48">
        <v>0</v>
      </c>
      <c r="AN254" s="45" t="str">
        <f>IFERROR(_xlfn.XLOOKUP(W254,Target!$A:$A,Target!$B:$B),"None")</f>
        <v xml:space="preserve">가까운 적 1명 </v>
      </c>
      <c r="AO254" s="43" t="str">
        <f>IFERROR(_xlfn.XLOOKUP($X254,'BuffValue&lt;Child&gt;'!$A:$A,'BuffValue&lt;Child&gt;'!$F:$F),"None")</f>
        <v>액티브 대미지</v>
      </c>
      <c r="AP254" s="43">
        <f>IFERROR(_xlfn.XLOOKUP($X254,'BuffValue&lt;Child&gt;'!$A:$A,'BuffValue&lt;Child&gt;'!$K:$K),0)</f>
        <v>40000</v>
      </c>
      <c r="AQ254" s="43" t="str">
        <f>IFERROR(_xlfn.XLOOKUP(AB254,Target!$A:$A,Target!$B:$B),"None")</f>
        <v>None</v>
      </c>
      <c r="AR254" s="45" t="str">
        <f>IFERROR(_xlfn.XLOOKUP($AC254,'BuffValue&lt;Child&gt;'!$A:$A,'BuffValue&lt;Child&gt;'!$F:$F),"None")</f>
        <v>None</v>
      </c>
      <c r="AS254" s="45">
        <f>IFERROR(_xlfn.XLOOKUP($AC254,'BuffValue&lt;Child&gt;'!$A:$A,'BuffValue&lt;Child&gt;'!$K:$K),0)</f>
        <v>0</v>
      </c>
      <c r="AT254" s="43" t="str">
        <f>IFERROR(_xlfn.XLOOKUP(AG254,Target!$A:$A,Target!$B:$B),"None")</f>
        <v>None</v>
      </c>
      <c r="AU254" s="43" t="str">
        <f>IFERROR(_xlfn.XLOOKUP($AH254,'BuffValue&lt;Child&gt;'!$A:$A,'BuffValue&lt;Child&gt;'!$F:$F),"None")</f>
        <v>None</v>
      </c>
      <c r="AV254" s="43">
        <f>IFERROR(_xlfn.XLOOKUP($AH254,'BuffValue&lt;Child&gt;'!$A:$A,'BuffValue&lt;Child&gt;'!$K:$K),0)</f>
        <v>0</v>
      </c>
      <c r="AW254" s="43" t="str">
        <f>IFERROR(_xlfn.XLOOKUP(AL254,Target!$A:$A,Target!$B:$B),"None")</f>
        <v>None</v>
      </c>
      <c r="AX254" s="43" t="str">
        <f>IFERROR(_xlfn.XLOOKUP($AM254,'BuffValue&lt;Child&gt;'!$A:$A,'BuffValue&lt;Child&gt;'!$F:$F),"None")</f>
        <v>None</v>
      </c>
      <c r="AY254" s="43">
        <f>IFERROR(_xlfn.XLOOKUP($AM254,#REF!,#REF!),0)</f>
        <v>0</v>
      </c>
    </row>
    <row r="255" spans="1:51" x14ac:dyDescent="0.3">
      <c r="A255" s="1">
        <f>INT(3&amp;MID(_xlfn.XLOOKUP(B255,[2]Timeline!$B:$B,[2]Timeline!$A:$A),2,5)&amp;1)</f>
        <v>3304621</v>
      </c>
      <c r="B255" s="7" t="s">
        <v>634</v>
      </c>
      <c r="C255" s="7" t="s">
        <v>637</v>
      </c>
      <c r="D255" s="7" t="s">
        <v>516</v>
      </c>
      <c r="E255" s="1" t="str">
        <f t="shared" si="58"/>
        <v>skill_name_3304621</v>
      </c>
      <c r="F255" s="1" t="s">
        <v>117</v>
      </c>
      <c r="G255" s="1" t="s">
        <v>600</v>
      </c>
      <c r="H255" s="1" t="str">
        <f t="shared" si="34"/>
        <v>skill_desc_3304621</v>
      </c>
      <c r="I255" s="1" t="s">
        <v>205</v>
      </c>
      <c r="J255" s="1" t="str">
        <f>IFERROR(_xlfn.XLOOKUP(W255,Target!A:A,Target!J:J),"")</f>
        <v>Skill_Target_Icon_Enemy_Near_One</v>
      </c>
      <c r="K255" s="1" t="s">
        <v>205</v>
      </c>
      <c r="L255" s="1" t="str">
        <f>IFERROR(_xlfn.XLOOKUP(W255,Target!A:A,Target!K:K),"")</f>
        <v>Skill_Area_Icon_Pivot_Row</v>
      </c>
      <c r="M255" s="1" t="str">
        <f>_xlfn.XLOOKUP(B255,'[2]Detail&lt;Child&gt;'!$B:$B,'[2]Detail&lt;Child&gt;'!$M:$M)</f>
        <v>Fire</v>
      </c>
      <c r="N255" s="1" t="str">
        <f>_xlfn.XLOOKUP(B255,'[2]Detail&lt;Child&gt;'!$B:$B,'[2]Detail&lt;Child&gt;'!$N:$N)</f>
        <v>Defender</v>
      </c>
      <c r="O255" s="1" t="s">
        <v>140</v>
      </c>
      <c r="P255" s="33">
        <v>0</v>
      </c>
      <c r="Q255" s="68" t="str" cm="1">
        <f t="array" ref="Q255">_xlfn.IFS(R255="Move","Move",R255="NonTargetMove","Move",R255="Static","Stand",R255="None","Stand")</f>
        <v>Move</v>
      </c>
      <c r="R255" s="1" t="s">
        <v>153</v>
      </c>
      <c r="S255" s="1">
        <v>2</v>
      </c>
      <c r="T255" s="2" t="str">
        <f t="shared" si="59"/>
        <v>SignalHit</v>
      </c>
      <c r="U255" s="2" t="str" cm="1">
        <f t="array" ref="U255">_xlfn.IFS(T255="SignalHIt","TurnEnd",T255="AttackBegin","TurnEnd",T255="AttackEnd","TurnEnd",T255="Immediately","Applied",T255="None","None")</f>
        <v>TurnEnd</v>
      </c>
      <c r="V255" s="2">
        <v>0</v>
      </c>
      <c r="W255" s="1">
        <v>2000014</v>
      </c>
      <c r="X255" s="8">
        <f t="shared" si="63"/>
        <v>33046211</v>
      </c>
      <c r="Y255" s="1" t="str">
        <f t="shared" si="60"/>
        <v>Immediately</v>
      </c>
      <c r="Z255" s="2" t="str" cm="1">
        <f t="array" ref="Z255">_xlfn.IFS(Y255="SignalHIt","TurnEnd",Y255="AttackBegin","TurnEnd",Y255="AttackEnd","TurnEnd",Y255="Immediately","Applied",Y255="None","None")</f>
        <v>Applied</v>
      </c>
      <c r="AA255" s="2">
        <v>0</v>
      </c>
      <c r="AB255" s="1">
        <v>0</v>
      </c>
      <c r="AC255" s="8">
        <v>0</v>
      </c>
      <c r="AD255" s="2" t="str">
        <f t="shared" si="61"/>
        <v>Immediately</v>
      </c>
      <c r="AE255" s="2" t="str" cm="1">
        <f t="array" ref="AE255">_xlfn.IFS(AD255="SignalHIt","TurnEnd",AD255="AttackBegin","TurnEnd",AD255="AttackEnd","TurnEnd",AD255="Immediately","Applied",AD255="None","None")</f>
        <v>Applied</v>
      </c>
      <c r="AF255" s="2">
        <v>0</v>
      </c>
      <c r="AG255" s="1">
        <v>0</v>
      </c>
      <c r="AH255" s="8">
        <v>0</v>
      </c>
      <c r="AI255" s="2" t="str">
        <f t="shared" si="62"/>
        <v>Immediately</v>
      </c>
      <c r="AJ255" s="2" t="str" cm="1">
        <f t="array" ref="AJ255">_xlfn.IFS(AI255="SignalHIt","TurnEnd",AI255="AttackBegin","TurnEnd",AI255="AttackEnd","TurnEnd",AI255="Immediately","Applied",AI255="None","None")</f>
        <v>Applied</v>
      </c>
      <c r="AK255" s="2">
        <v>0</v>
      </c>
      <c r="AL255" s="1">
        <v>0</v>
      </c>
      <c r="AM255" s="48">
        <v>0</v>
      </c>
      <c r="AN255" s="45" t="str">
        <f>IFERROR(_xlfn.XLOOKUP(W255,Target!$A:$A,Target!$B:$B),"None")</f>
        <v>가까운 적 1명 2행</v>
      </c>
      <c r="AO255" s="43" t="str">
        <f>IFERROR(_xlfn.XLOOKUP($X255,'BuffValue&lt;Child&gt;'!$A:$A,'BuffValue&lt;Child&gt;'!$F:$F),"None")</f>
        <v>얼티밋 대미지</v>
      </c>
      <c r="AP255" s="43">
        <f>IFERROR(_xlfn.XLOOKUP($X255,'BuffValue&lt;Child&gt;'!$A:$A,'BuffValue&lt;Child&gt;'!$K:$K),0)</f>
        <v>320000</v>
      </c>
      <c r="AQ255" s="43" t="str">
        <f>IFERROR(_xlfn.XLOOKUP(AB255,Target!$A:$A,Target!$B:$B),"None")</f>
        <v>None</v>
      </c>
      <c r="AR255" s="45" t="str">
        <f>IFERROR(_xlfn.XLOOKUP($AC255,'BuffValue&lt;Child&gt;'!$A:$A,'BuffValue&lt;Child&gt;'!$F:$F),"None")</f>
        <v>None</v>
      </c>
      <c r="AS255" s="45">
        <f>IFERROR(_xlfn.XLOOKUP($AC255,'BuffValue&lt;Child&gt;'!$A:$A,'BuffValue&lt;Child&gt;'!$K:$K),0)</f>
        <v>0</v>
      </c>
      <c r="AT255" s="43" t="str">
        <f>IFERROR(_xlfn.XLOOKUP(AG255,Target!$A:$A,Target!$B:$B),"None")</f>
        <v>None</v>
      </c>
      <c r="AU255" s="43" t="str">
        <f>IFERROR(_xlfn.XLOOKUP($AH255,'BuffValue&lt;Child&gt;'!$A:$A,'BuffValue&lt;Child&gt;'!$F:$F),"None")</f>
        <v>None</v>
      </c>
      <c r="AV255" s="43">
        <f>IFERROR(_xlfn.XLOOKUP($AH255,'BuffValue&lt;Child&gt;'!$A:$A,'BuffValue&lt;Child&gt;'!$K:$K),0)</f>
        <v>0</v>
      </c>
      <c r="AW255" s="43" t="str">
        <f>IFERROR(_xlfn.XLOOKUP(AL255,Target!$A:$A,Target!$B:$B),"None")</f>
        <v>None</v>
      </c>
      <c r="AX255" s="43" t="str">
        <f>IFERROR(_xlfn.XLOOKUP($AM255,'BuffValue&lt;Child&gt;'!$A:$A,'BuffValue&lt;Child&gt;'!$F:$F),"None")</f>
        <v>None</v>
      </c>
      <c r="AY255" s="43">
        <f>IFERROR(_xlfn.XLOOKUP($AM255,#REF!,#REF!),0)</f>
        <v>0</v>
      </c>
    </row>
    <row r="256" spans="1:51" x14ac:dyDescent="0.3">
      <c r="A256" s="1">
        <f>INT(3&amp;MID(_xlfn.XLOOKUP(B256,[2]Timeline!$B:$B,[2]Timeline!$A:$A),2,5)&amp;2)</f>
        <v>3304622</v>
      </c>
      <c r="B256" s="7" t="s">
        <v>634</v>
      </c>
      <c r="C256" s="7" t="s">
        <v>637</v>
      </c>
      <c r="D256" s="7" t="s">
        <v>516</v>
      </c>
      <c r="E256" s="1" t="str">
        <f t="shared" si="58"/>
        <v>skill_name_3304622</v>
      </c>
      <c r="F256" s="1" t="s">
        <v>117</v>
      </c>
      <c r="G256" s="1" t="s">
        <v>600</v>
      </c>
      <c r="H256" s="1" t="str">
        <f t="shared" si="34"/>
        <v>skill_desc_3304622</v>
      </c>
      <c r="I256" s="1" t="s">
        <v>205</v>
      </c>
      <c r="J256" s="1" t="str">
        <f>IFERROR(_xlfn.XLOOKUP(W256,Target!A:A,Target!J:J),"")</f>
        <v>Skill_Target_Icon_Enemy_Near_One</v>
      </c>
      <c r="K256" s="1" t="s">
        <v>205</v>
      </c>
      <c r="L256" s="1" t="str">
        <f>IFERROR(_xlfn.XLOOKUP(W256,Target!A:A,Target!K:K),"")</f>
        <v>Skill_Area_Icon_Pivot_Row</v>
      </c>
      <c r="M256" s="1" t="str">
        <f>_xlfn.XLOOKUP(B256,'[2]Detail&lt;Child&gt;'!$B:$B,'[2]Detail&lt;Child&gt;'!$M:$M)</f>
        <v>Fire</v>
      </c>
      <c r="N256" s="1" t="str">
        <f>_xlfn.XLOOKUP(B256,'[2]Detail&lt;Child&gt;'!$B:$B,'[2]Detail&lt;Child&gt;'!$N:$N)</f>
        <v>Defender</v>
      </c>
      <c r="O256" s="1" t="s">
        <v>140</v>
      </c>
      <c r="P256" s="33">
        <v>0</v>
      </c>
      <c r="Q256" s="68" t="str" cm="1">
        <f t="array" ref="Q256">_xlfn.IFS(R256="Move","Move",R256="NonTargetMove","Move",R256="Static","Stand",R256="None","Stand")</f>
        <v>Move</v>
      </c>
      <c r="R256" s="1" t="s">
        <v>153</v>
      </c>
      <c r="S256" s="1">
        <v>2</v>
      </c>
      <c r="T256" s="2" t="str">
        <f t="shared" si="59"/>
        <v>SignalHit</v>
      </c>
      <c r="U256" s="2" t="str" cm="1">
        <f t="array" ref="U256">_xlfn.IFS(T256="SignalHIt","TurnEnd",T256="AttackBegin","TurnEnd",T256="AttackEnd","TurnEnd",T256="Immediately","Applied",T256="None","None")</f>
        <v>TurnEnd</v>
      </c>
      <c r="V256" s="2">
        <v>0</v>
      </c>
      <c r="W256" s="1">
        <v>2000014</v>
      </c>
      <c r="X256" s="8">
        <f t="shared" si="63"/>
        <v>33046221</v>
      </c>
      <c r="Y256" s="1" t="str">
        <f t="shared" si="60"/>
        <v>Immediately</v>
      </c>
      <c r="Z256" s="2" t="str" cm="1">
        <f t="array" ref="Z256">_xlfn.IFS(Y256="SignalHIt","TurnEnd",Y256="AttackBegin","TurnEnd",Y256="AttackEnd","TurnEnd",Y256="Immediately","Applied",Y256="None","None")</f>
        <v>Applied</v>
      </c>
      <c r="AA256" s="2">
        <v>0</v>
      </c>
      <c r="AB256" s="1">
        <v>0</v>
      </c>
      <c r="AC256" s="8">
        <v>0</v>
      </c>
      <c r="AD256" s="2" t="str">
        <f t="shared" si="61"/>
        <v>Immediately</v>
      </c>
      <c r="AE256" s="2" t="str" cm="1">
        <f t="array" ref="AE256">_xlfn.IFS(AD256="SignalHIt","TurnEnd",AD256="AttackBegin","TurnEnd",AD256="AttackEnd","TurnEnd",AD256="Immediately","Applied",AD256="None","None")</f>
        <v>Applied</v>
      </c>
      <c r="AF256" s="2">
        <v>0</v>
      </c>
      <c r="AG256" s="1">
        <v>0</v>
      </c>
      <c r="AH256" s="8">
        <v>0</v>
      </c>
      <c r="AI256" s="2" t="str">
        <f t="shared" si="62"/>
        <v>Immediately</v>
      </c>
      <c r="AJ256" s="2" t="str" cm="1">
        <f t="array" ref="AJ256">_xlfn.IFS(AI256="SignalHIt","TurnEnd",AI256="AttackBegin","TurnEnd",AI256="AttackEnd","TurnEnd",AI256="Immediately","Applied",AI256="None","None")</f>
        <v>Applied</v>
      </c>
      <c r="AK256" s="2">
        <v>0</v>
      </c>
      <c r="AL256" s="1">
        <v>0</v>
      </c>
      <c r="AM256" s="48">
        <v>0</v>
      </c>
      <c r="AN256" s="45" t="str">
        <f>IFERROR(_xlfn.XLOOKUP(W256,Target!$A:$A,Target!$B:$B),"None")</f>
        <v>가까운 적 1명 2행</v>
      </c>
      <c r="AO256" s="43" t="str">
        <f>IFERROR(_xlfn.XLOOKUP($X256,'BuffValue&lt;Child&gt;'!$A:$A,'BuffValue&lt;Child&gt;'!$F:$F),"None")</f>
        <v>얼티밋 대미지</v>
      </c>
      <c r="AP256" s="43">
        <f>IFERROR(_xlfn.XLOOKUP($X256,'BuffValue&lt;Child&gt;'!$A:$A,'BuffValue&lt;Child&gt;'!$K:$K),0)</f>
        <v>320000</v>
      </c>
      <c r="AQ256" s="43" t="str">
        <f>IFERROR(_xlfn.XLOOKUP(AB256,Target!$A:$A,Target!$B:$B),"None")</f>
        <v>None</v>
      </c>
      <c r="AR256" s="45" t="str">
        <f>IFERROR(_xlfn.XLOOKUP($AC256,'BuffValue&lt;Child&gt;'!$A:$A,'BuffValue&lt;Child&gt;'!$F:$F),"None")</f>
        <v>None</v>
      </c>
      <c r="AS256" s="45">
        <f>IFERROR(_xlfn.XLOOKUP($AC256,'BuffValue&lt;Child&gt;'!$A:$A,'BuffValue&lt;Child&gt;'!$K:$K),0)</f>
        <v>0</v>
      </c>
      <c r="AT256" s="43" t="str">
        <f>IFERROR(_xlfn.XLOOKUP(AG256,Target!$A:$A,Target!$B:$B),"None")</f>
        <v>None</v>
      </c>
      <c r="AU256" s="43" t="str">
        <f>IFERROR(_xlfn.XLOOKUP($AH256,'BuffValue&lt;Child&gt;'!$A:$A,'BuffValue&lt;Child&gt;'!$F:$F),"None")</f>
        <v>None</v>
      </c>
      <c r="AV256" s="43">
        <f>IFERROR(_xlfn.XLOOKUP($AH256,'BuffValue&lt;Child&gt;'!$A:$A,'BuffValue&lt;Child&gt;'!$K:$K),0)</f>
        <v>0</v>
      </c>
      <c r="AW256" s="43" t="str">
        <f>IFERROR(_xlfn.XLOOKUP(AL256,Target!$A:$A,Target!$B:$B),"None")</f>
        <v>None</v>
      </c>
      <c r="AX256" s="43" t="str">
        <f>IFERROR(_xlfn.XLOOKUP($AM256,'BuffValue&lt;Child&gt;'!$A:$A,'BuffValue&lt;Child&gt;'!$F:$F),"None")</f>
        <v>None</v>
      </c>
      <c r="AY256" s="43">
        <f>IFERROR(_xlfn.XLOOKUP($AM256,#REF!,#REF!),0)</f>
        <v>0</v>
      </c>
    </row>
    <row r="257" spans="1:51" x14ac:dyDescent="0.3">
      <c r="A257" s="1">
        <f>INT(3&amp;MID(_xlfn.XLOOKUP(B257,[2]Timeline!$B:$B,[2]Timeline!$A:$A),2,5)&amp;3)</f>
        <v>3304623</v>
      </c>
      <c r="B257" s="7" t="s">
        <v>634</v>
      </c>
      <c r="C257" s="7" t="s">
        <v>637</v>
      </c>
      <c r="D257" s="7" t="s">
        <v>516</v>
      </c>
      <c r="E257" s="1" t="str">
        <f t="shared" si="58"/>
        <v>skill_name_3304623</v>
      </c>
      <c r="F257" s="1" t="s">
        <v>117</v>
      </c>
      <c r="G257" s="1" t="s">
        <v>600</v>
      </c>
      <c r="H257" s="1" t="str">
        <f t="shared" si="34"/>
        <v>skill_desc_3304623</v>
      </c>
      <c r="I257" s="1" t="s">
        <v>205</v>
      </c>
      <c r="J257" s="1" t="str">
        <f>IFERROR(_xlfn.XLOOKUP(W257,Target!A:A,Target!J:J),"")</f>
        <v>Skill_Target_Icon_Enemy_Near_One</v>
      </c>
      <c r="K257" s="1" t="s">
        <v>205</v>
      </c>
      <c r="L257" s="1" t="str">
        <f>IFERROR(_xlfn.XLOOKUP(W257,Target!A:A,Target!K:K),"")</f>
        <v>Skill_Area_Icon_Pivot_Row</v>
      </c>
      <c r="M257" s="1" t="str">
        <f>_xlfn.XLOOKUP(B257,'[2]Detail&lt;Child&gt;'!$B:$B,'[2]Detail&lt;Child&gt;'!$M:$M)</f>
        <v>Fire</v>
      </c>
      <c r="N257" s="1" t="str">
        <f>_xlfn.XLOOKUP(B257,'[2]Detail&lt;Child&gt;'!$B:$B,'[2]Detail&lt;Child&gt;'!$N:$N)</f>
        <v>Defender</v>
      </c>
      <c r="O257" s="1" t="s">
        <v>140</v>
      </c>
      <c r="P257" s="33">
        <v>0</v>
      </c>
      <c r="Q257" s="68" t="str" cm="1">
        <f t="array" ref="Q257">_xlfn.IFS(R257="Move","Move",R257="NonTargetMove","Move",R257="Static","Stand",R257="None","Stand")</f>
        <v>Move</v>
      </c>
      <c r="R257" s="1" t="s">
        <v>153</v>
      </c>
      <c r="S257" s="1">
        <v>2</v>
      </c>
      <c r="T257" s="2" t="str">
        <f t="shared" si="59"/>
        <v>SignalHit</v>
      </c>
      <c r="U257" s="2" t="str" cm="1">
        <f t="array" ref="U257">_xlfn.IFS(T257="SignalHIt","TurnEnd",T257="AttackBegin","TurnEnd",T257="AttackEnd","TurnEnd",T257="Immediately","Applied",T257="None","None")</f>
        <v>TurnEnd</v>
      </c>
      <c r="V257" s="2">
        <v>0</v>
      </c>
      <c r="W257" s="1">
        <v>2000014</v>
      </c>
      <c r="X257" s="8">
        <f t="shared" si="63"/>
        <v>33046231</v>
      </c>
      <c r="Y257" s="1" t="str">
        <f t="shared" si="60"/>
        <v>Immediately</v>
      </c>
      <c r="Z257" s="2" t="str" cm="1">
        <f t="array" ref="Z257">_xlfn.IFS(Y257="SignalHIt","TurnEnd",Y257="AttackBegin","TurnEnd",Y257="AttackEnd","TurnEnd",Y257="Immediately","Applied",Y257="None","None")</f>
        <v>Applied</v>
      </c>
      <c r="AA257" s="2">
        <v>0</v>
      </c>
      <c r="AB257" s="1">
        <v>0</v>
      </c>
      <c r="AC257" s="8">
        <v>0</v>
      </c>
      <c r="AD257" s="2" t="str">
        <f t="shared" si="61"/>
        <v>Immediately</v>
      </c>
      <c r="AE257" s="2" t="str" cm="1">
        <f t="array" ref="AE257">_xlfn.IFS(AD257="SignalHIt","TurnEnd",AD257="AttackBegin","TurnEnd",AD257="AttackEnd","TurnEnd",AD257="Immediately","Applied",AD257="None","None")</f>
        <v>Applied</v>
      </c>
      <c r="AF257" s="2">
        <v>0</v>
      </c>
      <c r="AG257" s="1">
        <v>0</v>
      </c>
      <c r="AH257" s="8">
        <v>0</v>
      </c>
      <c r="AI257" s="2" t="str">
        <f t="shared" si="62"/>
        <v>Immediately</v>
      </c>
      <c r="AJ257" s="2" t="str" cm="1">
        <f t="array" ref="AJ257">_xlfn.IFS(AI257="SignalHIt","TurnEnd",AI257="AttackBegin","TurnEnd",AI257="AttackEnd","TurnEnd",AI257="Immediately","Applied",AI257="None","None")</f>
        <v>Applied</v>
      </c>
      <c r="AK257" s="2">
        <v>0</v>
      </c>
      <c r="AL257" s="1">
        <v>0</v>
      </c>
      <c r="AM257" s="48">
        <v>0</v>
      </c>
      <c r="AN257" s="45" t="str">
        <f>IFERROR(_xlfn.XLOOKUP(W257,Target!$A:$A,Target!$B:$B),"None")</f>
        <v>가까운 적 1명 2행</v>
      </c>
      <c r="AO257" s="43" t="str">
        <f>IFERROR(_xlfn.XLOOKUP($X257,'BuffValue&lt;Child&gt;'!$A:$A,'BuffValue&lt;Child&gt;'!$F:$F),"None")</f>
        <v>얼티밋 대미지</v>
      </c>
      <c r="AP257" s="43">
        <f>IFERROR(_xlfn.XLOOKUP($X257,'BuffValue&lt;Child&gt;'!$A:$A,'BuffValue&lt;Child&gt;'!$K:$K),0)</f>
        <v>320000</v>
      </c>
      <c r="AQ257" s="43" t="str">
        <f>IFERROR(_xlfn.XLOOKUP(AB257,Target!$A:$A,Target!$B:$B),"None")</f>
        <v>None</v>
      </c>
      <c r="AR257" s="45" t="str">
        <f>IFERROR(_xlfn.XLOOKUP($AC257,'BuffValue&lt;Child&gt;'!$A:$A,'BuffValue&lt;Child&gt;'!$F:$F),"None")</f>
        <v>None</v>
      </c>
      <c r="AS257" s="45">
        <f>IFERROR(_xlfn.XLOOKUP($AC257,'BuffValue&lt;Child&gt;'!$A:$A,'BuffValue&lt;Child&gt;'!$K:$K),0)</f>
        <v>0</v>
      </c>
      <c r="AT257" s="43" t="str">
        <f>IFERROR(_xlfn.XLOOKUP(AG257,Target!$A:$A,Target!$B:$B),"None")</f>
        <v>None</v>
      </c>
      <c r="AU257" s="43" t="str">
        <f>IFERROR(_xlfn.XLOOKUP($AH257,'BuffValue&lt;Child&gt;'!$A:$A,'BuffValue&lt;Child&gt;'!$F:$F),"None")</f>
        <v>None</v>
      </c>
      <c r="AV257" s="43">
        <f>IFERROR(_xlfn.XLOOKUP($AH257,'BuffValue&lt;Child&gt;'!$A:$A,'BuffValue&lt;Child&gt;'!$K:$K),0)</f>
        <v>0</v>
      </c>
      <c r="AW257" s="43" t="str">
        <f>IFERROR(_xlfn.XLOOKUP(AL257,Target!$A:$A,Target!$B:$B),"None")</f>
        <v>None</v>
      </c>
      <c r="AX257" s="43" t="str">
        <f>IFERROR(_xlfn.XLOOKUP($AM257,'BuffValue&lt;Child&gt;'!$A:$A,'BuffValue&lt;Child&gt;'!$F:$F),"None")</f>
        <v>None</v>
      </c>
      <c r="AY257" s="43">
        <f>IFERROR(_xlfn.XLOOKUP($AM257,#REF!,#REF!),0)</f>
        <v>0</v>
      </c>
    </row>
    <row r="258" spans="1:51" x14ac:dyDescent="0.3">
      <c r="A258" s="1">
        <f>INT(4&amp;MID(_xlfn.XLOOKUP(B258,[2]Timeline!$B:$B,[2]Timeline!$A:$A),2,5)&amp;1)</f>
        <v>4304621</v>
      </c>
      <c r="B258" s="7" t="s">
        <v>634</v>
      </c>
      <c r="C258" s="7" t="s">
        <v>122</v>
      </c>
      <c r="D258" s="7" t="s">
        <v>347</v>
      </c>
      <c r="E258" s="1" t="str">
        <f t="shared" si="58"/>
        <v>skill_name_4304621</v>
      </c>
      <c r="F258" s="1" t="s">
        <v>117</v>
      </c>
      <c r="G258" s="1" t="s">
        <v>601</v>
      </c>
      <c r="H258" s="1" t="str">
        <f t="shared" si="34"/>
        <v>skill_desc_4304621</v>
      </c>
      <c r="I258" s="1" t="s">
        <v>205</v>
      </c>
      <c r="J258" s="1" t="str">
        <f>IFERROR(_xlfn.XLOOKUP(W258,Target!A:A,Target!J:J),"")</f>
        <v>Skill_Target_Icon_Mine</v>
      </c>
      <c r="K258" s="1" t="s">
        <v>205</v>
      </c>
      <c r="L258" s="1" t="str">
        <f>IFERROR(_xlfn.XLOOKUP(W258,Target!A:A,Target!K:K),"")</f>
        <v>Skill_Area_Icon_Pivot_Centor</v>
      </c>
      <c r="M258" s="1" t="str">
        <f>_xlfn.XLOOKUP(B258,'[2]Detail&lt;Child&gt;'!$B:$B,'[2]Detail&lt;Child&gt;'!$M:$M)</f>
        <v>Fire</v>
      </c>
      <c r="N258" s="1" t="str">
        <f>_xlfn.XLOOKUP(B258,'[2]Detail&lt;Child&gt;'!$B:$B,'[2]Detail&lt;Child&gt;'!$N:$N)</f>
        <v>Defender</v>
      </c>
      <c r="O258" s="1" t="s">
        <v>167</v>
      </c>
      <c r="P258" s="33">
        <v>0</v>
      </c>
      <c r="Q258" s="68" t="str" cm="1">
        <f t="array" ref="Q258">_xlfn.IFS(R258="Move","Move",R258="NonTargetMove","Move",R258="Static","Stand",R258="None","Stand")</f>
        <v>Stand</v>
      </c>
      <c r="R258" s="1" t="s">
        <v>136</v>
      </c>
      <c r="S258" s="1">
        <f>IF(R258="Static",0,1)</f>
        <v>0</v>
      </c>
      <c r="T258" s="2" t="str">
        <f t="shared" si="59"/>
        <v>Immediately</v>
      </c>
      <c r="U258" s="2" t="str" cm="1">
        <f t="array" ref="U258">_xlfn.IFS(T258="SignalHIt","TurnEnd",T258="AttackBegin","TurnEnd",T258="AttackEnd","TurnEnd",T258="Immediately","Applied",T258="None","None")</f>
        <v>Applied</v>
      </c>
      <c r="V258" s="2">
        <v>0</v>
      </c>
      <c r="W258" s="1">
        <v>1</v>
      </c>
      <c r="X258" s="8">
        <f t="shared" si="63"/>
        <v>43046211</v>
      </c>
      <c r="Y258" s="1" t="str">
        <f t="shared" si="60"/>
        <v>Immediately</v>
      </c>
      <c r="Z258" s="2" t="str" cm="1">
        <f t="array" ref="Z258">_xlfn.IFS(Y258="SignalHIt","TurnEnd",Y258="AttackBegin","TurnEnd",Y258="AttackEnd","TurnEnd",Y258="Immediately","Applied",Y258="None","None")</f>
        <v>Applied</v>
      </c>
      <c r="AA258" s="2">
        <v>0</v>
      </c>
      <c r="AB258" s="1">
        <v>0</v>
      </c>
      <c r="AC258" s="8">
        <v>0</v>
      </c>
      <c r="AD258" s="2" t="str">
        <f t="shared" si="61"/>
        <v>Immediately</v>
      </c>
      <c r="AE258" s="2" t="str" cm="1">
        <f t="array" ref="AE258">_xlfn.IFS(AD258="SignalHIt","TurnEnd",AD258="AttackBegin","TurnEnd",AD258="AttackEnd","TurnEnd",AD258="Immediately","Applied",AD258="None","None")</f>
        <v>Applied</v>
      </c>
      <c r="AF258" s="2">
        <v>0</v>
      </c>
      <c r="AG258" s="1">
        <v>0</v>
      </c>
      <c r="AH258" s="8">
        <v>0</v>
      </c>
      <c r="AI258" s="2" t="str">
        <f t="shared" si="62"/>
        <v>Immediately</v>
      </c>
      <c r="AJ258" s="2" t="str" cm="1">
        <f t="array" ref="AJ258">_xlfn.IFS(AI258="SignalHIt","TurnEnd",AI258="AttackBegin","TurnEnd",AI258="AttackEnd","TurnEnd",AI258="Immediately","Applied",AI258="None","None")</f>
        <v>Applied</v>
      </c>
      <c r="AK258" s="2">
        <v>0</v>
      </c>
      <c r="AL258" s="8">
        <v>0</v>
      </c>
      <c r="AM258" s="48">
        <v>0</v>
      </c>
      <c r="AN258" s="45" t="str">
        <f>IFERROR(_xlfn.XLOOKUP(W258,Target!$A:$A,Target!$B:$B),"None")</f>
        <v xml:space="preserve"> 자신 1명 </v>
      </c>
      <c r="AO258" s="43" t="str">
        <f>IFERROR(_xlfn.XLOOKUP($X258,'BuffValue&lt;Child&gt;'!$A:$A,'BuffValue&lt;Child&gt;'!$F:$F),"None")</f>
        <v>힐드 패시브 버프당 치명타 확률 증가</v>
      </c>
      <c r="AP258" s="43">
        <f>IFERROR(_xlfn.XLOOKUP($X258,'BuffValue&lt;Child&gt;'!$A:$A,'BuffValue&lt;Child&gt;'!$K:$K),0)</f>
        <v>5000</v>
      </c>
      <c r="AQ258" s="43" t="str">
        <f>IFERROR(_xlfn.XLOOKUP(AB258,Target!$A:$A,Target!$B:$B),"None")</f>
        <v>None</v>
      </c>
      <c r="AR258" s="45" t="str">
        <f>IFERROR(_xlfn.XLOOKUP($AC258,'BuffValue&lt;Child&gt;'!$A:$A,'BuffValue&lt;Child&gt;'!$F:$F),"None")</f>
        <v>None</v>
      </c>
      <c r="AS258" s="45">
        <f>IFERROR(_xlfn.XLOOKUP($AC258,'BuffValue&lt;Child&gt;'!$A:$A,'BuffValue&lt;Child&gt;'!$K:$K),0)</f>
        <v>0</v>
      </c>
      <c r="AT258" s="43" t="str">
        <f>IFERROR(_xlfn.XLOOKUP(AG258,Target!$A:$A,Target!$B:$B),"None")</f>
        <v>None</v>
      </c>
      <c r="AU258" s="43" t="str">
        <f>IFERROR(_xlfn.XLOOKUP($AH258,'BuffValue&lt;Child&gt;'!$A:$A,'BuffValue&lt;Child&gt;'!$F:$F),"None")</f>
        <v>None</v>
      </c>
      <c r="AV258" s="43">
        <f>IFERROR(_xlfn.XLOOKUP($AH258,'BuffValue&lt;Child&gt;'!$A:$A,'BuffValue&lt;Child&gt;'!$K:$K),0)</f>
        <v>0</v>
      </c>
      <c r="AW258" s="43" t="str">
        <f>IFERROR(_xlfn.XLOOKUP(AL258,Target!$A:$A,Target!$B:$B),"None")</f>
        <v>None</v>
      </c>
      <c r="AX258" s="43" t="str">
        <f>IFERROR(_xlfn.XLOOKUP($AM258,'BuffValue&lt;Child&gt;'!$A:$A,'BuffValue&lt;Child&gt;'!$F:$F),"None")</f>
        <v>None</v>
      </c>
      <c r="AY258" s="43">
        <f>IFERROR(_xlfn.XLOOKUP($AM258,#REF!,#REF!),0)</f>
        <v>0</v>
      </c>
    </row>
    <row r="259" spans="1:51" x14ac:dyDescent="0.3">
      <c r="A259" s="1">
        <f>INT(4&amp;MID(_xlfn.XLOOKUP(B259,[2]Timeline!$B:$B,[2]Timeline!$A:$A),2,5)&amp;2)</f>
        <v>4304622</v>
      </c>
      <c r="B259" s="7" t="s">
        <v>634</v>
      </c>
      <c r="C259" s="7" t="s">
        <v>123</v>
      </c>
      <c r="D259" s="7" t="s">
        <v>347</v>
      </c>
      <c r="E259" s="1" t="str">
        <f t="shared" si="58"/>
        <v>skill_name_4304622</v>
      </c>
      <c r="F259" s="1" t="s">
        <v>117</v>
      </c>
      <c r="G259" s="1" t="s">
        <v>601</v>
      </c>
      <c r="H259" s="1" t="str">
        <f t="shared" si="34"/>
        <v>skill_desc_4304622</v>
      </c>
      <c r="I259" s="1" t="s">
        <v>205</v>
      </c>
      <c r="J259" s="1" t="str">
        <f>IFERROR(_xlfn.XLOOKUP(W259,Target!A:A,Target!J:J),"")</f>
        <v>Skill_Target_Icon_Mine</v>
      </c>
      <c r="K259" s="1" t="s">
        <v>205</v>
      </c>
      <c r="L259" s="1" t="str">
        <f>IFERROR(_xlfn.XLOOKUP(W259,Target!A:A,Target!K:K),"")</f>
        <v>Skill_Area_Icon_Pivot_Centor</v>
      </c>
      <c r="M259" s="1" t="str">
        <f>_xlfn.XLOOKUP(B259,'[2]Detail&lt;Child&gt;'!$B:$B,'[2]Detail&lt;Child&gt;'!$M:$M)</f>
        <v>Fire</v>
      </c>
      <c r="N259" s="1" t="str">
        <f>_xlfn.XLOOKUP(B259,'[2]Detail&lt;Child&gt;'!$B:$B,'[2]Detail&lt;Child&gt;'!$N:$N)</f>
        <v>Defender</v>
      </c>
      <c r="O259" s="1" t="s">
        <v>167</v>
      </c>
      <c r="P259" s="33">
        <v>0</v>
      </c>
      <c r="Q259" s="68" t="str" cm="1">
        <f t="array" ref="Q259">_xlfn.IFS(R259="Move","Move",R259="NonTargetMove","Move",R259="Static","Stand",R259="None","Stand")</f>
        <v>Stand</v>
      </c>
      <c r="R259" s="1" t="s">
        <v>136</v>
      </c>
      <c r="S259" s="1">
        <f>IF(R259="Static",0,1)</f>
        <v>0</v>
      </c>
      <c r="T259" s="2" t="str">
        <f t="shared" si="59"/>
        <v>Immediately</v>
      </c>
      <c r="U259" s="2" t="str" cm="1">
        <f t="array" ref="U259">_xlfn.IFS(T259="SignalHIt","TurnEnd",T259="AttackBegin","TurnEnd",T259="AttackEnd","TurnEnd",T259="Immediately","Applied",T259="None","None")</f>
        <v>Applied</v>
      </c>
      <c r="V259" s="2">
        <v>0</v>
      </c>
      <c r="W259" s="1">
        <v>1</v>
      </c>
      <c r="X259" s="8">
        <f t="shared" si="63"/>
        <v>43046221</v>
      </c>
      <c r="Y259" s="1" t="str">
        <f t="shared" si="60"/>
        <v>Immediately</v>
      </c>
      <c r="Z259" s="2" t="str" cm="1">
        <f t="array" ref="Z259">_xlfn.IFS(Y259="SignalHIt","TurnEnd",Y259="AttackBegin","TurnEnd",Y259="AttackEnd","TurnEnd",Y259="Immediately","Applied",Y259="None","None")</f>
        <v>Applied</v>
      </c>
      <c r="AA259" s="2">
        <v>0</v>
      </c>
      <c r="AB259" s="1">
        <v>0</v>
      </c>
      <c r="AC259" s="8">
        <v>0</v>
      </c>
      <c r="AD259" s="2" t="str">
        <f t="shared" si="61"/>
        <v>Immediately</v>
      </c>
      <c r="AE259" s="2" t="str" cm="1">
        <f t="array" ref="AE259">_xlfn.IFS(AD259="SignalHIt","TurnEnd",AD259="AttackBegin","TurnEnd",AD259="AttackEnd","TurnEnd",AD259="Immediately","Applied",AD259="None","None")</f>
        <v>Applied</v>
      </c>
      <c r="AF259" s="2">
        <v>0</v>
      </c>
      <c r="AG259" s="1">
        <v>0</v>
      </c>
      <c r="AH259" s="8">
        <v>0</v>
      </c>
      <c r="AI259" s="2" t="str">
        <f t="shared" si="62"/>
        <v>Immediately</v>
      </c>
      <c r="AJ259" s="2" t="str" cm="1">
        <f t="array" ref="AJ259">_xlfn.IFS(AI259="SignalHIt","TurnEnd",AI259="AttackBegin","TurnEnd",AI259="AttackEnd","TurnEnd",AI259="Immediately","Applied",AI259="None","None")</f>
        <v>Applied</v>
      </c>
      <c r="AK259" s="2">
        <v>0</v>
      </c>
      <c r="AL259" s="8">
        <v>0</v>
      </c>
      <c r="AM259" s="48">
        <v>0</v>
      </c>
      <c r="AN259" s="45" t="str">
        <f>IFERROR(_xlfn.XLOOKUP(W259,Target!$A:$A,Target!$B:$B),"None")</f>
        <v xml:space="preserve"> 자신 1명 </v>
      </c>
      <c r="AO259" s="43" t="str">
        <f>IFERROR(_xlfn.XLOOKUP($X259,'BuffValue&lt;Child&gt;'!$A:$A,'BuffValue&lt;Child&gt;'!$F:$F),"None")</f>
        <v>힐드 패시브 버프당 치명타 확률 증가</v>
      </c>
      <c r="AP259" s="43">
        <f>IFERROR(_xlfn.XLOOKUP($X259,'BuffValue&lt;Child&gt;'!$A:$A,'BuffValue&lt;Child&gt;'!$K:$K),0)</f>
        <v>5000</v>
      </c>
      <c r="AQ259" s="43" t="str">
        <f>IFERROR(_xlfn.XLOOKUP(AB259,Target!$A:$A,Target!$B:$B),"None")</f>
        <v>None</v>
      </c>
      <c r="AR259" s="45" t="str">
        <f>IFERROR(_xlfn.XLOOKUP($AC259,'BuffValue&lt;Child&gt;'!$A:$A,'BuffValue&lt;Child&gt;'!$F:$F),"None")</f>
        <v>None</v>
      </c>
      <c r="AS259" s="45">
        <f>IFERROR(_xlfn.XLOOKUP($AC259,'BuffValue&lt;Child&gt;'!$A:$A,'BuffValue&lt;Child&gt;'!$K:$K),0)</f>
        <v>0</v>
      </c>
      <c r="AT259" s="43" t="str">
        <f>IFERROR(_xlfn.XLOOKUP(AG259,Target!$A:$A,Target!$B:$B),"None")</f>
        <v>None</v>
      </c>
      <c r="AU259" s="43" t="str">
        <f>IFERROR(_xlfn.XLOOKUP($AH259,'BuffValue&lt;Child&gt;'!$A:$A,'BuffValue&lt;Child&gt;'!$F:$F),"None")</f>
        <v>None</v>
      </c>
      <c r="AV259" s="43">
        <f>IFERROR(_xlfn.XLOOKUP($AH259,'BuffValue&lt;Child&gt;'!$A:$A,'BuffValue&lt;Child&gt;'!$K:$K),0)</f>
        <v>0</v>
      </c>
      <c r="AW259" s="43" t="str">
        <f>IFERROR(_xlfn.XLOOKUP(AL259,Target!$A:$A,Target!$B:$B),"None")</f>
        <v>None</v>
      </c>
      <c r="AX259" s="43" t="str">
        <f>IFERROR(_xlfn.XLOOKUP($AM259,'BuffValue&lt;Child&gt;'!$A:$A,'BuffValue&lt;Child&gt;'!$F:$F),"None")</f>
        <v>None</v>
      </c>
      <c r="AY259" s="43">
        <f>IFERROR(_xlfn.XLOOKUP($AM259,#REF!,#REF!),0)</f>
        <v>0</v>
      </c>
    </row>
    <row r="260" spans="1:51" s="11" customFormat="1" x14ac:dyDescent="0.3">
      <c r="A260" s="11">
        <f>INT(1&amp;MID(_xlfn.XLOOKUP(B260,[2]Timeline!$B:$B,[2]Timeline!$A:$A),2,5)&amp;1)</f>
        <v>1302811</v>
      </c>
      <c r="B260" s="12" t="s">
        <v>639</v>
      </c>
      <c r="C260" s="12" t="s">
        <v>640</v>
      </c>
      <c r="D260" s="12" t="s">
        <v>544</v>
      </c>
      <c r="E260" s="11" t="str">
        <f t="shared" ref="E260:E275" si="64">"skill_name_"&amp;A260</f>
        <v>skill_name_1302811</v>
      </c>
      <c r="F260" s="11" t="s">
        <v>117</v>
      </c>
      <c r="G260" s="11" t="s">
        <v>598</v>
      </c>
      <c r="H260" s="11" t="str">
        <f t="shared" si="34"/>
        <v>skill_desc_1302811</v>
      </c>
      <c r="I260" s="11" t="s">
        <v>205</v>
      </c>
      <c r="J260" s="11" t="str">
        <f>IFERROR(_xlfn.XLOOKUP(W260,Target!A:A,Target!J:J),"")</f>
        <v>Skill_Target_Icon_Enemy_Near_One</v>
      </c>
      <c r="K260" s="11" t="s">
        <v>205</v>
      </c>
      <c r="L260" s="11" t="str">
        <f>IFERROR(_xlfn.XLOOKUP(W260,Target!A:A,Target!K:K),"")</f>
        <v>Skill_Area_Icon_Pivot_Centor</v>
      </c>
      <c r="M260" s="11" t="str">
        <f>_xlfn.XLOOKUP(B260,'[2]Detail&lt;Child&gt;'!$B:$B,'[2]Detail&lt;Child&gt;'!$M:$M)</f>
        <v>Water</v>
      </c>
      <c r="N260" s="11" t="str">
        <f>_xlfn.XLOOKUP(B260,'[2]Detail&lt;Child&gt;'!$B:$B,'[2]Detail&lt;Child&gt;'!$N:$N)</f>
        <v>Supporter</v>
      </c>
      <c r="O260" s="11" t="s">
        <v>30</v>
      </c>
      <c r="P260" s="34">
        <v>0</v>
      </c>
      <c r="Q260" s="69" t="s">
        <v>499</v>
      </c>
      <c r="R260" s="11" t="s">
        <v>137</v>
      </c>
      <c r="S260" s="11">
        <v>2</v>
      </c>
      <c r="T260" s="15" t="str">
        <f t="shared" ref="T260:T275" si="65">IF(X260=0,"Immediately",IF($O260="Passive","Immediately",IF(W260=0,"None","SignalHit")))</f>
        <v>SignalHit</v>
      </c>
      <c r="U260" s="15" t="str" cm="1">
        <f t="array" ref="U260">_xlfn.IFS(T260="SignalHIt","TurnEnd",T260="AttackBegin","TurnEnd",T260="AttackEnd","TurnEnd",T260="Immediately","Applied",T260="None","None")</f>
        <v>TurnEnd</v>
      </c>
      <c r="V260" s="15">
        <v>0</v>
      </c>
      <c r="W260" s="11">
        <v>2000011</v>
      </c>
      <c r="X260" s="10">
        <f>INT(A260&amp;1)</f>
        <v>13028111</v>
      </c>
      <c r="Y260" s="11" t="str">
        <f t="shared" ref="Y260:Y275" si="66">IF($O260="Passive","Immediately",IF(AB260=0,"Immediately","AttackBegin"))</f>
        <v>Immediately</v>
      </c>
      <c r="Z260" s="15" t="str" cm="1">
        <f t="array" ref="Z260">_xlfn.IFS(Y260="SignalHIt","TurnEnd",Y260="AttackBegin","TurnEnd",Y260="AttackEnd","TurnEnd",Y260="Immediately","Applied",Y260="None","None")</f>
        <v>Applied</v>
      </c>
      <c r="AA260" s="15">
        <v>0</v>
      </c>
      <c r="AB260" s="11">
        <v>0</v>
      </c>
      <c r="AC260" s="10">
        <v>0</v>
      </c>
      <c r="AD260" s="15" t="str">
        <f t="shared" ref="AD260:AD275" si="67">IF($O260="Passive","Immediately",IF(AG260=0,"Immediately","AttackEnd"))</f>
        <v>Immediately</v>
      </c>
      <c r="AE260" s="15" t="str" cm="1">
        <f t="array" ref="AE260">_xlfn.IFS(AD260="SignalHIt","TurnEnd",AD260="AttackBegin","TurnEnd",AD260="AttackEnd","TurnEnd",AD260="Immediately","Applied",AD260="None","None")</f>
        <v>Applied</v>
      </c>
      <c r="AF260" s="15">
        <v>0</v>
      </c>
      <c r="AG260" s="11">
        <v>0</v>
      </c>
      <c r="AH260" s="10">
        <v>0</v>
      </c>
      <c r="AI260" s="15" t="str">
        <f t="shared" ref="AI260:AI275" si="68">IF($O260="Passive","Immediately",IF(AL260=0,"Immediately","AttackEnd"))</f>
        <v>Immediately</v>
      </c>
      <c r="AJ260" s="15" t="str" cm="1">
        <f t="array" ref="AJ260">_xlfn.IFS(AI260="SignalHIt","TurnEnd",AI260="AttackBegin","TurnEnd",AI260="AttackEnd","TurnEnd",AI260="Immediately","Applied",AI260="None","None")</f>
        <v>Applied</v>
      </c>
      <c r="AK260" s="15">
        <v>0</v>
      </c>
      <c r="AL260" s="10">
        <v>0</v>
      </c>
      <c r="AM260" s="50">
        <v>0</v>
      </c>
      <c r="AN260" s="46" t="str">
        <f>IFERROR(_xlfn.XLOOKUP(W260,Target!$A:$A,Target!$B:$B),"None")</f>
        <v xml:space="preserve">가까운 적 1명 </v>
      </c>
      <c r="AO260" s="47" t="str">
        <f>IFERROR(_xlfn.XLOOKUP($X260,'BuffValue&lt;Child&gt;'!$A:$A,'BuffValue&lt;Child&gt;'!$F:$F),"None")</f>
        <v>공용 대미지</v>
      </c>
      <c r="AP260" s="47">
        <f>IFERROR(_xlfn.XLOOKUP($X260,'BuffValue&lt;Child&gt;'!$A:$A,'BuffValue&lt;Child&gt;'!$K:$K),0)</f>
        <v>150000</v>
      </c>
      <c r="AQ260" s="47" t="str">
        <f>IFERROR(_xlfn.XLOOKUP(AB260,Target!$A:$A,Target!$B:$B),"None")</f>
        <v>None</v>
      </c>
      <c r="AR260" s="46" t="str">
        <f>IFERROR(_xlfn.XLOOKUP($AC260,'BuffValue&lt;Child&gt;'!$A:$A,'BuffValue&lt;Child&gt;'!$F:$F),"None")</f>
        <v>None</v>
      </c>
      <c r="AS260" s="46">
        <f>IFERROR(_xlfn.XLOOKUP($AC260,'BuffValue&lt;Child&gt;'!$A:$A,'BuffValue&lt;Child&gt;'!$K:$K),0)</f>
        <v>0</v>
      </c>
      <c r="AT260" s="47" t="str">
        <f>IFERROR(_xlfn.XLOOKUP(AG260,Target!$A:$A,Target!$B:$B),"None")</f>
        <v>None</v>
      </c>
      <c r="AU260" s="47" t="str">
        <f>IFERROR(_xlfn.XLOOKUP($AH260,'BuffValue&lt;Child&gt;'!$A:$A,'BuffValue&lt;Child&gt;'!$F:$F),"None")</f>
        <v>None</v>
      </c>
      <c r="AV260" s="47">
        <f>IFERROR(_xlfn.XLOOKUP($AH260,'BuffValue&lt;Child&gt;'!$A:$A,'BuffValue&lt;Child&gt;'!$K:$K),0)</f>
        <v>0</v>
      </c>
      <c r="AW260" s="47" t="str">
        <f>IFERROR(_xlfn.XLOOKUP(AL260,Target!$A:$A,Target!$B:$B),"None")</f>
        <v>None</v>
      </c>
      <c r="AX260" s="47" t="str">
        <f>IFERROR(_xlfn.XLOOKUP($AM260,'BuffValue&lt;Child&gt;'!$A:$A,'BuffValue&lt;Child&gt;'!$F:$F),"None")</f>
        <v>None</v>
      </c>
      <c r="AY260" s="47">
        <f>IFERROR(_xlfn.XLOOKUP($AM260,#REF!,#REF!),0)</f>
        <v>0</v>
      </c>
    </row>
    <row r="261" spans="1:51" x14ac:dyDescent="0.3">
      <c r="A261" s="1">
        <f>INT(2&amp;MID(_xlfn.XLOOKUP(B261,[2]Timeline!$B:$B,[2]Timeline!$A:$A),2,5)&amp;1)</f>
        <v>2302811</v>
      </c>
      <c r="B261" s="7" t="s">
        <v>639</v>
      </c>
      <c r="C261" s="7" t="s">
        <v>641</v>
      </c>
      <c r="D261" s="7" t="s">
        <v>572</v>
      </c>
      <c r="E261" s="1" t="str">
        <f t="shared" si="64"/>
        <v>skill_name_2302811</v>
      </c>
      <c r="F261" s="1" t="s">
        <v>117</v>
      </c>
      <c r="G261" s="1" t="s">
        <v>599</v>
      </c>
      <c r="H261" s="1" t="str">
        <f t="shared" si="34"/>
        <v>skill_desc_2302811</v>
      </c>
      <c r="I261" s="1" t="s">
        <v>205</v>
      </c>
      <c r="J261" s="1" t="str">
        <f>IFERROR(_xlfn.XLOOKUP(W261,Target!A:A,Target!J:J),"")</f>
        <v>Skill_Target_Icon_Enemy_Near_One</v>
      </c>
      <c r="K261" s="1" t="s">
        <v>205</v>
      </c>
      <c r="L261" s="1" t="str">
        <f>IFERROR(_xlfn.XLOOKUP(W261,Target!A:A,Target!K:K),"")</f>
        <v>Skill_Area_Icon_Pivot_Centor</v>
      </c>
      <c r="M261" s="1" t="str">
        <f>_xlfn.XLOOKUP(B261,'[2]Detail&lt;Child&gt;'!$B:$B,'[2]Detail&lt;Child&gt;'!$M:$M)</f>
        <v>Water</v>
      </c>
      <c r="N261" s="1" t="str">
        <f>_xlfn.XLOOKUP(B261,'[2]Detail&lt;Child&gt;'!$B:$B,'[2]Detail&lt;Child&gt;'!$N:$N)</f>
        <v>Supporter</v>
      </c>
      <c r="O261" s="1" t="s">
        <v>33</v>
      </c>
      <c r="P261" s="33">
        <v>3</v>
      </c>
      <c r="Q261" s="68" t="str" cm="1">
        <f t="array" ref="Q261">_xlfn.IFS(R261="Move","Move",R261="NonTargetMove","Move",R261="Static","Stand",R261="None","Stand")</f>
        <v>Move</v>
      </c>
      <c r="R261" s="1" t="s">
        <v>144</v>
      </c>
      <c r="S261" s="1">
        <v>2</v>
      </c>
      <c r="T261" s="2" t="str">
        <f t="shared" si="65"/>
        <v>SignalHit</v>
      </c>
      <c r="U261" s="2" t="str" cm="1">
        <f t="array" ref="U261">_xlfn.IFS(T261="SignalHIt","TurnEnd",T261="AttackBegin","TurnEnd",T261="AttackEnd","TurnEnd",T261="Immediately","Applied",T261="None","None")</f>
        <v>TurnEnd</v>
      </c>
      <c r="V261" s="2">
        <v>0</v>
      </c>
      <c r="W261" s="1">
        <v>2000011</v>
      </c>
      <c r="X261" s="8">
        <f t="shared" ref="X261:X267" si="69">INT(A261&amp;1)</f>
        <v>23028111</v>
      </c>
      <c r="Y261" s="1" t="str">
        <f t="shared" si="66"/>
        <v>Immediately</v>
      </c>
      <c r="Z261" s="2" t="str" cm="1">
        <f t="array" ref="Z261">_xlfn.IFS(Y261="SignalHIt","TurnEnd",Y261="AttackBegin","TurnEnd",Y261="AttackEnd","TurnEnd",Y261="Immediately","Applied",Y261="None","None")</f>
        <v>Applied</v>
      </c>
      <c r="AA261" s="2">
        <v>0</v>
      </c>
      <c r="AB261" s="1">
        <v>0</v>
      </c>
      <c r="AC261" s="8">
        <v>0</v>
      </c>
      <c r="AD261" s="2" t="str">
        <f t="shared" si="67"/>
        <v>Immediately</v>
      </c>
      <c r="AE261" s="2" t="str" cm="1">
        <f t="array" ref="AE261">_xlfn.IFS(AD261="SignalHIt","TurnEnd",AD261="AttackBegin","TurnEnd",AD261="AttackEnd","TurnEnd",AD261="Immediately","Applied",AD261="None","None")</f>
        <v>Applied</v>
      </c>
      <c r="AF261" s="2">
        <v>0</v>
      </c>
      <c r="AG261" s="1">
        <v>0</v>
      </c>
      <c r="AH261" s="8">
        <v>0</v>
      </c>
      <c r="AI261" s="2" t="str">
        <f t="shared" si="68"/>
        <v>Immediately</v>
      </c>
      <c r="AJ261" s="2" t="str" cm="1">
        <f t="array" ref="AJ261">_xlfn.IFS(AI261="SignalHIt","TurnEnd",AI261="AttackBegin","TurnEnd",AI261="AttackEnd","TurnEnd",AI261="Immediately","Applied",AI261="None","None")</f>
        <v>Applied</v>
      </c>
      <c r="AK261" s="2">
        <v>0</v>
      </c>
      <c r="AL261" s="8">
        <v>0</v>
      </c>
      <c r="AM261" s="48">
        <v>0</v>
      </c>
      <c r="AN261" s="45" t="str">
        <f>IFERROR(_xlfn.XLOOKUP(W261,Target!$A:$A,Target!$B:$B),"None")</f>
        <v xml:space="preserve">가까운 적 1명 </v>
      </c>
      <c r="AO261" s="43" t="str">
        <f>IFERROR(_xlfn.XLOOKUP($X261,'BuffValue&lt;Child&gt;'!$A:$A,'BuffValue&lt;Child&gt;'!$F:$F),"None")</f>
        <v>액티브 대미지</v>
      </c>
      <c r="AP261" s="43">
        <f>IFERROR(_xlfn.XLOOKUP($X261,'BuffValue&lt;Child&gt;'!$A:$A,'BuffValue&lt;Child&gt;'!$K:$K),0)</f>
        <v>40000</v>
      </c>
      <c r="AQ261" s="43" t="str">
        <f>IFERROR(_xlfn.XLOOKUP(AB261,Target!$A:$A,Target!$B:$B),"None")</f>
        <v>None</v>
      </c>
      <c r="AR261" s="45" t="str">
        <f>IFERROR(_xlfn.XLOOKUP($AC261,'BuffValue&lt;Child&gt;'!$A:$A,'BuffValue&lt;Child&gt;'!$F:$F),"None")</f>
        <v>None</v>
      </c>
      <c r="AS261" s="45">
        <f>IFERROR(_xlfn.XLOOKUP($AC261,'BuffValue&lt;Child&gt;'!$A:$A,'BuffValue&lt;Child&gt;'!$K:$K),0)</f>
        <v>0</v>
      </c>
      <c r="AT261" s="43" t="str">
        <f>IFERROR(_xlfn.XLOOKUP(AG261,Target!$A:$A,Target!$B:$B),"None")</f>
        <v>None</v>
      </c>
      <c r="AU261" s="43" t="str">
        <f>IFERROR(_xlfn.XLOOKUP($AH261,'BuffValue&lt;Child&gt;'!$A:$A,'BuffValue&lt;Child&gt;'!$F:$F),"None")</f>
        <v>None</v>
      </c>
      <c r="AV261" s="43">
        <f>IFERROR(_xlfn.XLOOKUP($AH261,'BuffValue&lt;Child&gt;'!$A:$A,'BuffValue&lt;Child&gt;'!$K:$K),0)</f>
        <v>0</v>
      </c>
      <c r="AW261" s="43" t="str">
        <f>IFERROR(_xlfn.XLOOKUP(AL261,Target!$A:$A,Target!$B:$B),"None")</f>
        <v>None</v>
      </c>
      <c r="AX261" s="43" t="str">
        <f>IFERROR(_xlfn.XLOOKUP($AM261,'BuffValue&lt;Child&gt;'!$A:$A,'BuffValue&lt;Child&gt;'!$F:$F),"None")</f>
        <v>None</v>
      </c>
      <c r="AY261" s="43">
        <f>IFERROR(_xlfn.XLOOKUP($AM261,#REF!,#REF!),0)</f>
        <v>0</v>
      </c>
    </row>
    <row r="262" spans="1:51" x14ac:dyDescent="0.3">
      <c r="A262" s="1">
        <f>INT(2&amp;MID(_xlfn.XLOOKUP(B262,[2]Timeline!$B:$B,[2]Timeline!$A:$A),2,5)&amp;2)</f>
        <v>2302812</v>
      </c>
      <c r="B262" s="7" t="s">
        <v>639</v>
      </c>
      <c r="C262" s="7" t="s">
        <v>641</v>
      </c>
      <c r="D262" s="7" t="s">
        <v>572</v>
      </c>
      <c r="E262" s="1" t="str">
        <f t="shared" si="64"/>
        <v>skill_name_2302812</v>
      </c>
      <c r="F262" s="1" t="s">
        <v>117</v>
      </c>
      <c r="G262" s="1" t="s">
        <v>599</v>
      </c>
      <c r="H262" s="1" t="str">
        <f t="shared" si="34"/>
        <v>skill_desc_2302812</v>
      </c>
      <c r="I262" s="1" t="s">
        <v>205</v>
      </c>
      <c r="J262" s="1" t="str">
        <f>IFERROR(_xlfn.XLOOKUP(W262,Target!A:A,Target!J:J),"")</f>
        <v>Skill_Target_Icon_Enemy_Near_One</v>
      </c>
      <c r="K262" s="1" t="s">
        <v>205</v>
      </c>
      <c r="L262" s="1" t="str">
        <f>IFERROR(_xlfn.XLOOKUP(W262,Target!A:A,Target!K:K),"")</f>
        <v>Skill_Area_Icon_Pivot_Centor</v>
      </c>
      <c r="M262" s="1" t="str">
        <f>_xlfn.XLOOKUP(B262,'[2]Detail&lt;Child&gt;'!$B:$B,'[2]Detail&lt;Child&gt;'!$M:$M)</f>
        <v>Water</v>
      </c>
      <c r="N262" s="1" t="str">
        <f>_xlfn.XLOOKUP(B262,'[2]Detail&lt;Child&gt;'!$B:$B,'[2]Detail&lt;Child&gt;'!$N:$N)</f>
        <v>Supporter</v>
      </c>
      <c r="O262" s="1" t="s">
        <v>33</v>
      </c>
      <c r="P262" s="33">
        <v>2</v>
      </c>
      <c r="Q262" s="68" t="str" cm="1">
        <f t="array" ref="Q262">_xlfn.IFS(R262="Move","Move",R262="NonTargetMove","Move",R262="Static","Stand",R262="None","Stand")</f>
        <v>Move</v>
      </c>
      <c r="R262" s="1" t="s">
        <v>144</v>
      </c>
      <c r="S262" s="1">
        <v>2</v>
      </c>
      <c r="T262" s="2" t="str">
        <f t="shared" si="65"/>
        <v>SignalHit</v>
      </c>
      <c r="U262" s="2" t="str" cm="1">
        <f t="array" ref="U262">_xlfn.IFS(T262="SignalHIt","TurnEnd",T262="AttackBegin","TurnEnd",T262="AttackEnd","TurnEnd",T262="Immediately","Applied",T262="None","None")</f>
        <v>TurnEnd</v>
      </c>
      <c r="V262" s="2">
        <v>0</v>
      </c>
      <c r="W262" s="1">
        <v>2000011</v>
      </c>
      <c r="X262" s="8">
        <f t="shared" si="69"/>
        <v>23028121</v>
      </c>
      <c r="Y262" s="1" t="str">
        <f t="shared" si="66"/>
        <v>Immediately</v>
      </c>
      <c r="Z262" s="2" t="str" cm="1">
        <f t="array" ref="Z262">_xlfn.IFS(Y262="SignalHIt","TurnEnd",Y262="AttackBegin","TurnEnd",Y262="AttackEnd","TurnEnd",Y262="Immediately","Applied",Y262="None","None")</f>
        <v>Applied</v>
      </c>
      <c r="AA262" s="2">
        <v>0</v>
      </c>
      <c r="AB262" s="1">
        <v>0</v>
      </c>
      <c r="AC262" s="8">
        <v>0</v>
      </c>
      <c r="AD262" s="2" t="str">
        <f t="shared" si="67"/>
        <v>Immediately</v>
      </c>
      <c r="AE262" s="2" t="str" cm="1">
        <f t="array" ref="AE262">_xlfn.IFS(AD262="SignalHIt","TurnEnd",AD262="AttackBegin","TurnEnd",AD262="AttackEnd","TurnEnd",AD262="Immediately","Applied",AD262="None","None")</f>
        <v>Applied</v>
      </c>
      <c r="AF262" s="2">
        <v>0</v>
      </c>
      <c r="AG262" s="1">
        <v>0</v>
      </c>
      <c r="AH262" s="8">
        <v>0</v>
      </c>
      <c r="AI262" s="2" t="str">
        <f t="shared" si="68"/>
        <v>Immediately</v>
      </c>
      <c r="AJ262" s="2" t="str" cm="1">
        <f t="array" ref="AJ262">_xlfn.IFS(AI262="SignalHIt","TurnEnd",AI262="AttackBegin","TurnEnd",AI262="AttackEnd","TurnEnd",AI262="Immediately","Applied",AI262="None","None")</f>
        <v>Applied</v>
      </c>
      <c r="AK262" s="2">
        <v>0</v>
      </c>
      <c r="AL262" s="8">
        <v>0</v>
      </c>
      <c r="AM262" s="48">
        <v>0</v>
      </c>
      <c r="AN262" s="45" t="str">
        <f>IFERROR(_xlfn.XLOOKUP(W262,Target!$A:$A,Target!$B:$B),"None")</f>
        <v xml:space="preserve">가까운 적 1명 </v>
      </c>
      <c r="AO262" s="43" t="str">
        <f>IFERROR(_xlfn.XLOOKUP($X262,'BuffValue&lt;Child&gt;'!$A:$A,'BuffValue&lt;Child&gt;'!$F:$F),"None")</f>
        <v>액티브 대미지</v>
      </c>
      <c r="AP262" s="43">
        <f>IFERROR(_xlfn.XLOOKUP($X262,'BuffValue&lt;Child&gt;'!$A:$A,'BuffValue&lt;Child&gt;'!$K:$K),0)</f>
        <v>40000</v>
      </c>
      <c r="AQ262" s="43" t="str">
        <f>IFERROR(_xlfn.XLOOKUP(AB262,Target!$A:$A,Target!$B:$B),"None")</f>
        <v>None</v>
      </c>
      <c r="AR262" s="45" t="str">
        <f>IFERROR(_xlfn.XLOOKUP($AC262,'BuffValue&lt;Child&gt;'!$A:$A,'BuffValue&lt;Child&gt;'!$F:$F),"None")</f>
        <v>None</v>
      </c>
      <c r="AS262" s="45">
        <f>IFERROR(_xlfn.XLOOKUP($AC262,'BuffValue&lt;Child&gt;'!$A:$A,'BuffValue&lt;Child&gt;'!$K:$K),0)</f>
        <v>0</v>
      </c>
      <c r="AT262" s="43" t="str">
        <f>IFERROR(_xlfn.XLOOKUP(AG262,Target!$A:$A,Target!$B:$B),"None")</f>
        <v>None</v>
      </c>
      <c r="AU262" s="43" t="str">
        <f>IFERROR(_xlfn.XLOOKUP($AH262,'BuffValue&lt;Child&gt;'!$A:$A,'BuffValue&lt;Child&gt;'!$F:$F),"None")</f>
        <v>None</v>
      </c>
      <c r="AV262" s="43">
        <f>IFERROR(_xlfn.XLOOKUP($AH262,'BuffValue&lt;Child&gt;'!$A:$A,'BuffValue&lt;Child&gt;'!$K:$K),0)</f>
        <v>0</v>
      </c>
      <c r="AW262" s="43" t="str">
        <f>IFERROR(_xlfn.XLOOKUP(AL262,Target!$A:$A,Target!$B:$B),"None")</f>
        <v>None</v>
      </c>
      <c r="AX262" s="43" t="str">
        <f>IFERROR(_xlfn.XLOOKUP($AM262,'BuffValue&lt;Child&gt;'!$A:$A,'BuffValue&lt;Child&gt;'!$F:$F),"None")</f>
        <v>None</v>
      </c>
      <c r="AY262" s="43">
        <f>IFERROR(_xlfn.XLOOKUP($AM262,#REF!,#REF!),0)</f>
        <v>0</v>
      </c>
    </row>
    <row r="263" spans="1:51" x14ac:dyDescent="0.3">
      <c r="A263" s="1">
        <f>INT(3&amp;MID(_xlfn.XLOOKUP(B263,[2]Timeline!$B:$B,[2]Timeline!$A:$A),2,5)&amp;1)</f>
        <v>3302811</v>
      </c>
      <c r="B263" s="7" t="s">
        <v>639</v>
      </c>
      <c r="C263" s="7" t="s">
        <v>642</v>
      </c>
      <c r="D263" s="7" t="s">
        <v>516</v>
      </c>
      <c r="E263" s="1" t="str">
        <f t="shared" si="64"/>
        <v>skill_name_3302811</v>
      </c>
      <c r="F263" s="1" t="s">
        <v>117</v>
      </c>
      <c r="G263" s="1" t="s">
        <v>600</v>
      </c>
      <c r="H263" s="1" t="str">
        <f t="shared" si="34"/>
        <v>skill_desc_3302811</v>
      </c>
      <c r="I263" s="1" t="s">
        <v>205</v>
      </c>
      <c r="J263" s="1" t="str">
        <f>IFERROR(_xlfn.XLOOKUP(W263,Target!A:A,Target!J:J),"")</f>
        <v>Skill_Target_Icon_Enemy_Near_One</v>
      </c>
      <c r="K263" s="1" t="s">
        <v>205</v>
      </c>
      <c r="L263" s="1" t="str">
        <f>IFERROR(_xlfn.XLOOKUP(W263,Target!A:A,Target!K:K),"")</f>
        <v>Skill_Area_Icon_Pivot_Row</v>
      </c>
      <c r="M263" s="1" t="str">
        <f>_xlfn.XLOOKUP(B263,'[2]Detail&lt;Child&gt;'!$B:$B,'[2]Detail&lt;Child&gt;'!$M:$M)</f>
        <v>Water</v>
      </c>
      <c r="N263" s="1" t="str">
        <f>_xlfn.XLOOKUP(B263,'[2]Detail&lt;Child&gt;'!$B:$B,'[2]Detail&lt;Child&gt;'!$N:$N)</f>
        <v>Supporter</v>
      </c>
      <c r="O263" s="1" t="s">
        <v>140</v>
      </c>
      <c r="P263" s="33">
        <v>0</v>
      </c>
      <c r="Q263" s="68" t="str" cm="1">
        <f t="array" ref="Q263">_xlfn.IFS(R263="Move","Move",R263="NonTargetMove","Move",R263="Static","Stand",R263="None","Stand")</f>
        <v>Move</v>
      </c>
      <c r="R263" s="1" t="s">
        <v>153</v>
      </c>
      <c r="S263" s="1">
        <v>2</v>
      </c>
      <c r="T263" s="2" t="str">
        <f t="shared" si="65"/>
        <v>SignalHit</v>
      </c>
      <c r="U263" s="2" t="str" cm="1">
        <f t="array" ref="U263">_xlfn.IFS(T263="SignalHIt","TurnEnd",T263="AttackBegin","TurnEnd",T263="AttackEnd","TurnEnd",T263="Immediately","Applied",T263="None","None")</f>
        <v>TurnEnd</v>
      </c>
      <c r="V263" s="2">
        <v>0</v>
      </c>
      <c r="W263" s="1">
        <v>2000014</v>
      </c>
      <c r="X263" s="8">
        <f t="shared" si="69"/>
        <v>33028111</v>
      </c>
      <c r="Y263" s="1" t="str">
        <f t="shared" si="66"/>
        <v>Immediately</v>
      </c>
      <c r="Z263" s="2" t="str" cm="1">
        <f t="array" ref="Z263">_xlfn.IFS(Y263="SignalHIt","TurnEnd",Y263="AttackBegin","TurnEnd",Y263="AttackEnd","TurnEnd",Y263="Immediately","Applied",Y263="None","None")</f>
        <v>Applied</v>
      </c>
      <c r="AA263" s="2">
        <v>0</v>
      </c>
      <c r="AB263" s="1">
        <v>0</v>
      </c>
      <c r="AC263" s="8">
        <v>0</v>
      </c>
      <c r="AD263" s="2" t="str">
        <f t="shared" si="67"/>
        <v>Immediately</v>
      </c>
      <c r="AE263" s="2" t="str" cm="1">
        <f t="array" ref="AE263">_xlfn.IFS(AD263="SignalHIt","TurnEnd",AD263="AttackBegin","TurnEnd",AD263="AttackEnd","TurnEnd",AD263="Immediately","Applied",AD263="None","None")</f>
        <v>Applied</v>
      </c>
      <c r="AF263" s="2">
        <v>0</v>
      </c>
      <c r="AG263" s="1">
        <v>0</v>
      </c>
      <c r="AH263" s="8">
        <v>0</v>
      </c>
      <c r="AI263" s="2" t="str">
        <f t="shared" si="68"/>
        <v>Immediately</v>
      </c>
      <c r="AJ263" s="2" t="str" cm="1">
        <f t="array" ref="AJ263">_xlfn.IFS(AI263="SignalHIt","TurnEnd",AI263="AttackBegin","TurnEnd",AI263="AttackEnd","TurnEnd",AI263="Immediately","Applied",AI263="None","None")</f>
        <v>Applied</v>
      </c>
      <c r="AK263" s="2">
        <v>0</v>
      </c>
      <c r="AL263" s="1">
        <v>0</v>
      </c>
      <c r="AM263" s="48">
        <v>0</v>
      </c>
      <c r="AN263" s="45" t="str">
        <f>IFERROR(_xlfn.XLOOKUP(W263,Target!$A:$A,Target!$B:$B),"None")</f>
        <v>가까운 적 1명 2행</v>
      </c>
      <c r="AO263" s="43" t="str">
        <f>IFERROR(_xlfn.XLOOKUP($X263,'BuffValue&lt;Child&gt;'!$A:$A,'BuffValue&lt;Child&gt;'!$F:$F),"None")</f>
        <v>얼티밋 대미지</v>
      </c>
      <c r="AP263" s="43">
        <f>IFERROR(_xlfn.XLOOKUP($X263,'BuffValue&lt;Child&gt;'!$A:$A,'BuffValue&lt;Child&gt;'!$K:$K),0)</f>
        <v>320000</v>
      </c>
      <c r="AQ263" s="43" t="str">
        <f>IFERROR(_xlfn.XLOOKUP(AB263,Target!$A:$A,Target!$B:$B),"None")</f>
        <v>None</v>
      </c>
      <c r="AR263" s="45" t="str">
        <f>IFERROR(_xlfn.XLOOKUP($AC263,'BuffValue&lt;Child&gt;'!$A:$A,'BuffValue&lt;Child&gt;'!$F:$F),"None")</f>
        <v>None</v>
      </c>
      <c r="AS263" s="45">
        <f>IFERROR(_xlfn.XLOOKUP($AC263,'BuffValue&lt;Child&gt;'!$A:$A,'BuffValue&lt;Child&gt;'!$K:$K),0)</f>
        <v>0</v>
      </c>
      <c r="AT263" s="43" t="str">
        <f>IFERROR(_xlfn.XLOOKUP(AG263,Target!$A:$A,Target!$B:$B),"None")</f>
        <v>None</v>
      </c>
      <c r="AU263" s="43" t="str">
        <f>IFERROR(_xlfn.XLOOKUP($AH263,'BuffValue&lt;Child&gt;'!$A:$A,'BuffValue&lt;Child&gt;'!$F:$F),"None")</f>
        <v>None</v>
      </c>
      <c r="AV263" s="43">
        <f>IFERROR(_xlfn.XLOOKUP($AH263,'BuffValue&lt;Child&gt;'!$A:$A,'BuffValue&lt;Child&gt;'!$K:$K),0)</f>
        <v>0</v>
      </c>
      <c r="AW263" s="43" t="str">
        <f>IFERROR(_xlfn.XLOOKUP(AL263,Target!$A:$A,Target!$B:$B),"None")</f>
        <v>None</v>
      </c>
      <c r="AX263" s="43" t="str">
        <f>IFERROR(_xlfn.XLOOKUP($AM263,'BuffValue&lt;Child&gt;'!$A:$A,'BuffValue&lt;Child&gt;'!$F:$F),"None")</f>
        <v>None</v>
      </c>
      <c r="AY263" s="43">
        <f>IFERROR(_xlfn.XLOOKUP($AM263,#REF!,#REF!),0)</f>
        <v>0</v>
      </c>
    </row>
    <row r="264" spans="1:51" x14ac:dyDescent="0.3">
      <c r="A264" s="1">
        <f>INT(3&amp;MID(_xlfn.XLOOKUP(B264,[2]Timeline!$B:$B,[2]Timeline!$A:$A),2,5)&amp;2)</f>
        <v>3302812</v>
      </c>
      <c r="B264" s="7" t="s">
        <v>639</v>
      </c>
      <c r="C264" s="7" t="s">
        <v>642</v>
      </c>
      <c r="D264" s="7" t="s">
        <v>516</v>
      </c>
      <c r="E264" s="1" t="str">
        <f t="shared" si="64"/>
        <v>skill_name_3302812</v>
      </c>
      <c r="F264" s="1" t="s">
        <v>117</v>
      </c>
      <c r="G264" s="1" t="s">
        <v>600</v>
      </c>
      <c r="H264" s="1" t="str">
        <f t="shared" si="34"/>
        <v>skill_desc_3302812</v>
      </c>
      <c r="I264" s="1" t="s">
        <v>205</v>
      </c>
      <c r="J264" s="1" t="str">
        <f>IFERROR(_xlfn.XLOOKUP(W264,Target!A:A,Target!J:J),"")</f>
        <v>Skill_Target_Icon_Enemy_Near_One</v>
      </c>
      <c r="K264" s="1" t="s">
        <v>205</v>
      </c>
      <c r="L264" s="1" t="str">
        <f>IFERROR(_xlfn.XLOOKUP(W264,Target!A:A,Target!K:K),"")</f>
        <v>Skill_Area_Icon_Pivot_Row</v>
      </c>
      <c r="M264" s="1" t="str">
        <f>_xlfn.XLOOKUP(B264,'[2]Detail&lt;Child&gt;'!$B:$B,'[2]Detail&lt;Child&gt;'!$M:$M)</f>
        <v>Water</v>
      </c>
      <c r="N264" s="1" t="str">
        <f>_xlfn.XLOOKUP(B264,'[2]Detail&lt;Child&gt;'!$B:$B,'[2]Detail&lt;Child&gt;'!$N:$N)</f>
        <v>Supporter</v>
      </c>
      <c r="O264" s="1" t="s">
        <v>140</v>
      </c>
      <c r="P264" s="33">
        <v>0</v>
      </c>
      <c r="Q264" s="68" t="str" cm="1">
        <f t="array" ref="Q264">_xlfn.IFS(R264="Move","Move",R264="NonTargetMove","Move",R264="Static","Stand",R264="None","Stand")</f>
        <v>Move</v>
      </c>
      <c r="R264" s="1" t="s">
        <v>153</v>
      </c>
      <c r="S264" s="1">
        <v>2</v>
      </c>
      <c r="T264" s="2" t="str">
        <f t="shared" si="65"/>
        <v>SignalHit</v>
      </c>
      <c r="U264" s="2" t="str" cm="1">
        <f t="array" ref="U264">_xlfn.IFS(T264="SignalHIt","TurnEnd",T264="AttackBegin","TurnEnd",T264="AttackEnd","TurnEnd",T264="Immediately","Applied",T264="None","None")</f>
        <v>TurnEnd</v>
      </c>
      <c r="V264" s="2">
        <v>0</v>
      </c>
      <c r="W264" s="1">
        <v>2000014</v>
      </c>
      <c r="X264" s="8">
        <f t="shared" si="69"/>
        <v>33028121</v>
      </c>
      <c r="Y264" s="1" t="str">
        <f t="shared" si="66"/>
        <v>Immediately</v>
      </c>
      <c r="Z264" s="2" t="str" cm="1">
        <f t="array" ref="Z264">_xlfn.IFS(Y264="SignalHIt","TurnEnd",Y264="AttackBegin","TurnEnd",Y264="AttackEnd","TurnEnd",Y264="Immediately","Applied",Y264="None","None")</f>
        <v>Applied</v>
      </c>
      <c r="AA264" s="2">
        <v>0</v>
      </c>
      <c r="AB264" s="1">
        <v>0</v>
      </c>
      <c r="AC264" s="8">
        <v>0</v>
      </c>
      <c r="AD264" s="2" t="str">
        <f t="shared" si="67"/>
        <v>Immediately</v>
      </c>
      <c r="AE264" s="2" t="str" cm="1">
        <f t="array" ref="AE264">_xlfn.IFS(AD264="SignalHIt","TurnEnd",AD264="AttackBegin","TurnEnd",AD264="AttackEnd","TurnEnd",AD264="Immediately","Applied",AD264="None","None")</f>
        <v>Applied</v>
      </c>
      <c r="AF264" s="2">
        <v>0</v>
      </c>
      <c r="AG264" s="1">
        <v>0</v>
      </c>
      <c r="AH264" s="8">
        <v>0</v>
      </c>
      <c r="AI264" s="2" t="str">
        <f t="shared" si="68"/>
        <v>Immediately</v>
      </c>
      <c r="AJ264" s="2" t="str" cm="1">
        <f t="array" ref="AJ264">_xlfn.IFS(AI264="SignalHIt","TurnEnd",AI264="AttackBegin","TurnEnd",AI264="AttackEnd","TurnEnd",AI264="Immediately","Applied",AI264="None","None")</f>
        <v>Applied</v>
      </c>
      <c r="AK264" s="2">
        <v>0</v>
      </c>
      <c r="AL264" s="1">
        <v>0</v>
      </c>
      <c r="AM264" s="48">
        <v>0</v>
      </c>
      <c r="AN264" s="45" t="str">
        <f>IFERROR(_xlfn.XLOOKUP(W264,Target!$A:$A,Target!$B:$B),"None")</f>
        <v>가까운 적 1명 2행</v>
      </c>
      <c r="AO264" s="43" t="str">
        <f>IFERROR(_xlfn.XLOOKUP($X264,'BuffValue&lt;Child&gt;'!$A:$A,'BuffValue&lt;Child&gt;'!$F:$F),"None")</f>
        <v>얼티밋 대미지</v>
      </c>
      <c r="AP264" s="43">
        <f>IFERROR(_xlfn.XLOOKUP($X264,'BuffValue&lt;Child&gt;'!$A:$A,'BuffValue&lt;Child&gt;'!$K:$K),0)</f>
        <v>320000</v>
      </c>
      <c r="AQ264" s="43" t="str">
        <f>IFERROR(_xlfn.XLOOKUP(AB264,Target!$A:$A,Target!$B:$B),"None")</f>
        <v>None</v>
      </c>
      <c r="AR264" s="45" t="str">
        <f>IFERROR(_xlfn.XLOOKUP($AC264,'BuffValue&lt;Child&gt;'!$A:$A,'BuffValue&lt;Child&gt;'!$F:$F),"None")</f>
        <v>None</v>
      </c>
      <c r="AS264" s="45">
        <f>IFERROR(_xlfn.XLOOKUP($AC264,'BuffValue&lt;Child&gt;'!$A:$A,'BuffValue&lt;Child&gt;'!$K:$K),0)</f>
        <v>0</v>
      </c>
      <c r="AT264" s="43" t="str">
        <f>IFERROR(_xlfn.XLOOKUP(AG264,Target!$A:$A,Target!$B:$B),"None")</f>
        <v>None</v>
      </c>
      <c r="AU264" s="43" t="str">
        <f>IFERROR(_xlfn.XLOOKUP($AH264,'BuffValue&lt;Child&gt;'!$A:$A,'BuffValue&lt;Child&gt;'!$F:$F),"None")</f>
        <v>None</v>
      </c>
      <c r="AV264" s="43">
        <f>IFERROR(_xlfn.XLOOKUP($AH264,'BuffValue&lt;Child&gt;'!$A:$A,'BuffValue&lt;Child&gt;'!$K:$K),0)</f>
        <v>0</v>
      </c>
      <c r="AW264" s="43" t="str">
        <f>IFERROR(_xlfn.XLOOKUP(AL264,Target!$A:$A,Target!$B:$B),"None")</f>
        <v>None</v>
      </c>
      <c r="AX264" s="43" t="str">
        <f>IFERROR(_xlfn.XLOOKUP($AM264,'BuffValue&lt;Child&gt;'!$A:$A,'BuffValue&lt;Child&gt;'!$F:$F),"None")</f>
        <v>None</v>
      </c>
      <c r="AY264" s="43">
        <f>IFERROR(_xlfn.XLOOKUP($AM264,#REF!,#REF!),0)</f>
        <v>0</v>
      </c>
    </row>
    <row r="265" spans="1:51" x14ac:dyDescent="0.3">
      <c r="A265" s="1">
        <f>INT(3&amp;MID(_xlfn.XLOOKUP(B265,[2]Timeline!$B:$B,[2]Timeline!$A:$A),2,5)&amp;3)</f>
        <v>3302813</v>
      </c>
      <c r="B265" s="7" t="s">
        <v>639</v>
      </c>
      <c r="C265" s="7" t="s">
        <v>642</v>
      </c>
      <c r="D265" s="7" t="s">
        <v>516</v>
      </c>
      <c r="E265" s="1" t="str">
        <f t="shared" si="64"/>
        <v>skill_name_3302813</v>
      </c>
      <c r="F265" s="1" t="s">
        <v>117</v>
      </c>
      <c r="G265" s="1" t="s">
        <v>600</v>
      </c>
      <c r="H265" s="1" t="str">
        <f t="shared" si="34"/>
        <v>skill_desc_3302813</v>
      </c>
      <c r="I265" s="1" t="s">
        <v>205</v>
      </c>
      <c r="J265" s="1" t="str">
        <f>IFERROR(_xlfn.XLOOKUP(W265,Target!A:A,Target!J:J),"")</f>
        <v>Skill_Target_Icon_Enemy_Near_One</v>
      </c>
      <c r="K265" s="1" t="s">
        <v>205</v>
      </c>
      <c r="L265" s="1" t="str">
        <f>IFERROR(_xlfn.XLOOKUP(W265,Target!A:A,Target!K:K),"")</f>
        <v>Skill_Area_Icon_Pivot_Row</v>
      </c>
      <c r="M265" s="1" t="str">
        <f>_xlfn.XLOOKUP(B265,'[2]Detail&lt;Child&gt;'!$B:$B,'[2]Detail&lt;Child&gt;'!$M:$M)</f>
        <v>Water</v>
      </c>
      <c r="N265" s="1" t="str">
        <f>_xlfn.XLOOKUP(B265,'[2]Detail&lt;Child&gt;'!$B:$B,'[2]Detail&lt;Child&gt;'!$N:$N)</f>
        <v>Supporter</v>
      </c>
      <c r="O265" s="1" t="s">
        <v>140</v>
      </c>
      <c r="P265" s="33">
        <v>0</v>
      </c>
      <c r="Q265" s="68" t="str" cm="1">
        <f t="array" ref="Q265">_xlfn.IFS(R265="Move","Move",R265="NonTargetMove","Move",R265="Static","Stand",R265="None","Stand")</f>
        <v>Move</v>
      </c>
      <c r="R265" s="1" t="s">
        <v>153</v>
      </c>
      <c r="S265" s="1">
        <v>2</v>
      </c>
      <c r="T265" s="2" t="str">
        <f t="shared" si="65"/>
        <v>SignalHit</v>
      </c>
      <c r="U265" s="2" t="str" cm="1">
        <f t="array" ref="U265">_xlfn.IFS(T265="SignalHIt","TurnEnd",T265="AttackBegin","TurnEnd",T265="AttackEnd","TurnEnd",T265="Immediately","Applied",T265="None","None")</f>
        <v>TurnEnd</v>
      </c>
      <c r="V265" s="2">
        <v>0</v>
      </c>
      <c r="W265" s="1">
        <v>2000014</v>
      </c>
      <c r="X265" s="8">
        <f t="shared" si="69"/>
        <v>33028131</v>
      </c>
      <c r="Y265" s="1" t="str">
        <f t="shared" si="66"/>
        <v>Immediately</v>
      </c>
      <c r="Z265" s="2" t="str" cm="1">
        <f t="array" ref="Z265">_xlfn.IFS(Y265="SignalHIt","TurnEnd",Y265="AttackBegin","TurnEnd",Y265="AttackEnd","TurnEnd",Y265="Immediately","Applied",Y265="None","None")</f>
        <v>Applied</v>
      </c>
      <c r="AA265" s="2">
        <v>0</v>
      </c>
      <c r="AB265" s="1">
        <v>0</v>
      </c>
      <c r="AC265" s="8">
        <v>0</v>
      </c>
      <c r="AD265" s="2" t="str">
        <f t="shared" si="67"/>
        <v>Immediately</v>
      </c>
      <c r="AE265" s="2" t="str" cm="1">
        <f t="array" ref="AE265">_xlfn.IFS(AD265="SignalHIt","TurnEnd",AD265="AttackBegin","TurnEnd",AD265="AttackEnd","TurnEnd",AD265="Immediately","Applied",AD265="None","None")</f>
        <v>Applied</v>
      </c>
      <c r="AF265" s="2">
        <v>0</v>
      </c>
      <c r="AG265" s="1">
        <v>0</v>
      </c>
      <c r="AH265" s="8">
        <v>0</v>
      </c>
      <c r="AI265" s="2" t="str">
        <f t="shared" si="68"/>
        <v>Immediately</v>
      </c>
      <c r="AJ265" s="2" t="str" cm="1">
        <f t="array" ref="AJ265">_xlfn.IFS(AI265="SignalHIt","TurnEnd",AI265="AttackBegin","TurnEnd",AI265="AttackEnd","TurnEnd",AI265="Immediately","Applied",AI265="None","None")</f>
        <v>Applied</v>
      </c>
      <c r="AK265" s="2">
        <v>0</v>
      </c>
      <c r="AL265" s="1">
        <v>0</v>
      </c>
      <c r="AM265" s="48">
        <v>0</v>
      </c>
      <c r="AN265" s="45" t="str">
        <f>IFERROR(_xlfn.XLOOKUP(W265,Target!$A:$A,Target!$B:$B),"None")</f>
        <v>가까운 적 1명 2행</v>
      </c>
      <c r="AO265" s="43" t="str">
        <f>IFERROR(_xlfn.XLOOKUP($X265,'BuffValue&lt;Child&gt;'!$A:$A,'BuffValue&lt;Child&gt;'!$F:$F),"None")</f>
        <v>얼티밋 대미지</v>
      </c>
      <c r="AP265" s="43">
        <f>IFERROR(_xlfn.XLOOKUP($X265,'BuffValue&lt;Child&gt;'!$A:$A,'BuffValue&lt;Child&gt;'!$K:$K),0)</f>
        <v>320000</v>
      </c>
      <c r="AQ265" s="43" t="str">
        <f>IFERROR(_xlfn.XLOOKUP(AB265,Target!$A:$A,Target!$B:$B),"None")</f>
        <v>None</v>
      </c>
      <c r="AR265" s="45" t="str">
        <f>IFERROR(_xlfn.XLOOKUP($AC265,'BuffValue&lt;Child&gt;'!$A:$A,'BuffValue&lt;Child&gt;'!$F:$F),"None")</f>
        <v>None</v>
      </c>
      <c r="AS265" s="45">
        <f>IFERROR(_xlfn.XLOOKUP($AC265,'BuffValue&lt;Child&gt;'!$A:$A,'BuffValue&lt;Child&gt;'!$K:$K),0)</f>
        <v>0</v>
      </c>
      <c r="AT265" s="43" t="str">
        <f>IFERROR(_xlfn.XLOOKUP(AG265,Target!$A:$A,Target!$B:$B),"None")</f>
        <v>None</v>
      </c>
      <c r="AU265" s="43" t="str">
        <f>IFERROR(_xlfn.XLOOKUP($AH265,'BuffValue&lt;Child&gt;'!$A:$A,'BuffValue&lt;Child&gt;'!$F:$F),"None")</f>
        <v>None</v>
      </c>
      <c r="AV265" s="43">
        <f>IFERROR(_xlfn.XLOOKUP($AH265,'BuffValue&lt;Child&gt;'!$A:$A,'BuffValue&lt;Child&gt;'!$K:$K),0)</f>
        <v>0</v>
      </c>
      <c r="AW265" s="43" t="str">
        <f>IFERROR(_xlfn.XLOOKUP(AL265,Target!$A:$A,Target!$B:$B),"None")</f>
        <v>None</v>
      </c>
      <c r="AX265" s="43" t="str">
        <f>IFERROR(_xlfn.XLOOKUP($AM265,'BuffValue&lt;Child&gt;'!$A:$A,'BuffValue&lt;Child&gt;'!$F:$F),"None")</f>
        <v>None</v>
      </c>
      <c r="AY265" s="43">
        <f>IFERROR(_xlfn.XLOOKUP($AM265,#REF!,#REF!),0)</f>
        <v>0</v>
      </c>
    </row>
    <row r="266" spans="1:51" x14ac:dyDescent="0.3">
      <c r="A266" s="1">
        <f>INT(4&amp;MID(_xlfn.XLOOKUP(B266,[2]Timeline!$B:$B,[2]Timeline!$A:$A),2,5)&amp;1)</f>
        <v>4302811</v>
      </c>
      <c r="B266" s="7" t="s">
        <v>639</v>
      </c>
      <c r="C266" s="7" t="s">
        <v>122</v>
      </c>
      <c r="D266" s="7" t="s">
        <v>347</v>
      </c>
      <c r="E266" s="1" t="str">
        <f t="shared" si="64"/>
        <v>skill_name_4302811</v>
      </c>
      <c r="F266" s="1" t="s">
        <v>117</v>
      </c>
      <c r="G266" s="1" t="s">
        <v>601</v>
      </c>
      <c r="H266" s="1" t="str">
        <f t="shared" si="34"/>
        <v>skill_desc_4302811</v>
      </c>
      <c r="I266" s="1" t="s">
        <v>205</v>
      </c>
      <c r="J266" s="1" t="str">
        <f>IFERROR(_xlfn.XLOOKUP(W266,Target!A:A,Target!J:J),"")</f>
        <v>Skill_Target_Icon_Mine</v>
      </c>
      <c r="K266" s="1" t="s">
        <v>205</v>
      </c>
      <c r="L266" s="1" t="str">
        <f>IFERROR(_xlfn.XLOOKUP(W266,Target!A:A,Target!K:K),"")</f>
        <v>Skill_Area_Icon_Pivot_Centor</v>
      </c>
      <c r="M266" s="1" t="str">
        <f>_xlfn.XLOOKUP(B266,'[2]Detail&lt;Child&gt;'!$B:$B,'[2]Detail&lt;Child&gt;'!$M:$M)</f>
        <v>Water</v>
      </c>
      <c r="N266" s="1" t="str">
        <f>_xlfn.XLOOKUP(B266,'[2]Detail&lt;Child&gt;'!$B:$B,'[2]Detail&lt;Child&gt;'!$N:$N)</f>
        <v>Supporter</v>
      </c>
      <c r="O266" s="1" t="s">
        <v>167</v>
      </c>
      <c r="P266" s="33">
        <v>0</v>
      </c>
      <c r="Q266" s="68" t="str" cm="1">
        <f t="array" ref="Q266">_xlfn.IFS(R266="Move","Move",R266="NonTargetMove","Move",R266="Static","Stand",R266="None","Stand")</f>
        <v>Stand</v>
      </c>
      <c r="R266" s="1" t="s">
        <v>136</v>
      </c>
      <c r="S266" s="1">
        <f>IF(R266="Static",0,1)</f>
        <v>0</v>
      </c>
      <c r="T266" s="2" t="str">
        <f t="shared" si="65"/>
        <v>Immediately</v>
      </c>
      <c r="U266" s="2" t="str" cm="1">
        <f t="array" ref="U266">_xlfn.IFS(T266="SignalHIt","TurnEnd",T266="AttackBegin","TurnEnd",T266="AttackEnd","TurnEnd",T266="Immediately","Applied",T266="None","None")</f>
        <v>Applied</v>
      </c>
      <c r="V266" s="2">
        <v>0</v>
      </c>
      <c r="W266" s="1">
        <v>1</v>
      </c>
      <c r="X266" s="8">
        <f t="shared" si="69"/>
        <v>43028111</v>
      </c>
      <c r="Y266" s="1" t="str">
        <f t="shared" si="66"/>
        <v>Immediately</v>
      </c>
      <c r="Z266" s="2" t="str" cm="1">
        <f t="array" ref="Z266">_xlfn.IFS(Y266="SignalHIt","TurnEnd",Y266="AttackBegin","TurnEnd",Y266="AttackEnd","TurnEnd",Y266="Immediately","Applied",Y266="None","None")</f>
        <v>Applied</v>
      </c>
      <c r="AA266" s="2">
        <v>0</v>
      </c>
      <c r="AB266" s="1">
        <v>0</v>
      </c>
      <c r="AC266" s="8">
        <v>0</v>
      </c>
      <c r="AD266" s="2" t="str">
        <f t="shared" si="67"/>
        <v>Immediately</v>
      </c>
      <c r="AE266" s="2" t="str" cm="1">
        <f t="array" ref="AE266">_xlfn.IFS(AD266="SignalHIt","TurnEnd",AD266="AttackBegin","TurnEnd",AD266="AttackEnd","TurnEnd",AD266="Immediately","Applied",AD266="None","None")</f>
        <v>Applied</v>
      </c>
      <c r="AF266" s="2">
        <v>0</v>
      </c>
      <c r="AG266" s="1">
        <v>0</v>
      </c>
      <c r="AH266" s="8">
        <v>0</v>
      </c>
      <c r="AI266" s="2" t="str">
        <f t="shared" si="68"/>
        <v>Immediately</v>
      </c>
      <c r="AJ266" s="2" t="str" cm="1">
        <f t="array" ref="AJ266">_xlfn.IFS(AI266="SignalHIt","TurnEnd",AI266="AttackBegin","TurnEnd",AI266="AttackEnd","TurnEnd",AI266="Immediately","Applied",AI266="None","None")</f>
        <v>Applied</v>
      </c>
      <c r="AK266" s="2">
        <v>0</v>
      </c>
      <c r="AL266" s="8">
        <v>0</v>
      </c>
      <c r="AM266" s="48">
        <v>0</v>
      </c>
      <c r="AN266" s="45" t="str">
        <f>IFERROR(_xlfn.XLOOKUP(W266,Target!$A:$A,Target!$B:$B),"None")</f>
        <v xml:space="preserve"> 자신 1명 </v>
      </c>
      <c r="AO266" s="43" t="str">
        <f>IFERROR(_xlfn.XLOOKUP($X266,'BuffValue&lt;Child&gt;'!$A:$A,'BuffValue&lt;Child&gt;'!$F:$F),"None")</f>
        <v>힐드 패시브 버프당 치명타 확률 증가</v>
      </c>
      <c r="AP266" s="43">
        <f>IFERROR(_xlfn.XLOOKUP($X266,'BuffValue&lt;Child&gt;'!$A:$A,'BuffValue&lt;Child&gt;'!$K:$K),0)</f>
        <v>5000</v>
      </c>
      <c r="AQ266" s="43" t="str">
        <f>IFERROR(_xlfn.XLOOKUP(AB266,Target!$A:$A,Target!$B:$B),"None")</f>
        <v>None</v>
      </c>
      <c r="AR266" s="45" t="str">
        <f>IFERROR(_xlfn.XLOOKUP($AC266,'BuffValue&lt;Child&gt;'!$A:$A,'BuffValue&lt;Child&gt;'!$F:$F),"None")</f>
        <v>None</v>
      </c>
      <c r="AS266" s="45">
        <f>IFERROR(_xlfn.XLOOKUP($AC266,'BuffValue&lt;Child&gt;'!$A:$A,'BuffValue&lt;Child&gt;'!$K:$K),0)</f>
        <v>0</v>
      </c>
      <c r="AT266" s="43" t="str">
        <f>IFERROR(_xlfn.XLOOKUP(AG266,Target!$A:$A,Target!$B:$B),"None")</f>
        <v>None</v>
      </c>
      <c r="AU266" s="43" t="str">
        <f>IFERROR(_xlfn.XLOOKUP($AH266,'BuffValue&lt;Child&gt;'!$A:$A,'BuffValue&lt;Child&gt;'!$F:$F),"None")</f>
        <v>None</v>
      </c>
      <c r="AV266" s="43">
        <f>IFERROR(_xlfn.XLOOKUP($AH266,'BuffValue&lt;Child&gt;'!$A:$A,'BuffValue&lt;Child&gt;'!$K:$K),0)</f>
        <v>0</v>
      </c>
      <c r="AW266" s="43" t="str">
        <f>IFERROR(_xlfn.XLOOKUP(AL266,Target!$A:$A,Target!$B:$B),"None")</f>
        <v>None</v>
      </c>
      <c r="AX266" s="43" t="str">
        <f>IFERROR(_xlfn.XLOOKUP($AM266,'BuffValue&lt;Child&gt;'!$A:$A,'BuffValue&lt;Child&gt;'!$F:$F),"None")</f>
        <v>None</v>
      </c>
      <c r="AY266" s="43">
        <f>IFERROR(_xlfn.XLOOKUP($AM266,#REF!,#REF!),0)</f>
        <v>0</v>
      </c>
    </row>
    <row r="267" spans="1:51" x14ac:dyDescent="0.3">
      <c r="A267" s="1">
        <f>INT(4&amp;MID(_xlfn.XLOOKUP(B267,[2]Timeline!$B:$B,[2]Timeline!$A:$A),2,5)&amp;2)</f>
        <v>4302812</v>
      </c>
      <c r="B267" s="7" t="s">
        <v>639</v>
      </c>
      <c r="C267" s="7" t="s">
        <v>123</v>
      </c>
      <c r="D267" s="7" t="s">
        <v>347</v>
      </c>
      <c r="E267" s="1" t="str">
        <f t="shared" si="64"/>
        <v>skill_name_4302812</v>
      </c>
      <c r="F267" s="1" t="s">
        <v>117</v>
      </c>
      <c r="G267" s="1" t="s">
        <v>601</v>
      </c>
      <c r="H267" s="1" t="str">
        <f t="shared" si="34"/>
        <v>skill_desc_4302812</v>
      </c>
      <c r="I267" s="1" t="s">
        <v>205</v>
      </c>
      <c r="J267" s="1" t="str">
        <f>IFERROR(_xlfn.XLOOKUP(W267,Target!A:A,Target!J:J),"")</f>
        <v>Skill_Target_Icon_Mine</v>
      </c>
      <c r="K267" s="1" t="s">
        <v>205</v>
      </c>
      <c r="L267" s="1" t="str">
        <f>IFERROR(_xlfn.XLOOKUP(W267,Target!A:A,Target!K:K),"")</f>
        <v>Skill_Area_Icon_Pivot_Centor</v>
      </c>
      <c r="M267" s="1" t="str">
        <f>_xlfn.XLOOKUP(B267,'[2]Detail&lt;Child&gt;'!$B:$B,'[2]Detail&lt;Child&gt;'!$M:$M)</f>
        <v>Water</v>
      </c>
      <c r="N267" s="1" t="str">
        <f>_xlfn.XLOOKUP(B267,'[2]Detail&lt;Child&gt;'!$B:$B,'[2]Detail&lt;Child&gt;'!$N:$N)</f>
        <v>Supporter</v>
      </c>
      <c r="O267" s="1" t="s">
        <v>167</v>
      </c>
      <c r="P267" s="33">
        <v>0</v>
      </c>
      <c r="Q267" s="68" t="str" cm="1">
        <f t="array" ref="Q267">_xlfn.IFS(R267="Move","Move",R267="NonTargetMove","Move",R267="Static","Stand",R267="None","Stand")</f>
        <v>Stand</v>
      </c>
      <c r="R267" s="1" t="s">
        <v>136</v>
      </c>
      <c r="S267" s="1">
        <f>IF(R267="Static",0,1)</f>
        <v>0</v>
      </c>
      <c r="T267" s="2" t="str">
        <f t="shared" si="65"/>
        <v>Immediately</v>
      </c>
      <c r="U267" s="2" t="str" cm="1">
        <f t="array" ref="U267">_xlfn.IFS(T267="SignalHIt","TurnEnd",T267="AttackBegin","TurnEnd",T267="AttackEnd","TurnEnd",T267="Immediately","Applied",T267="None","None")</f>
        <v>Applied</v>
      </c>
      <c r="V267" s="2">
        <v>0</v>
      </c>
      <c r="W267" s="1">
        <v>1</v>
      </c>
      <c r="X267" s="8">
        <f t="shared" si="69"/>
        <v>43028121</v>
      </c>
      <c r="Y267" s="1" t="str">
        <f t="shared" si="66"/>
        <v>Immediately</v>
      </c>
      <c r="Z267" s="2" t="str" cm="1">
        <f t="array" ref="Z267">_xlfn.IFS(Y267="SignalHIt","TurnEnd",Y267="AttackBegin","TurnEnd",Y267="AttackEnd","TurnEnd",Y267="Immediately","Applied",Y267="None","None")</f>
        <v>Applied</v>
      </c>
      <c r="AA267" s="2">
        <v>0</v>
      </c>
      <c r="AB267" s="1">
        <v>0</v>
      </c>
      <c r="AC267" s="8">
        <v>0</v>
      </c>
      <c r="AD267" s="2" t="str">
        <f t="shared" si="67"/>
        <v>Immediately</v>
      </c>
      <c r="AE267" s="2" t="str" cm="1">
        <f t="array" ref="AE267">_xlfn.IFS(AD267="SignalHIt","TurnEnd",AD267="AttackBegin","TurnEnd",AD267="AttackEnd","TurnEnd",AD267="Immediately","Applied",AD267="None","None")</f>
        <v>Applied</v>
      </c>
      <c r="AF267" s="2">
        <v>0</v>
      </c>
      <c r="AG267" s="1">
        <v>0</v>
      </c>
      <c r="AH267" s="8">
        <v>0</v>
      </c>
      <c r="AI267" s="2" t="str">
        <f t="shared" si="68"/>
        <v>Immediately</v>
      </c>
      <c r="AJ267" s="2" t="str" cm="1">
        <f t="array" ref="AJ267">_xlfn.IFS(AI267="SignalHIt","TurnEnd",AI267="AttackBegin","TurnEnd",AI267="AttackEnd","TurnEnd",AI267="Immediately","Applied",AI267="None","None")</f>
        <v>Applied</v>
      </c>
      <c r="AK267" s="2">
        <v>0</v>
      </c>
      <c r="AL267" s="8">
        <v>0</v>
      </c>
      <c r="AM267" s="48">
        <v>0</v>
      </c>
      <c r="AN267" s="45" t="str">
        <f>IFERROR(_xlfn.XLOOKUP(W267,Target!$A:$A,Target!$B:$B),"None")</f>
        <v xml:space="preserve"> 자신 1명 </v>
      </c>
      <c r="AO267" s="43" t="str">
        <f>IFERROR(_xlfn.XLOOKUP($X267,'BuffValue&lt;Child&gt;'!$A:$A,'BuffValue&lt;Child&gt;'!$F:$F),"None")</f>
        <v>힐드 패시브 버프당 치명타 확률 증가</v>
      </c>
      <c r="AP267" s="43">
        <f>IFERROR(_xlfn.XLOOKUP($X267,'BuffValue&lt;Child&gt;'!$A:$A,'BuffValue&lt;Child&gt;'!$K:$K),0)</f>
        <v>5000</v>
      </c>
      <c r="AQ267" s="43" t="str">
        <f>IFERROR(_xlfn.XLOOKUP(AB267,Target!$A:$A,Target!$B:$B),"None")</f>
        <v>None</v>
      </c>
      <c r="AR267" s="45" t="str">
        <f>IFERROR(_xlfn.XLOOKUP($AC267,'BuffValue&lt;Child&gt;'!$A:$A,'BuffValue&lt;Child&gt;'!$F:$F),"None")</f>
        <v>None</v>
      </c>
      <c r="AS267" s="45">
        <f>IFERROR(_xlfn.XLOOKUP($AC267,'BuffValue&lt;Child&gt;'!$A:$A,'BuffValue&lt;Child&gt;'!$K:$K),0)</f>
        <v>0</v>
      </c>
      <c r="AT267" s="43" t="str">
        <f>IFERROR(_xlfn.XLOOKUP(AG267,Target!$A:$A,Target!$B:$B),"None")</f>
        <v>None</v>
      </c>
      <c r="AU267" s="43" t="str">
        <f>IFERROR(_xlfn.XLOOKUP($AH267,'BuffValue&lt;Child&gt;'!$A:$A,'BuffValue&lt;Child&gt;'!$F:$F),"None")</f>
        <v>None</v>
      </c>
      <c r="AV267" s="43">
        <f>IFERROR(_xlfn.XLOOKUP($AH267,'BuffValue&lt;Child&gt;'!$A:$A,'BuffValue&lt;Child&gt;'!$K:$K),0)</f>
        <v>0</v>
      </c>
      <c r="AW267" s="43" t="str">
        <f>IFERROR(_xlfn.XLOOKUP(AL267,Target!$A:$A,Target!$B:$B),"None")</f>
        <v>None</v>
      </c>
      <c r="AX267" s="43" t="str">
        <f>IFERROR(_xlfn.XLOOKUP($AM267,'BuffValue&lt;Child&gt;'!$A:$A,'BuffValue&lt;Child&gt;'!$F:$F),"None")</f>
        <v>None</v>
      </c>
      <c r="AY267" s="43">
        <f>IFERROR(_xlfn.XLOOKUP($AM267,#REF!,#REF!),0)</f>
        <v>0</v>
      </c>
    </row>
    <row r="268" spans="1:51" s="11" customFormat="1" x14ac:dyDescent="0.3">
      <c r="A268" s="11">
        <f>INT(1&amp;MID(_xlfn.XLOOKUP(B268,[2]Timeline!$B:$B,[2]Timeline!$A:$A),2,5)&amp;1)</f>
        <v>1305141</v>
      </c>
      <c r="B268" s="12" t="s">
        <v>643</v>
      </c>
      <c r="C268" s="12" t="s">
        <v>644</v>
      </c>
      <c r="D268" s="12" t="s">
        <v>544</v>
      </c>
      <c r="E268" s="11" t="str">
        <f t="shared" si="64"/>
        <v>skill_name_1305141</v>
      </c>
      <c r="F268" s="11" t="s">
        <v>117</v>
      </c>
      <c r="G268" s="11" t="s">
        <v>598</v>
      </c>
      <c r="H268" s="11" t="str">
        <f t="shared" si="34"/>
        <v>skill_desc_1305141</v>
      </c>
      <c r="I268" s="11" t="s">
        <v>205</v>
      </c>
      <c r="J268" s="11" t="str">
        <f>IFERROR(_xlfn.XLOOKUP(W268,Target!A:A,Target!J:J),"")</f>
        <v>Skill_Target_Icon_Enemy_Near_One</v>
      </c>
      <c r="K268" s="11" t="s">
        <v>205</v>
      </c>
      <c r="L268" s="11" t="str">
        <f>IFERROR(_xlfn.XLOOKUP(W268,Target!A:A,Target!K:K),"")</f>
        <v>Skill_Area_Icon_Pivot_Centor</v>
      </c>
      <c r="M268" s="11" t="str">
        <f>_xlfn.XLOOKUP(B268,'[2]Detail&lt;Child&gt;'!$B:$B,'[2]Detail&lt;Child&gt;'!$M:$M)</f>
        <v>Dark</v>
      </c>
      <c r="N268" s="11" t="str">
        <f>_xlfn.XLOOKUP(B268,'[2]Detail&lt;Child&gt;'!$B:$B,'[2]Detail&lt;Child&gt;'!$N:$N)</f>
        <v>Attacker</v>
      </c>
      <c r="O268" s="11" t="s">
        <v>30</v>
      </c>
      <c r="P268" s="34">
        <v>0</v>
      </c>
      <c r="Q268" s="69" t="s">
        <v>499</v>
      </c>
      <c r="R268" s="11" t="s">
        <v>137</v>
      </c>
      <c r="S268" s="11">
        <v>2</v>
      </c>
      <c r="T268" s="15" t="str">
        <f t="shared" si="65"/>
        <v>SignalHit</v>
      </c>
      <c r="U268" s="15" t="str" cm="1">
        <f t="array" ref="U268">_xlfn.IFS(T268="SignalHIt","TurnEnd",T268="AttackBegin","TurnEnd",T268="AttackEnd","TurnEnd",T268="Immediately","Applied",T268="None","None")</f>
        <v>TurnEnd</v>
      </c>
      <c r="V268" s="15">
        <v>0</v>
      </c>
      <c r="W268" s="11">
        <v>2000011</v>
      </c>
      <c r="X268" s="10">
        <f>INT(A268&amp;1)</f>
        <v>13051411</v>
      </c>
      <c r="Y268" s="11" t="str">
        <f t="shared" si="66"/>
        <v>Immediately</v>
      </c>
      <c r="Z268" s="15" t="str" cm="1">
        <f t="array" ref="Z268">_xlfn.IFS(Y268="SignalHIt","TurnEnd",Y268="AttackBegin","TurnEnd",Y268="AttackEnd","TurnEnd",Y268="Immediately","Applied",Y268="None","None")</f>
        <v>Applied</v>
      </c>
      <c r="AA268" s="15">
        <v>0</v>
      </c>
      <c r="AB268" s="11">
        <v>0</v>
      </c>
      <c r="AC268" s="10">
        <v>0</v>
      </c>
      <c r="AD268" s="15" t="str">
        <f t="shared" si="67"/>
        <v>Immediately</v>
      </c>
      <c r="AE268" s="15" t="str" cm="1">
        <f t="array" ref="AE268">_xlfn.IFS(AD268="SignalHIt","TurnEnd",AD268="AttackBegin","TurnEnd",AD268="AttackEnd","TurnEnd",AD268="Immediately","Applied",AD268="None","None")</f>
        <v>Applied</v>
      </c>
      <c r="AF268" s="15">
        <v>0</v>
      </c>
      <c r="AG268" s="11">
        <v>0</v>
      </c>
      <c r="AH268" s="10">
        <v>0</v>
      </c>
      <c r="AI268" s="15" t="str">
        <f t="shared" si="68"/>
        <v>Immediately</v>
      </c>
      <c r="AJ268" s="15" t="str" cm="1">
        <f t="array" ref="AJ268">_xlfn.IFS(AI268="SignalHIt","TurnEnd",AI268="AttackBegin","TurnEnd",AI268="AttackEnd","TurnEnd",AI268="Immediately","Applied",AI268="None","None")</f>
        <v>Applied</v>
      </c>
      <c r="AK268" s="15">
        <v>0</v>
      </c>
      <c r="AL268" s="10">
        <v>0</v>
      </c>
      <c r="AM268" s="50">
        <v>0</v>
      </c>
      <c r="AN268" s="46" t="str">
        <f>IFERROR(_xlfn.XLOOKUP(W268,Target!$A:$A,Target!$B:$B),"None")</f>
        <v xml:space="preserve">가까운 적 1명 </v>
      </c>
      <c r="AO268" s="47" t="str">
        <f>IFERROR(_xlfn.XLOOKUP($X268,'BuffValue&lt;Child&gt;'!$A:$A,'BuffValue&lt;Child&gt;'!$F:$F),"None")</f>
        <v>공용 대미지</v>
      </c>
      <c r="AP268" s="47">
        <f>IFERROR(_xlfn.XLOOKUP($X268,'BuffValue&lt;Child&gt;'!$A:$A,'BuffValue&lt;Child&gt;'!$K:$K),0)</f>
        <v>150000</v>
      </c>
      <c r="AQ268" s="47" t="str">
        <f>IFERROR(_xlfn.XLOOKUP(AB268,Target!$A:$A,Target!$B:$B),"None")</f>
        <v>None</v>
      </c>
      <c r="AR268" s="46" t="str">
        <f>IFERROR(_xlfn.XLOOKUP($AC268,'BuffValue&lt;Child&gt;'!$A:$A,'BuffValue&lt;Child&gt;'!$F:$F),"None")</f>
        <v>None</v>
      </c>
      <c r="AS268" s="46">
        <f>IFERROR(_xlfn.XLOOKUP($AC268,'BuffValue&lt;Child&gt;'!$A:$A,'BuffValue&lt;Child&gt;'!$K:$K),0)</f>
        <v>0</v>
      </c>
      <c r="AT268" s="47" t="str">
        <f>IFERROR(_xlfn.XLOOKUP(AG268,Target!$A:$A,Target!$B:$B),"None")</f>
        <v>None</v>
      </c>
      <c r="AU268" s="47" t="str">
        <f>IFERROR(_xlfn.XLOOKUP($AH268,'BuffValue&lt;Child&gt;'!$A:$A,'BuffValue&lt;Child&gt;'!$F:$F),"None")</f>
        <v>None</v>
      </c>
      <c r="AV268" s="47">
        <f>IFERROR(_xlfn.XLOOKUP($AH268,'BuffValue&lt;Child&gt;'!$A:$A,'BuffValue&lt;Child&gt;'!$K:$K),0)</f>
        <v>0</v>
      </c>
      <c r="AW268" s="47" t="str">
        <f>IFERROR(_xlfn.XLOOKUP(AL268,Target!$A:$A,Target!$B:$B),"None")</f>
        <v>None</v>
      </c>
      <c r="AX268" s="47" t="str">
        <f>IFERROR(_xlfn.XLOOKUP($AM268,'BuffValue&lt;Child&gt;'!$A:$A,'BuffValue&lt;Child&gt;'!$F:$F),"None")</f>
        <v>None</v>
      </c>
      <c r="AY268" s="47">
        <f>IFERROR(_xlfn.XLOOKUP($AM268,#REF!,#REF!),0)</f>
        <v>0</v>
      </c>
    </row>
    <row r="269" spans="1:51" x14ac:dyDescent="0.3">
      <c r="A269" s="1">
        <f>INT(2&amp;MID(_xlfn.XLOOKUP(B269,[2]Timeline!$B:$B,[2]Timeline!$A:$A),2,5)&amp;1)</f>
        <v>2305141</v>
      </c>
      <c r="B269" s="7" t="s">
        <v>643</v>
      </c>
      <c r="C269" s="7" t="s">
        <v>645</v>
      </c>
      <c r="D269" s="7" t="s">
        <v>572</v>
      </c>
      <c r="E269" s="1" t="str">
        <f t="shared" si="64"/>
        <v>skill_name_2305141</v>
      </c>
      <c r="F269" s="1" t="s">
        <v>117</v>
      </c>
      <c r="G269" s="1" t="s">
        <v>599</v>
      </c>
      <c r="H269" s="1" t="str">
        <f t="shared" si="34"/>
        <v>skill_desc_2305141</v>
      </c>
      <c r="I269" s="1" t="s">
        <v>205</v>
      </c>
      <c r="J269" s="1" t="str">
        <f>IFERROR(_xlfn.XLOOKUP(W269,Target!A:A,Target!J:J),"")</f>
        <v>Skill_Target_Icon_Enemy_Near_One</v>
      </c>
      <c r="K269" s="1" t="s">
        <v>205</v>
      </c>
      <c r="L269" s="1" t="str">
        <f>IFERROR(_xlfn.XLOOKUP(W269,Target!A:A,Target!K:K),"")</f>
        <v>Skill_Area_Icon_Pivot_Centor</v>
      </c>
      <c r="M269" s="1" t="str">
        <f>_xlfn.XLOOKUP(B269,'[2]Detail&lt;Child&gt;'!$B:$B,'[2]Detail&lt;Child&gt;'!$M:$M)</f>
        <v>Dark</v>
      </c>
      <c r="N269" s="1" t="str">
        <f>_xlfn.XLOOKUP(B269,'[2]Detail&lt;Child&gt;'!$B:$B,'[2]Detail&lt;Child&gt;'!$N:$N)</f>
        <v>Attacker</v>
      </c>
      <c r="O269" s="1" t="s">
        <v>33</v>
      </c>
      <c r="P269" s="33">
        <v>3</v>
      </c>
      <c r="Q269" s="68" t="str" cm="1">
        <f t="array" ref="Q269">_xlfn.IFS(R269="Move","Move",R269="NonTargetMove","Move",R269="Static","Stand",R269="None","Stand")</f>
        <v>Move</v>
      </c>
      <c r="R269" s="1" t="s">
        <v>144</v>
      </c>
      <c r="S269" s="1">
        <v>2</v>
      </c>
      <c r="T269" s="2" t="str">
        <f t="shared" si="65"/>
        <v>SignalHit</v>
      </c>
      <c r="U269" s="2" t="str" cm="1">
        <f t="array" ref="U269">_xlfn.IFS(T269="SignalHIt","TurnEnd",T269="AttackBegin","TurnEnd",T269="AttackEnd","TurnEnd",T269="Immediately","Applied",T269="None","None")</f>
        <v>TurnEnd</v>
      </c>
      <c r="V269" s="2">
        <v>0</v>
      </c>
      <c r="W269" s="1">
        <v>2000011</v>
      </c>
      <c r="X269" s="8">
        <f t="shared" ref="X269:X275" si="70">INT(A269&amp;1)</f>
        <v>23051411</v>
      </c>
      <c r="Y269" s="1" t="str">
        <f t="shared" si="66"/>
        <v>Immediately</v>
      </c>
      <c r="Z269" s="2" t="str" cm="1">
        <f t="array" ref="Z269">_xlfn.IFS(Y269="SignalHIt","TurnEnd",Y269="AttackBegin","TurnEnd",Y269="AttackEnd","TurnEnd",Y269="Immediately","Applied",Y269="None","None")</f>
        <v>Applied</v>
      </c>
      <c r="AA269" s="2">
        <v>0</v>
      </c>
      <c r="AB269" s="1">
        <v>0</v>
      </c>
      <c r="AC269" s="8">
        <v>0</v>
      </c>
      <c r="AD269" s="2" t="str">
        <f t="shared" si="67"/>
        <v>Immediately</v>
      </c>
      <c r="AE269" s="2" t="str" cm="1">
        <f t="array" ref="AE269">_xlfn.IFS(AD269="SignalHIt","TurnEnd",AD269="AttackBegin","TurnEnd",AD269="AttackEnd","TurnEnd",AD269="Immediately","Applied",AD269="None","None")</f>
        <v>Applied</v>
      </c>
      <c r="AF269" s="2">
        <v>0</v>
      </c>
      <c r="AG269" s="1">
        <v>0</v>
      </c>
      <c r="AH269" s="8">
        <v>0</v>
      </c>
      <c r="AI269" s="2" t="str">
        <f t="shared" si="68"/>
        <v>Immediately</v>
      </c>
      <c r="AJ269" s="2" t="str" cm="1">
        <f t="array" ref="AJ269">_xlfn.IFS(AI269="SignalHIt","TurnEnd",AI269="AttackBegin","TurnEnd",AI269="AttackEnd","TurnEnd",AI269="Immediately","Applied",AI269="None","None")</f>
        <v>Applied</v>
      </c>
      <c r="AK269" s="2">
        <v>0</v>
      </c>
      <c r="AL269" s="8">
        <v>0</v>
      </c>
      <c r="AM269" s="48">
        <v>0</v>
      </c>
      <c r="AN269" s="45" t="str">
        <f>IFERROR(_xlfn.XLOOKUP(W269,Target!$A:$A,Target!$B:$B),"None")</f>
        <v xml:space="preserve">가까운 적 1명 </v>
      </c>
      <c r="AO269" s="43" t="str">
        <f>IFERROR(_xlfn.XLOOKUP($X269,'BuffValue&lt;Child&gt;'!$A:$A,'BuffValue&lt;Child&gt;'!$F:$F),"None")</f>
        <v>액티브 대미지</v>
      </c>
      <c r="AP269" s="43">
        <f>IFERROR(_xlfn.XLOOKUP($X269,'BuffValue&lt;Child&gt;'!$A:$A,'BuffValue&lt;Child&gt;'!$K:$K),0)</f>
        <v>40000</v>
      </c>
      <c r="AQ269" s="43" t="str">
        <f>IFERROR(_xlfn.XLOOKUP(AB269,Target!$A:$A,Target!$B:$B),"None")</f>
        <v>None</v>
      </c>
      <c r="AR269" s="45" t="str">
        <f>IFERROR(_xlfn.XLOOKUP($AC269,'BuffValue&lt;Child&gt;'!$A:$A,'BuffValue&lt;Child&gt;'!$F:$F),"None")</f>
        <v>None</v>
      </c>
      <c r="AS269" s="45">
        <f>IFERROR(_xlfn.XLOOKUP($AC269,'BuffValue&lt;Child&gt;'!$A:$A,'BuffValue&lt;Child&gt;'!$K:$K),0)</f>
        <v>0</v>
      </c>
      <c r="AT269" s="43" t="str">
        <f>IFERROR(_xlfn.XLOOKUP(AG269,Target!$A:$A,Target!$B:$B),"None")</f>
        <v>None</v>
      </c>
      <c r="AU269" s="43" t="str">
        <f>IFERROR(_xlfn.XLOOKUP($AH269,'BuffValue&lt;Child&gt;'!$A:$A,'BuffValue&lt;Child&gt;'!$F:$F),"None")</f>
        <v>None</v>
      </c>
      <c r="AV269" s="43">
        <f>IFERROR(_xlfn.XLOOKUP($AH269,'BuffValue&lt;Child&gt;'!$A:$A,'BuffValue&lt;Child&gt;'!$K:$K),0)</f>
        <v>0</v>
      </c>
      <c r="AW269" s="43" t="str">
        <f>IFERROR(_xlfn.XLOOKUP(AL269,Target!$A:$A,Target!$B:$B),"None")</f>
        <v>None</v>
      </c>
      <c r="AX269" s="43" t="str">
        <f>IFERROR(_xlfn.XLOOKUP($AM269,'BuffValue&lt;Child&gt;'!$A:$A,'BuffValue&lt;Child&gt;'!$F:$F),"None")</f>
        <v>None</v>
      </c>
      <c r="AY269" s="43">
        <f>IFERROR(_xlfn.XLOOKUP($AM269,#REF!,#REF!),0)</f>
        <v>0</v>
      </c>
    </row>
    <row r="270" spans="1:51" x14ac:dyDescent="0.3">
      <c r="A270" s="1">
        <f>INT(2&amp;MID(_xlfn.XLOOKUP(B270,[2]Timeline!$B:$B,[2]Timeline!$A:$A),2,5)&amp;2)</f>
        <v>2305142</v>
      </c>
      <c r="B270" s="7" t="s">
        <v>643</v>
      </c>
      <c r="C270" s="7" t="s">
        <v>645</v>
      </c>
      <c r="D270" s="7" t="s">
        <v>572</v>
      </c>
      <c r="E270" s="1" t="str">
        <f t="shared" si="64"/>
        <v>skill_name_2305142</v>
      </c>
      <c r="F270" s="1" t="s">
        <v>117</v>
      </c>
      <c r="G270" s="1" t="s">
        <v>599</v>
      </c>
      <c r="H270" s="1" t="str">
        <f t="shared" si="34"/>
        <v>skill_desc_2305142</v>
      </c>
      <c r="I270" s="1" t="s">
        <v>205</v>
      </c>
      <c r="J270" s="1" t="str">
        <f>IFERROR(_xlfn.XLOOKUP(W270,Target!A:A,Target!J:J),"")</f>
        <v>Skill_Target_Icon_Enemy_Near_One</v>
      </c>
      <c r="K270" s="1" t="s">
        <v>205</v>
      </c>
      <c r="L270" s="1" t="str">
        <f>IFERROR(_xlfn.XLOOKUP(W270,Target!A:A,Target!K:K),"")</f>
        <v>Skill_Area_Icon_Pivot_Centor</v>
      </c>
      <c r="M270" s="1" t="str">
        <f>_xlfn.XLOOKUP(B270,'[2]Detail&lt;Child&gt;'!$B:$B,'[2]Detail&lt;Child&gt;'!$M:$M)</f>
        <v>Dark</v>
      </c>
      <c r="N270" s="1" t="str">
        <f>_xlfn.XLOOKUP(B270,'[2]Detail&lt;Child&gt;'!$B:$B,'[2]Detail&lt;Child&gt;'!$N:$N)</f>
        <v>Attacker</v>
      </c>
      <c r="O270" s="1" t="s">
        <v>33</v>
      </c>
      <c r="P270" s="33">
        <v>2</v>
      </c>
      <c r="Q270" s="68" t="str" cm="1">
        <f t="array" ref="Q270">_xlfn.IFS(R270="Move","Move",R270="NonTargetMove","Move",R270="Static","Stand",R270="None","Stand")</f>
        <v>Move</v>
      </c>
      <c r="R270" s="1" t="s">
        <v>144</v>
      </c>
      <c r="S270" s="1">
        <v>2</v>
      </c>
      <c r="T270" s="2" t="str">
        <f t="shared" si="65"/>
        <v>SignalHit</v>
      </c>
      <c r="U270" s="2" t="str" cm="1">
        <f t="array" ref="U270">_xlfn.IFS(T270="SignalHIt","TurnEnd",T270="AttackBegin","TurnEnd",T270="AttackEnd","TurnEnd",T270="Immediately","Applied",T270="None","None")</f>
        <v>TurnEnd</v>
      </c>
      <c r="V270" s="2">
        <v>0</v>
      </c>
      <c r="W270" s="1">
        <v>2000011</v>
      </c>
      <c r="X270" s="8">
        <f t="shared" si="70"/>
        <v>23051421</v>
      </c>
      <c r="Y270" s="1" t="str">
        <f t="shared" si="66"/>
        <v>Immediately</v>
      </c>
      <c r="Z270" s="2" t="str" cm="1">
        <f t="array" ref="Z270">_xlfn.IFS(Y270="SignalHIt","TurnEnd",Y270="AttackBegin","TurnEnd",Y270="AttackEnd","TurnEnd",Y270="Immediately","Applied",Y270="None","None")</f>
        <v>Applied</v>
      </c>
      <c r="AA270" s="2">
        <v>0</v>
      </c>
      <c r="AB270" s="1">
        <v>0</v>
      </c>
      <c r="AC270" s="8">
        <v>0</v>
      </c>
      <c r="AD270" s="2" t="str">
        <f t="shared" si="67"/>
        <v>Immediately</v>
      </c>
      <c r="AE270" s="2" t="str" cm="1">
        <f t="array" ref="AE270">_xlfn.IFS(AD270="SignalHIt","TurnEnd",AD270="AttackBegin","TurnEnd",AD270="AttackEnd","TurnEnd",AD270="Immediately","Applied",AD270="None","None")</f>
        <v>Applied</v>
      </c>
      <c r="AF270" s="2">
        <v>0</v>
      </c>
      <c r="AG270" s="1">
        <v>0</v>
      </c>
      <c r="AH270" s="8">
        <v>0</v>
      </c>
      <c r="AI270" s="2" t="str">
        <f t="shared" si="68"/>
        <v>Immediately</v>
      </c>
      <c r="AJ270" s="2" t="str" cm="1">
        <f t="array" ref="AJ270">_xlfn.IFS(AI270="SignalHIt","TurnEnd",AI270="AttackBegin","TurnEnd",AI270="AttackEnd","TurnEnd",AI270="Immediately","Applied",AI270="None","None")</f>
        <v>Applied</v>
      </c>
      <c r="AK270" s="2">
        <v>0</v>
      </c>
      <c r="AL270" s="8">
        <v>0</v>
      </c>
      <c r="AM270" s="48">
        <v>0</v>
      </c>
      <c r="AN270" s="45" t="str">
        <f>IFERROR(_xlfn.XLOOKUP(W270,Target!$A:$A,Target!$B:$B),"None")</f>
        <v xml:space="preserve">가까운 적 1명 </v>
      </c>
      <c r="AO270" s="43" t="str">
        <f>IFERROR(_xlfn.XLOOKUP($X270,'BuffValue&lt;Child&gt;'!$A:$A,'BuffValue&lt;Child&gt;'!$F:$F),"None")</f>
        <v>액티브 대미지</v>
      </c>
      <c r="AP270" s="43">
        <f>IFERROR(_xlfn.XLOOKUP($X270,'BuffValue&lt;Child&gt;'!$A:$A,'BuffValue&lt;Child&gt;'!$K:$K),0)</f>
        <v>40000</v>
      </c>
      <c r="AQ270" s="43" t="str">
        <f>IFERROR(_xlfn.XLOOKUP(AB270,Target!$A:$A,Target!$B:$B),"None")</f>
        <v>None</v>
      </c>
      <c r="AR270" s="45" t="str">
        <f>IFERROR(_xlfn.XLOOKUP($AC270,'BuffValue&lt;Child&gt;'!$A:$A,'BuffValue&lt;Child&gt;'!$F:$F),"None")</f>
        <v>None</v>
      </c>
      <c r="AS270" s="45">
        <f>IFERROR(_xlfn.XLOOKUP($AC270,'BuffValue&lt;Child&gt;'!$A:$A,'BuffValue&lt;Child&gt;'!$K:$K),0)</f>
        <v>0</v>
      </c>
      <c r="AT270" s="43" t="str">
        <f>IFERROR(_xlfn.XLOOKUP(AG270,Target!$A:$A,Target!$B:$B),"None")</f>
        <v>None</v>
      </c>
      <c r="AU270" s="43" t="str">
        <f>IFERROR(_xlfn.XLOOKUP($AH270,'BuffValue&lt;Child&gt;'!$A:$A,'BuffValue&lt;Child&gt;'!$F:$F),"None")</f>
        <v>None</v>
      </c>
      <c r="AV270" s="43">
        <f>IFERROR(_xlfn.XLOOKUP($AH270,'BuffValue&lt;Child&gt;'!$A:$A,'BuffValue&lt;Child&gt;'!$K:$K),0)</f>
        <v>0</v>
      </c>
      <c r="AW270" s="43" t="str">
        <f>IFERROR(_xlfn.XLOOKUP(AL270,Target!$A:$A,Target!$B:$B),"None")</f>
        <v>None</v>
      </c>
      <c r="AX270" s="43" t="str">
        <f>IFERROR(_xlfn.XLOOKUP($AM270,'BuffValue&lt;Child&gt;'!$A:$A,'BuffValue&lt;Child&gt;'!$F:$F),"None")</f>
        <v>None</v>
      </c>
      <c r="AY270" s="43">
        <f>IFERROR(_xlfn.XLOOKUP($AM270,#REF!,#REF!),0)</f>
        <v>0</v>
      </c>
    </row>
    <row r="271" spans="1:51" x14ac:dyDescent="0.3">
      <c r="A271" s="1">
        <f>INT(3&amp;MID(_xlfn.XLOOKUP(B271,[2]Timeline!$B:$B,[2]Timeline!$A:$A),2,5)&amp;1)</f>
        <v>3305141</v>
      </c>
      <c r="B271" s="7" t="s">
        <v>643</v>
      </c>
      <c r="C271" s="7" t="s">
        <v>646</v>
      </c>
      <c r="D271" s="7" t="s">
        <v>516</v>
      </c>
      <c r="E271" s="1" t="str">
        <f t="shared" si="64"/>
        <v>skill_name_3305141</v>
      </c>
      <c r="F271" s="1" t="s">
        <v>117</v>
      </c>
      <c r="G271" s="1" t="s">
        <v>600</v>
      </c>
      <c r="H271" s="1" t="str">
        <f t="shared" si="34"/>
        <v>skill_desc_3305141</v>
      </c>
      <c r="I271" s="1" t="s">
        <v>205</v>
      </c>
      <c r="J271" s="1" t="str">
        <f>IFERROR(_xlfn.XLOOKUP(W271,Target!A:A,Target!J:J),"")</f>
        <v>Skill_Target_Icon_Enemy_Near_One</v>
      </c>
      <c r="K271" s="1" t="s">
        <v>205</v>
      </c>
      <c r="L271" s="1" t="str">
        <f>IFERROR(_xlfn.XLOOKUP(W271,Target!A:A,Target!K:K),"")</f>
        <v>Skill_Area_Icon_Pivot_Row</v>
      </c>
      <c r="M271" s="1" t="str">
        <f>_xlfn.XLOOKUP(B271,'[2]Detail&lt;Child&gt;'!$B:$B,'[2]Detail&lt;Child&gt;'!$M:$M)</f>
        <v>Dark</v>
      </c>
      <c r="N271" s="1" t="str">
        <f>_xlfn.XLOOKUP(B271,'[2]Detail&lt;Child&gt;'!$B:$B,'[2]Detail&lt;Child&gt;'!$N:$N)</f>
        <v>Attacker</v>
      </c>
      <c r="O271" s="1" t="s">
        <v>140</v>
      </c>
      <c r="P271" s="33">
        <v>0</v>
      </c>
      <c r="Q271" s="68" t="str" cm="1">
        <f t="array" ref="Q271">_xlfn.IFS(R271="Move","Move",R271="NonTargetMove","Move",R271="Static","Stand",R271="None","Stand")</f>
        <v>Move</v>
      </c>
      <c r="R271" s="1" t="s">
        <v>153</v>
      </c>
      <c r="S271" s="1">
        <v>2</v>
      </c>
      <c r="T271" s="2" t="str">
        <f t="shared" si="65"/>
        <v>SignalHit</v>
      </c>
      <c r="U271" s="2" t="str" cm="1">
        <f t="array" ref="U271">_xlfn.IFS(T271="SignalHIt","TurnEnd",T271="AttackBegin","TurnEnd",T271="AttackEnd","TurnEnd",T271="Immediately","Applied",T271="None","None")</f>
        <v>TurnEnd</v>
      </c>
      <c r="V271" s="2">
        <v>0</v>
      </c>
      <c r="W271" s="1">
        <v>2000014</v>
      </c>
      <c r="X271" s="8">
        <f t="shared" si="70"/>
        <v>33051411</v>
      </c>
      <c r="Y271" s="1" t="str">
        <f t="shared" si="66"/>
        <v>Immediately</v>
      </c>
      <c r="Z271" s="2" t="str" cm="1">
        <f t="array" ref="Z271">_xlfn.IFS(Y271="SignalHIt","TurnEnd",Y271="AttackBegin","TurnEnd",Y271="AttackEnd","TurnEnd",Y271="Immediately","Applied",Y271="None","None")</f>
        <v>Applied</v>
      </c>
      <c r="AA271" s="2">
        <v>0</v>
      </c>
      <c r="AB271" s="1">
        <v>0</v>
      </c>
      <c r="AC271" s="8">
        <v>0</v>
      </c>
      <c r="AD271" s="2" t="str">
        <f t="shared" si="67"/>
        <v>Immediately</v>
      </c>
      <c r="AE271" s="2" t="str" cm="1">
        <f t="array" ref="AE271">_xlfn.IFS(AD271="SignalHIt","TurnEnd",AD271="AttackBegin","TurnEnd",AD271="AttackEnd","TurnEnd",AD271="Immediately","Applied",AD271="None","None")</f>
        <v>Applied</v>
      </c>
      <c r="AF271" s="2">
        <v>0</v>
      </c>
      <c r="AG271" s="1">
        <v>0</v>
      </c>
      <c r="AH271" s="8">
        <v>0</v>
      </c>
      <c r="AI271" s="2" t="str">
        <f t="shared" si="68"/>
        <v>Immediately</v>
      </c>
      <c r="AJ271" s="2" t="str" cm="1">
        <f t="array" ref="AJ271">_xlfn.IFS(AI271="SignalHIt","TurnEnd",AI271="AttackBegin","TurnEnd",AI271="AttackEnd","TurnEnd",AI271="Immediately","Applied",AI271="None","None")</f>
        <v>Applied</v>
      </c>
      <c r="AK271" s="2">
        <v>0</v>
      </c>
      <c r="AL271" s="1">
        <v>0</v>
      </c>
      <c r="AM271" s="48">
        <v>0</v>
      </c>
      <c r="AN271" s="45" t="str">
        <f>IFERROR(_xlfn.XLOOKUP(W271,Target!$A:$A,Target!$B:$B),"None")</f>
        <v>가까운 적 1명 2행</v>
      </c>
      <c r="AO271" s="43" t="str">
        <f>IFERROR(_xlfn.XLOOKUP($X271,'BuffValue&lt;Child&gt;'!$A:$A,'BuffValue&lt;Child&gt;'!$F:$F),"None")</f>
        <v>얼티밋 대미지</v>
      </c>
      <c r="AP271" s="43">
        <f>IFERROR(_xlfn.XLOOKUP($X271,'BuffValue&lt;Child&gt;'!$A:$A,'BuffValue&lt;Child&gt;'!$K:$K),0)</f>
        <v>320000</v>
      </c>
      <c r="AQ271" s="43" t="str">
        <f>IFERROR(_xlfn.XLOOKUP(AB271,Target!$A:$A,Target!$B:$B),"None")</f>
        <v>None</v>
      </c>
      <c r="AR271" s="45" t="str">
        <f>IFERROR(_xlfn.XLOOKUP($AC271,'BuffValue&lt;Child&gt;'!$A:$A,'BuffValue&lt;Child&gt;'!$F:$F),"None")</f>
        <v>None</v>
      </c>
      <c r="AS271" s="45">
        <f>IFERROR(_xlfn.XLOOKUP($AC271,'BuffValue&lt;Child&gt;'!$A:$A,'BuffValue&lt;Child&gt;'!$K:$K),0)</f>
        <v>0</v>
      </c>
      <c r="AT271" s="43" t="str">
        <f>IFERROR(_xlfn.XLOOKUP(AG271,Target!$A:$A,Target!$B:$B),"None")</f>
        <v>None</v>
      </c>
      <c r="AU271" s="43" t="str">
        <f>IFERROR(_xlfn.XLOOKUP($AH271,'BuffValue&lt;Child&gt;'!$A:$A,'BuffValue&lt;Child&gt;'!$F:$F),"None")</f>
        <v>None</v>
      </c>
      <c r="AV271" s="43">
        <f>IFERROR(_xlfn.XLOOKUP($AH271,'BuffValue&lt;Child&gt;'!$A:$A,'BuffValue&lt;Child&gt;'!$K:$K),0)</f>
        <v>0</v>
      </c>
      <c r="AW271" s="43" t="str">
        <f>IFERROR(_xlfn.XLOOKUP(AL271,Target!$A:$A,Target!$B:$B),"None")</f>
        <v>None</v>
      </c>
      <c r="AX271" s="43" t="str">
        <f>IFERROR(_xlfn.XLOOKUP($AM271,'BuffValue&lt;Child&gt;'!$A:$A,'BuffValue&lt;Child&gt;'!$F:$F),"None")</f>
        <v>None</v>
      </c>
      <c r="AY271" s="43">
        <f>IFERROR(_xlfn.XLOOKUP($AM271,#REF!,#REF!),0)</f>
        <v>0</v>
      </c>
    </row>
    <row r="272" spans="1:51" x14ac:dyDescent="0.3">
      <c r="A272" s="1">
        <f>INT(3&amp;MID(_xlfn.XLOOKUP(B272,[2]Timeline!$B:$B,[2]Timeline!$A:$A),2,5)&amp;2)</f>
        <v>3305142</v>
      </c>
      <c r="B272" s="7" t="s">
        <v>643</v>
      </c>
      <c r="C272" s="7" t="s">
        <v>646</v>
      </c>
      <c r="D272" s="7" t="s">
        <v>516</v>
      </c>
      <c r="E272" s="1" t="str">
        <f t="shared" si="64"/>
        <v>skill_name_3305142</v>
      </c>
      <c r="F272" s="1" t="s">
        <v>117</v>
      </c>
      <c r="G272" s="1" t="s">
        <v>600</v>
      </c>
      <c r="H272" s="1" t="str">
        <f t="shared" si="34"/>
        <v>skill_desc_3305142</v>
      </c>
      <c r="I272" s="1" t="s">
        <v>205</v>
      </c>
      <c r="J272" s="1" t="str">
        <f>IFERROR(_xlfn.XLOOKUP(W272,Target!A:A,Target!J:J),"")</f>
        <v>Skill_Target_Icon_Enemy_Near_One</v>
      </c>
      <c r="K272" s="1" t="s">
        <v>205</v>
      </c>
      <c r="L272" s="1" t="str">
        <f>IFERROR(_xlfn.XLOOKUP(W272,Target!A:A,Target!K:K),"")</f>
        <v>Skill_Area_Icon_Pivot_Row</v>
      </c>
      <c r="M272" s="1" t="str">
        <f>_xlfn.XLOOKUP(B272,'[2]Detail&lt;Child&gt;'!$B:$B,'[2]Detail&lt;Child&gt;'!$M:$M)</f>
        <v>Dark</v>
      </c>
      <c r="N272" s="1" t="str">
        <f>_xlfn.XLOOKUP(B272,'[2]Detail&lt;Child&gt;'!$B:$B,'[2]Detail&lt;Child&gt;'!$N:$N)</f>
        <v>Attacker</v>
      </c>
      <c r="O272" s="1" t="s">
        <v>140</v>
      </c>
      <c r="P272" s="33">
        <v>0</v>
      </c>
      <c r="Q272" s="68" t="str" cm="1">
        <f t="array" ref="Q272">_xlfn.IFS(R272="Move","Move",R272="NonTargetMove","Move",R272="Static","Stand",R272="None","Stand")</f>
        <v>Move</v>
      </c>
      <c r="R272" s="1" t="s">
        <v>153</v>
      </c>
      <c r="S272" s="1">
        <v>2</v>
      </c>
      <c r="T272" s="2" t="str">
        <f t="shared" si="65"/>
        <v>SignalHit</v>
      </c>
      <c r="U272" s="2" t="str" cm="1">
        <f t="array" ref="U272">_xlfn.IFS(T272="SignalHIt","TurnEnd",T272="AttackBegin","TurnEnd",T272="AttackEnd","TurnEnd",T272="Immediately","Applied",T272="None","None")</f>
        <v>TurnEnd</v>
      </c>
      <c r="V272" s="2">
        <v>0</v>
      </c>
      <c r="W272" s="1">
        <v>2000014</v>
      </c>
      <c r="X272" s="8">
        <f t="shared" si="70"/>
        <v>33051421</v>
      </c>
      <c r="Y272" s="1" t="str">
        <f t="shared" si="66"/>
        <v>Immediately</v>
      </c>
      <c r="Z272" s="2" t="str" cm="1">
        <f t="array" ref="Z272">_xlfn.IFS(Y272="SignalHIt","TurnEnd",Y272="AttackBegin","TurnEnd",Y272="AttackEnd","TurnEnd",Y272="Immediately","Applied",Y272="None","None")</f>
        <v>Applied</v>
      </c>
      <c r="AA272" s="2">
        <v>0</v>
      </c>
      <c r="AB272" s="1">
        <v>0</v>
      </c>
      <c r="AC272" s="8">
        <v>0</v>
      </c>
      <c r="AD272" s="2" t="str">
        <f t="shared" si="67"/>
        <v>Immediately</v>
      </c>
      <c r="AE272" s="2" t="str" cm="1">
        <f t="array" ref="AE272">_xlfn.IFS(AD272="SignalHIt","TurnEnd",AD272="AttackBegin","TurnEnd",AD272="AttackEnd","TurnEnd",AD272="Immediately","Applied",AD272="None","None")</f>
        <v>Applied</v>
      </c>
      <c r="AF272" s="2">
        <v>0</v>
      </c>
      <c r="AG272" s="1">
        <v>0</v>
      </c>
      <c r="AH272" s="8">
        <v>0</v>
      </c>
      <c r="AI272" s="2" t="str">
        <f t="shared" si="68"/>
        <v>Immediately</v>
      </c>
      <c r="AJ272" s="2" t="str" cm="1">
        <f t="array" ref="AJ272">_xlfn.IFS(AI272="SignalHIt","TurnEnd",AI272="AttackBegin","TurnEnd",AI272="AttackEnd","TurnEnd",AI272="Immediately","Applied",AI272="None","None")</f>
        <v>Applied</v>
      </c>
      <c r="AK272" s="2">
        <v>0</v>
      </c>
      <c r="AL272" s="1">
        <v>0</v>
      </c>
      <c r="AM272" s="48">
        <v>0</v>
      </c>
      <c r="AN272" s="45" t="str">
        <f>IFERROR(_xlfn.XLOOKUP(W272,Target!$A:$A,Target!$B:$B),"None")</f>
        <v>가까운 적 1명 2행</v>
      </c>
      <c r="AO272" s="43" t="str">
        <f>IFERROR(_xlfn.XLOOKUP($X272,'BuffValue&lt;Child&gt;'!$A:$A,'BuffValue&lt;Child&gt;'!$F:$F),"None")</f>
        <v>얼티밋 대미지</v>
      </c>
      <c r="AP272" s="43">
        <f>IFERROR(_xlfn.XLOOKUP($X272,'BuffValue&lt;Child&gt;'!$A:$A,'BuffValue&lt;Child&gt;'!$K:$K),0)</f>
        <v>320000</v>
      </c>
      <c r="AQ272" s="43" t="str">
        <f>IFERROR(_xlfn.XLOOKUP(AB272,Target!$A:$A,Target!$B:$B),"None")</f>
        <v>None</v>
      </c>
      <c r="AR272" s="45" t="str">
        <f>IFERROR(_xlfn.XLOOKUP($AC272,'BuffValue&lt;Child&gt;'!$A:$A,'BuffValue&lt;Child&gt;'!$F:$F),"None")</f>
        <v>None</v>
      </c>
      <c r="AS272" s="45">
        <f>IFERROR(_xlfn.XLOOKUP($AC272,'BuffValue&lt;Child&gt;'!$A:$A,'BuffValue&lt;Child&gt;'!$K:$K),0)</f>
        <v>0</v>
      </c>
      <c r="AT272" s="43" t="str">
        <f>IFERROR(_xlfn.XLOOKUP(AG272,Target!$A:$A,Target!$B:$B),"None")</f>
        <v>None</v>
      </c>
      <c r="AU272" s="43" t="str">
        <f>IFERROR(_xlfn.XLOOKUP($AH272,'BuffValue&lt;Child&gt;'!$A:$A,'BuffValue&lt;Child&gt;'!$F:$F),"None")</f>
        <v>None</v>
      </c>
      <c r="AV272" s="43">
        <f>IFERROR(_xlfn.XLOOKUP($AH272,'BuffValue&lt;Child&gt;'!$A:$A,'BuffValue&lt;Child&gt;'!$K:$K),0)</f>
        <v>0</v>
      </c>
      <c r="AW272" s="43" t="str">
        <f>IFERROR(_xlfn.XLOOKUP(AL272,Target!$A:$A,Target!$B:$B),"None")</f>
        <v>None</v>
      </c>
      <c r="AX272" s="43" t="str">
        <f>IFERROR(_xlfn.XLOOKUP($AM272,'BuffValue&lt;Child&gt;'!$A:$A,'BuffValue&lt;Child&gt;'!$F:$F),"None")</f>
        <v>None</v>
      </c>
      <c r="AY272" s="43">
        <f>IFERROR(_xlfn.XLOOKUP($AM272,#REF!,#REF!),0)</f>
        <v>0</v>
      </c>
    </row>
    <row r="273" spans="1:51" x14ac:dyDescent="0.3">
      <c r="A273" s="1">
        <f>INT(3&amp;MID(_xlfn.XLOOKUP(B273,[2]Timeline!$B:$B,[2]Timeline!$A:$A),2,5)&amp;3)</f>
        <v>3305143</v>
      </c>
      <c r="B273" s="7" t="s">
        <v>643</v>
      </c>
      <c r="C273" s="7" t="s">
        <v>646</v>
      </c>
      <c r="D273" s="7" t="s">
        <v>516</v>
      </c>
      <c r="E273" s="1" t="str">
        <f t="shared" si="64"/>
        <v>skill_name_3305143</v>
      </c>
      <c r="F273" s="1" t="s">
        <v>117</v>
      </c>
      <c r="G273" s="1" t="s">
        <v>600</v>
      </c>
      <c r="H273" s="1" t="str">
        <f t="shared" si="34"/>
        <v>skill_desc_3305143</v>
      </c>
      <c r="I273" s="1" t="s">
        <v>205</v>
      </c>
      <c r="J273" s="1" t="str">
        <f>IFERROR(_xlfn.XLOOKUP(W273,Target!A:A,Target!J:J),"")</f>
        <v>Skill_Target_Icon_Enemy_Near_One</v>
      </c>
      <c r="K273" s="1" t="s">
        <v>205</v>
      </c>
      <c r="L273" s="1" t="str">
        <f>IFERROR(_xlfn.XLOOKUP(W273,Target!A:A,Target!K:K),"")</f>
        <v>Skill_Area_Icon_Pivot_Row</v>
      </c>
      <c r="M273" s="1" t="str">
        <f>_xlfn.XLOOKUP(B273,'[2]Detail&lt;Child&gt;'!$B:$B,'[2]Detail&lt;Child&gt;'!$M:$M)</f>
        <v>Dark</v>
      </c>
      <c r="N273" s="1" t="str">
        <f>_xlfn.XLOOKUP(B273,'[2]Detail&lt;Child&gt;'!$B:$B,'[2]Detail&lt;Child&gt;'!$N:$N)</f>
        <v>Attacker</v>
      </c>
      <c r="O273" s="1" t="s">
        <v>140</v>
      </c>
      <c r="P273" s="33">
        <v>0</v>
      </c>
      <c r="Q273" s="68" t="str" cm="1">
        <f t="array" ref="Q273">_xlfn.IFS(R273="Move","Move",R273="NonTargetMove","Move",R273="Static","Stand",R273="None","Stand")</f>
        <v>Move</v>
      </c>
      <c r="R273" s="1" t="s">
        <v>153</v>
      </c>
      <c r="S273" s="1">
        <v>2</v>
      </c>
      <c r="T273" s="2" t="str">
        <f t="shared" si="65"/>
        <v>SignalHit</v>
      </c>
      <c r="U273" s="2" t="str" cm="1">
        <f t="array" ref="U273">_xlfn.IFS(T273="SignalHIt","TurnEnd",T273="AttackBegin","TurnEnd",T273="AttackEnd","TurnEnd",T273="Immediately","Applied",T273="None","None")</f>
        <v>TurnEnd</v>
      </c>
      <c r="V273" s="2">
        <v>0</v>
      </c>
      <c r="W273" s="1">
        <v>2000014</v>
      </c>
      <c r="X273" s="8">
        <f t="shared" si="70"/>
        <v>33051431</v>
      </c>
      <c r="Y273" s="1" t="str">
        <f t="shared" si="66"/>
        <v>Immediately</v>
      </c>
      <c r="Z273" s="2" t="str" cm="1">
        <f t="array" ref="Z273">_xlfn.IFS(Y273="SignalHIt","TurnEnd",Y273="AttackBegin","TurnEnd",Y273="AttackEnd","TurnEnd",Y273="Immediately","Applied",Y273="None","None")</f>
        <v>Applied</v>
      </c>
      <c r="AA273" s="2">
        <v>0</v>
      </c>
      <c r="AB273" s="1">
        <v>0</v>
      </c>
      <c r="AC273" s="8">
        <v>0</v>
      </c>
      <c r="AD273" s="2" t="str">
        <f t="shared" si="67"/>
        <v>Immediately</v>
      </c>
      <c r="AE273" s="2" t="str" cm="1">
        <f t="array" ref="AE273">_xlfn.IFS(AD273="SignalHIt","TurnEnd",AD273="AttackBegin","TurnEnd",AD273="AttackEnd","TurnEnd",AD273="Immediately","Applied",AD273="None","None")</f>
        <v>Applied</v>
      </c>
      <c r="AF273" s="2">
        <v>0</v>
      </c>
      <c r="AG273" s="1">
        <v>0</v>
      </c>
      <c r="AH273" s="8">
        <v>0</v>
      </c>
      <c r="AI273" s="2" t="str">
        <f t="shared" si="68"/>
        <v>Immediately</v>
      </c>
      <c r="AJ273" s="2" t="str" cm="1">
        <f t="array" ref="AJ273">_xlfn.IFS(AI273="SignalHIt","TurnEnd",AI273="AttackBegin","TurnEnd",AI273="AttackEnd","TurnEnd",AI273="Immediately","Applied",AI273="None","None")</f>
        <v>Applied</v>
      </c>
      <c r="AK273" s="2">
        <v>0</v>
      </c>
      <c r="AL273" s="1">
        <v>0</v>
      </c>
      <c r="AM273" s="48">
        <v>0</v>
      </c>
      <c r="AN273" s="45" t="str">
        <f>IFERROR(_xlfn.XLOOKUP(W273,Target!$A:$A,Target!$B:$B),"None")</f>
        <v>가까운 적 1명 2행</v>
      </c>
      <c r="AO273" s="43" t="str">
        <f>IFERROR(_xlfn.XLOOKUP($X273,'BuffValue&lt;Child&gt;'!$A:$A,'BuffValue&lt;Child&gt;'!$F:$F),"None")</f>
        <v>얼티밋 대미지</v>
      </c>
      <c r="AP273" s="43">
        <f>IFERROR(_xlfn.XLOOKUP($X273,'BuffValue&lt;Child&gt;'!$A:$A,'BuffValue&lt;Child&gt;'!$K:$K),0)</f>
        <v>320000</v>
      </c>
      <c r="AQ273" s="43" t="str">
        <f>IFERROR(_xlfn.XLOOKUP(AB273,Target!$A:$A,Target!$B:$B),"None")</f>
        <v>None</v>
      </c>
      <c r="AR273" s="45" t="str">
        <f>IFERROR(_xlfn.XLOOKUP($AC273,'BuffValue&lt;Child&gt;'!$A:$A,'BuffValue&lt;Child&gt;'!$F:$F),"None")</f>
        <v>None</v>
      </c>
      <c r="AS273" s="45">
        <f>IFERROR(_xlfn.XLOOKUP($AC273,'BuffValue&lt;Child&gt;'!$A:$A,'BuffValue&lt;Child&gt;'!$K:$K),0)</f>
        <v>0</v>
      </c>
      <c r="AT273" s="43" t="str">
        <f>IFERROR(_xlfn.XLOOKUP(AG273,Target!$A:$A,Target!$B:$B),"None")</f>
        <v>None</v>
      </c>
      <c r="AU273" s="43" t="str">
        <f>IFERROR(_xlfn.XLOOKUP($AH273,'BuffValue&lt;Child&gt;'!$A:$A,'BuffValue&lt;Child&gt;'!$F:$F),"None")</f>
        <v>None</v>
      </c>
      <c r="AV273" s="43">
        <f>IFERROR(_xlfn.XLOOKUP($AH273,'BuffValue&lt;Child&gt;'!$A:$A,'BuffValue&lt;Child&gt;'!$K:$K),0)</f>
        <v>0</v>
      </c>
      <c r="AW273" s="43" t="str">
        <f>IFERROR(_xlfn.XLOOKUP(AL273,Target!$A:$A,Target!$B:$B),"None")</f>
        <v>None</v>
      </c>
      <c r="AX273" s="43" t="str">
        <f>IFERROR(_xlfn.XLOOKUP($AM273,'BuffValue&lt;Child&gt;'!$A:$A,'BuffValue&lt;Child&gt;'!$F:$F),"None")</f>
        <v>None</v>
      </c>
      <c r="AY273" s="43">
        <f>IFERROR(_xlfn.XLOOKUP($AM273,#REF!,#REF!),0)</f>
        <v>0</v>
      </c>
    </row>
    <row r="274" spans="1:51" x14ac:dyDescent="0.3">
      <c r="A274" s="1">
        <f>INT(4&amp;MID(_xlfn.XLOOKUP(B274,[2]Timeline!$B:$B,[2]Timeline!$A:$A),2,5)&amp;1)</f>
        <v>4305141</v>
      </c>
      <c r="B274" s="7" t="s">
        <v>643</v>
      </c>
      <c r="C274" s="7" t="s">
        <v>122</v>
      </c>
      <c r="D274" s="7" t="s">
        <v>347</v>
      </c>
      <c r="E274" s="1" t="str">
        <f t="shared" si="64"/>
        <v>skill_name_4305141</v>
      </c>
      <c r="F274" s="1" t="s">
        <v>117</v>
      </c>
      <c r="G274" s="1" t="s">
        <v>601</v>
      </c>
      <c r="H274" s="1" t="str">
        <f t="shared" si="34"/>
        <v>skill_desc_4305141</v>
      </c>
      <c r="I274" s="1" t="s">
        <v>205</v>
      </c>
      <c r="J274" s="1" t="str">
        <f>IFERROR(_xlfn.XLOOKUP(W274,Target!A:A,Target!J:J),"")</f>
        <v>Skill_Target_Icon_Mine</v>
      </c>
      <c r="K274" s="1" t="s">
        <v>205</v>
      </c>
      <c r="L274" s="1" t="str">
        <f>IFERROR(_xlfn.XLOOKUP(W274,Target!A:A,Target!K:K),"")</f>
        <v>Skill_Area_Icon_Pivot_Centor</v>
      </c>
      <c r="M274" s="1" t="str">
        <f>_xlfn.XLOOKUP(B274,'[2]Detail&lt;Child&gt;'!$B:$B,'[2]Detail&lt;Child&gt;'!$M:$M)</f>
        <v>Dark</v>
      </c>
      <c r="N274" s="1" t="str">
        <f>_xlfn.XLOOKUP(B274,'[2]Detail&lt;Child&gt;'!$B:$B,'[2]Detail&lt;Child&gt;'!$N:$N)</f>
        <v>Attacker</v>
      </c>
      <c r="O274" s="1" t="s">
        <v>167</v>
      </c>
      <c r="P274" s="33">
        <v>0</v>
      </c>
      <c r="Q274" s="68" t="str" cm="1">
        <f t="array" ref="Q274">_xlfn.IFS(R274="Move","Move",R274="NonTargetMove","Move",R274="Static","Stand",R274="None","Stand")</f>
        <v>Stand</v>
      </c>
      <c r="R274" s="1" t="s">
        <v>136</v>
      </c>
      <c r="S274" s="1">
        <f>IF(R274="Static",0,1)</f>
        <v>0</v>
      </c>
      <c r="T274" s="2" t="str">
        <f t="shared" si="65"/>
        <v>Immediately</v>
      </c>
      <c r="U274" s="2" t="str" cm="1">
        <f t="array" ref="U274">_xlfn.IFS(T274="SignalHIt","TurnEnd",T274="AttackBegin","TurnEnd",T274="AttackEnd","TurnEnd",T274="Immediately","Applied",T274="None","None")</f>
        <v>Applied</v>
      </c>
      <c r="V274" s="2">
        <v>0</v>
      </c>
      <c r="W274" s="1">
        <v>1</v>
      </c>
      <c r="X274" s="8">
        <f t="shared" si="70"/>
        <v>43051411</v>
      </c>
      <c r="Y274" s="1" t="str">
        <f t="shared" si="66"/>
        <v>Immediately</v>
      </c>
      <c r="Z274" s="2" t="str" cm="1">
        <f t="array" ref="Z274">_xlfn.IFS(Y274="SignalHIt","TurnEnd",Y274="AttackBegin","TurnEnd",Y274="AttackEnd","TurnEnd",Y274="Immediately","Applied",Y274="None","None")</f>
        <v>Applied</v>
      </c>
      <c r="AA274" s="2">
        <v>0</v>
      </c>
      <c r="AB274" s="1">
        <v>0</v>
      </c>
      <c r="AC274" s="8">
        <v>0</v>
      </c>
      <c r="AD274" s="2" t="str">
        <f t="shared" si="67"/>
        <v>Immediately</v>
      </c>
      <c r="AE274" s="2" t="str" cm="1">
        <f t="array" ref="AE274">_xlfn.IFS(AD274="SignalHIt","TurnEnd",AD274="AttackBegin","TurnEnd",AD274="AttackEnd","TurnEnd",AD274="Immediately","Applied",AD274="None","None")</f>
        <v>Applied</v>
      </c>
      <c r="AF274" s="2">
        <v>0</v>
      </c>
      <c r="AG274" s="1">
        <v>0</v>
      </c>
      <c r="AH274" s="8">
        <v>0</v>
      </c>
      <c r="AI274" s="2" t="str">
        <f t="shared" si="68"/>
        <v>Immediately</v>
      </c>
      <c r="AJ274" s="2" t="str" cm="1">
        <f t="array" ref="AJ274">_xlfn.IFS(AI274="SignalHIt","TurnEnd",AI274="AttackBegin","TurnEnd",AI274="AttackEnd","TurnEnd",AI274="Immediately","Applied",AI274="None","None")</f>
        <v>Applied</v>
      </c>
      <c r="AK274" s="2">
        <v>0</v>
      </c>
      <c r="AL274" s="8">
        <v>0</v>
      </c>
      <c r="AM274" s="48">
        <v>0</v>
      </c>
      <c r="AN274" s="45" t="str">
        <f>IFERROR(_xlfn.XLOOKUP(W274,Target!$A:$A,Target!$B:$B),"None")</f>
        <v xml:space="preserve"> 자신 1명 </v>
      </c>
      <c r="AO274" s="43" t="str">
        <f>IFERROR(_xlfn.XLOOKUP($X274,'BuffValue&lt;Child&gt;'!$A:$A,'BuffValue&lt;Child&gt;'!$F:$F),"None")</f>
        <v>힐드 패시브 버프당 치명타 확률 증가</v>
      </c>
      <c r="AP274" s="43">
        <f>IFERROR(_xlfn.XLOOKUP($X274,'BuffValue&lt;Child&gt;'!$A:$A,'BuffValue&lt;Child&gt;'!$K:$K),0)</f>
        <v>5000</v>
      </c>
      <c r="AQ274" s="43" t="str">
        <f>IFERROR(_xlfn.XLOOKUP(AB274,Target!$A:$A,Target!$B:$B),"None")</f>
        <v>None</v>
      </c>
      <c r="AR274" s="45" t="str">
        <f>IFERROR(_xlfn.XLOOKUP($AC274,'BuffValue&lt;Child&gt;'!$A:$A,'BuffValue&lt;Child&gt;'!$F:$F),"None")</f>
        <v>None</v>
      </c>
      <c r="AS274" s="45">
        <f>IFERROR(_xlfn.XLOOKUP($AC274,'BuffValue&lt;Child&gt;'!$A:$A,'BuffValue&lt;Child&gt;'!$K:$K),0)</f>
        <v>0</v>
      </c>
      <c r="AT274" s="43" t="str">
        <f>IFERROR(_xlfn.XLOOKUP(AG274,Target!$A:$A,Target!$B:$B),"None")</f>
        <v>None</v>
      </c>
      <c r="AU274" s="43" t="str">
        <f>IFERROR(_xlfn.XLOOKUP($AH274,'BuffValue&lt;Child&gt;'!$A:$A,'BuffValue&lt;Child&gt;'!$F:$F),"None")</f>
        <v>None</v>
      </c>
      <c r="AV274" s="43">
        <f>IFERROR(_xlfn.XLOOKUP($AH274,'BuffValue&lt;Child&gt;'!$A:$A,'BuffValue&lt;Child&gt;'!$K:$K),0)</f>
        <v>0</v>
      </c>
      <c r="AW274" s="43" t="str">
        <f>IFERROR(_xlfn.XLOOKUP(AL274,Target!$A:$A,Target!$B:$B),"None")</f>
        <v>None</v>
      </c>
      <c r="AX274" s="43" t="str">
        <f>IFERROR(_xlfn.XLOOKUP($AM274,'BuffValue&lt;Child&gt;'!$A:$A,'BuffValue&lt;Child&gt;'!$F:$F),"None")</f>
        <v>None</v>
      </c>
      <c r="AY274" s="43">
        <f>IFERROR(_xlfn.XLOOKUP($AM274,#REF!,#REF!),0)</f>
        <v>0</v>
      </c>
    </row>
    <row r="275" spans="1:51" x14ac:dyDescent="0.3">
      <c r="A275" s="1">
        <f>INT(4&amp;MID(_xlfn.XLOOKUP(B275,[2]Timeline!$B:$B,[2]Timeline!$A:$A),2,5)&amp;2)</f>
        <v>4305142</v>
      </c>
      <c r="B275" s="7" t="s">
        <v>643</v>
      </c>
      <c r="C275" s="7" t="s">
        <v>123</v>
      </c>
      <c r="D275" s="7" t="s">
        <v>347</v>
      </c>
      <c r="E275" s="1" t="str">
        <f t="shared" si="64"/>
        <v>skill_name_4305142</v>
      </c>
      <c r="F275" s="1" t="s">
        <v>117</v>
      </c>
      <c r="G275" s="1" t="s">
        <v>601</v>
      </c>
      <c r="H275" s="1" t="str">
        <f t="shared" si="34"/>
        <v>skill_desc_4305142</v>
      </c>
      <c r="I275" s="1" t="s">
        <v>205</v>
      </c>
      <c r="J275" s="1" t="str">
        <f>IFERROR(_xlfn.XLOOKUP(W275,Target!A:A,Target!J:J),"")</f>
        <v>Skill_Target_Icon_Mine</v>
      </c>
      <c r="K275" s="1" t="s">
        <v>205</v>
      </c>
      <c r="L275" s="1" t="str">
        <f>IFERROR(_xlfn.XLOOKUP(W275,Target!A:A,Target!K:K),"")</f>
        <v>Skill_Area_Icon_Pivot_Centor</v>
      </c>
      <c r="M275" s="1" t="str">
        <f>_xlfn.XLOOKUP(B275,'[2]Detail&lt;Child&gt;'!$B:$B,'[2]Detail&lt;Child&gt;'!$M:$M)</f>
        <v>Dark</v>
      </c>
      <c r="N275" s="1" t="str">
        <f>_xlfn.XLOOKUP(B275,'[2]Detail&lt;Child&gt;'!$B:$B,'[2]Detail&lt;Child&gt;'!$N:$N)</f>
        <v>Attacker</v>
      </c>
      <c r="O275" s="1" t="s">
        <v>167</v>
      </c>
      <c r="P275" s="33">
        <v>0</v>
      </c>
      <c r="Q275" s="68" t="str" cm="1">
        <f t="array" ref="Q275">_xlfn.IFS(R275="Move","Move",R275="NonTargetMove","Move",R275="Static","Stand",R275="None","Stand")</f>
        <v>Stand</v>
      </c>
      <c r="R275" s="1" t="s">
        <v>136</v>
      </c>
      <c r="S275" s="1">
        <f>IF(R275="Static",0,1)</f>
        <v>0</v>
      </c>
      <c r="T275" s="2" t="str">
        <f t="shared" si="65"/>
        <v>Immediately</v>
      </c>
      <c r="U275" s="2" t="str" cm="1">
        <f t="array" ref="U275">_xlfn.IFS(T275="SignalHIt","TurnEnd",T275="AttackBegin","TurnEnd",T275="AttackEnd","TurnEnd",T275="Immediately","Applied",T275="None","None")</f>
        <v>Applied</v>
      </c>
      <c r="V275" s="2">
        <v>0</v>
      </c>
      <c r="W275" s="1">
        <v>1</v>
      </c>
      <c r="X275" s="8">
        <f t="shared" si="70"/>
        <v>43051421</v>
      </c>
      <c r="Y275" s="1" t="str">
        <f t="shared" si="66"/>
        <v>Immediately</v>
      </c>
      <c r="Z275" s="2" t="str" cm="1">
        <f t="array" ref="Z275">_xlfn.IFS(Y275="SignalHIt","TurnEnd",Y275="AttackBegin","TurnEnd",Y275="AttackEnd","TurnEnd",Y275="Immediately","Applied",Y275="None","None")</f>
        <v>Applied</v>
      </c>
      <c r="AA275" s="2">
        <v>0</v>
      </c>
      <c r="AB275" s="1">
        <v>0</v>
      </c>
      <c r="AC275" s="8">
        <v>0</v>
      </c>
      <c r="AD275" s="2" t="str">
        <f t="shared" si="67"/>
        <v>Immediately</v>
      </c>
      <c r="AE275" s="2" t="str" cm="1">
        <f t="array" ref="AE275">_xlfn.IFS(AD275="SignalHIt","TurnEnd",AD275="AttackBegin","TurnEnd",AD275="AttackEnd","TurnEnd",AD275="Immediately","Applied",AD275="None","None")</f>
        <v>Applied</v>
      </c>
      <c r="AF275" s="2">
        <v>0</v>
      </c>
      <c r="AG275" s="1">
        <v>0</v>
      </c>
      <c r="AH275" s="8">
        <v>0</v>
      </c>
      <c r="AI275" s="2" t="str">
        <f t="shared" si="68"/>
        <v>Immediately</v>
      </c>
      <c r="AJ275" s="2" t="str" cm="1">
        <f t="array" ref="AJ275">_xlfn.IFS(AI275="SignalHIt","TurnEnd",AI275="AttackBegin","TurnEnd",AI275="AttackEnd","TurnEnd",AI275="Immediately","Applied",AI275="None","None")</f>
        <v>Applied</v>
      </c>
      <c r="AK275" s="2">
        <v>0</v>
      </c>
      <c r="AL275" s="8">
        <v>0</v>
      </c>
      <c r="AM275" s="48">
        <v>0</v>
      </c>
      <c r="AN275" s="45" t="str">
        <f>IFERROR(_xlfn.XLOOKUP(W275,Target!$A:$A,Target!$B:$B),"None")</f>
        <v xml:space="preserve"> 자신 1명 </v>
      </c>
      <c r="AO275" s="43" t="str">
        <f>IFERROR(_xlfn.XLOOKUP($X275,'BuffValue&lt;Child&gt;'!$A:$A,'BuffValue&lt;Child&gt;'!$F:$F),"None")</f>
        <v>힐드 패시브 버프당 치명타 확률 증가</v>
      </c>
      <c r="AP275" s="43">
        <f>IFERROR(_xlfn.XLOOKUP($X275,'BuffValue&lt;Child&gt;'!$A:$A,'BuffValue&lt;Child&gt;'!$K:$K),0)</f>
        <v>5000</v>
      </c>
      <c r="AQ275" s="43" t="str">
        <f>IFERROR(_xlfn.XLOOKUP(AB275,Target!$A:$A,Target!$B:$B),"None")</f>
        <v>None</v>
      </c>
      <c r="AR275" s="45" t="str">
        <f>IFERROR(_xlfn.XLOOKUP($AC275,'BuffValue&lt;Child&gt;'!$A:$A,'BuffValue&lt;Child&gt;'!$F:$F),"None")</f>
        <v>None</v>
      </c>
      <c r="AS275" s="45">
        <f>IFERROR(_xlfn.XLOOKUP($AC275,'BuffValue&lt;Child&gt;'!$A:$A,'BuffValue&lt;Child&gt;'!$K:$K),0)</f>
        <v>0</v>
      </c>
      <c r="AT275" s="43" t="str">
        <f>IFERROR(_xlfn.XLOOKUP(AG275,Target!$A:$A,Target!$B:$B),"None")</f>
        <v>None</v>
      </c>
      <c r="AU275" s="43" t="str">
        <f>IFERROR(_xlfn.XLOOKUP($AH275,'BuffValue&lt;Child&gt;'!$A:$A,'BuffValue&lt;Child&gt;'!$F:$F),"None")</f>
        <v>None</v>
      </c>
      <c r="AV275" s="43">
        <f>IFERROR(_xlfn.XLOOKUP($AH275,'BuffValue&lt;Child&gt;'!$A:$A,'BuffValue&lt;Child&gt;'!$K:$K),0)</f>
        <v>0</v>
      </c>
      <c r="AW275" s="43" t="str">
        <f>IFERROR(_xlfn.XLOOKUP(AL275,Target!$A:$A,Target!$B:$B),"None")</f>
        <v>None</v>
      </c>
      <c r="AX275" s="43" t="str">
        <f>IFERROR(_xlfn.XLOOKUP($AM275,'BuffValue&lt;Child&gt;'!$A:$A,'BuffValue&lt;Child&gt;'!$F:$F),"None")</f>
        <v>None</v>
      </c>
      <c r="AY275" s="43">
        <f>IFERROR(_xlfn.XLOOKUP($AM275,#REF!,#REF!),0)</f>
        <v>0</v>
      </c>
    </row>
    <row r="276" spans="1:51" s="11" customFormat="1" x14ac:dyDescent="0.3">
      <c r="A276" s="11">
        <f>INT(1&amp;MID(_xlfn.XLOOKUP(B276,[2]Timeline!$B:$B,[2]Timeline!$A:$A),2,5)&amp;1)</f>
        <v>1304291</v>
      </c>
      <c r="B276" s="12" t="s">
        <v>650</v>
      </c>
      <c r="C276" s="12" t="s">
        <v>644</v>
      </c>
      <c r="D276" s="12" t="s">
        <v>544</v>
      </c>
      <c r="E276" s="11" t="str">
        <f t="shared" ref="E276:E283" si="71">"skill_name_"&amp;A276</f>
        <v>skill_name_1304291</v>
      </c>
      <c r="F276" s="11" t="s">
        <v>117</v>
      </c>
      <c r="G276" s="11" t="s">
        <v>598</v>
      </c>
      <c r="H276" s="11" t="str">
        <f t="shared" si="34"/>
        <v>skill_desc_1304291</v>
      </c>
      <c r="I276" s="11" t="s">
        <v>205</v>
      </c>
      <c r="J276" s="11" t="str">
        <f>IFERROR(_xlfn.XLOOKUP(W276,Target!A:A,Target!J:J),"")</f>
        <v>Skill_Target_Icon_Enemy_Near_One</v>
      </c>
      <c r="K276" s="11" t="s">
        <v>205</v>
      </c>
      <c r="L276" s="11" t="str">
        <f>IFERROR(_xlfn.XLOOKUP(W276,Target!A:A,Target!K:K),"")</f>
        <v>Skill_Area_Icon_Pivot_Centor</v>
      </c>
      <c r="M276" s="11" t="str">
        <f>_xlfn.XLOOKUP(B276,'[2]Detail&lt;Child&gt;'!$B:$B,'[2]Detail&lt;Child&gt;'!$M:$M)</f>
        <v>Fire</v>
      </c>
      <c r="N276" s="11" t="str">
        <f>_xlfn.XLOOKUP(B276,'[2]Detail&lt;Child&gt;'!$B:$B,'[2]Detail&lt;Child&gt;'!$N:$N)</f>
        <v>Supporter</v>
      </c>
      <c r="O276" s="11" t="s">
        <v>30</v>
      </c>
      <c r="P276" s="34">
        <v>0</v>
      </c>
      <c r="Q276" s="69" t="s">
        <v>499</v>
      </c>
      <c r="R276" s="11" t="s">
        <v>137</v>
      </c>
      <c r="S276" s="11">
        <v>2</v>
      </c>
      <c r="T276" s="15" t="str">
        <f t="shared" ref="T276:T283" si="72">IF(X276=0,"Immediately",IF($O276="Passive","Immediately",IF(W276=0,"None","SignalHit")))</f>
        <v>SignalHit</v>
      </c>
      <c r="U276" s="15" t="str" cm="1">
        <f t="array" ref="U276">_xlfn.IFS(T276="SignalHIt","TurnEnd",T276="AttackBegin","TurnEnd",T276="AttackEnd","TurnEnd",T276="Immediately","Applied",T276="None","None")</f>
        <v>TurnEnd</v>
      </c>
      <c r="V276" s="15">
        <v>0</v>
      </c>
      <c r="W276" s="11">
        <v>2000011</v>
      </c>
      <c r="X276" s="10">
        <f>INT(A276&amp;1)</f>
        <v>13042911</v>
      </c>
      <c r="Y276" s="11" t="str">
        <f t="shared" ref="Y276:Y283" si="73">IF($O276="Passive","Immediately",IF(AB276=0,"Immediately","AttackBegin"))</f>
        <v>Immediately</v>
      </c>
      <c r="Z276" s="15" t="str" cm="1">
        <f t="array" ref="Z276">_xlfn.IFS(Y276="SignalHIt","TurnEnd",Y276="AttackBegin","TurnEnd",Y276="AttackEnd","TurnEnd",Y276="Immediately","Applied",Y276="None","None")</f>
        <v>Applied</v>
      </c>
      <c r="AA276" s="15">
        <v>0</v>
      </c>
      <c r="AB276" s="11">
        <v>0</v>
      </c>
      <c r="AC276" s="10">
        <v>0</v>
      </c>
      <c r="AD276" s="15" t="str">
        <f t="shared" ref="AD276:AD283" si="74">IF($O276="Passive","Immediately",IF(AG276=0,"Immediately","AttackEnd"))</f>
        <v>Immediately</v>
      </c>
      <c r="AE276" s="15" t="str" cm="1">
        <f t="array" ref="AE276">_xlfn.IFS(AD276="SignalHIt","TurnEnd",AD276="AttackBegin","TurnEnd",AD276="AttackEnd","TurnEnd",AD276="Immediately","Applied",AD276="None","None")</f>
        <v>Applied</v>
      </c>
      <c r="AF276" s="15">
        <v>0</v>
      </c>
      <c r="AG276" s="11">
        <v>0</v>
      </c>
      <c r="AH276" s="10">
        <v>0</v>
      </c>
      <c r="AI276" s="15" t="str">
        <f t="shared" ref="AI276:AI283" si="75">IF($O276="Passive","Immediately",IF(AL276=0,"Immediately","AttackEnd"))</f>
        <v>Immediately</v>
      </c>
      <c r="AJ276" s="15" t="str" cm="1">
        <f t="array" ref="AJ276">_xlfn.IFS(AI276="SignalHIt","TurnEnd",AI276="AttackBegin","TurnEnd",AI276="AttackEnd","TurnEnd",AI276="Immediately","Applied",AI276="None","None")</f>
        <v>Applied</v>
      </c>
      <c r="AK276" s="15">
        <v>0</v>
      </c>
      <c r="AL276" s="10">
        <v>0</v>
      </c>
      <c r="AM276" s="50">
        <v>0</v>
      </c>
      <c r="AN276" s="46" t="str">
        <f>IFERROR(_xlfn.XLOOKUP(W276,Target!$A:$A,Target!$B:$B),"None")</f>
        <v xml:space="preserve">가까운 적 1명 </v>
      </c>
      <c r="AO276" s="47" t="str">
        <f>IFERROR(_xlfn.XLOOKUP($X276,'BuffValue&lt;Child&gt;'!$A:$A,'BuffValue&lt;Child&gt;'!$F:$F),"None")</f>
        <v>공용 대미지</v>
      </c>
      <c r="AP276" s="47">
        <f>IFERROR(_xlfn.XLOOKUP($X276,'BuffValue&lt;Child&gt;'!$A:$A,'BuffValue&lt;Child&gt;'!$K:$K),0)</f>
        <v>150000</v>
      </c>
      <c r="AQ276" s="47" t="str">
        <f>IFERROR(_xlfn.XLOOKUP(AB276,Target!$A:$A,Target!$B:$B),"None")</f>
        <v>None</v>
      </c>
      <c r="AR276" s="46" t="str">
        <f>IFERROR(_xlfn.XLOOKUP($AC276,'BuffValue&lt;Child&gt;'!$A:$A,'BuffValue&lt;Child&gt;'!$F:$F),"None")</f>
        <v>None</v>
      </c>
      <c r="AS276" s="46">
        <f>IFERROR(_xlfn.XLOOKUP($AC276,'BuffValue&lt;Child&gt;'!$A:$A,'BuffValue&lt;Child&gt;'!$K:$K),0)</f>
        <v>0</v>
      </c>
      <c r="AT276" s="47" t="str">
        <f>IFERROR(_xlfn.XLOOKUP(AG276,Target!$A:$A,Target!$B:$B),"None")</f>
        <v>None</v>
      </c>
      <c r="AU276" s="47" t="str">
        <f>IFERROR(_xlfn.XLOOKUP($AH276,'BuffValue&lt;Child&gt;'!$A:$A,'BuffValue&lt;Child&gt;'!$F:$F),"None")</f>
        <v>None</v>
      </c>
      <c r="AV276" s="47">
        <f>IFERROR(_xlfn.XLOOKUP($AH276,'BuffValue&lt;Child&gt;'!$A:$A,'BuffValue&lt;Child&gt;'!$K:$K),0)</f>
        <v>0</v>
      </c>
      <c r="AW276" s="47" t="str">
        <f>IFERROR(_xlfn.XLOOKUP(AL276,Target!$A:$A,Target!$B:$B),"None")</f>
        <v>None</v>
      </c>
      <c r="AX276" s="47" t="str">
        <f>IFERROR(_xlfn.XLOOKUP($AM276,'BuffValue&lt;Child&gt;'!$A:$A,'BuffValue&lt;Child&gt;'!$F:$F),"None")</f>
        <v>None</v>
      </c>
      <c r="AY276" s="47">
        <f>IFERROR(_xlfn.XLOOKUP($AM276,#REF!,#REF!),0)</f>
        <v>0</v>
      </c>
    </row>
    <row r="277" spans="1:51" x14ac:dyDescent="0.3">
      <c r="A277" s="1">
        <f>INT(2&amp;MID(_xlfn.XLOOKUP(B277,[2]Timeline!$B:$B,[2]Timeline!$A:$A),2,5)&amp;1)</f>
        <v>2304291</v>
      </c>
      <c r="B277" s="7" t="s">
        <v>649</v>
      </c>
      <c r="C277" s="7" t="s">
        <v>645</v>
      </c>
      <c r="D277" s="7" t="s">
        <v>572</v>
      </c>
      <c r="E277" s="1" t="str">
        <f t="shared" si="71"/>
        <v>skill_name_2304291</v>
      </c>
      <c r="F277" s="1" t="s">
        <v>117</v>
      </c>
      <c r="G277" s="1" t="s">
        <v>599</v>
      </c>
      <c r="H277" s="1" t="str">
        <f t="shared" si="34"/>
        <v>skill_desc_2304291</v>
      </c>
      <c r="I277" s="1" t="s">
        <v>205</v>
      </c>
      <c r="J277" s="1" t="str">
        <f>IFERROR(_xlfn.XLOOKUP(W277,Target!A:A,Target!J:J),"")</f>
        <v>Skill_Target_Icon_Enemy_Near_One</v>
      </c>
      <c r="K277" s="1" t="s">
        <v>205</v>
      </c>
      <c r="L277" s="1" t="str">
        <f>IFERROR(_xlfn.XLOOKUP(W277,Target!A:A,Target!K:K),"")</f>
        <v>Skill_Area_Icon_Pivot_Centor</v>
      </c>
      <c r="M277" s="1" t="str">
        <f>_xlfn.XLOOKUP(B277,'[2]Detail&lt;Child&gt;'!$B:$B,'[2]Detail&lt;Child&gt;'!$M:$M)</f>
        <v>Fire</v>
      </c>
      <c r="N277" s="1" t="str">
        <f>_xlfn.XLOOKUP(B277,'[2]Detail&lt;Child&gt;'!$B:$B,'[2]Detail&lt;Child&gt;'!$N:$N)</f>
        <v>Supporter</v>
      </c>
      <c r="O277" s="1" t="s">
        <v>33</v>
      </c>
      <c r="P277" s="33">
        <v>3</v>
      </c>
      <c r="Q277" s="68" t="str" cm="1">
        <f t="array" ref="Q277">_xlfn.IFS(R277="Move","Move",R277="NonTargetMove","Move",R277="Static","Stand",R277="None","Stand")</f>
        <v>Move</v>
      </c>
      <c r="R277" s="1" t="s">
        <v>144</v>
      </c>
      <c r="S277" s="1">
        <v>2</v>
      </c>
      <c r="T277" s="2" t="str">
        <f t="shared" si="72"/>
        <v>SignalHit</v>
      </c>
      <c r="U277" s="2" t="str" cm="1">
        <f t="array" ref="U277">_xlfn.IFS(T277="SignalHIt","TurnEnd",T277="AttackBegin","TurnEnd",T277="AttackEnd","TurnEnd",T277="Immediately","Applied",T277="None","None")</f>
        <v>TurnEnd</v>
      </c>
      <c r="V277" s="2">
        <v>0</v>
      </c>
      <c r="W277" s="1">
        <v>2000011</v>
      </c>
      <c r="X277" s="8">
        <f t="shared" ref="X277:X283" si="76">INT(A277&amp;1)</f>
        <v>23042911</v>
      </c>
      <c r="Y277" s="1" t="str">
        <f t="shared" si="73"/>
        <v>Immediately</v>
      </c>
      <c r="Z277" s="2" t="str" cm="1">
        <f t="array" ref="Z277">_xlfn.IFS(Y277="SignalHIt","TurnEnd",Y277="AttackBegin","TurnEnd",Y277="AttackEnd","TurnEnd",Y277="Immediately","Applied",Y277="None","None")</f>
        <v>Applied</v>
      </c>
      <c r="AA277" s="2">
        <v>0</v>
      </c>
      <c r="AB277" s="1">
        <v>0</v>
      </c>
      <c r="AC277" s="8">
        <v>0</v>
      </c>
      <c r="AD277" s="2" t="str">
        <f t="shared" si="74"/>
        <v>Immediately</v>
      </c>
      <c r="AE277" s="2" t="str" cm="1">
        <f t="array" ref="AE277">_xlfn.IFS(AD277="SignalHIt","TurnEnd",AD277="AttackBegin","TurnEnd",AD277="AttackEnd","TurnEnd",AD277="Immediately","Applied",AD277="None","None")</f>
        <v>Applied</v>
      </c>
      <c r="AF277" s="2">
        <v>0</v>
      </c>
      <c r="AG277" s="1">
        <v>0</v>
      </c>
      <c r="AH277" s="8">
        <v>0</v>
      </c>
      <c r="AI277" s="2" t="str">
        <f t="shared" si="75"/>
        <v>Immediately</v>
      </c>
      <c r="AJ277" s="2" t="str" cm="1">
        <f t="array" ref="AJ277">_xlfn.IFS(AI277="SignalHIt","TurnEnd",AI277="AttackBegin","TurnEnd",AI277="AttackEnd","TurnEnd",AI277="Immediately","Applied",AI277="None","None")</f>
        <v>Applied</v>
      </c>
      <c r="AK277" s="2">
        <v>0</v>
      </c>
      <c r="AL277" s="8">
        <v>0</v>
      </c>
      <c r="AM277" s="48">
        <v>0</v>
      </c>
      <c r="AN277" s="45" t="str">
        <f>IFERROR(_xlfn.XLOOKUP(W277,Target!$A:$A,Target!$B:$B),"None")</f>
        <v xml:space="preserve">가까운 적 1명 </v>
      </c>
      <c r="AO277" s="43" t="str">
        <f>IFERROR(_xlfn.XLOOKUP($X277,'BuffValue&lt;Child&gt;'!$A:$A,'BuffValue&lt;Child&gt;'!$F:$F),"None")</f>
        <v>액티브 대미지</v>
      </c>
      <c r="AP277" s="43">
        <f>IFERROR(_xlfn.XLOOKUP($X277,'BuffValue&lt;Child&gt;'!$A:$A,'BuffValue&lt;Child&gt;'!$K:$K),0)</f>
        <v>40000</v>
      </c>
      <c r="AQ277" s="43" t="str">
        <f>IFERROR(_xlfn.XLOOKUP(AB277,Target!$A:$A,Target!$B:$B),"None")</f>
        <v>None</v>
      </c>
      <c r="AR277" s="45" t="str">
        <f>IFERROR(_xlfn.XLOOKUP($AC277,'BuffValue&lt;Child&gt;'!$A:$A,'BuffValue&lt;Child&gt;'!$F:$F),"None")</f>
        <v>None</v>
      </c>
      <c r="AS277" s="45">
        <f>IFERROR(_xlfn.XLOOKUP($AC277,'BuffValue&lt;Child&gt;'!$A:$A,'BuffValue&lt;Child&gt;'!$K:$K),0)</f>
        <v>0</v>
      </c>
      <c r="AT277" s="43" t="str">
        <f>IFERROR(_xlfn.XLOOKUP(AG277,Target!$A:$A,Target!$B:$B),"None")</f>
        <v>None</v>
      </c>
      <c r="AU277" s="43" t="str">
        <f>IFERROR(_xlfn.XLOOKUP($AH277,'BuffValue&lt;Child&gt;'!$A:$A,'BuffValue&lt;Child&gt;'!$F:$F),"None")</f>
        <v>None</v>
      </c>
      <c r="AV277" s="43">
        <f>IFERROR(_xlfn.XLOOKUP($AH277,'BuffValue&lt;Child&gt;'!$A:$A,'BuffValue&lt;Child&gt;'!$K:$K),0)</f>
        <v>0</v>
      </c>
      <c r="AW277" s="43" t="str">
        <f>IFERROR(_xlfn.XLOOKUP(AL277,Target!$A:$A,Target!$B:$B),"None")</f>
        <v>None</v>
      </c>
      <c r="AX277" s="43" t="str">
        <f>IFERROR(_xlfn.XLOOKUP($AM277,'BuffValue&lt;Child&gt;'!$A:$A,'BuffValue&lt;Child&gt;'!$F:$F),"None")</f>
        <v>None</v>
      </c>
      <c r="AY277" s="43">
        <f>IFERROR(_xlfn.XLOOKUP($AM277,#REF!,#REF!),0)</f>
        <v>0</v>
      </c>
    </row>
    <row r="278" spans="1:51" x14ac:dyDescent="0.3">
      <c r="A278" s="1">
        <f>INT(2&amp;MID(_xlfn.XLOOKUP(B278,[2]Timeline!$B:$B,[2]Timeline!$A:$A),2,5)&amp;2)</f>
        <v>2304292</v>
      </c>
      <c r="B278" s="7" t="s">
        <v>649</v>
      </c>
      <c r="C278" s="7" t="s">
        <v>645</v>
      </c>
      <c r="D278" s="7" t="s">
        <v>572</v>
      </c>
      <c r="E278" s="1" t="str">
        <f t="shared" si="71"/>
        <v>skill_name_2304292</v>
      </c>
      <c r="F278" s="1" t="s">
        <v>117</v>
      </c>
      <c r="G278" s="1" t="s">
        <v>599</v>
      </c>
      <c r="H278" s="1" t="str">
        <f t="shared" si="34"/>
        <v>skill_desc_2304292</v>
      </c>
      <c r="I278" s="1" t="s">
        <v>205</v>
      </c>
      <c r="J278" s="1" t="str">
        <f>IFERROR(_xlfn.XLOOKUP(W278,Target!A:A,Target!J:J),"")</f>
        <v>Skill_Target_Icon_Enemy_Near_One</v>
      </c>
      <c r="K278" s="1" t="s">
        <v>205</v>
      </c>
      <c r="L278" s="1" t="str">
        <f>IFERROR(_xlfn.XLOOKUP(W278,Target!A:A,Target!K:K),"")</f>
        <v>Skill_Area_Icon_Pivot_Centor</v>
      </c>
      <c r="M278" s="1" t="str">
        <f>_xlfn.XLOOKUP(B278,'[2]Detail&lt;Child&gt;'!$B:$B,'[2]Detail&lt;Child&gt;'!$M:$M)</f>
        <v>Fire</v>
      </c>
      <c r="N278" s="1" t="str">
        <f>_xlfn.XLOOKUP(B278,'[2]Detail&lt;Child&gt;'!$B:$B,'[2]Detail&lt;Child&gt;'!$N:$N)</f>
        <v>Supporter</v>
      </c>
      <c r="O278" s="1" t="s">
        <v>33</v>
      </c>
      <c r="P278" s="33">
        <v>2</v>
      </c>
      <c r="Q278" s="68" t="str" cm="1">
        <f t="array" ref="Q278">_xlfn.IFS(R278="Move","Move",R278="NonTargetMove","Move",R278="Static","Stand",R278="None","Stand")</f>
        <v>Move</v>
      </c>
      <c r="R278" s="1" t="s">
        <v>144</v>
      </c>
      <c r="S278" s="1">
        <v>2</v>
      </c>
      <c r="T278" s="2" t="str">
        <f t="shared" si="72"/>
        <v>SignalHit</v>
      </c>
      <c r="U278" s="2" t="str" cm="1">
        <f t="array" ref="U278">_xlfn.IFS(T278="SignalHIt","TurnEnd",T278="AttackBegin","TurnEnd",T278="AttackEnd","TurnEnd",T278="Immediately","Applied",T278="None","None")</f>
        <v>TurnEnd</v>
      </c>
      <c r="V278" s="2">
        <v>0</v>
      </c>
      <c r="W278" s="1">
        <v>2000011</v>
      </c>
      <c r="X278" s="8">
        <f t="shared" si="76"/>
        <v>23042921</v>
      </c>
      <c r="Y278" s="1" t="str">
        <f t="shared" si="73"/>
        <v>Immediately</v>
      </c>
      <c r="Z278" s="2" t="str" cm="1">
        <f t="array" ref="Z278">_xlfn.IFS(Y278="SignalHIt","TurnEnd",Y278="AttackBegin","TurnEnd",Y278="AttackEnd","TurnEnd",Y278="Immediately","Applied",Y278="None","None")</f>
        <v>Applied</v>
      </c>
      <c r="AA278" s="2">
        <v>0</v>
      </c>
      <c r="AB278" s="1">
        <v>0</v>
      </c>
      <c r="AC278" s="8">
        <v>0</v>
      </c>
      <c r="AD278" s="2" t="str">
        <f t="shared" si="74"/>
        <v>Immediately</v>
      </c>
      <c r="AE278" s="2" t="str" cm="1">
        <f t="array" ref="AE278">_xlfn.IFS(AD278="SignalHIt","TurnEnd",AD278="AttackBegin","TurnEnd",AD278="AttackEnd","TurnEnd",AD278="Immediately","Applied",AD278="None","None")</f>
        <v>Applied</v>
      </c>
      <c r="AF278" s="2">
        <v>0</v>
      </c>
      <c r="AG278" s="1">
        <v>0</v>
      </c>
      <c r="AH278" s="8">
        <v>0</v>
      </c>
      <c r="AI278" s="2" t="str">
        <f t="shared" si="75"/>
        <v>Immediately</v>
      </c>
      <c r="AJ278" s="2" t="str" cm="1">
        <f t="array" ref="AJ278">_xlfn.IFS(AI278="SignalHIt","TurnEnd",AI278="AttackBegin","TurnEnd",AI278="AttackEnd","TurnEnd",AI278="Immediately","Applied",AI278="None","None")</f>
        <v>Applied</v>
      </c>
      <c r="AK278" s="2">
        <v>0</v>
      </c>
      <c r="AL278" s="8">
        <v>0</v>
      </c>
      <c r="AM278" s="48">
        <v>0</v>
      </c>
      <c r="AN278" s="45" t="str">
        <f>IFERROR(_xlfn.XLOOKUP(W278,Target!$A:$A,Target!$B:$B),"None")</f>
        <v xml:space="preserve">가까운 적 1명 </v>
      </c>
      <c r="AO278" s="43" t="str">
        <f>IFERROR(_xlfn.XLOOKUP($X278,'BuffValue&lt;Child&gt;'!$A:$A,'BuffValue&lt;Child&gt;'!$F:$F),"None")</f>
        <v>액티브 대미지</v>
      </c>
      <c r="AP278" s="43">
        <f>IFERROR(_xlfn.XLOOKUP($X278,'BuffValue&lt;Child&gt;'!$A:$A,'BuffValue&lt;Child&gt;'!$K:$K),0)</f>
        <v>40000</v>
      </c>
      <c r="AQ278" s="43" t="str">
        <f>IFERROR(_xlfn.XLOOKUP(AB278,Target!$A:$A,Target!$B:$B),"None")</f>
        <v>None</v>
      </c>
      <c r="AR278" s="45" t="str">
        <f>IFERROR(_xlfn.XLOOKUP($AC278,'BuffValue&lt;Child&gt;'!$A:$A,'BuffValue&lt;Child&gt;'!$F:$F),"None")</f>
        <v>None</v>
      </c>
      <c r="AS278" s="45">
        <f>IFERROR(_xlfn.XLOOKUP($AC278,'BuffValue&lt;Child&gt;'!$A:$A,'BuffValue&lt;Child&gt;'!$K:$K),0)</f>
        <v>0</v>
      </c>
      <c r="AT278" s="43" t="str">
        <f>IFERROR(_xlfn.XLOOKUP(AG278,Target!$A:$A,Target!$B:$B),"None")</f>
        <v>None</v>
      </c>
      <c r="AU278" s="43" t="str">
        <f>IFERROR(_xlfn.XLOOKUP($AH278,'BuffValue&lt;Child&gt;'!$A:$A,'BuffValue&lt;Child&gt;'!$F:$F),"None")</f>
        <v>None</v>
      </c>
      <c r="AV278" s="43">
        <f>IFERROR(_xlfn.XLOOKUP($AH278,'BuffValue&lt;Child&gt;'!$A:$A,'BuffValue&lt;Child&gt;'!$K:$K),0)</f>
        <v>0</v>
      </c>
      <c r="AW278" s="43" t="str">
        <f>IFERROR(_xlfn.XLOOKUP(AL278,Target!$A:$A,Target!$B:$B),"None")</f>
        <v>None</v>
      </c>
      <c r="AX278" s="43" t="str">
        <f>IFERROR(_xlfn.XLOOKUP($AM278,'BuffValue&lt;Child&gt;'!$A:$A,'BuffValue&lt;Child&gt;'!$F:$F),"None")</f>
        <v>None</v>
      </c>
      <c r="AY278" s="43">
        <f>IFERROR(_xlfn.XLOOKUP($AM278,#REF!,#REF!),0)</f>
        <v>0</v>
      </c>
    </row>
    <row r="279" spans="1:51" x14ac:dyDescent="0.3">
      <c r="A279" s="1">
        <f>INT(3&amp;MID(_xlfn.XLOOKUP(B279,[2]Timeline!$B:$B,[2]Timeline!$A:$A),2,5)&amp;1)</f>
        <v>3304291</v>
      </c>
      <c r="B279" s="7" t="s">
        <v>649</v>
      </c>
      <c r="C279" s="7" t="s">
        <v>646</v>
      </c>
      <c r="D279" s="7" t="s">
        <v>516</v>
      </c>
      <c r="E279" s="1" t="str">
        <f t="shared" si="71"/>
        <v>skill_name_3304291</v>
      </c>
      <c r="F279" s="1" t="s">
        <v>117</v>
      </c>
      <c r="G279" s="1" t="s">
        <v>600</v>
      </c>
      <c r="H279" s="1" t="str">
        <f t="shared" si="34"/>
        <v>skill_desc_3304291</v>
      </c>
      <c r="I279" s="1" t="s">
        <v>205</v>
      </c>
      <c r="J279" s="1" t="str">
        <f>IFERROR(_xlfn.XLOOKUP(W279,Target!A:A,Target!J:J),"")</f>
        <v>Skill_Target_Icon_Enemy_Near_One</v>
      </c>
      <c r="K279" s="1" t="s">
        <v>205</v>
      </c>
      <c r="L279" s="1" t="str">
        <f>IFERROR(_xlfn.XLOOKUP(W279,Target!A:A,Target!K:K),"")</f>
        <v>Skill_Area_Icon_Pivot_Row</v>
      </c>
      <c r="M279" s="1" t="str">
        <f>_xlfn.XLOOKUP(B279,'[2]Detail&lt;Child&gt;'!$B:$B,'[2]Detail&lt;Child&gt;'!$M:$M)</f>
        <v>Fire</v>
      </c>
      <c r="N279" s="1" t="str">
        <f>_xlfn.XLOOKUP(B279,'[2]Detail&lt;Child&gt;'!$B:$B,'[2]Detail&lt;Child&gt;'!$N:$N)</f>
        <v>Supporter</v>
      </c>
      <c r="O279" s="1" t="s">
        <v>140</v>
      </c>
      <c r="P279" s="33">
        <v>0</v>
      </c>
      <c r="Q279" s="68" t="str" cm="1">
        <f t="array" ref="Q279">_xlfn.IFS(R279="Move","Move",R279="NonTargetMove","Move",R279="Static","Stand",R279="None","Stand")</f>
        <v>Move</v>
      </c>
      <c r="R279" s="1" t="s">
        <v>153</v>
      </c>
      <c r="S279" s="1">
        <v>2</v>
      </c>
      <c r="T279" s="2" t="str">
        <f t="shared" si="72"/>
        <v>SignalHit</v>
      </c>
      <c r="U279" s="2" t="str" cm="1">
        <f t="array" ref="U279">_xlfn.IFS(T279="SignalHIt","TurnEnd",T279="AttackBegin","TurnEnd",T279="AttackEnd","TurnEnd",T279="Immediately","Applied",T279="None","None")</f>
        <v>TurnEnd</v>
      </c>
      <c r="V279" s="2">
        <v>0</v>
      </c>
      <c r="W279" s="1">
        <v>2000014</v>
      </c>
      <c r="X279" s="8">
        <f t="shared" si="76"/>
        <v>33042911</v>
      </c>
      <c r="Y279" s="1" t="str">
        <f t="shared" si="73"/>
        <v>Immediately</v>
      </c>
      <c r="Z279" s="2" t="str" cm="1">
        <f t="array" ref="Z279">_xlfn.IFS(Y279="SignalHIt","TurnEnd",Y279="AttackBegin","TurnEnd",Y279="AttackEnd","TurnEnd",Y279="Immediately","Applied",Y279="None","None")</f>
        <v>Applied</v>
      </c>
      <c r="AA279" s="2">
        <v>0</v>
      </c>
      <c r="AB279" s="1">
        <v>0</v>
      </c>
      <c r="AC279" s="8">
        <v>0</v>
      </c>
      <c r="AD279" s="2" t="str">
        <f t="shared" si="74"/>
        <v>Immediately</v>
      </c>
      <c r="AE279" s="2" t="str" cm="1">
        <f t="array" ref="AE279">_xlfn.IFS(AD279="SignalHIt","TurnEnd",AD279="AttackBegin","TurnEnd",AD279="AttackEnd","TurnEnd",AD279="Immediately","Applied",AD279="None","None")</f>
        <v>Applied</v>
      </c>
      <c r="AF279" s="2">
        <v>0</v>
      </c>
      <c r="AG279" s="1">
        <v>0</v>
      </c>
      <c r="AH279" s="8">
        <v>0</v>
      </c>
      <c r="AI279" s="2" t="str">
        <f t="shared" si="75"/>
        <v>Immediately</v>
      </c>
      <c r="AJ279" s="2" t="str" cm="1">
        <f t="array" ref="AJ279">_xlfn.IFS(AI279="SignalHIt","TurnEnd",AI279="AttackBegin","TurnEnd",AI279="AttackEnd","TurnEnd",AI279="Immediately","Applied",AI279="None","None")</f>
        <v>Applied</v>
      </c>
      <c r="AK279" s="2">
        <v>0</v>
      </c>
      <c r="AL279" s="1">
        <v>0</v>
      </c>
      <c r="AM279" s="48">
        <v>0</v>
      </c>
      <c r="AN279" s="45" t="str">
        <f>IFERROR(_xlfn.XLOOKUP(W279,Target!$A:$A,Target!$B:$B),"None")</f>
        <v>가까운 적 1명 2행</v>
      </c>
      <c r="AO279" s="43" t="str">
        <f>IFERROR(_xlfn.XLOOKUP($X279,'BuffValue&lt;Child&gt;'!$A:$A,'BuffValue&lt;Child&gt;'!$F:$F),"None")</f>
        <v>얼티밋 대미지</v>
      </c>
      <c r="AP279" s="43">
        <f>IFERROR(_xlfn.XLOOKUP($X279,'BuffValue&lt;Child&gt;'!$A:$A,'BuffValue&lt;Child&gt;'!$K:$K),0)</f>
        <v>320000</v>
      </c>
      <c r="AQ279" s="43" t="str">
        <f>IFERROR(_xlfn.XLOOKUP(AB279,Target!$A:$A,Target!$B:$B),"None")</f>
        <v>None</v>
      </c>
      <c r="AR279" s="45" t="str">
        <f>IFERROR(_xlfn.XLOOKUP($AC279,'BuffValue&lt;Child&gt;'!$A:$A,'BuffValue&lt;Child&gt;'!$F:$F),"None")</f>
        <v>None</v>
      </c>
      <c r="AS279" s="45">
        <f>IFERROR(_xlfn.XLOOKUP($AC279,'BuffValue&lt;Child&gt;'!$A:$A,'BuffValue&lt;Child&gt;'!$K:$K),0)</f>
        <v>0</v>
      </c>
      <c r="AT279" s="43" t="str">
        <f>IFERROR(_xlfn.XLOOKUP(AG279,Target!$A:$A,Target!$B:$B),"None")</f>
        <v>None</v>
      </c>
      <c r="AU279" s="43" t="str">
        <f>IFERROR(_xlfn.XLOOKUP($AH279,'BuffValue&lt;Child&gt;'!$A:$A,'BuffValue&lt;Child&gt;'!$F:$F),"None")</f>
        <v>None</v>
      </c>
      <c r="AV279" s="43">
        <f>IFERROR(_xlfn.XLOOKUP($AH279,'BuffValue&lt;Child&gt;'!$A:$A,'BuffValue&lt;Child&gt;'!$K:$K),0)</f>
        <v>0</v>
      </c>
      <c r="AW279" s="43" t="str">
        <f>IFERROR(_xlfn.XLOOKUP(AL279,Target!$A:$A,Target!$B:$B),"None")</f>
        <v>None</v>
      </c>
      <c r="AX279" s="43" t="str">
        <f>IFERROR(_xlfn.XLOOKUP($AM279,'BuffValue&lt;Child&gt;'!$A:$A,'BuffValue&lt;Child&gt;'!$F:$F),"None")</f>
        <v>None</v>
      </c>
      <c r="AY279" s="43">
        <f>IFERROR(_xlfn.XLOOKUP($AM279,#REF!,#REF!),0)</f>
        <v>0</v>
      </c>
    </row>
    <row r="280" spans="1:51" x14ac:dyDescent="0.3">
      <c r="A280" s="1">
        <f>INT(3&amp;MID(_xlfn.XLOOKUP(B280,[2]Timeline!$B:$B,[2]Timeline!$A:$A),2,5)&amp;2)</f>
        <v>3304292</v>
      </c>
      <c r="B280" s="7" t="s">
        <v>649</v>
      </c>
      <c r="C280" s="7" t="s">
        <v>646</v>
      </c>
      <c r="D280" s="7" t="s">
        <v>516</v>
      </c>
      <c r="E280" s="1" t="str">
        <f t="shared" si="71"/>
        <v>skill_name_3304292</v>
      </c>
      <c r="F280" s="1" t="s">
        <v>117</v>
      </c>
      <c r="G280" s="1" t="s">
        <v>600</v>
      </c>
      <c r="H280" s="1" t="str">
        <f t="shared" si="34"/>
        <v>skill_desc_3304292</v>
      </c>
      <c r="I280" s="1" t="s">
        <v>205</v>
      </c>
      <c r="J280" s="1" t="str">
        <f>IFERROR(_xlfn.XLOOKUP(W280,Target!A:A,Target!J:J),"")</f>
        <v>Skill_Target_Icon_Enemy_Near_One</v>
      </c>
      <c r="K280" s="1" t="s">
        <v>205</v>
      </c>
      <c r="L280" s="1" t="str">
        <f>IFERROR(_xlfn.XLOOKUP(W280,Target!A:A,Target!K:K),"")</f>
        <v>Skill_Area_Icon_Pivot_Row</v>
      </c>
      <c r="M280" s="1" t="str">
        <f>_xlfn.XLOOKUP(B280,'[2]Detail&lt;Child&gt;'!$B:$B,'[2]Detail&lt;Child&gt;'!$M:$M)</f>
        <v>Fire</v>
      </c>
      <c r="N280" s="1" t="str">
        <f>_xlfn.XLOOKUP(B280,'[2]Detail&lt;Child&gt;'!$B:$B,'[2]Detail&lt;Child&gt;'!$N:$N)</f>
        <v>Supporter</v>
      </c>
      <c r="O280" s="1" t="s">
        <v>140</v>
      </c>
      <c r="P280" s="33">
        <v>0</v>
      </c>
      <c r="Q280" s="68" t="str" cm="1">
        <f t="array" ref="Q280">_xlfn.IFS(R280="Move","Move",R280="NonTargetMove","Move",R280="Static","Stand",R280="None","Stand")</f>
        <v>Move</v>
      </c>
      <c r="R280" s="1" t="s">
        <v>153</v>
      </c>
      <c r="S280" s="1">
        <v>2</v>
      </c>
      <c r="T280" s="2" t="str">
        <f t="shared" si="72"/>
        <v>SignalHit</v>
      </c>
      <c r="U280" s="2" t="str" cm="1">
        <f t="array" ref="U280">_xlfn.IFS(T280="SignalHIt","TurnEnd",T280="AttackBegin","TurnEnd",T280="AttackEnd","TurnEnd",T280="Immediately","Applied",T280="None","None")</f>
        <v>TurnEnd</v>
      </c>
      <c r="V280" s="2">
        <v>0</v>
      </c>
      <c r="W280" s="1">
        <v>2000014</v>
      </c>
      <c r="X280" s="8">
        <f t="shared" si="76"/>
        <v>33042921</v>
      </c>
      <c r="Y280" s="1" t="str">
        <f t="shared" si="73"/>
        <v>Immediately</v>
      </c>
      <c r="Z280" s="2" t="str" cm="1">
        <f t="array" ref="Z280">_xlfn.IFS(Y280="SignalHIt","TurnEnd",Y280="AttackBegin","TurnEnd",Y280="AttackEnd","TurnEnd",Y280="Immediately","Applied",Y280="None","None")</f>
        <v>Applied</v>
      </c>
      <c r="AA280" s="2">
        <v>0</v>
      </c>
      <c r="AB280" s="1">
        <v>0</v>
      </c>
      <c r="AC280" s="8">
        <v>0</v>
      </c>
      <c r="AD280" s="2" t="str">
        <f t="shared" si="74"/>
        <v>Immediately</v>
      </c>
      <c r="AE280" s="2" t="str" cm="1">
        <f t="array" ref="AE280">_xlfn.IFS(AD280="SignalHIt","TurnEnd",AD280="AttackBegin","TurnEnd",AD280="AttackEnd","TurnEnd",AD280="Immediately","Applied",AD280="None","None")</f>
        <v>Applied</v>
      </c>
      <c r="AF280" s="2">
        <v>0</v>
      </c>
      <c r="AG280" s="1">
        <v>0</v>
      </c>
      <c r="AH280" s="8">
        <v>0</v>
      </c>
      <c r="AI280" s="2" t="str">
        <f t="shared" si="75"/>
        <v>Immediately</v>
      </c>
      <c r="AJ280" s="2" t="str" cm="1">
        <f t="array" ref="AJ280">_xlfn.IFS(AI280="SignalHIt","TurnEnd",AI280="AttackBegin","TurnEnd",AI280="AttackEnd","TurnEnd",AI280="Immediately","Applied",AI280="None","None")</f>
        <v>Applied</v>
      </c>
      <c r="AK280" s="2">
        <v>0</v>
      </c>
      <c r="AL280" s="1">
        <v>0</v>
      </c>
      <c r="AM280" s="48">
        <v>0</v>
      </c>
      <c r="AN280" s="45" t="str">
        <f>IFERROR(_xlfn.XLOOKUP(W280,Target!$A:$A,Target!$B:$B),"None")</f>
        <v>가까운 적 1명 2행</v>
      </c>
      <c r="AO280" s="43" t="str">
        <f>IFERROR(_xlfn.XLOOKUP($X280,'BuffValue&lt;Child&gt;'!$A:$A,'BuffValue&lt;Child&gt;'!$F:$F),"None")</f>
        <v>얼티밋 대미지</v>
      </c>
      <c r="AP280" s="43">
        <f>IFERROR(_xlfn.XLOOKUP($X280,'BuffValue&lt;Child&gt;'!$A:$A,'BuffValue&lt;Child&gt;'!$K:$K),0)</f>
        <v>320000</v>
      </c>
      <c r="AQ280" s="43" t="str">
        <f>IFERROR(_xlfn.XLOOKUP(AB280,Target!$A:$A,Target!$B:$B),"None")</f>
        <v>None</v>
      </c>
      <c r="AR280" s="45" t="str">
        <f>IFERROR(_xlfn.XLOOKUP($AC280,'BuffValue&lt;Child&gt;'!$A:$A,'BuffValue&lt;Child&gt;'!$F:$F),"None")</f>
        <v>None</v>
      </c>
      <c r="AS280" s="45">
        <f>IFERROR(_xlfn.XLOOKUP($AC280,'BuffValue&lt;Child&gt;'!$A:$A,'BuffValue&lt;Child&gt;'!$K:$K),0)</f>
        <v>0</v>
      </c>
      <c r="AT280" s="43" t="str">
        <f>IFERROR(_xlfn.XLOOKUP(AG280,Target!$A:$A,Target!$B:$B),"None")</f>
        <v>None</v>
      </c>
      <c r="AU280" s="43" t="str">
        <f>IFERROR(_xlfn.XLOOKUP($AH280,'BuffValue&lt;Child&gt;'!$A:$A,'BuffValue&lt;Child&gt;'!$F:$F),"None")</f>
        <v>None</v>
      </c>
      <c r="AV280" s="43">
        <f>IFERROR(_xlfn.XLOOKUP($AH280,'BuffValue&lt;Child&gt;'!$A:$A,'BuffValue&lt;Child&gt;'!$K:$K),0)</f>
        <v>0</v>
      </c>
      <c r="AW280" s="43" t="str">
        <f>IFERROR(_xlfn.XLOOKUP(AL280,Target!$A:$A,Target!$B:$B),"None")</f>
        <v>None</v>
      </c>
      <c r="AX280" s="43" t="str">
        <f>IFERROR(_xlfn.XLOOKUP($AM280,'BuffValue&lt;Child&gt;'!$A:$A,'BuffValue&lt;Child&gt;'!$F:$F),"None")</f>
        <v>None</v>
      </c>
      <c r="AY280" s="43">
        <f>IFERROR(_xlfn.XLOOKUP($AM280,#REF!,#REF!),0)</f>
        <v>0</v>
      </c>
    </row>
    <row r="281" spans="1:51" x14ac:dyDescent="0.3">
      <c r="A281" s="1">
        <f>INT(3&amp;MID(_xlfn.XLOOKUP(B281,[2]Timeline!$B:$B,[2]Timeline!$A:$A),2,5)&amp;3)</f>
        <v>3304293</v>
      </c>
      <c r="B281" s="7" t="s">
        <v>649</v>
      </c>
      <c r="C281" s="7" t="s">
        <v>646</v>
      </c>
      <c r="D281" s="7" t="s">
        <v>516</v>
      </c>
      <c r="E281" s="1" t="str">
        <f t="shared" si="71"/>
        <v>skill_name_3304293</v>
      </c>
      <c r="F281" s="1" t="s">
        <v>117</v>
      </c>
      <c r="G281" s="1" t="s">
        <v>600</v>
      </c>
      <c r="H281" s="1" t="str">
        <f t="shared" si="34"/>
        <v>skill_desc_3304293</v>
      </c>
      <c r="I281" s="1" t="s">
        <v>205</v>
      </c>
      <c r="J281" s="1" t="str">
        <f>IFERROR(_xlfn.XLOOKUP(W281,Target!A:A,Target!J:J),"")</f>
        <v>Skill_Target_Icon_Enemy_Near_One</v>
      </c>
      <c r="K281" s="1" t="s">
        <v>205</v>
      </c>
      <c r="L281" s="1" t="str">
        <f>IFERROR(_xlfn.XLOOKUP(W281,Target!A:A,Target!K:K),"")</f>
        <v>Skill_Area_Icon_Pivot_Row</v>
      </c>
      <c r="M281" s="1" t="str">
        <f>_xlfn.XLOOKUP(B281,'[2]Detail&lt;Child&gt;'!$B:$B,'[2]Detail&lt;Child&gt;'!$M:$M)</f>
        <v>Fire</v>
      </c>
      <c r="N281" s="1" t="str">
        <f>_xlfn.XLOOKUP(B281,'[2]Detail&lt;Child&gt;'!$B:$B,'[2]Detail&lt;Child&gt;'!$N:$N)</f>
        <v>Supporter</v>
      </c>
      <c r="O281" s="1" t="s">
        <v>140</v>
      </c>
      <c r="P281" s="33">
        <v>0</v>
      </c>
      <c r="Q281" s="68" t="str" cm="1">
        <f t="array" ref="Q281">_xlfn.IFS(R281="Move","Move",R281="NonTargetMove","Move",R281="Static","Stand",R281="None","Stand")</f>
        <v>Move</v>
      </c>
      <c r="R281" s="1" t="s">
        <v>153</v>
      </c>
      <c r="S281" s="1">
        <v>2</v>
      </c>
      <c r="T281" s="2" t="str">
        <f t="shared" si="72"/>
        <v>SignalHit</v>
      </c>
      <c r="U281" s="2" t="str" cm="1">
        <f t="array" ref="U281">_xlfn.IFS(T281="SignalHIt","TurnEnd",T281="AttackBegin","TurnEnd",T281="AttackEnd","TurnEnd",T281="Immediately","Applied",T281="None","None")</f>
        <v>TurnEnd</v>
      </c>
      <c r="V281" s="2">
        <v>0</v>
      </c>
      <c r="W281" s="1">
        <v>2000014</v>
      </c>
      <c r="X281" s="8">
        <f t="shared" si="76"/>
        <v>33042931</v>
      </c>
      <c r="Y281" s="1" t="str">
        <f t="shared" si="73"/>
        <v>Immediately</v>
      </c>
      <c r="Z281" s="2" t="str" cm="1">
        <f t="array" ref="Z281">_xlfn.IFS(Y281="SignalHIt","TurnEnd",Y281="AttackBegin","TurnEnd",Y281="AttackEnd","TurnEnd",Y281="Immediately","Applied",Y281="None","None")</f>
        <v>Applied</v>
      </c>
      <c r="AA281" s="2">
        <v>0</v>
      </c>
      <c r="AB281" s="1">
        <v>0</v>
      </c>
      <c r="AC281" s="8">
        <v>0</v>
      </c>
      <c r="AD281" s="2" t="str">
        <f t="shared" si="74"/>
        <v>Immediately</v>
      </c>
      <c r="AE281" s="2" t="str" cm="1">
        <f t="array" ref="AE281">_xlfn.IFS(AD281="SignalHIt","TurnEnd",AD281="AttackBegin","TurnEnd",AD281="AttackEnd","TurnEnd",AD281="Immediately","Applied",AD281="None","None")</f>
        <v>Applied</v>
      </c>
      <c r="AF281" s="2">
        <v>0</v>
      </c>
      <c r="AG281" s="1">
        <v>0</v>
      </c>
      <c r="AH281" s="8">
        <v>0</v>
      </c>
      <c r="AI281" s="2" t="str">
        <f t="shared" si="75"/>
        <v>Immediately</v>
      </c>
      <c r="AJ281" s="2" t="str" cm="1">
        <f t="array" ref="AJ281">_xlfn.IFS(AI281="SignalHIt","TurnEnd",AI281="AttackBegin","TurnEnd",AI281="AttackEnd","TurnEnd",AI281="Immediately","Applied",AI281="None","None")</f>
        <v>Applied</v>
      </c>
      <c r="AK281" s="2">
        <v>0</v>
      </c>
      <c r="AL281" s="1">
        <v>0</v>
      </c>
      <c r="AM281" s="48">
        <v>0</v>
      </c>
      <c r="AN281" s="45" t="str">
        <f>IFERROR(_xlfn.XLOOKUP(W281,Target!$A:$A,Target!$B:$B),"None")</f>
        <v>가까운 적 1명 2행</v>
      </c>
      <c r="AO281" s="43" t="str">
        <f>IFERROR(_xlfn.XLOOKUP($X281,'BuffValue&lt;Child&gt;'!$A:$A,'BuffValue&lt;Child&gt;'!$F:$F),"None")</f>
        <v>얼티밋 대미지</v>
      </c>
      <c r="AP281" s="43">
        <f>IFERROR(_xlfn.XLOOKUP($X281,'BuffValue&lt;Child&gt;'!$A:$A,'BuffValue&lt;Child&gt;'!$K:$K),0)</f>
        <v>320000</v>
      </c>
      <c r="AQ281" s="43" t="str">
        <f>IFERROR(_xlfn.XLOOKUP(AB281,Target!$A:$A,Target!$B:$B),"None")</f>
        <v>None</v>
      </c>
      <c r="AR281" s="45" t="str">
        <f>IFERROR(_xlfn.XLOOKUP($AC281,'BuffValue&lt;Child&gt;'!$A:$A,'BuffValue&lt;Child&gt;'!$F:$F),"None")</f>
        <v>None</v>
      </c>
      <c r="AS281" s="45">
        <f>IFERROR(_xlfn.XLOOKUP($AC281,'BuffValue&lt;Child&gt;'!$A:$A,'BuffValue&lt;Child&gt;'!$K:$K),0)</f>
        <v>0</v>
      </c>
      <c r="AT281" s="43" t="str">
        <f>IFERROR(_xlfn.XLOOKUP(AG281,Target!$A:$A,Target!$B:$B),"None")</f>
        <v>None</v>
      </c>
      <c r="AU281" s="43" t="str">
        <f>IFERROR(_xlfn.XLOOKUP($AH281,'BuffValue&lt;Child&gt;'!$A:$A,'BuffValue&lt;Child&gt;'!$F:$F),"None")</f>
        <v>None</v>
      </c>
      <c r="AV281" s="43">
        <f>IFERROR(_xlfn.XLOOKUP($AH281,'BuffValue&lt;Child&gt;'!$A:$A,'BuffValue&lt;Child&gt;'!$K:$K),0)</f>
        <v>0</v>
      </c>
      <c r="AW281" s="43" t="str">
        <f>IFERROR(_xlfn.XLOOKUP(AL281,Target!$A:$A,Target!$B:$B),"None")</f>
        <v>None</v>
      </c>
      <c r="AX281" s="43" t="str">
        <f>IFERROR(_xlfn.XLOOKUP($AM281,'BuffValue&lt;Child&gt;'!$A:$A,'BuffValue&lt;Child&gt;'!$F:$F),"None")</f>
        <v>None</v>
      </c>
      <c r="AY281" s="43">
        <f>IFERROR(_xlfn.XLOOKUP($AM281,#REF!,#REF!),0)</f>
        <v>0</v>
      </c>
    </row>
    <row r="282" spans="1:51" x14ac:dyDescent="0.3">
      <c r="A282" s="1">
        <f>INT(4&amp;MID(_xlfn.XLOOKUP(B282,[2]Timeline!$B:$B,[2]Timeline!$A:$A),2,5)&amp;1)</f>
        <v>4304291</v>
      </c>
      <c r="B282" s="7" t="s">
        <v>649</v>
      </c>
      <c r="C282" s="7" t="s">
        <v>122</v>
      </c>
      <c r="D282" s="7" t="s">
        <v>347</v>
      </c>
      <c r="E282" s="1" t="str">
        <f t="shared" si="71"/>
        <v>skill_name_4304291</v>
      </c>
      <c r="F282" s="1" t="s">
        <v>117</v>
      </c>
      <c r="G282" s="1" t="s">
        <v>601</v>
      </c>
      <c r="H282" s="1" t="str">
        <f t="shared" si="34"/>
        <v>skill_desc_4304291</v>
      </c>
      <c r="I282" s="1" t="s">
        <v>205</v>
      </c>
      <c r="J282" s="1" t="str">
        <f>IFERROR(_xlfn.XLOOKUP(W282,Target!A:A,Target!J:J),"")</f>
        <v>Skill_Target_Icon_Mine</v>
      </c>
      <c r="K282" s="1" t="s">
        <v>205</v>
      </c>
      <c r="L282" s="1" t="str">
        <f>IFERROR(_xlfn.XLOOKUP(W282,Target!A:A,Target!K:K),"")</f>
        <v>Skill_Area_Icon_Pivot_Centor</v>
      </c>
      <c r="M282" s="1" t="str">
        <f>_xlfn.XLOOKUP(B282,'[2]Detail&lt;Child&gt;'!$B:$B,'[2]Detail&lt;Child&gt;'!$M:$M)</f>
        <v>Fire</v>
      </c>
      <c r="N282" s="1" t="str">
        <f>_xlfn.XLOOKUP(B282,'[2]Detail&lt;Child&gt;'!$B:$B,'[2]Detail&lt;Child&gt;'!$N:$N)</f>
        <v>Supporter</v>
      </c>
      <c r="O282" s="1" t="s">
        <v>167</v>
      </c>
      <c r="P282" s="33">
        <v>0</v>
      </c>
      <c r="Q282" s="68" t="str" cm="1">
        <f t="array" ref="Q282">_xlfn.IFS(R282="Move","Move",R282="NonTargetMove","Move",R282="Static","Stand",R282="None","Stand")</f>
        <v>Stand</v>
      </c>
      <c r="R282" s="1" t="s">
        <v>136</v>
      </c>
      <c r="S282" s="1">
        <f>IF(R282="Static",0,1)</f>
        <v>0</v>
      </c>
      <c r="T282" s="2" t="str">
        <f t="shared" si="72"/>
        <v>Immediately</v>
      </c>
      <c r="U282" s="2" t="str" cm="1">
        <f t="array" ref="U282">_xlfn.IFS(T282="SignalHIt","TurnEnd",T282="AttackBegin","TurnEnd",T282="AttackEnd","TurnEnd",T282="Immediately","Applied",T282="None","None")</f>
        <v>Applied</v>
      </c>
      <c r="V282" s="2">
        <v>0</v>
      </c>
      <c r="W282" s="1">
        <v>1</v>
      </c>
      <c r="X282" s="8">
        <f t="shared" si="76"/>
        <v>43042911</v>
      </c>
      <c r="Y282" s="1" t="str">
        <f t="shared" si="73"/>
        <v>Immediately</v>
      </c>
      <c r="Z282" s="2" t="str" cm="1">
        <f t="array" ref="Z282">_xlfn.IFS(Y282="SignalHIt","TurnEnd",Y282="AttackBegin","TurnEnd",Y282="AttackEnd","TurnEnd",Y282="Immediately","Applied",Y282="None","None")</f>
        <v>Applied</v>
      </c>
      <c r="AA282" s="2">
        <v>0</v>
      </c>
      <c r="AB282" s="1">
        <v>0</v>
      </c>
      <c r="AC282" s="8">
        <v>0</v>
      </c>
      <c r="AD282" s="2" t="str">
        <f t="shared" si="74"/>
        <v>Immediately</v>
      </c>
      <c r="AE282" s="2" t="str" cm="1">
        <f t="array" ref="AE282">_xlfn.IFS(AD282="SignalHIt","TurnEnd",AD282="AttackBegin","TurnEnd",AD282="AttackEnd","TurnEnd",AD282="Immediately","Applied",AD282="None","None")</f>
        <v>Applied</v>
      </c>
      <c r="AF282" s="2">
        <v>0</v>
      </c>
      <c r="AG282" s="1">
        <v>0</v>
      </c>
      <c r="AH282" s="8">
        <v>0</v>
      </c>
      <c r="AI282" s="2" t="str">
        <f t="shared" si="75"/>
        <v>Immediately</v>
      </c>
      <c r="AJ282" s="2" t="str" cm="1">
        <f t="array" ref="AJ282">_xlfn.IFS(AI282="SignalHIt","TurnEnd",AI282="AttackBegin","TurnEnd",AI282="AttackEnd","TurnEnd",AI282="Immediately","Applied",AI282="None","None")</f>
        <v>Applied</v>
      </c>
      <c r="AK282" s="2">
        <v>0</v>
      </c>
      <c r="AL282" s="8">
        <v>0</v>
      </c>
      <c r="AM282" s="48">
        <v>0</v>
      </c>
      <c r="AN282" s="45" t="str">
        <f>IFERROR(_xlfn.XLOOKUP(W282,Target!$A:$A,Target!$B:$B),"None")</f>
        <v xml:space="preserve"> 자신 1명 </v>
      </c>
      <c r="AO282" s="43" t="str">
        <f>IFERROR(_xlfn.XLOOKUP($X282,'BuffValue&lt;Child&gt;'!$A:$A,'BuffValue&lt;Child&gt;'!$F:$F),"None")</f>
        <v>힐드 패시브 버프당 치명타 확률 증가</v>
      </c>
      <c r="AP282" s="43">
        <f>IFERROR(_xlfn.XLOOKUP($X282,'BuffValue&lt;Child&gt;'!$A:$A,'BuffValue&lt;Child&gt;'!$K:$K),0)</f>
        <v>5000</v>
      </c>
      <c r="AQ282" s="43" t="str">
        <f>IFERROR(_xlfn.XLOOKUP(AB282,Target!$A:$A,Target!$B:$B),"None")</f>
        <v>None</v>
      </c>
      <c r="AR282" s="45" t="str">
        <f>IFERROR(_xlfn.XLOOKUP($AC282,'BuffValue&lt;Child&gt;'!$A:$A,'BuffValue&lt;Child&gt;'!$F:$F),"None")</f>
        <v>None</v>
      </c>
      <c r="AS282" s="45">
        <f>IFERROR(_xlfn.XLOOKUP($AC282,'BuffValue&lt;Child&gt;'!$A:$A,'BuffValue&lt;Child&gt;'!$K:$K),0)</f>
        <v>0</v>
      </c>
      <c r="AT282" s="43" t="str">
        <f>IFERROR(_xlfn.XLOOKUP(AG282,Target!$A:$A,Target!$B:$B),"None")</f>
        <v>None</v>
      </c>
      <c r="AU282" s="43" t="str">
        <f>IFERROR(_xlfn.XLOOKUP($AH282,'BuffValue&lt;Child&gt;'!$A:$A,'BuffValue&lt;Child&gt;'!$F:$F),"None")</f>
        <v>None</v>
      </c>
      <c r="AV282" s="43">
        <f>IFERROR(_xlfn.XLOOKUP($AH282,'BuffValue&lt;Child&gt;'!$A:$A,'BuffValue&lt;Child&gt;'!$K:$K),0)</f>
        <v>0</v>
      </c>
      <c r="AW282" s="43" t="str">
        <f>IFERROR(_xlfn.XLOOKUP(AL282,Target!$A:$A,Target!$B:$B),"None")</f>
        <v>None</v>
      </c>
      <c r="AX282" s="43" t="str">
        <f>IFERROR(_xlfn.XLOOKUP($AM282,'BuffValue&lt;Child&gt;'!$A:$A,'BuffValue&lt;Child&gt;'!$F:$F),"None")</f>
        <v>None</v>
      </c>
      <c r="AY282" s="43">
        <f>IFERROR(_xlfn.XLOOKUP($AM282,#REF!,#REF!),0)</f>
        <v>0</v>
      </c>
    </row>
    <row r="283" spans="1:51" x14ac:dyDescent="0.3">
      <c r="A283" s="1">
        <f>INT(4&amp;MID(_xlfn.XLOOKUP(B283,[2]Timeline!$B:$B,[2]Timeline!$A:$A),2,5)&amp;2)</f>
        <v>4304292</v>
      </c>
      <c r="B283" s="7" t="s">
        <v>649</v>
      </c>
      <c r="C283" s="7" t="s">
        <v>123</v>
      </c>
      <c r="D283" s="7" t="s">
        <v>347</v>
      </c>
      <c r="E283" s="1" t="str">
        <f t="shared" si="71"/>
        <v>skill_name_4304292</v>
      </c>
      <c r="F283" s="1" t="s">
        <v>117</v>
      </c>
      <c r="G283" s="1" t="s">
        <v>601</v>
      </c>
      <c r="H283" s="1" t="str">
        <f t="shared" si="34"/>
        <v>skill_desc_4304292</v>
      </c>
      <c r="I283" s="1" t="s">
        <v>205</v>
      </c>
      <c r="J283" s="1" t="str">
        <f>IFERROR(_xlfn.XLOOKUP(W283,Target!A:A,Target!J:J),"")</f>
        <v>Skill_Target_Icon_Mine</v>
      </c>
      <c r="K283" s="1" t="s">
        <v>205</v>
      </c>
      <c r="L283" s="1" t="str">
        <f>IFERROR(_xlfn.XLOOKUP(W283,Target!A:A,Target!K:K),"")</f>
        <v>Skill_Area_Icon_Pivot_Centor</v>
      </c>
      <c r="M283" s="1" t="str">
        <f>_xlfn.XLOOKUP(B283,'[2]Detail&lt;Child&gt;'!$B:$B,'[2]Detail&lt;Child&gt;'!$M:$M)</f>
        <v>Fire</v>
      </c>
      <c r="N283" s="1" t="str">
        <f>_xlfn.XLOOKUP(B283,'[2]Detail&lt;Child&gt;'!$B:$B,'[2]Detail&lt;Child&gt;'!$N:$N)</f>
        <v>Supporter</v>
      </c>
      <c r="O283" s="1" t="s">
        <v>167</v>
      </c>
      <c r="P283" s="33">
        <v>0</v>
      </c>
      <c r="Q283" s="68" t="str" cm="1">
        <f t="array" ref="Q283">_xlfn.IFS(R283="Move","Move",R283="NonTargetMove","Move",R283="Static","Stand",R283="None","Stand")</f>
        <v>Stand</v>
      </c>
      <c r="R283" s="1" t="s">
        <v>136</v>
      </c>
      <c r="S283" s="1">
        <f>IF(R283="Static",0,1)</f>
        <v>0</v>
      </c>
      <c r="T283" s="2" t="str">
        <f t="shared" si="72"/>
        <v>Immediately</v>
      </c>
      <c r="U283" s="2" t="str" cm="1">
        <f t="array" ref="U283">_xlfn.IFS(T283="SignalHIt","TurnEnd",T283="AttackBegin","TurnEnd",T283="AttackEnd","TurnEnd",T283="Immediately","Applied",T283="None","None")</f>
        <v>Applied</v>
      </c>
      <c r="V283" s="2">
        <v>0</v>
      </c>
      <c r="W283" s="1">
        <v>1</v>
      </c>
      <c r="X283" s="8">
        <f t="shared" si="76"/>
        <v>43042921</v>
      </c>
      <c r="Y283" s="1" t="str">
        <f t="shared" si="73"/>
        <v>Immediately</v>
      </c>
      <c r="Z283" s="2" t="str" cm="1">
        <f t="array" ref="Z283">_xlfn.IFS(Y283="SignalHIt","TurnEnd",Y283="AttackBegin","TurnEnd",Y283="AttackEnd","TurnEnd",Y283="Immediately","Applied",Y283="None","None")</f>
        <v>Applied</v>
      </c>
      <c r="AA283" s="2">
        <v>0</v>
      </c>
      <c r="AB283" s="1">
        <v>0</v>
      </c>
      <c r="AC283" s="8">
        <v>0</v>
      </c>
      <c r="AD283" s="2" t="str">
        <f t="shared" si="74"/>
        <v>Immediately</v>
      </c>
      <c r="AE283" s="2" t="str" cm="1">
        <f t="array" ref="AE283">_xlfn.IFS(AD283="SignalHIt","TurnEnd",AD283="AttackBegin","TurnEnd",AD283="AttackEnd","TurnEnd",AD283="Immediately","Applied",AD283="None","None")</f>
        <v>Applied</v>
      </c>
      <c r="AF283" s="2">
        <v>0</v>
      </c>
      <c r="AG283" s="1">
        <v>0</v>
      </c>
      <c r="AH283" s="8">
        <v>0</v>
      </c>
      <c r="AI283" s="2" t="str">
        <f t="shared" si="75"/>
        <v>Immediately</v>
      </c>
      <c r="AJ283" s="2" t="str" cm="1">
        <f t="array" ref="AJ283">_xlfn.IFS(AI283="SignalHIt","TurnEnd",AI283="AttackBegin","TurnEnd",AI283="AttackEnd","TurnEnd",AI283="Immediately","Applied",AI283="None","None")</f>
        <v>Applied</v>
      </c>
      <c r="AK283" s="2">
        <v>0</v>
      </c>
      <c r="AL283" s="8">
        <v>0</v>
      </c>
      <c r="AM283" s="48">
        <v>0</v>
      </c>
      <c r="AN283" s="45" t="str">
        <f>IFERROR(_xlfn.XLOOKUP(W283,Target!$A:$A,Target!$B:$B),"None")</f>
        <v xml:space="preserve"> 자신 1명 </v>
      </c>
      <c r="AO283" s="43" t="str">
        <f>IFERROR(_xlfn.XLOOKUP($X283,'BuffValue&lt;Child&gt;'!$A:$A,'BuffValue&lt;Child&gt;'!$F:$F),"None")</f>
        <v>힐드 패시브 버프당 치명타 확률 증가</v>
      </c>
      <c r="AP283" s="43">
        <f>IFERROR(_xlfn.XLOOKUP($X283,'BuffValue&lt;Child&gt;'!$A:$A,'BuffValue&lt;Child&gt;'!$K:$K),0)</f>
        <v>5000</v>
      </c>
      <c r="AQ283" s="43" t="str">
        <f>IFERROR(_xlfn.XLOOKUP(AB283,Target!$A:$A,Target!$B:$B),"None")</f>
        <v>None</v>
      </c>
      <c r="AR283" s="45" t="str">
        <f>IFERROR(_xlfn.XLOOKUP($AC283,'BuffValue&lt;Child&gt;'!$A:$A,'BuffValue&lt;Child&gt;'!$F:$F),"None")</f>
        <v>None</v>
      </c>
      <c r="AS283" s="45">
        <f>IFERROR(_xlfn.XLOOKUP($AC283,'BuffValue&lt;Child&gt;'!$A:$A,'BuffValue&lt;Child&gt;'!$K:$K),0)</f>
        <v>0</v>
      </c>
      <c r="AT283" s="43" t="str">
        <f>IFERROR(_xlfn.XLOOKUP(AG283,Target!$A:$A,Target!$B:$B),"None")</f>
        <v>None</v>
      </c>
      <c r="AU283" s="43" t="str">
        <f>IFERROR(_xlfn.XLOOKUP($AH283,'BuffValue&lt;Child&gt;'!$A:$A,'BuffValue&lt;Child&gt;'!$F:$F),"None")</f>
        <v>None</v>
      </c>
      <c r="AV283" s="43">
        <f>IFERROR(_xlfn.XLOOKUP($AH283,'BuffValue&lt;Child&gt;'!$A:$A,'BuffValue&lt;Child&gt;'!$K:$K),0)</f>
        <v>0</v>
      </c>
      <c r="AW283" s="43" t="str">
        <f>IFERROR(_xlfn.XLOOKUP(AL283,Target!$A:$A,Target!$B:$B),"None")</f>
        <v>None</v>
      </c>
      <c r="AX283" s="43" t="str">
        <f>IFERROR(_xlfn.XLOOKUP($AM283,'BuffValue&lt;Child&gt;'!$A:$A,'BuffValue&lt;Child&gt;'!$F:$F),"None")</f>
        <v>None</v>
      </c>
      <c r="AY283" s="43">
        <f>IFERROR(_xlfn.XLOOKUP($AM283,#REF!,#REF!),0)</f>
        <v>0</v>
      </c>
    </row>
  </sheetData>
  <autoFilter ref="A3:AZ283" xr:uid="{EFA1E226-1E0B-4119-9BDA-2191A0D76E57}">
    <sortState xmlns:xlrd2="http://schemas.microsoft.com/office/spreadsheetml/2017/richdata2" ref="A4:AY203">
      <sortCondition ref="B3:B203"/>
    </sortState>
  </autoFilter>
  <phoneticPr fontId="1" type="noConversion"/>
  <conditionalFormatting sqref="A1:A1048576">
    <cfRule type="duplicateValues" dxfId="8" priority="2"/>
    <cfRule type="duplicateValues" dxfId="7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52904-FE35-40FF-B018-DDC465D56885}">
  <sheetPr codeName="Sheet3"/>
  <dimension ref="A1:AC423"/>
  <sheetViews>
    <sheetView topLeftCell="A306" zoomScaleNormal="100" workbookViewId="0">
      <selection activeCell="F354" sqref="F354"/>
    </sheetView>
  </sheetViews>
  <sheetFormatPr defaultRowHeight="12" outlineLevelCol="1" x14ac:dyDescent="0.3"/>
  <cols>
    <col min="1" max="1" width="11.25" style="8" customWidth="1"/>
    <col min="2" max="2" width="9.5" style="27" bestFit="1" customWidth="1"/>
    <col min="3" max="3" width="5.875" style="27" bestFit="1" customWidth="1"/>
    <col min="4" max="4" width="8.625" style="27" bestFit="1" customWidth="1"/>
    <col min="5" max="5" width="7.625" style="8" customWidth="1"/>
    <col min="6" max="6" width="29.375" style="7" bestFit="1" customWidth="1"/>
    <col min="7" max="7" width="11.25" style="1" customWidth="1"/>
    <col min="8" max="8" width="13.5" style="1" bestFit="1" customWidth="1"/>
    <col min="9" max="9" width="11.25" style="1" customWidth="1"/>
    <col min="10" max="10" width="7.125" style="1" customWidth="1"/>
    <col min="11" max="11" width="9.75" style="8" bestFit="1" customWidth="1"/>
    <col min="12" max="19" width="9.75" style="8" customWidth="1" outlineLevel="1"/>
    <col min="20" max="20" width="12.125" style="37" bestFit="1" customWidth="1"/>
    <col min="21" max="29" width="14.875" style="1" bestFit="1" customWidth="1"/>
    <col min="30" max="16384" width="9" style="1"/>
  </cols>
  <sheetData>
    <row r="1" spans="1:29" x14ac:dyDescent="0.3">
      <c r="A1" s="8" t="s">
        <v>64</v>
      </c>
      <c r="B1" s="27" t="s">
        <v>4</v>
      </c>
      <c r="C1" s="27" t="s">
        <v>152</v>
      </c>
      <c r="D1" s="27" t="s">
        <v>87</v>
      </c>
      <c r="E1" s="8" t="s">
        <v>14</v>
      </c>
      <c r="F1" s="5" t="s">
        <v>15</v>
      </c>
      <c r="G1" s="2" t="s">
        <v>13</v>
      </c>
      <c r="H1" s="2" t="s">
        <v>60</v>
      </c>
      <c r="I1" s="2" t="s">
        <v>60</v>
      </c>
      <c r="J1" s="2" t="s">
        <v>29</v>
      </c>
      <c r="K1" s="8" t="s">
        <v>17</v>
      </c>
      <c r="L1" s="8" t="s">
        <v>79</v>
      </c>
      <c r="M1" s="8" t="s">
        <v>79</v>
      </c>
      <c r="N1" s="8" t="s">
        <v>79</v>
      </c>
      <c r="O1" s="8" t="s">
        <v>79</v>
      </c>
      <c r="P1" s="8" t="s">
        <v>79</v>
      </c>
      <c r="Q1" s="8" t="s">
        <v>79</v>
      </c>
      <c r="R1" s="8" t="s">
        <v>79</v>
      </c>
      <c r="S1" s="8" t="s">
        <v>79</v>
      </c>
      <c r="T1" s="35" t="s">
        <v>134</v>
      </c>
      <c r="U1" s="1" t="s">
        <v>108</v>
      </c>
      <c r="V1" s="1" t="s">
        <v>108</v>
      </c>
      <c r="W1" s="1" t="s">
        <v>108</v>
      </c>
      <c r="X1" s="1" t="s">
        <v>108</v>
      </c>
      <c r="Y1" s="1" t="s">
        <v>108</v>
      </c>
      <c r="Z1" s="1" t="s">
        <v>108</v>
      </c>
      <c r="AA1" s="1" t="s">
        <v>108</v>
      </c>
      <c r="AB1" s="1" t="s">
        <v>108</v>
      </c>
      <c r="AC1" s="1" t="s">
        <v>108</v>
      </c>
    </row>
    <row r="2" spans="1:29" s="4" customFormat="1" ht="12.75" customHeight="1" x14ac:dyDescent="0.3">
      <c r="A2" s="9" t="s">
        <v>1</v>
      </c>
      <c r="B2" s="28" t="s">
        <v>88</v>
      </c>
      <c r="C2" s="28"/>
      <c r="D2" s="28" t="s">
        <v>88</v>
      </c>
      <c r="E2" s="9" t="s">
        <v>1</v>
      </c>
      <c r="F2" s="6" t="s">
        <v>2</v>
      </c>
      <c r="G2" s="4" t="s">
        <v>1</v>
      </c>
      <c r="H2" s="4" t="s">
        <v>62</v>
      </c>
      <c r="I2" s="4" t="s">
        <v>61</v>
      </c>
      <c r="J2" s="4" t="s">
        <v>1</v>
      </c>
      <c r="K2" s="9" t="s">
        <v>1</v>
      </c>
      <c r="L2" s="9" t="s">
        <v>1</v>
      </c>
      <c r="M2" s="9" t="s">
        <v>1</v>
      </c>
      <c r="N2" s="9" t="s">
        <v>1</v>
      </c>
      <c r="O2" s="9" t="s">
        <v>1</v>
      </c>
      <c r="P2" s="9" t="s">
        <v>1</v>
      </c>
      <c r="Q2" s="9" t="s">
        <v>1</v>
      </c>
      <c r="R2" s="9" t="s">
        <v>1</v>
      </c>
      <c r="S2" s="9" t="s">
        <v>1</v>
      </c>
      <c r="T2" s="36" t="s">
        <v>1</v>
      </c>
      <c r="U2" s="4" t="s">
        <v>1</v>
      </c>
      <c r="V2" s="4" t="s">
        <v>1</v>
      </c>
      <c r="W2" s="4" t="s">
        <v>1</v>
      </c>
      <c r="X2" s="4" t="s">
        <v>1</v>
      </c>
      <c r="Y2" s="4" t="s">
        <v>1</v>
      </c>
      <c r="Z2" s="4" t="s">
        <v>1</v>
      </c>
      <c r="AA2" s="4" t="s">
        <v>1</v>
      </c>
      <c r="AB2" s="4" t="s">
        <v>1</v>
      </c>
      <c r="AC2" s="4" t="s">
        <v>1</v>
      </c>
    </row>
    <row r="3" spans="1:29" x14ac:dyDescent="0.3">
      <c r="K3" s="8" t="s">
        <v>90</v>
      </c>
      <c r="L3" s="8" t="s">
        <v>90</v>
      </c>
      <c r="M3" s="8" t="s">
        <v>90</v>
      </c>
      <c r="N3" s="8" t="s">
        <v>91</v>
      </c>
      <c r="O3" s="8" t="s">
        <v>91</v>
      </c>
      <c r="P3" s="8" t="s">
        <v>91</v>
      </c>
      <c r="Q3" s="8" t="s">
        <v>92</v>
      </c>
      <c r="R3" s="8" t="s">
        <v>92</v>
      </c>
      <c r="S3" s="8" t="s">
        <v>92</v>
      </c>
      <c r="U3" s="8" t="s">
        <v>90</v>
      </c>
      <c r="V3" s="8" t="s">
        <v>90</v>
      </c>
      <c r="W3" s="8" t="s">
        <v>90</v>
      </c>
      <c r="X3" s="8" t="s">
        <v>91</v>
      </c>
      <c r="Y3" s="8" t="s">
        <v>91</v>
      </c>
      <c r="Z3" s="8" t="s">
        <v>91</v>
      </c>
      <c r="AA3" s="8" t="s">
        <v>92</v>
      </c>
      <c r="AB3" s="8" t="s">
        <v>92</v>
      </c>
      <c r="AC3" s="8" t="s">
        <v>92</v>
      </c>
    </row>
    <row r="4" spans="1:29" x14ac:dyDescent="0.3">
      <c r="A4" s="8">
        <v>13041711</v>
      </c>
      <c r="B4" s="27" t="s">
        <v>159</v>
      </c>
      <c r="C4" s="27" t="s">
        <v>151</v>
      </c>
      <c r="D4" s="27" t="s">
        <v>30</v>
      </c>
      <c r="E4" s="8">
        <v>1000001</v>
      </c>
      <c r="F4" s="7" t="str">
        <f>IFERROR(_xlfn.XLOOKUP(E:E,[1]Buff!$A:$A,[1]Buff!$E:$E),"None")</f>
        <v>공용 대미지</v>
      </c>
      <c r="G4" s="1">
        <v>0</v>
      </c>
      <c r="H4" s="1" t="s">
        <v>38</v>
      </c>
      <c r="I4" s="1" t="s">
        <v>38</v>
      </c>
      <c r="J4" s="1">
        <v>100000</v>
      </c>
      <c r="K4" s="8">
        <v>100000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37">
        <v>0</v>
      </c>
      <c r="U4" s="1">
        <v>130417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</row>
    <row r="5" spans="1:29" x14ac:dyDescent="0.3">
      <c r="A5" s="8">
        <v>13041712</v>
      </c>
      <c r="B5" s="27" t="s">
        <v>159</v>
      </c>
      <c r="C5" s="27" t="s">
        <v>151</v>
      </c>
      <c r="D5" s="27" t="s">
        <v>30</v>
      </c>
      <c r="E5" s="8">
        <v>3002303</v>
      </c>
      <c r="F5" s="7" t="str">
        <f>IFERROR(_xlfn.XLOOKUP(E:E,[1]Buff!$A:$A,[1]Buff!$E:$E),"None")</f>
        <v>구미호 패시브 화상</v>
      </c>
      <c r="G5" s="1">
        <v>10311</v>
      </c>
      <c r="H5" s="1" t="s">
        <v>38</v>
      </c>
      <c r="I5" s="1" t="s">
        <v>38</v>
      </c>
      <c r="J5" s="1">
        <v>100000</v>
      </c>
      <c r="K5" s="8">
        <v>30000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37">
        <v>2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</row>
    <row r="6" spans="1:29" x14ac:dyDescent="0.3">
      <c r="A6" s="8">
        <v>23041711</v>
      </c>
      <c r="B6" s="27" t="s">
        <v>159</v>
      </c>
      <c r="C6" s="27" t="s">
        <v>150</v>
      </c>
      <c r="D6" s="27" t="s">
        <v>33</v>
      </c>
      <c r="E6" s="8">
        <v>1000002</v>
      </c>
      <c r="F6" s="7" t="str">
        <f>IFERROR(_xlfn.XLOOKUP(E:E,[1]Buff!$A:$A,[1]Buff!$E:$E),"None")</f>
        <v>액티브 대미지</v>
      </c>
      <c r="G6" s="1">
        <v>0</v>
      </c>
      <c r="H6" s="1" t="s">
        <v>38</v>
      </c>
      <c r="I6" s="1" t="s">
        <v>38</v>
      </c>
      <c r="J6" s="1">
        <v>100000</v>
      </c>
      <c r="K6" s="8">
        <v>30000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37">
        <v>0</v>
      </c>
      <c r="U6" s="1">
        <v>230417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</row>
    <row r="7" spans="1:29" x14ac:dyDescent="0.3">
      <c r="A7" s="8">
        <v>23041712</v>
      </c>
      <c r="B7" s="27" t="s">
        <v>159</v>
      </c>
      <c r="C7" s="27" t="s">
        <v>150</v>
      </c>
      <c r="D7" s="27" t="s">
        <v>33</v>
      </c>
      <c r="E7" s="8">
        <v>3002303</v>
      </c>
      <c r="F7" s="7" t="str">
        <f>IFERROR(_xlfn.XLOOKUP(E:E,[1]Buff!$A:$A,[1]Buff!$E:$E),"None")</f>
        <v>구미호 패시브 화상</v>
      </c>
      <c r="G7" s="1">
        <v>10311</v>
      </c>
      <c r="H7" s="1" t="s">
        <v>38</v>
      </c>
      <c r="I7" s="1" t="s">
        <v>38</v>
      </c>
      <c r="J7" s="1">
        <v>100000</v>
      </c>
      <c r="K7" s="8">
        <v>30000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37">
        <v>2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</row>
    <row r="8" spans="1:29" x14ac:dyDescent="0.3">
      <c r="A8" s="8">
        <v>23041721</v>
      </c>
      <c r="B8" s="27" t="s">
        <v>159</v>
      </c>
      <c r="C8" s="27" t="s">
        <v>150</v>
      </c>
      <c r="D8" s="27" t="s">
        <v>33</v>
      </c>
      <c r="E8" s="8">
        <v>1000002</v>
      </c>
      <c r="F8" s="7" t="str">
        <f>IFERROR(_xlfn.XLOOKUP(E:E,[1]Buff!$A:$A,[1]Buff!$E:$E),"None")</f>
        <v>액티브 대미지</v>
      </c>
      <c r="G8" s="1">
        <v>0</v>
      </c>
      <c r="H8" s="1" t="s">
        <v>38</v>
      </c>
      <c r="I8" s="1" t="s">
        <v>38</v>
      </c>
      <c r="J8" s="1">
        <v>100000</v>
      </c>
      <c r="K8" s="8">
        <v>30000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37">
        <v>0</v>
      </c>
      <c r="U8" s="1">
        <v>230417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</row>
    <row r="9" spans="1:29" x14ac:dyDescent="0.3">
      <c r="A9" s="8">
        <v>23041722</v>
      </c>
      <c r="B9" s="27" t="s">
        <v>159</v>
      </c>
      <c r="C9" s="27" t="s">
        <v>150</v>
      </c>
      <c r="D9" s="27" t="s">
        <v>33</v>
      </c>
      <c r="E9" s="8">
        <v>3002303</v>
      </c>
      <c r="F9" s="7" t="str">
        <f>IFERROR(_xlfn.XLOOKUP(E:E,[1]Buff!$A:$A,[1]Buff!$E:$E),"None")</f>
        <v>구미호 패시브 화상</v>
      </c>
      <c r="G9" s="1">
        <v>10311</v>
      </c>
      <c r="H9" s="1" t="s">
        <v>38</v>
      </c>
      <c r="I9" s="1" t="s">
        <v>38</v>
      </c>
      <c r="J9" s="1">
        <v>100000</v>
      </c>
      <c r="K9" s="8">
        <v>30000</v>
      </c>
      <c r="L9" s="8">
        <v>0</v>
      </c>
      <c r="M9" s="8">
        <v>0</v>
      </c>
      <c r="N9" s="8">
        <v>0</v>
      </c>
      <c r="O9" s="8">
        <v>0</v>
      </c>
      <c r="P9" s="8">
        <v>0</v>
      </c>
      <c r="Q9" s="8">
        <v>0</v>
      </c>
      <c r="R9" s="8">
        <v>0</v>
      </c>
      <c r="S9" s="8">
        <v>0</v>
      </c>
      <c r="T9" s="37">
        <v>2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</row>
    <row r="10" spans="1:29" x14ac:dyDescent="0.3">
      <c r="A10" s="8">
        <v>33041710</v>
      </c>
      <c r="B10" s="27" t="s">
        <v>159</v>
      </c>
      <c r="C10" s="27" t="s">
        <v>150</v>
      </c>
      <c r="D10" s="27" t="s">
        <v>140</v>
      </c>
      <c r="E10" s="8">
        <v>2003202</v>
      </c>
      <c r="F10" s="7" t="str">
        <f>IFERROR(_xlfn.XLOOKUP(E:E,[1]Buff!$A:$A,[1]Buff!$E:$E),"None")</f>
        <v>화상 중 적 대미지 증가</v>
      </c>
      <c r="G10" s="1">
        <v>0</v>
      </c>
      <c r="H10" s="1" t="s">
        <v>38</v>
      </c>
      <c r="I10" s="1" t="s">
        <v>38</v>
      </c>
      <c r="J10" s="1">
        <v>100000</v>
      </c>
      <c r="K10" s="8">
        <v>30000</v>
      </c>
      <c r="L10" s="8">
        <v>1049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37">
        <v>1</v>
      </c>
      <c r="U10" s="1">
        <v>100010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</row>
    <row r="11" spans="1:29" x14ac:dyDescent="0.3">
      <c r="A11" s="8">
        <v>33041711</v>
      </c>
      <c r="B11" s="27" t="s">
        <v>159</v>
      </c>
      <c r="C11" s="27" t="s">
        <v>150</v>
      </c>
      <c r="D11" s="27" t="s">
        <v>140</v>
      </c>
      <c r="E11" s="8">
        <v>1000014</v>
      </c>
      <c r="F11" s="7" t="str">
        <f>IFERROR(_xlfn.XLOOKUP(E:E,[1]Buff!$A:$A,[1]Buff!$E:$E),"None")</f>
        <v>대미지(치명타)</v>
      </c>
      <c r="G11" s="1">
        <v>0</v>
      </c>
      <c r="H11" s="1" t="s">
        <v>38</v>
      </c>
      <c r="I11" s="1" t="s">
        <v>38</v>
      </c>
      <c r="J11" s="1">
        <v>100000</v>
      </c>
      <c r="K11" s="8">
        <v>25000</v>
      </c>
      <c r="L11" s="8">
        <v>1003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37">
        <v>0</v>
      </c>
      <c r="U11" s="1">
        <v>330417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</row>
    <row r="12" spans="1:29" x14ac:dyDescent="0.3">
      <c r="A12" s="8">
        <v>33041720</v>
      </c>
      <c r="B12" s="27" t="s">
        <v>159</v>
      </c>
      <c r="C12" s="27" t="s">
        <v>150</v>
      </c>
      <c r="D12" s="27" t="s">
        <v>140</v>
      </c>
      <c r="E12" s="8">
        <v>2003202</v>
      </c>
      <c r="F12" s="7" t="str">
        <f>IFERROR(_xlfn.XLOOKUP(E:E,[1]Buff!$A:$A,[1]Buff!$E:$E),"None")</f>
        <v>화상 중 적 대미지 증가</v>
      </c>
      <c r="G12" s="1">
        <v>0</v>
      </c>
      <c r="H12" s="1" t="s">
        <v>38</v>
      </c>
      <c r="I12" s="1" t="s">
        <v>38</v>
      </c>
      <c r="J12" s="1">
        <v>100000</v>
      </c>
      <c r="K12" s="8">
        <v>30000</v>
      </c>
      <c r="L12" s="8">
        <v>1049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37">
        <v>1</v>
      </c>
      <c r="U12" s="1">
        <v>100010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</row>
    <row r="13" spans="1:29" x14ac:dyDescent="0.3">
      <c r="A13" s="8">
        <v>33041721</v>
      </c>
      <c r="B13" s="27" t="s">
        <v>159</v>
      </c>
      <c r="C13" s="27" t="s">
        <v>150</v>
      </c>
      <c r="D13" s="27" t="s">
        <v>140</v>
      </c>
      <c r="E13" s="8">
        <v>1000014</v>
      </c>
      <c r="F13" s="7" t="str">
        <f>IFERROR(_xlfn.XLOOKUP(E:E,[1]Buff!$A:$A,[1]Buff!$E:$E),"None")</f>
        <v>대미지(치명타)</v>
      </c>
      <c r="G13" s="1">
        <v>0</v>
      </c>
      <c r="H13" s="1" t="s">
        <v>38</v>
      </c>
      <c r="I13" s="1" t="s">
        <v>38</v>
      </c>
      <c r="J13" s="1">
        <v>100000</v>
      </c>
      <c r="K13" s="8">
        <v>25000</v>
      </c>
      <c r="L13" s="8">
        <v>1003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37">
        <v>0</v>
      </c>
      <c r="U13" s="1">
        <v>330417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</row>
    <row r="14" spans="1:29" x14ac:dyDescent="0.3">
      <c r="A14" s="8">
        <v>33041730</v>
      </c>
      <c r="B14" s="27" t="s">
        <v>159</v>
      </c>
      <c r="C14" s="27" t="s">
        <v>150</v>
      </c>
      <c r="D14" s="27" t="s">
        <v>140</v>
      </c>
      <c r="E14" s="8">
        <v>2003202</v>
      </c>
      <c r="F14" s="7" t="str">
        <f>IFERROR(_xlfn.XLOOKUP(E:E,[1]Buff!$A:$A,[1]Buff!$E:$E),"None")</f>
        <v>화상 중 적 대미지 증가</v>
      </c>
      <c r="G14" s="1">
        <v>0</v>
      </c>
      <c r="H14" s="1" t="s">
        <v>38</v>
      </c>
      <c r="I14" s="1" t="s">
        <v>38</v>
      </c>
      <c r="J14" s="1">
        <v>100000</v>
      </c>
      <c r="K14" s="8">
        <v>30000</v>
      </c>
      <c r="L14" s="8">
        <v>1049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37">
        <v>1</v>
      </c>
      <c r="U14" s="1">
        <v>100010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</row>
    <row r="15" spans="1:29" x14ac:dyDescent="0.3">
      <c r="A15" s="8">
        <v>33041731</v>
      </c>
      <c r="B15" s="27" t="s">
        <v>159</v>
      </c>
      <c r="C15" s="27" t="s">
        <v>150</v>
      </c>
      <c r="D15" s="27" t="s">
        <v>140</v>
      </c>
      <c r="E15" s="8">
        <v>1000014</v>
      </c>
      <c r="F15" s="7" t="str">
        <f>IFERROR(_xlfn.XLOOKUP(E:E,[1]Buff!$A:$A,[1]Buff!$E:$E),"None")</f>
        <v>대미지(치명타)</v>
      </c>
      <c r="G15" s="1">
        <v>0</v>
      </c>
      <c r="H15" s="1" t="s">
        <v>38</v>
      </c>
      <c r="I15" s="1" t="s">
        <v>38</v>
      </c>
      <c r="J15" s="1">
        <v>100000</v>
      </c>
      <c r="K15" s="8">
        <v>25000</v>
      </c>
      <c r="L15" s="8">
        <v>1003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37">
        <v>0</v>
      </c>
      <c r="U15" s="1">
        <v>330417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</row>
    <row r="16" spans="1:29" x14ac:dyDescent="0.3">
      <c r="A16" s="8">
        <v>33041712</v>
      </c>
      <c r="B16" s="27" t="s">
        <v>159</v>
      </c>
      <c r="C16" s="27" t="s">
        <v>150</v>
      </c>
      <c r="D16" s="27" t="s">
        <v>140</v>
      </c>
      <c r="E16" s="8">
        <v>3002303</v>
      </c>
      <c r="F16" s="7" t="str">
        <f>IFERROR(_xlfn.XLOOKUP(E:E,[1]Buff!$A:$A,[1]Buff!$E:$E),"None")</f>
        <v>구미호 패시브 화상</v>
      </c>
      <c r="G16" s="1">
        <v>10311</v>
      </c>
      <c r="H16" s="1" t="s">
        <v>38</v>
      </c>
      <c r="I16" s="1" t="s">
        <v>38</v>
      </c>
      <c r="J16" s="1">
        <v>100000</v>
      </c>
      <c r="K16" s="8">
        <v>30000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37">
        <v>2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</row>
    <row r="17" spans="1:29" x14ac:dyDescent="0.3">
      <c r="A17" s="8">
        <v>33041722</v>
      </c>
      <c r="B17" s="27" t="s">
        <v>159</v>
      </c>
      <c r="C17" s="27" t="s">
        <v>150</v>
      </c>
      <c r="D17" s="27" t="s">
        <v>140</v>
      </c>
      <c r="E17" s="8">
        <v>3002303</v>
      </c>
      <c r="F17" s="7" t="str">
        <f>IFERROR(_xlfn.XLOOKUP(E:E,[1]Buff!$A:$A,[1]Buff!$E:$E),"None")</f>
        <v>구미호 패시브 화상</v>
      </c>
      <c r="G17" s="1">
        <v>10311</v>
      </c>
      <c r="H17" s="1" t="s">
        <v>38</v>
      </c>
      <c r="I17" s="1" t="s">
        <v>38</v>
      </c>
      <c r="J17" s="1">
        <v>100000</v>
      </c>
      <c r="K17" s="8">
        <v>30000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37">
        <v>2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</row>
    <row r="18" spans="1:29" x14ac:dyDescent="0.3">
      <c r="A18" s="8">
        <v>33041732</v>
      </c>
      <c r="B18" s="27" t="s">
        <v>159</v>
      </c>
      <c r="C18" s="27" t="s">
        <v>150</v>
      </c>
      <c r="D18" s="27" t="s">
        <v>140</v>
      </c>
      <c r="E18" s="8">
        <v>3002303</v>
      </c>
      <c r="F18" s="7" t="str">
        <f>IFERROR(_xlfn.XLOOKUP(E:E,[1]Buff!$A:$A,[1]Buff!$E:$E),"None")</f>
        <v>구미호 패시브 화상</v>
      </c>
      <c r="G18" s="1">
        <v>10311</v>
      </c>
      <c r="H18" s="1" t="s">
        <v>38</v>
      </c>
      <c r="I18" s="1" t="s">
        <v>38</v>
      </c>
      <c r="J18" s="1">
        <v>100000</v>
      </c>
      <c r="K18" s="8">
        <v>30000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37">
        <v>2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</row>
    <row r="19" spans="1:29" x14ac:dyDescent="0.3">
      <c r="A19" s="8">
        <v>43041711</v>
      </c>
      <c r="B19" s="27" t="s">
        <v>159</v>
      </c>
      <c r="C19" s="27" t="s">
        <v>150</v>
      </c>
      <c r="D19" s="27" t="s">
        <v>167</v>
      </c>
      <c r="E19" s="8">
        <v>5000000</v>
      </c>
      <c r="F19" s="7" t="str">
        <f>IFERROR(_xlfn.XLOOKUP(E:E,[1]Buff!$A:$A,[1]Buff!$E:$E),"None")</f>
        <v>없음</v>
      </c>
      <c r="G19" s="1">
        <v>0</v>
      </c>
      <c r="H19" s="1" t="s">
        <v>38</v>
      </c>
      <c r="I19" s="1" t="s">
        <v>38</v>
      </c>
      <c r="J19" s="1">
        <v>100000</v>
      </c>
      <c r="K19" s="8">
        <v>0</v>
      </c>
      <c r="L19" s="8">
        <v>1001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37">
        <v>-1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</row>
    <row r="20" spans="1:29" x14ac:dyDescent="0.3">
      <c r="A20" s="8">
        <v>43041721</v>
      </c>
      <c r="B20" s="27" t="s">
        <v>159</v>
      </c>
      <c r="C20" s="27" t="s">
        <v>150</v>
      </c>
      <c r="D20" s="27" t="s">
        <v>167</v>
      </c>
      <c r="E20" s="8">
        <v>5000000</v>
      </c>
      <c r="F20" s="7" t="str">
        <f>IFERROR(_xlfn.XLOOKUP(E:E,[1]Buff!$A:$A,[1]Buff!$E:$E),"None")</f>
        <v>없음</v>
      </c>
      <c r="G20" s="1">
        <v>0</v>
      </c>
      <c r="H20" s="1" t="s">
        <v>38</v>
      </c>
      <c r="I20" s="1" t="s">
        <v>38</v>
      </c>
      <c r="J20" s="1">
        <v>100000</v>
      </c>
      <c r="K20" s="8">
        <v>0</v>
      </c>
      <c r="L20" s="8">
        <v>1001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37">
        <v>-1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</row>
    <row r="21" spans="1:29" s="11" customFormat="1" x14ac:dyDescent="0.3">
      <c r="A21" s="10">
        <v>13052511</v>
      </c>
      <c r="B21" s="31" t="s">
        <v>162</v>
      </c>
      <c r="C21" s="31" t="s">
        <v>151</v>
      </c>
      <c r="D21" s="31" t="s">
        <v>30</v>
      </c>
      <c r="E21" s="10">
        <v>1000001</v>
      </c>
      <c r="F21" s="12" t="str">
        <f>IFERROR(_xlfn.XLOOKUP(E:E,[1]Buff!$A:$A,[1]Buff!$E:$E),"None")</f>
        <v>공용 대미지</v>
      </c>
      <c r="G21" s="11">
        <v>0</v>
      </c>
      <c r="H21" s="11" t="s">
        <v>38</v>
      </c>
      <c r="I21" s="11" t="s">
        <v>38</v>
      </c>
      <c r="J21" s="11">
        <v>100000</v>
      </c>
      <c r="K21" s="10">
        <v>170000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38">
        <v>0</v>
      </c>
      <c r="U21" s="11">
        <v>130525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</row>
    <row r="22" spans="1:29" x14ac:dyDescent="0.3">
      <c r="A22" s="8">
        <v>23052511</v>
      </c>
      <c r="B22" s="27" t="s">
        <v>162</v>
      </c>
      <c r="C22" s="27" t="s">
        <v>150</v>
      </c>
      <c r="D22" s="27" t="s">
        <v>33</v>
      </c>
      <c r="E22" s="8">
        <v>2002201</v>
      </c>
      <c r="F22" s="7" t="str">
        <f>IFERROR(_xlfn.XLOOKUP(E:E,[1]Buff!$A:$A,[1]Buff!$E:$E),"None")</f>
        <v>지속 회복</v>
      </c>
      <c r="G22" s="1">
        <v>0</v>
      </c>
      <c r="H22" s="1" t="s">
        <v>38</v>
      </c>
      <c r="I22" s="1" t="s">
        <v>38</v>
      </c>
      <c r="J22" s="1">
        <v>100000</v>
      </c>
      <c r="K22" s="8">
        <v>100000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37">
        <v>3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</row>
    <row r="23" spans="1:29" x14ac:dyDescent="0.3">
      <c r="A23" s="8">
        <v>23052521</v>
      </c>
      <c r="B23" s="27" t="s">
        <v>162</v>
      </c>
      <c r="C23" s="27" t="s">
        <v>150</v>
      </c>
      <c r="D23" s="27" t="s">
        <v>33</v>
      </c>
      <c r="E23" s="8">
        <v>2002201</v>
      </c>
      <c r="F23" s="7" t="str">
        <f>IFERROR(_xlfn.XLOOKUP(E:E,[1]Buff!$A:$A,[1]Buff!$E:$E),"None")</f>
        <v>지속 회복</v>
      </c>
      <c r="G23" s="1">
        <v>0</v>
      </c>
      <c r="H23" s="1" t="s">
        <v>38</v>
      </c>
      <c r="I23" s="1" t="s">
        <v>38</v>
      </c>
      <c r="J23" s="1">
        <v>100000</v>
      </c>
      <c r="K23" s="8">
        <v>100000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37">
        <v>3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</row>
    <row r="24" spans="1:29" x14ac:dyDescent="0.3">
      <c r="A24" s="8">
        <v>33052511</v>
      </c>
      <c r="B24" s="27" t="s">
        <v>162</v>
      </c>
      <c r="C24" s="27" t="s">
        <v>150</v>
      </c>
      <c r="D24" s="27" t="s">
        <v>140</v>
      </c>
      <c r="E24" s="8">
        <v>1000003</v>
      </c>
      <c r="F24" s="7" t="str">
        <f>IFERROR(_xlfn.XLOOKUP(E:E,[1]Buff!$A:$A,[1]Buff!$E:$E),"None")</f>
        <v>얼티밋 대미지</v>
      </c>
      <c r="G24" s="1">
        <v>0</v>
      </c>
      <c r="H24" s="1" t="s">
        <v>38</v>
      </c>
      <c r="I24" s="1" t="s">
        <v>38</v>
      </c>
      <c r="J24" s="1">
        <v>100000</v>
      </c>
      <c r="K24" s="8">
        <v>80000</v>
      </c>
      <c r="L24" s="8">
        <v>0</v>
      </c>
      <c r="M24" s="8">
        <v>0</v>
      </c>
      <c r="N24" s="8">
        <v>0</v>
      </c>
      <c r="O24" s="8">
        <v>0</v>
      </c>
      <c r="P24" s="8">
        <v>0</v>
      </c>
      <c r="Q24" s="8">
        <v>0</v>
      </c>
      <c r="R24" s="8">
        <v>0</v>
      </c>
      <c r="S24" s="8">
        <v>0</v>
      </c>
      <c r="T24" s="37">
        <v>0</v>
      </c>
      <c r="U24" s="1">
        <v>330525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</row>
    <row r="25" spans="1:29" x14ac:dyDescent="0.3">
      <c r="A25" s="8">
        <v>33052512</v>
      </c>
      <c r="B25" s="27" t="s">
        <v>162</v>
      </c>
      <c r="C25" s="27" t="s">
        <v>150</v>
      </c>
      <c r="D25" s="27" t="s">
        <v>140</v>
      </c>
      <c r="E25" s="8">
        <v>6000045</v>
      </c>
      <c r="F25" s="7" t="str">
        <f>IFERROR(_xlfn.XLOOKUP(E:E,[1]Buff!$A:$A,[1]Buff!$E:$E),"None")</f>
        <v>그릴라 공방체 증가</v>
      </c>
      <c r="G25" s="1">
        <v>0</v>
      </c>
      <c r="H25" s="1" t="s">
        <v>38</v>
      </c>
      <c r="I25" s="1" t="s">
        <v>38</v>
      </c>
      <c r="J25" s="1">
        <v>100000</v>
      </c>
      <c r="K25" s="8">
        <v>9100051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37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</row>
    <row r="26" spans="1:29" x14ac:dyDescent="0.3">
      <c r="A26" s="8">
        <v>33052521</v>
      </c>
      <c r="B26" s="27" t="s">
        <v>162</v>
      </c>
      <c r="C26" s="27" t="s">
        <v>150</v>
      </c>
      <c r="D26" s="27" t="s">
        <v>140</v>
      </c>
      <c r="E26" s="8">
        <v>1000003</v>
      </c>
      <c r="F26" s="7" t="str">
        <f>IFERROR(_xlfn.XLOOKUP(E:E,[1]Buff!$A:$A,[1]Buff!$E:$E),"None")</f>
        <v>얼티밋 대미지</v>
      </c>
      <c r="G26" s="1">
        <v>0</v>
      </c>
      <c r="H26" s="1" t="s">
        <v>38</v>
      </c>
      <c r="I26" s="1" t="s">
        <v>38</v>
      </c>
      <c r="J26" s="1">
        <v>100000</v>
      </c>
      <c r="K26" s="8">
        <v>80000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37">
        <v>0</v>
      </c>
      <c r="U26" s="1">
        <v>330525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</row>
    <row r="27" spans="1:29" x14ac:dyDescent="0.3">
      <c r="A27" s="8">
        <v>33052522</v>
      </c>
      <c r="B27" s="27" t="s">
        <v>162</v>
      </c>
      <c r="C27" s="27" t="s">
        <v>150</v>
      </c>
      <c r="D27" s="27" t="s">
        <v>140</v>
      </c>
      <c r="E27" s="8">
        <v>6000045</v>
      </c>
      <c r="F27" s="7" t="str">
        <f>IFERROR(_xlfn.XLOOKUP(E:E,[1]Buff!$A:$A,[1]Buff!$E:$E),"None")</f>
        <v>그릴라 공방체 증가</v>
      </c>
      <c r="G27" s="1">
        <v>0</v>
      </c>
      <c r="H27" s="1" t="s">
        <v>38</v>
      </c>
      <c r="I27" s="1" t="s">
        <v>38</v>
      </c>
      <c r="J27" s="1">
        <v>100000</v>
      </c>
      <c r="K27" s="8">
        <v>9100051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37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</row>
    <row r="28" spans="1:29" x14ac:dyDescent="0.3">
      <c r="A28" s="8">
        <v>33052531</v>
      </c>
      <c r="B28" s="27" t="s">
        <v>162</v>
      </c>
      <c r="C28" s="27" t="s">
        <v>150</v>
      </c>
      <c r="D28" s="27" t="s">
        <v>140</v>
      </c>
      <c r="E28" s="8">
        <v>1000003</v>
      </c>
      <c r="F28" s="7" t="str">
        <f>IFERROR(_xlfn.XLOOKUP(E:E,[1]Buff!$A:$A,[1]Buff!$E:$E),"None")</f>
        <v>얼티밋 대미지</v>
      </c>
      <c r="G28" s="1">
        <v>0</v>
      </c>
      <c r="H28" s="1" t="s">
        <v>38</v>
      </c>
      <c r="I28" s="1" t="s">
        <v>38</v>
      </c>
      <c r="J28" s="1">
        <v>100000</v>
      </c>
      <c r="K28" s="8">
        <v>80000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37">
        <v>0</v>
      </c>
      <c r="U28" s="1">
        <v>330525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</row>
    <row r="29" spans="1:29" x14ac:dyDescent="0.3">
      <c r="A29" s="8">
        <v>33052532</v>
      </c>
      <c r="B29" s="27" t="s">
        <v>162</v>
      </c>
      <c r="C29" s="27" t="s">
        <v>150</v>
      </c>
      <c r="D29" s="27" t="s">
        <v>140</v>
      </c>
      <c r="E29" s="8">
        <v>6000045</v>
      </c>
      <c r="F29" s="7" t="str">
        <f>IFERROR(_xlfn.XLOOKUP(E:E,[1]Buff!$A:$A,[1]Buff!$E:$E),"None")</f>
        <v>그릴라 공방체 증가</v>
      </c>
      <c r="G29" s="1">
        <v>0</v>
      </c>
      <c r="H29" s="1" t="s">
        <v>38</v>
      </c>
      <c r="I29" s="1" t="s">
        <v>38</v>
      </c>
      <c r="J29" s="1">
        <v>100000</v>
      </c>
      <c r="K29" s="8">
        <v>9100051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37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</row>
    <row r="30" spans="1:29" x14ac:dyDescent="0.3">
      <c r="A30" s="8">
        <v>33052513</v>
      </c>
      <c r="B30" s="27" t="s">
        <v>162</v>
      </c>
      <c r="C30" s="27" t="s">
        <v>150</v>
      </c>
      <c r="D30" s="27" t="s">
        <v>140</v>
      </c>
      <c r="E30" s="8">
        <v>6000046</v>
      </c>
      <c r="F30" s="7" t="str">
        <f>IFERROR(_xlfn.XLOOKUP(E:E,[1]Buff!$A:$A,[1]Buff!$E:$E),"None")</f>
        <v>그릴라 공방체 증가</v>
      </c>
      <c r="G30" s="1">
        <v>0</v>
      </c>
      <c r="H30" s="1" t="s">
        <v>326</v>
      </c>
      <c r="I30" s="1" t="s">
        <v>38</v>
      </c>
      <c r="J30" s="1">
        <v>100000</v>
      </c>
      <c r="K30" s="8">
        <v>9100061</v>
      </c>
      <c r="L30" s="8">
        <v>0</v>
      </c>
      <c r="M30" s="8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37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</row>
    <row r="31" spans="1:29" x14ac:dyDescent="0.3">
      <c r="A31" s="8">
        <v>33052523</v>
      </c>
      <c r="B31" s="27" t="s">
        <v>162</v>
      </c>
      <c r="C31" s="27" t="s">
        <v>150</v>
      </c>
      <c r="D31" s="27" t="s">
        <v>140</v>
      </c>
      <c r="E31" s="8">
        <v>6000046</v>
      </c>
      <c r="F31" s="7" t="str">
        <f>IFERROR(_xlfn.XLOOKUP(E:E,[1]Buff!$A:$A,[1]Buff!$E:$E),"None")</f>
        <v>그릴라 공방체 증가</v>
      </c>
      <c r="G31" s="1">
        <v>0</v>
      </c>
      <c r="H31" s="1" t="s">
        <v>326</v>
      </c>
      <c r="I31" s="1" t="s">
        <v>38</v>
      </c>
      <c r="J31" s="1">
        <v>100000</v>
      </c>
      <c r="K31" s="8">
        <v>9100061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37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</row>
    <row r="32" spans="1:29" x14ac:dyDescent="0.3">
      <c r="A32" s="8">
        <v>33052533</v>
      </c>
      <c r="B32" s="27" t="s">
        <v>162</v>
      </c>
      <c r="C32" s="27" t="s">
        <v>150</v>
      </c>
      <c r="D32" s="27" t="s">
        <v>140</v>
      </c>
      <c r="E32" s="8">
        <v>6000046</v>
      </c>
      <c r="F32" s="7" t="str">
        <f>IFERROR(_xlfn.XLOOKUP(E:E,[1]Buff!$A:$A,[1]Buff!$E:$E),"None")</f>
        <v>그릴라 공방체 증가</v>
      </c>
      <c r="G32" s="1">
        <v>0</v>
      </c>
      <c r="H32" s="1" t="s">
        <v>326</v>
      </c>
      <c r="I32" s="1" t="s">
        <v>38</v>
      </c>
      <c r="J32" s="1">
        <v>100000</v>
      </c>
      <c r="K32" s="8">
        <v>9100061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37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</row>
    <row r="33" spans="1:29" x14ac:dyDescent="0.3">
      <c r="A33" s="8">
        <v>43052511</v>
      </c>
      <c r="B33" s="27" t="s">
        <v>162</v>
      </c>
      <c r="C33" s="27" t="s">
        <v>150</v>
      </c>
      <c r="D33" s="27" t="s">
        <v>167</v>
      </c>
      <c r="E33" s="8">
        <v>5000000</v>
      </c>
      <c r="F33" s="7" t="str">
        <f>IFERROR(_xlfn.XLOOKUP(E:E,[1]Buff!$A:$A,[1]Buff!$E:$E),"None")</f>
        <v>없음</v>
      </c>
      <c r="G33" s="1">
        <v>0</v>
      </c>
      <c r="H33" s="1" t="s">
        <v>38</v>
      </c>
      <c r="I33" s="1" t="s">
        <v>38</v>
      </c>
      <c r="J33" s="1">
        <v>100000</v>
      </c>
      <c r="K33" s="8">
        <v>0</v>
      </c>
      <c r="L33" s="8">
        <v>1001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37">
        <v>-1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</row>
    <row r="34" spans="1:29" x14ac:dyDescent="0.3">
      <c r="A34" s="8">
        <v>43052521</v>
      </c>
      <c r="B34" s="27" t="s">
        <v>162</v>
      </c>
      <c r="C34" s="27" t="s">
        <v>150</v>
      </c>
      <c r="D34" s="27" t="s">
        <v>167</v>
      </c>
      <c r="E34" s="8">
        <v>5000000</v>
      </c>
      <c r="F34" s="7" t="str">
        <f>IFERROR(_xlfn.XLOOKUP(E:E,[1]Buff!$A:$A,[1]Buff!$E:$E),"None")</f>
        <v>없음</v>
      </c>
      <c r="G34" s="1">
        <v>0</v>
      </c>
      <c r="H34" s="1" t="s">
        <v>38</v>
      </c>
      <c r="I34" s="1" t="s">
        <v>38</v>
      </c>
      <c r="J34" s="1">
        <v>100000</v>
      </c>
      <c r="K34" s="8">
        <v>0</v>
      </c>
      <c r="L34" s="8">
        <v>1001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37">
        <v>-1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</row>
    <row r="35" spans="1:29" s="11" customFormat="1" x14ac:dyDescent="0.3">
      <c r="A35" s="10">
        <v>13044211</v>
      </c>
      <c r="B35" s="31" t="s">
        <v>157</v>
      </c>
      <c r="C35" s="31" t="s">
        <v>151</v>
      </c>
      <c r="D35" s="31" t="s">
        <v>30</v>
      </c>
      <c r="E35" s="10">
        <v>1000001</v>
      </c>
      <c r="F35" s="12" t="str">
        <f>IFERROR(_xlfn.XLOOKUP(E:E,[1]Buff!$A:$A,[1]Buff!$E:$E),"None")</f>
        <v>공용 대미지</v>
      </c>
      <c r="G35" s="11">
        <v>0</v>
      </c>
      <c r="H35" s="11" t="s">
        <v>38</v>
      </c>
      <c r="I35" s="11" t="s">
        <v>38</v>
      </c>
      <c r="J35" s="11">
        <v>100000</v>
      </c>
      <c r="K35" s="10">
        <v>150000</v>
      </c>
      <c r="L35" s="10">
        <v>0</v>
      </c>
      <c r="M35" s="10">
        <v>0</v>
      </c>
      <c r="N35" s="10">
        <v>0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38">
        <v>0</v>
      </c>
      <c r="U35" s="11">
        <v>130442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</row>
    <row r="36" spans="1:29" x14ac:dyDescent="0.3">
      <c r="A36" s="8">
        <v>23044211</v>
      </c>
      <c r="B36" s="27" t="s">
        <v>157</v>
      </c>
      <c r="C36" s="27" t="s">
        <v>150</v>
      </c>
      <c r="D36" s="27" t="s">
        <v>33</v>
      </c>
      <c r="E36" s="8">
        <v>1000002</v>
      </c>
      <c r="F36" s="7" t="str">
        <f>IFERROR(_xlfn.XLOOKUP(E:E,[1]Buff!$A:$A,[1]Buff!$E:$E),"None")</f>
        <v>액티브 대미지</v>
      </c>
      <c r="G36" s="1">
        <v>0</v>
      </c>
      <c r="H36" s="1" t="s">
        <v>38</v>
      </c>
      <c r="I36" s="1" t="s">
        <v>38</v>
      </c>
      <c r="J36" s="1">
        <v>100000</v>
      </c>
      <c r="K36" s="8">
        <v>350000</v>
      </c>
      <c r="L36" s="8">
        <v>0</v>
      </c>
      <c r="M36" s="8">
        <v>0</v>
      </c>
      <c r="N36" s="8">
        <v>0</v>
      </c>
      <c r="O36" s="8">
        <v>0</v>
      </c>
      <c r="P36" s="8">
        <v>0</v>
      </c>
      <c r="Q36" s="8">
        <v>0</v>
      </c>
      <c r="R36" s="8">
        <v>0</v>
      </c>
      <c r="S36" s="8">
        <v>0</v>
      </c>
      <c r="T36" s="37">
        <v>0</v>
      </c>
      <c r="U36" s="1">
        <v>230442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</row>
    <row r="37" spans="1:29" x14ac:dyDescent="0.3">
      <c r="A37" s="8">
        <v>23044221</v>
      </c>
      <c r="B37" s="27" t="s">
        <v>157</v>
      </c>
      <c r="C37" s="27" t="s">
        <v>150</v>
      </c>
      <c r="D37" s="27" t="s">
        <v>33</v>
      </c>
      <c r="E37" s="8">
        <v>1000002</v>
      </c>
      <c r="F37" s="7" t="str">
        <f>IFERROR(_xlfn.XLOOKUP(E:E,[1]Buff!$A:$A,[1]Buff!$E:$E),"None")</f>
        <v>액티브 대미지</v>
      </c>
      <c r="G37" s="1">
        <v>0</v>
      </c>
      <c r="H37" s="1" t="s">
        <v>38</v>
      </c>
      <c r="I37" s="1" t="s">
        <v>38</v>
      </c>
      <c r="J37" s="1">
        <v>100000</v>
      </c>
      <c r="K37" s="8">
        <v>350000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37">
        <v>0</v>
      </c>
      <c r="U37" s="1">
        <v>230442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</row>
    <row r="38" spans="1:29" x14ac:dyDescent="0.3">
      <c r="A38" s="8">
        <v>23044212</v>
      </c>
      <c r="B38" s="27" t="s">
        <v>157</v>
      </c>
      <c r="C38" s="27" t="s">
        <v>150</v>
      </c>
      <c r="D38" s="27" t="s">
        <v>33</v>
      </c>
      <c r="E38" s="8">
        <v>2004901</v>
      </c>
      <c r="F38" s="7" t="str">
        <f>IFERROR(_xlfn.XLOOKUP(E:E,[1]Buff!$A:$A,[1]Buff!$E:$E),"None")</f>
        <v>방어력, 회피율 증가</v>
      </c>
      <c r="G38" s="1">
        <v>0</v>
      </c>
      <c r="H38" s="1" t="s">
        <v>38</v>
      </c>
      <c r="I38" s="1" t="s">
        <v>38</v>
      </c>
      <c r="J38" s="1">
        <v>100000</v>
      </c>
      <c r="K38" s="8">
        <v>15000</v>
      </c>
      <c r="L38" s="8">
        <v>1003</v>
      </c>
      <c r="M38" s="8">
        <v>0</v>
      </c>
      <c r="N38" s="8">
        <v>15000</v>
      </c>
      <c r="O38" s="8">
        <v>1013</v>
      </c>
      <c r="P38" s="8">
        <v>0</v>
      </c>
      <c r="Q38" s="8">
        <v>0</v>
      </c>
      <c r="R38" s="8">
        <v>0</v>
      </c>
      <c r="S38" s="8">
        <v>0</v>
      </c>
      <c r="T38" s="37">
        <v>2</v>
      </c>
      <c r="U38" s="1">
        <v>100005</v>
      </c>
      <c r="V38" s="1">
        <v>0</v>
      </c>
      <c r="W38" s="1">
        <v>0</v>
      </c>
      <c r="X38" s="1">
        <v>100005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</row>
    <row r="39" spans="1:29" x14ac:dyDescent="0.3">
      <c r="A39" s="8">
        <v>23044222</v>
      </c>
      <c r="B39" s="27" t="s">
        <v>157</v>
      </c>
      <c r="C39" s="27" t="s">
        <v>150</v>
      </c>
      <c r="D39" s="27" t="s">
        <v>33</v>
      </c>
      <c r="E39" s="8">
        <v>2004901</v>
      </c>
      <c r="F39" s="7" t="str">
        <f>IFERROR(_xlfn.XLOOKUP(E:E,[1]Buff!$A:$A,[1]Buff!$E:$E),"None")</f>
        <v>방어력, 회피율 증가</v>
      </c>
      <c r="G39" s="1">
        <v>0</v>
      </c>
      <c r="H39" s="1" t="s">
        <v>38</v>
      </c>
      <c r="I39" s="1" t="s">
        <v>38</v>
      </c>
      <c r="J39" s="1">
        <v>100000</v>
      </c>
      <c r="K39" s="8">
        <v>15000</v>
      </c>
      <c r="L39" s="8">
        <v>1003</v>
      </c>
      <c r="M39" s="8">
        <v>0</v>
      </c>
      <c r="N39" s="8">
        <v>15000</v>
      </c>
      <c r="O39" s="8">
        <v>1013</v>
      </c>
      <c r="P39" s="8">
        <v>0</v>
      </c>
      <c r="Q39" s="8">
        <v>0</v>
      </c>
      <c r="R39" s="8">
        <v>0</v>
      </c>
      <c r="S39" s="8">
        <v>0</v>
      </c>
      <c r="T39" s="37">
        <v>2</v>
      </c>
      <c r="U39" s="1">
        <v>100005</v>
      </c>
      <c r="V39" s="1">
        <v>0</v>
      </c>
      <c r="W39" s="1">
        <v>0</v>
      </c>
      <c r="X39" s="1">
        <v>100005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</row>
    <row r="40" spans="1:29" ht="12.75" customHeight="1" x14ac:dyDescent="0.3">
      <c r="A40" s="8">
        <v>33044211</v>
      </c>
      <c r="B40" s="27" t="s">
        <v>157</v>
      </c>
      <c r="C40" s="27" t="s">
        <v>150</v>
      </c>
      <c r="D40" s="27" t="s">
        <v>140</v>
      </c>
      <c r="E40" s="8">
        <v>1000003</v>
      </c>
      <c r="F40" s="7" t="str">
        <f>IFERROR(_xlfn.XLOOKUP(E:E,[1]Buff!$A:$A,[1]Buff!$E:$E),"None")</f>
        <v>얼티밋 대미지</v>
      </c>
      <c r="G40" s="1">
        <v>0</v>
      </c>
      <c r="H40" s="1" t="s">
        <v>38</v>
      </c>
      <c r="I40" s="1" t="s">
        <v>38</v>
      </c>
      <c r="J40" s="1">
        <v>100000</v>
      </c>
      <c r="K40" s="8">
        <v>190000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37">
        <v>0</v>
      </c>
      <c r="U40" s="1">
        <v>330442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</row>
    <row r="41" spans="1:29" x14ac:dyDescent="0.3">
      <c r="A41" s="8">
        <v>33044212</v>
      </c>
      <c r="B41" s="27" t="s">
        <v>157</v>
      </c>
      <c r="C41" s="27" t="s">
        <v>150</v>
      </c>
      <c r="D41" s="27" t="s">
        <v>140</v>
      </c>
      <c r="E41" s="8">
        <v>2003001</v>
      </c>
      <c r="F41" s="7" t="str">
        <f>IFERROR(_xlfn.XLOOKUP(E:E,[1]Buff!$A:$A,[1]Buff!$E:$E),"None")</f>
        <v>회복%</v>
      </c>
      <c r="G41" s="1">
        <v>0</v>
      </c>
      <c r="H41" s="1" t="s">
        <v>38</v>
      </c>
      <c r="I41" s="1" t="s">
        <v>38</v>
      </c>
      <c r="J41" s="1">
        <v>100000</v>
      </c>
      <c r="K41" s="8">
        <v>20000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37">
        <v>0</v>
      </c>
      <c r="U41" s="1">
        <v>100010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</row>
    <row r="42" spans="1:29" x14ac:dyDescent="0.3">
      <c r="A42" s="8">
        <v>33044221</v>
      </c>
      <c r="B42" s="27" t="s">
        <v>157</v>
      </c>
      <c r="C42" s="27" t="s">
        <v>150</v>
      </c>
      <c r="D42" s="27" t="s">
        <v>140</v>
      </c>
      <c r="E42" s="8">
        <v>1000003</v>
      </c>
      <c r="F42" s="7" t="str">
        <f>IFERROR(_xlfn.XLOOKUP(E:E,[1]Buff!$A:$A,[1]Buff!$E:$E),"None")</f>
        <v>얼티밋 대미지</v>
      </c>
      <c r="G42" s="1">
        <v>0</v>
      </c>
      <c r="H42" s="1" t="s">
        <v>38</v>
      </c>
      <c r="I42" s="1" t="s">
        <v>38</v>
      </c>
      <c r="J42" s="1">
        <v>100000</v>
      </c>
      <c r="K42" s="8">
        <v>190000</v>
      </c>
      <c r="L42" s="8">
        <v>0</v>
      </c>
      <c r="M42" s="8">
        <v>0</v>
      </c>
      <c r="N42" s="8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37">
        <v>0</v>
      </c>
      <c r="U42" s="1">
        <v>330442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</row>
    <row r="43" spans="1:29" ht="12.75" customHeight="1" x14ac:dyDescent="0.3">
      <c r="A43" s="8">
        <v>33044222</v>
      </c>
      <c r="B43" s="27" t="s">
        <v>157</v>
      </c>
      <c r="C43" s="27" t="s">
        <v>150</v>
      </c>
      <c r="D43" s="27" t="s">
        <v>140</v>
      </c>
      <c r="E43" s="8">
        <v>2003001</v>
      </c>
      <c r="F43" s="7" t="str">
        <f>IFERROR(_xlfn.XLOOKUP(E:E,[1]Buff!$A:$A,[1]Buff!$E:$E),"None")</f>
        <v>회복%</v>
      </c>
      <c r="G43" s="1">
        <v>0</v>
      </c>
      <c r="H43" s="1" t="s">
        <v>38</v>
      </c>
      <c r="I43" s="1" t="s">
        <v>38</v>
      </c>
      <c r="J43" s="1">
        <v>100000</v>
      </c>
      <c r="K43" s="8">
        <v>20000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37">
        <v>0</v>
      </c>
      <c r="U43" s="1">
        <v>100010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</row>
    <row r="44" spans="1:29" x14ac:dyDescent="0.3">
      <c r="A44" s="8">
        <v>33044231</v>
      </c>
      <c r="B44" s="27" t="s">
        <v>157</v>
      </c>
      <c r="C44" s="27" t="s">
        <v>150</v>
      </c>
      <c r="D44" s="27" t="s">
        <v>140</v>
      </c>
      <c r="E44" s="8">
        <v>1000003</v>
      </c>
      <c r="F44" s="7" t="str">
        <f>IFERROR(_xlfn.XLOOKUP(E:E,[1]Buff!$A:$A,[1]Buff!$E:$E),"None")</f>
        <v>얼티밋 대미지</v>
      </c>
      <c r="G44" s="1">
        <v>0</v>
      </c>
      <c r="H44" s="1" t="s">
        <v>38</v>
      </c>
      <c r="I44" s="1" t="s">
        <v>38</v>
      </c>
      <c r="J44" s="1">
        <v>100000</v>
      </c>
      <c r="K44" s="8">
        <v>190000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37">
        <v>0</v>
      </c>
      <c r="U44" s="1">
        <v>330442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</row>
    <row r="45" spans="1:29" x14ac:dyDescent="0.3">
      <c r="A45" s="8">
        <v>33044232</v>
      </c>
      <c r="B45" s="27" t="s">
        <v>157</v>
      </c>
      <c r="C45" s="27" t="s">
        <v>150</v>
      </c>
      <c r="D45" s="27" t="s">
        <v>140</v>
      </c>
      <c r="E45" s="8">
        <v>2003001</v>
      </c>
      <c r="F45" s="7" t="str">
        <f>IFERROR(_xlfn.XLOOKUP(E:E,[1]Buff!$A:$A,[1]Buff!$E:$E),"None")</f>
        <v>회복%</v>
      </c>
      <c r="G45" s="1">
        <v>0</v>
      </c>
      <c r="H45" s="1" t="s">
        <v>38</v>
      </c>
      <c r="I45" s="1" t="s">
        <v>38</v>
      </c>
      <c r="J45" s="1">
        <v>100000</v>
      </c>
      <c r="K45" s="8">
        <v>20000</v>
      </c>
      <c r="L45" s="8">
        <v>0</v>
      </c>
      <c r="M45" s="8">
        <v>0</v>
      </c>
      <c r="N45" s="8">
        <v>0</v>
      </c>
      <c r="O45" s="8">
        <v>0</v>
      </c>
      <c r="P45" s="8">
        <v>0</v>
      </c>
      <c r="Q45" s="8">
        <v>0</v>
      </c>
      <c r="R45" s="8">
        <v>0</v>
      </c>
      <c r="S45" s="8">
        <v>0</v>
      </c>
      <c r="T45" s="37">
        <v>0</v>
      </c>
      <c r="U45" s="1">
        <v>100010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</row>
    <row r="46" spans="1:29" x14ac:dyDescent="0.3">
      <c r="A46" s="8">
        <v>43044211</v>
      </c>
      <c r="B46" s="27" t="s">
        <v>157</v>
      </c>
      <c r="C46" s="27" t="s">
        <v>150</v>
      </c>
      <c r="D46" s="27" t="s">
        <v>167</v>
      </c>
      <c r="E46" s="8">
        <v>2007302</v>
      </c>
      <c r="F46" s="7" t="str">
        <f>IFERROR(_xlfn.XLOOKUP(E:E,[1]Buff!$A:$A,[1]Buff!$E:$E),"None")</f>
        <v>니르티 패시브 * 죽은 아군 수</v>
      </c>
      <c r="G46" s="1">
        <v>0</v>
      </c>
      <c r="H46" s="1" t="s">
        <v>38</v>
      </c>
      <c r="I46" s="1" t="s">
        <v>38</v>
      </c>
      <c r="J46" s="1">
        <v>100000</v>
      </c>
      <c r="K46" s="8">
        <v>30000</v>
      </c>
      <c r="L46" s="8">
        <v>1001</v>
      </c>
      <c r="M46" s="8">
        <v>0</v>
      </c>
      <c r="N46" s="8">
        <v>30000</v>
      </c>
      <c r="O46" s="8">
        <v>1003</v>
      </c>
      <c r="P46" s="8">
        <v>0</v>
      </c>
      <c r="Q46" s="8">
        <v>30000</v>
      </c>
      <c r="R46" s="8">
        <v>1005</v>
      </c>
      <c r="S46" s="8">
        <v>0</v>
      </c>
      <c r="T46" s="37">
        <v>-1</v>
      </c>
      <c r="U46" s="1">
        <v>100005</v>
      </c>
      <c r="V46" s="1">
        <v>0</v>
      </c>
      <c r="W46" s="1">
        <v>0</v>
      </c>
      <c r="X46" s="1">
        <v>100005</v>
      </c>
      <c r="Y46" s="1">
        <v>0</v>
      </c>
      <c r="Z46" s="1">
        <v>0</v>
      </c>
      <c r="AA46" s="1">
        <v>100005</v>
      </c>
      <c r="AB46" s="1">
        <v>0</v>
      </c>
      <c r="AC46" s="1">
        <v>0</v>
      </c>
    </row>
    <row r="47" spans="1:29" x14ac:dyDescent="0.3">
      <c r="A47" s="8">
        <v>43044221</v>
      </c>
      <c r="B47" s="27" t="s">
        <v>157</v>
      </c>
      <c r="C47" s="27" t="s">
        <v>150</v>
      </c>
      <c r="D47" s="27" t="s">
        <v>167</v>
      </c>
      <c r="E47" s="8">
        <v>2007302</v>
      </c>
      <c r="F47" s="7" t="str">
        <f>IFERROR(_xlfn.XLOOKUP(E:E,[1]Buff!$A:$A,[1]Buff!$E:$E),"None")</f>
        <v>니르티 패시브 * 죽은 아군 수</v>
      </c>
      <c r="G47" s="1">
        <v>0</v>
      </c>
      <c r="H47" s="1" t="s">
        <v>38</v>
      </c>
      <c r="I47" s="1" t="s">
        <v>38</v>
      </c>
      <c r="J47" s="1">
        <v>100000</v>
      </c>
      <c r="K47" s="8">
        <v>30000</v>
      </c>
      <c r="L47" s="8">
        <v>1001</v>
      </c>
      <c r="M47" s="8">
        <v>0</v>
      </c>
      <c r="N47" s="8">
        <v>30000</v>
      </c>
      <c r="O47" s="8">
        <v>1003</v>
      </c>
      <c r="P47" s="8">
        <v>0</v>
      </c>
      <c r="Q47" s="8">
        <v>30000</v>
      </c>
      <c r="R47" s="8">
        <v>1005</v>
      </c>
      <c r="S47" s="8">
        <v>0</v>
      </c>
      <c r="T47" s="37">
        <v>-1</v>
      </c>
      <c r="U47" s="1">
        <v>100005</v>
      </c>
      <c r="V47" s="1">
        <v>0</v>
      </c>
      <c r="W47" s="1">
        <v>0</v>
      </c>
      <c r="X47" s="1">
        <v>100005</v>
      </c>
      <c r="Y47" s="1">
        <v>0</v>
      </c>
      <c r="Z47" s="1">
        <v>0</v>
      </c>
      <c r="AA47" s="1">
        <v>100005</v>
      </c>
      <c r="AB47" s="1">
        <v>0</v>
      </c>
      <c r="AC47" s="1">
        <v>0</v>
      </c>
    </row>
    <row r="48" spans="1:29" s="11" customFormat="1" x14ac:dyDescent="0.3">
      <c r="A48" s="10">
        <v>13018311</v>
      </c>
      <c r="B48" s="31" t="s">
        <v>101</v>
      </c>
      <c r="C48" s="31" t="s">
        <v>151</v>
      </c>
      <c r="D48" s="31" t="s">
        <v>30</v>
      </c>
      <c r="E48" s="10">
        <v>1000001</v>
      </c>
      <c r="F48" s="12" t="str">
        <f>IFERROR(_xlfn.XLOOKUP(E:E,[1]Buff!$A:$A,[1]Buff!$E:$E),"None")</f>
        <v>공용 대미지</v>
      </c>
      <c r="G48" s="11">
        <v>0</v>
      </c>
      <c r="H48" s="11" t="s">
        <v>38</v>
      </c>
      <c r="I48" s="11" t="s">
        <v>38</v>
      </c>
      <c r="J48" s="11">
        <v>100000</v>
      </c>
      <c r="K48" s="10">
        <v>285000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0</v>
      </c>
      <c r="T48" s="38">
        <v>0</v>
      </c>
      <c r="U48" s="11">
        <v>130183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</row>
    <row r="49" spans="1:29" x14ac:dyDescent="0.3">
      <c r="A49" s="8">
        <v>23018311</v>
      </c>
      <c r="B49" s="27" t="s">
        <v>101</v>
      </c>
      <c r="C49" s="27" t="s">
        <v>150</v>
      </c>
      <c r="D49" s="27" t="s">
        <v>33</v>
      </c>
      <c r="E49" s="8">
        <v>9900001</v>
      </c>
      <c r="F49" s="7" t="str">
        <f>IFERROR(_xlfn.XLOOKUP(E:E,[1]Buff!$A:$A,[1]Buff!$E:$E),"None")</f>
        <v>다나 전용 회복</v>
      </c>
      <c r="G49" s="1">
        <v>0</v>
      </c>
      <c r="H49" s="1" t="s">
        <v>38</v>
      </c>
      <c r="I49" s="1" t="s">
        <v>38</v>
      </c>
      <c r="J49" s="1">
        <v>100000</v>
      </c>
      <c r="K49" s="8">
        <v>25000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37">
        <v>0</v>
      </c>
      <c r="U49" s="1">
        <v>100010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</row>
    <row r="50" spans="1:29" x14ac:dyDescent="0.3">
      <c r="A50" s="8">
        <v>23018321</v>
      </c>
      <c r="B50" s="27" t="s">
        <v>101</v>
      </c>
      <c r="C50" s="27" t="s">
        <v>150</v>
      </c>
      <c r="D50" s="27" t="s">
        <v>33</v>
      </c>
      <c r="E50" s="8">
        <v>9900001</v>
      </c>
      <c r="F50" s="7" t="str">
        <f>IFERROR(_xlfn.XLOOKUP(E:E,[1]Buff!$A:$A,[1]Buff!$E:$E),"None")</f>
        <v>다나 전용 회복</v>
      </c>
      <c r="G50" s="1">
        <v>0</v>
      </c>
      <c r="H50" s="1" t="s">
        <v>38</v>
      </c>
      <c r="I50" s="1" t="s">
        <v>38</v>
      </c>
      <c r="J50" s="1">
        <v>100000</v>
      </c>
      <c r="K50" s="8">
        <v>25000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37">
        <v>0</v>
      </c>
      <c r="U50" s="1">
        <v>100010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</row>
    <row r="51" spans="1:29" x14ac:dyDescent="0.3">
      <c r="A51" s="8">
        <v>33018311</v>
      </c>
      <c r="B51" s="27" t="s">
        <v>101</v>
      </c>
      <c r="C51" s="27" t="s">
        <v>150</v>
      </c>
      <c r="D51" s="27" t="s">
        <v>140</v>
      </c>
      <c r="E51" s="8">
        <v>9900001</v>
      </c>
      <c r="F51" s="7" t="str">
        <f>IFERROR(_xlfn.XLOOKUP(E:E,[1]Buff!$A:$A,[1]Buff!$E:$E),"None")</f>
        <v>다나 전용 회복</v>
      </c>
      <c r="G51" s="1">
        <v>0</v>
      </c>
      <c r="H51" s="1" t="s">
        <v>38</v>
      </c>
      <c r="I51" s="1" t="s">
        <v>38</v>
      </c>
      <c r="J51" s="1">
        <v>100000</v>
      </c>
      <c r="K51" s="8">
        <v>30000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37">
        <v>0</v>
      </c>
      <c r="U51" s="1">
        <v>100010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</row>
    <row r="52" spans="1:29" x14ac:dyDescent="0.3">
      <c r="A52" s="8">
        <v>33018321</v>
      </c>
      <c r="B52" s="27" t="s">
        <v>101</v>
      </c>
      <c r="C52" s="27" t="s">
        <v>150</v>
      </c>
      <c r="D52" s="27" t="s">
        <v>140</v>
      </c>
      <c r="E52" s="8">
        <v>9900001</v>
      </c>
      <c r="F52" s="7" t="str">
        <f>IFERROR(_xlfn.XLOOKUP(E:E,[1]Buff!$A:$A,[1]Buff!$E:$E),"None")</f>
        <v>다나 전용 회복</v>
      </c>
      <c r="G52" s="1">
        <v>0</v>
      </c>
      <c r="H52" s="1" t="s">
        <v>38</v>
      </c>
      <c r="I52" s="1" t="s">
        <v>38</v>
      </c>
      <c r="J52" s="1">
        <v>100000</v>
      </c>
      <c r="K52" s="8">
        <v>30000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37">
        <v>0</v>
      </c>
      <c r="U52" s="1">
        <v>100010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</row>
    <row r="53" spans="1:29" x14ac:dyDescent="0.3">
      <c r="A53" s="8">
        <v>33018331</v>
      </c>
      <c r="B53" s="27" t="s">
        <v>101</v>
      </c>
      <c r="C53" s="27" t="s">
        <v>150</v>
      </c>
      <c r="D53" s="27" t="s">
        <v>140</v>
      </c>
      <c r="E53" s="8">
        <v>9900001</v>
      </c>
      <c r="F53" s="7" t="str">
        <f>IFERROR(_xlfn.XLOOKUP(E:E,[1]Buff!$A:$A,[1]Buff!$E:$E),"None")</f>
        <v>다나 전용 회복</v>
      </c>
      <c r="G53" s="1">
        <v>0</v>
      </c>
      <c r="H53" s="1" t="s">
        <v>38</v>
      </c>
      <c r="I53" s="1" t="s">
        <v>38</v>
      </c>
      <c r="J53" s="1">
        <v>100000</v>
      </c>
      <c r="K53" s="8">
        <v>30000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37">
        <v>0</v>
      </c>
      <c r="U53" s="1">
        <v>100010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</row>
    <row r="54" spans="1:29" x14ac:dyDescent="0.3">
      <c r="A54" s="8">
        <v>33018312</v>
      </c>
      <c r="B54" s="27" t="s">
        <v>101</v>
      </c>
      <c r="C54" s="27" t="s">
        <v>150</v>
      </c>
      <c r="D54" s="27" t="s">
        <v>140</v>
      </c>
      <c r="E54" s="8">
        <v>2000104</v>
      </c>
      <c r="F54" s="7" t="str">
        <f>IFERROR(_xlfn.XLOOKUP(E:E,[1]Buff!$A:$A,[1]Buff!$E:$E),"None")</f>
        <v>공격력 증가</v>
      </c>
      <c r="G54" s="1">
        <v>0</v>
      </c>
      <c r="H54" s="1" t="s">
        <v>326</v>
      </c>
      <c r="I54" s="1" t="s">
        <v>38</v>
      </c>
      <c r="J54" s="1">
        <v>100000</v>
      </c>
      <c r="K54" s="8">
        <v>20000</v>
      </c>
      <c r="L54" s="8">
        <v>1001</v>
      </c>
      <c r="M54" s="8">
        <v>0</v>
      </c>
      <c r="N54" s="8">
        <v>0</v>
      </c>
      <c r="O54" s="8">
        <v>0</v>
      </c>
      <c r="P54" s="8">
        <v>0</v>
      </c>
      <c r="Q54" s="8">
        <v>0</v>
      </c>
      <c r="R54" s="8">
        <v>0</v>
      </c>
      <c r="S54" s="8">
        <v>0</v>
      </c>
      <c r="T54" s="37">
        <v>3</v>
      </c>
      <c r="U54" s="1">
        <v>100010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</row>
    <row r="55" spans="1:29" x14ac:dyDescent="0.3">
      <c r="A55" s="8">
        <v>33018322</v>
      </c>
      <c r="B55" s="27" t="s">
        <v>101</v>
      </c>
      <c r="C55" s="27" t="s">
        <v>150</v>
      </c>
      <c r="D55" s="27" t="s">
        <v>140</v>
      </c>
      <c r="E55" s="8">
        <v>2000104</v>
      </c>
      <c r="F55" s="7" t="str">
        <f>IFERROR(_xlfn.XLOOKUP(E:E,[1]Buff!$A:$A,[1]Buff!$E:$E),"None")</f>
        <v>공격력 증가</v>
      </c>
      <c r="G55" s="1">
        <v>0</v>
      </c>
      <c r="H55" s="1" t="s">
        <v>326</v>
      </c>
      <c r="I55" s="1" t="s">
        <v>38</v>
      </c>
      <c r="J55" s="1">
        <v>100000</v>
      </c>
      <c r="K55" s="8">
        <v>20000</v>
      </c>
      <c r="L55" s="8">
        <v>1001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37">
        <v>3</v>
      </c>
      <c r="U55" s="1">
        <v>100010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</row>
    <row r="56" spans="1:29" x14ac:dyDescent="0.3">
      <c r="A56" s="8">
        <v>33018332</v>
      </c>
      <c r="B56" s="27" t="s">
        <v>101</v>
      </c>
      <c r="C56" s="27" t="s">
        <v>150</v>
      </c>
      <c r="D56" s="27" t="s">
        <v>140</v>
      </c>
      <c r="E56" s="8">
        <v>2000104</v>
      </c>
      <c r="F56" s="7" t="str">
        <f>IFERROR(_xlfn.XLOOKUP(E:E,[1]Buff!$A:$A,[1]Buff!$E:$E),"None")</f>
        <v>공격력 증가</v>
      </c>
      <c r="G56" s="1">
        <v>0</v>
      </c>
      <c r="H56" s="1" t="s">
        <v>326</v>
      </c>
      <c r="I56" s="1" t="s">
        <v>38</v>
      </c>
      <c r="J56" s="1">
        <v>100000</v>
      </c>
      <c r="K56" s="8">
        <v>20000</v>
      </c>
      <c r="L56" s="8">
        <v>1001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37">
        <v>3</v>
      </c>
      <c r="U56" s="1">
        <v>100010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</row>
    <row r="57" spans="1:29" x14ac:dyDescent="0.3">
      <c r="A57" s="8">
        <v>43018311</v>
      </c>
      <c r="B57" s="27" t="s">
        <v>101</v>
      </c>
      <c r="C57" s="27" t="s">
        <v>150</v>
      </c>
      <c r="D57" s="27" t="s">
        <v>167</v>
      </c>
      <c r="E57" s="8">
        <v>3000201</v>
      </c>
      <c r="F57" s="7" t="str">
        <f>IFERROR(_xlfn.XLOOKUP(E:E,[1]Buff!$A:$A,[1]Buff!$E:$E),"None")</f>
        <v>방어력 감소</v>
      </c>
      <c r="G57" s="1">
        <v>0</v>
      </c>
      <c r="H57" s="1" t="s">
        <v>38</v>
      </c>
      <c r="I57" s="1" t="s">
        <v>38</v>
      </c>
      <c r="J57" s="1">
        <v>100000</v>
      </c>
      <c r="K57" s="8">
        <v>-15000</v>
      </c>
      <c r="L57" s="8">
        <v>1003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37">
        <v>-1</v>
      </c>
      <c r="U57" s="1">
        <v>200010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</row>
    <row r="58" spans="1:29" x14ac:dyDescent="0.3">
      <c r="A58" s="8">
        <v>43018321</v>
      </c>
      <c r="B58" s="27" t="s">
        <v>101</v>
      </c>
      <c r="C58" s="27" t="s">
        <v>150</v>
      </c>
      <c r="D58" s="27" t="s">
        <v>167</v>
      </c>
      <c r="E58" s="8">
        <v>3000201</v>
      </c>
      <c r="F58" s="7" t="str">
        <f>IFERROR(_xlfn.XLOOKUP(E:E,[1]Buff!$A:$A,[1]Buff!$E:$E),"None")</f>
        <v>방어력 감소</v>
      </c>
      <c r="G58" s="1">
        <v>0</v>
      </c>
      <c r="H58" s="1" t="s">
        <v>38</v>
      </c>
      <c r="I58" s="1" t="s">
        <v>38</v>
      </c>
      <c r="J58" s="1">
        <v>100000</v>
      </c>
      <c r="K58" s="8">
        <v>-15000</v>
      </c>
      <c r="L58" s="8">
        <v>1003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37">
        <v>-1</v>
      </c>
      <c r="U58" s="1">
        <v>200010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</row>
    <row r="59" spans="1:29" s="11" customFormat="1" x14ac:dyDescent="0.3">
      <c r="A59" s="10">
        <v>13000311</v>
      </c>
      <c r="B59" s="31" t="s">
        <v>213</v>
      </c>
      <c r="C59" s="31" t="s">
        <v>150</v>
      </c>
      <c r="D59" s="31" t="s">
        <v>30</v>
      </c>
      <c r="E59" s="10">
        <v>1000001</v>
      </c>
      <c r="F59" s="12" t="str">
        <f>IFERROR(_xlfn.XLOOKUP(E:E,[1]Buff!$A:$A,[1]Buff!$E:$E),"None")</f>
        <v>공용 대미지</v>
      </c>
      <c r="G59" s="11">
        <v>0</v>
      </c>
      <c r="H59" s="11" t="s">
        <v>38</v>
      </c>
      <c r="I59" s="11" t="s">
        <v>38</v>
      </c>
      <c r="J59" s="11">
        <v>100000</v>
      </c>
      <c r="K59" s="10">
        <v>120000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38">
        <v>0</v>
      </c>
      <c r="U59" s="11">
        <v>130003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</row>
    <row r="60" spans="1:29" x14ac:dyDescent="0.3">
      <c r="A60" s="8">
        <v>23000311</v>
      </c>
      <c r="B60" s="27" t="s">
        <v>213</v>
      </c>
      <c r="C60" s="27" t="s">
        <v>150</v>
      </c>
      <c r="D60" s="27" t="s">
        <v>33</v>
      </c>
      <c r="E60" s="8">
        <v>1000002</v>
      </c>
      <c r="F60" s="7" t="str">
        <f>IFERROR(_xlfn.XLOOKUP(E:E,[1]Buff!$A:$A,[1]Buff!$E:$E),"None")</f>
        <v>액티브 대미지</v>
      </c>
      <c r="G60" s="1">
        <v>0</v>
      </c>
      <c r="H60" s="1" t="s">
        <v>38</v>
      </c>
      <c r="I60" s="1" t="s">
        <v>38</v>
      </c>
      <c r="J60" s="1">
        <v>100000</v>
      </c>
      <c r="K60" s="8">
        <v>120000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37">
        <v>0</v>
      </c>
      <c r="U60" s="1">
        <v>230003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</row>
    <row r="61" spans="1:29" x14ac:dyDescent="0.3">
      <c r="A61" s="8">
        <v>23000312</v>
      </c>
      <c r="B61" s="27" t="s">
        <v>213</v>
      </c>
      <c r="C61" s="27" t="s">
        <v>150</v>
      </c>
      <c r="D61" s="27" t="s">
        <v>33</v>
      </c>
      <c r="E61" s="8">
        <v>3002301</v>
      </c>
      <c r="F61" s="7" t="str">
        <f>IFERROR(_xlfn.XLOOKUP(E:E,[1]Buff!$A:$A,[1]Buff!$E:$E),"None")</f>
        <v>다비 액티브 화상</v>
      </c>
      <c r="G61" s="1">
        <v>0</v>
      </c>
      <c r="H61" s="1" t="s">
        <v>38</v>
      </c>
      <c r="I61" s="1" t="s">
        <v>38</v>
      </c>
      <c r="J61" s="1">
        <v>100000</v>
      </c>
      <c r="K61" s="8">
        <v>30000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37">
        <v>2</v>
      </c>
      <c r="U61" s="1">
        <v>100010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</row>
    <row r="62" spans="1:29" x14ac:dyDescent="0.3">
      <c r="A62" s="8">
        <v>23000321</v>
      </c>
      <c r="B62" s="27" t="s">
        <v>213</v>
      </c>
      <c r="C62" s="27" t="s">
        <v>150</v>
      </c>
      <c r="D62" s="27" t="s">
        <v>33</v>
      </c>
      <c r="E62" s="8">
        <v>1000002</v>
      </c>
      <c r="F62" s="7" t="str">
        <f>IFERROR(_xlfn.XLOOKUP(E:E,[1]Buff!$A:$A,[1]Buff!$E:$E),"None")</f>
        <v>액티브 대미지</v>
      </c>
      <c r="G62" s="1">
        <v>0</v>
      </c>
      <c r="H62" s="1" t="s">
        <v>38</v>
      </c>
      <c r="I62" s="1" t="s">
        <v>38</v>
      </c>
      <c r="J62" s="1">
        <v>100000</v>
      </c>
      <c r="K62" s="8">
        <v>120000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37">
        <v>0</v>
      </c>
      <c r="U62" s="1">
        <v>230003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</row>
    <row r="63" spans="1:29" x14ac:dyDescent="0.3">
      <c r="A63" s="8">
        <v>23000322</v>
      </c>
      <c r="B63" s="27" t="s">
        <v>213</v>
      </c>
      <c r="C63" s="27" t="s">
        <v>150</v>
      </c>
      <c r="D63" s="27" t="s">
        <v>33</v>
      </c>
      <c r="E63" s="8">
        <v>3002301</v>
      </c>
      <c r="F63" s="7" t="str">
        <f>IFERROR(_xlfn.XLOOKUP(E:E,[1]Buff!$A:$A,[1]Buff!$E:$E),"None")</f>
        <v>다비 액티브 화상</v>
      </c>
      <c r="G63" s="1">
        <v>0</v>
      </c>
      <c r="H63" s="1" t="s">
        <v>38</v>
      </c>
      <c r="I63" s="1" t="s">
        <v>38</v>
      </c>
      <c r="J63" s="1">
        <v>100000</v>
      </c>
      <c r="K63" s="8">
        <v>30000</v>
      </c>
      <c r="L63" s="8">
        <v>0</v>
      </c>
      <c r="M63" s="8">
        <v>0</v>
      </c>
      <c r="N63" s="8">
        <v>0</v>
      </c>
      <c r="O63" s="8">
        <v>0</v>
      </c>
      <c r="P63" s="8">
        <v>0</v>
      </c>
      <c r="Q63" s="8">
        <v>0</v>
      </c>
      <c r="R63" s="8">
        <v>0</v>
      </c>
      <c r="S63" s="8">
        <v>0</v>
      </c>
      <c r="T63" s="37">
        <v>2</v>
      </c>
      <c r="U63" s="1">
        <v>100010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</row>
    <row r="64" spans="1:29" x14ac:dyDescent="0.3">
      <c r="A64" s="8">
        <v>23000313</v>
      </c>
      <c r="B64" s="27" t="s">
        <v>213</v>
      </c>
      <c r="C64" s="27" t="s">
        <v>150</v>
      </c>
      <c r="D64" s="27" t="s">
        <v>33</v>
      </c>
      <c r="E64" s="8">
        <v>3002301</v>
      </c>
      <c r="F64" s="7" t="str">
        <f>IFERROR(_xlfn.XLOOKUP(E:E,[1]Buff!$A:$A,[1]Buff!$E:$E),"None")</f>
        <v>다비 액티브 화상</v>
      </c>
      <c r="G64" s="1">
        <v>0</v>
      </c>
      <c r="H64" s="1" t="s">
        <v>38</v>
      </c>
      <c r="I64" s="1" t="s">
        <v>38</v>
      </c>
      <c r="J64" s="1">
        <v>10000</v>
      </c>
      <c r="K64" s="8">
        <v>30000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37">
        <v>2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</row>
    <row r="65" spans="1:29" x14ac:dyDescent="0.3">
      <c r="A65" s="8">
        <v>23000323</v>
      </c>
      <c r="B65" s="27" t="s">
        <v>213</v>
      </c>
      <c r="C65" s="27" t="s">
        <v>150</v>
      </c>
      <c r="D65" s="27" t="s">
        <v>33</v>
      </c>
      <c r="E65" s="8">
        <v>3002301</v>
      </c>
      <c r="F65" s="7" t="str">
        <f>IFERROR(_xlfn.XLOOKUP(E:E,[1]Buff!$A:$A,[1]Buff!$E:$E),"None")</f>
        <v>다비 액티브 화상</v>
      </c>
      <c r="G65" s="1">
        <v>0</v>
      </c>
      <c r="H65" s="1" t="s">
        <v>38</v>
      </c>
      <c r="I65" s="1" t="s">
        <v>38</v>
      </c>
      <c r="J65" s="1">
        <v>10000</v>
      </c>
      <c r="K65" s="8">
        <v>30000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37">
        <v>2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</row>
    <row r="66" spans="1:29" x14ac:dyDescent="0.3">
      <c r="A66" s="8">
        <v>33000311</v>
      </c>
      <c r="B66" s="27" t="s">
        <v>213</v>
      </c>
      <c r="C66" s="27" t="s">
        <v>150</v>
      </c>
      <c r="D66" s="27" t="s">
        <v>140</v>
      </c>
      <c r="E66" s="8">
        <v>1000003</v>
      </c>
      <c r="F66" s="7" t="str">
        <f>IFERROR(_xlfn.XLOOKUP(E:E,[1]Buff!$A:$A,[1]Buff!$E:$E),"None")</f>
        <v>얼티밋 대미지</v>
      </c>
      <c r="G66" s="1">
        <v>0</v>
      </c>
      <c r="H66" s="1" t="s">
        <v>38</v>
      </c>
      <c r="I66" s="1" t="s">
        <v>38</v>
      </c>
      <c r="J66" s="1">
        <v>100000</v>
      </c>
      <c r="K66" s="8">
        <v>65000</v>
      </c>
      <c r="L66" s="8">
        <v>0</v>
      </c>
      <c r="M66" s="8">
        <v>0</v>
      </c>
      <c r="N66" s="8">
        <v>0</v>
      </c>
      <c r="O66" s="8">
        <v>0</v>
      </c>
      <c r="P66" s="8">
        <v>0</v>
      </c>
      <c r="Q66" s="8">
        <v>0</v>
      </c>
      <c r="R66" s="8">
        <v>0</v>
      </c>
      <c r="S66" s="8">
        <v>0</v>
      </c>
      <c r="T66" s="37">
        <v>0</v>
      </c>
      <c r="U66" s="1">
        <v>330003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</row>
    <row r="67" spans="1:29" x14ac:dyDescent="0.3">
      <c r="A67" s="8">
        <v>33000312</v>
      </c>
      <c r="B67" s="27" t="s">
        <v>213</v>
      </c>
      <c r="C67" s="27" t="s">
        <v>150</v>
      </c>
      <c r="D67" s="27" t="s">
        <v>140</v>
      </c>
      <c r="E67" s="8">
        <v>3002301</v>
      </c>
      <c r="F67" s="7" t="str">
        <f>IFERROR(_xlfn.XLOOKUP(E:E,[1]Buff!$A:$A,[1]Buff!$E:$E),"None")</f>
        <v>다비 액티브 화상</v>
      </c>
      <c r="G67" s="1">
        <v>0</v>
      </c>
      <c r="H67" s="1" t="s">
        <v>38</v>
      </c>
      <c r="I67" s="1" t="s">
        <v>38</v>
      </c>
      <c r="J67" s="1">
        <v>100000</v>
      </c>
      <c r="K67" s="8">
        <v>30000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37">
        <v>2</v>
      </c>
      <c r="U67" s="1">
        <v>100015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</row>
    <row r="68" spans="1:29" x14ac:dyDescent="0.3">
      <c r="A68" s="8">
        <v>33000321</v>
      </c>
      <c r="B68" s="27" t="s">
        <v>213</v>
      </c>
      <c r="C68" s="27" t="s">
        <v>150</v>
      </c>
      <c r="D68" s="27" t="s">
        <v>140</v>
      </c>
      <c r="E68" s="8">
        <v>1000003</v>
      </c>
      <c r="F68" s="7" t="str">
        <f>IFERROR(_xlfn.XLOOKUP(E:E,[1]Buff!$A:$A,[1]Buff!$E:$E),"None")</f>
        <v>얼티밋 대미지</v>
      </c>
      <c r="G68" s="1">
        <v>0</v>
      </c>
      <c r="H68" s="1" t="s">
        <v>38</v>
      </c>
      <c r="I68" s="1" t="s">
        <v>38</v>
      </c>
      <c r="J68" s="1">
        <v>100000</v>
      </c>
      <c r="K68" s="8">
        <v>65000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37">
        <v>0</v>
      </c>
      <c r="U68" s="1">
        <v>330003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</row>
    <row r="69" spans="1:29" x14ac:dyDescent="0.3">
      <c r="A69" s="8">
        <v>33000322</v>
      </c>
      <c r="B69" s="27" t="s">
        <v>213</v>
      </c>
      <c r="C69" s="27" t="s">
        <v>150</v>
      </c>
      <c r="D69" s="27" t="s">
        <v>140</v>
      </c>
      <c r="E69" s="8">
        <v>3002301</v>
      </c>
      <c r="F69" s="7" t="str">
        <f>IFERROR(_xlfn.XLOOKUP(E:E,[1]Buff!$A:$A,[1]Buff!$E:$E),"None")</f>
        <v>다비 액티브 화상</v>
      </c>
      <c r="G69" s="1">
        <v>0</v>
      </c>
      <c r="H69" s="1" t="s">
        <v>38</v>
      </c>
      <c r="I69" s="1" t="s">
        <v>38</v>
      </c>
      <c r="J69" s="1">
        <v>100000</v>
      </c>
      <c r="K69" s="8">
        <v>30000</v>
      </c>
      <c r="L69" s="8">
        <v>0</v>
      </c>
      <c r="M69" s="8">
        <v>0</v>
      </c>
      <c r="N69" s="8">
        <v>0</v>
      </c>
      <c r="O69" s="8">
        <v>0</v>
      </c>
      <c r="P69" s="8">
        <v>0</v>
      </c>
      <c r="Q69" s="8">
        <v>0</v>
      </c>
      <c r="R69" s="8">
        <v>0</v>
      </c>
      <c r="S69" s="8">
        <v>0</v>
      </c>
      <c r="T69" s="37">
        <v>3</v>
      </c>
      <c r="U69" s="1">
        <v>100015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</row>
    <row r="70" spans="1:29" x14ac:dyDescent="0.3">
      <c r="A70" s="8">
        <v>33000331</v>
      </c>
      <c r="B70" s="27" t="s">
        <v>213</v>
      </c>
      <c r="C70" s="27" t="s">
        <v>150</v>
      </c>
      <c r="D70" s="27" t="s">
        <v>140</v>
      </c>
      <c r="E70" s="8">
        <v>1000003</v>
      </c>
      <c r="F70" s="7" t="str">
        <f>IFERROR(_xlfn.XLOOKUP(E:E,[1]Buff!$A:$A,[1]Buff!$E:$E),"None")</f>
        <v>얼티밋 대미지</v>
      </c>
      <c r="G70" s="1">
        <v>0</v>
      </c>
      <c r="H70" s="1" t="s">
        <v>38</v>
      </c>
      <c r="I70" s="1" t="s">
        <v>38</v>
      </c>
      <c r="J70" s="1">
        <v>100000</v>
      </c>
      <c r="K70" s="8">
        <v>65000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37">
        <v>0</v>
      </c>
      <c r="U70" s="1">
        <v>330003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</row>
    <row r="71" spans="1:29" x14ac:dyDescent="0.3">
      <c r="A71" s="8">
        <v>33000332</v>
      </c>
      <c r="B71" s="27" t="s">
        <v>213</v>
      </c>
      <c r="C71" s="27" t="s">
        <v>150</v>
      </c>
      <c r="D71" s="27" t="s">
        <v>140</v>
      </c>
      <c r="E71" s="8">
        <v>3002301</v>
      </c>
      <c r="F71" s="7" t="str">
        <f>IFERROR(_xlfn.XLOOKUP(E:E,[1]Buff!$A:$A,[1]Buff!$E:$E),"None")</f>
        <v>다비 액티브 화상</v>
      </c>
      <c r="G71" s="1">
        <v>0</v>
      </c>
      <c r="H71" s="1" t="s">
        <v>38</v>
      </c>
      <c r="I71" s="1" t="s">
        <v>38</v>
      </c>
      <c r="J71" s="1">
        <v>100000</v>
      </c>
      <c r="K71" s="8">
        <v>30000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37">
        <v>3</v>
      </c>
      <c r="U71" s="1">
        <v>100015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</row>
    <row r="72" spans="1:29" x14ac:dyDescent="0.3">
      <c r="A72" s="8">
        <v>33000313</v>
      </c>
      <c r="B72" s="27" t="s">
        <v>213</v>
      </c>
      <c r="C72" s="27" t="s">
        <v>150</v>
      </c>
      <c r="D72" s="27" t="s">
        <v>140</v>
      </c>
      <c r="E72" s="8">
        <v>3002301</v>
      </c>
      <c r="F72" s="7" t="str">
        <f>IFERROR(_xlfn.XLOOKUP(E:E,[1]Buff!$A:$A,[1]Buff!$E:$E),"None")</f>
        <v>다비 액티브 화상</v>
      </c>
      <c r="G72" s="1">
        <v>0</v>
      </c>
      <c r="H72" s="1" t="s">
        <v>38</v>
      </c>
      <c r="I72" s="1" t="s">
        <v>38</v>
      </c>
      <c r="J72" s="1">
        <v>10000</v>
      </c>
      <c r="K72" s="8">
        <v>30000</v>
      </c>
      <c r="L72" s="8">
        <v>0</v>
      </c>
      <c r="M72" s="8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37">
        <v>2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</row>
    <row r="73" spans="1:29" x14ac:dyDescent="0.3">
      <c r="A73" s="8">
        <v>33000323</v>
      </c>
      <c r="B73" s="27" t="s">
        <v>213</v>
      </c>
      <c r="C73" s="27" t="s">
        <v>150</v>
      </c>
      <c r="D73" s="27" t="s">
        <v>140</v>
      </c>
      <c r="E73" s="8">
        <v>3002301</v>
      </c>
      <c r="F73" s="7" t="str">
        <f>IFERROR(_xlfn.XLOOKUP(E:E,[1]Buff!$A:$A,[1]Buff!$E:$E),"None")</f>
        <v>다비 액티브 화상</v>
      </c>
      <c r="G73" s="1">
        <v>0</v>
      </c>
      <c r="H73" s="1" t="s">
        <v>38</v>
      </c>
      <c r="I73" s="1" t="s">
        <v>38</v>
      </c>
      <c r="J73" s="1">
        <v>10000</v>
      </c>
      <c r="K73" s="8">
        <v>30000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37">
        <v>3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</row>
    <row r="74" spans="1:29" x14ac:dyDescent="0.3">
      <c r="A74" s="8">
        <v>33000333</v>
      </c>
      <c r="B74" s="27" t="s">
        <v>213</v>
      </c>
      <c r="C74" s="27" t="s">
        <v>150</v>
      </c>
      <c r="D74" s="27" t="s">
        <v>140</v>
      </c>
      <c r="E74" s="8">
        <v>3002301</v>
      </c>
      <c r="F74" s="7" t="str">
        <f>IFERROR(_xlfn.XLOOKUP(E:E,[1]Buff!$A:$A,[1]Buff!$E:$E),"None")</f>
        <v>다비 액티브 화상</v>
      </c>
      <c r="G74" s="1">
        <v>0</v>
      </c>
      <c r="H74" s="1" t="s">
        <v>38</v>
      </c>
      <c r="I74" s="1" t="s">
        <v>38</v>
      </c>
      <c r="J74" s="1">
        <v>10000</v>
      </c>
      <c r="K74" s="8">
        <v>30000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37">
        <v>3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</row>
    <row r="75" spans="1:29" x14ac:dyDescent="0.3">
      <c r="A75" s="8">
        <v>43000311</v>
      </c>
      <c r="B75" s="27" t="s">
        <v>213</v>
      </c>
      <c r="C75" s="27" t="s">
        <v>150</v>
      </c>
      <c r="D75" s="27" t="s">
        <v>167</v>
      </c>
      <c r="E75" s="8">
        <v>5000000</v>
      </c>
      <c r="F75" s="7" t="str">
        <f>IFERROR(_xlfn.XLOOKUP(E:E,[1]Buff!$A:$A,[1]Buff!$E:$E),"None")</f>
        <v>없음</v>
      </c>
      <c r="G75" s="1">
        <v>0</v>
      </c>
      <c r="H75" s="1" t="s">
        <v>38</v>
      </c>
      <c r="I75" s="1" t="s">
        <v>38</v>
      </c>
      <c r="J75" s="1">
        <v>100000</v>
      </c>
      <c r="K75" s="8">
        <v>0</v>
      </c>
      <c r="L75" s="8">
        <v>1001</v>
      </c>
      <c r="M75" s="8">
        <v>0</v>
      </c>
      <c r="N75" s="8">
        <v>0</v>
      </c>
      <c r="O75" s="8">
        <v>0</v>
      </c>
      <c r="P75" s="8">
        <v>0</v>
      </c>
      <c r="Q75" s="8">
        <v>0</v>
      </c>
      <c r="R75" s="8">
        <v>0</v>
      </c>
      <c r="S75" s="8">
        <v>0</v>
      </c>
      <c r="T75" s="37">
        <v>-1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</row>
    <row r="76" spans="1:29" x14ac:dyDescent="0.3">
      <c r="A76" s="8">
        <v>43000321</v>
      </c>
      <c r="B76" s="27" t="s">
        <v>213</v>
      </c>
      <c r="C76" s="27" t="s">
        <v>150</v>
      </c>
      <c r="D76" s="27" t="s">
        <v>167</v>
      </c>
      <c r="E76" s="8">
        <v>5000000</v>
      </c>
      <c r="F76" s="7" t="str">
        <f>IFERROR(_xlfn.XLOOKUP(E:E,[1]Buff!$A:$A,[1]Buff!$E:$E),"None")</f>
        <v>없음</v>
      </c>
      <c r="G76" s="1">
        <v>0</v>
      </c>
      <c r="H76" s="1" t="s">
        <v>38</v>
      </c>
      <c r="I76" s="1" t="s">
        <v>38</v>
      </c>
      <c r="J76" s="1">
        <v>100000</v>
      </c>
      <c r="K76" s="8">
        <v>0</v>
      </c>
      <c r="L76" s="8">
        <v>1001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37">
        <v>-1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</row>
    <row r="77" spans="1:29" s="11" customFormat="1" x14ac:dyDescent="0.3">
      <c r="A77" s="10">
        <v>13050211</v>
      </c>
      <c r="B77" s="31" t="s">
        <v>158</v>
      </c>
      <c r="C77" s="31" t="s">
        <v>151</v>
      </c>
      <c r="D77" s="31" t="s">
        <v>30</v>
      </c>
      <c r="E77" s="10">
        <v>1000001</v>
      </c>
      <c r="F77" s="12" t="str">
        <f>IFERROR(_xlfn.XLOOKUP(E:E,[1]Buff!$A:$A,[1]Buff!$E:$E),"None")</f>
        <v>공용 대미지</v>
      </c>
      <c r="G77" s="11">
        <v>0</v>
      </c>
      <c r="H77" s="11" t="s">
        <v>38</v>
      </c>
      <c r="I77" s="11" t="s">
        <v>38</v>
      </c>
      <c r="J77" s="11">
        <v>100000</v>
      </c>
      <c r="K77" s="10">
        <v>175000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38">
        <v>0</v>
      </c>
      <c r="U77" s="11">
        <v>130502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</row>
    <row r="78" spans="1:29" x14ac:dyDescent="0.3">
      <c r="A78" s="8">
        <v>23050211</v>
      </c>
      <c r="B78" s="27" t="s">
        <v>158</v>
      </c>
      <c r="C78" s="27" t="s">
        <v>150</v>
      </c>
      <c r="D78" s="27" t="s">
        <v>33</v>
      </c>
      <c r="E78" s="8">
        <v>1000002</v>
      </c>
      <c r="F78" s="7" t="str">
        <f>IFERROR(_xlfn.XLOOKUP(E:E,[1]Buff!$A:$A,[1]Buff!$E:$E),"None")</f>
        <v>액티브 대미지</v>
      </c>
      <c r="G78" s="1">
        <v>0</v>
      </c>
      <c r="H78" s="1" t="s">
        <v>38</v>
      </c>
      <c r="I78" s="1" t="s">
        <v>38</v>
      </c>
      <c r="J78" s="1">
        <v>100000</v>
      </c>
      <c r="K78" s="8">
        <v>200000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37">
        <v>0</v>
      </c>
      <c r="U78" s="1">
        <v>230502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</row>
    <row r="79" spans="1:29" x14ac:dyDescent="0.3">
      <c r="A79" s="8">
        <v>23050221</v>
      </c>
      <c r="B79" s="27" t="s">
        <v>158</v>
      </c>
      <c r="C79" s="27" t="s">
        <v>150</v>
      </c>
      <c r="D79" s="27" t="s">
        <v>33</v>
      </c>
      <c r="E79" s="8">
        <v>1000002</v>
      </c>
      <c r="F79" s="7" t="str">
        <f>IFERROR(_xlfn.XLOOKUP(E:E,[1]Buff!$A:$A,[1]Buff!$E:$E),"None")</f>
        <v>액티브 대미지</v>
      </c>
      <c r="G79" s="1">
        <v>0</v>
      </c>
      <c r="H79" s="1" t="s">
        <v>38</v>
      </c>
      <c r="I79" s="1" t="s">
        <v>38</v>
      </c>
      <c r="J79" s="1">
        <v>100000</v>
      </c>
      <c r="K79" s="8">
        <v>200000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37">
        <v>0</v>
      </c>
      <c r="U79" s="1">
        <v>230502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</row>
    <row r="80" spans="1:29" x14ac:dyDescent="0.3">
      <c r="A80" s="8">
        <v>23050212</v>
      </c>
      <c r="B80" s="27" t="s">
        <v>158</v>
      </c>
      <c r="C80" s="27" t="s">
        <v>150</v>
      </c>
      <c r="D80" s="27" t="s">
        <v>33</v>
      </c>
      <c r="E80" s="8">
        <v>3002501</v>
      </c>
      <c r="F80" s="7" t="str">
        <f>IFERROR(_xlfn.XLOOKUP(E:E,[1]Buff!$A:$A,[1]Buff!$E:$E),"None")</f>
        <v>재능 중독</v>
      </c>
      <c r="G80" s="1">
        <v>0</v>
      </c>
      <c r="H80" s="1" t="s">
        <v>38</v>
      </c>
      <c r="I80" s="1" t="s">
        <v>38</v>
      </c>
      <c r="J80" s="1">
        <v>100000</v>
      </c>
      <c r="K80" s="8">
        <v>15000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37">
        <v>3</v>
      </c>
      <c r="U80" s="1">
        <v>100010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</row>
    <row r="81" spans="1:29" x14ac:dyDescent="0.3">
      <c r="A81" s="8">
        <v>23050222</v>
      </c>
      <c r="B81" s="27" t="s">
        <v>158</v>
      </c>
      <c r="C81" s="27" t="s">
        <v>150</v>
      </c>
      <c r="D81" s="27" t="s">
        <v>33</v>
      </c>
      <c r="E81" s="8">
        <v>3002501</v>
      </c>
      <c r="F81" s="7" t="str">
        <f>IFERROR(_xlfn.XLOOKUP(E:E,[1]Buff!$A:$A,[1]Buff!$E:$E),"None")</f>
        <v>재능 중독</v>
      </c>
      <c r="G81" s="1">
        <v>0</v>
      </c>
      <c r="H81" s="1" t="s">
        <v>38</v>
      </c>
      <c r="I81" s="1" t="s">
        <v>38</v>
      </c>
      <c r="J81" s="1">
        <v>100000</v>
      </c>
      <c r="K81" s="8">
        <v>15000</v>
      </c>
      <c r="L81" s="8">
        <v>0</v>
      </c>
      <c r="M81" s="8">
        <v>0</v>
      </c>
      <c r="N81" s="8">
        <v>0</v>
      </c>
      <c r="O81" s="8">
        <v>0</v>
      </c>
      <c r="P81" s="8">
        <v>0</v>
      </c>
      <c r="Q81" s="8">
        <v>0</v>
      </c>
      <c r="R81" s="8">
        <v>0</v>
      </c>
      <c r="S81" s="8">
        <v>0</v>
      </c>
      <c r="T81" s="37">
        <v>3</v>
      </c>
      <c r="U81" s="1">
        <v>100010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</row>
    <row r="82" spans="1:29" x14ac:dyDescent="0.3">
      <c r="A82" s="8">
        <v>33050211</v>
      </c>
      <c r="B82" s="27" t="s">
        <v>158</v>
      </c>
      <c r="C82" s="27" t="s">
        <v>150</v>
      </c>
      <c r="D82" s="27" t="s">
        <v>140</v>
      </c>
      <c r="E82" s="8">
        <v>1000003</v>
      </c>
      <c r="F82" s="7" t="str">
        <f>IFERROR(_xlfn.XLOOKUP(E:E,[1]Buff!$A:$A,[1]Buff!$E:$E),"None")</f>
        <v>얼티밋 대미지</v>
      </c>
      <c r="G82" s="1">
        <v>0</v>
      </c>
      <c r="H82" s="1" t="s">
        <v>38</v>
      </c>
      <c r="I82" s="1" t="s">
        <v>38</v>
      </c>
      <c r="J82" s="1">
        <v>100000</v>
      </c>
      <c r="K82" s="8">
        <v>220000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37">
        <v>0</v>
      </c>
      <c r="U82" s="1">
        <v>330502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</row>
    <row r="83" spans="1:29" x14ac:dyDescent="0.3">
      <c r="A83" s="8">
        <v>33050221</v>
      </c>
      <c r="B83" s="27" t="s">
        <v>158</v>
      </c>
      <c r="C83" s="27" t="s">
        <v>150</v>
      </c>
      <c r="D83" s="27" t="s">
        <v>140</v>
      </c>
      <c r="E83" s="8">
        <v>1000003</v>
      </c>
      <c r="F83" s="7" t="str">
        <f>IFERROR(_xlfn.XLOOKUP(E:E,[1]Buff!$A:$A,[1]Buff!$E:$E),"None")</f>
        <v>얼티밋 대미지</v>
      </c>
      <c r="G83" s="1">
        <v>0</v>
      </c>
      <c r="H83" s="1" t="s">
        <v>38</v>
      </c>
      <c r="I83" s="1" t="s">
        <v>38</v>
      </c>
      <c r="J83" s="1">
        <v>100000</v>
      </c>
      <c r="K83" s="8">
        <v>220000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37">
        <v>0</v>
      </c>
      <c r="U83" s="1">
        <v>330502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</row>
    <row r="84" spans="1:29" x14ac:dyDescent="0.3">
      <c r="A84" s="8">
        <v>33050231</v>
      </c>
      <c r="B84" s="27" t="s">
        <v>158</v>
      </c>
      <c r="C84" s="27" t="s">
        <v>150</v>
      </c>
      <c r="D84" s="27" t="s">
        <v>140</v>
      </c>
      <c r="E84" s="8">
        <v>1000003</v>
      </c>
      <c r="F84" s="7" t="str">
        <f>IFERROR(_xlfn.XLOOKUP(E:E,[1]Buff!$A:$A,[1]Buff!$E:$E),"None")</f>
        <v>얼티밋 대미지</v>
      </c>
      <c r="G84" s="1">
        <v>0</v>
      </c>
      <c r="H84" s="1" t="s">
        <v>38</v>
      </c>
      <c r="I84" s="1" t="s">
        <v>38</v>
      </c>
      <c r="J84" s="1">
        <v>100000</v>
      </c>
      <c r="K84" s="8">
        <v>220000</v>
      </c>
      <c r="L84" s="8">
        <v>0</v>
      </c>
      <c r="M84" s="8">
        <v>0</v>
      </c>
      <c r="N84" s="8">
        <v>0</v>
      </c>
      <c r="O84" s="8">
        <v>0</v>
      </c>
      <c r="P84" s="8">
        <v>0</v>
      </c>
      <c r="Q84" s="8">
        <v>0</v>
      </c>
      <c r="R84" s="8">
        <v>0</v>
      </c>
      <c r="S84" s="8">
        <v>0</v>
      </c>
      <c r="T84" s="37">
        <v>0</v>
      </c>
      <c r="U84" s="1">
        <v>330502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</row>
    <row r="85" spans="1:29" x14ac:dyDescent="0.3">
      <c r="A85" s="8">
        <v>33050210</v>
      </c>
      <c r="B85" s="27" t="s">
        <v>158</v>
      </c>
      <c r="C85" s="27" t="s">
        <v>150</v>
      </c>
      <c r="D85" s="27" t="s">
        <v>140</v>
      </c>
      <c r="E85" s="8">
        <v>2003201</v>
      </c>
      <c r="F85" s="7" t="str">
        <f>IFERROR(_xlfn.XLOOKUP(E:E,[1]Buff!$A:$A,[1]Buff!$E:$E),"None")</f>
        <v>맹독 중 적 대미지 증가</v>
      </c>
      <c r="G85" s="1">
        <v>0</v>
      </c>
      <c r="H85" s="1" t="s">
        <v>38</v>
      </c>
      <c r="I85" s="1" t="s">
        <v>38</v>
      </c>
      <c r="J85" s="1">
        <v>100000</v>
      </c>
      <c r="K85" s="8">
        <v>30000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37">
        <v>1</v>
      </c>
      <c r="U85" s="1">
        <v>100015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</row>
    <row r="86" spans="1:29" x14ac:dyDescent="0.3">
      <c r="A86" s="8">
        <v>33050220</v>
      </c>
      <c r="B86" s="27" t="s">
        <v>158</v>
      </c>
      <c r="C86" s="27" t="s">
        <v>150</v>
      </c>
      <c r="D86" s="27" t="s">
        <v>140</v>
      </c>
      <c r="E86" s="8">
        <v>2003201</v>
      </c>
      <c r="F86" s="7" t="str">
        <f>IFERROR(_xlfn.XLOOKUP(E:E,[1]Buff!$A:$A,[1]Buff!$E:$E),"None")</f>
        <v>맹독 중 적 대미지 증가</v>
      </c>
      <c r="G86" s="1">
        <v>0</v>
      </c>
      <c r="H86" s="1" t="s">
        <v>38</v>
      </c>
      <c r="I86" s="1" t="s">
        <v>38</v>
      </c>
      <c r="J86" s="1">
        <v>100000</v>
      </c>
      <c r="K86" s="8">
        <v>30000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37">
        <v>1</v>
      </c>
      <c r="U86" s="1">
        <v>100015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</row>
    <row r="87" spans="1:29" x14ac:dyDescent="0.3">
      <c r="A87" s="8">
        <v>33050230</v>
      </c>
      <c r="B87" s="27" t="s">
        <v>158</v>
      </c>
      <c r="C87" s="27" t="s">
        <v>150</v>
      </c>
      <c r="D87" s="27" t="s">
        <v>140</v>
      </c>
      <c r="E87" s="8">
        <v>2003201</v>
      </c>
      <c r="F87" s="7" t="str">
        <f>IFERROR(_xlfn.XLOOKUP(E:E,[1]Buff!$A:$A,[1]Buff!$E:$E),"None")</f>
        <v>맹독 중 적 대미지 증가</v>
      </c>
      <c r="G87" s="1">
        <v>0</v>
      </c>
      <c r="H87" s="1" t="s">
        <v>38</v>
      </c>
      <c r="I87" s="1" t="s">
        <v>38</v>
      </c>
      <c r="J87" s="1">
        <v>100000</v>
      </c>
      <c r="K87" s="8">
        <v>30000</v>
      </c>
      <c r="L87" s="8">
        <v>0</v>
      </c>
      <c r="M87" s="8">
        <v>0</v>
      </c>
      <c r="N87" s="8">
        <v>0</v>
      </c>
      <c r="O87" s="8">
        <v>0</v>
      </c>
      <c r="P87" s="8">
        <v>0</v>
      </c>
      <c r="Q87" s="8">
        <v>0</v>
      </c>
      <c r="R87" s="8">
        <v>0</v>
      </c>
      <c r="S87" s="8">
        <v>0</v>
      </c>
      <c r="T87" s="37">
        <v>1</v>
      </c>
      <c r="U87" s="1">
        <v>100015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</row>
    <row r="88" spans="1:29" x14ac:dyDescent="0.3">
      <c r="A88" s="8">
        <v>43050211</v>
      </c>
      <c r="B88" s="27" t="s">
        <v>158</v>
      </c>
      <c r="C88" s="27" t="s">
        <v>150</v>
      </c>
      <c r="D88" s="27" t="s">
        <v>167</v>
      </c>
      <c r="E88" s="8">
        <v>6000055</v>
      </c>
      <c r="F88" s="7" t="str">
        <f>IFERROR(_xlfn.XLOOKUP(E:E,[1]Buff!$A:$A,[1]Buff!$E:$E),"None")</f>
        <v>도계화 패시브 (공증, 속감)</v>
      </c>
      <c r="G88" s="1">
        <v>0</v>
      </c>
      <c r="H88" s="1" t="s">
        <v>323</v>
      </c>
      <c r="I88" s="1" t="s">
        <v>38</v>
      </c>
      <c r="J88" s="1">
        <v>100000</v>
      </c>
      <c r="K88" s="59">
        <v>9100071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37">
        <v>-1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</row>
    <row r="89" spans="1:29" x14ac:dyDescent="0.3">
      <c r="A89" s="8">
        <v>43050221</v>
      </c>
      <c r="B89" s="27" t="s">
        <v>158</v>
      </c>
      <c r="C89" s="27" t="s">
        <v>150</v>
      </c>
      <c r="D89" s="27" t="s">
        <v>167</v>
      </c>
      <c r="E89" s="8">
        <v>6000055</v>
      </c>
      <c r="F89" s="7" t="str">
        <f>IFERROR(_xlfn.XLOOKUP(E:E,[1]Buff!$A:$A,[1]Buff!$E:$E),"None")</f>
        <v>도계화 패시브 (공증, 속감)</v>
      </c>
      <c r="G89" s="1">
        <v>0</v>
      </c>
      <c r="H89" s="1" t="s">
        <v>323</v>
      </c>
      <c r="I89" s="1" t="s">
        <v>38</v>
      </c>
      <c r="J89" s="1">
        <v>100000</v>
      </c>
      <c r="K89" s="59">
        <v>9100071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37">
        <v>-1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</row>
    <row r="90" spans="1:29" s="11" customFormat="1" x14ac:dyDescent="0.3">
      <c r="A90" s="10">
        <v>13035411</v>
      </c>
      <c r="B90" s="31" t="s">
        <v>214</v>
      </c>
      <c r="C90" s="31" t="s">
        <v>150</v>
      </c>
      <c r="D90" s="31" t="s">
        <v>30</v>
      </c>
      <c r="E90" s="10">
        <v>1000001</v>
      </c>
      <c r="F90" s="12" t="str">
        <f>IFERROR(_xlfn.XLOOKUP(E:E,[1]Buff!$A:$A,[1]Buff!$E:$E),"None")</f>
        <v>공용 대미지</v>
      </c>
      <c r="G90" s="11">
        <v>0</v>
      </c>
      <c r="H90" s="11" t="s">
        <v>38</v>
      </c>
      <c r="I90" s="11" t="s">
        <v>38</v>
      </c>
      <c r="J90" s="11">
        <v>100000</v>
      </c>
      <c r="K90" s="10">
        <v>120000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38">
        <v>0</v>
      </c>
      <c r="U90" s="11">
        <v>130354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</row>
    <row r="91" spans="1:29" x14ac:dyDescent="0.3">
      <c r="A91" s="8">
        <v>23035411</v>
      </c>
      <c r="B91" s="27" t="s">
        <v>214</v>
      </c>
      <c r="C91" s="27" t="s">
        <v>150</v>
      </c>
      <c r="D91" s="27" t="s">
        <v>33</v>
      </c>
      <c r="E91" s="8">
        <v>1000002</v>
      </c>
      <c r="F91" s="7" t="str">
        <f>IFERROR(_xlfn.XLOOKUP(E:E,[1]Buff!$A:$A,[1]Buff!$E:$E),"None")</f>
        <v>액티브 대미지</v>
      </c>
      <c r="G91" s="1">
        <v>0</v>
      </c>
      <c r="H91" s="1" t="s">
        <v>38</v>
      </c>
      <c r="I91" s="1" t="s">
        <v>38</v>
      </c>
      <c r="J91" s="1">
        <v>100000</v>
      </c>
      <c r="K91" s="8">
        <v>35000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37">
        <v>0</v>
      </c>
      <c r="U91" s="1">
        <v>230354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</row>
    <row r="92" spans="1:29" x14ac:dyDescent="0.3">
      <c r="A92" s="8">
        <v>23035421</v>
      </c>
      <c r="B92" s="27" t="s">
        <v>214</v>
      </c>
      <c r="C92" s="27" t="s">
        <v>150</v>
      </c>
      <c r="D92" s="27" t="s">
        <v>33</v>
      </c>
      <c r="E92" s="8">
        <v>1000002</v>
      </c>
      <c r="F92" s="7" t="str">
        <f>IFERROR(_xlfn.XLOOKUP(E:E,[1]Buff!$A:$A,[1]Buff!$E:$E),"None")</f>
        <v>액티브 대미지</v>
      </c>
      <c r="G92" s="1">
        <v>0</v>
      </c>
      <c r="H92" s="1" t="s">
        <v>38</v>
      </c>
      <c r="I92" s="1" t="s">
        <v>38</v>
      </c>
      <c r="J92" s="1">
        <v>100000</v>
      </c>
      <c r="K92" s="8">
        <v>35000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37">
        <v>0</v>
      </c>
      <c r="U92" s="1">
        <v>230354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</row>
    <row r="93" spans="1:29" x14ac:dyDescent="0.3">
      <c r="A93" s="8">
        <v>23035412</v>
      </c>
      <c r="B93" s="27" t="s">
        <v>214</v>
      </c>
      <c r="C93" s="27" t="s">
        <v>150</v>
      </c>
      <c r="D93" s="27" t="s">
        <v>33</v>
      </c>
      <c r="E93" s="8">
        <v>3002304</v>
      </c>
      <c r="F93" s="7" t="str">
        <f>IFERROR(_xlfn.XLOOKUP(E:E,[1]Buff!$A:$A,[1]Buff!$E:$E),"None")</f>
        <v>드미테르 액티브 화상</v>
      </c>
      <c r="G93" s="1">
        <v>0</v>
      </c>
      <c r="H93" s="1" t="s">
        <v>38</v>
      </c>
      <c r="I93" s="1" t="s">
        <v>38</v>
      </c>
      <c r="J93" s="1">
        <v>15000</v>
      </c>
      <c r="K93" s="8">
        <v>30000</v>
      </c>
      <c r="L93" s="8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37">
        <v>3</v>
      </c>
      <c r="U93" s="1">
        <v>100010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</row>
    <row r="94" spans="1:29" x14ac:dyDescent="0.3">
      <c r="A94" s="8">
        <v>23035422</v>
      </c>
      <c r="B94" s="27" t="s">
        <v>214</v>
      </c>
      <c r="C94" s="27" t="s">
        <v>150</v>
      </c>
      <c r="D94" s="27" t="s">
        <v>33</v>
      </c>
      <c r="E94" s="8">
        <v>3002304</v>
      </c>
      <c r="F94" s="7" t="str">
        <f>IFERROR(_xlfn.XLOOKUP(E:E,[1]Buff!$A:$A,[1]Buff!$E:$E),"None")</f>
        <v>드미테르 액티브 화상</v>
      </c>
      <c r="G94" s="1">
        <v>0</v>
      </c>
      <c r="H94" s="1" t="s">
        <v>38</v>
      </c>
      <c r="I94" s="1" t="s">
        <v>38</v>
      </c>
      <c r="J94" s="1">
        <v>15000</v>
      </c>
      <c r="K94" s="8">
        <v>30000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37">
        <v>3</v>
      </c>
      <c r="U94" s="1">
        <v>100010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</row>
    <row r="95" spans="1:29" x14ac:dyDescent="0.3">
      <c r="A95" s="8">
        <v>33035411</v>
      </c>
      <c r="B95" s="27" t="s">
        <v>214</v>
      </c>
      <c r="C95" s="27" t="s">
        <v>150</v>
      </c>
      <c r="D95" s="27" t="s">
        <v>140</v>
      </c>
      <c r="E95" s="8">
        <v>1000003</v>
      </c>
      <c r="F95" s="7" t="str">
        <f>IFERROR(_xlfn.XLOOKUP(E:E,[1]Buff!$A:$A,[1]Buff!$E:$E),"None")</f>
        <v>얼티밋 대미지</v>
      </c>
      <c r="G95" s="1">
        <v>0</v>
      </c>
      <c r="H95" s="1" t="s">
        <v>38</v>
      </c>
      <c r="I95" s="1" t="s">
        <v>38</v>
      </c>
      <c r="J95" s="1">
        <v>100000</v>
      </c>
      <c r="K95" s="8">
        <v>220000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37">
        <v>0</v>
      </c>
      <c r="U95" s="1">
        <v>330354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</row>
    <row r="96" spans="1:29" x14ac:dyDescent="0.3">
      <c r="A96" s="8">
        <v>33035412</v>
      </c>
      <c r="B96" s="27" t="s">
        <v>214</v>
      </c>
      <c r="C96" s="27" t="s">
        <v>150</v>
      </c>
      <c r="D96" s="27" t="s">
        <v>140</v>
      </c>
      <c r="E96" s="8">
        <v>3000202</v>
      </c>
      <c r="F96" s="7" t="str">
        <f>IFERROR(_xlfn.XLOOKUP(E:E,[1]Buff!$A:$A,[1]Buff!$E:$E),"None")</f>
        <v>드미테르 방어력 감소</v>
      </c>
      <c r="G96" s="1">
        <v>0</v>
      </c>
      <c r="H96" s="1" t="s">
        <v>38</v>
      </c>
      <c r="I96" s="1" t="s">
        <v>38</v>
      </c>
      <c r="J96" s="1">
        <v>100000</v>
      </c>
      <c r="K96" s="8">
        <v>-20000</v>
      </c>
      <c r="L96" s="8">
        <v>0</v>
      </c>
      <c r="M96" s="8">
        <v>0</v>
      </c>
      <c r="N96" s="8">
        <v>0</v>
      </c>
      <c r="O96" s="8">
        <v>0</v>
      </c>
      <c r="P96" s="8">
        <v>0</v>
      </c>
      <c r="Q96" s="8">
        <v>0</v>
      </c>
      <c r="R96" s="8">
        <v>0</v>
      </c>
      <c r="S96" s="8">
        <v>0</v>
      </c>
      <c r="T96" s="37">
        <v>2</v>
      </c>
      <c r="U96" s="1">
        <v>200015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</row>
    <row r="97" spans="1:29" x14ac:dyDescent="0.3">
      <c r="A97" s="8">
        <v>33035421</v>
      </c>
      <c r="B97" s="27" t="s">
        <v>214</v>
      </c>
      <c r="C97" s="27" t="s">
        <v>150</v>
      </c>
      <c r="D97" s="27" t="s">
        <v>140</v>
      </c>
      <c r="E97" s="8">
        <v>1000003</v>
      </c>
      <c r="F97" s="7" t="str">
        <f>IFERROR(_xlfn.XLOOKUP(E:E,[1]Buff!$A:$A,[1]Buff!$E:$E),"None")</f>
        <v>얼티밋 대미지</v>
      </c>
      <c r="G97" s="1">
        <v>0</v>
      </c>
      <c r="H97" s="1" t="s">
        <v>38</v>
      </c>
      <c r="I97" s="1" t="s">
        <v>38</v>
      </c>
      <c r="J97" s="1">
        <v>100000</v>
      </c>
      <c r="K97" s="8">
        <v>220000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37">
        <v>0</v>
      </c>
      <c r="U97" s="1">
        <v>330354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</row>
    <row r="98" spans="1:29" x14ac:dyDescent="0.3">
      <c r="A98" s="8">
        <v>33035422</v>
      </c>
      <c r="B98" s="27" t="s">
        <v>214</v>
      </c>
      <c r="C98" s="27" t="s">
        <v>150</v>
      </c>
      <c r="D98" s="27" t="s">
        <v>140</v>
      </c>
      <c r="E98" s="8">
        <v>3000202</v>
      </c>
      <c r="F98" s="7" t="str">
        <f>IFERROR(_xlfn.XLOOKUP(E:E,[1]Buff!$A:$A,[1]Buff!$E:$E),"None")</f>
        <v>드미테르 방어력 감소</v>
      </c>
      <c r="G98" s="1">
        <v>0</v>
      </c>
      <c r="H98" s="1" t="s">
        <v>38</v>
      </c>
      <c r="I98" s="1" t="s">
        <v>38</v>
      </c>
      <c r="J98" s="1">
        <v>100000</v>
      </c>
      <c r="K98" s="8">
        <v>-20000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37">
        <v>2</v>
      </c>
      <c r="U98" s="1">
        <v>200015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</row>
    <row r="99" spans="1:29" x14ac:dyDescent="0.3">
      <c r="A99" s="8">
        <v>33035431</v>
      </c>
      <c r="B99" s="27" t="s">
        <v>214</v>
      </c>
      <c r="C99" s="27" t="s">
        <v>150</v>
      </c>
      <c r="D99" s="27" t="s">
        <v>140</v>
      </c>
      <c r="E99" s="8">
        <v>1000003</v>
      </c>
      <c r="F99" s="7" t="str">
        <f>IFERROR(_xlfn.XLOOKUP(E:E,[1]Buff!$A:$A,[1]Buff!$E:$E),"None")</f>
        <v>얼티밋 대미지</v>
      </c>
      <c r="G99" s="1">
        <v>0</v>
      </c>
      <c r="H99" s="1" t="s">
        <v>38</v>
      </c>
      <c r="I99" s="1" t="s">
        <v>38</v>
      </c>
      <c r="J99" s="1">
        <v>100000</v>
      </c>
      <c r="K99" s="8">
        <v>220000</v>
      </c>
      <c r="L99" s="8">
        <v>0</v>
      </c>
      <c r="M99" s="8">
        <v>0</v>
      </c>
      <c r="N99" s="8">
        <v>0</v>
      </c>
      <c r="O99" s="8">
        <v>0</v>
      </c>
      <c r="P99" s="8">
        <v>0</v>
      </c>
      <c r="Q99" s="8">
        <v>0</v>
      </c>
      <c r="R99" s="8">
        <v>0</v>
      </c>
      <c r="S99" s="8">
        <v>0</v>
      </c>
      <c r="T99" s="37">
        <v>0</v>
      </c>
      <c r="U99" s="1">
        <v>330354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</row>
    <row r="100" spans="1:29" x14ac:dyDescent="0.3">
      <c r="A100" s="8">
        <v>33035432</v>
      </c>
      <c r="B100" s="27" t="s">
        <v>214</v>
      </c>
      <c r="C100" s="27" t="s">
        <v>150</v>
      </c>
      <c r="D100" s="27" t="s">
        <v>140</v>
      </c>
      <c r="E100" s="8">
        <v>3000202</v>
      </c>
      <c r="F100" s="7" t="str">
        <f>IFERROR(_xlfn.XLOOKUP(E:E,[1]Buff!$A:$A,[1]Buff!$E:$E),"None")</f>
        <v>드미테르 방어력 감소</v>
      </c>
      <c r="G100" s="1">
        <v>0</v>
      </c>
      <c r="H100" s="1" t="s">
        <v>38</v>
      </c>
      <c r="I100" s="1" t="s">
        <v>38</v>
      </c>
      <c r="J100" s="1">
        <v>100000</v>
      </c>
      <c r="K100" s="8">
        <v>-20000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37">
        <v>2</v>
      </c>
      <c r="U100" s="1">
        <v>200015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</row>
    <row r="101" spans="1:29" s="61" customFormat="1" x14ac:dyDescent="0.3">
      <c r="A101" s="59">
        <v>43035411</v>
      </c>
      <c r="B101" s="58" t="s">
        <v>214</v>
      </c>
      <c r="C101" s="58" t="s">
        <v>150</v>
      </c>
      <c r="D101" s="58" t="s">
        <v>167</v>
      </c>
      <c r="E101" s="59">
        <v>6000054</v>
      </c>
      <c r="F101" s="60" t="str">
        <f>IFERROR(_xlfn.XLOOKUP(E:E,[1]Buff!$A:$A,[1]Buff!$E:$E),"None")</f>
        <v>드미테르 패시브 화상</v>
      </c>
      <c r="G101" s="61">
        <v>0</v>
      </c>
      <c r="H101" s="61" t="s">
        <v>498</v>
      </c>
      <c r="I101" s="61" t="s">
        <v>38</v>
      </c>
      <c r="J101" s="61">
        <v>100000</v>
      </c>
      <c r="K101" s="8">
        <v>9100081</v>
      </c>
      <c r="L101" s="59">
        <v>0</v>
      </c>
      <c r="M101" s="59">
        <v>0</v>
      </c>
      <c r="N101" s="59">
        <v>0</v>
      </c>
      <c r="O101" s="59">
        <v>0</v>
      </c>
      <c r="P101" s="59">
        <v>0</v>
      </c>
      <c r="Q101" s="59">
        <v>0</v>
      </c>
      <c r="R101" s="59">
        <v>0</v>
      </c>
      <c r="S101" s="59">
        <v>0</v>
      </c>
      <c r="T101" s="62">
        <v>-1</v>
      </c>
      <c r="U101" s="61">
        <v>0</v>
      </c>
      <c r="V101" s="61">
        <v>0</v>
      </c>
      <c r="W101" s="61">
        <v>0</v>
      </c>
      <c r="X101" s="61">
        <v>0</v>
      </c>
      <c r="Y101" s="61">
        <v>0</v>
      </c>
      <c r="Z101" s="61">
        <v>0</v>
      </c>
      <c r="AA101" s="61">
        <v>0</v>
      </c>
      <c r="AB101" s="61">
        <v>0</v>
      </c>
      <c r="AC101" s="61">
        <v>0</v>
      </c>
    </row>
    <row r="102" spans="1:29" s="61" customFormat="1" x14ac:dyDescent="0.3">
      <c r="A102" s="59">
        <v>43035421</v>
      </c>
      <c r="B102" s="58" t="s">
        <v>214</v>
      </c>
      <c r="C102" s="58" t="s">
        <v>150</v>
      </c>
      <c r="D102" s="58" t="s">
        <v>167</v>
      </c>
      <c r="E102" s="59">
        <v>6000054</v>
      </c>
      <c r="F102" s="60" t="str">
        <f>IFERROR(_xlfn.XLOOKUP(E:E,[1]Buff!$A:$A,[1]Buff!$E:$E),"None")</f>
        <v>드미테르 패시브 화상</v>
      </c>
      <c r="G102" s="61">
        <v>0</v>
      </c>
      <c r="H102" s="61" t="s">
        <v>498</v>
      </c>
      <c r="I102" s="61" t="s">
        <v>38</v>
      </c>
      <c r="J102" s="61">
        <v>100000</v>
      </c>
      <c r="K102" s="8">
        <v>9100081</v>
      </c>
      <c r="L102" s="59">
        <v>0</v>
      </c>
      <c r="M102" s="59">
        <v>0</v>
      </c>
      <c r="N102" s="59">
        <v>0</v>
      </c>
      <c r="O102" s="59">
        <v>0</v>
      </c>
      <c r="P102" s="59">
        <v>0</v>
      </c>
      <c r="Q102" s="59">
        <v>0</v>
      </c>
      <c r="R102" s="59">
        <v>0</v>
      </c>
      <c r="S102" s="59">
        <v>0</v>
      </c>
      <c r="T102" s="62">
        <v>-1</v>
      </c>
      <c r="U102" s="61">
        <v>0</v>
      </c>
      <c r="V102" s="61">
        <v>0</v>
      </c>
      <c r="W102" s="61">
        <v>0</v>
      </c>
      <c r="X102" s="61">
        <v>0</v>
      </c>
      <c r="Y102" s="61">
        <v>0</v>
      </c>
      <c r="Z102" s="61">
        <v>0</v>
      </c>
      <c r="AA102" s="61">
        <v>0</v>
      </c>
      <c r="AB102" s="61">
        <v>0</v>
      </c>
      <c r="AC102" s="61">
        <v>0</v>
      </c>
    </row>
    <row r="103" spans="1:29" s="11" customFormat="1" x14ac:dyDescent="0.3">
      <c r="A103" s="10">
        <v>13050111</v>
      </c>
      <c r="B103" s="31" t="s">
        <v>160</v>
      </c>
      <c r="C103" s="31" t="s">
        <v>151</v>
      </c>
      <c r="D103" s="31" t="s">
        <v>30</v>
      </c>
      <c r="E103" s="10">
        <v>1000001</v>
      </c>
      <c r="F103" s="12" t="str">
        <f>IFERROR(_xlfn.XLOOKUP(E:E,[1]Buff!$A:$A,[1]Buff!$E:$E),"None")</f>
        <v>공용 대미지</v>
      </c>
      <c r="G103" s="11">
        <v>0</v>
      </c>
      <c r="H103" s="11" t="s">
        <v>38</v>
      </c>
      <c r="I103" s="11" t="s">
        <v>38</v>
      </c>
      <c r="J103" s="11">
        <v>100000</v>
      </c>
      <c r="K103" s="10">
        <v>290000</v>
      </c>
      <c r="L103" s="10">
        <v>0</v>
      </c>
      <c r="M103" s="10">
        <v>0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0</v>
      </c>
      <c r="T103" s="38">
        <v>0</v>
      </c>
      <c r="U103" s="11">
        <v>130501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 s="11">
        <v>0</v>
      </c>
    </row>
    <row r="104" spans="1:29" x14ac:dyDescent="0.3">
      <c r="A104" s="8">
        <v>13050112</v>
      </c>
      <c r="B104" s="27" t="s">
        <v>160</v>
      </c>
      <c r="C104" s="27" t="s">
        <v>151</v>
      </c>
      <c r="D104" s="27" t="s">
        <v>30</v>
      </c>
      <c r="E104" s="8">
        <v>3004701</v>
      </c>
      <c r="F104" s="7" t="str">
        <f>IFERROR(_xlfn.XLOOKUP(E:E,[1]Buff!$A:$A,[1]Buff!$E:$E),"None")</f>
        <v>화상 중 기절 (라가라자)</v>
      </c>
      <c r="G104" s="1">
        <v>0</v>
      </c>
      <c r="H104" s="1" t="s">
        <v>38</v>
      </c>
      <c r="I104" s="1" t="s">
        <v>38</v>
      </c>
      <c r="J104" s="1">
        <v>30000</v>
      </c>
      <c r="K104" s="8">
        <v>0</v>
      </c>
      <c r="L104" s="8">
        <v>1003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37">
        <v>2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</row>
    <row r="105" spans="1:29" x14ac:dyDescent="0.3">
      <c r="A105" s="8">
        <v>23050111</v>
      </c>
      <c r="B105" s="27" t="s">
        <v>160</v>
      </c>
      <c r="C105" s="27" t="s">
        <v>150</v>
      </c>
      <c r="D105" s="27" t="s">
        <v>33</v>
      </c>
      <c r="E105" s="8">
        <v>9900002</v>
      </c>
      <c r="F105" s="7" t="str">
        <f>IFERROR(_xlfn.XLOOKUP(E:E,[1]Buff!$A:$A,[1]Buff!$E:$E),"None")</f>
        <v>천수관음</v>
      </c>
      <c r="G105" s="1">
        <v>0</v>
      </c>
      <c r="H105" s="1" t="s">
        <v>38</v>
      </c>
      <c r="I105" s="1" t="s">
        <v>38</v>
      </c>
      <c r="J105" s="1">
        <v>100000</v>
      </c>
      <c r="K105" s="8">
        <v>100000</v>
      </c>
      <c r="L105" s="8">
        <v>1003</v>
      </c>
      <c r="M105" s="8">
        <v>0</v>
      </c>
      <c r="N105" s="8">
        <v>0</v>
      </c>
      <c r="O105" s="8">
        <v>0</v>
      </c>
      <c r="P105" s="8">
        <v>0</v>
      </c>
      <c r="Q105" s="8">
        <v>0</v>
      </c>
      <c r="R105" s="8">
        <v>0</v>
      </c>
      <c r="S105" s="8">
        <v>0</v>
      </c>
      <c r="T105" s="37">
        <v>3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</row>
    <row r="106" spans="1:29" x14ac:dyDescent="0.3">
      <c r="A106" s="8">
        <v>23050121</v>
      </c>
      <c r="B106" s="27" t="s">
        <v>160</v>
      </c>
      <c r="C106" s="27" t="s">
        <v>150</v>
      </c>
      <c r="D106" s="27" t="s">
        <v>33</v>
      </c>
      <c r="E106" s="8">
        <v>9900002</v>
      </c>
      <c r="F106" s="7" t="str">
        <f>IFERROR(_xlfn.XLOOKUP(E:E,[1]Buff!$A:$A,[1]Buff!$E:$E),"None")</f>
        <v>천수관음</v>
      </c>
      <c r="G106" s="1">
        <v>0</v>
      </c>
      <c r="H106" s="1" t="s">
        <v>38</v>
      </c>
      <c r="I106" s="1" t="s">
        <v>38</v>
      </c>
      <c r="J106" s="1">
        <v>100000</v>
      </c>
      <c r="K106" s="8">
        <v>100000</v>
      </c>
      <c r="L106" s="8">
        <v>1003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37">
        <v>3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</row>
    <row r="107" spans="1:29" x14ac:dyDescent="0.3">
      <c r="A107" s="8">
        <v>33050111</v>
      </c>
      <c r="B107" s="27" t="s">
        <v>160</v>
      </c>
      <c r="C107" s="27" t="s">
        <v>150</v>
      </c>
      <c r="D107" s="27" t="s">
        <v>140</v>
      </c>
      <c r="E107" s="8">
        <v>1000003</v>
      </c>
      <c r="F107" s="7" t="str">
        <f>IFERROR(_xlfn.XLOOKUP(E:E,[1]Buff!$A:$A,[1]Buff!$E:$E),"None")</f>
        <v>얼티밋 대미지</v>
      </c>
      <c r="G107" s="1">
        <v>0</v>
      </c>
      <c r="H107" s="1" t="s">
        <v>38</v>
      </c>
      <c r="I107" s="1" t="s">
        <v>38</v>
      </c>
      <c r="J107" s="1">
        <v>100000</v>
      </c>
      <c r="K107" s="8">
        <v>25000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37">
        <v>0</v>
      </c>
      <c r="U107" s="1">
        <v>330501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</row>
    <row r="108" spans="1:29" x14ac:dyDescent="0.3">
      <c r="A108" s="8">
        <v>33050121</v>
      </c>
      <c r="B108" s="27" t="s">
        <v>160</v>
      </c>
      <c r="C108" s="27" t="s">
        <v>150</v>
      </c>
      <c r="D108" s="27" t="s">
        <v>140</v>
      </c>
      <c r="E108" s="8">
        <v>1000003</v>
      </c>
      <c r="F108" s="7" t="str">
        <f>IFERROR(_xlfn.XLOOKUP(E:E,[1]Buff!$A:$A,[1]Buff!$E:$E),"None")</f>
        <v>얼티밋 대미지</v>
      </c>
      <c r="G108" s="1">
        <v>0</v>
      </c>
      <c r="H108" s="1" t="s">
        <v>38</v>
      </c>
      <c r="I108" s="1" t="s">
        <v>38</v>
      </c>
      <c r="J108" s="1">
        <v>100000</v>
      </c>
      <c r="K108" s="8">
        <v>25000</v>
      </c>
      <c r="L108" s="8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37">
        <v>0</v>
      </c>
      <c r="U108" s="1">
        <v>330501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</row>
    <row r="109" spans="1:29" x14ac:dyDescent="0.3">
      <c r="A109" s="8">
        <v>33050131</v>
      </c>
      <c r="B109" s="27" t="s">
        <v>160</v>
      </c>
      <c r="C109" s="27" t="s">
        <v>150</v>
      </c>
      <c r="D109" s="27" t="s">
        <v>140</v>
      </c>
      <c r="E109" s="8">
        <v>1000003</v>
      </c>
      <c r="F109" s="7" t="str">
        <f>IFERROR(_xlfn.XLOOKUP(E:E,[1]Buff!$A:$A,[1]Buff!$E:$E),"None")</f>
        <v>얼티밋 대미지</v>
      </c>
      <c r="G109" s="1">
        <v>0</v>
      </c>
      <c r="H109" s="1" t="s">
        <v>38</v>
      </c>
      <c r="I109" s="1" t="s">
        <v>38</v>
      </c>
      <c r="J109" s="1">
        <v>100000</v>
      </c>
      <c r="K109" s="8">
        <v>25000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37">
        <v>0</v>
      </c>
      <c r="U109" s="1">
        <v>330501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</row>
    <row r="110" spans="1:29" x14ac:dyDescent="0.3">
      <c r="A110" s="8">
        <v>33050112</v>
      </c>
      <c r="B110" s="27" t="s">
        <v>160</v>
      </c>
      <c r="C110" s="27" t="s">
        <v>150</v>
      </c>
      <c r="D110" s="27" t="s">
        <v>140</v>
      </c>
      <c r="E110" s="8">
        <v>3002305</v>
      </c>
      <c r="F110" s="7" t="str">
        <f>IFERROR(_xlfn.XLOOKUP(E:E,[1]Buff!$A:$A,[1]Buff!$E:$E),"None")</f>
        <v>라가라자 얼티밋 화상</v>
      </c>
      <c r="G110" s="1">
        <v>0</v>
      </c>
      <c r="H110" s="1" t="s">
        <v>38</v>
      </c>
      <c r="I110" s="1" t="s">
        <v>38</v>
      </c>
      <c r="J110" s="1">
        <v>35000</v>
      </c>
      <c r="K110" s="8">
        <v>20000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37">
        <v>3</v>
      </c>
      <c r="U110" s="1">
        <v>100010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</row>
    <row r="111" spans="1:29" x14ac:dyDescent="0.3">
      <c r="A111" s="8">
        <v>33050122</v>
      </c>
      <c r="B111" s="27" t="s">
        <v>160</v>
      </c>
      <c r="C111" s="27" t="s">
        <v>150</v>
      </c>
      <c r="D111" s="27" t="s">
        <v>140</v>
      </c>
      <c r="E111" s="8">
        <v>3002305</v>
      </c>
      <c r="F111" s="7" t="str">
        <f>IFERROR(_xlfn.XLOOKUP(E:E,[1]Buff!$A:$A,[1]Buff!$E:$E),"None")</f>
        <v>라가라자 얼티밋 화상</v>
      </c>
      <c r="G111" s="1">
        <v>0</v>
      </c>
      <c r="H111" s="1" t="s">
        <v>38</v>
      </c>
      <c r="I111" s="1" t="s">
        <v>38</v>
      </c>
      <c r="J111" s="1">
        <v>35000</v>
      </c>
      <c r="K111" s="8">
        <v>20000</v>
      </c>
      <c r="L111" s="8">
        <v>0</v>
      </c>
      <c r="M111" s="8">
        <v>0</v>
      </c>
      <c r="N111" s="8">
        <v>0</v>
      </c>
      <c r="O111" s="8">
        <v>0</v>
      </c>
      <c r="P111" s="8">
        <v>0</v>
      </c>
      <c r="Q111" s="8">
        <v>0</v>
      </c>
      <c r="R111" s="8">
        <v>0</v>
      </c>
      <c r="S111" s="8">
        <v>0</v>
      </c>
      <c r="T111" s="37">
        <v>3</v>
      </c>
      <c r="U111" s="1">
        <v>100010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</row>
    <row r="112" spans="1:29" x14ac:dyDescent="0.3">
      <c r="A112" s="8">
        <v>33050132</v>
      </c>
      <c r="B112" s="27" t="s">
        <v>160</v>
      </c>
      <c r="C112" s="27" t="s">
        <v>150</v>
      </c>
      <c r="D112" s="27" t="s">
        <v>140</v>
      </c>
      <c r="E112" s="8">
        <v>3002305</v>
      </c>
      <c r="F112" s="7" t="str">
        <f>IFERROR(_xlfn.XLOOKUP(E:E,[1]Buff!$A:$A,[1]Buff!$E:$E),"None")</f>
        <v>라가라자 얼티밋 화상</v>
      </c>
      <c r="G112" s="1">
        <v>0</v>
      </c>
      <c r="H112" s="1" t="s">
        <v>38</v>
      </c>
      <c r="I112" s="1" t="s">
        <v>38</v>
      </c>
      <c r="J112" s="1">
        <v>35000</v>
      </c>
      <c r="K112" s="8">
        <v>20000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37">
        <v>3</v>
      </c>
      <c r="U112" s="1">
        <v>100010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</row>
    <row r="113" spans="1:29" x14ac:dyDescent="0.3">
      <c r="A113" s="8">
        <v>33050113</v>
      </c>
      <c r="B113" s="27" t="s">
        <v>160</v>
      </c>
      <c r="C113" s="27" t="s">
        <v>150</v>
      </c>
      <c r="D113" s="27" t="s">
        <v>140</v>
      </c>
      <c r="E113" s="8">
        <v>3004701</v>
      </c>
      <c r="F113" s="7" t="str">
        <f>IFERROR(_xlfn.XLOOKUP(E:E,[1]Buff!$A:$A,[1]Buff!$E:$E),"None")</f>
        <v>화상 중 기절 (라가라자)</v>
      </c>
      <c r="G113" s="1">
        <v>0</v>
      </c>
      <c r="H113" s="1" t="s">
        <v>38</v>
      </c>
      <c r="I113" s="1" t="s">
        <v>38</v>
      </c>
      <c r="J113" s="1">
        <v>30000</v>
      </c>
      <c r="K113" s="8">
        <v>0</v>
      </c>
      <c r="L113" s="8">
        <v>1003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37">
        <v>2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</row>
    <row r="114" spans="1:29" x14ac:dyDescent="0.3">
      <c r="A114" s="8">
        <v>33050123</v>
      </c>
      <c r="B114" s="27" t="s">
        <v>160</v>
      </c>
      <c r="C114" s="27" t="s">
        <v>150</v>
      </c>
      <c r="D114" s="27" t="s">
        <v>140</v>
      </c>
      <c r="E114" s="8">
        <v>3004701</v>
      </c>
      <c r="F114" s="7" t="str">
        <f>IFERROR(_xlfn.XLOOKUP(E:E,[1]Buff!$A:$A,[1]Buff!$E:$E),"None")</f>
        <v>화상 중 기절 (라가라자)</v>
      </c>
      <c r="G114" s="1">
        <v>0</v>
      </c>
      <c r="H114" s="1" t="s">
        <v>38</v>
      </c>
      <c r="I114" s="1" t="s">
        <v>38</v>
      </c>
      <c r="J114" s="1">
        <v>30000</v>
      </c>
      <c r="K114" s="8">
        <v>0</v>
      </c>
      <c r="L114" s="8">
        <v>1003</v>
      </c>
      <c r="M114" s="8">
        <v>0</v>
      </c>
      <c r="N114" s="8">
        <v>0</v>
      </c>
      <c r="O114" s="8">
        <v>0</v>
      </c>
      <c r="P114" s="8">
        <v>0</v>
      </c>
      <c r="Q114" s="8">
        <v>0</v>
      </c>
      <c r="R114" s="8">
        <v>0</v>
      </c>
      <c r="S114" s="8">
        <v>0</v>
      </c>
      <c r="T114" s="37">
        <v>2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</row>
    <row r="115" spans="1:29" x14ac:dyDescent="0.3">
      <c r="A115" s="8">
        <v>33050133</v>
      </c>
      <c r="B115" s="27" t="s">
        <v>160</v>
      </c>
      <c r="C115" s="27" t="s">
        <v>150</v>
      </c>
      <c r="D115" s="27" t="s">
        <v>140</v>
      </c>
      <c r="E115" s="8">
        <v>3004701</v>
      </c>
      <c r="F115" s="7" t="str">
        <f>IFERROR(_xlfn.XLOOKUP(E:E,[1]Buff!$A:$A,[1]Buff!$E:$E),"None")</f>
        <v>화상 중 기절 (라가라자)</v>
      </c>
      <c r="G115" s="1">
        <v>0</v>
      </c>
      <c r="H115" s="1" t="s">
        <v>38</v>
      </c>
      <c r="I115" s="1" t="s">
        <v>38</v>
      </c>
      <c r="J115" s="1">
        <v>30000</v>
      </c>
      <c r="K115" s="8">
        <v>0</v>
      </c>
      <c r="L115" s="8">
        <v>1003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37">
        <v>2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</row>
    <row r="116" spans="1:29" s="61" customFormat="1" x14ac:dyDescent="0.3">
      <c r="A116" s="59">
        <v>43050111</v>
      </c>
      <c r="B116" s="58" t="s">
        <v>160</v>
      </c>
      <c r="C116" s="58" t="s">
        <v>150</v>
      </c>
      <c r="D116" s="58" t="s">
        <v>167</v>
      </c>
      <c r="E116" s="59">
        <v>5000000</v>
      </c>
      <c r="F116" s="60" t="str">
        <f>IFERROR(_xlfn.XLOOKUP(E:E,[1]Buff!$A:$A,[1]Buff!$E:$E),"None")</f>
        <v>없음</v>
      </c>
      <c r="G116" s="61">
        <v>0</v>
      </c>
      <c r="H116" s="61" t="s">
        <v>14</v>
      </c>
      <c r="I116" s="61" t="s">
        <v>38</v>
      </c>
      <c r="J116" s="61">
        <v>100000</v>
      </c>
      <c r="K116" s="59">
        <v>0</v>
      </c>
      <c r="L116" s="59">
        <v>1001</v>
      </c>
      <c r="M116" s="59">
        <v>0</v>
      </c>
      <c r="N116" s="59">
        <v>0</v>
      </c>
      <c r="O116" s="59">
        <v>0</v>
      </c>
      <c r="P116" s="59">
        <v>0</v>
      </c>
      <c r="Q116" s="59">
        <v>0</v>
      </c>
      <c r="R116" s="59">
        <v>0</v>
      </c>
      <c r="S116" s="59">
        <v>0</v>
      </c>
      <c r="T116" s="62">
        <v>-1</v>
      </c>
      <c r="U116" s="61">
        <v>0</v>
      </c>
      <c r="V116" s="61">
        <v>0</v>
      </c>
      <c r="W116" s="61">
        <v>0</v>
      </c>
      <c r="X116" s="61">
        <v>0</v>
      </c>
      <c r="Y116" s="61">
        <v>0</v>
      </c>
      <c r="Z116" s="61">
        <v>0</v>
      </c>
      <c r="AA116" s="61">
        <v>0</v>
      </c>
      <c r="AB116" s="61">
        <v>0</v>
      </c>
      <c r="AC116" s="61">
        <v>0</v>
      </c>
    </row>
    <row r="117" spans="1:29" s="61" customFormat="1" x14ac:dyDescent="0.3">
      <c r="A117" s="59">
        <v>43050121</v>
      </c>
      <c r="B117" s="58" t="s">
        <v>160</v>
      </c>
      <c r="C117" s="58" t="s">
        <v>150</v>
      </c>
      <c r="D117" s="58" t="s">
        <v>167</v>
      </c>
      <c r="E117" s="59">
        <v>5000000</v>
      </c>
      <c r="F117" s="60" t="str">
        <f>IFERROR(_xlfn.XLOOKUP(E:E,[1]Buff!$A:$A,[1]Buff!$E:$E),"None")</f>
        <v>없음</v>
      </c>
      <c r="G117" s="61">
        <v>0</v>
      </c>
      <c r="H117" s="61" t="s">
        <v>327</v>
      </c>
      <c r="I117" s="61" t="s">
        <v>38</v>
      </c>
      <c r="J117" s="61">
        <v>100000</v>
      </c>
      <c r="K117" s="59">
        <v>0</v>
      </c>
      <c r="L117" s="59">
        <v>1001</v>
      </c>
      <c r="M117" s="59">
        <v>0</v>
      </c>
      <c r="N117" s="59">
        <v>0</v>
      </c>
      <c r="O117" s="59">
        <v>0</v>
      </c>
      <c r="P117" s="59">
        <v>0</v>
      </c>
      <c r="Q117" s="59">
        <v>0</v>
      </c>
      <c r="R117" s="59">
        <v>0</v>
      </c>
      <c r="S117" s="59">
        <v>0</v>
      </c>
      <c r="T117" s="62">
        <v>-1</v>
      </c>
      <c r="U117" s="61">
        <v>0</v>
      </c>
      <c r="V117" s="61">
        <v>0</v>
      </c>
      <c r="W117" s="61">
        <v>0</v>
      </c>
      <c r="X117" s="61">
        <v>0</v>
      </c>
      <c r="Y117" s="61">
        <v>0</v>
      </c>
      <c r="Z117" s="61">
        <v>0</v>
      </c>
      <c r="AA117" s="61">
        <v>0</v>
      </c>
      <c r="AB117" s="61">
        <v>0</v>
      </c>
      <c r="AC117" s="61">
        <v>0</v>
      </c>
    </row>
    <row r="118" spans="1:29" s="11" customFormat="1" x14ac:dyDescent="0.3">
      <c r="A118" s="10">
        <v>13000211</v>
      </c>
      <c r="B118" s="31" t="s">
        <v>142</v>
      </c>
      <c r="C118" s="31" t="s">
        <v>151</v>
      </c>
      <c r="D118" s="31" t="s">
        <v>30</v>
      </c>
      <c r="E118" s="10">
        <v>1000001</v>
      </c>
      <c r="F118" s="12" t="str">
        <f>IFERROR(_xlfn.XLOOKUP(E:E,[1]Buff!$A:$A,[1]Buff!$E:$E),"None")</f>
        <v>공용 대미지</v>
      </c>
      <c r="G118" s="11">
        <v>0</v>
      </c>
      <c r="H118" s="11" t="s">
        <v>38</v>
      </c>
      <c r="I118" s="11" t="s">
        <v>38</v>
      </c>
      <c r="J118" s="11">
        <v>100000</v>
      </c>
      <c r="K118" s="10">
        <v>40000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38">
        <v>0</v>
      </c>
      <c r="U118" s="11">
        <v>130002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1">
        <v>0</v>
      </c>
    </row>
    <row r="119" spans="1:29" x14ac:dyDescent="0.3">
      <c r="A119" s="8">
        <v>23000211</v>
      </c>
      <c r="B119" s="27" t="s">
        <v>142</v>
      </c>
      <c r="C119" s="27" t="s">
        <v>150</v>
      </c>
      <c r="D119" s="27" t="s">
        <v>33</v>
      </c>
      <c r="E119" s="8">
        <v>1000002</v>
      </c>
      <c r="F119" s="7" t="str">
        <f>IFERROR(_xlfn.XLOOKUP(E:E,[1]Buff!$A:$A,[1]Buff!$E:$E),"None")</f>
        <v>액티브 대미지</v>
      </c>
      <c r="G119" s="1">
        <v>0</v>
      </c>
      <c r="H119" s="1" t="s">
        <v>38</v>
      </c>
      <c r="I119" s="1" t="s">
        <v>38</v>
      </c>
      <c r="J119" s="1">
        <v>100000</v>
      </c>
      <c r="K119" s="8">
        <v>135000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37">
        <v>0</v>
      </c>
      <c r="U119" s="1">
        <v>230002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</row>
    <row r="120" spans="1:29" x14ac:dyDescent="0.3">
      <c r="A120" s="8">
        <v>23000221</v>
      </c>
      <c r="B120" s="27" t="s">
        <v>142</v>
      </c>
      <c r="C120" s="27" t="s">
        <v>150</v>
      </c>
      <c r="D120" s="27" t="s">
        <v>33</v>
      </c>
      <c r="E120" s="8">
        <v>1000002</v>
      </c>
      <c r="F120" s="7" t="str">
        <f>IFERROR(_xlfn.XLOOKUP(E:E,[1]Buff!$A:$A,[1]Buff!$E:$E),"None")</f>
        <v>액티브 대미지</v>
      </c>
      <c r="G120" s="1">
        <v>0</v>
      </c>
      <c r="H120" s="1" t="s">
        <v>38</v>
      </c>
      <c r="I120" s="1" t="s">
        <v>38</v>
      </c>
      <c r="J120" s="1">
        <v>100000</v>
      </c>
      <c r="K120" s="8">
        <v>135000</v>
      </c>
      <c r="L120" s="8">
        <v>0</v>
      </c>
      <c r="M120" s="8">
        <v>0</v>
      </c>
      <c r="N120" s="8">
        <v>0</v>
      </c>
      <c r="O120" s="8">
        <v>0</v>
      </c>
      <c r="P120" s="8">
        <v>0</v>
      </c>
      <c r="Q120" s="8">
        <v>0</v>
      </c>
      <c r="R120" s="8">
        <v>0</v>
      </c>
      <c r="S120" s="8">
        <v>0</v>
      </c>
      <c r="T120" s="37">
        <v>0</v>
      </c>
      <c r="U120" s="1">
        <v>230002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</row>
    <row r="121" spans="1:29" x14ac:dyDescent="0.3">
      <c r="A121" s="8">
        <v>23000212</v>
      </c>
      <c r="B121" s="27" t="s">
        <v>142</v>
      </c>
      <c r="C121" s="27" t="s">
        <v>150</v>
      </c>
      <c r="D121" s="27" t="s">
        <v>33</v>
      </c>
      <c r="E121" s="8">
        <v>3002801</v>
      </c>
      <c r="F121" s="7" t="str">
        <f>IFERROR(_xlfn.XLOOKUP(E:E,[1]Buff!$A:$A,[1]Buff!$E:$E),"None")</f>
        <v>빙결</v>
      </c>
      <c r="G121" s="1">
        <v>0</v>
      </c>
      <c r="H121" s="1" t="s">
        <v>38</v>
      </c>
      <c r="I121" s="1" t="s">
        <v>38</v>
      </c>
      <c r="J121" s="1">
        <v>100000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37">
        <v>1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</row>
    <row r="122" spans="1:29" x14ac:dyDescent="0.3">
      <c r="A122" s="8">
        <v>23000222</v>
      </c>
      <c r="B122" s="27" t="s">
        <v>142</v>
      </c>
      <c r="C122" s="27" t="s">
        <v>150</v>
      </c>
      <c r="D122" s="27" t="s">
        <v>33</v>
      </c>
      <c r="E122" s="8">
        <v>3002801</v>
      </c>
      <c r="F122" s="7" t="str">
        <f>IFERROR(_xlfn.XLOOKUP(E:E,[1]Buff!$A:$A,[1]Buff!$E:$E),"None")</f>
        <v>빙결</v>
      </c>
      <c r="G122" s="1">
        <v>0</v>
      </c>
      <c r="H122" s="1" t="s">
        <v>38</v>
      </c>
      <c r="I122" s="1" t="s">
        <v>38</v>
      </c>
      <c r="J122" s="1">
        <v>100000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37">
        <v>1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</row>
    <row r="123" spans="1:29" x14ac:dyDescent="0.3">
      <c r="A123" s="8">
        <v>33000211</v>
      </c>
      <c r="B123" s="27" t="s">
        <v>142</v>
      </c>
      <c r="C123" s="27" t="s">
        <v>150</v>
      </c>
      <c r="D123" s="27" t="s">
        <v>140</v>
      </c>
      <c r="E123" s="8">
        <v>1000003</v>
      </c>
      <c r="F123" s="7" t="str">
        <f>IFERROR(_xlfn.XLOOKUP(E:E,[1]Buff!$A:$A,[1]Buff!$E:$E),"None")</f>
        <v>얼티밋 대미지</v>
      </c>
      <c r="G123" s="1">
        <v>0</v>
      </c>
      <c r="H123" s="1" t="s">
        <v>38</v>
      </c>
      <c r="I123" s="1" t="s">
        <v>38</v>
      </c>
      <c r="J123" s="1">
        <v>100000</v>
      </c>
      <c r="K123" s="8">
        <v>30000</v>
      </c>
      <c r="L123" s="8">
        <v>0</v>
      </c>
      <c r="M123" s="8">
        <v>0</v>
      </c>
      <c r="N123" s="8">
        <v>0</v>
      </c>
      <c r="O123" s="8">
        <v>0</v>
      </c>
      <c r="P123" s="8">
        <v>0</v>
      </c>
      <c r="Q123" s="8">
        <v>0</v>
      </c>
      <c r="R123" s="8">
        <v>0</v>
      </c>
      <c r="S123" s="8">
        <v>0</v>
      </c>
      <c r="T123" s="37">
        <v>0</v>
      </c>
      <c r="U123" s="1">
        <v>330002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</row>
    <row r="124" spans="1:29" x14ac:dyDescent="0.3">
      <c r="A124" s="8">
        <v>33000221</v>
      </c>
      <c r="B124" s="27" t="s">
        <v>142</v>
      </c>
      <c r="C124" s="27" t="s">
        <v>150</v>
      </c>
      <c r="D124" s="27" t="s">
        <v>140</v>
      </c>
      <c r="E124" s="8">
        <v>1000003</v>
      </c>
      <c r="F124" s="7" t="str">
        <f>IFERROR(_xlfn.XLOOKUP(E:E,[1]Buff!$A:$A,[1]Buff!$E:$E),"None")</f>
        <v>얼티밋 대미지</v>
      </c>
      <c r="G124" s="1">
        <v>0</v>
      </c>
      <c r="H124" s="1" t="s">
        <v>38</v>
      </c>
      <c r="I124" s="1" t="s">
        <v>38</v>
      </c>
      <c r="J124" s="1">
        <v>100000</v>
      </c>
      <c r="K124" s="8">
        <v>30000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37">
        <v>2</v>
      </c>
      <c r="U124" s="1">
        <v>330002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</row>
    <row r="125" spans="1:29" x14ac:dyDescent="0.3">
      <c r="A125" s="8">
        <v>33000231</v>
      </c>
      <c r="B125" s="27" t="s">
        <v>142</v>
      </c>
      <c r="C125" s="27" t="s">
        <v>150</v>
      </c>
      <c r="D125" s="27" t="s">
        <v>140</v>
      </c>
      <c r="E125" s="8">
        <v>1000003</v>
      </c>
      <c r="F125" s="7" t="str">
        <f>IFERROR(_xlfn.XLOOKUP(E:E,[1]Buff!$A:$A,[1]Buff!$E:$E),"None")</f>
        <v>얼티밋 대미지</v>
      </c>
      <c r="G125" s="1">
        <v>0</v>
      </c>
      <c r="H125" s="1" t="s">
        <v>38</v>
      </c>
      <c r="I125" s="1" t="s">
        <v>38</v>
      </c>
      <c r="J125" s="1">
        <v>100000</v>
      </c>
      <c r="K125" s="8">
        <v>30000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37">
        <v>0</v>
      </c>
      <c r="U125" s="1">
        <v>330002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</row>
    <row r="126" spans="1:29" x14ac:dyDescent="0.3">
      <c r="A126" s="8">
        <v>33000212</v>
      </c>
      <c r="B126" s="27" t="s">
        <v>142</v>
      </c>
      <c r="C126" s="27" t="s">
        <v>150</v>
      </c>
      <c r="D126" s="27" t="s">
        <v>140</v>
      </c>
      <c r="E126" s="8">
        <v>2000105</v>
      </c>
      <c r="F126" s="7" t="str">
        <f>IFERROR(_xlfn.XLOOKUP(E:E,[1]Buff!$A:$A,[1]Buff!$E:$E),"None")</f>
        <v>리자 공격력 증가</v>
      </c>
      <c r="G126" s="1">
        <v>0</v>
      </c>
      <c r="H126" s="1" t="s">
        <v>38</v>
      </c>
      <c r="I126" s="1" t="s">
        <v>38</v>
      </c>
      <c r="J126" s="1">
        <v>100000</v>
      </c>
      <c r="K126" s="8">
        <v>15000</v>
      </c>
      <c r="L126" s="8">
        <v>1001</v>
      </c>
      <c r="M126" s="8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37">
        <v>2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</row>
    <row r="127" spans="1:29" x14ac:dyDescent="0.3">
      <c r="A127" s="8">
        <v>33000222</v>
      </c>
      <c r="B127" s="27" t="s">
        <v>142</v>
      </c>
      <c r="C127" s="27" t="s">
        <v>150</v>
      </c>
      <c r="D127" s="27" t="s">
        <v>140</v>
      </c>
      <c r="E127" s="8">
        <v>2000105</v>
      </c>
      <c r="F127" s="7" t="str">
        <f>IFERROR(_xlfn.XLOOKUP(E:E,[1]Buff!$A:$A,[1]Buff!$E:$E),"None")</f>
        <v>리자 공격력 증가</v>
      </c>
      <c r="G127" s="1">
        <v>0</v>
      </c>
      <c r="H127" s="1" t="s">
        <v>38</v>
      </c>
      <c r="I127" s="1" t="s">
        <v>38</v>
      </c>
      <c r="J127" s="1">
        <v>100000</v>
      </c>
      <c r="K127" s="8">
        <v>15000</v>
      </c>
      <c r="L127" s="8">
        <v>1001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37">
        <v>2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</row>
    <row r="128" spans="1:29" x14ac:dyDescent="0.3">
      <c r="A128" s="8">
        <v>33000232</v>
      </c>
      <c r="B128" s="27" t="s">
        <v>142</v>
      </c>
      <c r="C128" s="27" t="s">
        <v>150</v>
      </c>
      <c r="D128" s="27" t="s">
        <v>140</v>
      </c>
      <c r="E128" s="8">
        <v>2000105</v>
      </c>
      <c r="F128" s="7" t="str">
        <f>IFERROR(_xlfn.XLOOKUP(E:E,[1]Buff!$A:$A,[1]Buff!$E:$E),"None")</f>
        <v>리자 공격력 증가</v>
      </c>
      <c r="G128" s="1">
        <v>0</v>
      </c>
      <c r="H128" s="1" t="s">
        <v>38</v>
      </c>
      <c r="I128" s="1" t="s">
        <v>38</v>
      </c>
      <c r="J128" s="1">
        <v>100000</v>
      </c>
      <c r="K128" s="8">
        <v>15000</v>
      </c>
      <c r="L128" s="8">
        <v>1001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37">
        <v>2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</row>
    <row r="129" spans="1:29" x14ac:dyDescent="0.3">
      <c r="A129" s="8">
        <v>43000211</v>
      </c>
      <c r="B129" s="27" t="s">
        <v>142</v>
      </c>
      <c r="C129" s="27" t="s">
        <v>150</v>
      </c>
      <c r="D129" s="27" t="s">
        <v>167</v>
      </c>
      <c r="E129" s="8">
        <v>6000002</v>
      </c>
      <c r="F129" s="7" t="str">
        <f>IFERROR(_xlfn.XLOOKUP(E:E,[1]Buff!$A:$A,[1]Buff!$E:$E),"None")</f>
        <v>리자 패시브 스킬 사용</v>
      </c>
      <c r="G129" s="1">
        <v>0</v>
      </c>
      <c r="H129" s="1" t="s">
        <v>234</v>
      </c>
      <c r="I129" s="1" t="s">
        <v>38</v>
      </c>
      <c r="J129" s="1">
        <v>100000</v>
      </c>
      <c r="K129" s="8">
        <v>9100001</v>
      </c>
      <c r="L129" s="8">
        <v>0</v>
      </c>
      <c r="M129" s="8">
        <v>0</v>
      </c>
      <c r="N129" s="8">
        <v>0</v>
      </c>
      <c r="O129" s="8">
        <v>0</v>
      </c>
      <c r="P129" s="8">
        <v>0</v>
      </c>
      <c r="Q129" s="8">
        <v>0</v>
      </c>
      <c r="R129" s="8">
        <v>0</v>
      </c>
      <c r="S129" s="8">
        <v>0</v>
      </c>
      <c r="T129" s="37">
        <v>-1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</row>
    <row r="130" spans="1:29" x14ac:dyDescent="0.3">
      <c r="A130" s="8">
        <v>43000221</v>
      </c>
      <c r="B130" s="27" t="s">
        <v>142</v>
      </c>
      <c r="C130" s="27" t="s">
        <v>150</v>
      </c>
      <c r="D130" s="27" t="s">
        <v>167</v>
      </c>
      <c r="E130" s="8">
        <v>6000002</v>
      </c>
      <c r="F130" s="7" t="str">
        <f>IFERROR(_xlfn.XLOOKUP(E:E,[1]Buff!$A:$A,[1]Buff!$E:$E),"None")</f>
        <v>리자 패시브 스킬 사용</v>
      </c>
      <c r="G130" s="1">
        <v>0</v>
      </c>
      <c r="H130" s="1" t="s">
        <v>234</v>
      </c>
      <c r="I130" s="1" t="s">
        <v>38</v>
      </c>
      <c r="J130" s="1">
        <v>100000</v>
      </c>
      <c r="K130" s="8">
        <v>9100001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37">
        <v>-1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</row>
    <row r="131" spans="1:29" s="11" customFormat="1" x14ac:dyDescent="0.3">
      <c r="A131" s="10">
        <v>13018011</v>
      </c>
      <c r="B131" s="31" t="s">
        <v>99</v>
      </c>
      <c r="C131" s="31" t="s">
        <v>150</v>
      </c>
      <c r="D131" s="31" t="s">
        <v>30</v>
      </c>
      <c r="E131" s="10">
        <v>1000001</v>
      </c>
      <c r="F131" s="12" t="str">
        <f>IFERROR(_xlfn.XLOOKUP(E:E,[1]Buff!$A:$A,[1]Buff!$E:$E),"None")</f>
        <v>공용 대미지</v>
      </c>
      <c r="G131" s="11">
        <v>0</v>
      </c>
      <c r="H131" s="11" t="s">
        <v>38</v>
      </c>
      <c r="I131" s="11" t="s">
        <v>38</v>
      </c>
      <c r="J131" s="11">
        <v>100000</v>
      </c>
      <c r="K131" s="10">
        <v>120000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38">
        <v>0</v>
      </c>
      <c r="U131" s="11">
        <v>130180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1">
        <v>0</v>
      </c>
    </row>
    <row r="132" spans="1:29" x14ac:dyDescent="0.3">
      <c r="A132" s="8">
        <v>23018011</v>
      </c>
      <c r="B132" s="27" t="s">
        <v>99</v>
      </c>
      <c r="C132" s="27" t="s">
        <v>150</v>
      </c>
      <c r="D132" s="27" t="s">
        <v>33</v>
      </c>
      <c r="E132" s="8">
        <v>1000002</v>
      </c>
      <c r="F132" s="7" t="str">
        <f>IFERROR(_xlfn.XLOOKUP(E:E,[1]Buff!$A:$A,[1]Buff!$E:$E),"None")</f>
        <v>액티브 대미지</v>
      </c>
      <c r="G132" s="1">
        <v>0</v>
      </c>
      <c r="H132" s="1" t="s">
        <v>38</v>
      </c>
      <c r="I132" s="1" t="s">
        <v>38</v>
      </c>
      <c r="J132" s="1">
        <v>100000</v>
      </c>
      <c r="K132" s="8">
        <v>135000</v>
      </c>
      <c r="L132" s="8">
        <v>0</v>
      </c>
      <c r="M132" s="8">
        <v>0</v>
      </c>
      <c r="N132" s="8">
        <v>0</v>
      </c>
      <c r="O132" s="8">
        <v>0</v>
      </c>
      <c r="P132" s="8">
        <v>0</v>
      </c>
      <c r="Q132" s="8">
        <v>0</v>
      </c>
      <c r="R132" s="8">
        <v>0</v>
      </c>
      <c r="S132" s="8">
        <v>0</v>
      </c>
      <c r="T132" s="37">
        <v>0</v>
      </c>
      <c r="U132" s="1">
        <v>230180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</row>
    <row r="133" spans="1:29" x14ac:dyDescent="0.3">
      <c r="A133" s="8">
        <v>23018012</v>
      </c>
      <c r="B133" s="27" t="s">
        <v>99</v>
      </c>
      <c r="C133" s="27" t="s">
        <v>150</v>
      </c>
      <c r="D133" s="27" t="s">
        <v>33</v>
      </c>
      <c r="E133" s="8">
        <v>3003201</v>
      </c>
      <c r="F133" s="7" t="str">
        <f>IFERROR(_xlfn.XLOOKUP(E:E,[1]Buff!$A:$A,[1]Buff!$E:$E),"None")</f>
        <v>넉백</v>
      </c>
      <c r="G133" s="1">
        <v>0</v>
      </c>
      <c r="H133" s="1" t="s">
        <v>38</v>
      </c>
      <c r="I133" s="1" t="s">
        <v>38</v>
      </c>
      <c r="J133" s="1">
        <v>100000</v>
      </c>
      <c r="K133" s="8">
        <v>1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37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</row>
    <row r="134" spans="1:29" x14ac:dyDescent="0.3">
      <c r="A134" s="8">
        <v>23018021</v>
      </c>
      <c r="B134" s="27" t="s">
        <v>99</v>
      </c>
      <c r="C134" s="27" t="s">
        <v>150</v>
      </c>
      <c r="D134" s="27" t="s">
        <v>33</v>
      </c>
      <c r="E134" s="8">
        <v>1000002</v>
      </c>
      <c r="F134" s="7" t="str">
        <f>IFERROR(_xlfn.XLOOKUP(E:E,[1]Buff!$A:$A,[1]Buff!$E:$E),"None")</f>
        <v>액티브 대미지</v>
      </c>
      <c r="G134" s="1">
        <v>0</v>
      </c>
      <c r="H134" s="1" t="s">
        <v>38</v>
      </c>
      <c r="I134" s="1" t="s">
        <v>38</v>
      </c>
      <c r="J134" s="1">
        <v>100000</v>
      </c>
      <c r="K134" s="8">
        <v>135000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S134" s="8">
        <v>0</v>
      </c>
      <c r="T134" s="37">
        <v>0</v>
      </c>
      <c r="U134" s="1">
        <v>230180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</row>
    <row r="135" spans="1:29" x14ac:dyDescent="0.3">
      <c r="A135" s="8">
        <v>23018022</v>
      </c>
      <c r="B135" s="27" t="s">
        <v>99</v>
      </c>
      <c r="C135" s="27" t="s">
        <v>150</v>
      </c>
      <c r="D135" s="27" t="s">
        <v>33</v>
      </c>
      <c r="E135" s="8">
        <v>3003201</v>
      </c>
      <c r="F135" s="7" t="str">
        <f>IFERROR(_xlfn.XLOOKUP(E:E,[1]Buff!$A:$A,[1]Buff!$E:$E),"None")</f>
        <v>넉백</v>
      </c>
      <c r="G135" s="1">
        <v>0</v>
      </c>
      <c r="H135" s="1" t="s">
        <v>38</v>
      </c>
      <c r="I135" s="1" t="s">
        <v>38</v>
      </c>
      <c r="J135" s="1">
        <v>100000</v>
      </c>
      <c r="K135" s="8">
        <v>1</v>
      </c>
      <c r="L135" s="8">
        <v>0</v>
      </c>
      <c r="M135" s="8">
        <v>0</v>
      </c>
      <c r="N135" s="8">
        <v>0</v>
      </c>
      <c r="O135" s="8">
        <v>0</v>
      </c>
      <c r="P135" s="8">
        <v>0</v>
      </c>
      <c r="Q135" s="8">
        <v>0</v>
      </c>
      <c r="R135" s="8">
        <v>0</v>
      </c>
      <c r="S135" s="8">
        <v>0</v>
      </c>
      <c r="T135" s="37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</row>
    <row r="136" spans="1:29" x14ac:dyDescent="0.3">
      <c r="A136" s="8">
        <v>23018013</v>
      </c>
      <c r="B136" s="27" t="s">
        <v>99</v>
      </c>
      <c r="C136" s="27" t="s">
        <v>150</v>
      </c>
      <c r="D136" s="27" t="s">
        <v>33</v>
      </c>
      <c r="E136" s="8">
        <v>3002601</v>
      </c>
      <c r="F136" s="7" t="str">
        <f>IFERROR(_xlfn.XLOOKUP(E:E,[1]Buff!$A:$A,[1]Buff!$E:$E),"None")</f>
        <v>기절</v>
      </c>
      <c r="G136" s="1">
        <v>0</v>
      </c>
      <c r="H136" s="1" t="s">
        <v>38</v>
      </c>
      <c r="I136" s="1" t="s">
        <v>38</v>
      </c>
      <c r="J136" s="1">
        <v>30000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37">
        <v>1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</row>
    <row r="137" spans="1:29" x14ac:dyDescent="0.3">
      <c r="A137" s="8">
        <v>23018023</v>
      </c>
      <c r="B137" s="27" t="s">
        <v>99</v>
      </c>
      <c r="C137" s="27" t="s">
        <v>150</v>
      </c>
      <c r="D137" s="27" t="s">
        <v>33</v>
      </c>
      <c r="E137" s="8">
        <v>3002601</v>
      </c>
      <c r="F137" s="7" t="str">
        <f>IFERROR(_xlfn.XLOOKUP(E:E,[1]Buff!$A:$A,[1]Buff!$E:$E),"None")</f>
        <v>기절</v>
      </c>
      <c r="G137" s="1">
        <v>0</v>
      </c>
      <c r="H137" s="1" t="s">
        <v>38</v>
      </c>
      <c r="I137" s="1" t="s">
        <v>38</v>
      </c>
      <c r="J137" s="1">
        <v>30000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37">
        <v>1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</row>
    <row r="138" spans="1:29" x14ac:dyDescent="0.3">
      <c r="A138" s="8">
        <v>33018011</v>
      </c>
      <c r="B138" s="27" t="s">
        <v>99</v>
      </c>
      <c r="C138" s="27" t="s">
        <v>150</v>
      </c>
      <c r="D138" s="27" t="s">
        <v>140</v>
      </c>
      <c r="E138" s="8">
        <v>1000003</v>
      </c>
      <c r="F138" s="7" t="str">
        <f>IFERROR(_xlfn.XLOOKUP(E:E,[1]Buff!$A:$A,[1]Buff!$E:$E),"None")</f>
        <v>얼티밋 대미지</v>
      </c>
      <c r="G138" s="1">
        <v>0</v>
      </c>
      <c r="H138" s="1" t="s">
        <v>38</v>
      </c>
      <c r="I138" s="1" t="s">
        <v>38</v>
      </c>
      <c r="J138" s="1">
        <v>100000</v>
      </c>
      <c r="K138" s="8">
        <v>160000</v>
      </c>
      <c r="L138" s="8">
        <v>0</v>
      </c>
      <c r="M138" s="8">
        <v>0</v>
      </c>
      <c r="N138" s="8">
        <v>0</v>
      </c>
      <c r="O138" s="8">
        <v>0</v>
      </c>
      <c r="P138" s="8">
        <v>0</v>
      </c>
      <c r="Q138" s="8">
        <v>0</v>
      </c>
      <c r="R138" s="8">
        <v>0</v>
      </c>
      <c r="S138" s="8">
        <v>0</v>
      </c>
      <c r="T138" s="37">
        <v>0</v>
      </c>
      <c r="U138" s="1">
        <v>330180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</row>
    <row r="139" spans="1:29" x14ac:dyDescent="0.3">
      <c r="A139" s="8">
        <v>33018012</v>
      </c>
      <c r="B139" s="27" t="s">
        <v>99</v>
      </c>
      <c r="C139" s="27" t="s">
        <v>150</v>
      </c>
      <c r="D139" s="27" t="s">
        <v>140</v>
      </c>
      <c r="E139" s="8">
        <v>3003001</v>
      </c>
      <c r="F139" s="7" t="str">
        <f>IFERROR(_xlfn.XLOOKUP(E:E,[1]Buff!$A:$A,[1]Buff!$E:$E),"None")</f>
        <v>도발</v>
      </c>
      <c r="G139" s="1">
        <v>0</v>
      </c>
      <c r="H139" s="1" t="s">
        <v>38</v>
      </c>
      <c r="I139" s="1" t="s">
        <v>38</v>
      </c>
      <c r="J139" s="1">
        <v>40000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37">
        <v>2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</row>
    <row r="140" spans="1:29" x14ac:dyDescent="0.3">
      <c r="A140" s="29">
        <v>33018021</v>
      </c>
      <c r="B140" s="27" t="s">
        <v>99</v>
      </c>
      <c r="C140" s="27" t="s">
        <v>150</v>
      </c>
      <c r="D140" s="27" t="s">
        <v>140</v>
      </c>
      <c r="E140" s="8">
        <v>1000003</v>
      </c>
      <c r="F140" s="7" t="str">
        <f>IFERROR(_xlfn.XLOOKUP(E:E,[1]Buff!$A:$A,[1]Buff!$E:$E),"None")</f>
        <v>얼티밋 대미지</v>
      </c>
      <c r="G140" s="1">
        <v>0</v>
      </c>
      <c r="H140" s="1" t="s">
        <v>38</v>
      </c>
      <c r="I140" s="1" t="s">
        <v>38</v>
      </c>
      <c r="J140" s="1">
        <v>100000</v>
      </c>
      <c r="K140" s="8">
        <v>160000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37">
        <v>0</v>
      </c>
      <c r="U140" s="1">
        <v>330180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</row>
    <row r="141" spans="1:29" x14ac:dyDescent="0.3">
      <c r="A141" s="8">
        <v>33018022</v>
      </c>
      <c r="B141" s="27" t="s">
        <v>99</v>
      </c>
      <c r="C141" s="27" t="s">
        <v>150</v>
      </c>
      <c r="D141" s="27" t="s">
        <v>140</v>
      </c>
      <c r="E141" s="8">
        <v>3003001</v>
      </c>
      <c r="F141" s="7" t="str">
        <f>IFERROR(_xlfn.XLOOKUP(E:E,[1]Buff!$A:$A,[1]Buff!$E:$E),"None")</f>
        <v>도발</v>
      </c>
      <c r="G141" s="1">
        <v>0</v>
      </c>
      <c r="H141" s="1" t="s">
        <v>38</v>
      </c>
      <c r="I141" s="1" t="s">
        <v>38</v>
      </c>
      <c r="J141" s="1">
        <v>40000</v>
      </c>
      <c r="K141" s="8">
        <v>0</v>
      </c>
      <c r="L141" s="8">
        <v>0</v>
      </c>
      <c r="M141" s="8">
        <v>0</v>
      </c>
      <c r="N141" s="8">
        <v>0</v>
      </c>
      <c r="O141" s="8">
        <v>0</v>
      </c>
      <c r="P141" s="8">
        <v>0</v>
      </c>
      <c r="Q141" s="8">
        <v>0</v>
      </c>
      <c r="R141" s="8">
        <v>0</v>
      </c>
      <c r="S141" s="8">
        <v>0</v>
      </c>
      <c r="T141" s="37">
        <v>2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</row>
    <row r="142" spans="1:29" x14ac:dyDescent="0.3">
      <c r="A142" s="29">
        <v>33018031</v>
      </c>
      <c r="B142" s="27" t="s">
        <v>99</v>
      </c>
      <c r="C142" s="27" t="s">
        <v>150</v>
      </c>
      <c r="D142" s="27" t="s">
        <v>140</v>
      </c>
      <c r="E142" s="8">
        <v>1000003</v>
      </c>
      <c r="F142" s="7" t="str">
        <f>IFERROR(_xlfn.XLOOKUP(E:E,[1]Buff!$A:$A,[1]Buff!$E:$E),"None")</f>
        <v>얼티밋 대미지</v>
      </c>
      <c r="G142" s="1">
        <v>0</v>
      </c>
      <c r="H142" s="1" t="s">
        <v>38</v>
      </c>
      <c r="I142" s="1" t="s">
        <v>38</v>
      </c>
      <c r="J142" s="1">
        <v>100000</v>
      </c>
      <c r="K142" s="8">
        <v>160000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37">
        <v>0</v>
      </c>
      <c r="U142" s="1">
        <v>330180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</row>
    <row r="143" spans="1:29" x14ac:dyDescent="0.3">
      <c r="A143" s="29">
        <v>33018032</v>
      </c>
      <c r="B143" s="27" t="s">
        <v>99</v>
      </c>
      <c r="C143" s="27" t="s">
        <v>150</v>
      </c>
      <c r="D143" s="27" t="s">
        <v>140</v>
      </c>
      <c r="E143" s="8">
        <v>3003001</v>
      </c>
      <c r="F143" s="7" t="str">
        <f>IFERROR(_xlfn.XLOOKUP(E:E,[1]Buff!$A:$A,[1]Buff!$E:$E),"None")</f>
        <v>도발</v>
      </c>
      <c r="G143" s="1">
        <v>0</v>
      </c>
      <c r="H143" s="1" t="s">
        <v>38</v>
      </c>
      <c r="I143" s="1" t="s">
        <v>38</v>
      </c>
      <c r="J143" s="1">
        <v>40000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37">
        <v>2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</row>
    <row r="144" spans="1:29" x14ac:dyDescent="0.3">
      <c r="A144" s="29">
        <v>43018011</v>
      </c>
      <c r="B144" s="27" t="s">
        <v>99</v>
      </c>
      <c r="C144" s="27" t="s">
        <v>150</v>
      </c>
      <c r="D144" s="27" t="s">
        <v>167</v>
      </c>
      <c r="E144" s="8">
        <v>2005201</v>
      </c>
      <c r="F144" s="7" t="str">
        <f>IFERROR(_xlfn.XLOOKUP(E:E,[1]Buff!$A:$A,[1]Buff!$E:$E),"None")</f>
        <v>도발 개수 비례 방어력 증가</v>
      </c>
      <c r="G144" s="1">
        <v>0</v>
      </c>
      <c r="H144" s="1" t="s">
        <v>38</v>
      </c>
      <c r="I144" s="1" t="s">
        <v>38</v>
      </c>
      <c r="J144" s="1">
        <v>100000</v>
      </c>
      <c r="K144" s="8">
        <v>12000</v>
      </c>
      <c r="L144" s="8">
        <v>1003</v>
      </c>
      <c r="M144" s="8">
        <v>0</v>
      </c>
      <c r="N144" s="8">
        <v>0</v>
      </c>
      <c r="O144" s="8">
        <v>0</v>
      </c>
      <c r="P144" s="8">
        <v>0</v>
      </c>
      <c r="Q144" s="8">
        <v>0</v>
      </c>
      <c r="R144" s="8">
        <v>0</v>
      </c>
      <c r="S144" s="8">
        <v>0</v>
      </c>
      <c r="T144" s="37">
        <v>-1</v>
      </c>
      <c r="U144" s="1">
        <v>100010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</row>
    <row r="145" spans="1:29" x14ac:dyDescent="0.3">
      <c r="A145" s="29">
        <v>43018021</v>
      </c>
      <c r="B145" s="27" t="s">
        <v>99</v>
      </c>
      <c r="C145" s="27" t="s">
        <v>150</v>
      </c>
      <c r="D145" s="27" t="s">
        <v>167</v>
      </c>
      <c r="E145" s="8">
        <v>2005201</v>
      </c>
      <c r="F145" s="7" t="str">
        <f>IFERROR(_xlfn.XLOOKUP(E:E,[1]Buff!$A:$A,[1]Buff!$E:$E),"None")</f>
        <v>도발 개수 비례 방어력 증가</v>
      </c>
      <c r="G145" s="1">
        <v>0</v>
      </c>
      <c r="H145" s="1" t="s">
        <v>38</v>
      </c>
      <c r="I145" s="1" t="s">
        <v>38</v>
      </c>
      <c r="J145" s="1">
        <v>100000</v>
      </c>
      <c r="K145" s="8">
        <v>12000</v>
      </c>
      <c r="L145" s="8">
        <v>1003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37">
        <v>-1</v>
      </c>
      <c r="U145" s="1">
        <v>100010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</row>
    <row r="146" spans="1:29" s="11" customFormat="1" x14ac:dyDescent="0.3">
      <c r="A146" s="66">
        <v>13000111</v>
      </c>
      <c r="B146" s="31" t="s">
        <v>120</v>
      </c>
      <c r="C146" s="31" t="s">
        <v>150</v>
      </c>
      <c r="D146" s="31" t="s">
        <v>30</v>
      </c>
      <c r="E146" s="10">
        <v>1000001</v>
      </c>
      <c r="F146" s="12" t="str">
        <f>IFERROR(_xlfn.XLOOKUP(E:E,[1]Buff!$A:$A,[1]Buff!$E:$E),"None")</f>
        <v>공용 대미지</v>
      </c>
      <c r="G146" s="11">
        <v>0</v>
      </c>
      <c r="H146" s="11" t="s">
        <v>38</v>
      </c>
      <c r="I146" s="11" t="s">
        <v>38</v>
      </c>
      <c r="J146" s="11">
        <v>100000</v>
      </c>
      <c r="K146" s="10">
        <v>120000</v>
      </c>
      <c r="L146" s="10">
        <v>0</v>
      </c>
      <c r="M146" s="10">
        <v>0</v>
      </c>
      <c r="N146" s="10">
        <v>0</v>
      </c>
      <c r="O146" s="10">
        <v>0</v>
      </c>
      <c r="P146" s="10">
        <v>0</v>
      </c>
      <c r="Q146" s="10">
        <v>0</v>
      </c>
      <c r="R146" s="10">
        <v>0</v>
      </c>
      <c r="S146" s="10">
        <v>0</v>
      </c>
      <c r="T146" s="38">
        <v>0</v>
      </c>
      <c r="U146" s="11">
        <v>130001</v>
      </c>
      <c r="V146" s="11">
        <v>0</v>
      </c>
      <c r="W146" s="11">
        <v>0</v>
      </c>
      <c r="X146" s="11">
        <v>0</v>
      </c>
      <c r="Y146" s="11">
        <v>0</v>
      </c>
      <c r="Z146" s="11">
        <v>0</v>
      </c>
      <c r="AA146" s="11">
        <v>0</v>
      </c>
      <c r="AB146" s="11">
        <v>0</v>
      </c>
      <c r="AC146" s="11">
        <v>0</v>
      </c>
    </row>
    <row r="147" spans="1:29" x14ac:dyDescent="0.3">
      <c r="A147" s="29">
        <v>23000111</v>
      </c>
      <c r="B147" s="27" t="s">
        <v>120</v>
      </c>
      <c r="C147" s="27" t="s">
        <v>150</v>
      </c>
      <c r="D147" s="27" t="s">
        <v>33</v>
      </c>
      <c r="E147" s="8">
        <v>1000002</v>
      </c>
      <c r="F147" s="7" t="str">
        <f>IFERROR(_xlfn.XLOOKUP(E:E,[1]Buff!$A:$A,[1]Buff!$E:$E),"None")</f>
        <v>액티브 대미지</v>
      </c>
      <c r="G147" s="1">
        <v>0</v>
      </c>
      <c r="H147" s="1" t="s">
        <v>38</v>
      </c>
      <c r="I147" s="1" t="s">
        <v>38</v>
      </c>
      <c r="J147" s="1">
        <v>100000</v>
      </c>
      <c r="K147" s="8">
        <v>140000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  <c r="R147" s="8">
        <v>0</v>
      </c>
      <c r="S147" s="8">
        <v>0</v>
      </c>
      <c r="T147" s="37">
        <v>0</v>
      </c>
      <c r="U147" s="1">
        <v>230001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</row>
    <row r="148" spans="1:29" x14ac:dyDescent="0.3">
      <c r="A148" s="29">
        <v>23000121</v>
      </c>
      <c r="B148" s="27" t="s">
        <v>120</v>
      </c>
      <c r="C148" s="27" t="s">
        <v>150</v>
      </c>
      <c r="D148" s="27" t="s">
        <v>33</v>
      </c>
      <c r="E148" s="8">
        <v>1000002</v>
      </c>
      <c r="F148" s="7" t="str">
        <f>IFERROR(_xlfn.XLOOKUP(E:E,[1]Buff!$A:$A,[1]Buff!$E:$E),"None")</f>
        <v>액티브 대미지</v>
      </c>
      <c r="G148" s="1">
        <v>0</v>
      </c>
      <c r="H148" s="1" t="s">
        <v>38</v>
      </c>
      <c r="I148" s="1" t="s">
        <v>38</v>
      </c>
      <c r="J148" s="1">
        <v>100000</v>
      </c>
      <c r="K148" s="8">
        <v>140000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37">
        <v>0</v>
      </c>
      <c r="U148" s="1">
        <v>230001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</row>
    <row r="149" spans="1:29" ht="12.75" customHeight="1" x14ac:dyDescent="0.3">
      <c r="A149" s="29">
        <v>33000111</v>
      </c>
      <c r="B149" s="27" t="s">
        <v>120</v>
      </c>
      <c r="C149" s="27" t="s">
        <v>150</v>
      </c>
      <c r="D149" s="27" t="s">
        <v>140</v>
      </c>
      <c r="E149" s="8">
        <v>1000003</v>
      </c>
      <c r="F149" s="7" t="str">
        <f>IFERROR(_xlfn.XLOOKUP(E:E,[1]Buff!$A:$A,[1]Buff!$E:$E),"None")</f>
        <v>얼티밋 대미지</v>
      </c>
      <c r="G149" s="1">
        <v>0</v>
      </c>
      <c r="H149" s="1" t="s">
        <v>38</v>
      </c>
      <c r="I149" s="1" t="s">
        <v>38</v>
      </c>
      <c r="J149" s="1">
        <v>100000</v>
      </c>
      <c r="K149" s="8">
        <v>160000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>
        <v>0</v>
      </c>
      <c r="T149" s="37">
        <v>0</v>
      </c>
      <c r="U149" s="1">
        <v>330001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</row>
    <row r="150" spans="1:29" x14ac:dyDescent="0.3">
      <c r="A150" s="29">
        <v>33000112</v>
      </c>
      <c r="B150" s="27" t="s">
        <v>120</v>
      </c>
      <c r="C150" s="27" t="s">
        <v>150</v>
      </c>
      <c r="D150" s="27" t="s">
        <v>140</v>
      </c>
      <c r="E150" s="8">
        <v>3000203</v>
      </c>
      <c r="F150" s="7" t="str">
        <f>IFERROR(_xlfn.XLOOKUP(E:E,[1]Buff!$A:$A,[1]Buff!$E:$E),"None")</f>
        <v>모나 방어력 감소</v>
      </c>
      <c r="G150" s="1">
        <v>0</v>
      </c>
      <c r="H150" s="1" t="s">
        <v>38</v>
      </c>
      <c r="I150" s="1" t="s">
        <v>38</v>
      </c>
      <c r="J150" s="1">
        <v>100000</v>
      </c>
      <c r="K150" s="8">
        <v>-15000</v>
      </c>
      <c r="L150" s="8">
        <v>1003</v>
      </c>
      <c r="M150" s="8">
        <v>0</v>
      </c>
      <c r="N150" s="8">
        <v>0</v>
      </c>
      <c r="O150" s="8">
        <v>0</v>
      </c>
      <c r="P150" s="8">
        <v>0</v>
      </c>
      <c r="Q150" s="8">
        <v>0</v>
      </c>
      <c r="R150" s="8">
        <v>0</v>
      </c>
      <c r="S150" s="8">
        <v>0</v>
      </c>
      <c r="T150" s="37">
        <v>3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</row>
    <row r="151" spans="1:29" x14ac:dyDescent="0.3">
      <c r="A151" s="8">
        <v>33000121</v>
      </c>
      <c r="B151" s="27" t="s">
        <v>120</v>
      </c>
      <c r="C151" s="27" t="s">
        <v>150</v>
      </c>
      <c r="D151" s="27" t="s">
        <v>140</v>
      </c>
      <c r="E151" s="8">
        <v>1000003</v>
      </c>
      <c r="F151" s="7" t="str">
        <f>IFERROR(_xlfn.XLOOKUP(E:E,[1]Buff!$A:$A,[1]Buff!$E:$E),"None")</f>
        <v>얼티밋 대미지</v>
      </c>
      <c r="G151" s="1">
        <v>0</v>
      </c>
      <c r="H151" s="1" t="s">
        <v>38</v>
      </c>
      <c r="I151" s="1" t="s">
        <v>38</v>
      </c>
      <c r="J151" s="1">
        <v>100000</v>
      </c>
      <c r="K151" s="8">
        <v>160000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37">
        <v>0</v>
      </c>
      <c r="U151" s="1">
        <v>330001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</row>
    <row r="152" spans="1:29" x14ac:dyDescent="0.3">
      <c r="A152" s="8">
        <v>33000122</v>
      </c>
      <c r="B152" s="27" t="s">
        <v>120</v>
      </c>
      <c r="C152" s="27" t="s">
        <v>150</v>
      </c>
      <c r="D152" s="27" t="s">
        <v>140</v>
      </c>
      <c r="E152" s="8">
        <v>3000203</v>
      </c>
      <c r="F152" s="7" t="str">
        <f>IFERROR(_xlfn.XLOOKUP(E:E,[1]Buff!$A:$A,[1]Buff!$E:$E),"None")</f>
        <v>모나 방어력 감소</v>
      </c>
      <c r="G152" s="1">
        <v>0</v>
      </c>
      <c r="H152" s="1" t="s">
        <v>38</v>
      </c>
      <c r="I152" s="1" t="s">
        <v>38</v>
      </c>
      <c r="J152" s="1">
        <v>100000</v>
      </c>
      <c r="K152" s="8">
        <v>-15000</v>
      </c>
      <c r="L152" s="8">
        <v>1003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>
        <v>0</v>
      </c>
      <c r="T152" s="37">
        <v>3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</row>
    <row r="153" spans="1:29" x14ac:dyDescent="0.3">
      <c r="A153" s="8">
        <v>33000131</v>
      </c>
      <c r="B153" s="27" t="s">
        <v>120</v>
      </c>
      <c r="C153" s="27" t="s">
        <v>150</v>
      </c>
      <c r="D153" s="27" t="s">
        <v>140</v>
      </c>
      <c r="E153" s="8">
        <v>1000003</v>
      </c>
      <c r="F153" s="7" t="str">
        <f>IFERROR(_xlfn.XLOOKUP(E:E,[1]Buff!$A:$A,[1]Buff!$E:$E),"None")</f>
        <v>얼티밋 대미지</v>
      </c>
      <c r="G153" s="1">
        <v>0</v>
      </c>
      <c r="H153" s="1" t="s">
        <v>38</v>
      </c>
      <c r="I153" s="1" t="s">
        <v>38</v>
      </c>
      <c r="J153" s="1">
        <v>100000</v>
      </c>
      <c r="K153" s="8">
        <v>160000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  <c r="R153" s="8">
        <v>0</v>
      </c>
      <c r="S153" s="8">
        <v>0</v>
      </c>
      <c r="T153" s="37">
        <v>0</v>
      </c>
      <c r="U153" s="1">
        <v>330001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</row>
    <row r="154" spans="1:29" x14ac:dyDescent="0.3">
      <c r="A154" s="8">
        <v>33000132</v>
      </c>
      <c r="B154" s="27" t="s">
        <v>120</v>
      </c>
      <c r="C154" s="27" t="s">
        <v>150</v>
      </c>
      <c r="D154" s="27" t="s">
        <v>140</v>
      </c>
      <c r="E154" s="8">
        <v>3000203</v>
      </c>
      <c r="F154" s="7" t="str">
        <f>IFERROR(_xlfn.XLOOKUP(E:E,[1]Buff!$A:$A,[1]Buff!$E:$E),"None")</f>
        <v>모나 방어력 감소</v>
      </c>
      <c r="G154" s="1">
        <v>0</v>
      </c>
      <c r="H154" s="1" t="s">
        <v>38</v>
      </c>
      <c r="I154" s="1" t="s">
        <v>38</v>
      </c>
      <c r="J154" s="1">
        <v>100000</v>
      </c>
      <c r="K154" s="8">
        <v>-15000</v>
      </c>
      <c r="L154" s="8">
        <v>1003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37">
        <v>3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</row>
    <row r="155" spans="1:29" x14ac:dyDescent="0.3">
      <c r="A155" s="29">
        <v>33000113</v>
      </c>
      <c r="B155" s="27" t="s">
        <v>120</v>
      </c>
      <c r="C155" s="27" t="s">
        <v>150</v>
      </c>
      <c r="D155" s="27" t="s">
        <v>140</v>
      </c>
      <c r="E155" s="8">
        <v>2000203</v>
      </c>
      <c r="F155" s="7" t="str">
        <f>IFERROR(_xlfn.XLOOKUP(E:E,[1]Buff!$A:$A,[1]Buff!$E:$E),"None")</f>
        <v>모나 얼티밋 방어력 증가</v>
      </c>
      <c r="G155" s="1">
        <v>0</v>
      </c>
      <c r="H155" s="1" t="s">
        <v>38</v>
      </c>
      <c r="I155" s="1" t="s">
        <v>38</v>
      </c>
      <c r="J155" s="1">
        <v>100000</v>
      </c>
      <c r="K155" s="8">
        <v>15000</v>
      </c>
      <c r="L155" s="8">
        <v>1003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37">
        <v>3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</row>
    <row r="156" spans="1:29" x14ac:dyDescent="0.3">
      <c r="A156" s="8">
        <v>33000123</v>
      </c>
      <c r="B156" s="27" t="s">
        <v>120</v>
      </c>
      <c r="C156" s="27" t="s">
        <v>150</v>
      </c>
      <c r="D156" s="27" t="s">
        <v>140</v>
      </c>
      <c r="E156" s="8">
        <v>2000203</v>
      </c>
      <c r="F156" s="7" t="str">
        <f>IFERROR(_xlfn.XLOOKUP(E:E,[1]Buff!$A:$A,[1]Buff!$E:$E),"None")</f>
        <v>모나 얼티밋 방어력 증가</v>
      </c>
      <c r="G156" s="1">
        <v>0</v>
      </c>
      <c r="H156" s="1" t="s">
        <v>38</v>
      </c>
      <c r="I156" s="1" t="s">
        <v>38</v>
      </c>
      <c r="J156" s="1">
        <v>100000</v>
      </c>
      <c r="K156" s="8">
        <v>15000</v>
      </c>
      <c r="L156" s="8">
        <v>1003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  <c r="R156" s="8">
        <v>0</v>
      </c>
      <c r="S156" s="8">
        <v>0</v>
      </c>
      <c r="T156" s="37">
        <v>3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</row>
    <row r="157" spans="1:29" x14ac:dyDescent="0.3">
      <c r="A157" s="8">
        <v>33000133</v>
      </c>
      <c r="B157" s="27" t="s">
        <v>120</v>
      </c>
      <c r="C157" s="27" t="s">
        <v>150</v>
      </c>
      <c r="D157" s="27" t="s">
        <v>140</v>
      </c>
      <c r="E157" s="8">
        <v>2000203</v>
      </c>
      <c r="F157" s="7" t="str">
        <f>IFERROR(_xlfn.XLOOKUP(E:E,[1]Buff!$A:$A,[1]Buff!$E:$E),"None")</f>
        <v>모나 얼티밋 방어력 증가</v>
      </c>
      <c r="G157" s="1">
        <v>0</v>
      </c>
      <c r="H157" s="1" t="s">
        <v>38</v>
      </c>
      <c r="I157" s="1" t="s">
        <v>38</v>
      </c>
      <c r="J157" s="1">
        <v>100000</v>
      </c>
      <c r="K157" s="8">
        <v>15000</v>
      </c>
      <c r="L157" s="8">
        <v>1003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37">
        <v>3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</row>
    <row r="158" spans="1:29" x14ac:dyDescent="0.3">
      <c r="A158" s="8">
        <v>43000111</v>
      </c>
      <c r="B158" s="27" t="s">
        <v>120</v>
      </c>
      <c r="C158" s="27" t="s">
        <v>150</v>
      </c>
      <c r="D158" s="27" t="s">
        <v>167</v>
      </c>
      <c r="E158" s="8">
        <v>2006301</v>
      </c>
      <c r="F158" s="7" t="str">
        <f>IFERROR(_xlfn.XLOOKUP(E:E,[1]Buff!$A:$A,[1]Buff!$E:$E),"None")</f>
        <v>모나 패시브 체력낮을수록 방어력 증가</v>
      </c>
      <c r="G158" s="1">
        <v>0</v>
      </c>
      <c r="H158" s="1" t="s">
        <v>38</v>
      </c>
      <c r="I158" s="1" t="s">
        <v>38</v>
      </c>
      <c r="J158" s="1">
        <v>100000</v>
      </c>
      <c r="K158" s="8">
        <v>1000</v>
      </c>
      <c r="L158" s="8">
        <v>1003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>
        <v>0</v>
      </c>
      <c r="T158" s="37">
        <v>-1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</row>
    <row r="159" spans="1:29" x14ac:dyDescent="0.3">
      <c r="A159" s="8">
        <v>43000121</v>
      </c>
      <c r="B159" s="27" t="s">
        <v>120</v>
      </c>
      <c r="C159" s="27" t="s">
        <v>150</v>
      </c>
      <c r="D159" s="27" t="s">
        <v>167</v>
      </c>
      <c r="E159" s="8">
        <v>2006301</v>
      </c>
      <c r="F159" s="7" t="str">
        <f>IFERROR(_xlfn.XLOOKUP(E:E,[1]Buff!$A:$A,[1]Buff!$E:$E),"None")</f>
        <v>모나 패시브 체력낮을수록 방어력 증가</v>
      </c>
      <c r="G159" s="1">
        <v>0</v>
      </c>
      <c r="H159" s="1" t="s">
        <v>38</v>
      </c>
      <c r="I159" s="1" t="s">
        <v>38</v>
      </c>
      <c r="J159" s="1">
        <v>100000</v>
      </c>
      <c r="K159" s="8">
        <v>1000</v>
      </c>
      <c r="L159" s="8">
        <v>1003</v>
      </c>
      <c r="M159" s="8">
        <v>0</v>
      </c>
      <c r="N159" s="8">
        <v>0</v>
      </c>
      <c r="O159" s="8">
        <v>0</v>
      </c>
      <c r="P159" s="8">
        <v>0</v>
      </c>
      <c r="Q159" s="8">
        <v>0</v>
      </c>
      <c r="R159" s="8">
        <v>0</v>
      </c>
      <c r="S159" s="8">
        <v>0</v>
      </c>
      <c r="T159" s="37">
        <v>-1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</row>
    <row r="160" spans="1:29" s="11" customFormat="1" x14ac:dyDescent="0.3">
      <c r="A160" s="10">
        <v>13031811</v>
      </c>
      <c r="B160" s="31" t="s">
        <v>155</v>
      </c>
      <c r="C160" s="31" t="s">
        <v>151</v>
      </c>
      <c r="D160" s="31" t="s">
        <v>30</v>
      </c>
      <c r="E160" s="10">
        <v>1000001</v>
      </c>
      <c r="F160" s="12" t="str">
        <f>IFERROR(_xlfn.XLOOKUP(E:E,[1]Buff!$A:$A,[1]Buff!$E:$E),"None")</f>
        <v>공용 대미지</v>
      </c>
      <c r="G160" s="11">
        <v>0</v>
      </c>
      <c r="H160" s="11" t="s">
        <v>38</v>
      </c>
      <c r="I160" s="11" t="s">
        <v>38</v>
      </c>
      <c r="J160" s="11">
        <v>100000</v>
      </c>
      <c r="K160" s="10">
        <v>285000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0</v>
      </c>
      <c r="R160" s="10">
        <v>0</v>
      </c>
      <c r="S160" s="10">
        <v>0</v>
      </c>
      <c r="T160" s="38">
        <v>0</v>
      </c>
      <c r="U160" s="11">
        <v>130318</v>
      </c>
      <c r="V160" s="11">
        <v>0</v>
      </c>
      <c r="W160" s="11">
        <v>0</v>
      </c>
      <c r="X160" s="11">
        <v>0</v>
      </c>
      <c r="Y160" s="11">
        <v>0</v>
      </c>
      <c r="Z160" s="11">
        <v>0</v>
      </c>
      <c r="AA160" s="11">
        <v>0</v>
      </c>
      <c r="AB160" s="11">
        <v>0</v>
      </c>
      <c r="AC160" s="11">
        <v>0</v>
      </c>
    </row>
    <row r="161" spans="1:29" x14ac:dyDescent="0.3">
      <c r="A161" s="8">
        <v>23031811</v>
      </c>
      <c r="B161" s="27" t="s">
        <v>155</v>
      </c>
      <c r="C161" s="27" t="s">
        <v>150</v>
      </c>
      <c r="D161" s="27" t="s">
        <v>33</v>
      </c>
      <c r="E161" s="8">
        <v>1000002</v>
      </c>
      <c r="F161" s="7" t="str">
        <f>IFERROR(_xlfn.XLOOKUP(E:E,[1]Buff!$A:$A,[1]Buff!$E:$E),"None")</f>
        <v>액티브 대미지</v>
      </c>
      <c r="G161" s="1">
        <v>0</v>
      </c>
      <c r="H161" s="1" t="s">
        <v>38</v>
      </c>
      <c r="I161" s="1" t="s">
        <v>38</v>
      </c>
      <c r="J161" s="1">
        <v>100000</v>
      </c>
      <c r="K161" s="8">
        <v>330000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0</v>
      </c>
      <c r="T161" s="37">
        <v>0</v>
      </c>
      <c r="U161" s="1">
        <v>230318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</row>
    <row r="162" spans="1:29" x14ac:dyDescent="0.3">
      <c r="A162" s="8">
        <v>23031821</v>
      </c>
      <c r="B162" s="27" t="s">
        <v>155</v>
      </c>
      <c r="C162" s="27" t="s">
        <v>150</v>
      </c>
      <c r="D162" s="27" t="s">
        <v>33</v>
      </c>
      <c r="E162" s="8">
        <v>1000002</v>
      </c>
      <c r="F162" s="7" t="str">
        <f>IFERROR(_xlfn.XLOOKUP(E:E,[1]Buff!$A:$A,[1]Buff!$E:$E),"None")</f>
        <v>액티브 대미지</v>
      </c>
      <c r="G162" s="1">
        <v>0</v>
      </c>
      <c r="H162" s="1" t="s">
        <v>38</v>
      </c>
      <c r="I162" s="1" t="s">
        <v>38</v>
      </c>
      <c r="J162" s="1">
        <v>100000</v>
      </c>
      <c r="K162" s="8">
        <v>330000</v>
      </c>
      <c r="L162" s="8">
        <v>0</v>
      </c>
      <c r="M162" s="8">
        <v>0</v>
      </c>
      <c r="N162" s="8">
        <v>0</v>
      </c>
      <c r="O162" s="8">
        <v>0</v>
      </c>
      <c r="P162" s="8">
        <v>0</v>
      </c>
      <c r="Q162" s="8">
        <v>0</v>
      </c>
      <c r="R162" s="8">
        <v>0</v>
      </c>
      <c r="S162" s="8">
        <v>0</v>
      </c>
      <c r="T162" s="37">
        <v>0</v>
      </c>
      <c r="U162" s="1">
        <v>230318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</row>
    <row r="163" spans="1:29" x14ac:dyDescent="0.3">
      <c r="A163" s="8">
        <v>23031812</v>
      </c>
      <c r="B163" s="27" t="s">
        <v>155</v>
      </c>
      <c r="C163" s="27" t="s">
        <v>150</v>
      </c>
      <c r="D163" s="27" t="s">
        <v>33</v>
      </c>
      <c r="E163" s="8">
        <v>2005301</v>
      </c>
      <c r="F163" s="7" t="str">
        <f>IFERROR(_xlfn.XLOOKUP(E:E,[1]Buff!$A:$A,[1]Buff!$E:$E),"None")</f>
        <v>바리 공증, 속증</v>
      </c>
      <c r="G163" s="1">
        <v>0</v>
      </c>
      <c r="H163" s="1" t="s">
        <v>38</v>
      </c>
      <c r="I163" s="1" t="s">
        <v>38</v>
      </c>
      <c r="J163" s="1">
        <v>100000</v>
      </c>
      <c r="K163" s="8">
        <v>15000</v>
      </c>
      <c r="L163" s="8">
        <v>1001</v>
      </c>
      <c r="M163" s="8">
        <v>0</v>
      </c>
      <c r="N163" s="8">
        <v>20</v>
      </c>
      <c r="O163" s="8">
        <v>1008</v>
      </c>
      <c r="P163" s="8">
        <v>0</v>
      </c>
      <c r="Q163" s="8">
        <v>0</v>
      </c>
      <c r="R163" s="8">
        <v>0</v>
      </c>
      <c r="S163" s="8">
        <v>0</v>
      </c>
      <c r="T163" s="37">
        <v>2</v>
      </c>
      <c r="U163" s="1">
        <v>100010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</row>
    <row r="164" spans="1:29" x14ac:dyDescent="0.3">
      <c r="A164" s="8">
        <v>23031822</v>
      </c>
      <c r="B164" s="27" t="s">
        <v>155</v>
      </c>
      <c r="C164" s="27" t="s">
        <v>150</v>
      </c>
      <c r="D164" s="27" t="s">
        <v>33</v>
      </c>
      <c r="E164" s="8">
        <v>2005301</v>
      </c>
      <c r="F164" s="7" t="str">
        <f>IFERROR(_xlfn.XLOOKUP(E:E,[1]Buff!$A:$A,[1]Buff!$E:$E),"None")</f>
        <v>바리 공증, 속증</v>
      </c>
      <c r="G164" s="1">
        <v>0</v>
      </c>
      <c r="H164" s="1" t="s">
        <v>38</v>
      </c>
      <c r="I164" s="1" t="s">
        <v>38</v>
      </c>
      <c r="J164" s="1">
        <v>100000</v>
      </c>
      <c r="K164" s="8">
        <v>15000</v>
      </c>
      <c r="L164" s="8">
        <v>1001</v>
      </c>
      <c r="M164" s="8">
        <v>0</v>
      </c>
      <c r="N164" s="8">
        <v>20</v>
      </c>
      <c r="O164" s="8">
        <v>1008</v>
      </c>
      <c r="P164" s="8">
        <v>0</v>
      </c>
      <c r="Q164" s="8">
        <v>0</v>
      </c>
      <c r="R164" s="8">
        <v>0</v>
      </c>
      <c r="S164" s="8">
        <v>0</v>
      </c>
      <c r="T164" s="37">
        <v>2</v>
      </c>
      <c r="U164" s="1">
        <v>100010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</row>
    <row r="165" spans="1:29" x14ac:dyDescent="0.3">
      <c r="A165" s="8">
        <v>33031811</v>
      </c>
      <c r="B165" s="27" t="s">
        <v>155</v>
      </c>
      <c r="C165" s="27" t="s">
        <v>150</v>
      </c>
      <c r="D165" s="27" t="s">
        <v>140</v>
      </c>
      <c r="E165" s="8">
        <v>1000003</v>
      </c>
      <c r="F165" s="7" t="str">
        <f>IFERROR(_xlfn.XLOOKUP(E:E,[1]Buff!$A:$A,[1]Buff!$E:$E),"None")</f>
        <v>얼티밋 대미지</v>
      </c>
      <c r="G165" s="1">
        <v>0</v>
      </c>
      <c r="H165" s="1" t="s">
        <v>38</v>
      </c>
      <c r="I165" s="1" t="s">
        <v>38</v>
      </c>
      <c r="J165" s="1">
        <v>100000</v>
      </c>
      <c r="K165" s="8">
        <v>110000</v>
      </c>
      <c r="L165" s="8">
        <v>0</v>
      </c>
      <c r="M165" s="8">
        <v>0</v>
      </c>
      <c r="N165" s="8">
        <v>0</v>
      </c>
      <c r="O165" s="8">
        <v>0</v>
      </c>
      <c r="P165" s="8">
        <v>0</v>
      </c>
      <c r="Q165" s="8">
        <v>0</v>
      </c>
      <c r="R165" s="8">
        <v>0</v>
      </c>
      <c r="S165" s="8">
        <v>0</v>
      </c>
      <c r="T165" s="37">
        <v>0</v>
      </c>
      <c r="U165" s="1">
        <v>330318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</row>
    <row r="166" spans="1:29" x14ac:dyDescent="0.3">
      <c r="A166" s="8">
        <v>33031821</v>
      </c>
      <c r="B166" s="27" t="s">
        <v>155</v>
      </c>
      <c r="C166" s="27" t="s">
        <v>150</v>
      </c>
      <c r="D166" s="27" t="s">
        <v>140</v>
      </c>
      <c r="E166" s="8">
        <v>1000003</v>
      </c>
      <c r="F166" s="7" t="str">
        <f>IFERROR(_xlfn.XLOOKUP(E:E,[1]Buff!$A:$A,[1]Buff!$E:$E),"None")</f>
        <v>얼티밋 대미지</v>
      </c>
      <c r="G166" s="1">
        <v>0</v>
      </c>
      <c r="H166" s="1" t="s">
        <v>38</v>
      </c>
      <c r="I166" s="1" t="s">
        <v>38</v>
      </c>
      <c r="J166" s="1">
        <v>100000</v>
      </c>
      <c r="K166" s="8">
        <v>110000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>
        <v>0</v>
      </c>
      <c r="T166" s="37">
        <v>0</v>
      </c>
      <c r="U166" s="1">
        <v>330318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</row>
    <row r="167" spans="1:29" x14ac:dyDescent="0.3">
      <c r="A167" s="8">
        <v>33031831</v>
      </c>
      <c r="B167" s="27" t="s">
        <v>155</v>
      </c>
      <c r="C167" s="27" t="s">
        <v>150</v>
      </c>
      <c r="D167" s="27" t="s">
        <v>140</v>
      </c>
      <c r="E167" s="8">
        <v>1000003</v>
      </c>
      <c r="F167" s="7" t="str">
        <f>IFERROR(_xlfn.XLOOKUP(E:E,[1]Buff!$A:$A,[1]Buff!$E:$E),"None")</f>
        <v>얼티밋 대미지</v>
      </c>
      <c r="G167" s="1">
        <v>0</v>
      </c>
      <c r="H167" s="1" t="s">
        <v>38</v>
      </c>
      <c r="I167" s="1" t="s">
        <v>38</v>
      </c>
      <c r="J167" s="1">
        <v>100000</v>
      </c>
      <c r="K167" s="8">
        <v>110000</v>
      </c>
      <c r="L167" s="8">
        <v>0</v>
      </c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S167" s="8">
        <v>0</v>
      </c>
      <c r="T167" s="37">
        <v>0</v>
      </c>
      <c r="U167" s="1">
        <v>330318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</row>
    <row r="168" spans="1:29" x14ac:dyDescent="0.3">
      <c r="A168" s="8">
        <v>33031812</v>
      </c>
      <c r="B168" s="27" t="s">
        <v>155</v>
      </c>
      <c r="C168" s="27" t="s">
        <v>150</v>
      </c>
      <c r="D168" s="27" t="s">
        <v>140</v>
      </c>
      <c r="E168" s="8">
        <v>2005401</v>
      </c>
      <c r="F168" s="7" t="str">
        <f>IFERROR(_xlfn.XLOOKUP(E:E,[1]Buff!$A:$A,[1]Buff!$E:$E),"None")</f>
        <v>바리 회복</v>
      </c>
      <c r="G168" s="1">
        <v>0</v>
      </c>
      <c r="H168" s="1" t="s">
        <v>38</v>
      </c>
      <c r="I168" s="1" t="s">
        <v>38</v>
      </c>
      <c r="J168" s="1">
        <v>100000</v>
      </c>
      <c r="K168" s="8">
        <v>30000</v>
      </c>
      <c r="L168" s="8">
        <v>0</v>
      </c>
      <c r="M168" s="8">
        <v>0</v>
      </c>
      <c r="N168" s="8">
        <v>0</v>
      </c>
      <c r="O168" s="8">
        <v>0</v>
      </c>
      <c r="P168" s="8">
        <v>0</v>
      </c>
      <c r="Q168" s="8">
        <v>0</v>
      </c>
      <c r="R168" s="8">
        <v>0</v>
      </c>
      <c r="S168" s="8">
        <v>0</v>
      </c>
      <c r="T168" s="37">
        <v>0</v>
      </c>
      <c r="U168" s="1">
        <v>100010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</row>
    <row r="169" spans="1:29" x14ac:dyDescent="0.3">
      <c r="A169" s="8">
        <v>33031822</v>
      </c>
      <c r="B169" s="27" t="s">
        <v>155</v>
      </c>
      <c r="C169" s="27" t="s">
        <v>150</v>
      </c>
      <c r="D169" s="27" t="s">
        <v>140</v>
      </c>
      <c r="E169" s="8">
        <v>2005401</v>
      </c>
      <c r="F169" s="7" t="str">
        <f>IFERROR(_xlfn.XLOOKUP(E:E,[1]Buff!$A:$A,[1]Buff!$E:$E),"None")</f>
        <v>바리 회복</v>
      </c>
      <c r="G169" s="1">
        <v>0</v>
      </c>
      <c r="H169" s="1" t="s">
        <v>38</v>
      </c>
      <c r="I169" s="1" t="s">
        <v>38</v>
      </c>
      <c r="J169" s="1">
        <v>100000</v>
      </c>
      <c r="K169" s="8">
        <v>30000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>
        <v>0</v>
      </c>
      <c r="T169" s="37">
        <v>0</v>
      </c>
      <c r="U169" s="1">
        <v>100010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</row>
    <row r="170" spans="1:29" x14ac:dyDescent="0.3">
      <c r="A170" s="8">
        <v>33031832</v>
      </c>
      <c r="B170" s="27" t="s">
        <v>155</v>
      </c>
      <c r="C170" s="27" t="s">
        <v>150</v>
      </c>
      <c r="D170" s="27" t="s">
        <v>140</v>
      </c>
      <c r="E170" s="8">
        <v>2005401</v>
      </c>
      <c r="F170" s="7" t="str">
        <f>IFERROR(_xlfn.XLOOKUP(E:E,[1]Buff!$A:$A,[1]Buff!$E:$E),"None")</f>
        <v>바리 회복</v>
      </c>
      <c r="G170" s="1">
        <v>0</v>
      </c>
      <c r="H170" s="1" t="s">
        <v>38</v>
      </c>
      <c r="I170" s="1" t="s">
        <v>38</v>
      </c>
      <c r="J170" s="1">
        <v>100000</v>
      </c>
      <c r="K170" s="8">
        <v>30000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S170" s="8">
        <v>0</v>
      </c>
      <c r="T170" s="37">
        <v>0</v>
      </c>
      <c r="U170" s="1">
        <v>100010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</row>
    <row r="171" spans="1:29" x14ac:dyDescent="0.3">
      <c r="A171" s="8">
        <v>43031811</v>
      </c>
      <c r="B171" s="27" t="s">
        <v>155</v>
      </c>
      <c r="C171" s="27" t="s">
        <v>150</v>
      </c>
      <c r="D171" s="27" t="s">
        <v>167</v>
      </c>
      <c r="E171" s="8">
        <v>2005501</v>
      </c>
      <c r="F171" s="7" t="str">
        <f>IFERROR(_xlfn.XLOOKUP(E:E,[1]Buff!$A:$A,[1]Buff!$E:$E),"None")</f>
        <v>바리 패시브 회복량 증가</v>
      </c>
      <c r="G171" s="1">
        <v>0</v>
      </c>
      <c r="H171" s="1" t="s">
        <v>38</v>
      </c>
      <c r="I171" s="1" t="s">
        <v>38</v>
      </c>
      <c r="J171" s="1">
        <v>100000</v>
      </c>
      <c r="K171" s="8">
        <v>5000</v>
      </c>
      <c r="L171" s="8">
        <v>1056</v>
      </c>
      <c r="M171" s="8">
        <v>301</v>
      </c>
      <c r="N171" s="8">
        <v>0</v>
      </c>
      <c r="O171" s="8">
        <v>0</v>
      </c>
      <c r="P171" s="8">
        <v>0</v>
      </c>
      <c r="Q171" s="8">
        <v>0</v>
      </c>
      <c r="R171" s="8">
        <v>0</v>
      </c>
      <c r="S171" s="8">
        <v>0</v>
      </c>
      <c r="T171" s="37">
        <v>-1</v>
      </c>
      <c r="U171" s="1">
        <v>100010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</row>
    <row r="172" spans="1:29" x14ac:dyDescent="0.3">
      <c r="A172" s="8">
        <v>43031821</v>
      </c>
      <c r="B172" s="27" t="s">
        <v>155</v>
      </c>
      <c r="C172" s="27" t="s">
        <v>150</v>
      </c>
      <c r="D172" s="27" t="s">
        <v>167</v>
      </c>
      <c r="E172" s="8">
        <v>2005501</v>
      </c>
      <c r="F172" s="7" t="str">
        <f>IFERROR(_xlfn.XLOOKUP(E:E,[1]Buff!$A:$A,[1]Buff!$E:$E),"None")</f>
        <v>바리 패시브 회복량 증가</v>
      </c>
      <c r="G172" s="1">
        <v>0</v>
      </c>
      <c r="H172" s="1" t="s">
        <v>38</v>
      </c>
      <c r="I172" s="1" t="s">
        <v>38</v>
      </c>
      <c r="J172" s="1">
        <v>100000</v>
      </c>
      <c r="K172" s="8">
        <v>5000</v>
      </c>
      <c r="L172" s="8">
        <v>1056</v>
      </c>
      <c r="M172" s="8">
        <v>301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0</v>
      </c>
      <c r="T172" s="37">
        <v>-1</v>
      </c>
      <c r="U172" s="1">
        <v>100010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</row>
    <row r="173" spans="1:29" s="11" customFormat="1" x14ac:dyDescent="0.3">
      <c r="A173" s="10">
        <v>13029411</v>
      </c>
      <c r="B173" s="31" t="s">
        <v>146</v>
      </c>
      <c r="C173" s="31" t="s">
        <v>151</v>
      </c>
      <c r="D173" s="31" t="s">
        <v>30</v>
      </c>
      <c r="E173" s="10">
        <v>1000001</v>
      </c>
      <c r="F173" s="12" t="str">
        <f>IFERROR(_xlfn.XLOOKUP(E:E,[1]Buff!$A:$A,[1]Buff!$E:$E),"None")</f>
        <v>공용 대미지</v>
      </c>
      <c r="G173" s="11">
        <v>0</v>
      </c>
      <c r="H173" s="11" t="s">
        <v>38</v>
      </c>
      <c r="I173" s="11" t="s">
        <v>38</v>
      </c>
      <c r="J173" s="11">
        <v>100000</v>
      </c>
      <c r="K173" s="10">
        <v>170000</v>
      </c>
      <c r="L173" s="10">
        <v>0</v>
      </c>
      <c r="M173" s="10">
        <v>0</v>
      </c>
      <c r="N173" s="10">
        <v>0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38">
        <v>0</v>
      </c>
      <c r="U173" s="11">
        <v>130294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1">
        <v>0</v>
      </c>
    </row>
    <row r="174" spans="1:29" x14ac:dyDescent="0.3">
      <c r="A174" s="8">
        <v>13029412</v>
      </c>
      <c r="B174" s="27" t="s">
        <v>146</v>
      </c>
      <c r="C174" s="27" t="s">
        <v>150</v>
      </c>
      <c r="D174" s="27" t="s">
        <v>30</v>
      </c>
      <c r="E174" s="8">
        <v>3002502</v>
      </c>
      <c r="F174" s="7" t="str">
        <f>IFERROR(_xlfn.XLOOKUP(E:E,[1]Buff!$A:$A,[1]Buff!$E:$E),"None")</f>
        <v>바토리 패시브 중독</v>
      </c>
      <c r="G174" s="1">
        <v>0</v>
      </c>
      <c r="H174" s="1" t="s">
        <v>38</v>
      </c>
      <c r="I174" s="1" t="s">
        <v>38</v>
      </c>
      <c r="J174" s="1">
        <v>15000</v>
      </c>
      <c r="K174" s="8">
        <v>30000</v>
      </c>
      <c r="L174" s="8">
        <v>0</v>
      </c>
      <c r="M174" s="8">
        <v>0</v>
      </c>
      <c r="N174" s="8">
        <v>0</v>
      </c>
      <c r="O174" s="8">
        <v>0</v>
      </c>
      <c r="P174" s="8">
        <v>0</v>
      </c>
      <c r="Q174" s="8">
        <v>0</v>
      </c>
      <c r="R174" s="8">
        <v>0</v>
      </c>
      <c r="S174" s="8">
        <v>0</v>
      </c>
      <c r="T174" s="37">
        <v>2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</row>
    <row r="175" spans="1:29" x14ac:dyDescent="0.3">
      <c r="A175" s="8">
        <v>23029411</v>
      </c>
      <c r="B175" s="27" t="s">
        <v>146</v>
      </c>
      <c r="C175" s="27" t="s">
        <v>150</v>
      </c>
      <c r="D175" s="27" t="s">
        <v>33</v>
      </c>
      <c r="E175" s="8">
        <v>1000002</v>
      </c>
      <c r="F175" s="7" t="str">
        <f>IFERROR(_xlfn.XLOOKUP(E:E,[1]Buff!$A:$A,[1]Buff!$E:$E),"None")</f>
        <v>액티브 대미지</v>
      </c>
      <c r="G175" s="1">
        <v>0</v>
      </c>
      <c r="H175" s="1" t="s">
        <v>38</v>
      </c>
      <c r="I175" s="1" t="s">
        <v>38</v>
      </c>
      <c r="J175" s="1">
        <v>100000</v>
      </c>
      <c r="K175" s="8">
        <v>140000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S175" s="8">
        <v>0</v>
      </c>
      <c r="T175" s="37">
        <v>0</v>
      </c>
      <c r="U175" s="1">
        <v>230294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</row>
    <row r="176" spans="1:29" x14ac:dyDescent="0.3">
      <c r="A176" s="8">
        <v>23029421</v>
      </c>
      <c r="B176" s="27" t="s">
        <v>146</v>
      </c>
      <c r="C176" s="27" t="s">
        <v>150</v>
      </c>
      <c r="D176" s="27" t="s">
        <v>33</v>
      </c>
      <c r="E176" s="8">
        <v>1000002</v>
      </c>
      <c r="F176" s="7" t="str">
        <f>IFERROR(_xlfn.XLOOKUP(E:E,[1]Buff!$A:$A,[1]Buff!$E:$E),"None")</f>
        <v>액티브 대미지</v>
      </c>
      <c r="G176" s="1">
        <v>0</v>
      </c>
      <c r="H176" s="1" t="s">
        <v>38</v>
      </c>
      <c r="I176" s="1" t="s">
        <v>38</v>
      </c>
      <c r="J176" s="1">
        <v>100000</v>
      </c>
      <c r="K176" s="8">
        <v>140000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S176" s="8">
        <v>0</v>
      </c>
      <c r="T176" s="37">
        <v>0</v>
      </c>
      <c r="U176" s="1">
        <v>230294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</row>
    <row r="177" spans="1:29" x14ac:dyDescent="0.3">
      <c r="A177" s="8">
        <v>23029412</v>
      </c>
      <c r="B177" s="27" t="s">
        <v>146</v>
      </c>
      <c r="C177" s="27" t="s">
        <v>150</v>
      </c>
      <c r="D177" s="27" t="s">
        <v>33</v>
      </c>
      <c r="E177" s="8">
        <v>3002202</v>
      </c>
      <c r="F177" s="7" t="str">
        <f>IFERROR(_xlfn.XLOOKUP(E:E,[1]Buff!$A:$A,[1]Buff!$E:$E),"None")</f>
        <v>바토리 출혈</v>
      </c>
      <c r="G177" s="1">
        <v>0</v>
      </c>
      <c r="H177" s="1" t="s">
        <v>38</v>
      </c>
      <c r="I177" s="1" t="s">
        <v>38</v>
      </c>
      <c r="J177" s="1">
        <v>35000</v>
      </c>
      <c r="K177" s="8">
        <v>25000</v>
      </c>
      <c r="L177" s="8">
        <v>0</v>
      </c>
      <c r="M177" s="8">
        <v>0</v>
      </c>
      <c r="N177" s="8">
        <v>0</v>
      </c>
      <c r="O177" s="8">
        <v>0</v>
      </c>
      <c r="P177" s="8">
        <v>0</v>
      </c>
      <c r="Q177" s="8">
        <v>0</v>
      </c>
      <c r="R177" s="8">
        <v>0</v>
      </c>
      <c r="S177" s="8">
        <v>0</v>
      </c>
      <c r="T177" s="37">
        <v>2</v>
      </c>
      <c r="U177" s="1">
        <v>100015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</row>
    <row r="178" spans="1:29" x14ac:dyDescent="0.3">
      <c r="A178" s="8">
        <v>23029422</v>
      </c>
      <c r="B178" s="27" t="s">
        <v>146</v>
      </c>
      <c r="C178" s="27" t="s">
        <v>150</v>
      </c>
      <c r="D178" s="27" t="s">
        <v>33</v>
      </c>
      <c r="E178" s="8">
        <v>3002202</v>
      </c>
      <c r="F178" s="7" t="str">
        <f>IFERROR(_xlfn.XLOOKUP(E:E,[1]Buff!$A:$A,[1]Buff!$E:$E),"None")</f>
        <v>바토리 출혈</v>
      </c>
      <c r="G178" s="1">
        <v>0</v>
      </c>
      <c r="H178" s="1" t="s">
        <v>38</v>
      </c>
      <c r="I178" s="1" t="s">
        <v>38</v>
      </c>
      <c r="J178" s="1">
        <v>35000</v>
      </c>
      <c r="K178" s="8">
        <v>25000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37">
        <v>2</v>
      </c>
      <c r="U178" s="1">
        <v>100015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</row>
    <row r="179" spans="1:29" x14ac:dyDescent="0.3">
      <c r="A179" s="8">
        <v>23029413</v>
      </c>
      <c r="B179" s="27" t="s">
        <v>146</v>
      </c>
      <c r="C179" s="27" t="s">
        <v>150</v>
      </c>
      <c r="D179" s="27" t="s">
        <v>33</v>
      </c>
      <c r="E179" s="8">
        <v>3002502</v>
      </c>
      <c r="F179" s="7" t="str">
        <f>IFERROR(_xlfn.XLOOKUP(E:E,[1]Buff!$A:$A,[1]Buff!$E:$E),"None")</f>
        <v>바토리 패시브 중독</v>
      </c>
      <c r="G179" s="1">
        <v>0</v>
      </c>
      <c r="H179" s="1" t="s">
        <v>38</v>
      </c>
      <c r="I179" s="1" t="s">
        <v>38</v>
      </c>
      <c r="J179" s="1">
        <v>15000</v>
      </c>
      <c r="K179" s="8">
        <v>30000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>
        <v>0</v>
      </c>
      <c r="T179" s="37">
        <v>2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0</v>
      </c>
      <c r="AC179" s="1">
        <v>0</v>
      </c>
    </row>
    <row r="180" spans="1:29" x14ac:dyDescent="0.3">
      <c r="A180" s="8">
        <v>23029423</v>
      </c>
      <c r="B180" s="27" t="s">
        <v>146</v>
      </c>
      <c r="C180" s="27" t="s">
        <v>150</v>
      </c>
      <c r="D180" s="27" t="s">
        <v>33</v>
      </c>
      <c r="E180" s="8">
        <v>3002502</v>
      </c>
      <c r="F180" s="7" t="str">
        <f>IFERROR(_xlfn.XLOOKUP(E:E,[1]Buff!$A:$A,[1]Buff!$E:$E),"None")</f>
        <v>바토리 패시브 중독</v>
      </c>
      <c r="G180" s="1">
        <v>0</v>
      </c>
      <c r="H180" s="1" t="s">
        <v>38</v>
      </c>
      <c r="I180" s="1" t="s">
        <v>38</v>
      </c>
      <c r="J180" s="1">
        <v>15000</v>
      </c>
      <c r="K180" s="8">
        <v>30000</v>
      </c>
      <c r="L180" s="8">
        <v>0</v>
      </c>
      <c r="M180" s="8">
        <v>0</v>
      </c>
      <c r="N180" s="8">
        <v>0</v>
      </c>
      <c r="O180" s="8">
        <v>0</v>
      </c>
      <c r="P180" s="8">
        <v>0</v>
      </c>
      <c r="Q180" s="8">
        <v>0</v>
      </c>
      <c r="R180" s="8">
        <v>0</v>
      </c>
      <c r="S180" s="8">
        <v>0</v>
      </c>
      <c r="T180" s="37">
        <v>2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0</v>
      </c>
      <c r="AC180" s="1">
        <v>0</v>
      </c>
    </row>
    <row r="181" spans="1:29" ht="12.75" customHeight="1" x14ac:dyDescent="0.3">
      <c r="A181" s="8">
        <v>33029411</v>
      </c>
      <c r="B181" s="27" t="s">
        <v>146</v>
      </c>
      <c r="C181" s="27" t="s">
        <v>150</v>
      </c>
      <c r="D181" s="27" t="s">
        <v>140</v>
      </c>
      <c r="E181" s="8">
        <v>1000003</v>
      </c>
      <c r="F181" s="7" t="str">
        <f>IFERROR(_xlfn.XLOOKUP(E:E,[1]Buff!$A:$A,[1]Buff!$E:$E),"None")</f>
        <v>얼티밋 대미지</v>
      </c>
      <c r="G181" s="1">
        <v>0</v>
      </c>
      <c r="H181" s="1" t="s">
        <v>38</v>
      </c>
      <c r="I181" s="1" t="s">
        <v>38</v>
      </c>
      <c r="J181" s="1">
        <v>100000</v>
      </c>
      <c r="K181" s="8">
        <v>70000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37">
        <v>0</v>
      </c>
      <c r="U181" s="1">
        <v>330294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0</v>
      </c>
      <c r="AC181" s="1">
        <v>0</v>
      </c>
    </row>
    <row r="182" spans="1:29" x14ac:dyDescent="0.3">
      <c r="A182" s="8">
        <v>33029412</v>
      </c>
      <c r="B182" s="27" t="s">
        <v>146</v>
      </c>
      <c r="C182" s="27" t="s">
        <v>150</v>
      </c>
      <c r="D182" s="27" t="s">
        <v>140</v>
      </c>
      <c r="E182" s="8">
        <v>2000106</v>
      </c>
      <c r="F182" s="7" t="str">
        <f>IFERROR(_xlfn.XLOOKUP(E:E,[1]Buff!$A:$A,[1]Buff!$E:$E),"None")</f>
        <v>바토리 공증</v>
      </c>
      <c r="G182" s="1">
        <v>0</v>
      </c>
      <c r="H182" s="1" t="s">
        <v>38</v>
      </c>
      <c r="I182" s="1" t="s">
        <v>38</v>
      </c>
      <c r="J182" s="1">
        <v>100000</v>
      </c>
      <c r="K182" s="8">
        <v>20000</v>
      </c>
      <c r="L182" s="8">
        <v>1001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>
        <v>0</v>
      </c>
      <c r="T182" s="37">
        <v>1</v>
      </c>
      <c r="U182" s="1">
        <v>100015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0</v>
      </c>
      <c r="AC182" s="1">
        <v>0</v>
      </c>
    </row>
    <row r="183" spans="1:29" x14ac:dyDescent="0.3">
      <c r="A183" s="8">
        <v>33029421</v>
      </c>
      <c r="B183" s="27" t="s">
        <v>146</v>
      </c>
      <c r="C183" s="27" t="s">
        <v>150</v>
      </c>
      <c r="D183" s="27" t="s">
        <v>140</v>
      </c>
      <c r="E183" s="8">
        <v>1000003</v>
      </c>
      <c r="F183" s="7" t="str">
        <f>IFERROR(_xlfn.XLOOKUP(E:E,[1]Buff!$A:$A,[1]Buff!$E:$E),"None")</f>
        <v>얼티밋 대미지</v>
      </c>
      <c r="G183" s="1">
        <v>0</v>
      </c>
      <c r="H183" s="1" t="s">
        <v>38</v>
      </c>
      <c r="I183" s="1" t="s">
        <v>38</v>
      </c>
      <c r="J183" s="1">
        <v>100000</v>
      </c>
      <c r="K183" s="8">
        <v>70000</v>
      </c>
      <c r="L183" s="8">
        <v>0</v>
      </c>
      <c r="M183" s="8">
        <v>0</v>
      </c>
      <c r="N183" s="8">
        <v>0</v>
      </c>
      <c r="O183" s="8">
        <v>0</v>
      </c>
      <c r="P183" s="8">
        <v>0</v>
      </c>
      <c r="Q183" s="8">
        <v>0</v>
      </c>
      <c r="R183" s="8">
        <v>0</v>
      </c>
      <c r="S183" s="8">
        <v>0</v>
      </c>
      <c r="T183" s="37">
        <v>0</v>
      </c>
      <c r="U183" s="1">
        <v>330294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0</v>
      </c>
      <c r="AC183" s="1">
        <v>0</v>
      </c>
    </row>
    <row r="184" spans="1:29" ht="12.75" customHeight="1" x14ac:dyDescent="0.3">
      <c r="A184" s="8">
        <v>33029422</v>
      </c>
      <c r="B184" s="27" t="s">
        <v>146</v>
      </c>
      <c r="C184" s="27" t="s">
        <v>150</v>
      </c>
      <c r="D184" s="27" t="s">
        <v>140</v>
      </c>
      <c r="E184" s="8">
        <v>2000106</v>
      </c>
      <c r="F184" s="7" t="str">
        <f>IFERROR(_xlfn.XLOOKUP(E:E,[1]Buff!$A:$A,[1]Buff!$E:$E),"None")</f>
        <v>바토리 공증</v>
      </c>
      <c r="G184" s="1">
        <v>0</v>
      </c>
      <c r="H184" s="1" t="s">
        <v>38</v>
      </c>
      <c r="I184" s="1" t="s">
        <v>38</v>
      </c>
      <c r="J184" s="1">
        <v>100000</v>
      </c>
      <c r="K184" s="8">
        <v>20000</v>
      </c>
      <c r="L184" s="8">
        <v>1001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S184" s="8">
        <v>0</v>
      </c>
      <c r="T184" s="37">
        <v>1</v>
      </c>
      <c r="U184" s="1">
        <v>100015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0</v>
      </c>
      <c r="AC184" s="1">
        <v>0</v>
      </c>
    </row>
    <row r="185" spans="1:29" x14ac:dyDescent="0.3">
      <c r="A185" s="8">
        <v>33029431</v>
      </c>
      <c r="B185" s="27" t="s">
        <v>146</v>
      </c>
      <c r="C185" s="27" t="s">
        <v>150</v>
      </c>
      <c r="D185" s="27" t="s">
        <v>140</v>
      </c>
      <c r="E185" s="8">
        <v>1000003</v>
      </c>
      <c r="F185" s="7" t="str">
        <f>IFERROR(_xlfn.XLOOKUP(E:E,[1]Buff!$A:$A,[1]Buff!$E:$E),"None")</f>
        <v>얼티밋 대미지</v>
      </c>
      <c r="G185" s="1">
        <v>0</v>
      </c>
      <c r="H185" s="1" t="s">
        <v>38</v>
      </c>
      <c r="I185" s="1" t="s">
        <v>38</v>
      </c>
      <c r="J185" s="1">
        <v>100000</v>
      </c>
      <c r="K185" s="8">
        <v>70000</v>
      </c>
      <c r="L185" s="8">
        <v>0</v>
      </c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0</v>
      </c>
      <c r="S185" s="8">
        <v>0</v>
      </c>
      <c r="T185" s="37">
        <v>0</v>
      </c>
      <c r="U185" s="1">
        <v>330294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0</v>
      </c>
      <c r="AC185" s="1">
        <v>0</v>
      </c>
    </row>
    <row r="186" spans="1:29" x14ac:dyDescent="0.3">
      <c r="A186" s="8">
        <v>33029432</v>
      </c>
      <c r="B186" s="27" t="s">
        <v>146</v>
      </c>
      <c r="C186" s="27" t="s">
        <v>150</v>
      </c>
      <c r="D186" s="27" t="s">
        <v>140</v>
      </c>
      <c r="E186" s="8">
        <v>2000106</v>
      </c>
      <c r="F186" s="7" t="str">
        <f>IFERROR(_xlfn.XLOOKUP(E:E,[1]Buff!$A:$A,[1]Buff!$E:$E),"None")</f>
        <v>바토리 공증</v>
      </c>
      <c r="G186" s="1">
        <v>0</v>
      </c>
      <c r="H186" s="1" t="s">
        <v>38</v>
      </c>
      <c r="I186" s="1" t="s">
        <v>38</v>
      </c>
      <c r="J186" s="1">
        <v>100000</v>
      </c>
      <c r="K186" s="8">
        <v>20000</v>
      </c>
      <c r="L186" s="8">
        <v>1001</v>
      </c>
      <c r="M186" s="8">
        <v>0</v>
      </c>
      <c r="N186" s="8">
        <v>0</v>
      </c>
      <c r="O186" s="8">
        <v>0</v>
      </c>
      <c r="P186" s="8">
        <v>0</v>
      </c>
      <c r="Q186" s="8">
        <v>0</v>
      </c>
      <c r="R186" s="8">
        <v>0</v>
      </c>
      <c r="S186" s="8">
        <v>0</v>
      </c>
      <c r="T186" s="37">
        <v>1</v>
      </c>
      <c r="U186" s="1">
        <v>100015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0</v>
      </c>
      <c r="AC186" s="1">
        <v>0</v>
      </c>
    </row>
    <row r="187" spans="1:29" x14ac:dyDescent="0.3">
      <c r="A187" s="8">
        <v>33029413</v>
      </c>
      <c r="B187" s="27" t="s">
        <v>146</v>
      </c>
      <c r="C187" s="27" t="s">
        <v>150</v>
      </c>
      <c r="D187" s="27" t="s">
        <v>140</v>
      </c>
      <c r="E187" s="8">
        <v>3002502</v>
      </c>
      <c r="F187" s="7" t="str">
        <f>IFERROR(_xlfn.XLOOKUP(E:E,[1]Buff!$A:$A,[1]Buff!$E:$E),"None")</f>
        <v>바토리 패시브 중독</v>
      </c>
      <c r="G187" s="1">
        <v>0</v>
      </c>
      <c r="H187" s="1" t="s">
        <v>38</v>
      </c>
      <c r="I187" s="1" t="s">
        <v>38</v>
      </c>
      <c r="J187" s="1">
        <v>15000</v>
      </c>
      <c r="K187" s="8">
        <v>30000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S187" s="8">
        <v>0</v>
      </c>
      <c r="T187" s="37">
        <v>2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0</v>
      </c>
      <c r="AC187" s="1">
        <v>0</v>
      </c>
    </row>
    <row r="188" spans="1:29" ht="12.75" customHeight="1" x14ac:dyDescent="0.3">
      <c r="A188" s="8">
        <v>33029423</v>
      </c>
      <c r="B188" s="27" t="s">
        <v>146</v>
      </c>
      <c r="C188" s="27" t="s">
        <v>150</v>
      </c>
      <c r="D188" s="27" t="s">
        <v>140</v>
      </c>
      <c r="E188" s="8">
        <v>3002502</v>
      </c>
      <c r="F188" s="7" t="str">
        <f>IFERROR(_xlfn.XLOOKUP(E:E,[1]Buff!$A:$A,[1]Buff!$E:$E),"None")</f>
        <v>바토리 패시브 중독</v>
      </c>
      <c r="G188" s="1">
        <v>0</v>
      </c>
      <c r="H188" s="1" t="s">
        <v>38</v>
      </c>
      <c r="I188" s="1" t="s">
        <v>38</v>
      </c>
      <c r="J188" s="1">
        <v>15000</v>
      </c>
      <c r="K188" s="8">
        <v>30000</v>
      </c>
      <c r="L188" s="8">
        <v>0</v>
      </c>
      <c r="M188" s="8">
        <v>0</v>
      </c>
      <c r="N188" s="8">
        <v>0</v>
      </c>
      <c r="O188" s="8">
        <v>0</v>
      </c>
      <c r="P188" s="8">
        <v>0</v>
      </c>
      <c r="Q188" s="8">
        <v>0</v>
      </c>
      <c r="R188" s="8">
        <v>0</v>
      </c>
      <c r="S188" s="8">
        <v>0</v>
      </c>
      <c r="T188" s="37">
        <v>2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0</v>
      </c>
      <c r="AC188" s="1">
        <v>0</v>
      </c>
    </row>
    <row r="189" spans="1:29" x14ac:dyDescent="0.3">
      <c r="A189" s="8">
        <v>33029433</v>
      </c>
      <c r="B189" s="27" t="s">
        <v>146</v>
      </c>
      <c r="C189" s="27" t="s">
        <v>150</v>
      </c>
      <c r="D189" s="27" t="s">
        <v>140</v>
      </c>
      <c r="E189" s="8">
        <v>3002502</v>
      </c>
      <c r="F189" s="7" t="str">
        <f>IFERROR(_xlfn.XLOOKUP(E:E,[1]Buff!$A:$A,[1]Buff!$E:$E),"None")</f>
        <v>바토리 패시브 중독</v>
      </c>
      <c r="G189" s="1">
        <v>0</v>
      </c>
      <c r="H189" s="1" t="s">
        <v>38</v>
      </c>
      <c r="I189" s="1" t="s">
        <v>38</v>
      </c>
      <c r="J189" s="1">
        <v>15000</v>
      </c>
      <c r="K189" s="8">
        <v>30000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  <c r="R189" s="8">
        <v>0</v>
      </c>
      <c r="S189" s="8">
        <v>0</v>
      </c>
      <c r="T189" s="37">
        <v>2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0</v>
      </c>
      <c r="AC189" s="1">
        <v>0</v>
      </c>
    </row>
    <row r="190" spans="1:29" x14ac:dyDescent="0.3">
      <c r="A190" s="8">
        <v>43029411</v>
      </c>
      <c r="B190" s="27" t="s">
        <v>146</v>
      </c>
      <c r="C190" s="27" t="s">
        <v>150</v>
      </c>
      <c r="D190" s="27" t="s">
        <v>167</v>
      </c>
      <c r="E190" s="8">
        <v>5000000</v>
      </c>
      <c r="F190" s="7" t="str">
        <f>IFERROR(_xlfn.XLOOKUP(E:E,[1]Buff!$A:$A,[1]Buff!$E:$E),"None")</f>
        <v>없음</v>
      </c>
      <c r="G190" s="1">
        <v>0</v>
      </c>
      <c r="H190" s="1" t="s">
        <v>38</v>
      </c>
      <c r="I190" s="1" t="s">
        <v>38</v>
      </c>
      <c r="J190" s="1">
        <v>100000</v>
      </c>
      <c r="K190" s="8">
        <v>0</v>
      </c>
      <c r="L190" s="8">
        <v>1001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37">
        <v>-1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0</v>
      </c>
      <c r="AC190" s="1">
        <v>0</v>
      </c>
    </row>
    <row r="191" spans="1:29" x14ac:dyDescent="0.3">
      <c r="A191" s="8">
        <v>43029421</v>
      </c>
      <c r="B191" s="27" t="s">
        <v>146</v>
      </c>
      <c r="C191" s="27" t="s">
        <v>150</v>
      </c>
      <c r="D191" s="27" t="s">
        <v>167</v>
      </c>
      <c r="E191" s="8">
        <v>5000000</v>
      </c>
      <c r="F191" s="7" t="str">
        <f>IFERROR(_xlfn.XLOOKUP(E:E,[1]Buff!$A:$A,[1]Buff!$E:$E),"None")</f>
        <v>없음</v>
      </c>
      <c r="G191" s="1">
        <v>0</v>
      </c>
      <c r="H191" s="1" t="s">
        <v>38</v>
      </c>
      <c r="I191" s="1" t="s">
        <v>38</v>
      </c>
      <c r="J191" s="1">
        <v>100000</v>
      </c>
      <c r="K191" s="8">
        <v>0</v>
      </c>
      <c r="L191" s="8">
        <v>1001</v>
      </c>
      <c r="M191" s="8">
        <v>0</v>
      </c>
      <c r="N191" s="8">
        <v>0</v>
      </c>
      <c r="O191" s="8">
        <v>0</v>
      </c>
      <c r="P191" s="8">
        <v>0</v>
      </c>
      <c r="Q191" s="8">
        <v>0</v>
      </c>
      <c r="R191" s="8">
        <v>0</v>
      </c>
      <c r="S191" s="8">
        <v>0</v>
      </c>
      <c r="T191" s="37">
        <v>-1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0</v>
      </c>
      <c r="AC191" s="1">
        <v>0</v>
      </c>
    </row>
    <row r="192" spans="1:29" s="11" customFormat="1" x14ac:dyDescent="0.3">
      <c r="A192" s="10">
        <v>13022911</v>
      </c>
      <c r="B192" s="31" t="s">
        <v>97</v>
      </c>
      <c r="C192" s="31" t="s">
        <v>150</v>
      </c>
      <c r="D192" s="31" t="s">
        <v>30</v>
      </c>
      <c r="E192" s="10">
        <v>1000001</v>
      </c>
      <c r="F192" s="12" t="str">
        <f>IFERROR(_xlfn.XLOOKUP(E:E,[1]Buff!$A:$A,[1]Buff!$E:$E),"None")</f>
        <v>공용 대미지</v>
      </c>
      <c r="G192" s="11">
        <v>0</v>
      </c>
      <c r="H192" s="11" t="s">
        <v>38</v>
      </c>
      <c r="I192" s="11" t="s">
        <v>38</v>
      </c>
      <c r="J192" s="11">
        <v>100000</v>
      </c>
      <c r="K192" s="10">
        <v>165000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38">
        <v>0</v>
      </c>
      <c r="U192" s="11">
        <v>130229</v>
      </c>
      <c r="V192" s="11">
        <v>0</v>
      </c>
      <c r="W192" s="11">
        <v>0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  <c r="AC192" s="11">
        <v>0</v>
      </c>
    </row>
    <row r="193" spans="1:29" x14ac:dyDescent="0.3">
      <c r="A193" s="8">
        <v>23022911</v>
      </c>
      <c r="B193" s="27" t="s">
        <v>97</v>
      </c>
      <c r="C193" s="27" t="s">
        <v>150</v>
      </c>
      <c r="D193" s="27" t="s">
        <v>33</v>
      </c>
      <c r="E193" s="8">
        <v>1000002</v>
      </c>
      <c r="F193" s="7" t="str">
        <f>IFERROR(_xlfn.XLOOKUP(E:E,[1]Buff!$A:$A,[1]Buff!$E:$E),"None")</f>
        <v>액티브 대미지</v>
      </c>
      <c r="G193" s="1">
        <v>0</v>
      </c>
      <c r="H193" s="1" t="s">
        <v>38</v>
      </c>
      <c r="I193" s="1" t="s">
        <v>38</v>
      </c>
      <c r="J193" s="1">
        <v>100000</v>
      </c>
      <c r="K193" s="8">
        <v>65000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S193" s="8">
        <v>0</v>
      </c>
      <c r="T193" s="37">
        <v>0</v>
      </c>
      <c r="U193" s="1">
        <v>230229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0</v>
      </c>
      <c r="AC193" s="1">
        <v>0</v>
      </c>
    </row>
    <row r="194" spans="1:29" x14ac:dyDescent="0.3">
      <c r="A194" s="8">
        <v>23022921</v>
      </c>
      <c r="B194" s="27" t="s">
        <v>97</v>
      </c>
      <c r="C194" s="27" t="s">
        <v>150</v>
      </c>
      <c r="D194" s="27" t="s">
        <v>33</v>
      </c>
      <c r="E194" s="8">
        <v>1000002</v>
      </c>
      <c r="F194" s="7" t="str">
        <f>IFERROR(_xlfn.XLOOKUP(E:E,[1]Buff!$A:$A,[1]Buff!$E:$E),"None")</f>
        <v>액티브 대미지</v>
      </c>
      <c r="G194" s="1">
        <v>0</v>
      </c>
      <c r="H194" s="1" t="s">
        <v>38</v>
      </c>
      <c r="I194" s="1" t="s">
        <v>38</v>
      </c>
      <c r="J194" s="1">
        <v>100000</v>
      </c>
      <c r="K194" s="8">
        <v>65000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S194" s="8">
        <v>0</v>
      </c>
      <c r="T194" s="37">
        <v>0</v>
      </c>
      <c r="U194" s="1">
        <v>230229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0</v>
      </c>
      <c r="AC194" s="1">
        <v>0</v>
      </c>
    </row>
    <row r="195" spans="1:29" x14ac:dyDescent="0.3">
      <c r="A195" s="8">
        <v>23022912</v>
      </c>
      <c r="B195" s="27" t="s">
        <v>97</v>
      </c>
      <c r="C195" s="27" t="s">
        <v>150</v>
      </c>
      <c r="D195" s="27" t="s">
        <v>33</v>
      </c>
      <c r="E195" s="8">
        <v>2002702</v>
      </c>
      <c r="F195" s="7" t="str">
        <f>IFERROR(_xlfn.XLOOKUP(E:E,[1]Buff!$A:$A,[1]Buff!$E:$E),"None")</f>
        <v>브라우니 회복</v>
      </c>
      <c r="G195" s="1">
        <v>0</v>
      </c>
      <c r="H195" s="1" t="s">
        <v>38</v>
      </c>
      <c r="I195" s="1" t="s">
        <v>38</v>
      </c>
      <c r="J195" s="1">
        <v>100000</v>
      </c>
      <c r="K195" s="8">
        <v>30000</v>
      </c>
      <c r="L195" s="8">
        <v>0</v>
      </c>
      <c r="M195" s="8">
        <v>0</v>
      </c>
      <c r="N195" s="8">
        <v>0</v>
      </c>
      <c r="O195" s="8">
        <v>0</v>
      </c>
      <c r="P195" s="8">
        <v>0</v>
      </c>
      <c r="Q195" s="8">
        <v>0</v>
      </c>
      <c r="R195" s="8">
        <v>0</v>
      </c>
      <c r="S195" s="8">
        <v>0</v>
      </c>
      <c r="T195" s="37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0</v>
      </c>
      <c r="AC195" s="1">
        <v>0</v>
      </c>
    </row>
    <row r="196" spans="1:29" x14ac:dyDescent="0.3">
      <c r="A196" s="8">
        <v>23022922</v>
      </c>
      <c r="B196" s="27" t="s">
        <v>97</v>
      </c>
      <c r="C196" s="27" t="s">
        <v>150</v>
      </c>
      <c r="D196" s="27" t="s">
        <v>33</v>
      </c>
      <c r="E196" s="8">
        <v>2002702</v>
      </c>
      <c r="F196" s="7" t="str">
        <f>IFERROR(_xlfn.XLOOKUP(E:E,[1]Buff!$A:$A,[1]Buff!$E:$E),"None")</f>
        <v>브라우니 회복</v>
      </c>
      <c r="G196" s="1">
        <v>0</v>
      </c>
      <c r="H196" s="1" t="s">
        <v>38</v>
      </c>
      <c r="I196" s="1" t="s">
        <v>38</v>
      </c>
      <c r="J196" s="1">
        <v>100000</v>
      </c>
      <c r="K196" s="8">
        <v>30000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S196" s="8">
        <v>0</v>
      </c>
      <c r="T196" s="37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0</v>
      </c>
      <c r="AC196" s="1">
        <v>0</v>
      </c>
    </row>
    <row r="197" spans="1:29" x14ac:dyDescent="0.3">
      <c r="A197" s="8">
        <v>33022911</v>
      </c>
      <c r="B197" s="27" t="s">
        <v>97</v>
      </c>
      <c r="C197" s="27" t="s">
        <v>150</v>
      </c>
      <c r="D197" s="27" t="s">
        <v>140</v>
      </c>
      <c r="E197" s="8">
        <v>2004402</v>
      </c>
      <c r="F197" s="7" t="str">
        <f>IFERROR(_xlfn.XLOOKUP(E:E,[1]Buff!$A:$A,[1]Buff!$E:$E),"None")</f>
        <v>브라우니 얼티밋 회복</v>
      </c>
      <c r="G197" s="1">
        <v>0</v>
      </c>
      <c r="H197" s="1" t="s">
        <v>38</v>
      </c>
      <c r="I197" s="1" t="s">
        <v>38</v>
      </c>
      <c r="J197" s="1">
        <v>100000</v>
      </c>
      <c r="K197" s="8">
        <v>35000</v>
      </c>
      <c r="L197" s="8">
        <v>0</v>
      </c>
      <c r="M197" s="8">
        <v>0</v>
      </c>
      <c r="N197" s="8">
        <v>0</v>
      </c>
      <c r="O197" s="8">
        <v>0</v>
      </c>
      <c r="P197" s="8">
        <v>0</v>
      </c>
      <c r="Q197" s="8">
        <v>0</v>
      </c>
      <c r="R197" s="8">
        <v>0</v>
      </c>
      <c r="S197" s="8">
        <v>0</v>
      </c>
      <c r="T197" s="37">
        <v>0</v>
      </c>
      <c r="U197" s="1">
        <v>100010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0</v>
      </c>
      <c r="AC197" s="1">
        <v>0</v>
      </c>
    </row>
    <row r="198" spans="1:29" x14ac:dyDescent="0.3">
      <c r="A198" s="8">
        <v>33022921</v>
      </c>
      <c r="B198" s="27" t="s">
        <v>97</v>
      </c>
      <c r="C198" s="27" t="s">
        <v>150</v>
      </c>
      <c r="D198" s="27" t="s">
        <v>140</v>
      </c>
      <c r="E198" s="8">
        <v>2004402</v>
      </c>
      <c r="F198" s="7" t="str">
        <f>IFERROR(_xlfn.XLOOKUP(E:E,[1]Buff!$A:$A,[1]Buff!$E:$E),"None")</f>
        <v>브라우니 얼티밋 회복</v>
      </c>
      <c r="G198" s="1">
        <v>0</v>
      </c>
      <c r="H198" s="1" t="s">
        <v>38</v>
      </c>
      <c r="I198" s="1" t="s">
        <v>38</v>
      </c>
      <c r="J198" s="1">
        <v>100000</v>
      </c>
      <c r="K198" s="8">
        <v>35000</v>
      </c>
      <c r="L198" s="8">
        <v>0</v>
      </c>
      <c r="M198" s="8">
        <v>0</v>
      </c>
      <c r="N198" s="8">
        <v>0</v>
      </c>
      <c r="O198" s="8">
        <v>0</v>
      </c>
      <c r="P198" s="8">
        <v>0</v>
      </c>
      <c r="Q198" s="8">
        <v>0</v>
      </c>
      <c r="R198" s="8">
        <v>0</v>
      </c>
      <c r="S198" s="8">
        <v>0</v>
      </c>
      <c r="T198" s="37">
        <v>0</v>
      </c>
      <c r="U198" s="1">
        <v>100010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0</v>
      </c>
      <c r="AC198" s="1">
        <v>0</v>
      </c>
    </row>
    <row r="199" spans="1:29" x14ac:dyDescent="0.3">
      <c r="A199" s="8">
        <v>33022931</v>
      </c>
      <c r="B199" s="27" t="s">
        <v>97</v>
      </c>
      <c r="C199" s="27" t="s">
        <v>150</v>
      </c>
      <c r="D199" s="27" t="s">
        <v>140</v>
      </c>
      <c r="E199" s="8">
        <v>2004402</v>
      </c>
      <c r="F199" s="7" t="str">
        <f>IFERROR(_xlfn.XLOOKUP(E:E,[1]Buff!$A:$A,[1]Buff!$E:$E),"None")</f>
        <v>브라우니 얼티밋 회복</v>
      </c>
      <c r="G199" s="1">
        <v>0</v>
      </c>
      <c r="H199" s="1" t="s">
        <v>38</v>
      </c>
      <c r="I199" s="1" t="s">
        <v>38</v>
      </c>
      <c r="J199" s="1">
        <v>100000</v>
      </c>
      <c r="K199" s="8">
        <v>35000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S199" s="8">
        <v>0</v>
      </c>
      <c r="T199" s="37">
        <v>0</v>
      </c>
      <c r="U199" s="1">
        <v>100010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0</v>
      </c>
      <c r="AC199" s="1">
        <v>0</v>
      </c>
    </row>
    <row r="200" spans="1:29" x14ac:dyDescent="0.3">
      <c r="A200" s="8">
        <v>33022912</v>
      </c>
      <c r="B200" s="27" t="s">
        <v>97</v>
      </c>
      <c r="C200" s="27" t="s">
        <v>150</v>
      </c>
      <c r="D200" s="27" t="s">
        <v>140</v>
      </c>
      <c r="E200" s="8">
        <v>3001002</v>
      </c>
      <c r="F200" s="7" t="str">
        <f>IFERROR(_xlfn.XLOOKUP(E:E,[1]Buff!$A:$A,[1]Buff!$E:$E),"None")</f>
        <v>브라우니 얼티밋 속도 감소</v>
      </c>
      <c r="G200" s="1">
        <v>0</v>
      </c>
      <c r="H200" s="1" t="s">
        <v>38</v>
      </c>
      <c r="I200" s="1" t="s">
        <v>38</v>
      </c>
      <c r="J200" s="1">
        <v>100000</v>
      </c>
      <c r="K200" s="8">
        <v>-20</v>
      </c>
      <c r="L200" s="8">
        <v>1008</v>
      </c>
      <c r="M200" s="8">
        <v>0</v>
      </c>
      <c r="N200" s="8">
        <v>0</v>
      </c>
      <c r="O200" s="8">
        <v>0</v>
      </c>
      <c r="P200" s="8">
        <v>0</v>
      </c>
      <c r="Q200" s="8">
        <v>0</v>
      </c>
      <c r="R200" s="8">
        <v>0</v>
      </c>
      <c r="S200" s="8">
        <v>0</v>
      </c>
      <c r="T200" s="37">
        <v>2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0</v>
      </c>
    </row>
    <row r="201" spans="1:29" x14ac:dyDescent="0.3">
      <c r="A201" s="8">
        <v>33022922</v>
      </c>
      <c r="B201" s="27" t="s">
        <v>97</v>
      </c>
      <c r="C201" s="27" t="s">
        <v>150</v>
      </c>
      <c r="D201" s="27" t="s">
        <v>140</v>
      </c>
      <c r="E201" s="8">
        <v>3001002</v>
      </c>
      <c r="F201" s="7" t="str">
        <f>IFERROR(_xlfn.XLOOKUP(E:E,[1]Buff!$A:$A,[1]Buff!$E:$E),"None")</f>
        <v>브라우니 얼티밋 속도 감소</v>
      </c>
      <c r="G201" s="1">
        <v>0</v>
      </c>
      <c r="H201" s="1" t="s">
        <v>38</v>
      </c>
      <c r="I201" s="1" t="s">
        <v>38</v>
      </c>
      <c r="J201" s="1">
        <v>100000</v>
      </c>
      <c r="K201" s="8">
        <v>-20</v>
      </c>
      <c r="L201" s="8">
        <v>1008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  <c r="R201" s="8">
        <v>0</v>
      </c>
      <c r="S201" s="8">
        <v>0</v>
      </c>
      <c r="T201" s="37">
        <v>2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0</v>
      </c>
    </row>
    <row r="202" spans="1:29" x14ac:dyDescent="0.3">
      <c r="A202" s="8">
        <v>33022932</v>
      </c>
      <c r="B202" s="27" t="s">
        <v>97</v>
      </c>
      <c r="C202" s="27" t="s">
        <v>150</v>
      </c>
      <c r="D202" s="27" t="s">
        <v>140</v>
      </c>
      <c r="E202" s="8">
        <v>3001002</v>
      </c>
      <c r="F202" s="7" t="str">
        <f>IFERROR(_xlfn.XLOOKUP(E:E,[1]Buff!$A:$A,[1]Buff!$E:$E),"None")</f>
        <v>브라우니 얼티밋 속도 감소</v>
      </c>
      <c r="G202" s="1">
        <v>0</v>
      </c>
      <c r="H202" s="1" t="s">
        <v>38</v>
      </c>
      <c r="I202" s="1" t="s">
        <v>38</v>
      </c>
      <c r="J202" s="1">
        <v>100000</v>
      </c>
      <c r="K202" s="8">
        <v>-20</v>
      </c>
      <c r="L202" s="8">
        <v>1008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S202" s="8">
        <v>0</v>
      </c>
      <c r="T202" s="37">
        <v>2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0</v>
      </c>
    </row>
    <row r="203" spans="1:29" x14ac:dyDescent="0.3">
      <c r="A203" s="8">
        <v>43022911</v>
      </c>
      <c r="B203" s="27" t="s">
        <v>97</v>
      </c>
      <c r="C203" s="27" t="s">
        <v>150</v>
      </c>
      <c r="D203" s="27" t="s">
        <v>167</v>
      </c>
      <c r="E203" s="8">
        <v>2006201</v>
      </c>
      <c r="F203" s="7" t="str">
        <f>IFERROR(_xlfn.XLOOKUP(E:E,[1]Buff!$A:$A,[1]Buff!$E:$E),"None")</f>
        <v>브라우니 패시브 체력비례 치유량 증가</v>
      </c>
      <c r="G203" s="1">
        <v>0</v>
      </c>
      <c r="H203" s="1" t="s">
        <v>38</v>
      </c>
      <c r="I203" s="1" t="s">
        <v>38</v>
      </c>
      <c r="J203" s="1">
        <v>100000</v>
      </c>
      <c r="K203" s="8">
        <v>1000</v>
      </c>
      <c r="L203" s="8">
        <v>1029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  <c r="R203" s="8">
        <v>0</v>
      </c>
      <c r="S203" s="8">
        <v>0</v>
      </c>
      <c r="T203" s="37">
        <v>-1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0</v>
      </c>
    </row>
    <row r="204" spans="1:29" x14ac:dyDescent="0.3">
      <c r="A204" s="8">
        <v>43022921</v>
      </c>
      <c r="B204" s="27" t="s">
        <v>97</v>
      </c>
      <c r="C204" s="27" t="s">
        <v>150</v>
      </c>
      <c r="D204" s="27" t="s">
        <v>167</v>
      </c>
      <c r="E204" s="8">
        <v>2006201</v>
      </c>
      <c r="F204" s="7" t="str">
        <f>IFERROR(_xlfn.XLOOKUP(E:E,[1]Buff!$A:$A,[1]Buff!$E:$E),"None")</f>
        <v>브라우니 패시브 체력비례 치유량 증가</v>
      </c>
      <c r="G204" s="1">
        <v>0</v>
      </c>
      <c r="H204" s="1" t="s">
        <v>38</v>
      </c>
      <c r="I204" s="1" t="s">
        <v>38</v>
      </c>
      <c r="J204" s="1">
        <v>100000</v>
      </c>
      <c r="K204" s="8">
        <v>1000</v>
      </c>
      <c r="L204" s="8">
        <v>1029</v>
      </c>
      <c r="M204" s="8">
        <v>0</v>
      </c>
      <c r="N204" s="8">
        <v>0</v>
      </c>
      <c r="O204" s="8">
        <v>0</v>
      </c>
      <c r="P204" s="8">
        <v>0</v>
      </c>
      <c r="Q204" s="8">
        <v>0</v>
      </c>
      <c r="R204" s="8">
        <v>0</v>
      </c>
      <c r="S204" s="8">
        <v>0</v>
      </c>
      <c r="T204" s="37">
        <v>-1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0</v>
      </c>
    </row>
    <row r="205" spans="1:29" s="11" customFormat="1" x14ac:dyDescent="0.3">
      <c r="A205" s="10">
        <v>13035311</v>
      </c>
      <c r="B205" s="31" t="s">
        <v>74</v>
      </c>
      <c r="C205" s="31" t="s">
        <v>150</v>
      </c>
      <c r="D205" s="31" t="s">
        <v>30</v>
      </c>
      <c r="E205" s="10">
        <v>1000001</v>
      </c>
      <c r="F205" s="12" t="str">
        <f>IFERROR(_xlfn.XLOOKUP(E:E,[1]Buff!$A:$A,[1]Buff!$E:$E),"None")</f>
        <v>공용 대미지</v>
      </c>
      <c r="G205" s="11">
        <v>0</v>
      </c>
      <c r="H205" s="11" t="s">
        <v>38</v>
      </c>
      <c r="I205" s="11" t="s">
        <v>38</v>
      </c>
      <c r="J205" s="11">
        <v>100000</v>
      </c>
      <c r="K205" s="10">
        <v>80000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38">
        <v>0</v>
      </c>
      <c r="U205" s="11">
        <v>130353</v>
      </c>
      <c r="V205" s="11">
        <v>0</v>
      </c>
      <c r="W205" s="11">
        <v>0</v>
      </c>
      <c r="X205" s="11">
        <v>0</v>
      </c>
      <c r="Y205" s="11">
        <v>0</v>
      </c>
      <c r="Z205" s="11">
        <v>0</v>
      </c>
      <c r="AA205" s="11">
        <v>0</v>
      </c>
      <c r="AB205" s="11">
        <v>0</v>
      </c>
      <c r="AC205" s="11">
        <v>0</v>
      </c>
    </row>
    <row r="206" spans="1:29" x14ac:dyDescent="0.3">
      <c r="A206" s="8">
        <v>23035312</v>
      </c>
      <c r="B206" s="27" t="s">
        <v>74</v>
      </c>
      <c r="C206" s="27" t="s">
        <v>150</v>
      </c>
      <c r="D206" s="27" t="s">
        <v>33</v>
      </c>
      <c r="E206" s="8">
        <v>2003103</v>
      </c>
      <c r="F206" s="7" t="str">
        <f>IFERROR(_xlfn.XLOOKUP(E:E,[1]Buff!$A:$A,[1]Buff!$E:$E),"None")</f>
        <v>샤를 보호막%</v>
      </c>
      <c r="G206" s="1">
        <v>0</v>
      </c>
      <c r="H206" s="1" t="s">
        <v>38</v>
      </c>
      <c r="I206" s="1" t="s">
        <v>38</v>
      </c>
      <c r="J206" s="1">
        <v>100000</v>
      </c>
      <c r="K206" s="8">
        <v>30000</v>
      </c>
      <c r="L206" s="8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S206" s="8">
        <v>0</v>
      </c>
      <c r="T206" s="37">
        <v>2</v>
      </c>
      <c r="U206" s="1">
        <v>100015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0</v>
      </c>
    </row>
    <row r="207" spans="1:29" x14ac:dyDescent="0.3">
      <c r="A207" s="8">
        <v>23035322</v>
      </c>
      <c r="B207" s="27" t="s">
        <v>74</v>
      </c>
      <c r="C207" s="27" t="s">
        <v>150</v>
      </c>
      <c r="D207" s="27" t="s">
        <v>33</v>
      </c>
      <c r="E207" s="8">
        <v>2003103</v>
      </c>
      <c r="F207" s="7" t="str">
        <f>IFERROR(_xlfn.XLOOKUP(E:E,[1]Buff!$A:$A,[1]Buff!$E:$E),"None")</f>
        <v>샤를 보호막%</v>
      </c>
      <c r="G207" s="1">
        <v>0</v>
      </c>
      <c r="H207" s="1" t="s">
        <v>38</v>
      </c>
      <c r="I207" s="1" t="s">
        <v>38</v>
      </c>
      <c r="J207" s="1">
        <v>100000</v>
      </c>
      <c r="K207" s="8">
        <v>30000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  <c r="R207" s="8">
        <v>0</v>
      </c>
      <c r="S207" s="8">
        <v>0</v>
      </c>
      <c r="T207" s="37">
        <v>2</v>
      </c>
      <c r="U207" s="1">
        <v>100015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0</v>
      </c>
    </row>
    <row r="208" spans="1:29" x14ac:dyDescent="0.3">
      <c r="A208" s="8">
        <v>33035311</v>
      </c>
      <c r="B208" s="27" t="s">
        <v>74</v>
      </c>
      <c r="C208" s="27" t="s">
        <v>150</v>
      </c>
      <c r="D208" s="27" t="s">
        <v>140</v>
      </c>
      <c r="E208" s="8">
        <v>1000003</v>
      </c>
      <c r="F208" s="7" t="str">
        <f>IFERROR(_xlfn.XLOOKUP(E:E,[1]Buff!$A:$A,[1]Buff!$E:$E),"None")</f>
        <v>얼티밋 대미지</v>
      </c>
      <c r="G208" s="1">
        <v>0</v>
      </c>
      <c r="H208" s="1" t="s">
        <v>38</v>
      </c>
      <c r="I208" s="1" t="s">
        <v>38</v>
      </c>
      <c r="J208" s="1">
        <v>100000</v>
      </c>
      <c r="K208" s="8">
        <v>200000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S208" s="8">
        <v>0</v>
      </c>
      <c r="T208" s="37">
        <v>0</v>
      </c>
      <c r="U208" s="1">
        <v>330353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0</v>
      </c>
    </row>
    <row r="209" spans="1:29" x14ac:dyDescent="0.3">
      <c r="A209" s="8">
        <v>33035312</v>
      </c>
      <c r="B209" s="27" t="s">
        <v>74</v>
      </c>
      <c r="C209" s="27" t="s">
        <v>150</v>
      </c>
      <c r="D209" s="27" t="s">
        <v>140</v>
      </c>
      <c r="E209" s="8">
        <v>2003103</v>
      </c>
      <c r="F209" s="7" t="str">
        <f>IFERROR(_xlfn.XLOOKUP(E:E,[1]Buff!$A:$A,[1]Buff!$E:$E),"None")</f>
        <v>샤를 보호막%</v>
      </c>
      <c r="G209" s="1">
        <v>0</v>
      </c>
      <c r="H209" s="1" t="s">
        <v>489</v>
      </c>
      <c r="I209" s="1" t="s">
        <v>38</v>
      </c>
      <c r="J209" s="1">
        <v>100000</v>
      </c>
      <c r="K209" s="8">
        <v>35000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S209" s="8">
        <v>0</v>
      </c>
      <c r="T209" s="37">
        <v>2</v>
      </c>
      <c r="U209" s="1">
        <v>0</v>
      </c>
      <c r="V209" s="1">
        <v>0</v>
      </c>
      <c r="W209" s="1">
        <v>0</v>
      </c>
      <c r="X209" s="1">
        <v>0</v>
      </c>
      <c r="Y209" s="1">
        <v>0</v>
      </c>
      <c r="Z209" s="1">
        <v>0</v>
      </c>
      <c r="AA209" s="1">
        <v>0</v>
      </c>
      <c r="AB209" s="1">
        <v>0</v>
      </c>
      <c r="AC209" s="1">
        <v>0</v>
      </c>
    </row>
    <row r="210" spans="1:29" x14ac:dyDescent="0.3">
      <c r="A210" s="8">
        <v>33035321</v>
      </c>
      <c r="B210" s="27" t="s">
        <v>74</v>
      </c>
      <c r="C210" s="27" t="s">
        <v>150</v>
      </c>
      <c r="D210" s="27" t="s">
        <v>140</v>
      </c>
      <c r="E210" s="8">
        <v>1000003</v>
      </c>
      <c r="F210" s="7" t="str">
        <f>IFERROR(_xlfn.XLOOKUP(E:E,[1]Buff!$A:$A,[1]Buff!$E:$E),"None")</f>
        <v>얼티밋 대미지</v>
      </c>
      <c r="G210" s="1">
        <v>0</v>
      </c>
      <c r="H210" s="1" t="s">
        <v>38</v>
      </c>
      <c r="I210" s="1" t="s">
        <v>38</v>
      </c>
      <c r="J210" s="1">
        <v>100000</v>
      </c>
      <c r="K210" s="8">
        <v>200000</v>
      </c>
      <c r="L210" s="8">
        <v>0</v>
      </c>
      <c r="M210" s="8">
        <v>0</v>
      </c>
      <c r="N210" s="8">
        <v>0</v>
      </c>
      <c r="O210" s="8">
        <v>0</v>
      </c>
      <c r="P210" s="8">
        <v>0</v>
      </c>
      <c r="Q210" s="8">
        <v>0</v>
      </c>
      <c r="R210" s="8">
        <v>0</v>
      </c>
      <c r="S210" s="8">
        <v>0</v>
      </c>
      <c r="T210" s="37">
        <v>0</v>
      </c>
      <c r="U210" s="1">
        <v>330353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0</v>
      </c>
    </row>
    <row r="211" spans="1:29" x14ac:dyDescent="0.3">
      <c r="A211" s="8">
        <v>33035322</v>
      </c>
      <c r="B211" s="27" t="s">
        <v>74</v>
      </c>
      <c r="C211" s="27" t="s">
        <v>150</v>
      </c>
      <c r="D211" s="27" t="s">
        <v>140</v>
      </c>
      <c r="E211" s="8">
        <v>2003103</v>
      </c>
      <c r="F211" s="7" t="str">
        <f>IFERROR(_xlfn.XLOOKUP(E:E,[1]Buff!$A:$A,[1]Buff!$E:$E),"None")</f>
        <v>샤를 보호막%</v>
      </c>
      <c r="G211" s="1">
        <v>0</v>
      </c>
      <c r="H211" s="1" t="s">
        <v>489</v>
      </c>
      <c r="I211" s="1" t="s">
        <v>38</v>
      </c>
      <c r="J211" s="1">
        <v>100000</v>
      </c>
      <c r="K211" s="8">
        <v>35000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0</v>
      </c>
      <c r="T211" s="37">
        <v>2</v>
      </c>
      <c r="U211" s="1">
        <v>0</v>
      </c>
      <c r="V211" s="1">
        <v>0</v>
      </c>
      <c r="W211" s="1">
        <v>0</v>
      </c>
      <c r="X211" s="1">
        <v>0</v>
      </c>
      <c r="Y211" s="1">
        <v>0</v>
      </c>
      <c r="Z211" s="1">
        <v>0</v>
      </c>
      <c r="AA211" s="1">
        <v>0</v>
      </c>
      <c r="AB211" s="1">
        <v>0</v>
      </c>
      <c r="AC211" s="1">
        <v>0</v>
      </c>
    </row>
    <row r="212" spans="1:29" x14ac:dyDescent="0.3">
      <c r="A212" s="8">
        <v>33035331</v>
      </c>
      <c r="B212" s="27" t="s">
        <v>74</v>
      </c>
      <c r="C212" s="27" t="s">
        <v>150</v>
      </c>
      <c r="D212" s="27" t="s">
        <v>140</v>
      </c>
      <c r="E212" s="8">
        <v>1000003</v>
      </c>
      <c r="F212" s="7" t="str">
        <f>IFERROR(_xlfn.XLOOKUP(E:E,[1]Buff!$A:$A,[1]Buff!$E:$E),"None")</f>
        <v>얼티밋 대미지</v>
      </c>
      <c r="G212" s="1">
        <v>0</v>
      </c>
      <c r="H212" s="1" t="s">
        <v>38</v>
      </c>
      <c r="I212" s="1" t="s">
        <v>38</v>
      </c>
      <c r="J212" s="1">
        <v>100000</v>
      </c>
      <c r="K212" s="8">
        <v>200000</v>
      </c>
      <c r="L212" s="8">
        <v>0</v>
      </c>
      <c r="M212" s="8">
        <v>0</v>
      </c>
      <c r="N212" s="8">
        <v>0</v>
      </c>
      <c r="O212" s="8">
        <v>0</v>
      </c>
      <c r="P212" s="8">
        <v>0</v>
      </c>
      <c r="Q212" s="8">
        <v>0</v>
      </c>
      <c r="R212" s="8">
        <v>0</v>
      </c>
      <c r="S212" s="8">
        <v>0</v>
      </c>
      <c r="T212" s="37">
        <v>0</v>
      </c>
      <c r="U212" s="1">
        <v>330353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0</v>
      </c>
      <c r="AC212" s="1">
        <v>0</v>
      </c>
    </row>
    <row r="213" spans="1:29" x14ac:dyDescent="0.3">
      <c r="A213" s="8">
        <v>33035332</v>
      </c>
      <c r="B213" s="27" t="s">
        <v>74</v>
      </c>
      <c r="C213" s="27" t="s">
        <v>150</v>
      </c>
      <c r="D213" s="27" t="s">
        <v>140</v>
      </c>
      <c r="E213" s="8">
        <v>2003103</v>
      </c>
      <c r="F213" s="7" t="str">
        <f>IFERROR(_xlfn.XLOOKUP(E:E,[1]Buff!$A:$A,[1]Buff!$E:$E),"None")</f>
        <v>샤를 보호막%</v>
      </c>
      <c r="G213" s="1">
        <v>0</v>
      </c>
      <c r="H213" s="1" t="s">
        <v>489</v>
      </c>
      <c r="I213" s="1" t="s">
        <v>38</v>
      </c>
      <c r="J213" s="1">
        <v>100000</v>
      </c>
      <c r="K213" s="8">
        <v>35000</v>
      </c>
      <c r="L213" s="8">
        <v>0</v>
      </c>
      <c r="M213" s="8">
        <v>0</v>
      </c>
      <c r="N213" s="8">
        <v>0</v>
      </c>
      <c r="O213" s="8">
        <v>0</v>
      </c>
      <c r="P213" s="8">
        <v>0</v>
      </c>
      <c r="Q213" s="8">
        <v>0</v>
      </c>
      <c r="R213" s="8">
        <v>0</v>
      </c>
      <c r="S213" s="8">
        <v>0</v>
      </c>
      <c r="T213" s="37">
        <v>2</v>
      </c>
      <c r="U213" s="1">
        <v>0</v>
      </c>
      <c r="V213" s="1">
        <v>0</v>
      </c>
      <c r="W213" s="1">
        <v>0</v>
      </c>
      <c r="X213" s="1">
        <v>0</v>
      </c>
      <c r="Y213" s="1">
        <v>0</v>
      </c>
      <c r="Z213" s="1">
        <v>0</v>
      </c>
      <c r="AA213" s="1">
        <v>0</v>
      </c>
      <c r="AB213" s="1">
        <v>0</v>
      </c>
      <c r="AC213" s="1">
        <v>0</v>
      </c>
    </row>
    <row r="214" spans="1:29" x14ac:dyDescent="0.3">
      <c r="A214" s="8">
        <v>43035311</v>
      </c>
      <c r="B214" s="27" t="s">
        <v>74</v>
      </c>
      <c r="C214" s="27" t="s">
        <v>150</v>
      </c>
      <c r="D214" s="27" t="s">
        <v>167</v>
      </c>
      <c r="E214" s="42">
        <v>2007401</v>
      </c>
      <c r="F214" s="7" t="str">
        <f>IFERROR(_xlfn.XLOOKUP(E:E,[1]Buff!$A:$A,[1]Buff!$E:$E),"None")</f>
        <v>샤를 받는 회복량 증가</v>
      </c>
      <c r="G214" s="1">
        <v>0</v>
      </c>
      <c r="H214" s="1" t="s">
        <v>331</v>
      </c>
      <c r="I214" s="1" t="s">
        <v>38</v>
      </c>
      <c r="J214" s="1">
        <v>100000</v>
      </c>
      <c r="K214" s="8">
        <v>30000</v>
      </c>
      <c r="L214" s="8">
        <v>1056</v>
      </c>
      <c r="M214" s="8">
        <v>0</v>
      </c>
      <c r="N214" s="8">
        <v>0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37">
        <v>-1</v>
      </c>
      <c r="U214" s="1">
        <v>100010</v>
      </c>
      <c r="V214" s="1">
        <v>0</v>
      </c>
      <c r="W214" s="1">
        <v>0</v>
      </c>
      <c r="X214" s="1">
        <v>0</v>
      </c>
      <c r="Y214" s="1">
        <v>0</v>
      </c>
      <c r="Z214" s="1">
        <v>0</v>
      </c>
      <c r="AA214" s="1">
        <v>0</v>
      </c>
      <c r="AB214" s="1">
        <v>0</v>
      </c>
      <c r="AC214" s="1">
        <v>0</v>
      </c>
    </row>
    <row r="215" spans="1:29" x14ac:dyDescent="0.3">
      <c r="A215" s="8">
        <v>43035321</v>
      </c>
      <c r="B215" s="27" t="s">
        <v>74</v>
      </c>
      <c r="C215" s="27" t="s">
        <v>150</v>
      </c>
      <c r="D215" s="27" t="s">
        <v>167</v>
      </c>
      <c r="E215" s="42">
        <v>2007401</v>
      </c>
      <c r="F215" s="7" t="str">
        <f>IFERROR(_xlfn.XLOOKUP(E:E,[1]Buff!$A:$A,[1]Buff!$E:$E),"None")</f>
        <v>샤를 받는 회복량 증가</v>
      </c>
      <c r="G215" s="1">
        <v>0</v>
      </c>
      <c r="H215" s="1" t="s">
        <v>330</v>
      </c>
      <c r="I215" s="1" t="s">
        <v>38</v>
      </c>
      <c r="J215" s="1">
        <v>100000</v>
      </c>
      <c r="K215" s="8">
        <v>30000</v>
      </c>
      <c r="L215" s="8">
        <v>1056</v>
      </c>
      <c r="M215" s="8">
        <v>0</v>
      </c>
      <c r="N215" s="8">
        <v>0</v>
      </c>
      <c r="O215" s="8">
        <v>0</v>
      </c>
      <c r="P215" s="8">
        <v>0</v>
      </c>
      <c r="Q215" s="8">
        <v>0</v>
      </c>
      <c r="R215" s="8">
        <v>0</v>
      </c>
      <c r="S215" s="8">
        <v>0</v>
      </c>
      <c r="T215" s="37">
        <v>-1</v>
      </c>
      <c r="U215" s="1">
        <v>100010</v>
      </c>
      <c r="V215" s="1">
        <v>0</v>
      </c>
      <c r="W215" s="1">
        <v>0</v>
      </c>
      <c r="X215" s="1">
        <v>0</v>
      </c>
      <c r="Y215" s="1">
        <v>0</v>
      </c>
      <c r="Z215" s="1">
        <v>0</v>
      </c>
      <c r="AA215" s="1">
        <v>0</v>
      </c>
      <c r="AB215" s="1">
        <v>0</v>
      </c>
      <c r="AC215" s="1">
        <v>0</v>
      </c>
    </row>
    <row r="216" spans="1:29" s="11" customFormat="1" x14ac:dyDescent="0.3">
      <c r="A216" s="10">
        <v>13036411</v>
      </c>
      <c r="B216" s="31" t="s">
        <v>112</v>
      </c>
      <c r="C216" s="31" t="s">
        <v>150</v>
      </c>
      <c r="D216" s="31" t="s">
        <v>30</v>
      </c>
      <c r="E216" s="10">
        <v>1000001</v>
      </c>
      <c r="F216" s="12" t="str">
        <f>IFERROR(_xlfn.XLOOKUP(E:E,[1]Buff!$A:$A,[1]Buff!$E:$E),"None")</f>
        <v>공용 대미지</v>
      </c>
      <c r="G216" s="11">
        <v>0</v>
      </c>
      <c r="H216" s="11" t="s">
        <v>38</v>
      </c>
      <c r="I216" s="11" t="s">
        <v>38</v>
      </c>
      <c r="J216" s="11">
        <v>100000</v>
      </c>
      <c r="K216" s="10">
        <v>285000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38">
        <v>0</v>
      </c>
      <c r="U216" s="11">
        <v>130364</v>
      </c>
      <c r="V216" s="11">
        <v>0</v>
      </c>
      <c r="W216" s="11">
        <v>0</v>
      </c>
      <c r="X216" s="11">
        <v>0</v>
      </c>
      <c r="Y216" s="11">
        <v>0</v>
      </c>
      <c r="Z216" s="11">
        <v>0</v>
      </c>
      <c r="AA216" s="11">
        <v>0</v>
      </c>
      <c r="AB216" s="11">
        <v>0</v>
      </c>
      <c r="AC216" s="11">
        <v>0</v>
      </c>
    </row>
    <row r="217" spans="1:29" x14ac:dyDescent="0.3">
      <c r="A217" s="8">
        <v>23036411</v>
      </c>
      <c r="B217" s="27" t="s">
        <v>112</v>
      </c>
      <c r="C217" s="27" t="s">
        <v>150</v>
      </c>
      <c r="D217" s="27" t="s">
        <v>33</v>
      </c>
      <c r="E217" s="8">
        <v>2000204</v>
      </c>
      <c r="F217" s="7" t="str">
        <f>IFERROR(_xlfn.XLOOKUP(E:E,[1]Buff!$A:$A,[1]Buff!$E:$E),"None")</f>
        <v>시트리 방어력 증가</v>
      </c>
      <c r="G217" s="1">
        <v>0</v>
      </c>
      <c r="H217" s="1" t="s">
        <v>38</v>
      </c>
      <c r="I217" s="1" t="s">
        <v>38</v>
      </c>
      <c r="J217" s="1">
        <v>100000</v>
      </c>
      <c r="K217" s="8">
        <v>20000</v>
      </c>
      <c r="L217" s="8">
        <v>1003</v>
      </c>
      <c r="M217" s="8">
        <v>0</v>
      </c>
      <c r="N217" s="8">
        <v>0</v>
      </c>
      <c r="O217" s="8">
        <v>0</v>
      </c>
      <c r="P217" s="8">
        <v>0</v>
      </c>
      <c r="Q217" s="8">
        <v>0</v>
      </c>
      <c r="R217" s="8">
        <v>0</v>
      </c>
      <c r="S217" s="8">
        <v>0</v>
      </c>
      <c r="T217" s="37">
        <v>2</v>
      </c>
      <c r="U217" s="1">
        <v>100015</v>
      </c>
      <c r="V217" s="1">
        <v>0</v>
      </c>
      <c r="W217" s="1">
        <v>0</v>
      </c>
      <c r="X217" s="1">
        <v>0</v>
      </c>
      <c r="Y217" s="1">
        <v>0</v>
      </c>
      <c r="Z217" s="1">
        <v>0</v>
      </c>
      <c r="AA217" s="1">
        <v>0</v>
      </c>
      <c r="AB217" s="1">
        <v>0</v>
      </c>
      <c r="AC217" s="1">
        <v>0</v>
      </c>
    </row>
    <row r="218" spans="1:29" x14ac:dyDescent="0.3">
      <c r="A218" s="8">
        <v>23036421</v>
      </c>
      <c r="B218" s="27" t="s">
        <v>112</v>
      </c>
      <c r="C218" s="27" t="s">
        <v>150</v>
      </c>
      <c r="D218" s="27" t="s">
        <v>33</v>
      </c>
      <c r="E218" s="8">
        <v>2000204</v>
      </c>
      <c r="F218" s="7" t="str">
        <f>IFERROR(_xlfn.XLOOKUP(E:E,[1]Buff!$A:$A,[1]Buff!$E:$E),"None")</f>
        <v>시트리 방어력 증가</v>
      </c>
      <c r="G218" s="1">
        <v>0</v>
      </c>
      <c r="H218" s="1" t="s">
        <v>38</v>
      </c>
      <c r="I218" s="1" t="s">
        <v>38</v>
      </c>
      <c r="J218" s="1">
        <v>100000</v>
      </c>
      <c r="K218" s="8">
        <v>20000</v>
      </c>
      <c r="L218" s="8">
        <v>1003</v>
      </c>
      <c r="M218" s="8">
        <v>0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0</v>
      </c>
      <c r="T218" s="37">
        <v>2</v>
      </c>
      <c r="U218" s="1">
        <v>100015</v>
      </c>
      <c r="V218" s="1">
        <v>0</v>
      </c>
      <c r="W218" s="1">
        <v>0</v>
      </c>
      <c r="X218" s="1">
        <v>0</v>
      </c>
      <c r="Y218" s="1">
        <v>0</v>
      </c>
      <c r="Z218" s="1">
        <v>0</v>
      </c>
      <c r="AA218" s="1">
        <v>0</v>
      </c>
      <c r="AB218" s="1">
        <v>0</v>
      </c>
      <c r="AC218" s="1">
        <v>0</v>
      </c>
    </row>
    <row r="219" spans="1:29" x14ac:dyDescent="0.3">
      <c r="A219" s="8">
        <v>33036411</v>
      </c>
      <c r="B219" s="27" t="s">
        <v>112</v>
      </c>
      <c r="C219" s="27" t="s">
        <v>150</v>
      </c>
      <c r="D219" s="27" t="s">
        <v>140</v>
      </c>
      <c r="E219" s="8">
        <v>4000106</v>
      </c>
      <c r="F219" s="7" t="str">
        <f>IFERROR(_xlfn.XLOOKUP(E:E,[1]Buff!$A:$A,[1]Buff!$E:$E),"None")</f>
        <v>트릭룸</v>
      </c>
      <c r="G219" s="1">
        <v>0</v>
      </c>
      <c r="H219" s="1" t="s">
        <v>38</v>
      </c>
      <c r="I219" s="1" t="s">
        <v>38</v>
      </c>
      <c r="J219" s="1">
        <v>100000</v>
      </c>
      <c r="K219" s="8">
        <v>0</v>
      </c>
      <c r="L219" s="8">
        <v>0</v>
      </c>
      <c r="M219" s="8">
        <v>0</v>
      </c>
      <c r="N219" s="8">
        <v>0</v>
      </c>
      <c r="O219" s="8">
        <v>0</v>
      </c>
      <c r="P219" s="8">
        <v>0</v>
      </c>
      <c r="Q219" s="8">
        <v>0</v>
      </c>
      <c r="R219" s="8">
        <v>0</v>
      </c>
      <c r="S219" s="8">
        <v>0</v>
      </c>
      <c r="T219" s="37">
        <v>3</v>
      </c>
      <c r="U219" s="1">
        <v>0</v>
      </c>
      <c r="V219" s="1">
        <v>0</v>
      </c>
      <c r="W219" s="1">
        <v>0</v>
      </c>
      <c r="X219" s="1">
        <v>0</v>
      </c>
      <c r="Y219" s="1">
        <v>0</v>
      </c>
      <c r="Z219" s="1">
        <v>0</v>
      </c>
      <c r="AA219" s="1">
        <v>0</v>
      </c>
      <c r="AB219" s="1">
        <v>0</v>
      </c>
      <c r="AC219" s="1">
        <v>0</v>
      </c>
    </row>
    <row r="220" spans="1:29" x14ac:dyDescent="0.3">
      <c r="A220" s="8">
        <v>33036412</v>
      </c>
      <c r="B220" s="27" t="s">
        <v>112</v>
      </c>
      <c r="C220" s="27" t="s">
        <v>150</v>
      </c>
      <c r="D220" s="27" t="s">
        <v>140</v>
      </c>
      <c r="E220" s="8">
        <v>4000106</v>
      </c>
      <c r="F220" s="7" t="str">
        <f>IFERROR(_xlfn.XLOOKUP(E:E,[1]Buff!$A:$A,[1]Buff!$E:$E),"None")</f>
        <v>트릭룸</v>
      </c>
      <c r="G220" s="1">
        <v>0</v>
      </c>
      <c r="H220" s="1" t="s">
        <v>38</v>
      </c>
      <c r="I220" s="1" t="s">
        <v>38</v>
      </c>
      <c r="J220" s="1">
        <v>100000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S220" s="8">
        <v>0</v>
      </c>
      <c r="T220" s="37">
        <v>3</v>
      </c>
      <c r="U220" s="1">
        <v>0</v>
      </c>
      <c r="V220" s="1">
        <v>0</v>
      </c>
      <c r="W220" s="1">
        <v>0</v>
      </c>
      <c r="X220" s="1">
        <v>0</v>
      </c>
      <c r="Y220" s="1">
        <v>0</v>
      </c>
      <c r="Z220" s="1">
        <v>0</v>
      </c>
      <c r="AA220" s="1">
        <v>0</v>
      </c>
      <c r="AB220" s="1">
        <v>0</v>
      </c>
      <c r="AC220" s="1">
        <v>0</v>
      </c>
    </row>
    <row r="221" spans="1:29" x14ac:dyDescent="0.3">
      <c r="A221" s="8">
        <v>33036421</v>
      </c>
      <c r="B221" s="27" t="s">
        <v>112</v>
      </c>
      <c r="C221" s="27" t="s">
        <v>150</v>
      </c>
      <c r="D221" s="27" t="s">
        <v>140</v>
      </c>
      <c r="E221" s="8">
        <v>4000106</v>
      </c>
      <c r="F221" s="7" t="str">
        <f>IFERROR(_xlfn.XLOOKUP(E:E,[1]Buff!$A:$A,[1]Buff!$E:$E),"None")</f>
        <v>트릭룸</v>
      </c>
      <c r="G221" s="1">
        <v>0</v>
      </c>
      <c r="H221" s="1" t="s">
        <v>38</v>
      </c>
      <c r="I221" s="1" t="s">
        <v>38</v>
      </c>
      <c r="J221" s="1">
        <v>100000</v>
      </c>
      <c r="K221" s="8">
        <v>0</v>
      </c>
      <c r="L221" s="8">
        <v>0</v>
      </c>
      <c r="M221" s="8">
        <v>0</v>
      </c>
      <c r="N221" s="8">
        <v>0</v>
      </c>
      <c r="O221" s="8">
        <v>0</v>
      </c>
      <c r="P221" s="8">
        <v>0</v>
      </c>
      <c r="Q221" s="8">
        <v>0</v>
      </c>
      <c r="R221" s="8">
        <v>0</v>
      </c>
      <c r="S221" s="8">
        <v>0</v>
      </c>
      <c r="T221" s="37">
        <v>3</v>
      </c>
      <c r="U221" s="1">
        <v>0</v>
      </c>
      <c r="V221" s="1">
        <v>0</v>
      </c>
      <c r="W221" s="1">
        <v>0</v>
      </c>
      <c r="X221" s="1">
        <v>0</v>
      </c>
      <c r="Y221" s="1">
        <v>0</v>
      </c>
      <c r="Z221" s="1">
        <v>0</v>
      </c>
      <c r="AA221" s="1">
        <v>0</v>
      </c>
      <c r="AB221" s="1">
        <v>0</v>
      </c>
      <c r="AC221" s="1">
        <v>0</v>
      </c>
    </row>
    <row r="222" spans="1:29" x14ac:dyDescent="0.3">
      <c r="A222" s="8">
        <v>33036422</v>
      </c>
      <c r="B222" s="27" t="s">
        <v>112</v>
      </c>
      <c r="C222" s="27" t="s">
        <v>150</v>
      </c>
      <c r="D222" s="27" t="s">
        <v>140</v>
      </c>
      <c r="E222" s="8">
        <v>4000106</v>
      </c>
      <c r="F222" s="7" t="str">
        <f>IFERROR(_xlfn.XLOOKUP(E:E,[1]Buff!$A:$A,[1]Buff!$E:$E),"None")</f>
        <v>트릭룸</v>
      </c>
      <c r="G222" s="1">
        <v>0</v>
      </c>
      <c r="H222" s="1" t="s">
        <v>38</v>
      </c>
      <c r="I222" s="1" t="s">
        <v>38</v>
      </c>
      <c r="J222" s="1">
        <v>100000</v>
      </c>
      <c r="K222" s="8">
        <v>0</v>
      </c>
      <c r="L222" s="8">
        <v>0</v>
      </c>
      <c r="M222" s="8">
        <v>0</v>
      </c>
      <c r="N222" s="8">
        <v>0</v>
      </c>
      <c r="O222" s="8">
        <v>0</v>
      </c>
      <c r="P222" s="8">
        <v>0</v>
      </c>
      <c r="Q222" s="8">
        <v>0</v>
      </c>
      <c r="R222" s="8">
        <v>0</v>
      </c>
      <c r="S222" s="8">
        <v>0</v>
      </c>
      <c r="T222" s="37">
        <v>3</v>
      </c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</row>
    <row r="223" spans="1:29" x14ac:dyDescent="0.3">
      <c r="A223" s="8">
        <v>33036431</v>
      </c>
      <c r="B223" s="27" t="s">
        <v>112</v>
      </c>
      <c r="C223" s="27" t="s">
        <v>150</v>
      </c>
      <c r="D223" s="27" t="s">
        <v>140</v>
      </c>
      <c r="E223" s="8">
        <v>4000106</v>
      </c>
      <c r="F223" s="7" t="str">
        <f>IFERROR(_xlfn.XLOOKUP(E:E,[1]Buff!$A:$A,[1]Buff!$E:$E),"None")</f>
        <v>트릭룸</v>
      </c>
      <c r="G223" s="1">
        <v>0</v>
      </c>
      <c r="H223" s="1" t="s">
        <v>38</v>
      </c>
      <c r="I223" s="1" t="s">
        <v>38</v>
      </c>
      <c r="J223" s="1">
        <v>100000</v>
      </c>
      <c r="K223" s="8">
        <v>0</v>
      </c>
      <c r="L223" s="8">
        <v>0</v>
      </c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S223" s="8">
        <v>0</v>
      </c>
      <c r="T223" s="37">
        <v>3</v>
      </c>
      <c r="U223" s="1">
        <v>0</v>
      </c>
      <c r="V223" s="1">
        <v>0</v>
      </c>
      <c r="W223" s="1">
        <v>0</v>
      </c>
      <c r="X223" s="1">
        <v>0</v>
      </c>
      <c r="Y223" s="1">
        <v>0</v>
      </c>
      <c r="Z223" s="1">
        <v>0</v>
      </c>
      <c r="AA223" s="1">
        <v>0</v>
      </c>
      <c r="AB223" s="1">
        <v>0</v>
      </c>
      <c r="AC223" s="1">
        <v>0</v>
      </c>
    </row>
    <row r="224" spans="1:29" x14ac:dyDescent="0.3">
      <c r="A224" s="8">
        <v>33036432</v>
      </c>
      <c r="B224" s="27" t="s">
        <v>112</v>
      </c>
      <c r="C224" s="27" t="s">
        <v>150</v>
      </c>
      <c r="D224" s="27" t="s">
        <v>140</v>
      </c>
      <c r="E224" s="8">
        <v>4000106</v>
      </c>
      <c r="F224" s="7" t="str">
        <f>IFERROR(_xlfn.XLOOKUP(E:E,[1]Buff!$A:$A,[1]Buff!$E:$E),"None")</f>
        <v>트릭룸</v>
      </c>
      <c r="G224" s="1">
        <v>0</v>
      </c>
      <c r="H224" s="1" t="s">
        <v>38</v>
      </c>
      <c r="I224" s="1" t="s">
        <v>38</v>
      </c>
      <c r="J224" s="1">
        <v>100000</v>
      </c>
      <c r="K224" s="8">
        <v>0</v>
      </c>
      <c r="L224" s="8">
        <v>0</v>
      </c>
      <c r="M224" s="8">
        <v>0</v>
      </c>
      <c r="N224" s="8">
        <v>0</v>
      </c>
      <c r="O224" s="8">
        <v>0</v>
      </c>
      <c r="P224" s="8">
        <v>0</v>
      </c>
      <c r="Q224" s="8">
        <v>0</v>
      </c>
      <c r="R224" s="8">
        <v>0</v>
      </c>
      <c r="S224" s="8">
        <v>0</v>
      </c>
      <c r="T224" s="37">
        <v>3</v>
      </c>
      <c r="U224" s="1">
        <v>0</v>
      </c>
      <c r="V224" s="1">
        <v>0</v>
      </c>
      <c r="W224" s="1">
        <v>0</v>
      </c>
      <c r="X224" s="1">
        <v>0</v>
      </c>
      <c r="Y224" s="1">
        <v>0</v>
      </c>
      <c r="Z224" s="1">
        <v>0</v>
      </c>
      <c r="AA224" s="1">
        <v>0</v>
      </c>
      <c r="AB224" s="1">
        <v>0</v>
      </c>
      <c r="AC224" s="1">
        <v>0</v>
      </c>
    </row>
    <row r="225" spans="1:29" x14ac:dyDescent="0.3">
      <c r="A225" s="8">
        <v>43036411</v>
      </c>
      <c r="B225" s="27" t="s">
        <v>112</v>
      </c>
      <c r="C225" s="27" t="s">
        <v>150</v>
      </c>
      <c r="D225" s="27" t="s">
        <v>167</v>
      </c>
      <c r="E225" s="8">
        <v>6000003</v>
      </c>
      <c r="F225" s="7" t="str">
        <f>IFERROR(_xlfn.XLOOKUP(E:E,[1]Buff!$A:$A,[1]Buff!$E:$E),"None")</f>
        <v>시트리 패시브 스킬 사용</v>
      </c>
      <c r="G225" s="1">
        <v>0</v>
      </c>
      <c r="H225" s="1" t="s">
        <v>234</v>
      </c>
      <c r="I225" s="1" t="s">
        <v>38</v>
      </c>
      <c r="J225" s="1">
        <v>100000</v>
      </c>
      <c r="K225" s="8">
        <v>9100011</v>
      </c>
      <c r="L225" s="8">
        <v>0</v>
      </c>
      <c r="M225" s="8">
        <v>0</v>
      </c>
      <c r="N225" s="8">
        <v>0</v>
      </c>
      <c r="O225" s="8">
        <v>0</v>
      </c>
      <c r="P225" s="8">
        <v>0</v>
      </c>
      <c r="Q225" s="8">
        <v>0</v>
      </c>
      <c r="R225" s="8">
        <v>0</v>
      </c>
      <c r="S225" s="8">
        <v>0</v>
      </c>
      <c r="T225" s="37">
        <v>-1</v>
      </c>
      <c r="U225" s="1">
        <v>0</v>
      </c>
      <c r="V225" s="1">
        <v>0</v>
      </c>
      <c r="W225" s="1">
        <v>0</v>
      </c>
      <c r="X225" s="1">
        <v>0</v>
      </c>
      <c r="Y225" s="1">
        <v>0</v>
      </c>
      <c r="Z225" s="1">
        <v>0</v>
      </c>
      <c r="AA225" s="1">
        <v>0</v>
      </c>
      <c r="AB225" s="1">
        <v>0</v>
      </c>
      <c r="AC225" s="1">
        <v>0</v>
      </c>
    </row>
    <row r="226" spans="1:29" x14ac:dyDescent="0.3">
      <c r="A226" s="8">
        <v>43036421</v>
      </c>
      <c r="B226" s="27" t="s">
        <v>112</v>
      </c>
      <c r="C226" s="27" t="s">
        <v>150</v>
      </c>
      <c r="D226" s="27" t="s">
        <v>167</v>
      </c>
      <c r="E226" s="8">
        <v>6000003</v>
      </c>
      <c r="F226" s="7" t="str">
        <f>IFERROR(_xlfn.XLOOKUP(E:E,[1]Buff!$A:$A,[1]Buff!$E:$E),"None")</f>
        <v>시트리 패시브 스킬 사용</v>
      </c>
      <c r="G226" s="1">
        <v>0</v>
      </c>
      <c r="H226" s="1" t="s">
        <v>234</v>
      </c>
      <c r="I226" s="1" t="s">
        <v>38</v>
      </c>
      <c r="J226" s="1">
        <v>100000</v>
      </c>
      <c r="K226" s="1">
        <v>9100011</v>
      </c>
      <c r="L226" s="8">
        <v>0</v>
      </c>
      <c r="M226" s="8">
        <v>0</v>
      </c>
      <c r="N226" s="8">
        <v>0</v>
      </c>
      <c r="O226" s="8">
        <v>0</v>
      </c>
      <c r="P226" s="8">
        <v>0</v>
      </c>
      <c r="Q226" s="8">
        <v>0</v>
      </c>
      <c r="R226" s="8">
        <v>0</v>
      </c>
      <c r="S226" s="8">
        <v>0</v>
      </c>
      <c r="T226" s="37">
        <v>-1</v>
      </c>
      <c r="U226" s="1">
        <v>0</v>
      </c>
      <c r="V226" s="1">
        <v>0</v>
      </c>
      <c r="W226" s="1">
        <v>0</v>
      </c>
      <c r="X226" s="1">
        <v>0</v>
      </c>
      <c r="Y226" s="1">
        <v>0</v>
      </c>
      <c r="Z226" s="1">
        <v>0</v>
      </c>
      <c r="AA226" s="1">
        <v>0</v>
      </c>
      <c r="AB226" s="1">
        <v>0</v>
      </c>
      <c r="AC226" s="1">
        <v>0</v>
      </c>
    </row>
    <row r="227" spans="1:29" x14ac:dyDescent="0.3">
      <c r="A227" s="8">
        <v>43036412</v>
      </c>
      <c r="B227" s="27" t="s">
        <v>112</v>
      </c>
      <c r="C227" s="27" t="s">
        <v>150</v>
      </c>
      <c r="D227" s="27" t="s">
        <v>167</v>
      </c>
      <c r="E227" s="8">
        <v>2001002</v>
      </c>
      <c r="F227" s="7" t="s">
        <v>522</v>
      </c>
      <c r="G227" s="1">
        <v>0</v>
      </c>
      <c r="H227" s="1" t="s">
        <v>234</v>
      </c>
      <c r="I227" s="1" t="s">
        <v>38</v>
      </c>
      <c r="J227" s="1">
        <v>100000</v>
      </c>
      <c r="K227" s="8">
        <v>100000</v>
      </c>
      <c r="L227" s="8">
        <v>1008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S227" s="8">
        <v>0</v>
      </c>
      <c r="T227" s="37">
        <v>-1</v>
      </c>
      <c r="U227" s="1">
        <v>0</v>
      </c>
      <c r="V227" s="1">
        <v>0</v>
      </c>
      <c r="W227" s="1">
        <v>0</v>
      </c>
      <c r="X227" s="1">
        <v>0</v>
      </c>
      <c r="Y227" s="1">
        <v>0</v>
      </c>
      <c r="Z227" s="1">
        <v>0</v>
      </c>
      <c r="AA227" s="1">
        <v>0</v>
      </c>
      <c r="AB227" s="1">
        <v>0</v>
      </c>
      <c r="AC227" s="1">
        <v>0</v>
      </c>
    </row>
    <row r="228" spans="1:29" x14ac:dyDescent="0.3">
      <c r="A228" s="8">
        <v>43036422</v>
      </c>
      <c r="B228" s="27" t="s">
        <v>112</v>
      </c>
      <c r="C228" s="27" t="s">
        <v>150</v>
      </c>
      <c r="D228" s="27" t="s">
        <v>167</v>
      </c>
      <c r="E228" s="8">
        <v>2001002</v>
      </c>
      <c r="F228" s="7" t="str">
        <f>IFERROR(_xlfn.XLOOKUP(E:E,[1]Buff!$A:$A,[1]Buff!$E:$E),"None")</f>
        <v>시트리 속도 증가</v>
      </c>
      <c r="G228" s="1">
        <v>0</v>
      </c>
      <c r="H228" s="1" t="s">
        <v>234</v>
      </c>
      <c r="I228" s="1" t="s">
        <v>38</v>
      </c>
      <c r="J228" s="1">
        <v>100000</v>
      </c>
      <c r="K228" s="1">
        <v>100000</v>
      </c>
      <c r="L228" s="8">
        <v>1008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  <c r="R228" s="8">
        <v>0</v>
      </c>
      <c r="S228" s="8">
        <v>0</v>
      </c>
      <c r="T228" s="37">
        <v>-1</v>
      </c>
      <c r="U228" s="1">
        <v>0</v>
      </c>
      <c r="V228" s="1">
        <v>0</v>
      </c>
      <c r="W228" s="1">
        <v>0</v>
      </c>
      <c r="X228" s="1">
        <v>0</v>
      </c>
      <c r="Y228" s="1">
        <v>0</v>
      </c>
      <c r="Z228" s="1">
        <v>0</v>
      </c>
      <c r="AA228" s="1">
        <v>0</v>
      </c>
      <c r="AB228" s="1">
        <v>0</v>
      </c>
      <c r="AC228" s="1">
        <v>0</v>
      </c>
    </row>
    <row r="229" spans="1:29" s="11" customFormat="1" x14ac:dyDescent="0.3">
      <c r="A229" s="10">
        <v>13046411</v>
      </c>
      <c r="B229" s="31" t="s">
        <v>156</v>
      </c>
      <c r="C229" s="31" t="s">
        <v>150</v>
      </c>
      <c r="D229" s="31" t="s">
        <v>30</v>
      </c>
      <c r="E229" s="10">
        <v>1000001</v>
      </c>
      <c r="F229" s="12" t="str">
        <f>IFERROR(_xlfn.XLOOKUP(E:E,[1]Buff!$A:$A,[1]Buff!$E:$E),"None")</f>
        <v>공용 대미지</v>
      </c>
      <c r="G229" s="11">
        <v>0</v>
      </c>
      <c r="H229" s="11" t="s">
        <v>38</v>
      </c>
      <c r="I229" s="11" t="s">
        <v>38</v>
      </c>
      <c r="J229" s="11">
        <v>100000</v>
      </c>
      <c r="K229" s="10">
        <v>285000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38">
        <v>0</v>
      </c>
      <c r="U229" s="11">
        <v>130464</v>
      </c>
      <c r="V229" s="11">
        <v>0</v>
      </c>
      <c r="W229" s="11">
        <v>0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  <c r="AC229" s="11">
        <v>0</v>
      </c>
    </row>
    <row r="230" spans="1:29" x14ac:dyDescent="0.3">
      <c r="A230" s="8">
        <v>23046411</v>
      </c>
      <c r="B230" s="27" t="s">
        <v>156</v>
      </c>
      <c r="C230" s="27" t="s">
        <v>150</v>
      </c>
      <c r="D230" s="27" t="s">
        <v>33</v>
      </c>
      <c r="E230" s="8">
        <v>1000002</v>
      </c>
      <c r="F230" s="7" t="str">
        <f>IFERROR(_xlfn.XLOOKUP(E:E,[1]Buff!$A:$A,[1]Buff!$E:$E),"None")</f>
        <v>액티브 대미지</v>
      </c>
      <c r="G230" s="1">
        <v>0</v>
      </c>
      <c r="H230" s="1" t="s">
        <v>38</v>
      </c>
      <c r="I230" s="1" t="s">
        <v>38</v>
      </c>
      <c r="J230" s="1">
        <v>100000</v>
      </c>
      <c r="K230" s="8">
        <v>330000</v>
      </c>
      <c r="L230" s="8">
        <v>0</v>
      </c>
      <c r="M230" s="8">
        <v>0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S230" s="8">
        <v>0</v>
      </c>
      <c r="T230" s="37">
        <v>0</v>
      </c>
      <c r="U230" s="1">
        <v>230464</v>
      </c>
      <c r="V230" s="1">
        <v>0</v>
      </c>
      <c r="W230" s="1">
        <v>0</v>
      </c>
      <c r="X230" s="1">
        <v>0</v>
      </c>
      <c r="Y230" s="1">
        <v>0</v>
      </c>
      <c r="Z230" s="1">
        <v>0</v>
      </c>
      <c r="AA230" s="1">
        <v>0</v>
      </c>
      <c r="AB230" s="1">
        <v>0</v>
      </c>
      <c r="AC230" s="1">
        <v>0</v>
      </c>
    </row>
    <row r="231" spans="1:29" x14ac:dyDescent="0.3">
      <c r="A231" s="8">
        <v>23046412</v>
      </c>
      <c r="B231" s="27" t="s">
        <v>156</v>
      </c>
      <c r="C231" s="27" t="s">
        <v>150</v>
      </c>
      <c r="D231" s="27" t="s">
        <v>33</v>
      </c>
      <c r="E231" s="8">
        <v>6000056</v>
      </c>
      <c r="F231" s="7" t="str">
        <f>IFERROR(_xlfn.XLOOKUP(E:E,[1]Buff!$A:$A,[1]Buff!$E:$E),"None")</f>
        <v>아라한 피해량 증가</v>
      </c>
      <c r="G231" s="1">
        <v>0</v>
      </c>
      <c r="H231" s="1" t="s">
        <v>38</v>
      </c>
      <c r="I231" s="1" t="s">
        <v>38</v>
      </c>
      <c r="J231" s="1">
        <v>100000</v>
      </c>
      <c r="K231" s="8">
        <v>9100091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  <c r="R231" s="8">
        <v>0</v>
      </c>
      <c r="S231" s="8">
        <v>0</v>
      </c>
      <c r="T231" s="37">
        <v>5</v>
      </c>
      <c r="U231" s="1">
        <v>0</v>
      </c>
      <c r="V231" s="1">
        <v>0</v>
      </c>
      <c r="W231" s="1">
        <v>0</v>
      </c>
      <c r="X231" s="1">
        <v>0</v>
      </c>
      <c r="Y231" s="1">
        <v>0</v>
      </c>
      <c r="Z231" s="1">
        <v>0</v>
      </c>
      <c r="AA231" s="1">
        <v>0</v>
      </c>
      <c r="AB231" s="1">
        <v>0</v>
      </c>
      <c r="AC231" s="1">
        <v>0</v>
      </c>
    </row>
    <row r="232" spans="1:29" x14ac:dyDescent="0.3">
      <c r="A232" s="8">
        <v>23046421</v>
      </c>
      <c r="B232" s="27" t="s">
        <v>156</v>
      </c>
      <c r="C232" s="27" t="s">
        <v>150</v>
      </c>
      <c r="D232" s="27" t="s">
        <v>33</v>
      </c>
      <c r="E232" s="8">
        <v>1000002</v>
      </c>
      <c r="F232" s="7" t="str">
        <f>IFERROR(_xlfn.XLOOKUP(E:E,[1]Buff!$A:$A,[1]Buff!$E:$E),"None")</f>
        <v>액티브 대미지</v>
      </c>
      <c r="G232" s="1">
        <v>0</v>
      </c>
      <c r="H232" s="1" t="s">
        <v>38</v>
      </c>
      <c r="I232" s="1" t="s">
        <v>38</v>
      </c>
      <c r="J232" s="1">
        <v>100000</v>
      </c>
      <c r="K232" s="8">
        <v>330000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S232" s="8">
        <v>0</v>
      </c>
      <c r="T232" s="37">
        <v>0</v>
      </c>
      <c r="U232" s="1">
        <v>230464</v>
      </c>
      <c r="V232" s="1">
        <v>0</v>
      </c>
      <c r="W232" s="1">
        <v>0</v>
      </c>
      <c r="X232" s="1">
        <v>0</v>
      </c>
      <c r="Y232" s="1">
        <v>0</v>
      </c>
      <c r="Z232" s="1">
        <v>0</v>
      </c>
      <c r="AA232" s="1">
        <v>0</v>
      </c>
      <c r="AB232" s="1">
        <v>0</v>
      </c>
      <c r="AC232" s="1">
        <v>0</v>
      </c>
    </row>
    <row r="233" spans="1:29" x14ac:dyDescent="0.3">
      <c r="A233" s="8">
        <v>23046422</v>
      </c>
      <c r="B233" s="27" t="s">
        <v>156</v>
      </c>
      <c r="C233" s="27" t="s">
        <v>150</v>
      </c>
      <c r="D233" s="27" t="s">
        <v>33</v>
      </c>
      <c r="E233" s="8">
        <v>6000056</v>
      </c>
      <c r="F233" s="7" t="str">
        <f>IFERROR(_xlfn.XLOOKUP(E:E,[1]Buff!$A:$A,[1]Buff!$E:$E),"None")</f>
        <v>아라한 피해량 증가</v>
      </c>
      <c r="G233" s="1">
        <v>0</v>
      </c>
      <c r="H233" s="1" t="s">
        <v>38</v>
      </c>
      <c r="I233" s="1" t="s">
        <v>38</v>
      </c>
      <c r="J233" s="1">
        <v>100000</v>
      </c>
      <c r="K233" s="8">
        <v>9100091</v>
      </c>
      <c r="L233" s="8">
        <v>0</v>
      </c>
      <c r="M233" s="8">
        <v>0</v>
      </c>
      <c r="N233" s="8">
        <v>0</v>
      </c>
      <c r="O233" s="8">
        <v>0</v>
      </c>
      <c r="P233" s="8">
        <v>0</v>
      </c>
      <c r="Q233" s="8">
        <v>0</v>
      </c>
      <c r="R233" s="8">
        <v>0</v>
      </c>
      <c r="S233" s="8">
        <v>0</v>
      </c>
      <c r="T233" s="37">
        <v>5</v>
      </c>
      <c r="U233" s="1">
        <v>0</v>
      </c>
      <c r="V233" s="1">
        <v>0</v>
      </c>
      <c r="W233" s="1">
        <v>0</v>
      </c>
      <c r="X233" s="1">
        <v>0</v>
      </c>
      <c r="Y233" s="1">
        <v>0</v>
      </c>
      <c r="Z233" s="1">
        <v>0</v>
      </c>
      <c r="AA233" s="1">
        <v>0</v>
      </c>
      <c r="AB233" s="1">
        <v>0</v>
      </c>
      <c r="AC233" s="1">
        <v>0</v>
      </c>
    </row>
    <row r="234" spans="1:29" ht="12.75" customHeight="1" x14ac:dyDescent="0.3">
      <c r="A234" s="8">
        <v>33046411</v>
      </c>
      <c r="B234" s="27" t="s">
        <v>156</v>
      </c>
      <c r="C234" s="27" t="s">
        <v>150</v>
      </c>
      <c r="D234" s="27" t="s">
        <v>140</v>
      </c>
      <c r="E234" s="8">
        <v>1000003</v>
      </c>
      <c r="F234" s="7" t="str">
        <f>IFERROR(_xlfn.XLOOKUP(E:E,[1]Buff!$A:$A,[1]Buff!$E:$E),"None")</f>
        <v>얼티밋 대미지</v>
      </c>
      <c r="G234" s="1">
        <v>0</v>
      </c>
      <c r="H234" s="1" t="s">
        <v>38</v>
      </c>
      <c r="I234" s="1" t="s">
        <v>38</v>
      </c>
      <c r="J234" s="1">
        <v>100000</v>
      </c>
      <c r="K234" s="8">
        <v>110000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  <c r="R234" s="8">
        <v>0</v>
      </c>
      <c r="S234" s="8">
        <v>0</v>
      </c>
      <c r="T234" s="37">
        <v>0</v>
      </c>
      <c r="U234" s="1">
        <v>330464</v>
      </c>
      <c r="V234" s="1">
        <v>0</v>
      </c>
      <c r="W234" s="1">
        <v>0</v>
      </c>
      <c r="X234" s="1">
        <v>0</v>
      </c>
      <c r="Y234" s="1">
        <v>0</v>
      </c>
      <c r="Z234" s="1">
        <v>0</v>
      </c>
      <c r="AA234" s="1">
        <v>0</v>
      </c>
      <c r="AB234" s="1">
        <v>0</v>
      </c>
      <c r="AC234" s="1">
        <v>0</v>
      </c>
    </row>
    <row r="235" spans="1:29" x14ac:dyDescent="0.3">
      <c r="A235" s="29">
        <v>33046412</v>
      </c>
      <c r="B235" s="27" t="s">
        <v>156</v>
      </c>
      <c r="C235" s="27" t="s">
        <v>150</v>
      </c>
      <c r="D235" s="27" t="s">
        <v>140</v>
      </c>
      <c r="E235" s="8">
        <v>3000204</v>
      </c>
      <c r="F235" s="7" t="str">
        <f>IFERROR(_xlfn.XLOOKUP(E:E,[1]Buff!$A:$A,[1]Buff!$E:$E),"None")</f>
        <v>아라한 방어력 감소</v>
      </c>
      <c r="G235" s="1">
        <v>0</v>
      </c>
      <c r="H235" s="1" t="s">
        <v>38</v>
      </c>
      <c r="I235" s="1" t="s">
        <v>38</v>
      </c>
      <c r="J235" s="1">
        <v>100000</v>
      </c>
      <c r="K235" s="8">
        <v>-20000</v>
      </c>
      <c r="L235" s="8">
        <v>1003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S235" s="8">
        <v>0</v>
      </c>
      <c r="T235" s="37">
        <v>2</v>
      </c>
      <c r="U235" s="1">
        <v>200010</v>
      </c>
      <c r="V235" s="1">
        <v>0</v>
      </c>
      <c r="W235" s="1">
        <v>0</v>
      </c>
      <c r="X235" s="1">
        <v>0</v>
      </c>
      <c r="Y235" s="1">
        <v>0</v>
      </c>
      <c r="Z235" s="1">
        <v>0</v>
      </c>
      <c r="AA235" s="1">
        <v>0</v>
      </c>
      <c r="AB235" s="1">
        <v>0</v>
      </c>
      <c r="AC235" s="1">
        <v>0</v>
      </c>
    </row>
    <row r="236" spans="1:29" x14ac:dyDescent="0.3">
      <c r="A236" s="29">
        <v>33046421</v>
      </c>
      <c r="B236" s="27" t="s">
        <v>156</v>
      </c>
      <c r="C236" s="27" t="s">
        <v>150</v>
      </c>
      <c r="D236" s="27" t="s">
        <v>140</v>
      </c>
      <c r="E236" s="8">
        <v>1000003</v>
      </c>
      <c r="F236" s="7" t="str">
        <f>IFERROR(_xlfn.XLOOKUP(E:E,[1]Buff!$A:$A,[1]Buff!$E:$E),"None")</f>
        <v>얼티밋 대미지</v>
      </c>
      <c r="G236" s="1">
        <v>0</v>
      </c>
      <c r="H236" s="1" t="s">
        <v>38</v>
      </c>
      <c r="I236" s="1" t="s">
        <v>38</v>
      </c>
      <c r="J236" s="1">
        <v>100000</v>
      </c>
      <c r="K236" s="8">
        <v>110000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  <c r="R236" s="8">
        <v>0</v>
      </c>
      <c r="S236" s="8">
        <v>0</v>
      </c>
      <c r="T236" s="37">
        <v>0</v>
      </c>
      <c r="U236" s="1">
        <v>330464</v>
      </c>
      <c r="V236" s="1">
        <v>0</v>
      </c>
      <c r="W236" s="1">
        <v>0</v>
      </c>
      <c r="X236" s="1">
        <v>0</v>
      </c>
      <c r="Y236" s="1">
        <v>0</v>
      </c>
      <c r="Z236" s="1">
        <v>0</v>
      </c>
      <c r="AA236" s="1">
        <v>0</v>
      </c>
      <c r="AB236" s="1">
        <v>0</v>
      </c>
      <c r="AC236" s="1">
        <v>0</v>
      </c>
    </row>
    <row r="237" spans="1:29" x14ac:dyDescent="0.3">
      <c r="A237" s="29">
        <v>33046422</v>
      </c>
      <c r="B237" s="27" t="s">
        <v>156</v>
      </c>
      <c r="C237" s="27" t="s">
        <v>150</v>
      </c>
      <c r="D237" s="27" t="s">
        <v>140</v>
      </c>
      <c r="E237" s="8">
        <v>3000204</v>
      </c>
      <c r="F237" s="7" t="str">
        <f>IFERROR(_xlfn.XLOOKUP(E:E,[1]Buff!$A:$A,[1]Buff!$E:$E),"None")</f>
        <v>아라한 방어력 감소</v>
      </c>
      <c r="G237" s="1">
        <v>0</v>
      </c>
      <c r="H237" s="1" t="s">
        <v>38</v>
      </c>
      <c r="I237" s="1" t="s">
        <v>38</v>
      </c>
      <c r="J237" s="1">
        <v>100000</v>
      </c>
      <c r="K237" s="8">
        <v>-20000</v>
      </c>
      <c r="L237" s="8">
        <v>1003</v>
      </c>
      <c r="M237" s="8">
        <v>0</v>
      </c>
      <c r="N237" s="8">
        <v>0</v>
      </c>
      <c r="O237" s="8">
        <v>0</v>
      </c>
      <c r="P237" s="8">
        <v>0</v>
      </c>
      <c r="Q237" s="8">
        <v>0</v>
      </c>
      <c r="R237" s="8">
        <v>0</v>
      </c>
      <c r="S237" s="8">
        <v>0</v>
      </c>
      <c r="T237" s="37">
        <v>2</v>
      </c>
      <c r="U237" s="1">
        <v>200010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</row>
    <row r="238" spans="1:29" x14ac:dyDescent="0.3">
      <c r="A238" s="29">
        <v>33046431</v>
      </c>
      <c r="B238" s="27" t="s">
        <v>156</v>
      </c>
      <c r="C238" s="27" t="s">
        <v>150</v>
      </c>
      <c r="D238" s="27" t="s">
        <v>140</v>
      </c>
      <c r="E238" s="8">
        <v>1000003</v>
      </c>
      <c r="F238" s="7" t="str">
        <f>IFERROR(_xlfn.XLOOKUP(E:E,[1]Buff!$A:$A,[1]Buff!$E:$E),"None")</f>
        <v>얼티밋 대미지</v>
      </c>
      <c r="G238" s="1">
        <v>0</v>
      </c>
      <c r="H238" s="1" t="s">
        <v>38</v>
      </c>
      <c r="I238" s="1" t="s">
        <v>38</v>
      </c>
      <c r="J238" s="1">
        <v>100000</v>
      </c>
      <c r="K238" s="8">
        <v>110000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0</v>
      </c>
      <c r="T238" s="37">
        <v>0</v>
      </c>
      <c r="U238" s="1">
        <v>330464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</row>
    <row r="239" spans="1:29" x14ac:dyDescent="0.3">
      <c r="A239" s="29">
        <v>33046432</v>
      </c>
      <c r="B239" s="27" t="s">
        <v>156</v>
      </c>
      <c r="C239" s="27" t="s">
        <v>150</v>
      </c>
      <c r="D239" s="27" t="s">
        <v>140</v>
      </c>
      <c r="E239" s="8">
        <v>3000204</v>
      </c>
      <c r="F239" s="7" t="str">
        <f>IFERROR(_xlfn.XLOOKUP(E:E,[1]Buff!$A:$A,[1]Buff!$E:$E),"None")</f>
        <v>아라한 방어력 감소</v>
      </c>
      <c r="G239" s="1">
        <v>0</v>
      </c>
      <c r="H239" s="1" t="s">
        <v>38</v>
      </c>
      <c r="I239" s="1" t="s">
        <v>38</v>
      </c>
      <c r="J239" s="1">
        <v>100000</v>
      </c>
      <c r="K239" s="8">
        <v>-20000</v>
      </c>
      <c r="L239" s="8">
        <v>1003</v>
      </c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0</v>
      </c>
      <c r="T239" s="37">
        <v>2</v>
      </c>
      <c r="U239" s="1">
        <v>200010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</row>
    <row r="240" spans="1:29" x14ac:dyDescent="0.3">
      <c r="A240" s="29">
        <v>43046411</v>
      </c>
      <c r="B240" s="27" t="s">
        <v>156</v>
      </c>
      <c r="C240" s="27" t="s">
        <v>150</v>
      </c>
      <c r="D240" s="27" t="s">
        <v>167</v>
      </c>
      <c r="E240" s="8">
        <v>6100005</v>
      </c>
      <c r="F240" s="7" t="str">
        <f>IFERROR(_xlfn.XLOOKUP(E:E,[1]Buff!$A:$A,[1]Buff!$E:$E),"None")</f>
        <v>아라한 패시브 스킬 사용</v>
      </c>
      <c r="G240" s="1">
        <v>0</v>
      </c>
      <c r="H240" s="1" t="s">
        <v>38</v>
      </c>
      <c r="I240" s="1" t="s">
        <v>38</v>
      </c>
      <c r="J240" s="1">
        <v>100000</v>
      </c>
      <c r="K240" s="8">
        <v>9100021</v>
      </c>
      <c r="L240" s="8">
        <v>0</v>
      </c>
      <c r="M240" s="8">
        <v>0</v>
      </c>
      <c r="N240" s="8">
        <v>0</v>
      </c>
      <c r="O240" s="8">
        <v>0</v>
      </c>
      <c r="P240" s="8">
        <v>0</v>
      </c>
      <c r="Q240" s="8">
        <v>0</v>
      </c>
      <c r="R240" s="8">
        <v>0</v>
      </c>
      <c r="S240" s="8">
        <v>0</v>
      </c>
      <c r="T240" s="37">
        <v>-1</v>
      </c>
      <c r="U240" s="1">
        <v>0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</row>
    <row r="241" spans="1:29" x14ac:dyDescent="0.3">
      <c r="A241" s="29">
        <v>43046421</v>
      </c>
      <c r="B241" s="27" t="s">
        <v>156</v>
      </c>
      <c r="C241" s="27" t="s">
        <v>150</v>
      </c>
      <c r="D241" s="27" t="s">
        <v>167</v>
      </c>
      <c r="E241" s="8">
        <v>6100005</v>
      </c>
      <c r="F241" s="7" t="str">
        <f>IFERROR(_xlfn.XLOOKUP(E:E,[1]Buff!$A:$A,[1]Buff!$E:$E),"None")</f>
        <v>아라한 패시브 스킬 사용</v>
      </c>
      <c r="G241" s="1">
        <v>0</v>
      </c>
      <c r="H241" s="1" t="s">
        <v>38</v>
      </c>
      <c r="I241" s="1" t="s">
        <v>38</v>
      </c>
      <c r="J241" s="1">
        <v>100000</v>
      </c>
      <c r="K241" s="8">
        <v>9100021</v>
      </c>
      <c r="L241" s="8">
        <v>0</v>
      </c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37">
        <v>-1</v>
      </c>
      <c r="U241" s="1">
        <v>0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</row>
    <row r="242" spans="1:29" s="11" customFormat="1" x14ac:dyDescent="0.3">
      <c r="A242" s="66">
        <v>13043211</v>
      </c>
      <c r="B242" s="31" t="s">
        <v>165</v>
      </c>
      <c r="C242" s="31" t="s">
        <v>151</v>
      </c>
      <c r="D242" s="31" t="s">
        <v>30</v>
      </c>
      <c r="E242" s="10">
        <v>1000001</v>
      </c>
      <c r="F242" s="12" t="str">
        <f>IFERROR(_xlfn.XLOOKUP(E:E,[1]Buff!$A:$A,[1]Buff!$E:$E),"None")</f>
        <v>공용 대미지</v>
      </c>
      <c r="G242" s="11">
        <v>0</v>
      </c>
      <c r="H242" s="11" t="s">
        <v>38</v>
      </c>
      <c r="I242" s="11" t="s">
        <v>38</v>
      </c>
      <c r="J242" s="11">
        <v>100000</v>
      </c>
      <c r="K242" s="10">
        <v>175000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0</v>
      </c>
      <c r="S242" s="10">
        <v>0</v>
      </c>
      <c r="T242" s="38">
        <v>0</v>
      </c>
      <c r="U242" s="11">
        <v>130432</v>
      </c>
      <c r="V242" s="11">
        <v>0</v>
      </c>
      <c r="W242" s="11">
        <v>0</v>
      </c>
      <c r="X242" s="11">
        <v>0</v>
      </c>
      <c r="Y242" s="11">
        <v>0</v>
      </c>
      <c r="Z242" s="11">
        <v>0</v>
      </c>
      <c r="AA242" s="11">
        <v>0</v>
      </c>
      <c r="AB242" s="11">
        <v>0</v>
      </c>
      <c r="AC242" s="11">
        <v>0</v>
      </c>
    </row>
    <row r="243" spans="1:29" x14ac:dyDescent="0.3">
      <c r="A243" s="29">
        <v>23043211</v>
      </c>
      <c r="B243" s="27" t="s">
        <v>165</v>
      </c>
      <c r="C243" s="27" t="s">
        <v>150</v>
      </c>
      <c r="D243" s="27" t="s">
        <v>33</v>
      </c>
      <c r="E243" s="8">
        <v>2000101</v>
      </c>
      <c r="F243" s="7" t="str">
        <f>IFERROR(_xlfn.XLOOKUP(E:E,[1]Buff!$A:$A,[1]Buff!$E:$E),"None")</f>
        <v>공격력 증가</v>
      </c>
      <c r="G243" s="1">
        <v>0</v>
      </c>
      <c r="H243" s="1" t="s">
        <v>38</v>
      </c>
      <c r="I243" s="1" t="s">
        <v>38</v>
      </c>
      <c r="J243" s="1">
        <v>100000</v>
      </c>
      <c r="K243" s="8">
        <v>30000</v>
      </c>
      <c r="L243" s="8">
        <v>1001</v>
      </c>
      <c r="M243" s="8">
        <v>0</v>
      </c>
      <c r="N243" s="8">
        <v>0</v>
      </c>
      <c r="O243" s="8">
        <v>0</v>
      </c>
      <c r="P243" s="8">
        <v>0</v>
      </c>
      <c r="Q243" s="8">
        <v>0</v>
      </c>
      <c r="R243" s="8">
        <v>0</v>
      </c>
      <c r="S243" s="8">
        <v>0</v>
      </c>
      <c r="T243" s="37">
        <v>2</v>
      </c>
      <c r="U243" s="1">
        <v>100010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</row>
    <row r="244" spans="1:29" x14ac:dyDescent="0.3">
      <c r="A244" s="29">
        <v>23043221</v>
      </c>
      <c r="B244" s="27" t="s">
        <v>165</v>
      </c>
      <c r="C244" s="27" t="s">
        <v>150</v>
      </c>
      <c r="D244" s="27" t="s">
        <v>33</v>
      </c>
      <c r="E244" s="8">
        <v>2000101</v>
      </c>
      <c r="F244" s="7" t="str">
        <f>IFERROR(_xlfn.XLOOKUP(E:E,[1]Buff!$A:$A,[1]Buff!$E:$E),"None")</f>
        <v>공격력 증가</v>
      </c>
      <c r="G244" s="1">
        <v>0</v>
      </c>
      <c r="H244" s="1" t="s">
        <v>38</v>
      </c>
      <c r="I244" s="1" t="s">
        <v>38</v>
      </c>
      <c r="J244" s="1">
        <v>100000</v>
      </c>
      <c r="K244" s="8">
        <v>30000</v>
      </c>
      <c r="L244" s="8">
        <v>1001</v>
      </c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S244" s="8">
        <v>0</v>
      </c>
      <c r="T244" s="37">
        <v>2</v>
      </c>
      <c r="U244" s="1">
        <v>100010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</row>
    <row r="245" spans="1:29" x14ac:dyDescent="0.3">
      <c r="A245" s="29">
        <v>23043212</v>
      </c>
      <c r="B245" s="27" t="s">
        <v>165</v>
      </c>
      <c r="C245" s="27" t="s">
        <v>150</v>
      </c>
      <c r="D245" s="27" t="s">
        <v>33</v>
      </c>
      <c r="E245" s="8">
        <v>2003602</v>
      </c>
      <c r="F245" s="7" t="str">
        <f>IFERROR(_xlfn.XLOOKUP(E:E,[1]Buff!$A:$A,[1]Buff!$E:$E),"None")</f>
        <v>아르테미스 SP 회복</v>
      </c>
      <c r="G245" s="1">
        <v>0</v>
      </c>
      <c r="H245" s="1" t="s">
        <v>38</v>
      </c>
      <c r="I245" s="1" t="s">
        <v>38</v>
      </c>
      <c r="J245" s="1">
        <v>100000</v>
      </c>
      <c r="K245" s="8">
        <v>20</v>
      </c>
      <c r="L245" s="8">
        <v>0</v>
      </c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37">
        <v>0</v>
      </c>
      <c r="U245" s="1">
        <v>0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</row>
    <row r="246" spans="1:29" x14ac:dyDescent="0.3">
      <c r="A246" s="29">
        <v>23043222</v>
      </c>
      <c r="B246" s="27" t="s">
        <v>165</v>
      </c>
      <c r="C246" s="27" t="s">
        <v>150</v>
      </c>
      <c r="D246" s="27" t="s">
        <v>33</v>
      </c>
      <c r="E246" s="8">
        <v>2003602</v>
      </c>
      <c r="F246" s="7" t="str">
        <f>IFERROR(_xlfn.XLOOKUP(E:E,[1]Buff!$A:$A,[1]Buff!$E:$E),"None")</f>
        <v>아르테미스 SP 회복</v>
      </c>
      <c r="G246" s="1">
        <v>0</v>
      </c>
      <c r="H246" s="1" t="s">
        <v>38</v>
      </c>
      <c r="I246" s="1" t="s">
        <v>38</v>
      </c>
      <c r="J246" s="1">
        <v>100000</v>
      </c>
      <c r="K246" s="8">
        <v>20</v>
      </c>
      <c r="L246" s="8">
        <v>0</v>
      </c>
      <c r="M246" s="8">
        <v>0</v>
      </c>
      <c r="N246" s="8">
        <v>0</v>
      </c>
      <c r="O246" s="8">
        <v>0</v>
      </c>
      <c r="P246" s="8">
        <v>0</v>
      </c>
      <c r="Q246" s="8">
        <v>0</v>
      </c>
      <c r="R246" s="8">
        <v>0</v>
      </c>
      <c r="S246" s="8">
        <v>0</v>
      </c>
      <c r="T246" s="37">
        <v>0</v>
      </c>
      <c r="U246" s="1">
        <v>0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</row>
    <row r="247" spans="1:29" x14ac:dyDescent="0.3">
      <c r="A247" s="29">
        <v>33043211</v>
      </c>
      <c r="B247" s="27" t="s">
        <v>165</v>
      </c>
      <c r="C247" s="27" t="s">
        <v>150</v>
      </c>
      <c r="D247" s="27" t="s">
        <v>140</v>
      </c>
      <c r="E247" s="8">
        <v>1000003</v>
      </c>
      <c r="F247" s="7" t="str">
        <f>IFERROR(_xlfn.XLOOKUP(E:E,[1]Buff!$A:$A,[1]Buff!$E:$E),"None")</f>
        <v>얼티밋 대미지</v>
      </c>
      <c r="G247" s="1">
        <v>0</v>
      </c>
      <c r="H247" s="1" t="s">
        <v>38</v>
      </c>
      <c r="I247" s="1" t="s">
        <v>38</v>
      </c>
      <c r="J247" s="1">
        <v>100000</v>
      </c>
      <c r="K247" s="8">
        <v>80000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S247" s="8">
        <v>0</v>
      </c>
      <c r="T247" s="37">
        <v>0</v>
      </c>
      <c r="U247" s="1">
        <v>330432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</row>
    <row r="248" spans="1:29" x14ac:dyDescent="0.3">
      <c r="A248" s="29">
        <v>33043221</v>
      </c>
      <c r="B248" s="27" t="s">
        <v>165</v>
      </c>
      <c r="C248" s="27" t="s">
        <v>150</v>
      </c>
      <c r="D248" s="27" t="s">
        <v>140</v>
      </c>
      <c r="E248" s="8">
        <v>1000003</v>
      </c>
      <c r="F248" s="7" t="str">
        <f>IFERROR(_xlfn.XLOOKUP(E:E,[1]Buff!$A:$A,[1]Buff!$E:$E),"None")</f>
        <v>얼티밋 대미지</v>
      </c>
      <c r="G248" s="1">
        <v>0</v>
      </c>
      <c r="H248" s="1" t="s">
        <v>38</v>
      </c>
      <c r="I248" s="1" t="s">
        <v>38</v>
      </c>
      <c r="J248" s="1">
        <v>100000</v>
      </c>
      <c r="K248" s="8">
        <v>80000</v>
      </c>
      <c r="L248" s="8">
        <v>0</v>
      </c>
      <c r="M248" s="8">
        <v>0</v>
      </c>
      <c r="N248" s="8">
        <v>0</v>
      </c>
      <c r="O248" s="8">
        <v>0</v>
      </c>
      <c r="P248" s="8">
        <v>0</v>
      </c>
      <c r="Q248" s="8">
        <v>0</v>
      </c>
      <c r="R248" s="8">
        <v>0</v>
      </c>
      <c r="S248" s="8">
        <v>0</v>
      </c>
      <c r="T248" s="37">
        <v>0</v>
      </c>
      <c r="U248" s="1">
        <v>330432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</row>
    <row r="249" spans="1:29" x14ac:dyDescent="0.3">
      <c r="A249" s="29">
        <v>33043231</v>
      </c>
      <c r="B249" s="27" t="s">
        <v>165</v>
      </c>
      <c r="C249" s="27" t="s">
        <v>150</v>
      </c>
      <c r="D249" s="27" t="s">
        <v>140</v>
      </c>
      <c r="E249" s="8">
        <v>1000003</v>
      </c>
      <c r="F249" s="7" t="str">
        <f>IFERROR(_xlfn.XLOOKUP(E:E,[1]Buff!$A:$A,[1]Buff!$E:$E),"None")</f>
        <v>얼티밋 대미지</v>
      </c>
      <c r="G249" s="1">
        <v>0</v>
      </c>
      <c r="H249" s="1" t="s">
        <v>38</v>
      </c>
      <c r="I249" s="1" t="s">
        <v>38</v>
      </c>
      <c r="J249" s="1">
        <v>100000</v>
      </c>
      <c r="K249" s="8">
        <v>80000</v>
      </c>
      <c r="L249" s="8">
        <v>0</v>
      </c>
      <c r="M249" s="8">
        <v>0</v>
      </c>
      <c r="N249" s="8">
        <v>0</v>
      </c>
      <c r="O249" s="8">
        <v>0</v>
      </c>
      <c r="P249" s="8">
        <v>0</v>
      </c>
      <c r="Q249" s="8">
        <v>0</v>
      </c>
      <c r="R249" s="8">
        <v>0</v>
      </c>
      <c r="S249" s="8">
        <v>0</v>
      </c>
      <c r="T249" s="37">
        <v>0</v>
      </c>
      <c r="U249" s="1">
        <v>330432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</row>
    <row r="250" spans="1:29" x14ac:dyDescent="0.3">
      <c r="A250" s="29">
        <v>33043212</v>
      </c>
      <c r="B250" s="27" t="s">
        <v>165</v>
      </c>
      <c r="C250" s="27" t="s">
        <v>150</v>
      </c>
      <c r="D250" s="27" t="s">
        <v>140</v>
      </c>
      <c r="E250" s="8">
        <v>3000205</v>
      </c>
      <c r="F250" s="7" t="str">
        <f>IFERROR(_xlfn.XLOOKUP(E:E,[1]Buff!$A:$A,[1]Buff!$E:$E),"None")</f>
        <v>아르테미스 방어력 감소</v>
      </c>
      <c r="G250" s="1">
        <v>0</v>
      </c>
      <c r="H250" s="1" t="s">
        <v>38</v>
      </c>
      <c r="I250" s="1" t="s">
        <v>38</v>
      </c>
      <c r="J250" s="1">
        <v>100000</v>
      </c>
      <c r="K250" s="8">
        <v>-15000</v>
      </c>
      <c r="L250" s="8">
        <v>1003</v>
      </c>
      <c r="M250" s="8">
        <v>0</v>
      </c>
      <c r="N250" s="8">
        <v>0</v>
      </c>
      <c r="O250" s="8">
        <v>0</v>
      </c>
      <c r="P250" s="8">
        <v>0</v>
      </c>
      <c r="Q250" s="8">
        <v>0</v>
      </c>
      <c r="R250" s="8">
        <v>0</v>
      </c>
      <c r="S250" s="8">
        <v>0</v>
      </c>
      <c r="T250" s="37">
        <v>2</v>
      </c>
      <c r="U250" s="1">
        <v>200010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</row>
    <row r="251" spans="1:29" x14ac:dyDescent="0.3">
      <c r="A251" s="29">
        <v>33043222</v>
      </c>
      <c r="B251" s="27" t="s">
        <v>165</v>
      </c>
      <c r="C251" s="27" t="s">
        <v>150</v>
      </c>
      <c r="D251" s="27" t="s">
        <v>140</v>
      </c>
      <c r="E251" s="8">
        <v>3000205</v>
      </c>
      <c r="F251" s="7" t="str">
        <f>IFERROR(_xlfn.XLOOKUP(E:E,[1]Buff!$A:$A,[1]Buff!$E:$E),"None")</f>
        <v>아르테미스 방어력 감소</v>
      </c>
      <c r="G251" s="1">
        <v>0</v>
      </c>
      <c r="H251" s="1" t="s">
        <v>38</v>
      </c>
      <c r="I251" s="1" t="s">
        <v>38</v>
      </c>
      <c r="J251" s="1">
        <v>100000</v>
      </c>
      <c r="K251" s="8">
        <v>-15000</v>
      </c>
      <c r="L251" s="8">
        <v>1003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S251" s="8">
        <v>0</v>
      </c>
      <c r="T251" s="37">
        <v>2</v>
      </c>
      <c r="U251" s="1">
        <v>200010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</row>
    <row r="252" spans="1:29" x14ac:dyDescent="0.3">
      <c r="A252" s="29">
        <v>33043232</v>
      </c>
      <c r="B252" s="27" t="s">
        <v>165</v>
      </c>
      <c r="C252" s="27" t="s">
        <v>150</v>
      </c>
      <c r="D252" s="27" t="s">
        <v>140</v>
      </c>
      <c r="E252" s="8">
        <v>3000205</v>
      </c>
      <c r="F252" s="7" t="str">
        <f>IFERROR(_xlfn.XLOOKUP(E:E,[1]Buff!$A:$A,[1]Buff!$E:$E),"None")</f>
        <v>아르테미스 방어력 감소</v>
      </c>
      <c r="G252" s="1">
        <v>0</v>
      </c>
      <c r="H252" s="1" t="s">
        <v>38</v>
      </c>
      <c r="I252" s="1" t="s">
        <v>38</v>
      </c>
      <c r="J252" s="1">
        <v>100000</v>
      </c>
      <c r="K252" s="8">
        <v>-15000</v>
      </c>
      <c r="L252" s="8">
        <v>1003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  <c r="R252" s="8">
        <v>0</v>
      </c>
      <c r="S252" s="8">
        <v>0</v>
      </c>
      <c r="T252" s="37">
        <v>2</v>
      </c>
      <c r="U252" s="1">
        <v>200010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</row>
    <row r="253" spans="1:29" x14ac:dyDescent="0.3">
      <c r="A253" s="29">
        <v>43043211</v>
      </c>
      <c r="B253" s="27" t="s">
        <v>165</v>
      </c>
      <c r="C253" s="27" t="s">
        <v>150</v>
      </c>
      <c r="D253" s="27" t="s">
        <v>167</v>
      </c>
      <c r="E253" s="8">
        <v>2004502</v>
      </c>
      <c r="F253" s="7" t="str">
        <f>IFERROR(_xlfn.XLOOKUP(E:E,[1]Buff!$A:$A,[1]Buff!$E:$E),"None")</f>
        <v>스탯변화(디버프 중 대상 대미지)</v>
      </c>
      <c r="G253" s="1">
        <v>0</v>
      </c>
      <c r="H253" s="1" t="s">
        <v>38</v>
      </c>
      <c r="I253" s="1" t="s">
        <v>38</v>
      </c>
      <c r="J253" s="1">
        <v>100000</v>
      </c>
      <c r="K253" s="8">
        <v>20000</v>
      </c>
      <c r="L253" s="8">
        <v>1048</v>
      </c>
      <c r="M253" s="8">
        <v>0</v>
      </c>
      <c r="N253" s="8">
        <v>0</v>
      </c>
      <c r="O253" s="8">
        <v>0</v>
      </c>
      <c r="P253" s="8">
        <v>0</v>
      </c>
      <c r="Q253" s="8">
        <v>0</v>
      </c>
      <c r="R253" s="8">
        <v>0</v>
      </c>
      <c r="S253" s="8">
        <v>0</v>
      </c>
      <c r="T253" s="37">
        <v>-1</v>
      </c>
      <c r="U253" s="1">
        <v>100015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</row>
    <row r="254" spans="1:29" x14ac:dyDescent="0.3">
      <c r="A254" s="29">
        <v>43043221</v>
      </c>
      <c r="B254" s="27" t="s">
        <v>165</v>
      </c>
      <c r="C254" s="27" t="s">
        <v>150</v>
      </c>
      <c r="D254" s="27" t="s">
        <v>167</v>
      </c>
      <c r="E254" s="8">
        <v>2004502</v>
      </c>
      <c r="F254" s="7" t="str">
        <f>IFERROR(_xlfn.XLOOKUP(E:E,[1]Buff!$A:$A,[1]Buff!$E:$E),"None")</f>
        <v>스탯변화(디버프 중 대상 대미지)</v>
      </c>
      <c r="G254" s="1">
        <v>0</v>
      </c>
      <c r="H254" s="1" t="s">
        <v>38</v>
      </c>
      <c r="I254" s="1" t="s">
        <v>38</v>
      </c>
      <c r="J254" s="1">
        <v>100000</v>
      </c>
      <c r="K254" s="8">
        <v>20000</v>
      </c>
      <c r="L254" s="8">
        <v>1048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S254" s="8">
        <v>0</v>
      </c>
      <c r="T254" s="37">
        <v>-1</v>
      </c>
      <c r="U254" s="1">
        <v>100015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</row>
    <row r="255" spans="1:29" s="11" customFormat="1" x14ac:dyDescent="0.3">
      <c r="A255" s="66">
        <v>13019411</v>
      </c>
      <c r="B255" s="31" t="s">
        <v>163</v>
      </c>
      <c r="C255" s="31" t="s">
        <v>151</v>
      </c>
      <c r="D255" s="31" t="s">
        <v>30</v>
      </c>
      <c r="E255" s="10">
        <v>1000001</v>
      </c>
      <c r="F255" s="12" t="str">
        <f>IFERROR(_xlfn.XLOOKUP(E:E,[1]Buff!$A:$A,[1]Buff!$E:$E),"None")</f>
        <v>공용 대미지</v>
      </c>
      <c r="G255" s="11">
        <v>0</v>
      </c>
      <c r="H255" s="11" t="s">
        <v>38</v>
      </c>
      <c r="I255" s="11" t="s">
        <v>38</v>
      </c>
      <c r="J255" s="11">
        <v>100000</v>
      </c>
      <c r="K255" s="10">
        <v>120000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0</v>
      </c>
      <c r="T255" s="38">
        <v>0</v>
      </c>
      <c r="U255" s="11">
        <v>130194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1">
        <v>0</v>
      </c>
    </row>
    <row r="256" spans="1:29" x14ac:dyDescent="0.3">
      <c r="A256" s="29">
        <v>23019411</v>
      </c>
      <c r="B256" s="27" t="s">
        <v>163</v>
      </c>
      <c r="C256" s="27" t="s">
        <v>150</v>
      </c>
      <c r="D256" s="27" t="s">
        <v>33</v>
      </c>
      <c r="E256" s="8">
        <v>1000002</v>
      </c>
      <c r="F256" s="7" t="str">
        <f>IFERROR(_xlfn.XLOOKUP(E:E,[1]Buff!$A:$A,[1]Buff!$E:$E),"None")</f>
        <v>액티브 대미지</v>
      </c>
      <c r="G256" s="1">
        <v>0</v>
      </c>
      <c r="H256" s="1" t="s">
        <v>38</v>
      </c>
      <c r="I256" s="1" t="s">
        <v>38</v>
      </c>
      <c r="J256" s="1">
        <v>100000</v>
      </c>
      <c r="K256" s="8">
        <v>145000</v>
      </c>
      <c r="L256" s="8">
        <v>0</v>
      </c>
      <c r="M256" s="8">
        <v>0</v>
      </c>
      <c r="N256" s="8">
        <v>0</v>
      </c>
      <c r="O256" s="8">
        <v>0</v>
      </c>
      <c r="P256" s="8">
        <v>0</v>
      </c>
      <c r="Q256" s="8">
        <v>0</v>
      </c>
      <c r="R256" s="8">
        <v>0</v>
      </c>
      <c r="S256" s="8">
        <v>0</v>
      </c>
      <c r="T256" s="37">
        <v>0</v>
      </c>
      <c r="U256" s="1">
        <v>230194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</row>
    <row r="257" spans="1:29" x14ac:dyDescent="0.3">
      <c r="A257" s="29">
        <v>23019412</v>
      </c>
      <c r="B257" s="27" t="s">
        <v>163</v>
      </c>
      <c r="C257" s="27" t="s">
        <v>150</v>
      </c>
      <c r="D257" s="27" t="s">
        <v>33</v>
      </c>
      <c r="E257" s="8">
        <v>3003501</v>
      </c>
      <c r="F257" s="7" t="str">
        <f>IFERROR(_xlfn.XLOOKUP(E:E,[1]Buff!$A:$A,[1]Buff!$E:$E),"None")</f>
        <v>반격 불가</v>
      </c>
      <c r="G257" s="1">
        <v>0</v>
      </c>
      <c r="H257" s="1" t="s">
        <v>38</v>
      </c>
      <c r="I257" s="1" t="s">
        <v>38</v>
      </c>
      <c r="J257" s="1">
        <v>100000</v>
      </c>
      <c r="K257" s="8">
        <v>0</v>
      </c>
      <c r="L257" s="8">
        <v>0</v>
      </c>
      <c r="M257" s="8">
        <v>0</v>
      </c>
      <c r="N257" s="8">
        <v>0</v>
      </c>
      <c r="O257" s="8">
        <v>0</v>
      </c>
      <c r="P257" s="8">
        <v>0</v>
      </c>
      <c r="Q257" s="8">
        <v>0</v>
      </c>
      <c r="R257" s="8">
        <v>0</v>
      </c>
      <c r="S257" s="8">
        <v>0</v>
      </c>
      <c r="T257" s="37">
        <v>2</v>
      </c>
      <c r="U257" s="1">
        <v>0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</row>
    <row r="258" spans="1:29" x14ac:dyDescent="0.3">
      <c r="A258" s="29">
        <v>23019421</v>
      </c>
      <c r="B258" s="27" t="s">
        <v>163</v>
      </c>
      <c r="C258" s="27" t="s">
        <v>150</v>
      </c>
      <c r="D258" s="27" t="s">
        <v>33</v>
      </c>
      <c r="E258" s="8">
        <v>1000002</v>
      </c>
      <c r="F258" s="7" t="str">
        <f>IFERROR(_xlfn.XLOOKUP(E:E,[1]Buff!$A:$A,[1]Buff!$E:$E),"None")</f>
        <v>액티브 대미지</v>
      </c>
      <c r="G258" s="1">
        <v>0</v>
      </c>
      <c r="H258" s="1" t="s">
        <v>38</v>
      </c>
      <c r="I258" s="1" t="s">
        <v>38</v>
      </c>
      <c r="J258" s="1">
        <v>100000</v>
      </c>
      <c r="K258" s="8">
        <v>145000</v>
      </c>
      <c r="L258" s="8">
        <v>0</v>
      </c>
      <c r="M258" s="8">
        <v>0</v>
      </c>
      <c r="N258" s="8">
        <v>0</v>
      </c>
      <c r="O258" s="8">
        <v>0</v>
      </c>
      <c r="P258" s="8">
        <v>0</v>
      </c>
      <c r="Q258" s="8">
        <v>0</v>
      </c>
      <c r="R258" s="8">
        <v>0</v>
      </c>
      <c r="S258" s="8">
        <v>0</v>
      </c>
      <c r="T258" s="37">
        <v>0</v>
      </c>
      <c r="U258" s="1">
        <v>230194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</row>
    <row r="259" spans="1:29" x14ac:dyDescent="0.3">
      <c r="A259" s="29">
        <v>23019422</v>
      </c>
      <c r="B259" s="27" t="s">
        <v>163</v>
      </c>
      <c r="C259" s="27" t="s">
        <v>150</v>
      </c>
      <c r="D259" s="27" t="s">
        <v>33</v>
      </c>
      <c r="E259" s="8">
        <v>3003501</v>
      </c>
      <c r="F259" s="7" t="str">
        <f>IFERROR(_xlfn.XLOOKUP(E:E,[1]Buff!$A:$A,[1]Buff!$E:$E),"None")</f>
        <v>반격 불가</v>
      </c>
      <c r="G259" s="1">
        <v>0</v>
      </c>
      <c r="H259" s="1" t="s">
        <v>38</v>
      </c>
      <c r="I259" s="1" t="s">
        <v>38</v>
      </c>
      <c r="J259" s="1">
        <v>100000</v>
      </c>
      <c r="K259" s="8">
        <v>0</v>
      </c>
      <c r="L259" s="8">
        <v>0</v>
      </c>
      <c r="M259" s="8">
        <v>0</v>
      </c>
      <c r="N259" s="8">
        <v>0</v>
      </c>
      <c r="O259" s="8">
        <v>0</v>
      </c>
      <c r="P259" s="8">
        <v>0</v>
      </c>
      <c r="Q259" s="8">
        <v>0</v>
      </c>
      <c r="R259" s="8">
        <v>0</v>
      </c>
      <c r="S259" s="8">
        <v>0</v>
      </c>
      <c r="T259" s="37">
        <v>2</v>
      </c>
      <c r="U259" s="1">
        <v>0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</row>
    <row r="260" spans="1:29" x14ac:dyDescent="0.3">
      <c r="A260" s="29">
        <v>33019411</v>
      </c>
      <c r="B260" s="27" t="s">
        <v>163</v>
      </c>
      <c r="C260" s="27" t="s">
        <v>150</v>
      </c>
      <c r="D260" s="27" t="s">
        <v>140</v>
      </c>
      <c r="E260" s="8">
        <v>1000003</v>
      </c>
      <c r="F260" s="7" t="str">
        <f>IFERROR(_xlfn.XLOOKUP(E:E,[1]Buff!$A:$A,[1]Buff!$E:$E),"None")</f>
        <v>얼티밋 대미지</v>
      </c>
      <c r="G260" s="1">
        <v>0</v>
      </c>
      <c r="H260" s="1" t="s">
        <v>38</v>
      </c>
      <c r="I260" s="1" t="s">
        <v>38</v>
      </c>
      <c r="J260" s="1">
        <v>100000</v>
      </c>
      <c r="K260" s="8">
        <v>25000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S260" s="8">
        <v>0</v>
      </c>
      <c r="T260" s="37">
        <v>0</v>
      </c>
      <c r="U260" s="1">
        <v>330194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</row>
    <row r="261" spans="1:29" x14ac:dyDescent="0.3">
      <c r="A261" s="29">
        <v>33019421</v>
      </c>
      <c r="B261" s="27" t="s">
        <v>163</v>
      </c>
      <c r="C261" s="27" t="s">
        <v>150</v>
      </c>
      <c r="D261" s="27" t="s">
        <v>140</v>
      </c>
      <c r="E261" s="8">
        <v>1000003</v>
      </c>
      <c r="F261" s="7" t="str">
        <f>IFERROR(_xlfn.XLOOKUP(E:E,[1]Buff!$A:$A,[1]Buff!$E:$E),"None")</f>
        <v>얼티밋 대미지</v>
      </c>
      <c r="G261" s="1">
        <v>0</v>
      </c>
      <c r="H261" s="1" t="s">
        <v>38</v>
      </c>
      <c r="I261" s="1" t="s">
        <v>38</v>
      </c>
      <c r="J261" s="1">
        <v>100000</v>
      </c>
      <c r="K261" s="8">
        <v>25000</v>
      </c>
      <c r="L261" s="8">
        <v>0</v>
      </c>
      <c r="M261" s="8">
        <v>0</v>
      </c>
      <c r="N261" s="8">
        <v>0</v>
      </c>
      <c r="O261" s="8">
        <v>0</v>
      </c>
      <c r="P261" s="8">
        <v>0</v>
      </c>
      <c r="Q261" s="8">
        <v>0</v>
      </c>
      <c r="R261" s="8">
        <v>0</v>
      </c>
      <c r="S261" s="8">
        <v>0</v>
      </c>
      <c r="T261" s="37">
        <v>0</v>
      </c>
      <c r="U261" s="1">
        <v>330194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</row>
    <row r="262" spans="1:29" x14ac:dyDescent="0.3">
      <c r="A262" s="29">
        <v>33019431</v>
      </c>
      <c r="B262" s="27" t="s">
        <v>163</v>
      </c>
      <c r="C262" s="27" t="s">
        <v>150</v>
      </c>
      <c r="D262" s="27" t="s">
        <v>140</v>
      </c>
      <c r="E262" s="8">
        <v>1000003</v>
      </c>
      <c r="F262" s="7" t="str">
        <f>IFERROR(_xlfn.XLOOKUP(E:E,[1]Buff!$A:$A,[1]Buff!$E:$E),"None")</f>
        <v>얼티밋 대미지</v>
      </c>
      <c r="G262" s="1">
        <v>0</v>
      </c>
      <c r="H262" s="1" t="s">
        <v>38</v>
      </c>
      <c r="I262" s="1" t="s">
        <v>38</v>
      </c>
      <c r="J262" s="1">
        <v>100000</v>
      </c>
      <c r="K262" s="8">
        <v>25000</v>
      </c>
      <c r="L262" s="8">
        <v>0</v>
      </c>
      <c r="M262" s="8">
        <v>0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S262" s="8">
        <v>0</v>
      </c>
      <c r="T262" s="37">
        <v>0</v>
      </c>
      <c r="U262" s="1">
        <v>330194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</row>
    <row r="263" spans="1:29" x14ac:dyDescent="0.3">
      <c r="A263" s="29">
        <v>33019412</v>
      </c>
      <c r="B263" s="27" t="s">
        <v>163</v>
      </c>
      <c r="C263" s="27" t="s">
        <v>150</v>
      </c>
      <c r="D263" s="27" t="s">
        <v>140</v>
      </c>
      <c r="E263" s="8">
        <v>3000102</v>
      </c>
      <c r="F263" s="7" t="str">
        <f>IFERROR(_xlfn.XLOOKUP(E:E,[1]Buff!$A:$A,[1]Buff!$E:$E),"None")</f>
        <v>아슈토레스 얼티밋 공격력 감소</v>
      </c>
      <c r="G263" s="1">
        <v>0</v>
      </c>
      <c r="H263" s="1" t="s">
        <v>38</v>
      </c>
      <c r="I263" s="1" t="s">
        <v>38</v>
      </c>
      <c r="J263" s="1">
        <v>100000</v>
      </c>
      <c r="K263" s="8">
        <v>-20000</v>
      </c>
      <c r="L263" s="8">
        <v>1001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0</v>
      </c>
      <c r="T263" s="37">
        <v>2</v>
      </c>
      <c r="U263" s="1">
        <v>0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</row>
    <row r="264" spans="1:29" x14ac:dyDescent="0.3">
      <c r="A264" s="29">
        <v>33019422</v>
      </c>
      <c r="B264" s="27" t="s">
        <v>163</v>
      </c>
      <c r="C264" s="27" t="s">
        <v>150</v>
      </c>
      <c r="D264" s="27" t="s">
        <v>140</v>
      </c>
      <c r="E264" s="8">
        <v>3000102</v>
      </c>
      <c r="F264" s="7" t="str">
        <f>IFERROR(_xlfn.XLOOKUP(E:E,[1]Buff!$A:$A,[1]Buff!$E:$E),"None")</f>
        <v>아슈토레스 얼티밋 공격력 감소</v>
      </c>
      <c r="G264" s="1">
        <v>0</v>
      </c>
      <c r="H264" s="1" t="s">
        <v>38</v>
      </c>
      <c r="I264" s="1" t="s">
        <v>38</v>
      </c>
      <c r="J264" s="1">
        <v>100000</v>
      </c>
      <c r="K264" s="8">
        <v>-20000</v>
      </c>
      <c r="L264" s="8">
        <v>1001</v>
      </c>
      <c r="M264" s="8">
        <v>0</v>
      </c>
      <c r="N264" s="8">
        <v>0</v>
      </c>
      <c r="O264" s="8">
        <v>0</v>
      </c>
      <c r="P264" s="8">
        <v>0</v>
      </c>
      <c r="Q264" s="8">
        <v>0</v>
      </c>
      <c r="R264" s="8">
        <v>0</v>
      </c>
      <c r="S264" s="8">
        <v>0</v>
      </c>
      <c r="T264" s="37">
        <v>2</v>
      </c>
      <c r="U264" s="1">
        <v>0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</row>
    <row r="265" spans="1:29" x14ac:dyDescent="0.3">
      <c r="A265" s="29">
        <v>33019432</v>
      </c>
      <c r="B265" s="27" t="s">
        <v>163</v>
      </c>
      <c r="C265" s="27" t="s">
        <v>150</v>
      </c>
      <c r="D265" s="27" t="s">
        <v>140</v>
      </c>
      <c r="E265" s="8">
        <v>3000102</v>
      </c>
      <c r="F265" s="7" t="str">
        <f>IFERROR(_xlfn.XLOOKUP(E:E,[1]Buff!$A:$A,[1]Buff!$E:$E),"None")</f>
        <v>아슈토레스 얼티밋 공격력 감소</v>
      </c>
      <c r="G265" s="1">
        <v>0</v>
      </c>
      <c r="H265" s="1" t="s">
        <v>38</v>
      </c>
      <c r="I265" s="1" t="s">
        <v>38</v>
      </c>
      <c r="J265" s="1">
        <v>100000</v>
      </c>
      <c r="K265" s="8">
        <v>-20000</v>
      </c>
      <c r="L265" s="8">
        <v>1001</v>
      </c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37">
        <v>2</v>
      </c>
      <c r="U265" s="1">
        <v>0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</row>
    <row r="266" spans="1:29" x14ac:dyDescent="0.3">
      <c r="A266" s="29">
        <v>43019411</v>
      </c>
      <c r="B266" s="27" t="s">
        <v>163</v>
      </c>
      <c r="C266" s="27" t="s">
        <v>150</v>
      </c>
      <c r="D266" s="27" t="s">
        <v>167</v>
      </c>
      <c r="E266" s="8">
        <v>6000005</v>
      </c>
      <c r="F266" s="7" t="str">
        <f>IFERROR(_xlfn.XLOOKUP(E:E,[1]Buff!$A:$A,[1]Buff!$E:$E),"None")</f>
        <v>아슈토레스 패시브 스킬 사용</v>
      </c>
      <c r="G266" s="1">
        <v>10312</v>
      </c>
      <c r="H266" s="1" t="s">
        <v>38</v>
      </c>
      <c r="I266" s="1" t="s">
        <v>38</v>
      </c>
      <c r="J266" s="1">
        <v>100000</v>
      </c>
      <c r="K266" s="8">
        <v>9100031</v>
      </c>
      <c r="L266" s="8">
        <v>0</v>
      </c>
      <c r="M266" s="8">
        <v>0</v>
      </c>
      <c r="N266" s="8">
        <v>0</v>
      </c>
      <c r="O266" s="8">
        <v>0</v>
      </c>
      <c r="P266" s="8">
        <v>0</v>
      </c>
      <c r="Q266" s="8">
        <v>0</v>
      </c>
      <c r="R266" s="8">
        <v>0</v>
      </c>
      <c r="S266" s="8">
        <v>0</v>
      </c>
      <c r="T266" s="37">
        <v>-1</v>
      </c>
      <c r="U266" s="1">
        <v>0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</row>
    <row r="267" spans="1:29" x14ac:dyDescent="0.3">
      <c r="A267" s="29">
        <v>43019421</v>
      </c>
      <c r="B267" s="27" t="s">
        <v>163</v>
      </c>
      <c r="C267" s="27" t="s">
        <v>150</v>
      </c>
      <c r="D267" s="27" t="s">
        <v>167</v>
      </c>
      <c r="E267" s="8">
        <v>6000005</v>
      </c>
      <c r="F267" s="7" t="str">
        <f>IFERROR(_xlfn.XLOOKUP(E:E,[1]Buff!$A:$A,[1]Buff!$E:$E),"None")</f>
        <v>아슈토레스 패시브 스킬 사용</v>
      </c>
      <c r="G267" s="1">
        <v>10312</v>
      </c>
      <c r="H267" s="1" t="s">
        <v>38</v>
      </c>
      <c r="I267" s="1" t="s">
        <v>38</v>
      </c>
      <c r="J267" s="1">
        <v>100000</v>
      </c>
      <c r="K267" s="8">
        <v>9100031</v>
      </c>
      <c r="L267" s="8">
        <v>0</v>
      </c>
      <c r="M267" s="8">
        <v>0</v>
      </c>
      <c r="N267" s="8">
        <v>0</v>
      </c>
      <c r="O267" s="8">
        <v>0</v>
      </c>
      <c r="P267" s="8">
        <v>0</v>
      </c>
      <c r="Q267" s="8">
        <v>0</v>
      </c>
      <c r="R267" s="8">
        <v>0</v>
      </c>
      <c r="S267" s="8">
        <v>0</v>
      </c>
      <c r="T267" s="37">
        <v>-1</v>
      </c>
      <c r="U267" s="1">
        <v>0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</row>
    <row r="268" spans="1:29" s="11" customFormat="1" x14ac:dyDescent="0.3">
      <c r="A268" s="66">
        <v>13015611</v>
      </c>
      <c r="B268" s="31" t="s">
        <v>166</v>
      </c>
      <c r="C268" s="31" t="s">
        <v>151</v>
      </c>
      <c r="D268" s="31" t="s">
        <v>30</v>
      </c>
      <c r="E268" s="10">
        <v>1000001</v>
      </c>
      <c r="F268" s="12" t="str">
        <f>IFERROR(_xlfn.XLOOKUP(E:E,[1]Buff!$A:$A,[1]Buff!$E:$E),"None")</f>
        <v>공용 대미지</v>
      </c>
      <c r="G268" s="11">
        <v>0</v>
      </c>
      <c r="H268" s="11" t="s">
        <v>38</v>
      </c>
      <c r="I268" s="11" t="s">
        <v>38</v>
      </c>
      <c r="J268" s="11">
        <v>100000</v>
      </c>
      <c r="K268" s="10">
        <v>295000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38">
        <v>0</v>
      </c>
      <c r="U268" s="11">
        <v>130156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1">
        <v>0</v>
      </c>
    </row>
    <row r="269" spans="1:29" x14ac:dyDescent="0.3">
      <c r="A269" s="29">
        <v>23015611</v>
      </c>
      <c r="B269" s="27" t="s">
        <v>166</v>
      </c>
      <c r="C269" s="27" t="s">
        <v>150</v>
      </c>
      <c r="D269" s="27" t="s">
        <v>33</v>
      </c>
      <c r="E269" s="8">
        <v>1000016</v>
      </c>
      <c r="F269" s="7" t="str">
        <f>IFERROR(_xlfn.XLOOKUP(E:E,[1]Buff!$A:$A,[1]Buff!$E:$E),"None")</f>
        <v>대미지(치명타 액티브)</v>
      </c>
      <c r="G269" s="1">
        <v>0</v>
      </c>
      <c r="H269" s="1" t="s">
        <v>38</v>
      </c>
      <c r="I269" s="1" t="s">
        <v>38</v>
      </c>
      <c r="J269" s="1">
        <v>100000</v>
      </c>
      <c r="K269" s="8">
        <v>320000</v>
      </c>
      <c r="L269" s="8">
        <v>0</v>
      </c>
      <c r="M269" s="8">
        <v>0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S269" s="8">
        <v>0</v>
      </c>
      <c r="T269" s="37">
        <v>0</v>
      </c>
      <c r="U269" s="1">
        <v>230156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</row>
    <row r="270" spans="1:29" x14ac:dyDescent="0.3">
      <c r="A270" s="29">
        <v>23015621</v>
      </c>
      <c r="B270" s="27" t="s">
        <v>166</v>
      </c>
      <c r="C270" s="27" t="s">
        <v>150</v>
      </c>
      <c r="D270" s="27" t="s">
        <v>33</v>
      </c>
      <c r="E270" s="8">
        <v>1000016</v>
      </c>
      <c r="F270" s="7" t="str">
        <f>IFERROR(_xlfn.XLOOKUP(E:E,[1]Buff!$A:$A,[1]Buff!$E:$E),"None")</f>
        <v>대미지(치명타 액티브)</v>
      </c>
      <c r="G270" s="1">
        <v>0</v>
      </c>
      <c r="H270" s="1" t="s">
        <v>38</v>
      </c>
      <c r="I270" s="1" t="s">
        <v>38</v>
      </c>
      <c r="J270" s="1">
        <v>100000</v>
      </c>
      <c r="K270" s="8">
        <v>320000</v>
      </c>
      <c r="L270" s="8">
        <v>0</v>
      </c>
      <c r="M270" s="8">
        <v>0</v>
      </c>
      <c r="N270" s="8">
        <v>0</v>
      </c>
      <c r="O270" s="8">
        <v>0</v>
      </c>
      <c r="P270" s="8">
        <v>0</v>
      </c>
      <c r="Q270" s="8">
        <v>0</v>
      </c>
      <c r="R270" s="8">
        <v>0</v>
      </c>
      <c r="S270" s="8">
        <v>0</v>
      </c>
      <c r="T270" s="37">
        <v>0</v>
      </c>
      <c r="U270" s="1">
        <v>230156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</row>
    <row r="271" spans="1:29" x14ac:dyDescent="0.3">
      <c r="A271" s="29">
        <v>23015612</v>
      </c>
      <c r="B271" s="27" t="s">
        <v>166</v>
      </c>
      <c r="C271" s="27" t="s">
        <v>150</v>
      </c>
      <c r="D271" s="27" t="s">
        <v>33</v>
      </c>
      <c r="E271" s="8">
        <v>2001004</v>
      </c>
      <c r="F271" s="7" t="str">
        <f>IFERROR(_xlfn.XLOOKUP(E:E,[1]Buff!$A:$A,[1]Buff!$E:$E),"None")</f>
        <v>에르제베트 액티브 속도 증가</v>
      </c>
      <c r="G271" s="1">
        <v>0</v>
      </c>
      <c r="H271" s="1" t="s">
        <v>38</v>
      </c>
      <c r="I271" s="1" t="s">
        <v>38</v>
      </c>
      <c r="J271" s="1">
        <v>100000</v>
      </c>
      <c r="K271" s="8">
        <v>15</v>
      </c>
      <c r="L271" s="8">
        <v>1008</v>
      </c>
      <c r="M271" s="8">
        <v>0</v>
      </c>
      <c r="N271" s="8">
        <v>0</v>
      </c>
      <c r="O271" s="8">
        <v>0</v>
      </c>
      <c r="P271" s="8">
        <v>0</v>
      </c>
      <c r="Q271" s="8">
        <v>0</v>
      </c>
      <c r="R271" s="8">
        <v>0</v>
      </c>
      <c r="S271" s="8">
        <v>0</v>
      </c>
      <c r="T271" s="37">
        <v>2</v>
      </c>
      <c r="U271" s="1">
        <v>0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</row>
    <row r="272" spans="1:29" x14ac:dyDescent="0.3">
      <c r="A272" s="29">
        <v>23015622</v>
      </c>
      <c r="B272" s="27" t="s">
        <v>166</v>
      </c>
      <c r="C272" s="27" t="s">
        <v>150</v>
      </c>
      <c r="D272" s="27" t="s">
        <v>33</v>
      </c>
      <c r="E272" s="8">
        <v>2001004</v>
      </c>
      <c r="F272" s="7" t="str">
        <f>IFERROR(_xlfn.XLOOKUP(E:E,[1]Buff!$A:$A,[1]Buff!$E:$E),"None")</f>
        <v>에르제베트 액티브 속도 증가</v>
      </c>
      <c r="G272" s="1">
        <v>0</v>
      </c>
      <c r="H272" s="1" t="s">
        <v>38</v>
      </c>
      <c r="I272" s="1" t="s">
        <v>38</v>
      </c>
      <c r="J272" s="1">
        <v>100000</v>
      </c>
      <c r="K272" s="8">
        <v>15</v>
      </c>
      <c r="L272" s="8">
        <v>1008</v>
      </c>
      <c r="M272" s="8">
        <v>0</v>
      </c>
      <c r="N272" s="8">
        <v>0</v>
      </c>
      <c r="O272" s="8">
        <v>0</v>
      </c>
      <c r="P272" s="8">
        <v>0</v>
      </c>
      <c r="Q272" s="8">
        <v>0</v>
      </c>
      <c r="R272" s="8">
        <v>0</v>
      </c>
      <c r="S272" s="8">
        <v>0</v>
      </c>
      <c r="T272" s="37">
        <v>2</v>
      </c>
      <c r="U272" s="1">
        <v>0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</row>
    <row r="273" spans="1:29" x14ac:dyDescent="0.3">
      <c r="A273" s="29">
        <v>33015611</v>
      </c>
      <c r="B273" s="27" t="s">
        <v>166</v>
      </c>
      <c r="C273" s="27" t="s">
        <v>150</v>
      </c>
      <c r="D273" s="27" t="s">
        <v>140</v>
      </c>
      <c r="E273" s="8">
        <v>1000003</v>
      </c>
      <c r="F273" s="7" t="str">
        <f>IFERROR(_xlfn.XLOOKUP(E:E,[1]Buff!$A:$A,[1]Buff!$E:$E),"None")</f>
        <v>얼티밋 대미지</v>
      </c>
      <c r="G273" s="1">
        <v>0</v>
      </c>
      <c r="H273" s="1" t="s">
        <v>38</v>
      </c>
      <c r="I273" s="1" t="s">
        <v>38</v>
      </c>
      <c r="J273" s="1">
        <v>100000</v>
      </c>
      <c r="K273" s="8">
        <v>40000</v>
      </c>
      <c r="L273" s="8">
        <v>0</v>
      </c>
      <c r="M273" s="8">
        <v>0</v>
      </c>
      <c r="N273" s="8">
        <v>0</v>
      </c>
      <c r="O273" s="8">
        <v>0</v>
      </c>
      <c r="P273" s="8">
        <v>0</v>
      </c>
      <c r="Q273" s="8">
        <v>0</v>
      </c>
      <c r="R273" s="8">
        <v>0</v>
      </c>
      <c r="S273" s="8">
        <v>0</v>
      </c>
      <c r="T273" s="37">
        <v>0</v>
      </c>
      <c r="U273" s="1">
        <v>330156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</row>
    <row r="274" spans="1:29" x14ac:dyDescent="0.3">
      <c r="A274" s="29">
        <v>33015621</v>
      </c>
      <c r="B274" s="27" t="s">
        <v>166</v>
      </c>
      <c r="C274" s="27" t="s">
        <v>150</v>
      </c>
      <c r="D274" s="27" t="s">
        <v>140</v>
      </c>
      <c r="E274" s="8">
        <v>1000003</v>
      </c>
      <c r="F274" s="7" t="str">
        <f>IFERROR(_xlfn.XLOOKUP(E:E,[1]Buff!$A:$A,[1]Buff!$E:$E),"None")</f>
        <v>얼티밋 대미지</v>
      </c>
      <c r="G274" s="1">
        <v>0</v>
      </c>
      <c r="H274" s="1" t="s">
        <v>38</v>
      </c>
      <c r="I274" s="1" t="s">
        <v>38</v>
      </c>
      <c r="J274" s="1">
        <v>100000</v>
      </c>
      <c r="K274" s="8">
        <v>40000</v>
      </c>
      <c r="L274" s="8">
        <v>0</v>
      </c>
      <c r="M274" s="8">
        <v>0</v>
      </c>
      <c r="N274" s="8">
        <v>0</v>
      </c>
      <c r="O274" s="8">
        <v>0</v>
      </c>
      <c r="P274" s="8">
        <v>0</v>
      </c>
      <c r="Q274" s="8">
        <v>0</v>
      </c>
      <c r="R274" s="8">
        <v>0</v>
      </c>
      <c r="S274" s="8">
        <v>0</v>
      </c>
      <c r="T274" s="37">
        <v>2</v>
      </c>
      <c r="U274" s="1">
        <v>330156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</row>
    <row r="275" spans="1:29" x14ac:dyDescent="0.3">
      <c r="A275" s="29">
        <v>33015631</v>
      </c>
      <c r="B275" s="27" t="s">
        <v>166</v>
      </c>
      <c r="C275" s="27" t="s">
        <v>150</v>
      </c>
      <c r="D275" s="27" t="s">
        <v>140</v>
      </c>
      <c r="E275" s="8">
        <v>1000003</v>
      </c>
      <c r="F275" s="7" t="str">
        <f>IFERROR(_xlfn.XLOOKUP(E:E,[1]Buff!$A:$A,[1]Buff!$E:$E),"None")</f>
        <v>얼티밋 대미지</v>
      </c>
      <c r="G275" s="1">
        <v>0</v>
      </c>
      <c r="H275" s="1" t="s">
        <v>38</v>
      </c>
      <c r="I275" s="1" t="s">
        <v>38</v>
      </c>
      <c r="J275" s="1">
        <v>100000</v>
      </c>
      <c r="K275" s="8">
        <v>40000</v>
      </c>
      <c r="L275" s="8">
        <v>0</v>
      </c>
      <c r="M275" s="8">
        <v>0</v>
      </c>
      <c r="N275" s="8">
        <v>0</v>
      </c>
      <c r="O275" s="8">
        <v>0</v>
      </c>
      <c r="P275" s="8">
        <v>0</v>
      </c>
      <c r="Q275" s="8">
        <v>0</v>
      </c>
      <c r="R275" s="8">
        <v>0</v>
      </c>
      <c r="S275" s="8">
        <v>0</v>
      </c>
      <c r="T275" s="37">
        <v>0</v>
      </c>
      <c r="U275" s="1">
        <v>330156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</row>
    <row r="276" spans="1:29" x14ac:dyDescent="0.3">
      <c r="A276" s="29">
        <v>33015612</v>
      </c>
      <c r="B276" s="27" t="s">
        <v>166</v>
      </c>
      <c r="C276" s="27" t="s">
        <v>150</v>
      </c>
      <c r="D276" s="27" t="s">
        <v>140</v>
      </c>
      <c r="E276" s="8">
        <v>3002501</v>
      </c>
      <c r="F276" s="7" t="str">
        <f>IFERROR(_xlfn.XLOOKUP(E:E,[1]Buff!$A:$A,[1]Buff!$E:$E),"None")</f>
        <v>재능 중독</v>
      </c>
      <c r="G276" s="1">
        <v>0</v>
      </c>
      <c r="H276" s="1" t="s">
        <v>38</v>
      </c>
      <c r="I276" s="1" t="s">
        <v>38</v>
      </c>
      <c r="J276" s="1">
        <v>30000</v>
      </c>
      <c r="K276" s="8">
        <v>30000</v>
      </c>
      <c r="L276" s="8">
        <v>0</v>
      </c>
      <c r="M276" s="8">
        <v>0</v>
      </c>
      <c r="N276" s="8">
        <v>0</v>
      </c>
      <c r="O276" s="8">
        <v>0</v>
      </c>
      <c r="P276" s="8">
        <v>0</v>
      </c>
      <c r="Q276" s="8">
        <v>0</v>
      </c>
      <c r="R276" s="8">
        <v>0</v>
      </c>
      <c r="S276" s="8">
        <v>0</v>
      </c>
      <c r="T276" s="37">
        <v>2</v>
      </c>
      <c r="U276" s="1">
        <v>100010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</row>
    <row r="277" spans="1:29" x14ac:dyDescent="0.3">
      <c r="A277" s="29">
        <v>33015622</v>
      </c>
      <c r="B277" s="27" t="s">
        <v>166</v>
      </c>
      <c r="C277" s="27" t="s">
        <v>150</v>
      </c>
      <c r="D277" s="27" t="s">
        <v>140</v>
      </c>
      <c r="E277" s="8">
        <v>3002501</v>
      </c>
      <c r="F277" s="7" t="str">
        <f>IFERROR(_xlfn.XLOOKUP(E:E,[1]Buff!$A:$A,[1]Buff!$E:$E),"None")</f>
        <v>재능 중독</v>
      </c>
      <c r="G277" s="1">
        <v>0</v>
      </c>
      <c r="H277" s="1" t="s">
        <v>38</v>
      </c>
      <c r="I277" s="1" t="s">
        <v>38</v>
      </c>
      <c r="J277" s="1">
        <v>30000</v>
      </c>
      <c r="K277" s="8">
        <v>30000</v>
      </c>
      <c r="L277" s="8">
        <v>0</v>
      </c>
      <c r="M277" s="8">
        <v>0</v>
      </c>
      <c r="N277" s="8">
        <v>0</v>
      </c>
      <c r="O277" s="8">
        <v>0</v>
      </c>
      <c r="P277" s="8">
        <v>0</v>
      </c>
      <c r="Q277" s="8">
        <v>0</v>
      </c>
      <c r="R277" s="8">
        <v>0</v>
      </c>
      <c r="S277" s="8">
        <v>0</v>
      </c>
      <c r="T277" s="37">
        <v>2</v>
      </c>
      <c r="U277" s="1">
        <v>100010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</row>
    <row r="278" spans="1:29" x14ac:dyDescent="0.3">
      <c r="A278" s="29">
        <v>33015632</v>
      </c>
      <c r="B278" s="27" t="s">
        <v>166</v>
      </c>
      <c r="C278" s="27" t="s">
        <v>150</v>
      </c>
      <c r="D278" s="27" t="s">
        <v>140</v>
      </c>
      <c r="E278" s="8">
        <v>3002501</v>
      </c>
      <c r="F278" s="7" t="str">
        <f>IFERROR(_xlfn.XLOOKUP(E:E,[1]Buff!$A:$A,[1]Buff!$E:$E),"None")</f>
        <v>재능 중독</v>
      </c>
      <c r="G278" s="1">
        <v>0</v>
      </c>
      <c r="H278" s="1" t="s">
        <v>38</v>
      </c>
      <c r="I278" s="1" t="s">
        <v>38</v>
      </c>
      <c r="J278" s="1">
        <v>30000</v>
      </c>
      <c r="K278" s="8">
        <v>30000</v>
      </c>
      <c r="L278" s="8">
        <v>0</v>
      </c>
      <c r="M278" s="8">
        <v>0</v>
      </c>
      <c r="N278" s="8">
        <v>0</v>
      </c>
      <c r="O278" s="8">
        <v>0</v>
      </c>
      <c r="P278" s="8">
        <v>0</v>
      </c>
      <c r="Q278" s="8">
        <v>0</v>
      </c>
      <c r="R278" s="8">
        <v>0</v>
      </c>
      <c r="S278" s="8">
        <v>0</v>
      </c>
      <c r="T278" s="37">
        <v>2</v>
      </c>
      <c r="U278" s="1">
        <v>100010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</row>
    <row r="279" spans="1:29" x14ac:dyDescent="0.3">
      <c r="A279" s="29">
        <v>43015611</v>
      </c>
      <c r="B279" s="27" t="s">
        <v>166</v>
      </c>
      <c r="C279" s="27" t="s">
        <v>150</v>
      </c>
      <c r="D279" s="27" t="s">
        <v>167</v>
      </c>
      <c r="E279" s="8">
        <v>2000107</v>
      </c>
      <c r="F279" s="7" t="str">
        <f>IFERROR(_xlfn.XLOOKUP(E:E,[1]Buff!$A:$A,[1]Buff!$E:$E),"None")</f>
        <v>에르제베트 공증</v>
      </c>
      <c r="G279" s="1">
        <v>10101</v>
      </c>
      <c r="H279" s="1" t="s">
        <v>38</v>
      </c>
      <c r="I279" s="1" t="s">
        <v>38</v>
      </c>
      <c r="J279" s="1">
        <v>100000</v>
      </c>
      <c r="K279" s="8">
        <v>30000</v>
      </c>
      <c r="L279" s="8">
        <v>1001</v>
      </c>
      <c r="M279" s="8">
        <v>0</v>
      </c>
      <c r="N279" s="8">
        <v>0</v>
      </c>
      <c r="O279" s="8">
        <v>0</v>
      </c>
      <c r="P279" s="8">
        <v>0</v>
      </c>
      <c r="Q279" s="8">
        <v>0</v>
      </c>
      <c r="R279" s="8">
        <v>0</v>
      </c>
      <c r="S279" s="8">
        <v>0</v>
      </c>
      <c r="T279" s="37">
        <v>-1</v>
      </c>
      <c r="U279" s="1">
        <v>100015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</row>
    <row r="280" spans="1:29" x14ac:dyDescent="0.3">
      <c r="A280" s="29">
        <v>43015621</v>
      </c>
      <c r="B280" s="27" t="s">
        <v>166</v>
      </c>
      <c r="C280" s="27" t="s">
        <v>150</v>
      </c>
      <c r="D280" s="27" t="s">
        <v>167</v>
      </c>
      <c r="E280" s="8">
        <v>2000107</v>
      </c>
      <c r="F280" s="7" t="str">
        <f>IFERROR(_xlfn.XLOOKUP(E:E,[1]Buff!$A:$A,[1]Buff!$E:$E),"None")</f>
        <v>에르제베트 공증</v>
      </c>
      <c r="G280" s="1">
        <v>10101</v>
      </c>
      <c r="H280" s="1" t="s">
        <v>38</v>
      </c>
      <c r="I280" s="1" t="s">
        <v>38</v>
      </c>
      <c r="J280" s="1">
        <v>100000</v>
      </c>
      <c r="K280" s="8">
        <v>30000</v>
      </c>
      <c r="L280" s="8">
        <v>1001</v>
      </c>
      <c r="M280" s="8">
        <v>0</v>
      </c>
      <c r="N280" s="8">
        <v>0</v>
      </c>
      <c r="O280" s="8">
        <v>0</v>
      </c>
      <c r="P280" s="8">
        <v>0</v>
      </c>
      <c r="Q280" s="8">
        <v>0</v>
      </c>
      <c r="R280" s="8">
        <v>0</v>
      </c>
      <c r="S280" s="8">
        <v>0</v>
      </c>
      <c r="T280" s="37">
        <v>-1</v>
      </c>
      <c r="U280" s="1">
        <v>100015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</row>
    <row r="281" spans="1:29" s="11" customFormat="1" x14ac:dyDescent="0.3">
      <c r="A281" s="66">
        <v>13012411</v>
      </c>
      <c r="B281" s="31" t="s">
        <v>215</v>
      </c>
      <c r="C281" s="31" t="s">
        <v>151</v>
      </c>
      <c r="D281" s="31" t="s">
        <v>30</v>
      </c>
      <c r="E281" s="10">
        <v>1000001</v>
      </c>
      <c r="F281" s="12" t="str">
        <f>IFERROR(_xlfn.XLOOKUP(E:E,[1]Buff!$A:$A,[1]Buff!$E:$E),"None")</f>
        <v>공용 대미지</v>
      </c>
      <c r="G281" s="11">
        <v>0</v>
      </c>
      <c r="H281" s="11" t="s">
        <v>38</v>
      </c>
      <c r="I281" s="11" t="s">
        <v>38</v>
      </c>
      <c r="J281" s="11">
        <v>100000</v>
      </c>
      <c r="K281" s="10">
        <v>170000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38">
        <v>0</v>
      </c>
      <c r="U281" s="11">
        <v>130124</v>
      </c>
      <c r="V281" s="11">
        <v>0</v>
      </c>
      <c r="W281" s="11">
        <v>0</v>
      </c>
      <c r="X281" s="11">
        <v>0</v>
      </c>
      <c r="Y281" s="11">
        <v>0</v>
      </c>
      <c r="Z281" s="11">
        <v>0</v>
      </c>
      <c r="AA281" s="11">
        <v>0</v>
      </c>
      <c r="AB281" s="11">
        <v>0</v>
      </c>
      <c r="AC281" s="11">
        <v>0</v>
      </c>
    </row>
    <row r="282" spans="1:29" x14ac:dyDescent="0.3">
      <c r="A282" s="29">
        <v>23012411</v>
      </c>
      <c r="B282" s="27" t="s">
        <v>154</v>
      </c>
      <c r="C282" s="27" t="s">
        <v>150</v>
      </c>
      <c r="D282" s="27" t="s">
        <v>33</v>
      </c>
      <c r="E282" s="8">
        <v>1000002</v>
      </c>
      <c r="F282" s="7" t="str">
        <f>IFERROR(_xlfn.XLOOKUP(E:E,[1]Buff!$A:$A,[1]Buff!$E:$E),"None")</f>
        <v>액티브 대미지</v>
      </c>
      <c r="G282" s="1">
        <v>0</v>
      </c>
      <c r="H282" s="1" t="s">
        <v>38</v>
      </c>
      <c r="I282" s="1" t="s">
        <v>38</v>
      </c>
      <c r="J282" s="1">
        <v>100000</v>
      </c>
      <c r="K282" s="8">
        <v>190000</v>
      </c>
      <c r="L282" s="8">
        <v>0</v>
      </c>
      <c r="M282" s="8">
        <v>0</v>
      </c>
      <c r="N282" s="8">
        <v>0</v>
      </c>
      <c r="O282" s="8">
        <v>0</v>
      </c>
      <c r="P282" s="8">
        <v>0</v>
      </c>
      <c r="Q282" s="8">
        <v>0</v>
      </c>
      <c r="R282" s="8">
        <v>0</v>
      </c>
      <c r="S282" s="8">
        <v>0</v>
      </c>
      <c r="T282" s="37">
        <v>0</v>
      </c>
      <c r="U282" s="1">
        <v>230124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</row>
    <row r="283" spans="1:29" x14ac:dyDescent="0.3">
      <c r="A283" s="29">
        <v>23012412</v>
      </c>
      <c r="B283" s="27" t="s">
        <v>154</v>
      </c>
      <c r="C283" s="27" t="s">
        <v>150</v>
      </c>
      <c r="D283" s="27" t="s">
        <v>33</v>
      </c>
      <c r="E283" s="8">
        <v>3002601</v>
      </c>
      <c r="F283" s="7" t="str">
        <f>IFERROR(_xlfn.XLOOKUP(E:E,[1]Buff!$A:$A,[1]Buff!$E:$E),"None")</f>
        <v>기절</v>
      </c>
      <c r="G283" s="1">
        <v>0</v>
      </c>
      <c r="H283" s="1" t="s">
        <v>38</v>
      </c>
      <c r="I283" s="1" t="s">
        <v>38</v>
      </c>
      <c r="J283" s="1">
        <v>30000</v>
      </c>
      <c r="K283" s="8">
        <v>0</v>
      </c>
      <c r="L283" s="8">
        <v>0</v>
      </c>
      <c r="M283" s="8">
        <v>0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S283" s="8">
        <v>0</v>
      </c>
      <c r="T283" s="37">
        <v>1</v>
      </c>
      <c r="U283" s="1">
        <v>0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</row>
    <row r="284" spans="1:29" x14ac:dyDescent="0.3">
      <c r="A284" s="29">
        <v>23012421</v>
      </c>
      <c r="B284" s="27" t="s">
        <v>154</v>
      </c>
      <c r="C284" s="27" t="s">
        <v>150</v>
      </c>
      <c r="D284" s="27" t="s">
        <v>33</v>
      </c>
      <c r="E284" s="8">
        <v>1000002</v>
      </c>
      <c r="F284" s="7" t="str">
        <f>IFERROR(_xlfn.XLOOKUP(E:E,[1]Buff!$A:$A,[1]Buff!$E:$E),"None")</f>
        <v>액티브 대미지</v>
      </c>
      <c r="G284" s="1">
        <v>0</v>
      </c>
      <c r="H284" s="1" t="s">
        <v>38</v>
      </c>
      <c r="I284" s="1" t="s">
        <v>38</v>
      </c>
      <c r="J284" s="1">
        <v>100000</v>
      </c>
      <c r="K284" s="8">
        <v>190000</v>
      </c>
      <c r="L284" s="8">
        <v>0</v>
      </c>
      <c r="M284" s="8">
        <v>0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37">
        <v>0</v>
      </c>
      <c r="U284" s="1">
        <v>230124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</row>
    <row r="285" spans="1:29" x14ac:dyDescent="0.3">
      <c r="A285" s="29">
        <v>23012422</v>
      </c>
      <c r="B285" s="27" t="s">
        <v>154</v>
      </c>
      <c r="C285" s="27" t="s">
        <v>150</v>
      </c>
      <c r="D285" s="27" t="s">
        <v>33</v>
      </c>
      <c r="E285" s="8">
        <v>3002601</v>
      </c>
      <c r="F285" s="7" t="str">
        <f>IFERROR(_xlfn.XLOOKUP(E:E,[1]Buff!$A:$A,[1]Buff!$E:$E),"None")</f>
        <v>기절</v>
      </c>
      <c r="G285" s="1">
        <v>0</v>
      </c>
      <c r="H285" s="1" t="s">
        <v>38</v>
      </c>
      <c r="I285" s="1" t="s">
        <v>38</v>
      </c>
      <c r="J285" s="1">
        <v>30000</v>
      </c>
      <c r="K285" s="8">
        <v>0</v>
      </c>
      <c r="L285" s="8">
        <v>0</v>
      </c>
      <c r="M285" s="8">
        <v>0</v>
      </c>
      <c r="N285" s="8">
        <v>0</v>
      </c>
      <c r="O285" s="8">
        <v>0</v>
      </c>
      <c r="P285" s="8">
        <v>0</v>
      </c>
      <c r="Q285" s="8">
        <v>0</v>
      </c>
      <c r="R285" s="8">
        <v>0</v>
      </c>
      <c r="S285" s="8">
        <v>0</v>
      </c>
      <c r="T285" s="37">
        <v>1</v>
      </c>
      <c r="U285" s="1">
        <v>0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</row>
    <row r="286" spans="1:29" x14ac:dyDescent="0.3">
      <c r="A286" s="29">
        <v>33012411</v>
      </c>
      <c r="B286" s="27" t="s">
        <v>154</v>
      </c>
      <c r="C286" s="27" t="s">
        <v>150</v>
      </c>
      <c r="D286" s="27" t="s">
        <v>140</v>
      </c>
      <c r="E286" s="8">
        <v>1000003</v>
      </c>
      <c r="F286" s="7" t="str">
        <f>IFERROR(_xlfn.XLOOKUP(E:E,[1]Buff!$A:$A,[1]Buff!$E:$E),"None")</f>
        <v>얼티밋 대미지</v>
      </c>
      <c r="G286" s="1">
        <v>0</v>
      </c>
      <c r="H286" s="1" t="s">
        <v>38</v>
      </c>
      <c r="I286" s="1" t="s">
        <v>38</v>
      </c>
      <c r="J286" s="1">
        <v>100000</v>
      </c>
      <c r="K286" s="8">
        <v>20000</v>
      </c>
      <c r="L286" s="8">
        <v>0</v>
      </c>
      <c r="M286" s="8">
        <v>0</v>
      </c>
      <c r="N286" s="8">
        <v>0</v>
      </c>
      <c r="O286" s="8">
        <v>0</v>
      </c>
      <c r="P286" s="8">
        <v>0</v>
      </c>
      <c r="Q286" s="8">
        <v>0</v>
      </c>
      <c r="R286" s="8">
        <v>0</v>
      </c>
      <c r="S286" s="8">
        <v>0</v>
      </c>
      <c r="T286" s="37">
        <v>0</v>
      </c>
      <c r="U286" s="1">
        <v>330124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</row>
    <row r="287" spans="1:29" x14ac:dyDescent="0.3">
      <c r="A287" s="29">
        <v>33012421</v>
      </c>
      <c r="B287" s="27" t="s">
        <v>154</v>
      </c>
      <c r="C287" s="27" t="s">
        <v>150</v>
      </c>
      <c r="D287" s="27" t="s">
        <v>140</v>
      </c>
      <c r="E287" s="8">
        <v>1000003</v>
      </c>
      <c r="F287" s="7" t="str">
        <f>IFERROR(_xlfn.XLOOKUP(E:E,[1]Buff!$A:$A,[1]Buff!$E:$E),"None")</f>
        <v>얼티밋 대미지</v>
      </c>
      <c r="G287" s="1">
        <v>0</v>
      </c>
      <c r="H287" s="1" t="s">
        <v>38</v>
      </c>
      <c r="I287" s="1" t="s">
        <v>38</v>
      </c>
      <c r="J287" s="1">
        <v>100000</v>
      </c>
      <c r="K287" s="8">
        <v>20000</v>
      </c>
      <c r="L287" s="8">
        <v>0</v>
      </c>
      <c r="M287" s="8">
        <v>0</v>
      </c>
      <c r="N287" s="8">
        <v>0</v>
      </c>
      <c r="O287" s="8">
        <v>0</v>
      </c>
      <c r="P287" s="8">
        <v>0</v>
      </c>
      <c r="Q287" s="8">
        <v>0</v>
      </c>
      <c r="R287" s="8">
        <v>0</v>
      </c>
      <c r="S287" s="8">
        <v>0</v>
      </c>
      <c r="T287" s="37">
        <v>0</v>
      </c>
      <c r="U287" s="1">
        <v>330124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</row>
    <row r="288" spans="1:29" x14ac:dyDescent="0.3">
      <c r="A288" s="29">
        <v>33012431</v>
      </c>
      <c r="B288" s="27" t="s">
        <v>154</v>
      </c>
      <c r="C288" s="27" t="s">
        <v>150</v>
      </c>
      <c r="D288" s="27" t="s">
        <v>140</v>
      </c>
      <c r="E288" s="8">
        <v>1000003</v>
      </c>
      <c r="F288" s="7" t="str">
        <f>IFERROR(_xlfn.XLOOKUP(E:E,[1]Buff!$A:$A,[1]Buff!$E:$E),"None")</f>
        <v>얼티밋 대미지</v>
      </c>
      <c r="G288" s="1">
        <v>0</v>
      </c>
      <c r="H288" s="1" t="s">
        <v>38</v>
      </c>
      <c r="I288" s="1" t="s">
        <v>38</v>
      </c>
      <c r="J288" s="1">
        <v>100000</v>
      </c>
      <c r="K288" s="8">
        <v>20000</v>
      </c>
      <c r="L288" s="8">
        <v>0</v>
      </c>
      <c r="M288" s="8">
        <v>0</v>
      </c>
      <c r="N288" s="8">
        <v>0</v>
      </c>
      <c r="O288" s="8">
        <v>0</v>
      </c>
      <c r="P288" s="8">
        <v>0</v>
      </c>
      <c r="Q288" s="8">
        <v>0</v>
      </c>
      <c r="R288" s="8">
        <v>0</v>
      </c>
      <c r="S288" s="8">
        <v>0</v>
      </c>
      <c r="T288" s="37">
        <v>0</v>
      </c>
      <c r="U288" s="1">
        <v>330124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</row>
    <row r="289" spans="1:29" x14ac:dyDescent="0.3">
      <c r="A289" s="29">
        <v>33012412</v>
      </c>
      <c r="B289" s="27" t="s">
        <v>154</v>
      </c>
      <c r="C289" s="27" t="s">
        <v>150</v>
      </c>
      <c r="D289" s="27" t="s">
        <v>140</v>
      </c>
      <c r="E289" s="8">
        <v>2005302</v>
      </c>
      <c r="F289" s="7" t="str">
        <f>IFERROR(_xlfn.XLOOKUP(E:E,[1]Buff!$A:$A,[1]Buff!$E:$E),"None")</f>
        <v>이브 치확, 치피증</v>
      </c>
      <c r="G289" s="1">
        <v>0</v>
      </c>
      <c r="H289" s="1" t="s">
        <v>38</v>
      </c>
      <c r="I289" s="1" t="s">
        <v>38</v>
      </c>
      <c r="J289" s="1">
        <v>100000</v>
      </c>
      <c r="K289" s="8">
        <v>10000</v>
      </c>
      <c r="L289" s="8">
        <v>1009</v>
      </c>
      <c r="M289" s="8">
        <v>0</v>
      </c>
      <c r="N289" s="8">
        <v>30000</v>
      </c>
      <c r="O289" s="8">
        <v>1010</v>
      </c>
      <c r="P289" s="8">
        <v>0</v>
      </c>
      <c r="Q289" s="8">
        <v>0</v>
      </c>
      <c r="R289" s="8">
        <v>0</v>
      </c>
      <c r="S289" s="8">
        <v>0</v>
      </c>
      <c r="T289" s="37">
        <v>2</v>
      </c>
      <c r="U289" s="1">
        <v>100010</v>
      </c>
      <c r="V289" s="1">
        <v>0</v>
      </c>
      <c r="W289" s="1">
        <v>0</v>
      </c>
      <c r="X289" s="1">
        <v>100020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</row>
    <row r="290" spans="1:29" x14ac:dyDescent="0.3">
      <c r="A290" s="29">
        <v>33012422</v>
      </c>
      <c r="B290" s="27" t="s">
        <v>154</v>
      </c>
      <c r="C290" s="27" t="s">
        <v>150</v>
      </c>
      <c r="D290" s="27" t="s">
        <v>140</v>
      </c>
      <c r="E290" s="8">
        <v>2005302</v>
      </c>
      <c r="F290" s="7" t="str">
        <f>IFERROR(_xlfn.XLOOKUP(E:E,[1]Buff!$A:$A,[1]Buff!$E:$E),"None")</f>
        <v>이브 치확, 치피증</v>
      </c>
      <c r="G290" s="1">
        <v>0</v>
      </c>
      <c r="H290" s="1" t="s">
        <v>38</v>
      </c>
      <c r="I290" s="1" t="s">
        <v>38</v>
      </c>
      <c r="J290" s="1">
        <v>100000</v>
      </c>
      <c r="K290" s="8">
        <v>10000</v>
      </c>
      <c r="L290" s="8">
        <v>1009</v>
      </c>
      <c r="M290" s="8">
        <v>0</v>
      </c>
      <c r="N290" s="8">
        <v>30000</v>
      </c>
      <c r="O290" s="8">
        <v>1010</v>
      </c>
      <c r="P290" s="8">
        <v>0</v>
      </c>
      <c r="Q290" s="8">
        <v>0</v>
      </c>
      <c r="R290" s="8">
        <v>0</v>
      </c>
      <c r="S290" s="8">
        <v>0</v>
      </c>
      <c r="T290" s="37">
        <v>2</v>
      </c>
      <c r="U290" s="1">
        <v>100010</v>
      </c>
      <c r="V290" s="1">
        <v>0</v>
      </c>
      <c r="W290" s="1">
        <v>0</v>
      </c>
      <c r="X290" s="1">
        <v>100020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</row>
    <row r="291" spans="1:29" x14ac:dyDescent="0.3">
      <c r="A291" s="29">
        <v>33012432</v>
      </c>
      <c r="B291" s="27" t="s">
        <v>154</v>
      </c>
      <c r="C291" s="27" t="s">
        <v>150</v>
      </c>
      <c r="D291" s="27" t="s">
        <v>140</v>
      </c>
      <c r="E291" s="8">
        <v>2005302</v>
      </c>
      <c r="F291" s="7" t="str">
        <f>IFERROR(_xlfn.XLOOKUP(E:E,[1]Buff!$A:$A,[1]Buff!$E:$E),"None")</f>
        <v>이브 치확, 치피증</v>
      </c>
      <c r="G291" s="1">
        <v>0</v>
      </c>
      <c r="H291" s="1" t="s">
        <v>38</v>
      </c>
      <c r="I291" s="1" t="s">
        <v>38</v>
      </c>
      <c r="J291" s="1">
        <v>100000</v>
      </c>
      <c r="K291" s="8">
        <v>10000</v>
      </c>
      <c r="L291" s="8">
        <v>1009</v>
      </c>
      <c r="M291" s="8">
        <v>0</v>
      </c>
      <c r="N291" s="8">
        <v>30000</v>
      </c>
      <c r="O291" s="8">
        <v>1010</v>
      </c>
      <c r="P291" s="8">
        <v>0</v>
      </c>
      <c r="Q291" s="8">
        <v>0</v>
      </c>
      <c r="R291" s="8">
        <v>0</v>
      </c>
      <c r="S291" s="8">
        <v>0</v>
      </c>
      <c r="T291" s="37">
        <v>2</v>
      </c>
      <c r="U291" s="1">
        <v>100010</v>
      </c>
      <c r="V291" s="1">
        <v>0</v>
      </c>
      <c r="W291" s="1">
        <v>0</v>
      </c>
      <c r="X291" s="1">
        <v>100020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</row>
    <row r="292" spans="1:29" x14ac:dyDescent="0.3">
      <c r="A292" s="29">
        <v>43012411</v>
      </c>
      <c r="B292" s="27" t="s">
        <v>154</v>
      </c>
      <c r="C292" s="27" t="s">
        <v>150</v>
      </c>
      <c r="D292" s="27" t="s">
        <v>167</v>
      </c>
      <c r="E292" s="8">
        <v>2004403</v>
      </c>
      <c r="F292" s="7" t="str">
        <f>IFERROR(_xlfn.XLOOKUP(E:E,[1]Buff!$A:$A,[1]Buff!$E:$E),"None")</f>
        <v>이브 패시브 회복</v>
      </c>
      <c r="G292" s="1">
        <v>10311</v>
      </c>
      <c r="H292" s="1" t="s">
        <v>38</v>
      </c>
      <c r="I292" s="1" t="s">
        <v>38</v>
      </c>
      <c r="J292" s="1">
        <v>100000</v>
      </c>
      <c r="K292" s="8">
        <v>10000</v>
      </c>
      <c r="L292" s="8">
        <v>0</v>
      </c>
      <c r="M292" s="8">
        <v>0</v>
      </c>
      <c r="N292" s="8">
        <v>0</v>
      </c>
      <c r="O292" s="8">
        <v>0</v>
      </c>
      <c r="P292" s="8">
        <v>0</v>
      </c>
      <c r="Q292" s="8">
        <v>0</v>
      </c>
      <c r="R292" s="8">
        <v>0</v>
      </c>
      <c r="S292" s="8">
        <v>0</v>
      </c>
      <c r="T292" s="37">
        <v>-1</v>
      </c>
      <c r="U292" s="1">
        <v>100005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</row>
    <row r="293" spans="1:29" x14ac:dyDescent="0.3">
      <c r="A293" s="29">
        <v>43012421</v>
      </c>
      <c r="B293" s="27" t="s">
        <v>154</v>
      </c>
      <c r="C293" s="27" t="s">
        <v>150</v>
      </c>
      <c r="D293" s="27" t="s">
        <v>167</v>
      </c>
      <c r="E293" s="8">
        <v>2004403</v>
      </c>
      <c r="F293" s="7" t="str">
        <f>IFERROR(_xlfn.XLOOKUP(E:E,[1]Buff!$A:$A,[1]Buff!$E:$E),"None")</f>
        <v>이브 패시브 회복</v>
      </c>
      <c r="G293" s="1">
        <v>10311</v>
      </c>
      <c r="H293" s="1" t="s">
        <v>38</v>
      </c>
      <c r="I293" s="1" t="s">
        <v>38</v>
      </c>
      <c r="J293" s="1">
        <v>100000</v>
      </c>
      <c r="K293" s="8">
        <v>10000</v>
      </c>
      <c r="L293" s="8">
        <v>0</v>
      </c>
      <c r="M293" s="8">
        <v>0</v>
      </c>
      <c r="N293" s="8">
        <v>0</v>
      </c>
      <c r="O293" s="8">
        <v>0</v>
      </c>
      <c r="P293" s="8">
        <v>0</v>
      </c>
      <c r="Q293" s="8">
        <v>0</v>
      </c>
      <c r="R293" s="8">
        <v>0</v>
      </c>
      <c r="S293" s="8">
        <v>0</v>
      </c>
      <c r="T293" s="37">
        <v>-1</v>
      </c>
      <c r="U293" s="1">
        <v>100005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</row>
    <row r="294" spans="1:29" s="11" customFormat="1" x14ac:dyDescent="0.3">
      <c r="A294" s="66">
        <v>13041211</v>
      </c>
      <c r="B294" s="31" t="s">
        <v>161</v>
      </c>
      <c r="C294" s="31" t="s">
        <v>151</v>
      </c>
      <c r="D294" s="31" t="s">
        <v>30</v>
      </c>
      <c r="E294" s="10">
        <v>1000001</v>
      </c>
      <c r="F294" s="12" t="str">
        <f>IFERROR(_xlfn.XLOOKUP(E:E,[1]Buff!$A:$A,[1]Buff!$E:$E),"None")</f>
        <v>공용 대미지</v>
      </c>
      <c r="G294" s="11">
        <v>0</v>
      </c>
      <c r="H294" s="11" t="s">
        <v>38</v>
      </c>
      <c r="I294" s="11" t="s">
        <v>38</v>
      </c>
      <c r="J294" s="11">
        <v>100000</v>
      </c>
      <c r="K294" s="10">
        <v>295000</v>
      </c>
      <c r="L294" s="10">
        <v>0</v>
      </c>
      <c r="M294" s="10">
        <v>0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  <c r="T294" s="38">
        <v>0</v>
      </c>
      <c r="U294" s="11">
        <v>130412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1">
        <v>0</v>
      </c>
    </row>
    <row r="295" spans="1:29" x14ac:dyDescent="0.3">
      <c r="A295" s="29">
        <v>23041211</v>
      </c>
      <c r="B295" s="27" t="s">
        <v>161</v>
      </c>
      <c r="C295" s="27" t="s">
        <v>150</v>
      </c>
      <c r="D295" s="27" t="s">
        <v>33</v>
      </c>
      <c r="E295" s="8">
        <v>1000012</v>
      </c>
      <c r="F295" s="7" t="str">
        <f>IFERROR(_xlfn.XLOOKUP(E:E,[1]Buff!$A:$A,[1]Buff!$E:$E),"None")</f>
        <v>체력 비례 대미지</v>
      </c>
      <c r="G295" s="1">
        <v>0</v>
      </c>
      <c r="H295" s="1" t="s">
        <v>38</v>
      </c>
      <c r="I295" s="1" t="s">
        <v>38</v>
      </c>
      <c r="J295" s="1">
        <v>100000</v>
      </c>
      <c r="K295" s="8">
        <v>20000</v>
      </c>
      <c r="L295" s="8">
        <v>0</v>
      </c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0</v>
      </c>
      <c r="S295" s="8">
        <v>0</v>
      </c>
      <c r="T295" s="37">
        <v>0</v>
      </c>
      <c r="U295" s="1">
        <v>0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</row>
    <row r="296" spans="1:29" x14ac:dyDescent="0.3">
      <c r="A296" s="29">
        <v>23041213</v>
      </c>
      <c r="B296" s="27" t="s">
        <v>161</v>
      </c>
      <c r="C296" s="27" t="s">
        <v>150</v>
      </c>
      <c r="D296" s="27" t="s">
        <v>33</v>
      </c>
      <c r="E296" s="8">
        <v>2001502</v>
      </c>
      <c r="F296" s="7" t="str">
        <f>IFERROR(_xlfn.XLOOKUP(E:E,[1]Buff!$A:$A,[1]Buff!$E:$E),"None")</f>
        <v>카인 얼티밋 대미지 증가(중첩)</v>
      </c>
      <c r="G296" s="1">
        <v>0</v>
      </c>
      <c r="H296" s="1" t="s">
        <v>38</v>
      </c>
      <c r="I296" s="1" t="s">
        <v>38</v>
      </c>
      <c r="J296" s="1">
        <v>100000</v>
      </c>
      <c r="K296" s="8">
        <v>50000</v>
      </c>
      <c r="L296" s="8">
        <v>1036</v>
      </c>
      <c r="M296" s="8">
        <v>0</v>
      </c>
      <c r="N296" s="8">
        <v>0</v>
      </c>
      <c r="O296" s="8">
        <v>0</v>
      </c>
      <c r="P296" s="8">
        <v>0</v>
      </c>
      <c r="Q296" s="8">
        <v>0</v>
      </c>
      <c r="R296" s="8">
        <v>0</v>
      </c>
      <c r="S296" s="8">
        <v>0</v>
      </c>
      <c r="T296" s="37">
        <v>5</v>
      </c>
      <c r="U296" s="1">
        <v>0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</row>
    <row r="297" spans="1:29" x14ac:dyDescent="0.3">
      <c r="A297" s="8">
        <v>23041221</v>
      </c>
      <c r="B297" s="27" t="s">
        <v>161</v>
      </c>
      <c r="C297" s="27" t="s">
        <v>150</v>
      </c>
      <c r="D297" s="27" t="s">
        <v>33</v>
      </c>
      <c r="E297" s="8">
        <v>1000012</v>
      </c>
      <c r="F297" s="7" t="str">
        <f>IFERROR(_xlfn.XLOOKUP(E:E,[1]Buff!$A:$A,[1]Buff!$E:$E),"None")</f>
        <v>체력 비례 대미지</v>
      </c>
      <c r="G297" s="1">
        <v>0</v>
      </c>
      <c r="H297" s="1" t="s">
        <v>38</v>
      </c>
      <c r="I297" s="1" t="s">
        <v>38</v>
      </c>
      <c r="J297" s="1">
        <v>100000</v>
      </c>
      <c r="K297" s="8">
        <v>20000</v>
      </c>
      <c r="L297" s="8">
        <v>0</v>
      </c>
      <c r="M297" s="8">
        <v>0</v>
      </c>
      <c r="N297" s="8">
        <v>0</v>
      </c>
      <c r="O297" s="8">
        <v>0</v>
      </c>
      <c r="P297" s="8">
        <v>0</v>
      </c>
      <c r="Q297" s="8">
        <v>0</v>
      </c>
      <c r="R297" s="8">
        <v>0</v>
      </c>
      <c r="S297" s="8">
        <v>0</v>
      </c>
      <c r="T297" s="37">
        <v>0</v>
      </c>
      <c r="U297" s="1">
        <v>0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</row>
    <row r="298" spans="1:29" x14ac:dyDescent="0.3">
      <c r="A298" s="8">
        <v>23041223</v>
      </c>
      <c r="B298" s="27" t="s">
        <v>161</v>
      </c>
      <c r="C298" s="27" t="s">
        <v>150</v>
      </c>
      <c r="D298" s="27" t="s">
        <v>33</v>
      </c>
      <c r="E298" s="8">
        <v>2001502</v>
      </c>
      <c r="F298" s="7" t="str">
        <f>IFERROR(_xlfn.XLOOKUP(E:E,[1]Buff!$A:$A,[1]Buff!$E:$E),"None")</f>
        <v>카인 얼티밋 대미지 증가(중첩)</v>
      </c>
      <c r="G298" s="1">
        <v>0</v>
      </c>
      <c r="H298" s="1" t="s">
        <v>38</v>
      </c>
      <c r="I298" s="1" t="s">
        <v>38</v>
      </c>
      <c r="J298" s="1">
        <v>100000</v>
      </c>
      <c r="K298" s="8">
        <v>50000</v>
      </c>
      <c r="L298" s="8">
        <v>1036</v>
      </c>
      <c r="M298" s="8">
        <v>0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S298" s="8">
        <v>0</v>
      </c>
      <c r="T298" s="37">
        <v>5</v>
      </c>
      <c r="U298" s="1">
        <v>0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</row>
    <row r="299" spans="1:29" x14ac:dyDescent="0.3">
      <c r="A299" s="8">
        <v>33041211</v>
      </c>
      <c r="B299" s="27" t="s">
        <v>161</v>
      </c>
      <c r="C299" s="27" t="s">
        <v>150</v>
      </c>
      <c r="D299" s="27" t="s">
        <v>140</v>
      </c>
      <c r="E299" s="8">
        <v>1000003</v>
      </c>
      <c r="F299" s="7" t="str">
        <f>IFERROR(_xlfn.XLOOKUP(E:E,[1]Buff!$A:$A,[1]Buff!$E:$E),"None")</f>
        <v>얼티밋 대미지</v>
      </c>
      <c r="G299" s="1">
        <v>0</v>
      </c>
      <c r="H299" s="1" t="s">
        <v>38</v>
      </c>
      <c r="I299" s="1" t="s">
        <v>38</v>
      </c>
      <c r="J299" s="1">
        <v>100000</v>
      </c>
      <c r="K299" s="8">
        <v>130000</v>
      </c>
      <c r="L299" s="8">
        <v>0</v>
      </c>
      <c r="M299" s="8">
        <v>0</v>
      </c>
      <c r="N299" s="8">
        <v>0</v>
      </c>
      <c r="O299" s="8">
        <v>0</v>
      </c>
      <c r="P299" s="8">
        <v>0</v>
      </c>
      <c r="Q299" s="8">
        <v>0</v>
      </c>
      <c r="R299" s="8">
        <v>0</v>
      </c>
      <c r="S299" s="8">
        <v>0</v>
      </c>
      <c r="T299" s="37">
        <v>0</v>
      </c>
      <c r="U299" s="1">
        <v>330412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</row>
    <row r="300" spans="1:29" x14ac:dyDescent="0.3">
      <c r="A300" s="8">
        <v>33041221</v>
      </c>
      <c r="B300" s="27" t="s">
        <v>161</v>
      </c>
      <c r="C300" s="27" t="s">
        <v>150</v>
      </c>
      <c r="D300" s="27" t="s">
        <v>140</v>
      </c>
      <c r="E300" s="8">
        <v>1000003</v>
      </c>
      <c r="F300" s="7" t="str">
        <f>IFERROR(_xlfn.XLOOKUP(E:E,[1]Buff!$A:$A,[1]Buff!$E:$E),"None")</f>
        <v>얼티밋 대미지</v>
      </c>
      <c r="G300" s="1">
        <v>0</v>
      </c>
      <c r="H300" s="1" t="s">
        <v>38</v>
      </c>
      <c r="I300" s="1" t="s">
        <v>38</v>
      </c>
      <c r="J300" s="1">
        <v>100000</v>
      </c>
      <c r="K300" s="8">
        <v>130000</v>
      </c>
      <c r="L300" s="8">
        <v>0</v>
      </c>
      <c r="M300" s="8">
        <v>0</v>
      </c>
      <c r="N300" s="8">
        <v>0</v>
      </c>
      <c r="O300" s="8">
        <v>0</v>
      </c>
      <c r="P300" s="8">
        <v>0</v>
      </c>
      <c r="Q300" s="8">
        <v>0</v>
      </c>
      <c r="R300" s="8">
        <v>0</v>
      </c>
      <c r="S300" s="8">
        <v>0</v>
      </c>
      <c r="T300" s="37">
        <v>0</v>
      </c>
      <c r="U300" s="1">
        <v>330412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</row>
    <row r="301" spans="1:29" x14ac:dyDescent="0.3">
      <c r="A301" s="8">
        <v>33041231</v>
      </c>
      <c r="B301" s="27" t="s">
        <v>161</v>
      </c>
      <c r="C301" s="27" t="s">
        <v>150</v>
      </c>
      <c r="D301" s="27" t="s">
        <v>140</v>
      </c>
      <c r="E301" s="8">
        <v>1000003</v>
      </c>
      <c r="F301" s="7" t="str">
        <f>IFERROR(_xlfn.XLOOKUP(E:E,[1]Buff!$A:$A,[1]Buff!$E:$E),"None")</f>
        <v>얼티밋 대미지</v>
      </c>
      <c r="G301" s="1">
        <v>0</v>
      </c>
      <c r="H301" s="1" t="s">
        <v>38</v>
      </c>
      <c r="I301" s="1" t="s">
        <v>38</v>
      </c>
      <c r="J301" s="1">
        <v>100000</v>
      </c>
      <c r="K301" s="8">
        <v>130000</v>
      </c>
      <c r="L301" s="8">
        <v>0</v>
      </c>
      <c r="M301" s="8">
        <v>0</v>
      </c>
      <c r="N301" s="8">
        <v>0</v>
      </c>
      <c r="O301" s="8">
        <v>0</v>
      </c>
      <c r="P301" s="8">
        <v>0</v>
      </c>
      <c r="Q301" s="8">
        <v>0</v>
      </c>
      <c r="R301" s="8">
        <v>0</v>
      </c>
      <c r="S301" s="8">
        <v>0</v>
      </c>
      <c r="T301" s="37">
        <v>0</v>
      </c>
      <c r="U301" s="1">
        <v>330412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</row>
    <row r="302" spans="1:29" x14ac:dyDescent="0.3">
      <c r="A302" s="8">
        <v>43041211</v>
      </c>
      <c r="B302" s="27" t="s">
        <v>161</v>
      </c>
      <c r="C302" s="27" t="s">
        <v>150</v>
      </c>
      <c r="D302" s="27" t="s">
        <v>167</v>
      </c>
      <c r="E302" s="42">
        <v>2006302</v>
      </c>
      <c r="F302" s="7" t="str">
        <f>IFERROR(_xlfn.XLOOKUP(E:E,[1]Buff!$A:$A,[1]Buff!$E:$E),"None")</f>
        <v>카인 패시브 체력낮을수록 얼티밋 증가</v>
      </c>
      <c r="G302" s="1">
        <v>0</v>
      </c>
      <c r="H302" s="1" t="s">
        <v>38</v>
      </c>
      <c r="I302" s="1" t="s">
        <v>38</v>
      </c>
      <c r="J302" s="1">
        <v>100000</v>
      </c>
      <c r="K302" s="8">
        <v>1000</v>
      </c>
      <c r="L302" s="8">
        <v>1036</v>
      </c>
      <c r="M302" s="8">
        <v>0</v>
      </c>
      <c r="N302" s="8">
        <v>0</v>
      </c>
      <c r="O302" s="8">
        <v>0</v>
      </c>
      <c r="P302" s="8">
        <v>0</v>
      </c>
      <c r="Q302" s="8">
        <v>0</v>
      </c>
      <c r="R302" s="8">
        <v>0</v>
      </c>
      <c r="S302" s="8">
        <v>0</v>
      </c>
      <c r="T302" s="37">
        <v>-1</v>
      </c>
      <c r="U302" s="1">
        <v>0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</row>
    <row r="303" spans="1:29" x14ac:dyDescent="0.3">
      <c r="A303" s="8">
        <v>43041221</v>
      </c>
      <c r="B303" s="27" t="s">
        <v>161</v>
      </c>
      <c r="C303" s="27" t="s">
        <v>150</v>
      </c>
      <c r="D303" s="27" t="s">
        <v>167</v>
      </c>
      <c r="E303" s="42">
        <v>2006302</v>
      </c>
      <c r="F303" s="7" t="str">
        <f>IFERROR(_xlfn.XLOOKUP(E:E,[1]Buff!$A:$A,[1]Buff!$E:$E),"None")</f>
        <v>카인 패시브 체력낮을수록 얼티밋 증가</v>
      </c>
      <c r="G303" s="1">
        <v>0</v>
      </c>
      <c r="H303" s="1" t="s">
        <v>38</v>
      </c>
      <c r="I303" s="1" t="s">
        <v>38</v>
      </c>
      <c r="J303" s="1">
        <v>100000</v>
      </c>
      <c r="K303" s="8">
        <v>1000</v>
      </c>
      <c r="L303" s="8">
        <v>1036</v>
      </c>
      <c r="M303" s="8">
        <v>0</v>
      </c>
      <c r="N303" s="8">
        <v>0</v>
      </c>
      <c r="O303" s="8">
        <v>0</v>
      </c>
      <c r="P303" s="8">
        <v>0</v>
      </c>
      <c r="Q303" s="8">
        <v>0</v>
      </c>
      <c r="R303" s="8">
        <v>0</v>
      </c>
      <c r="S303" s="8">
        <v>0</v>
      </c>
      <c r="T303" s="37">
        <v>-1</v>
      </c>
      <c r="U303" s="1">
        <v>0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</row>
    <row r="304" spans="1:29" s="11" customFormat="1" x14ac:dyDescent="0.3">
      <c r="A304" s="10">
        <v>13048611</v>
      </c>
      <c r="B304" s="31" t="s">
        <v>148</v>
      </c>
      <c r="C304" s="31" t="s">
        <v>151</v>
      </c>
      <c r="D304" s="31" t="s">
        <v>30</v>
      </c>
      <c r="E304" s="10">
        <v>1000001</v>
      </c>
      <c r="F304" s="12" t="str">
        <f>IFERROR(_xlfn.XLOOKUP(E:E,[1]Buff!$A:$A,[1]Buff!$E:$E),"None")</f>
        <v>공용 대미지</v>
      </c>
      <c r="G304" s="11">
        <v>0</v>
      </c>
      <c r="H304" s="11" t="s">
        <v>38</v>
      </c>
      <c r="I304" s="11" t="s">
        <v>38</v>
      </c>
      <c r="J304" s="11">
        <v>100000</v>
      </c>
      <c r="K304" s="10">
        <v>295000</v>
      </c>
      <c r="L304" s="10">
        <v>0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38">
        <v>0</v>
      </c>
      <c r="U304" s="11">
        <v>130486</v>
      </c>
      <c r="V304" s="11">
        <v>0</v>
      </c>
      <c r="W304" s="11">
        <v>0</v>
      </c>
      <c r="X304" s="11">
        <v>0</v>
      </c>
      <c r="Y304" s="11">
        <v>0</v>
      </c>
      <c r="Z304" s="11">
        <v>0</v>
      </c>
      <c r="AA304" s="11">
        <v>0</v>
      </c>
      <c r="AB304" s="11">
        <v>0</v>
      </c>
      <c r="AC304" s="11">
        <v>0</v>
      </c>
    </row>
    <row r="305" spans="1:29" x14ac:dyDescent="0.3">
      <c r="A305" s="8">
        <v>23048611</v>
      </c>
      <c r="B305" s="27" t="s">
        <v>148</v>
      </c>
      <c r="C305" s="27" t="s">
        <v>150</v>
      </c>
      <c r="D305" s="27" t="s">
        <v>33</v>
      </c>
      <c r="E305" s="8">
        <v>1000002</v>
      </c>
      <c r="F305" s="7" t="str">
        <f>IFERROR(_xlfn.XLOOKUP(E:E,[1]Buff!$A:$A,[1]Buff!$E:$E),"None")</f>
        <v>액티브 대미지</v>
      </c>
      <c r="G305" s="1">
        <v>0</v>
      </c>
      <c r="H305" s="1" t="s">
        <v>38</v>
      </c>
      <c r="I305" s="1" t="s">
        <v>38</v>
      </c>
      <c r="J305" s="1">
        <v>100000</v>
      </c>
      <c r="K305" s="8">
        <v>22000</v>
      </c>
      <c r="L305" s="8">
        <v>0</v>
      </c>
      <c r="M305" s="8">
        <v>0</v>
      </c>
      <c r="N305" s="8">
        <v>0</v>
      </c>
      <c r="O305" s="8">
        <v>0</v>
      </c>
      <c r="P305" s="8">
        <v>0</v>
      </c>
      <c r="Q305" s="8">
        <v>0</v>
      </c>
      <c r="R305" s="8">
        <v>0</v>
      </c>
      <c r="S305" s="8">
        <v>0</v>
      </c>
      <c r="T305" s="37">
        <v>0</v>
      </c>
      <c r="U305" s="1">
        <v>230486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</row>
    <row r="306" spans="1:29" x14ac:dyDescent="0.3">
      <c r="A306" s="8">
        <v>23048621</v>
      </c>
      <c r="B306" s="27" t="s">
        <v>148</v>
      </c>
      <c r="C306" s="27" t="s">
        <v>150</v>
      </c>
      <c r="D306" s="27" t="s">
        <v>33</v>
      </c>
      <c r="E306" s="8">
        <v>1000002</v>
      </c>
      <c r="F306" s="7" t="str">
        <f>IFERROR(_xlfn.XLOOKUP(E:E,[1]Buff!$A:$A,[1]Buff!$E:$E),"None")</f>
        <v>액티브 대미지</v>
      </c>
      <c r="G306" s="1">
        <v>0</v>
      </c>
      <c r="H306" s="1" t="s">
        <v>38</v>
      </c>
      <c r="I306" s="1" t="s">
        <v>38</v>
      </c>
      <c r="J306" s="1">
        <v>100000</v>
      </c>
      <c r="K306" s="8">
        <v>22000</v>
      </c>
      <c r="L306" s="8">
        <v>0</v>
      </c>
      <c r="M306" s="8">
        <v>0</v>
      </c>
      <c r="N306" s="8">
        <v>0</v>
      </c>
      <c r="O306" s="8">
        <v>0</v>
      </c>
      <c r="P306" s="8">
        <v>0</v>
      </c>
      <c r="Q306" s="8">
        <v>0</v>
      </c>
      <c r="R306" s="8">
        <v>0</v>
      </c>
      <c r="S306" s="8">
        <v>0</v>
      </c>
      <c r="T306" s="37">
        <v>0</v>
      </c>
      <c r="U306" s="1">
        <v>230486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</row>
    <row r="307" spans="1:29" x14ac:dyDescent="0.3">
      <c r="A307" s="8">
        <v>23048612</v>
      </c>
      <c r="B307" s="27" t="s">
        <v>148</v>
      </c>
      <c r="C307" s="27" t="s">
        <v>150</v>
      </c>
      <c r="D307" s="27" t="s">
        <v>33</v>
      </c>
      <c r="E307" s="8">
        <v>6000057</v>
      </c>
      <c r="F307" s="7" t="str">
        <f>IFERROR(_xlfn.XLOOKUP(E:E,[1]Buff!$A:$A,[1]Buff!$E:$E),"None")</f>
        <v>쿠바바 피해량 증가</v>
      </c>
      <c r="G307" s="1">
        <v>0</v>
      </c>
      <c r="H307" s="1" t="s">
        <v>38</v>
      </c>
      <c r="I307" s="1" t="s">
        <v>38</v>
      </c>
      <c r="J307" s="1">
        <v>100000</v>
      </c>
      <c r="K307" s="8">
        <v>9100101</v>
      </c>
      <c r="L307" s="8">
        <v>0</v>
      </c>
      <c r="M307" s="8">
        <v>0</v>
      </c>
      <c r="N307" s="8">
        <v>0</v>
      </c>
      <c r="O307" s="8">
        <v>0</v>
      </c>
      <c r="P307" s="8">
        <v>0</v>
      </c>
      <c r="Q307" s="8">
        <v>0</v>
      </c>
      <c r="R307" s="8">
        <v>0</v>
      </c>
      <c r="S307" s="8">
        <v>0</v>
      </c>
      <c r="T307" s="37">
        <v>5</v>
      </c>
      <c r="U307" s="1">
        <v>0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</row>
    <row r="308" spans="1:29" x14ac:dyDescent="0.3">
      <c r="A308" s="8">
        <v>23048622</v>
      </c>
      <c r="B308" s="27" t="s">
        <v>148</v>
      </c>
      <c r="C308" s="27" t="s">
        <v>150</v>
      </c>
      <c r="D308" s="27" t="s">
        <v>33</v>
      </c>
      <c r="E308" s="8">
        <v>6000057</v>
      </c>
      <c r="F308" s="7" t="str">
        <f>IFERROR(_xlfn.XLOOKUP(E:E,[1]Buff!$A:$A,[1]Buff!$E:$E),"None")</f>
        <v>쿠바바 피해량 증가</v>
      </c>
      <c r="G308" s="1">
        <v>0</v>
      </c>
      <c r="H308" s="1" t="s">
        <v>38</v>
      </c>
      <c r="I308" s="1" t="s">
        <v>38</v>
      </c>
      <c r="J308" s="1">
        <v>100000</v>
      </c>
      <c r="K308" s="8">
        <v>9100101</v>
      </c>
      <c r="L308" s="8">
        <v>0</v>
      </c>
      <c r="M308" s="8">
        <v>0</v>
      </c>
      <c r="N308" s="8">
        <v>0</v>
      </c>
      <c r="O308" s="8">
        <v>0</v>
      </c>
      <c r="P308" s="8">
        <v>0</v>
      </c>
      <c r="Q308" s="8">
        <v>0</v>
      </c>
      <c r="R308" s="8">
        <v>0</v>
      </c>
      <c r="S308" s="8">
        <v>0</v>
      </c>
      <c r="T308" s="37">
        <v>5</v>
      </c>
      <c r="U308" s="1">
        <v>0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</row>
    <row r="309" spans="1:29" x14ac:dyDescent="0.3">
      <c r="A309" s="8">
        <v>33048611</v>
      </c>
      <c r="B309" s="27" t="s">
        <v>148</v>
      </c>
      <c r="C309" s="27" t="s">
        <v>150</v>
      </c>
      <c r="D309" s="27" t="s">
        <v>140</v>
      </c>
      <c r="E309" s="8">
        <v>1000003</v>
      </c>
      <c r="F309" s="7" t="str">
        <f>IFERROR(_xlfn.XLOOKUP(E:E,[1]Buff!$A:$A,[1]Buff!$E:$E),"None")</f>
        <v>얼티밋 대미지</v>
      </c>
      <c r="G309" s="1">
        <v>0</v>
      </c>
      <c r="H309" s="1" t="s">
        <v>38</v>
      </c>
      <c r="I309" s="1" t="s">
        <v>38</v>
      </c>
      <c r="J309" s="1">
        <v>100000</v>
      </c>
      <c r="K309" s="8">
        <v>230000</v>
      </c>
      <c r="L309" s="8">
        <v>0</v>
      </c>
      <c r="M309" s="8">
        <v>0</v>
      </c>
      <c r="N309" s="8">
        <v>0</v>
      </c>
      <c r="O309" s="8">
        <v>0</v>
      </c>
      <c r="P309" s="8">
        <v>0</v>
      </c>
      <c r="Q309" s="8">
        <v>0</v>
      </c>
      <c r="R309" s="8">
        <v>0</v>
      </c>
      <c r="S309" s="8">
        <v>0</v>
      </c>
      <c r="T309" s="37">
        <v>0</v>
      </c>
      <c r="U309" s="1">
        <v>330486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</row>
    <row r="310" spans="1:29" x14ac:dyDescent="0.3">
      <c r="A310" s="8">
        <v>33048621</v>
      </c>
      <c r="B310" s="27" t="s">
        <v>148</v>
      </c>
      <c r="C310" s="27" t="s">
        <v>150</v>
      </c>
      <c r="D310" s="27" t="s">
        <v>140</v>
      </c>
      <c r="E310" s="8">
        <v>1000003</v>
      </c>
      <c r="F310" s="7" t="str">
        <f>IFERROR(_xlfn.XLOOKUP(E:E,[1]Buff!$A:$A,[1]Buff!$E:$E),"None")</f>
        <v>얼티밋 대미지</v>
      </c>
      <c r="G310" s="1">
        <v>0</v>
      </c>
      <c r="H310" s="1" t="s">
        <v>38</v>
      </c>
      <c r="I310" s="1" t="s">
        <v>38</v>
      </c>
      <c r="J310" s="1">
        <v>100000</v>
      </c>
      <c r="K310" s="8">
        <v>230000</v>
      </c>
      <c r="L310" s="8">
        <v>0</v>
      </c>
      <c r="M310" s="8">
        <v>0</v>
      </c>
      <c r="N310" s="8">
        <v>0</v>
      </c>
      <c r="O310" s="8">
        <v>0</v>
      </c>
      <c r="P310" s="8">
        <v>0</v>
      </c>
      <c r="Q310" s="8">
        <v>0</v>
      </c>
      <c r="R310" s="8">
        <v>0</v>
      </c>
      <c r="S310" s="8">
        <v>0</v>
      </c>
      <c r="T310" s="37">
        <v>0</v>
      </c>
      <c r="U310" s="1">
        <v>330486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</row>
    <row r="311" spans="1:29" x14ac:dyDescent="0.3">
      <c r="A311" s="8">
        <v>33048631</v>
      </c>
      <c r="B311" s="27" t="s">
        <v>148</v>
      </c>
      <c r="C311" s="27" t="s">
        <v>150</v>
      </c>
      <c r="D311" s="27" t="s">
        <v>140</v>
      </c>
      <c r="E311" s="8">
        <v>1000003</v>
      </c>
      <c r="F311" s="7" t="str">
        <f>IFERROR(_xlfn.XLOOKUP(E:E,[1]Buff!$A:$A,[1]Buff!$E:$E),"None")</f>
        <v>얼티밋 대미지</v>
      </c>
      <c r="G311" s="1">
        <v>0</v>
      </c>
      <c r="H311" s="1" t="s">
        <v>38</v>
      </c>
      <c r="I311" s="1" t="s">
        <v>38</v>
      </c>
      <c r="J311" s="1">
        <v>100000</v>
      </c>
      <c r="K311" s="8">
        <v>230000</v>
      </c>
      <c r="L311" s="8">
        <v>0</v>
      </c>
      <c r="M311" s="8">
        <v>0</v>
      </c>
      <c r="N311" s="8">
        <v>0</v>
      </c>
      <c r="O311" s="8">
        <v>0</v>
      </c>
      <c r="P311" s="8">
        <v>0</v>
      </c>
      <c r="Q311" s="8">
        <v>0</v>
      </c>
      <c r="R311" s="8">
        <v>0</v>
      </c>
      <c r="S311" s="8">
        <v>0</v>
      </c>
      <c r="T311" s="37">
        <v>0</v>
      </c>
      <c r="U311" s="1">
        <v>330486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</row>
    <row r="312" spans="1:29" x14ac:dyDescent="0.3">
      <c r="A312" s="8">
        <v>33048612</v>
      </c>
      <c r="B312" s="27" t="s">
        <v>148</v>
      </c>
      <c r="C312" s="27" t="s">
        <v>150</v>
      </c>
      <c r="D312" s="27" t="s">
        <v>140</v>
      </c>
      <c r="E312" s="8">
        <v>3002203</v>
      </c>
      <c r="F312" s="7" t="str">
        <f>IFERROR(_xlfn.XLOOKUP(E:E,[1]Buff!$A:$A,[1]Buff!$E:$E),"None")</f>
        <v>쿠바바 출혈</v>
      </c>
      <c r="G312" s="1">
        <v>0</v>
      </c>
      <c r="H312" s="1" t="s">
        <v>38</v>
      </c>
      <c r="I312" s="1" t="s">
        <v>38</v>
      </c>
      <c r="J312" s="1">
        <v>100000</v>
      </c>
      <c r="K312" s="8">
        <v>20000</v>
      </c>
      <c r="L312" s="8">
        <v>0</v>
      </c>
      <c r="M312" s="8">
        <v>0</v>
      </c>
      <c r="N312" s="8">
        <v>0</v>
      </c>
      <c r="O312" s="8">
        <v>0</v>
      </c>
      <c r="P312" s="8">
        <v>0</v>
      </c>
      <c r="Q312" s="8">
        <v>0</v>
      </c>
      <c r="R312" s="8">
        <v>0</v>
      </c>
      <c r="S312" s="8">
        <v>0</v>
      </c>
      <c r="T312" s="37">
        <v>3</v>
      </c>
      <c r="U312" s="1">
        <v>100010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</row>
    <row r="313" spans="1:29" x14ac:dyDescent="0.3">
      <c r="A313" s="8">
        <v>33048622</v>
      </c>
      <c r="B313" s="27" t="s">
        <v>148</v>
      </c>
      <c r="C313" s="27" t="s">
        <v>150</v>
      </c>
      <c r="D313" s="27" t="s">
        <v>140</v>
      </c>
      <c r="E313" s="8">
        <v>3002203</v>
      </c>
      <c r="F313" s="7" t="str">
        <f>IFERROR(_xlfn.XLOOKUP(E:E,[1]Buff!$A:$A,[1]Buff!$E:$E),"None")</f>
        <v>쿠바바 출혈</v>
      </c>
      <c r="G313" s="1">
        <v>0</v>
      </c>
      <c r="H313" s="1" t="s">
        <v>38</v>
      </c>
      <c r="I313" s="1" t="s">
        <v>38</v>
      </c>
      <c r="J313" s="1">
        <v>100000</v>
      </c>
      <c r="K313" s="8">
        <v>20000</v>
      </c>
      <c r="L313" s="8">
        <v>0</v>
      </c>
      <c r="M313" s="8">
        <v>0</v>
      </c>
      <c r="N313" s="8">
        <v>0</v>
      </c>
      <c r="O313" s="8">
        <v>0</v>
      </c>
      <c r="P313" s="8">
        <v>0</v>
      </c>
      <c r="Q313" s="8">
        <v>0</v>
      </c>
      <c r="R313" s="8">
        <v>0</v>
      </c>
      <c r="S313" s="8">
        <v>0</v>
      </c>
      <c r="T313" s="37">
        <v>3</v>
      </c>
      <c r="U313" s="1">
        <v>100010</v>
      </c>
      <c r="V313" s="1">
        <v>0</v>
      </c>
      <c r="W313" s="1">
        <v>0</v>
      </c>
      <c r="X313" s="1">
        <v>0</v>
      </c>
      <c r="Y313" s="1">
        <v>0</v>
      </c>
      <c r="Z313" s="1">
        <v>0</v>
      </c>
      <c r="AA313" s="1">
        <v>0</v>
      </c>
      <c r="AB313" s="1">
        <v>0</v>
      </c>
      <c r="AC313" s="1">
        <v>0</v>
      </c>
    </row>
    <row r="314" spans="1:29" x14ac:dyDescent="0.3">
      <c r="A314" s="8">
        <v>33048632</v>
      </c>
      <c r="B314" s="27" t="s">
        <v>148</v>
      </c>
      <c r="C314" s="27" t="s">
        <v>150</v>
      </c>
      <c r="D314" s="27" t="s">
        <v>140</v>
      </c>
      <c r="E314" s="8">
        <v>3002203</v>
      </c>
      <c r="F314" s="7" t="str">
        <f>IFERROR(_xlfn.XLOOKUP(E:E,[1]Buff!$A:$A,[1]Buff!$E:$E),"None")</f>
        <v>쿠바바 출혈</v>
      </c>
      <c r="G314" s="1">
        <v>0</v>
      </c>
      <c r="H314" s="1" t="s">
        <v>38</v>
      </c>
      <c r="I314" s="1" t="s">
        <v>38</v>
      </c>
      <c r="J314" s="1">
        <v>100000</v>
      </c>
      <c r="K314" s="8">
        <v>20000</v>
      </c>
      <c r="L314" s="8">
        <v>0</v>
      </c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37">
        <v>3</v>
      </c>
      <c r="U314" s="1">
        <v>100010</v>
      </c>
      <c r="V314" s="1">
        <v>0</v>
      </c>
      <c r="W314" s="1">
        <v>0</v>
      </c>
      <c r="X314" s="1">
        <v>0</v>
      </c>
      <c r="Y314" s="1">
        <v>0</v>
      </c>
      <c r="Z314" s="1">
        <v>0</v>
      </c>
      <c r="AA314" s="1">
        <v>0</v>
      </c>
      <c r="AB314" s="1">
        <v>0</v>
      </c>
      <c r="AC314" s="1">
        <v>0</v>
      </c>
    </row>
    <row r="315" spans="1:29" x14ac:dyDescent="0.3">
      <c r="A315" s="8">
        <v>43048611</v>
      </c>
      <c r="B315" s="27" t="s">
        <v>148</v>
      </c>
      <c r="C315" s="27" t="s">
        <v>150</v>
      </c>
      <c r="D315" s="27" t="s">
        <v>167</v>
      </c>
      <c r="E315" s="8">
        <v>2005303</v>
      </c>
      <c r="F315" s="7" t="str">
        <f>IFERROR(_xlfn.XLOOKUP(E:E,[1]Buff!$A:$A,[1]Buff!$E:$E),"None")</f>
        <v>쿠바바 공증, 방증</v>
      </c>
      <c r="G315" s="1">
        <v>0</v>
      </c>
      <c r="H315" s="1" t="s">
        <v>38</v>
      </c>
      <c r="I315" s="1" t="s">
        <v>38</v>
      </c>
      <c r="J315" s="1">
        <v>100000</v>
      </c>
      <c r="K315" s="8">
        <v>10000</v>
      </c>
      <c r="L315" s="8">
        <v>1001</v>
      </c>
      <c r="M315" s="8">
        <v>0</v>
      </c>
      <c r="N315" s="8">
        <v>10000</v>
      </c>
      <c r="O315" s="8">
        <v>1003</v>
      </c>
      <c r="P315" s="8">
        <v>0</v>
      </c>
      <c r="Q315" s="8">
        <v>0</v>
      </c>
      <c r="R315" s="8">
        <v>0</v>
      </c>
      <c r="S315" s="8">
        <v>0</v>
      </c>
      <c r="T315" s="37">
        <v>-1</v>
      </c>
      <c r="U315" s="1">
        <v>100010</v>
      </c>
      <c r="V315" s="1">
        <v>0</v>
      </c>
      <c r="W315" s="1">
        <v>0</v>
      </c>
      <c r="X315" s="1">
        <v>100010</v>
      </c>
      <c r="Y315" s="1">
        <v>0</v>
      </c>
      <c r="Z315" s="1">
        <v>0</v>
      </c>
      <c r="AA315" s="1">
        <v>0</v>
      </c>
      <c r="AB315" s="1">
        <v>0</v>
      </c>
      <c r="AC315" s="1">
        <v>0</v>
      </c>
    </row>
    <row r="316" spans="1:29" x14ac:dyDescent="0.3">
      <c r="A316" s="8">
        <v>43048621</v>
      </c>
      <c r="B316" s="27" t="s">
        <v>148</v>
      </c>
      <c r="C316" s="27" t="s">
        <v>150</v>
      </c>
      <c r="D316" s="27" t="s">
        <v>167</v>
      </c>
      <c r="E316" s="8">
        <v>2005303</v>
      </c>
      <c r="F316" s="7" t="str">
        <f>IFERROR(_xlfn.XLOOKUP(E:E,[1]Buff!$A:$A,[1]Buff!$E:$E),"None")</f>
        <v>쿠바바 공증, 방증</v>
      </c>
      <c r="G316" s="1">
        <v>0</v>
      </c>
      <c r="H316" s="1" t="s">
        <v>38</v>
      </c>
      <c r="I316" s="1" t="s">
        <v>38</v>
      </c>
      <c r="J316" s="1">
        <v>100000</v>
      </c>
      <c r="K316" s="8">
        <v>10000</v>
      </c>
      <c r="L316" s="8">
        <v>1001</v>
      </c>
      <c r="M316" s="8">
        <v>0</v>
      </c>
      <c r="N316" s="8">
        <v>10000</v>
      </c>
      <c r="O316" s="8">
        <v>1003</v>
      </c>
      <c r="P316" s="8">
        <v>0</v>
      </c>
      <c r="Q316" s="8">
        <v>0</v>
      </c>
      <c r="R316" s="8">
        <v>0</v>
      </c>
      <c r="S316" s="8">
        <v>0</v>
      </c>
      <c r="T316" s="37">
        <v>-1</v>
      </c>
      <c r="U316" s="1">
        <v>100010</v>
      </c>
      <c r="V316" s="1">
        <v>0</v>
      </c>
      <c r="W316" s="1">
        <v>0</v>
      </c>
      <c r="X316" s="1">
        <v>100010</v>
      </c>
      <c r="Y316" s="1">
        <v>0</v>
      </c>
      <c r="Z316" s="1">
        <v>0</v>
      </c>
      <c r="AA316" s="1">
        <v>0</v>
      </c>
      <c r="AB316" s="1">
        <v>0</v>
      </c>
      <c r="AC316" s="1">
        <v>0</v>
      </c>
    </row>
    <row r="317" spans="1:29" s="11" customFormat="1" x14ac:dyDescent="0.3">
      <c r="A317" s="10">
        <v>13005111</v>
      </c>
      <c r="B317" s="31" t="s">
        <v>110</v>
      </c>
      <c r="C317" s="31" t="s">
        <v>150</v>
      </c>
      <c r="D317" s="31" t="s">
        <v>30</v>
      </c>
      <c r="E317" s="10">
        <v>1000001</v>
      </c>
      <c r="F317" s="12" t="str">
        <f>IFERROR(_xlfn.XLOOKUP(E:E,[1]Buff!$A:$A,[1]Buff!$E:$E),"None")</f>
        <v>공용 대미지</v>
      </c>
      <c r="G317" s="11">
        <v>0</v>
      </c>
      <c r="H317" s="11" t="s">
        <v>38</v>
      </c>
      <c r="I317" s="11" t="s">
        <v>38</v>
      </c>
      <c r="J317" s="11">
        <v>100000</v>
      </c>
      <c r="K317" s="10">
        <v>290000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38">
        <v>0</v>
      </c>
      <c r="U317" s="11">
        <v>130051</v>
      </c>
      <c r="V317" s="11">
        <v>0</v>
      </c>
      <c r="W317" s="11">
        <v>0</v>
      </c>
      <c r="X317" s="11">
        <v>0</v>
      </c>
      <c r="Y317" s="11">
        <v>0</v>
      </c>
      <c r="Z317" s="11">
        <v>0</v>
      </c>
      <c r="AA317" s="11">
        <v>0</v>
      </c>
      <c r="AB317" s="11">
        <v>0</v>
      </c>
      <c r="AC317" s="11">
        <v>0</v>
      </c>
    </row>
    <row r="318" spans="1:29" x14ac:dyDescent="0.3">
      <c r="A318" s="8">
        <v>23005111</v>
      </c>
      <c r="B318" s="27" t="s">
        <v>110</v>
      </c>
      <c r="C318" s="27" t="s">
        <v>150</v>
      </c>
      <c r="D318" s="27" t="s">
        <v>33</v>
      </c>
      <c r="E318" s="8">
        <v>4000107</v>
      </c>
      <c r="F318" s="7" t="str">
        <f>IFERROR(_xlfn.XLOOKUP(E:E,[1]Buff!$A:$A,[1]Buff!$E:$E),"None")</f>
        <v>프레이 계약</v>
      </c>
      <c r="G318" s="1">
        <v>0</v>
      </c>
      <c r="H318" s="1" t="s">
        <v>38</v>
      </c>
      <c r="I318" s="1" t="s">
        <v>38</v>
      </c>
      <c r="J318" s="1">
        <v>100000</v>
      </c>
      <c r="K318" s="8">
        <v>20000</v>
      </c>
      <c r="L318" s="8">
        <v>1001</v>
      </c>
      <c r="M318" s="8">
        <v>0</v>
      </c>
      <c r="N318" s="8">
        <v>20000</v>
      </c>
      <c r="O318" s="8">
        <v>1003</v>
      </c>
      <c r="P318" s="8">
        <v>0</v>
      </c>
      <c r="Q318" s="8">
        <v>20000</v>
      </c>
      <c r="R318" s="8">
        <v>1005</v>
      </c>
      <c r="S318" s="8">
        <v>0</v>
      </c>
      <c r="T318" s="37">
        <v>0</v>
      </c>
      <c r="U318" s="1">
        <v>0</v>
      </c>
      <c r="V318" s="1">
        <v>0</v>
      </c>
      <c r="W318" s="1">
        <v>0</v>
      </c>
      <c r="X318" s="1">
        <v>0</v>
      </c>
      <c r="Y318" s="1">
        <v>0</v>
      </c>
      <c r="Z318" s="1">
        <v>0</v>
      </c>
      <c r="AA318" s="1">
        <v>0</v>
      </c>
      <c r="AB318" s="1">
        <v>0</v>
      </c>
      <c r="AC318" s="1">
        <v>0</v>
      </c>
    </row>
    <row r="319" spans="1:29" x14ac:dyDescent="0.3">
      <c r="A319" s="8">
        <v>23005121</v>
      </c>
      <c r="B319" s="27" t="s">
        <v>110</v>
      </c>
      <c r="C319" s="27" t="s">
        <v>150</v>
      </c>
      <c r="D319" s="27" t="s">
        <v>33</v>
      </c>
      <c r="E319" s="8">
        <v>4000107</v>
      </c>
      <c r="F319" s="7" t="str">
        <f>IFERROR(_xlfn.XLOOKUP(E:E,[1]Buff!$A:$A,[1]Buff!$E:$E),"None")</f>
        <v>프레이 계약</v>
      </c>
      <c r="G319" s="1">
        <v>0</v>
      </c>
      <c r="H319" s="1" t="s">
        <v>38</v>
      </c>
      <c r="I319" s="1" t="s">
        <v>38</v>
      </c>
      <c r="J319" s="1">
        <v>100000</v>
      </c>
      <c r="K319" s="8">
        <v>20000</v>
      </c>
      <c r="L319" s="8">
        <v>1001</v>
      </c>
      <c r="M319" s="8">
        <v>0</v>
      </c>
      <c r="N319" s="8">
        <v>20000</v>
      </c>
      <c r="O319" s="8">
        <v>1003</v>
      </c>
      <c r="P319" s="8">
        <v>0</v>
      </c>
      <c r="Q319" s="8">
        <v>20000</v>
      </c>
      <c r="R319" s="8">
        <v>1005</v>
      </c>
      <c r="S319" s="8">
        <v>0</v>
      </c>
      <c r="T319" s="37">
        <v>0</v>
      </c>
      <c r="U319" s="1">
        <v>0</v>
      </c>
      <c r="V319" s="1">
        <v>0</v>
      </c>
      <c r="W319" s="1">
        <v>0</v>
      </c>
      <c r="X319" s="1">
        <v>0</v>
      </c>
      <c r="Y319" s="1">
        <v>0</v>
      </c>
      <c r="Z319" s="1">
        <v>0</v>
      </c>
      <c r="AA319" s="1">
        <v>0</v>
      </c>
      <c r="AB319" s="1">
        <v>0</v>
      </c>
      <c r="AC319" s="1">
        <v>0</v>
      </c>
    </row>
    <row r="320" spans="1:29" x14ac:dyDescent="0.3">
      <c r="A320" s="8">
        <v>33005111</v>
      </c>
      <c r="B320" s="27" t="s">
        <v>110</v>
      </c>
      <c r="C320" s="27" t="s">
        <v>150</v>
      </c>
      <c r="D320" s="27" t="s">
        <v>140</v>
      </c>
      <c r="E320" s="8">
        <v>1000003</v>
      </c>
      <c r="F320" s="7" t="str">
        <f>IFERROR(_xlfn.XLOOKUP(E:E,[1]Buff!$A:$A,[1]Buff!$E:$E),"None")</f>
        <v>얼티밋 대미지</v>
      </c>
      <c r="G320" s="1">
        <v>0</v>
      </c>
      <c r="H320" s="1" t="s">
        <v>38</v>
      </c>
      <c r="I320" s="1" t="s">
        <v>38</v>
      </c>
      <c r="J320" s="1">
        <v>100000</v>
      </c>
      <c r="K320" s="8">
        <v>120000</v>
      </c>
      <c r="L320" s="8">
        <v>0</v>
      </c>
      <c r="M320" s="8">
        <v>0</v>
      </c>
      <c r="N320" s="8">
        <v>0</v>
      </c>
      <c r="O320" s="8">
        <v>0</v>
      </c>
      <c r="P320" s="8">
        <v>0</v>
      </c>
      <c r="Q320" s="8">
        <v>0</v>
      </c>
      <c r="R320" s="8">
        <v>0</v>
      </c>
      <c r="S320" s="8">
        <v>0</v>
      </c>
      <c r="T320" s="37">
        <v>0</v>
      </c>
      <c r="U320" s="1">
        <v>330051</v>
      </c>
      <c r="V320" s="1">
        <v>0</v>
      </c>
      <c r="W320" s="1">
        <v>0</v>
      </c>
      <c r="X320" s="1">
        <v>0</v>
      </c>
      <c r="Y320" s="1">
        <v>0</v>
      </c>
      <c r="Z320" s="1">
        <v>0</v>
      </c>
      <c r="AA320" s="1">
        <v>0</v>
      </c>
      <c r="AB320" s="1">
        <v>0</v>
      </c>
      <c r="AC320" s="1">
        <v>0</v>
      </c>
    </row>
    <row r="321" spans="1:29" x14ac:dyDescent="0.3">
      <c r="A321" s="8">
        <v>33005112</v>
      </c>
      <c r="B321" s="27" t="s">
        <v>110</v>
      </c>
      <c r="C321" s="27" t="s">
        <v>150</v>
      </c>
      <c r="D321" s="27" t="s">
        <v>140</v>
      </c>
      <c r="E321" s="8">
        <v>2001005</v>
      </c>
      <c r="F321" s="7" t="str">
        <f>IFERROR(_xlfn.XLOOKUP(E:E,[1]Buff!$A:$A,[1]Buff!$E:$E),"None")</f>
        <v>프레이 얼티밋 속도 증가</v>
      </c>
      <c r="G321" s="1">
        <v>0</v>
      </c>
      <c r="H321" s="1" t="s">
        <v>38</v>
      </c>
      <c r="I321" s="1" t="s">
        <v>38</v>
      </c>
      <c r="J321" s="1">
        <v>50000</v>
      </c>
      <c r="K321" s="8">
        <v>20</v>
      </c>
      <c r="L321" s="8">
        <v>1008</v>
      </c>
      <c r="M321" s="8">
        <v>0</v>
      </c>
      <c r="N321" s="8">
        <v>0</v>
      </c>
      <c r="O321" s="8">
        <v>0</v>
      </c>
      <c r="P321" s="8">
        <v>0</v>
      </c>
      <c r="Q321" s="8">
        <v>0</v>
      </c>
      <c r="R321" s="8">
        <v>0</v>
      </c>
      <c r="S321" s="8">
        <v>0</v>
      </c>
      <c r="T321" s="37">
        <v>3</v>
      </c>
      <c r="U321" s="1">
        <v>0</v>
      </c>
      <c r="V321" s="1">
        <v>0</v>
      </c>
      <c r="W321" s="1">
        <v>0</v>
      </c>
      <c r="X321" s="1">
        <v>0</v>
      </c>
      <c r="Y321" s="1">
        <v>0</v>
      </c>
      <c r="Z321" s="1">
        <v>0</v>
      </c>
      <c r="AA321" s="1">
        <v>0</v>
      </c>
      <c r="AB321" s="1">
        <v>0</v>
      </c>
      <c r="AC321" s="1">
        <v>0</v>
      </c>
    </row>
    <row r="322" spans="1:29" x14ac:dyDescent="0.3">
      <c r="A322" s="8">
        <v>33005121</v>
      </c>
      <c r="B322" s="27" t="s">
        <v>110</v>
      </c>
      <c r="C322" s="27" t="s">
        <v>150</v>
      </c>
      <c r="D322" s="27" t="s">
        <v>140</v>
      </c>
      <c r="E322" s="8">
        <v>1000003</v>
      </c>
      <c r="F322" s="7" t="str">
        <f>IFERROR(_xlfn.XLOOKUP(E:E,[1]Buff!$A:$A,[1]Buff!$E:$E),"None")</f>
        <v>얼티밋 대미지</v>
      </c>
      <c r="G322" s="1">
        <v>0</v>
      </c>
      <c r="H322" s="1" t="s">
        <v>38</v>
      </c>
      <c r="I322" s="1" t="s">
        <v>38</v>
      </c>
      <c r="J322" s="1">
        <v>100000</v>
      </c>
      <c r="K322" s="8">
        <v>120000</v>
      </c>
      <c r="L322" s="8">
        <v>0</v>
      </c>
      <c r="M322" s="8">
        <v>0</v>
      </c>
      <c r="N322" s="8">
        <v>0</v>
      </c>
      <c r="O322" s="8">
        <v>0</v>
      </c>
      <c r="P322" s="8">
        <v>0</v>
      </c>
      <c r="Q322" s="8">
        <v>0</v>
      </c>
      <c r="R322" s="8">
        <v>0</v>
      </c>
      <c r="S322" s="8">
        <v>0</v>
      </c>
      <c r="T322" s="37">
        <v>0</v>
      </c>
      <c r="U322" s="1">
        <v>330051</v>
      </c>
      <c r="V322" s="1">
        <v>0</v>
      </c>
      <c r="W322" s="1">
        <v>0</v>
      </c>
      <c r="X322" s="1">
        <v>0</v>
      </c>
      <c r="Y322" s="1">
        <v>0</v>
      </c>
      <c r="Z322" s="1">
        <v>0</v>
      </c>
      <c r="AA322" s="1">
        <v>0</v>
      </c>
      <c r="AB322" s="1">
        <v>0</v>
      </c>
      <c r="AC322" s="1">
        <v>0</v>
      </c>
    </row>
    <row r="323" spans="1:29" x14ac:dyDescent="0.3">
      <c r="A323" s="8">
        <v>33005122</v>
      </c>
      <c r="B323" s="27" t="s">
        <v>110</v>
      </c>
      <c r="C323" s="27" t="s">
        <v>150</v>
      </c>
      <c r="D323" s="27" t="s">
        <v>140</v>
      </c>
      <c r="E323" s="8">
        <v>2001005</v>
      </c>
      <c r="F323" s="7" t="str">
        <f>IFERROR(_xlfn.XLOOKUP(E:E,[1]Buff!$A:$A,[1]Buff!$E:$E),"None")</f>
        <v>프레이 얼티밋 속도 증가</v>
      </c>
      <c r="G323" s="1">
        <v>0</v>
      </c>
      <c r="H323" s="1" t="s">
        <v>38</v>
      </c>
      <c r="I323" s="1" t="s">
        <v>38</v>
      </c>
      <c r="J323" s="1">
        <v>50000</v>
      </c>
      <c r="K323" s="8">
        <v>20</v>
      </c>
      <c r="L323" s="8">
        <v>1008</v>
      </c>
      <c r="M323" s="8">
        <v>0</v>
      </c>
      <c r="N323" s="8">
        <v>0</v>
      </c>
      <c r="O323" s="8">
        <v>0</v>
      </c>
      <c r="P323" s="8">
        <v>0</v>
      </c>
      <c r="Q323" s="8">
        <v>0</v>
      </c>
      <c r="R323" s="8">
        <v>0</v>
      </c>
      <c r="S323" s="8">
        <v>0</v>
      </c>
      <c r="T323" s="37">
        <v>3</v>
      </c>
      <c r="U323" s="1">
        <v>0</v>
      </c>
      <c r="V323" s="1">
        <v>0</v>
      </c>
      <c r="W323" s="1">
        <v>0</v>
      </c>
      <c r="X323" s="1">
        <v>0</v>
      </c>
      <c r="Y323" s="1">
        <v>0</v>
      </c>
      <c r="Z323" s="1">
        <v>0</v>
      </c>
      <c r="AA323" s="1">
        <v>0</v>
      </c>
      <c r="AB323" s="1">
        <v>0</v>
      </c>
      <c r="AC323" s="1">
        <v>0</v>
      </c>
    </row>
    <row r="324" spans="1:29" x14ac:dyDescent="0.3">
      <c r="A324" s="8">
        <v>33005131</v>
      </c>
      <c r="B324" s="27" t="s">
        <v>110</v>
      </c>
      <c r="C324" s="27" t="s">
        <v>150</v>
      </c>
      <c r="D324" s="27" t="s">
        <v>140</v>
      </c>
      <c r="E324" s="8">
        <v>1000003</v>
      </c>
      <c r="F324" s="7" t="str">
        <f>IFERROR(_xlfn.XLOOKUP(E:E,[1]Buff!$A:$A,[1]Buff!$E:$E),"None")</f>
        <v>얼티밋 대미지</v>
      </c>
      <c r="G324" s="1">
        <v>0</v>
      </c>
      <c r="H324" s="1" t="s">
        <v>38</v>
      </c>
      <c r="I324" s="1" t="s">
        <v>38</v>
      </c>
      <c r="J324" s="1">
        <v>100000</v>
      </c>
      <c r="K324" s="8">
        <v>120000</v>
      </c>
      <c r="L324" s="8">
        <v>0</v>
      </c>
      <c r="M324" s="8">
        <v>0</v>
      </c>
      <c r="N324" s="8">
        <v>0</v>
      </c>
      <c r="O324" s="8">
        <v>0</v>
      </c>
      <c r="P324" s="8">
        <v>0</v>
      </c>
      <c r="Q324" s="8">
        <v>0</v>
      </c>
      <c r="R324" s="8">
        <v>0</v>
      </c>
      <c r="S324" s="8">
        <v>0</v>
      </c>
      <c r="T324" s="37">
        <v>0</v>
      </c>
      <c r="U324" s="1">
        <v>330051</v>
      </c>
      <c r="V324" s="1">
        <v>0</v>
      </c>
      <c r="W324" s="1">
        <v>0</v>
      </c>
      <c r="X324" s="1">
        <v>0</v>
      </c>
      <c r="Y324" s="1">
        <v>0</v>
      </c>
      <c r="Z324" s="1">
        <v>0</v>
      </c>
      <c r="AA324" s="1">
        <v>0</v>
      </c>
      <c r="AB324" s="1">
        <v>0</v>
      </c>
      <c r="AC324" s="1">
        <v>0</v>
      </c>
    </row>
    <row r="325" spans="1:29" x14ac:dyDescent="0.3">
      <c r="A325" s="8">
        <v>33005132</v>
      </c>
      <c r="B325" s="27" t="s">
        <v>110</v>
      </c>
      <c r="C325" s="27" t="s">
        <v>150</v>
      </c>
      <c r="D325" s="27" t="s">
        <v>140</v>
      </c>
      <c r="E325" s="8">
        <v>2001005</v>
      </c>
      <c r="F325" s="7" t="str">
        <f>IFERROR(_xlfn.XLOOKUP(E:E,[1]Buff!$A:$A,[1]Buff!$E:$E),"None")</f>
        <v>프레이 얼티밋 속도 증가</v>
      </c>
      <c r="G325" s="1">
        <v>0</v>
      </c>
      <c r="H325" s="1" t="s">
        <v>38</v>
      </c>
      <c r="I325" s="1" t="s">
        <v>38</v>
      </c>
      <c r="J325" s="1">
        <v>50000</v>
      </c>
      <c r="K325" s="8">
        <v>20</v>
      </c>
      <c r="L325" s="8">
        <v>1008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0</v>
      </c>
      <c r="T325" s="37">
        <v>3</v>
      </c>
      <c r="U325" s="1">
        <v>0</v>
      </c>
      <c r="V325" s="1">
        <v>0</v>
      </c>
      <c r="W325" s="1">
        <v>0</v>
      </c>
      <c r="X325" s="1">
        <v>0</v>
      </c>
      <c r="Y325" s="1">
        <v>0</v>
      </c>
      <c r="Z325" s="1">
        <v>0</v>
      </c>
      <c r="AA325" s="1">
        <v>0</v>
      </c>
      <c r="AB325" s="1">
        <v>0</v>
      </c>
      <c r="AC325" s="1">
        <v>0</v>
      </c>
    </row>
    <row r="326" spans="1:29" x14ac:dyDescent="0.3">
      <c r="A326" s="8">
        <v>43005111</v>
      </c>
      <c r="B326" s="27" t="s">
        <v>110</v>
      </c>
      <c r="C326" s="27" t="s">
        <v>150</v>
      </c>
      <c r="D326" s="27" t="s">
        <v>167</v>
      </c>
      <c r="E326" s="8">
        <v>6000006</v>
      </c>
      <c r="F326" s="7" t="str">
        <f>IFERROR(_xlfn.XLOOKUP(E:E,[1]Buff!$A:$A,[1]Buff!$E:$E),"None")</f>
        <v>프레이 패시브 스킬 사용</v>
      </c>
      <c r="G326" s="1">
        <v>10318</v>
      </c>
      <c r="H326" s="1" t="s">
        <v>38</v>
      </c>
      <c r="I326" s="1" t="s">
        <v>38</v>
      </c>
      <c r="J326" s="1">
        <v>100000</v>
      </c>
      <c r="K326" s="8">
        <v>9100041</v>
      </c>
      <c r="L326" s="8">
        <v>0</v>
      </c>
      <c r="M326" s="8">
        <v>0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0</v>
      </c>
      <c r="T326" s="37">
        <v>-1</v>
      </c>
      <c r="U326" s="1">
        <v>100030</v>
      </c>
      <c r="V326" s="1">
        <v>0</v>
      </c>
      <c r="W326" s="1">
        <v>0</v>
      </c>
      <c r="X326" s="1">
        <v>0</v>
      </c>
      <c r="Y326" s="1">
        <v>0</v>
      </c>
      <c r="Z326" s="1">
        <v>0</v>
      </c>
      <c r="AA326" s="1">
        <v>0</v>
      </c>
      <c r="AB326" s="1">
        <v>0</v>
      </c>
      <c r="AC326" s="1">
        <v>0</v>
      </c>
    </row>
    <row r="327" spans="1:29" x14ac:dyDescent="0.3">
      <c r="A327" s="8">
        <v>43005121</v>
      </c>
      <c r="B327" s="27" t="s">
        <v>110</v>
      </c>
      <c r="C327" s="27" t="s">
        <v>150</v>
      </c>
      <c r="D327" s="27" t="s">
        <v>167</v>
      </c>
      <c r="E327" s="8">
        <v>6000006</v>
      </c>
      <c r="F327" s="7" t="str">
        <f>IFERROR(_xlfn.XLOOKUP(E:E,[1]Buff!$A:$A,[1]Buff!$E:$E),"None")</f>
        <v>프레이 패시브 스킬 사용</v>
      </c>
      <c r="G327" s="1">
        <v>10318</v>
      </c>
      <c r="H327" s="1" t="s">
        <v>38</v>
      </c>
      <c r="I327" s="1" t="s">
        <v>38</v>
      </c>
      <c r="J327" s="1">
        <v>100000</v>
      </c>
      <c r="K327" s="8">
        <v>9100041</v>
      </c>
      <c r="L327" s="8">
        <v>0</v>
      </c>
      <c r="M327" s="8">
        <v>0</v>
      </c>
      <c r="N327" s="8">
        <v>0</v>
      </c>
      <c r="O327" s="8">
        <v>0</v>
      </c>
      <c r="P327" s="8">
        <v>0</v>
      </c>
      <c r="Q327" s="8">
        <v>0</v>
      </c>
      <c r="R327" s="8">
        <v>0</v>
      </c>
      <c r="S327" s="8">
        <v>0</v>
      </c>
      <c r="T327" s="37">
        <v>-1</v>
      </c>
      <c r="U327" s="1">
        <v>100030</v>
      </c>
      <c r="V327" s="1">
        <v>0</v>
      </c>
      <c r="W327" s="1">
        <v>0</v>
      </c>
      <c r="X327" s="1">
        <v>0</v>
      </c>
      <c r="Y327" s="1">
        <v>0</v>
      </c>
      <c r="Z327" s="1">
        <v>0</v>
      </c>
      <c r="AA327" s="1">
        <v>0</v>
      </c>
      <c r="AB327" s="1">
        <v>0</v>
      </c>
      <c r="AC327" s="1">
        <v>0</v>
      </c>
    </row>
    <row r="328" spans="1:29" s="11" customFormat="1" x14ac:dyDescent="0.3">
      <c r="A328" s="10">
        <v>13029611</v>
      </c>
      <c r="B328" s="31" t="s">
        <v>164</v>
      </c>
      <c r="C328" s="31" t="s">
        <v>150</v>
      </c>
      <c r="D328" s="31" t="s">
        <v>30</v>
      </c>
      <c r="E328" s="10">
        <v>1000001</v>
      </c>
      <c r="F328" s="12" t="str">
        <f>IFERROR(_xlfn.XLOOKUP(E:E,[1]Buff!$A:$A,[1]Buff!$E:$E),"None")</f>
        <v>공용 대미지</v>
      </c>
      <c r="G328" s="11">
        <v>0</v>
      </c>
      <c r="H328" s="11" t="s">
        <v>38</v>
      </c>
      <c r="I328" s="11" t="s">
        <v>38</v>
      </c>
      <c r="J328" s="11">
        <v>100000</v>
      </c>
      <c r="K328" s="10">
        <v>150000</v>
      </c>
      <c r="L328" s="10">
        <v>0</v>
      </c>
      <c r="M328" s="10">
        <v>0</v>
      </c>
      <c r="N328" s="10">
        <v>0</v>
      </c>
      <c r="O328" s="10">
        <v>0</v>
      </c>
      <c r="P328" s="10">
        <v>0</v>
      </c>
      <c r="Q328" s="10">
        <v>0</v>
      </c>
      <c r="R328" s="10">
        <v>0</v>
      </c>
      <c r="S328" s="10">
        <v>0</v>
      </c>
      <c r="T328" s="38">
        <v>0</v>
      </c>
      <c r="U328" s="11">
        <v>130296</v>
      </c>
      <c r="V328" s="11">
        <v>0</v>
      </c>
      <c r="W328" s="11">
        <v>0</v>
      </c>
      <c r="X328" s="11">
        <v>0</v>
      </c>
      <c r="Y328" s="11">
        <v>0</v>
      </c>
      <c r="Z328" s="11">
        <v>0</v>
      </c>
      <c r="AA328" s="11">
        <v>0</v>
      </c>
      <c r="AB328" s="11">
        <v>0</v>
      </c>
      <c r="AC328" s="11">
        <v>0</v>
      </c>
    </row>
    <row r="329" spans="1:29" x14ac:dyDescent="0.3">
      <c r="A329" s="8">
        <v>23029611</v>
      </c>
      <c r="B329" s="27" t="s">
        <v>164</v>
      </c>
      <c r="C329" s="27" t="s">
        <v>150</v>
      </c>
      <c r="D329" s="27" t="s">
        <v>33</v>
      </c>
      <c r="E329" s="8">
        <v>1000002</v>
      </c>
      <c r="F329" s="7" t="str">
        <f>IFERROR(_xlfn.XLOOKUP(E:E,[1]Buff!$A:$A,[1]Buff!$E:$E),"None")</f>
        <v>액티브 대미지</v>
      </c>
      <c r="G329" s="1">
        <v>0</v>
      </c>
      <c r="H329" s="1" t="s">
        <v>38</v>
      </c>
      <c r="I329" s="1" t="s">
        <v>38</v>
      </c>
      <c r="J329" s="1">
        <v>100000</v>
      </c>
      <c r="K329" s="8">
        <v>40000</v>
      </c>
      <c r="L329" s="8">
        <v>0</v>
      </c>
      <c r="M329" s="8">
        <v>0</v>
      </c>
      <c r="N329" s="8">
        <v>0</v>
      </c>
      <c r="O329" s="8">
        <v>0</v>
      </c>
      <c r="P329" s="8">
        <v>0</v>
      </c>
      <c r="Q329" s="8">
        <v>0</v>
      </c>
      <c r="R329" s="8">
        <v>0</v>
      </c>
      <c r="S329" s="8">
        <v>0</v>
      </c>
      <c r="T329" s="37">
        <v>0</v>
      </c>
      <c r="U329" s="1">
        <v>230296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0</v>
      </c>
      <c r="AB329" s="1">
        <v>0</v>
      </c>
      <c r="AC329" s="1">
        <v>0</v>
      </c>
    </row>
    <row r="330" spans="1:29" x14ac:dyDescent="0.3">
      <c r="A330" s="8">
        <v>23029621</v>
      </c>
      <c r="B330" s="27" t="s">
        <v>164</v>
      </c>
      <c r="C330" s="27" t="s">
        <v>150</v>
      </c>
      <c r="D330" s="27" t="s">
        <v>33</v>
      </c>
      <c r="E330" s="8">
        <v>1000002</v>
      </c>
      <c r="F330" s="7" t="str">
        <f>IFERROR(_xlfn.XLOOKUP(E:E,[1]Buff!$A:$A,[1]Buff!$E:$E),"None")</f>
        <v>액티브 대미지</v>
      </c>
      <c r="G330" s="1">
        <v>0</v>
      </c>
      <c r="H330" s="1" t="s">
        <v>38</v>
      </c>
      <c r="I330" s="1" t="s">
        <v>38</v>
      </c>
      <c r="J330" s="1">
        <v>100000</v>
      </c>
      <c r="K330" s="8">
        <v>40000</v>
      </c>
      <c r="L330" s="8">
        <v>0</v>
      </c>
      <c r="M330" s="8">
        <v>0</v>
      </c>
      <c r="N330" s="8">
        <v>0</v>
      </c>
      <c r="O330" s="8">
        <v>0</v>
      </c>
      <c r="P330" s="8">
        <v>0</v>
      </c>
      <c r="Q330" s="8">
        <v>0</v>
      </c>
      <c r="R330" s="8">
        <v>0</v>
      </c>
      <c r="S330" s="8">
        <v>0</v>
      </c>
      <c r="T330" s="37">
        <v>0</v>
      </c>
      <c r="U330" s="1">
        <v>230296</v>
      </c>
      <c r="V330" s="1">
        <v>0</v>
      </c>
      <c r="W330" s="1">
        <v>0</v>
      </c>
      <c r="X330" s="1">
        <v>0</v>
      </c>
      <c r="Y330" s="1">
        <v>0</v>
      </c>
      <c r="Z330" s="1">
        <v>0</v>
      </c>
      <c r="AA330" s="1">
        <v>0</v>
      </c>
      <c r="AB330" s="1">
        <v>0</v>
      </c>
      <c r="AC330" s="1">
        <v>0</v>
      </c>
    </row>
    <row r="331" spans="1:29" x14ac:dyDescent="0.3">
      <c r="A331" s="8">
        <v>23029612</v>
      </c>
      <c r="B331" s="27" t="s">
        <v>164</v>
      </c>
      <c r="C331" s="27" t="s">
        <v>150</v>
      </c>
      <c r="D331" s="27" t="s">
        <v>33</v>
      </c>
      <c r="E331" s="8">
        <v>3001008</v>
      </c>
      <c r="F331" s="7" t="str">
        <f>IFERROR(_xlfn.XLOOKUP(E:E,[1]Buff!$A:$A,[1]Buff!$E:$E),"None")</f>
        <v>힐드 속도 감소</v>
      </c>
      <c r="G331" s="1">
        <v>0</v>
      </c>
      <c r="H331" s="1" t="s">
        <v>38</v>
      </c>
      <c r="I331" s="1" t="s">
        <v>38</v>
      </c>
      <c r="J331" s="1">
        <v>100000</v>
      </c>
      <c r="K331" s="8">
        <v>-20</v>
      </c>
      <c r="L331" s="8">
        <v>1008</v>
      </c>
      <c r="M331" s="8">
        <v>0</v>
      </c>
      <c r="N331" s="8">
        <v>0</v>
      </c>
      <c r="O331" s="8">
        <v>0</v>
      </c>
      <c r="P331" s="8">
        <v>0</v>
      </c>
      <c r="Q331" s="8">
        <v>0</v>
      </c>
      <c r="R331" s="8">
        <v>0</v>
      </c>
      <c r="S331" s="8">
        <v>0</v>
      </c>
      <c r="T331" s="37">
        <v>2</v>
      </c>
      <c r="U331" s="1">
        <v>0</v>
      </c>
      <c r="V331" s="1">
        <v>0</v>
      </c>
      <c r="W331" s="1">
        <v>0</v>
      </c>
      <c r="X331" s="1">
        <v>0</v>
      </c>
      <c r="Y331" s="1">
        <v>0</v>
      </c>
      <c r="Z331" s="1">
        <v>0</v>
      </c>
      <c r="AA331" s="1">
        <v>0</v>
      </c>
      <c r="AB331" s="1">
        <v>0</v>
      </c>
      <c r="AC331" s="1">
        <v>0</v>
      </c>
    </row>
    <row r="332" spans="1:29" x14ac:dyDescent="0.3">
      <c r="A332" s="8">
        <v>23029622</v>
      </c>
      <c r="B332" s="27" t="s">
        <v>164</v>
      </c>
      <c r="C332" s="27" t="s">
        <v>150</v>
      </c>
      <c r="D332" s="27" t="s">
        <v>33</v>
      </c>
      <c r="E332" s="8">
        <v>3001008</v>
      </c>
      <c r="F332" s="7" t="str">
        <f>IFERROR(_xlfn.XLOOKUP(E:E,[1]Buff!$A:$A,[1]Buff!$E:$E),"None")</f>
        <v>힐드 속도 감소</v>
      </c>
      <c r="G332" s="1">
        <v>0</v>
      </c>
      <c r="H332" s="1" t="s">
        <v>38</v>
      </c>
      <c r="I332" s="1" t="s">
        <v>38</v>
      </c>
      <c r="J332" s="1">
        <v>100000</v>
      </c>
      <c r="K332" s="8">
        <v>-20</v>
      </c>
      <c r="L332" s="8">
        <v>1008</v>
      </c>
      <c r="M332" s="8">
        <v>0</v>
      </c>
      <c r="N332" s="8">
        <v>0</v>
      </c>
      <c r="O332" s="8">
        <v>0</v>
      </c>
      <c r="P332" s="8">
        <v>0</v>
      </c>
      <c r="Q332" s="8">
        <v>0</v>
      </c>
      <c r="R332" s="8">
        <v>0</v>
      </c>
      <c r="S332" s="8">
        <v>0</v>
      </c>
      <c r="T332" s="37">
        <v>2</v>
      </c>
      <c r="U332" s="1">
        <v>0</v>
      </c>
      <c r="V332" s="1">
        <v>0</v>
      </c>
      <c r="W332" s="1">
        <v>0</v>
      </c>
      <c r="X332" s="1">
        <v>0</v>
      </c>
      <c r="Y332" s="1">
        <v>0</v>
      </c>
      <c r="Z332" s="1">
        <v>0</v>
      </c>
      <c r="AA332" s="1">
        <v>0</v>
      </c>
      <c r="AB332" s="1">
        <v>0</v>
      </c>
      <c r="AC332" s="1">
        <v>0</v>
      </c>
    </row>
    <row r="333" spans="1:29" x14ac:dyDescent="0.3">
      <c r="A333" s="8">
        <v>33029611</v>
      </c>
      <c r="B333" s="27" t="s">
        <v>164</v>
      </c>
      <c r="C333" s="27" t="s">
        <v>150</v>
      </c>
      <c r="D333" s="27" t="s">
        <v>140</v>
      </c>
      <c r="E333" s="8">
        <v>1000003</v>
      </c>
      <c r="F333" s="7" t="str">
        <f>IFERROR(_xlfn.XLOOKUP(E:E,[1]Buff!$A:$A,[1]Buff!$E:$E),"None")</f>
        <v>얼티밋 대미지</v>
      </c>
      <c r="G333" s="1">
        <v>0</v>
      </c>
      <c r="H333" s="1" t="s">
        <v>38</v>
      </c>
      <c r="I333" s="1" t="s">
        <v>38</v>
      </c>
      <c r="J333" s="1">
        <v>100000</v>
      </c>
      <c r="K333" s="8">
        <v>320000</v>
      </c>
      <c r="L333" s="8">
        <v>0</v>
      </c>
      <c r="M333" s="8">
        <v>0</v>
      </c>
      <c r="N333" s="8">
        <v>0</v>
      </c>
      <c r="O333" s="8">
        <v>0</v>
      </c>
      <c r="P333" s="8">
        <v>0</v>
      </c>
      <c r="Q333" s="8">
        <v>0</v>
      </c>
      <c r="R333" s="8">
        <v>0</v>
      </c>
      <c r="S333" s="8">
        <v>0</v>
      </c>
      <c r="T333" s="37">
        <v>0</v>
      </c>
      <c r="U333" s="1">
        <v>330296</v>
      </c>
      <c r="V333" s="1">
        <v>0</v>
      </c>
      <c r="W333" s="1">
        <v>0</v>
      </c>
      <c r="X333" s="1">
        <v>0</v>
      </c>
      <c r="Y333" s="1">
        <v>0</v>
      </c>
      <c r="Z333" s="1">
        <v>0</v>
      </c>
      <c r="AA333" s="1">
        <v>0</v>
      </c>
      <c r="AB333" s="1">
        <v>0</v>
      </c>
      <c r="AC333" s="1">
        <v>0</v>
      </c>
    </row>
    <row r="334" spans="1:29" x14ac:dyDescent="0.3">
      <c r="A334" s="8">
        <v>33029612</v>
      </c>
      <c r="B334" s="27" t="s">
        <v>164</v>
      </c>
      <c r="C334" s="27" t="s">
        <v>150</v>
      </c>
      <c r="D334" s="27" t="s">
        <v>140</v>
      </c>
      <c r="E334" s="8">
        <v>2003603</v>
      </c>
      <c r="F334" s="7" t="str">
        <f>IFERROR(_xlfn.XLOOKUP(E:E,[1]Buff!$A:$A,[1]Buff!$E:$E),"None")</f>
        <v>힐드 Sp 추가</v>
      </c>
      <c r="G334" s="1">
        <v>0</v>
      </c>
      <c r="H334" s="1" t="s">
        <v>355</v>
      </c>
      <c r="I334" s="1" t="s">
        <v>38</v>
      </c>
      <c r="J334" s="1">
        <v>100000</v>
      </c>
      <c r="K334" s="8">
        <v>150</v>
      </c>
      <c r="L334" s="8">
        <v>0</v>
      </c>
      <c r="M334" s="8">
        <v>0</v>
      </c>
      <c r="N334" s="8">
        <v>0</v>
      </c>
      <c r="O334" s="8">
        <v>0</v>
      </c>
      <c r="P334" s="8">
        <v>0</v>
      </c>
      <c r="Q334" s="8">
        <v>0</v>
      </c>
      <c r="R334" s="8">
        <v>0</v>
      </c>
      <c r="S334" s="8">
        <v>0</v>
      </c>
      <c r="T334" s="37">
        <v>0</v>
      </c>
      <c r="U334" s="1">
        <v>0</v>
      </c>
      <c r="V334" s="1">
        <v>0</v>
      </c>
      <c r="W334" s="1">
        <v>0</v>
      </c>
      <c r="X334" s="1">
        <v>0</v>
      </c>
      <c r="Y334" s="1">
        <v>0</v>
      </c>
      <c r="Z334" s="1">
        <v>0</v>
      </c>
      <c r="AA334" s="1">
        <v>0</v>
      </c>
      <c r="AB334" s="1">
        <v>0</v>
      </c>
      <c r="AC334" s="1">
        <v>0</v>
      </c>
    </row>
    <row r="335" spans="1:29" x14ac:dyDescent="0.3">
      <c r="A335" s="8">
        <v>33029621</v>
      </c>
      <c r="B335" s="27" t="s">
        <v>164</v>
      </c>
      <c r="C335" s="27" t="s">
        <v>150</v>
      </c>
      <c r="D335" s="27" t="s">
        <v>140</v>
      </c>
      <c r="E335" s="8">
        <v>1000003</v>
      </c>
      <c r="F335" s="7" t="str">
        <f>IFERROR(_xlfn.XLOOKUP(E:E,[1]Buff!$A:$A,[1]Buff!$E:$E),"None")</f>
        <v>얼티밋 대미지</v>
      </c>
      <c r="G335" s="1">
        <v>0</v>
      </c>
      <c r="H335" s="1" t="s">
        <v>38</v>
      </c>
      <c r="I335" s="1" t="s">
        <v>38</v>
      </c>
      <c r="J335" s="1">
        <v>100000</v>
      </c>
      <c r="K335" s="8">
        <v>320000</v>
      </c>
      <c r="L335" s="8">
        <v>0</v>
      </c>
      <c r="M335" s="8">
        <v>0</v>
      </c>
      <c r="N335" s="8">
        <v>0</v>
      </c>
      <c r="O335" s="8">
        <v>0</v>
      </c>
      <c r="P335" s="8">
        <v>0</v>
      </c>
      <c r="Q335" s="8">
        <v>0</v>
      </c>
      <c r="R335" s="8">
        <v>0</v>
      </c>
      <c r="S335" s="8">
        <v>0</v>
      </c>
      <c r="T335" s="37">
        <v>0</v>
      </c>
      <c r="U335" s="1">
        <v>330296</v>
      </c>
      <c r="V335" s="1">
        <v>0</v>
      </c>
      <c r="W335" s="1">
        <v>0</v>
      </c>
      <c r="X335" s="1">
        <v>0</v>
      </c>
      <c r="Y335" s="1">
        <v>0</v>
      </c>
      <c r="Z335" s="1">
        <v>0</v>
      </c>
      <c r="AA335" s="1">
        <v>0</v>
      </c>
      <c r="AB335" s="1">
        <v>0</v>
      </c>
      <c r="AC335" s="1">
        <v>0</v>
      </c>
    </row>
    <row r="336" spans="1:29" x14ac:dyDescent="0.3">
      <c r="A336" s="8">
        <v>33029622</v>
      </c>
      <c r="B336" s="27" t="s">
        <v>164</v>
      </c>
      <c r="C336" s="27" t="s">
        <v>150</v>
      </c>
      <c r="D336" s="27" t="s">
        <v>140</v>
      </c>
      <c r="E336" s="8">
        <v>2003603</v>
      </c>
      <c r="F336" s="7" t="str">
        <f>IFERROR(_xlfn.XLOOKUP(E:E,[1]Buff!$A:$A,[1]Buff!$E:$E),"None")</f>
        <v>힐드 Sp 추가</v>
      </c>
      <c r="G336" s="1">
        <v>0</v>
      </c>
      <c r="H336" s="1" t="s">
        <v>355</v>
      </c>
      <c r="I336" s="1" t="s">
        <v>38</v>
      </c>
      <c r="J336" s="1">
        <v>100000</v>
      </c>
      <c r="K336" s="8">
        <v>150</v>
      </c>
      <c r="L336" s="8">
        <v>0</v>
      </c>
      <c r="M336" s="8">
        <v>0</v>
      </c>
      <c r="N336" s="8">
        <v>0</v>
      </c>
      <c r="O336" s="8">
        <v>0</v>
      </c>
      <c r="P336" s="8">
        <v>0</v>
      </c>
      <c r="Q336" s="8">
        <v>0</v>
      </c>
      <c r="R336" s="8">
        <v>0</v>
      </c>
      <c r="S336" s="8">
        <v>0</v>
      </c>
      <c r="T336" s="37">
        <v>0</v>
      </c>
      <c r="U336" s="1">
        <v>0</v>
      </c>
      <c r="V336" s="1">
        <v>0</v>
      </c>
      <c r="W336" s="1">
        <v>0</v>
      </c>
      <c r="X336" s="1">
        <v>0</v>
      </c>
      <c r="Y336" s="1">
        <v>0</v>
      </c>
      <c r="Z336" s="1">
        <v>0</v>
      </c>
      <c r="AA336" s="1">
        <v>0</v>
      </c>
      <c r="AB336" s="1">
        <v>0</v>
      </c>
      <c r="AC336" s="1">
        <v>0</v>
      </c>
    </row>
    <row r="337" spans="1:29" x14ac:dyDescent="0.3">
      <c r="A337" s="8">
        <v>33029631</v>
      </c>
      <c r="B337" s="27" t="s">
        <v>164</v>
      </c>
      <c r="C337" s="27" t="s">
        <v>150</v>
      </c>
      <c r="D337" s="27" t="s">
        <v>140</v>
      </c>
      <c r="E337" s="8">
        <v>1000003</v>
      </c>
      <c r="F337" s="7" t="str">
        <f>IFERROR(_xlfn.XLOOKUP(E:E,[1]Buff!$A:$A,[1]Buff!$E:$E),"None")</f>
        <v>얼티밋 대미지</v>
      </c>
      <c r="G337" s="1">
        <v>0</v>
      </c>
      <c r="H337" s="1" t="s">
        <v>38</v>
      </c>
      <c r="I337" s="1" t="s">
        <v>38</v>
      </c>
      <c r="J337" s="1">
        <v>100000</v>
      </c>
      <c r="K337" s="8">
        <v>320000</v>
      </c>
      <c r="L337" s="8">
        <v>0</v>
      </c>
      <c r="M337" s="8">
        <v>0</v>
      </c>
      <c r="N337" s="8">
        <v>0</v>
      </c>
      <c r="O337" s="8">
        <v>0</v>
      </c>
      <c r="P337" s="8">
        <v>0</v>
      </c>
      <c r="Q337" s="8">
        <v>0</v>
      </c>
      <c r="R337" s="8">
        <v>0</v>
      </c>
      <c r="S337" s="8">
        <v>0</v>
      </c>
      <c r="T337" s="37">
        <v>0</v>
      </c>
      <c r="U337" s="1">
        <v>330296</v>
      </c>
      <c r="V337" s="1">
        <v>0</v>
      </c>
      <c r="W337" s="1">
        <v>0</v>
      </c>
      <c r="X337" s="1">
        <v>0</v>
      </c>
      <c r="Y337" s="1">
        <v>0</v>
      </c>
      <c r="Z337" s="1">
        <v>0</v>
      </c>
      <c r="AA337" s="1">
        <v>0</v>
      </c>
      <c r="AB337" s="1">
        <v>0</v>
      </c>
      <c r="AC337" s="1">
        <v>0</v>
      </c>
    </row>
    <row r="338" spans="1:29" x14ac:dyDescent="0.3">
      <c r="A338" s="8">
        <v>33029632</v>
      </c>
      <c r="B338" s="27" t="s">
        <v>164</v>
      </c>
      <c r="C338" s="27" t="s">
        <v>150</v>
      </c>
      <c r="D338" s="27" t="s">
        <v>140</v>
      </c>
      <c r="E338" s="8">
        <v>2003603</v>
      </c>
      <c r="F338" s="7" t="str">
        <f>IFERROR(_xlfn.XLOOKUP(E:E,[1]Buff!$A:$A,[1]Buff!$E:$E),"None")</f>
        <v>힐드 Sp 추가</v>
      </c>
      <c r="G338" s="1">
        <v>0</v>
      </c>
      <c r="H338" s="1" t="s">
        <v>355</v>
      </c>
      <c r="I338" s="1" t="s">
        <v>38</v>
      </c>
      <c r="J338" s="1">
        <v>100000</v>
      </c>
      <c r="K338" s="8">
        <v>150</v>
      </c>
      <c r="L338" s="8">
        <v>0</v>
      </c>
      <c r="M338" s="8">
        <v>0</v>
      </c>
      <c r="N338" s="8">
        <v>0</v>
      </c>
      <c r="O338" s="8">
        <v>0</v>
      </c>
      <c r="P338" s="8">
        <v>0</v>
      </c>
      <c r="Q338" s="8">
        <v>0</v>
      </c>
      <c r="R338" s="8">
        <v>0</v>
      </c>
      <c r="S338" s="8">
        <v>0</v>
      </c>
      <c r="T338" s="37">
        <v>0</v>
      </c>
      <c r="U338" s="1">
        <v>0</v>
      </c>
      <c r="V338" s="1">
        <v>0</v>
      </c>
      <c r="W338" s="1">
        <v>0</v>
      </c>
      <c r="X338" s="1">
        <v>0</v>
      </c>
      <c r="Y338" s="1">
        <v>0</v>
      </c>
      <c r="Z338" s="1">
        <v>0</v>
      </c>
      <c r="AA338" s="1">
        <v>0</v>
      </c>
      <c r="AB338" s="1">
        <v>0</v>
      </c>
      <c r="AC338" s="1">
        <v>0</v>
      </c>
    </row>
    <row r="339" spans="1:29" x14ac:dyDescent="0.3">
      <c r="A339" s="8">
        <v>33029613</v>
      </c>
      <c r="B339" s="27" t="s">
        <v>164</v>
      </c>
      <c r="C339" s="27" t="s">
        <v>150</v>
      </c>
      <c r="D339" s="27" t="s">
        <v>140</v>
      </c>
      <c r="E339" s="8">
        <v>3003601</v>
      </c>
      <c r="F339" s="7" t="str">
        <f>IFERROR(_xlfn.XLOOKUP(E:E,[1]Buff!$A:$A,[1]Buff!$E:$E),"None")</f>
        <v>힐드 Sp 충전 불가</v>
      </c>
      <c r="G339" s="1">
        <v>0</v>
      </c>
      <c r="H339" s="1" t="s">
        <v>355</v>
      </c>
      <c r="I339" s="1" t="s">
        <v>38</v>
      </c>
      <c r="J339" s="1">
        <v>100000</v>
      </c>
      <c r="K339" s="8">
        <v>0</v>
      </c>
      <c r="L339" s="8">
        <v>0</v>
      </c>
      <c r="M339" s="8">
        <v>0</v>
      </c>
      <c r="N339" s="8">
        <v>0</v>
      </c>
      <c r="O339" s="8">
        <v>0</v>
      </c>
      <c r="P339" s="8">
        <v>0</v>
      </c>
      <c r="Q339" s="8">
        <v>0</v>
      </c>
      <c r="R339" s="8">
        <v>0</v>
      </c>
      <c r="S339" s="8">
        <v>0</v>
      </c>
      <c r="T339" s="37">
        <v>1</v>
      </c>
      <c r="U339" s="1">
        <v>0</v>
      </c>
      <c r="V339" s="1">
        <v>0</v>
      </c>
      <c r="W339" s="1">
        <v>0</v>
      </c>
      <c r="X339" s="1">
        <v>0</v>
      </c>
      <c r="Y339" s="1">
        <v>0</v>
      </c>
      <c r="Z339" s="1">
        <v>0</v>
      </c>
      <c r="AA339" s="1">
        <v>0</v>
      </c>
      <c r="AB339" s="1">
        <v>0</v>
      </c>
      <c r="AC339" s="1">
        <v>0</v>
      </c>
    </row>
    <row r="340" spans="1:29" x14ac:dyDescent="0.3">
      <c r="A340" s="8">
        <v>33029623</v>
      </c>
      <c r="B340" s="27" t="s">
        <v>164</v>
      </c>
      <c r="C340" s="27" t="s">
        <v>150</v>
      </c>
      <c r="D340" s="27" t="s">
        <v>140</v>
      </c>
      <c r="E340" s="8">
        <v>3003601</v>
      </c>
      <c r="F340" s="7" t="str">
        <f>IFERROR(_xlfn.XLOOKUP(E:E,[1]Buff!$A:$A,[1]Buff!$E:$E),"None")</f>
        <v>힐드 Sp 충전 불가</v>
      </c>
      <c r="G340" s="1">
        <v>0</v>
      </c>
      <c r="H340" s="1" t="s">
        <v>355</v>
      </c>
      <c r="I340" s="1" t="s">
        <v>38</v>
      </c>
      <c r="J340" s="1">
        <v>100000</v>
      </c>
      <c r="K340" s="8">
        <v>0</v>
      </c>
      <c r="L340" s="8">
        <v>0</v>
      </c>
      <c r="M340" s="8">
        <v>0</v>
      </c>
      <c r="N340" s="8">
        <v>0</v>
      </c>
      <c r="O340" s="8">
        <v>0</v>
      </c>
      <c r="P340" s="8">
        <v>0</v>
      </c>
      <c r="Q340" s="8">
        <v>0</v>
      </c>
      <c r="R340" s="8">
        <v>0</v>
      </c>
      <c r="S340" s="8">
        <v>0</v>
      </c>
      <c r="T340" s="37">
        <v>1</v>
      </c>
      <c r="U340" s="1">
        <v>0</v>
      </c>
      <c r="V340" s="1">
        <v>0</v>
      </c>
      <c r="W340" s="1">
        <v>0</v>
      </c>
      <c r="X340" s="1">
        <v>0</v>
      </c>
      <c r="Y340" s="1">
        <v>0</v>
      </c>
      <c r="Z340" s="1">
        <v>0</v>
      </c>
      <c r="AA340" s="1">
        <v>0</v>
      </c>
      <c r="AB340" s="1">
        <v>0</v>
      </c>
      <c r="AC340" s="1">
        <v>0</v>
      </c>
    </row>
    <row r="341" spans="1:29" x14ac:dyDescent="0.3">
      <c r="A341" s="8">
        <v>33029633</v>
      </c>
      <c r="B341" s="27" t="s">
        <v>164</v>
      </c>
      <c r="C341" s="27" t="s">
        <v>150</v>
      </c>
      <c r="D341" s="27" t="s">
        <v>140</v>
      </c>
      <c r="E341" s="8">
        <v>3003601</v>
      </c>
      <c r="F341" s="7" t="str">
        <f>IFERROR(_xlfn.XLOOKUP(E:E,[1]Buff!$A:$A,[1]Buff!$E:$E),"None")</f>
        <v>힐드 Sp 충전 불가</v>
      </c>
      <c r="G341" s="1">
        <v>0</v>
      </c>
      <c r="H341" s="1" t="s">
        <v>355</v>
      </c>
      <c r="I341" s="1" t="s">
        <v>38</v>
      </c>
      <c r="J341" s="1">
        <v>100000</v>
      </c>
      <c r="K341" s="8">
        <v>0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0</v>
      </c>
      <c r="R341" s="8">
        <v>0</v>
      </c>
      <c r="S341" s="8">
        <v>0</v>
      </c>
      <c r="T341" s="37">
        <v>1</v>
      </c>
      <c r="U341" s="1">
        <v>0</v>
      </c>
      <c r="V341" s="1">
        <v>0</v>
      </c>
      <c r="W341" s="1">
        <v>0</v>
      </c>
      <c r="X341" s="1">
        <v>0</v>
      </c>
      <c r="Y341" s="1">
        <v>0</v>
      </c>
      <c r="Z341" s="1">
        <v>0</v>
      </c>
      <c r="AA341" s="1">
        <v>0</v>
      </c>
      <c r="AB341" s="1">
        <v>0</v>
      </c>
      <c r="AC341" s="1">
        <v>0</v>
      </c>
    </row>
    <row r="342" spans="1:29" x14ac:dyDescent="0.3">
      <c r="A342" s="8">
        <v>43029611</v>
      </c>
      <c r="B342" s="27" t="s">
        <v>164</v>
      </c>
      <c r="C342" s="27" t="s">
        <v>150</v>
      </c>
      <c r="D342" s="27" t="s">
        <v>167</v>
      </c>
      <c r="E342" s="8">
        <v>2005601</v>
      </c>
      <c r="F342" s="7" t="str">
        <f>IFERROR(_xlfn.XLOOKUP(E:E,[1]Buff!$A:$A,[1]Buff!$E:$E),"None")</f>
        <v>힐드 패시브 버프당 치명타 확률 증가</v>
      </c>
      <c r="G342" s="1">
        <v>0</v>
      </c>
      <c r="H342" s="1" t="s">
        <v>38</v>
      </c>
      <c r="I342" s="1" t="s">
        <v>38</v>
      </c>
      <c r="J342" s="1">
        <v>100000</v>
      </c>
      <c r="K342" s="8">
        <v>5000</v>
      </c>
      <c r="L342" s="8">
        <v>1009</v>
      </c>
      <c r="M342" s="8">
        <v>25</v>
      </c>
      <c r="N342" s="8">
        <v>0</v>
      </c>
      <c r="O342" s="8">
        <v>0</v>
      </c>
      <c r="P342" s="8">
        <v>0</v>
      </c>
      <c r="Q342" s="8">
        <v>0</v>
      </c>
      <c r="R342" s="8">
        <v>0</v>
      </c>
      <c r="S342" s="8">
        <v>0</v>
      </c>
      <c r="T342" s="37">
        <v>-1</v>
      </c>
      <c r="U342" s="1">
        <v>100010</v>
      </c>
      <c r="V342" s="1">
        <v>0</v>
      </c>
      <c r="W342" s="1">
        <v>0</v>
      </c>
      <c r="X342" s="1">
        <v>0</v>
      </c>
      <c r="Y342" s="1">
        <v>0</v>
      </c>
      <c r="Z342" s="1">
        <v>0</v>
      </c>
      <c r="AA342" s="1">
        <v>0</v>
      </c>
      <c r="AB342" s="1">
        <v>0</v>
      </c>
      <c r="AC342" s="1">
        <v>0</v>
      </c>
    </row>
    <row r="343" spans="1:29" x14ac:dyDescent="0.3">
      <c r="A343" s="8">
        <v>43029621</v>
      </c>
      <c r="B343" s="27" t="s">
        <v>164</v>
      </c>
      <c r="C343" s="27" t="s">
        <v>150</v>
      </c>
      <c r="D343" s="27" t="s">
        <v>167</v>
      </c>
      <c r="E343" s="8">
        <v>2005601</v>
      </c>
      <c r="F343" s="7" t="str">
        <f>IFERROR(_xlfn.XLOOKUP(E:E,[1]Buff!$A:$A,[1]Buff!$E:$E),"None")</f>
        <v>힐드 패시브 버프당 치명타 확률 증가</v>
      </c>
      <c r="G343" s="1">
        <v>0</v>
      </c>
      <c r="H343" s="1" t="s">
        <v>38</v>
      </c>
      <c r="I343" s="1" t="s">
        <v>38</v>
      </c>
      <c r="J343" s="1">
        <v>100000</v>
      </c>
      <c r="K343" s="8">
        <v>5000</v>
      </c>
      <c r="L343" s="8">
        <v>1009</v>
      </c>
      <c r="M343" s="8">
        <v>25</v>
      </c>
      <c r="N343" s="8">
        <v>0</v>
      </c>
      <c r="O343" s="8">
        <v>0</v>
      </c>
      <c r="P343" s="8">
        <v>0</v>
      </c>
      <c r="Q343" s="8">
        <v>0</v>
      </c>
      <c r="R343" s="8">
        <v>0</v>
      </c>
      <c r="S343" s="8">
        <v>0</v>
      </c>
      <c r="T343" s="37">
        <v>-1</v>
      </c>
      <c r="U343" s="1">
        <v>100010</v>
      </c>
      <c r="V343" s="1">
        <v>0</v>
      </c>
      <c r="W343" s="1">
        <v>0</v>
      </c>
      <c r="X343" s="1">
        <v>0</v>
      </c>
      <c r="Y343" s="1">
        <v>0</v>
      </c>
      <c r="Z343" s="1">
        <v>0</v>
      </c>
      <c r="AA343" s="1">
        <v>0</v>
      </c>
      <c r="AB343" s="1">
        <v>0</v>
      </c>
      <c r="AC343" s="1">
        <v>0</v>
      </c>
    </row>
    <row r="344" spans="1:29" s="11" customFormat="1" x14ac:dyDescent="0.3">
      <c r="A344" s="10">
        <v>13033611</v>
      </c>
      <c r="B344" s="31" t="s">
        <v>592</v>
      </c>
      <c r="C344" s="31" t="s">
        <v>150</v>
      </c>
      <c r="D344" s="31" t="s">
        <v>30</v>
      </c>
      <c r="E344" s="10">
        <v>1000001</v>
      </c>
      <c r="F344" s="12" t="str">
        <f>IFERROR(_xlfn.XLOOKUP(E:E,[1]Buff!$A:$A,[1]Buff!$E:$E),"None")</f>
        <v>공용 대미지</v>
      </c>
      <c r="G344" s="11">
        <v>0</v>
      </c>
      <c r="H344" s="11" t="s">
        <v>38</v>
      </c>
      <c r="I344" s="11" t="s">
        <v>38</v>
      </c>
      <c r="J344" s="11">
        <v>100000</v>
      </c>
      <c r="K344" s="10">
        <v>150000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  <c r="T344" s="38">
        <v>0</v>
      </c>
      <c r="U344" s="11">
        <v>130296</v>
      </c>
      <c r="V344" s="11">
        <v>0</v>
      </c>
      <c r="W344" s="11">
        <v>0</v>
      </c>
      <c r="X344" s="11">
        <v>0</v>
      </c>
      <c r="Y344" s="11">
        <v>0</v>
      </c>
      <c r="Z344" s="11">
        <v>0</v>
      </c>
      <c r="AA344" s="11">
        <v>0</v>
      </c>
      <c r="AB344" s="11">
        <v>0</v>
      </c>
      <c r="AC344" s="11">
        <v>0</v>
      </c>
    </row>
    <row r="345" spans="1:29" x14ac:dyDescent="0.3">
      <c r="A345" s="8">
        <v>23033611</v>
      </c>
      <c r="B345" s="27" t="s">
        <v>591</v>
      </c>
      <c r="C345" s="27" t="s">
        <v>150</v>
      </c>
      <c r="D345" s="27" t="s">
        <v>33</v>
      </c>
      <c r="E345" s="8">
        <v>1000002</v>
      </c>
      <c r="F345" s="7" t="str">
        <f>IFERROR(_xlfn.XLOOKUP(E:E,[1]Buff!$A:$A,[1]Buff!$E:$E),"None")</f>
        <v>액티브 대미지</v>
      </c>
      <c r="G345" s="1">
        <v>0</v>
      </c>
      <c r="H345" s="1" t="s">
        <v>38</v>
      </c>
      <c r="I345" s="1" t="s">
        <v>38</v>
      </c>
      <c r="J345" s="1">
        <v>100000</v>
      </c>
      <c r="K345" s="8">
        <v>40000</v>
      </c>
      <c r="L345" s="8">
        <v>0</v>
      </c>
      <c r="M345" s="8">
        <v>0</v>
      </c>
      <c r="N345" s="8">
        <v>0</v>
      </c>
      <c r="O345" s="8">
        <v>0</v>
      </c>
      <c r="P345" s="8">
        <v>0</v>
      </c>
      <c r="Q345" s="8">
        <v>0</v>
      </c>
      <c r="R345" s="8">
        <v>0</v>
      </c>
      <c r="S345" s="8">
        <v>0</v>
      </c>
      <c r="T345" s="37">
        <v>0</v>
      </c>
      <c r="U345" s="1">
        <v>230296</v>
      </c>
      <c r="V345" s="1">
        <v>0</v>
      </c>
      <c r="W345" s="1">
        <v>0</v>
      </c>
      <c r="X345" s="1">
        <v>0</v>
      </c>
      <c r="Y345" s="1">
        <v>0</v>
      </c>
      <c r="Z345" s="1">
        <v>0</v>
      </c>
      <c r="AA345" s="1">
        <v>0</v>
      </c>
      <c r="AB345" s="1">
        <v>0</v>
      </c>
      <c r="AC345" s="1">
        <v>0</v>
      </c>
    </row>
    <row r="346" spans="1:29" x14ac:dyDescent="0.3">
      <c r="A346" s="8">
        <v>23033621</v>
      </c>
      <c r="B346" s="27" t="s">
        <v>591</v>
      </c>
      <c r="C346" s="27" t="s">
        <v>150</v>
      </c>
      <c r="D346" s="27" t="s">
        <v>33</v>
      </c>
      <c r="E346" s="8">
        <v>1000002</v>
      </c>
      <c r="F346" s="7" t="str">
        <f>IFERROR(_xlfn.XLOOKUP(E:E,[1]Buff!$A:$A,[1]Buff!$E:$E),"None")</f>
        <v>액티브 대미지</v>
      </c>
      <c r="G346" s="1">
        <v>0</v>
      </c>
      <c r="H346" s="1" t="s">
        <v>38</v>
      </c>
      <c r="I346" s="1" t="s">
        <v>38</v>
      </c>
      <c r="J346" s="1">
        <v>100000</v>
      </c>
      <c r="K346" s="8">
        <v>40000</v>
      </c>
      <c r="L346" s="8">
        <v>0</v>
      </c>
      <c r="M346" s="8">
        <v>0</v>
      </c>
      <c r="N346" s="8">
        <v>0</v>
      </c>
      <c r="O346" s="8">
        <v>0</v>
      </c>
      <c r="P346" s="8">
        <v>0</v>
      </c>
      <c r="Q346" s="8">
        <v>0</v>
      </c>
      <c r="R346" s="8">
        <v>0</v>
      </c>
      <c r="S346" s="8">
        <v>0</v>
      </c>
      <c r="T346" s="37">
        <v>0</v>
      </c>
      <c r="U346" s="1">
        <v>230296</v>
      </c>
      <c r="V346" s="1">
        <v>0</v>
      </c>
      <c r="W346" s="1">
        <v>0</v>
      </c>
      <c r="X346" s="1">
        <v>0</v>
      </c>
      <c r="Y346" s="1">
        <v>0</v>
      </c>
      <c r="Z346" s="1">
        <v>0</v>
      </c>
      <c r="AA346" s="1">
        <v>0</v>
      </c>
      <c r="AB346" s="1">
        <v>0</v>
      </c>
      <c r="AC346" s="1">
        <v>0</v>
      </c>
    </row>
    <row r="347" spans="1:29" x14ac:dyDescent="0.3">
      <c r="A347" s="8">
        <v>33033611</v>
      </c>
      <c r="B347" s="27" t="s">
        <v>591</v>
      </c>
      <c r="C347" s="27" t="s">
        <v>150</v>
      </c>
      <c r="D347" s="27" t="s">
        <v>140</v>
      </c>
      <c r="E347" s="8">
        <v>1000003</v>
      </c>
      <c r="F347" s="7" t="str">
        <f>IFERROR(_xlfn.XLOOKUP(E:E,[1]Buff!$A:$A,[1]Buff!$E:$E),"None")</f>
        <v>얼티밋 대미지</v>
      </c>
      <c r="G347" s="1">
        <v>0</v>
      </c>
      <c r="H347" s="1" t="s">
        <v>38</v>
      </c>
      <c r="I347" s="1" t="s">
        <v>38</v>
      </c>
      <c r="J347" s="1">
        <v>100000</v>
      </c>
      <c r="K347" s="8">
        <v>320000</v>
      </c>
      <c r="L347" s="8">
        <v>0</v>
      </c>
      <c r="M347" s="8">
        <v>0</v>
      </c>
      <c r="N347" s="8">
        <v>0</v>
      </c>
      <c r="O347" s="8">
        <v>0</v>
      </c>
      <c r="P347" s="8">
        <v>0</v>
      </c>
      <c r="Q347" s="8">
        <v>0</v>
      </c>
      <c r="R347" s="8">
        <v>0</v>
      </c>
      <c r="S347" s="8">
        <v>0</v>
      </c>
      <c r="T347" s="37">
        <v>0</v>
      </c>
      <c r="U347" s="1">
        <v>330296</v>
      </c>
      <c r="V347" s="1">
        <v>0</v>
      </c>
      <c r="W347" s="1">
        <v>0</v>
      </c>
      <c r="X347" s="1">
        <v>0</v>
      </c>
      <c r="Y347" s="1">
        <v>0</v>
      </c>
      <c r="Z347" s="1">
        <v>0</v>
      </c>
      <c r="AA347" s="1">
        <v>0</v>
      </c>
      <c r="AB347" s="1">
        <v>0</v>
      </c>
      <c r="AC347" s="1">
        <v>0</v>
      </c>
    </row>
    <row r="348" spans="1:29" x14ac:dyDescent="0.3">
      <c r="A348" s="8">
        <v>33033621</v>
      </c>
      <c r="B348" s="27" t="s">
        <v>591</v>
      </c>
      <c r="C348" s="27" t="s">
        <v>150</v>
      </c>
      <c r="D348" s="27" t="s">
        <v>140</v>
      </c>
      <c r="E348" s="8">
        <v>1000003</v>
      </c>
      <c r="F348" s="7" t="str">
        <f>IFERROR(_xlfn.XLOOKUP(E:E,[1]Buff!$A:$A,[1]Buff!$E:$E),"None")</f>
        <v>얼티밋 대미지</v>
      </c>
      <c r="G348" s="1">
        <v>0</v>
      </c>
      <c r="H348" s="1" t="s">
        <v>38</v>
      </c>
      <c r="I348" s="1" t="s">
        <v>38</v>
      </c>
      <c r="J348" s="1">
        <v>100000</v>
      </c>
      <c r="K348" s="8">
        <v>320000</v>
      </c>
      <c r="L348" s="8">
        <v>0</v>
      </c>
      <c r="M348" s="8">
        <v>0</v>
      </c>
      <c r="N348" s="8">
        <v>0</v>
      </c>
      <c r="O348" s="8">
        <v>0</v>
      </c>
      <c r="P348" s="8">
        <v>0</v>
      </c>
      <c r="Q348" s="8">
        <v>0</v>
      </c>
      <c r="R348" s="8">
        <v>0</v>
      </c>
      <c r="S348" s="8">
        <v>0</v>
      </c>
      <c r="T348" s="37">
        <v>0</v>
      </c>
      <c r="U348" s="1">
        <v>330296</v>
      </c>
      <c r="V348" s="1">
        <v>0</v>
      </c>
      <c r="W348" s="1">
        <v>0</v>
      </c>
      <c r="X348" s="1">
        <v>0</v>
      </c>
      <c r="Y348" s="1">
        <v>0</v>
      </c>
      <c r="Z348" s="1">
        <v>0</v>
      </c>
      <c r="AA348" s="1">
        <v>0</v>
      </c>
      <c r="AB348" s="1">
        <v>0</v>
      </c>
      <c r="AC348" s="1">
        <v>0</v>
      </c>
    </row>
    <row r="349" spans="1:29" x14ac:dyDescent="0.3">
      <c r="A349" s="8">
        <v>33033631</v>
      </c>
      <c r="B349" s="27" t="s">
        <v>591</v>
      </c>
      <c r="C349" s="27" t="s">
        <v>150</v>
      </c>
      <c r="D349" s="27" t="s">
        <v>140</v>
      </c>
      <c r="E349" s="8">
        <v>1000003</v>
      </c>
      <c r="F349" s="7" t="str">
        <f>IFERROR(_xlfn.XLOOKUP(E:E,[1]Buff!$A:$A,[1]Buff!$E:$E),"None")</f>
        <v>얼티밋 대미지</v>
      </c>
      <c r="G349" s="1">
        <v>0</v>
      </c>
      <c r="H349" s="1" t="s">
        <v>38</v>
      </c>
      <c r="I349" s="1" t="s">
        <v>38</v>
      </c>
      <c r="J349" s="1">
        <v>100000</v>
      </c>
      <c r="K349" s="8">
        <v>320000</v>
      </c>
      <c r="L349" s="8">
        <v>0</v>
      </c>
      <c r="M349" s="8">
        <v>0</v>
      </c>
      <c r="N349" s="8">
        <v>0</v>
      </c>
      <c r="O349" s="8">
        <v>0</v>
      </c>
      <c r="P349" s="8">
        <v>0</v>
      </c>
      <c r="Q349" s="8">
        <v>0</v>
      </c>
      <c r="R349" s="8">
        <v>0</v>
      </c>
      <c r="S349" s="8">
        <v>0</v>
      </c>
      <c r="T349" s="37">
        <v>0</v>
      </c>
      <c r="U349" s="1">
        <v>330296</v>
      </c>
      <c r="V349" s="1">
        <v>0</v>
      </c>
      <c r="W349" s="1">
        <v>0</v>
      </c>
      <c r="X349" s="1">
        <v>0</v>
      </c>
      <c r="Y349" s="1">
        <v>0</v>
      </c>
      <c r="Z349" s="1">
        <v>0</v>
      </c>
      <c r="AA349" s="1">
        <v>0</v>
      </c>
      <c r="AB349" s="1">
        <v>0</v>
      </c>
      <c r="AC349" s="1">
        <v>0</v>
      </c>
    </row>
    <row r="350" spans="1:29" x14ac:dyDescent="0.3">
      <c r="A350" s="8">
        <v>43033611</v>
      </c>
      <c r="B350" s="27" t="s">
        <v>591</v>
      </c>
      <c r="C350" s="27" t="s">
        <v>150</v>
      </c>
      <c r="D350" s="27" t="s">
        <v>167</v>
      </c>
      <c r="E350" s="8">
        <v>2005601</v>
      </c>
      <c r="F350" s="7" t="str">
        <f>IFERROR(_xlfn.XLOOKUP(E:E,[1]Buff!$A:$A,[1]Buff!$E:$E),"None")</f>
        <v>힐드 패시브 버프당 치명타 확률 증가</v>
      </c>
      <c r="G350" s="1">
        <v>0</v>
      </c>
      <c r="H350" s="1" t="s">
        <v>38</v>
      </c>
      <c r="I350" s="1" t="s">
        <v>38</v>
      </c>
      <c r="J350" s="1">
        <v>100000</v>
      </c>
      <c r="K350" s="8">
        <v>5000</v>
      </c>
      <c r="L350" s="8">
        <v>1009</v>
      </c>
      <c r="M350" s="8">
        <v>25</v>
      </c>
      <c r="N350" s="8">
        <v>0</v>
      </c>
      <c r="O350" s="8">
        <v>0</v>
      </c>
      <c r="P350" s="8">
        <v>0</v>
      </c>
      <c r="Q350" s="8">
        <v>0</v>
      </c>
      <c r="R350" s="8">
        <v>0</v>
      </c>
      <c r="S350" s="8">
        <v>0</v>
      </c>
      <c r="T350" s="37">
        <v>-1</v>
      </c>
      <c r="U350" s="1">
        <v>100010</v>
      </c>
      <c r="V350" s="1">
        <v>0</v>
      </c>
      <c r="W350" s="1">
        <v>0</v>
      </c>
      <c r="X350" s="1">
        <v>0</v>
      </c>
      <c r="Y350" s="1">
        <v>0</v>
      </c>
      <c r="Z350" s="1">
        <v>0</v>
      </c>
      <c r="AA350" s="1">
        <v>0</v>
      </c>
      <c r="AB350" s="1">
        <v>0</v>
      </c>
      <c r="AC350" s="1">
        <v>0</v>
      </c>
    </row>
    <row r="351" spans="1:29" x14ac:dyDescent="0.3">
      <c r="A351" s="8">
        <v>43033621</v>
      </c>
      <c r="B351" s="27" t="s">
        <v>591</v>
      </c>
      <c r="C351" s="27" t="s">
        <v>150</v>
      </c>
      <c r="D351" s="27" t="s">
        <v>167</v>
      </c>
      <c r="E351" s="8">
        <v>2005601</v>
      </c>
      <c r="F351" s="7" t="str">
        <f>IFERROR(_xlfn.XLOOKUP(E:E,[1]Buff!$A:$A,[1]Buff!$E:$E),"None")</f>
        <v>힐드 패시브 버프당 치명타 확률 증가</v>
      </c>
      <c r="G351" s="1">
        <v>0</v>
      </c>
      <c r="H351" s="1" t="s">
        <v>38</v>
      </c>
      <c r="I351" s="1" t="s">
        <v>38</v>
      </c>
      <c r="J351" s="1">
        <v>100000</v>
      </c>
      <c r="K351" s="8">
        <v>5000</v>
      </c>
      <c r="L351" s="8">
        <v>1009</v>
      </c>
      <c r="M351" s="8">
        <v>25</v>
      </c>
      <c r="N351" s="8">
        <v>0</v>
      </c>
      <c r="O351" s="8">
        <v>0</v>
      </c>
      <c r="P351" s="8">
        <v>0</v>
      </c>
      <c r="Q351" s="8">
        <v>0</v>
      </c>
      <c r="R351" s="8">
        <v>0</v>
      </c>
      <c r="S351" s="8">
        <v>0</v>
      </c>
      <c r="T351" s="37">
        <v>-1</v>
      </c>
      <c r="U351" s="1">
        <v>100010</v>
      </c>
      <c r="V351" s="1">
        <v>0</v>
      </c>
      <c r="W351" s="1">
        <v>0</v>
      </c>
      <c r="X351" s="1">
        <v>0</v>
      </c>
      <c r="Y351" s="1">
        <v>0</v>
      </c>
      <c r="Z351" s="1">
        <v>0</v>
      </c>
      <c r="AA351" s="1">
        <v>0</v>
      </c>
      <c r="AB351" s="1">
        <v>0</v>
      </c>
      <c r="AC351" s="1">
        <v>0</v>
      </c>
    </row>
    <row r="352" spans="1:29" s="11" customFormat="1" x14ac:dyDescent="0.3">
      <c r="A352" s="10">
        <v>13044511</v>
      </c>
      <c r="B352" s="31" t="s">
        <v>603</v>
      </c>
      <c r="C352" s="31" t="s">
        <v>150</v>
      </c>
      <c r="D352" s="31" t="s">
        <v>30</v>
      </c>
      <c r="E352" s="10">
        <v>1000001</v>
      </c>
      <c r="F352" s="12" t="str">
        <f>IFERROR(_xlfn.XLOOKUP(E:E,[1]Buff!$A:$A,[1]Buff!$E:$E),"None")</f>
        <v>공용 대미지</v>
      </c>
      <c r="G352" s="11">
        <v>0</v>
      </c>
      <c r="H352" s="11" t="s">
        <v>38</v>
      </c>
      <c r="I352" s="11" t="s">
        <v>38</v>
      </c>
      <c r="J352" s="11">
        <v>100000</v>
      </c>
      <c r="K352" s="10">
        <v>150000</v>
      </c>
      <c r="L352" s="10">
        <v>0</v>
      </c>
      <c r="M352" s="10">
        <v>0</v>
      </c>
      <c r="N352" s="10">
        <v>0</v>
      </c>
      <c r="O352" s="10">
        <v>0</v>
      </c>
      <c r="P352" s="10">
        <v>0</v>
      </c>
      <c r="Q352" s="10">
        <v>0</v>
      </c>
      <c r="R352" s="10">
        <v>0</v>
      </c>
      <c r="S352" s="10">
        <v>0</v>
      </c>
      <c r="T352" s="38">
        <v>0</v>
      </c>
      <c r="U352" s="11">
        <v>130296</v>
      </c>
      <c r="V352" s="11">
        <v>0</v>
      </c>
      <c r="W352" s="11">
        <v>0</v>
      </c>
      <c r="X352" s="11">
        <v>0</v>
      </c>
      <c r="Y352" s="11">
        <v>0</v>
      </c>
      <c r="Z352" s="11">
        <v>0</v>
      </c>
      <c r="AA352" s="11">
        <v>0</v>
      </c>
      <c r="AB352" s="11">
        <v>0</v>
      </c>
      <c r="AC352" s="11">
        <v>0</v>
      </c>
    </row>
    <row r="353" spans="1:29" x14ac:dyDescent="0.3">
      <c r="A353" s="8">
        <v>23044511</v>
      </c>
      <c r="B353" s="27" t="s">
        <v>602</v>
      </c>
      <c r="C353" s="27" t="s">
        <v>150</v>
      </c>
      <c r="D353" s="27" t="s">
        <v>33</v>
      </c>
      <c r="E353" s="8">
        <v>1000002</v>
      </c>
      <c r="F353" s="7" t="str">
        <f>IFERROR(_xlfn.XLOOKUP(E:E,[1]Buff!$A:$A,[1]Buff!$E:$E),"None")</f>
        <v>액티브 대미지</v>
      </c>
      <c r="G353" s="1">
        <v>0</v>
      </c>
      <c r="H353" s="1" t="s">
        <v>38</v>
      </c>
      <c r="I353" s="1" t="s">
        <v>38</v>
      </c>
      <c r="J353" s="1">
        <v>100000</v>
      </c>
      <c r="K353" s="8">
        <v>40000</v>
      </c>
      <c r="L353" s="8">
        <v>0</v>
      </c>
      <c r="M353" s="8">
        <v>0</v>
      </c>
      <c r="N353" s="8">
        <v>0</v>
      </c>
      <c r="O353" s="8">
        <v>0</v>
      </c>
      <c r="P353" s="8">
        <v>0</v>
      </c>
      <c r="Q353" s="8">
        <v>0</v>
      </c>
      <c r="R353" s="8">
        <v>0</v>
      </c>
      <c r="S353" s="8">
        <v>0</v>
      </c>
      <c r="T353" s="37">
        <v>0</v>
      </c>
      <c r="U353" s="1">
        <v>230296</v>
      </c>
      <c r="V353" s="1">
        <v>0</v>
      </c>
      <c r="W353" s="1">
        <v>0</v>
      </c>
      <c r="X353" s="1">
        <v>0</v>
      </c>
      <c r="Y353" s="1">
        <v>0</v>
      </c>
      <c r="Z353" s="1">
        <v>0</v>
      </c>
      <c r="AA353" s="1">
        <v>0</v>
      </c>
      <c r="AB353" s="1">
        <v>0</v>
      </c>
      <c r="AC353" s="1">
        <v>0</v>
      </c>
    </row>
    <row r="354" spans="1:29" x14ac:dyDescent="0.3">
      <c r="A354" s="8">
        <v>23044521</v>
      </c>
      <c r="B354" s="27" t="s">
        <v>602</v>
      </c>
      <c r="C354" s="27" t="s">
        <v>150</v>
      </c>
      <c r="D354" s="27" t="s">
        <v>33</v>
      </c>
      <c r="E354" s="8">
        <v>1000002</v>
      </c>
      <c r="F354" s="7" t="str">
        <f>IFERROR(_xlfn.XLOOKUP(E:E,[1]Buff!$A:$A,[1]Buff!$E:$E),"None")</f>
        <v>액티브 대미지</v>
      </c>
      <c r="G354" s="1">
        <v>0</v>
      </c>
      <c r="H354" s="1" t="s">
        <v>38</v>
      </c>
      <c r="I354" s="1" t="s">
        <v>38</v>
      </c>
      <c r="J354" s="1">
        <v>100000</v>
      </c>
      <c r="K354" s="8">
        <v>40000</v>
      </c>
      <c r="L354" s="8">
        <v>0</v>
      </c>
      <c r="M354" s="8">
        <v>0</v>
      </c>
      <c r="N354" s="8">
        <v>0</v>
      </c>
      <c r="O354" s="8">
        <v>0</v>
      </c>
      <c r="P354" s="8">
        <v>0</v>
      </c>
      <c r="Q354" s="8">
        <v>0</v>
      </c>
      <c r="R354" s="8">
        <v>0</v>
      </c>
      <c r="S354" s="8">
        <v>0</v>
      </c>
      <c r="T354" s="37">
        <v>0</v>
      </c>
      <c r="U354" s="1">
        <v>230296</v>
      </c>
      <c r="V354" s="1">
        <v>0</v>
      </c>
      <c r="W354" s="1">
        <v>0</v>
      </c>
      <c r="X354" s="1">
        <v>0</v>
      </c>
      <c r="Y354" s="1">
        <v>0</v>
      </c>
      <c r="Z354" s="1">
        <v>0</v>
      </c>
      <c r="AA354" s="1">
        <v>0</v>
      </c>
      <c r="AB354" s="1">
        <v>0</v>
      </c>
      <c r="AC354" s="1">
        <v>0</v>
      </c>
    </row>
    <row r="355" spans="1:29" x14ac:dyDescent="0.3">
      <c r="A355" s="8">
        <v>33044511</v>
      </c>
      <c r="B355" s="27" t="s">
        <v>602</v>
      </c>
      <c r="C355" s="27" t="s">
        <v>150</v>
      </c>
      <c r="D355" s="27" t="s">
        <v>140</v>
      </c>
      <c r="E355" s="8">
        <v>1000003</v>
      </c>
      <c r="F355" s="7" t="str">
        <f>IFERROR(_xlfn.XLOOKUP(E:E,[1]Buff!$A:$A,[1]Buff!$E:$E),"None")</f>
        <v>얼티밋 대미지</v>
      </c>
      <c r="G355" s="1">
        <v>0</v>
      </c>
      <c r="H355" s="1" t="s">
        <v>38</v>
      </c>
      <c r="I355" s="1" t="s">
        <v>38</v>
      </c>
      <c r="J355" s="1">
        <v>100000</v>
      </c>
      <c r="K355" s="8">
        <v>320000</v>
      </c>
      <c r="L355" s="8">
        <v>0</v>
      </c>
      <c r="M355" s="8">
        <v>0</v>
      </c>
      <c r="N355" s="8">
        <v>0</v>
      </c>
      <c r="O355" s="8">
        <v>0</v>
      </c>
      <c r="P355" s="8">
        <v>0</v>
      </c>
      <c r="Q355" s="8">
        <v>0</v>
      </c>
      <c r="R355" s="8">
        <v>0</v>
      </c>
      <c r="S355" s="8">
        <v>0</v>
      </c>
      <c r="T355" s="37">
        <v>0</v>
      </c>
      <c r="U355" s="1">
        <v>330296</v>
      </c>
      <c r="V355" s="1">
        <v>0</v>
      </c>
      <c r="W355" s="1">
        <v>0</v>
      </c>
      <c r="X355" s="1">
        <v>0</v>
      </c>
      <c r="Y355" s="1">
        <v>0</v>
      </c>
      <c r="Z355" s="1">
        <v>0</v>
      </c>
      <c r="AA355" s="1">
        <v>0</v>
      </c>
      <c r="AB355" s="1">
        <v>0</v>
      </c>
      <c r="AC355" s="1">
        <v>0</v>
      </c>
    </row>
    <row r="356" spans="1:29" x14ac:dyDescent="0.3">
      <c r="A356" s="8">
        <v>33044521</v>
      </c>
      <c r="B356" s="27" t="s">
        <v>602</v>
      </c>
      <c r="C356" s="27" t="s">
        <v>150</v>
      </c>
      <c r="D356" s="27" t="s">
        <v>140</v>
      </c>
      <c r="E356" s="8">
        <v>1000003</v>
      </c>
      <c r="F356" s="7" t="str">
        <f>IFERROR(_xlfn.XLOOKUP(E:E,[1]Buff!$A:$A,[1]Buff!$E:$E),"None")</f>
        <v>얼티밋 대미지</v>
      </c>
      <c r="G356" s="1">
        <v>0</v>
      </c>
      <c r="H356" s="1" t="s">
        <v>38</v>
      </c>
      <c r="I356" s="1" t="s">
        <v>38</v>
      </c>
      <c r="J356" s="1">
        <v>100000</v>
      </c>
      <c r="K356" s="8">
        <v>320000</v>
      </c>
      <c r="L356" s="8">
        <v>0</v>
      </c>
      <c r="M356" s="8">
        <v>0</v>
      </c>
      <c r="N356" s="8">
        <v>0</v>
      </c>
      <c r="O356" s="8">
        <v>0</v>
      </c>
      <c r="P356" s="8">
        <v>0</v>
      </c>
      <c r="Q356" s="8">
        <v>0</v>
      </c>
      <c r="R356" s="8">
        <v>0</v>
      </c>
      <c r="S356" s="8">
        <v>0</v>
      </c>
      <c r="T356" s="37">
        <v>0</v>
      </c>
      <c r="U356" s="1">
        <v>330296</v>
      </c>
      <c r="V356" s="1">
        <v>0</v>
      </c>
      <c r="W356" s="1">
        <v>0</v>
      </c>
      <c r="X356" s="1">
        <v>0</v>
      </c>
      <c r="Y356" s="1">
        <v>0</v>
      </c>
      <c r="Z356" s="1">
        <v>0</v>
      </c>
      <c r="AA356" s="1">
        <v>0</v>
      </c>
      <c r="AB356" s="1">
        <v>0</v>
      </c>
      <c r="AC356" s="1">
        <v>0</v>
      </c>
    </row>
    <row r="357" spans="1:29" x14ac:dyDescent="0.3">
      <c r="A357" s="8">
        <v>33044531</v>
      </c>
      <c r="B357" s="27" t="s">
        <v>602</v>
      </c>
      <c r="C357" s="27" t="s">
        <v>150</v>
      </c>
      <c r="D357" s="27" t="s">
        <v>140</v>
      </c>
      <c r="E357" s="8">
        <v>1000003</v>
      </c>
      <c r="F357" s="7" t="str">
        <f>IFERROR(_xlfn.XLOOKUP(E:E,[1]Buff!$A:$A,[1]Buff!$E:$E),"None")</f>
        <v>얼티밋 대미지</v>
      </c>
      <c r="G357" s="1">
        <v>0</v>
      </c>
      <c r="H357" s="1" t="s">
        <v>38</v>
      </c>
      <c r="I357" s="1" t="s">
        <v>38</v>
      </c>
      <c r="J357" s="1">
        <v>100000</v>
      </c>
      <c r="K357" s="8">
        <v>320000</v>
      </c>
      <c r="L357" s="8">
        <v>0</v>
      </c>
      <c r="M357" s="8">
        <v>0</v>
      </c>
      <c r="N357" s="8">
        <v>0</v>
      </c>
      <c r="O357" s="8">
        <v>0</v>
      </c>
      <c r="P357" s="8">
        <v>0</v>
      </c>
      <c r="Q357" s="8">
        <v>0</v>
      </c>
      <c r="R357" s="8">
        <v>0</v>
      </c>
      <c r="S357" s="8">
        <v>0</v>
      </c>
      <c r="T357" s="37">
        <v>0</v>
      </c>
      <c r="U357" s="1">
        <v>330296</v>
      </c>
      <c r="V357" s="1">
        <v>0</v>
      </c>
      <c r="W357" s="1">
        <v>0</v>
      </c>
      <c r="X357" s="1">
        <v>0</v>
      </c>
      <c r="Y357" s="1">
        <v>0</v>
      </c>
      <c r="Z357" s="1">
        <v>0</v>
      </c>
      <c r="AA357" s="1">
        <v>0</v>
      </c>
      <c r="AB357" s="1">
        <v>0</v>
      </c>
      <c r="AC357" s="1">
        <v>0</v>
      </c>
    </row>
    <row r="358" spans="1:29" x14ac:dyDescent="0.3">
      <c r="A358" s="8">
        <v>43044511</v>
      </c>
      <c r="B358" s="27" t="s">
        <v>602</v>
      </c>
      <c r="C358" s="27" t="s">
        <v>150</v>
      </c>
      <c r="D358" s="27" t="s">
        <v>167</v>
      </c>
      <c r="E358" s="8">
        <v>2005601</v>
      </c>
      <c r="F358" s="7" t="str">
        <f>IFERROR(_xlfn.XLOOKUP(E:E,[1]Buff!$A:$A,[1]Buff!$E:$E),"None")</f>
        <v>힐드 패시브 버프당 치명타 확률 증가</v>
      </c>
      <c r="G358" s="1">
        <v>0</v>
      </c>
      <c r="H358" s="1" t="s">
        <v>38</v>
      </c>
      <c r="I358" s="1" t="s">
        <v>38</v>
      </c>
      <c r="J358" s="1">
        <v>100000</v>
      </c>
      <c r="K358" s="8">
        <v>5000</v>
      </c>
      <c r="L358" s="8">
        <v>1009</v>
      </c>
      <c r="M358" s="8">
        <v>25</v>
      </c>
      <c r="N358" s="8">
        <v>0</v>
      </c>
      <c r="O358" s="8">
        <v>0</v>
      </c>
      <c r="P358" s="8">
        <v>0</v>
      </c>
      <c r="Q358" s="8">
        <v>0</v>
      </c>
      <c r="R358" s="8">
        <v>0</v>
      </c>
      <c r="S358" s="8">
        <v>0</v>
      </c>
      <c r="T358" s="37">
        <v>-1</v>
      </c>
      <c r="U358" s="1">
        <v>100010</v>
      </c>
      <c r="V358" s="1">
        <v>0</v>
      </c>
      <c r="W358" s="1">
        <v>0</v>
      </c>
      <c r="X358" s="1">
        <v>0</v>
      </c>
      <c r="Y358" s="1">
        <v>0</v>
      </c>
      <c r="Z358" s="1">
        <v>0</v>
      </c>
      <c r="AA358" s="1">
        <v>0</v>
      </c>
      <c r="AB358" s="1">
        <v>0</v>
      </c>
      <c r="AC358" s="1">
        <v>0</v>
      </c>
    </row>
    <row r="359" spans="1:29" x14ac:dyDescent="0.3">
      <c r="A359" s="8">
        <v>43044521</v>
      </c>
      <c r="B359" s="27" t="s">
        <v>602</v>
      </c>
      <c r="C359" s="27" t="s">
        <v>150</v>
      </c>
      <c r="D359" s="27" t="s">
        <v>167</v>
      </c>
      <c r="E359" s="8">
        <v>2005601</v>
      </c>
      <c r="F359" s="7" t="str">
        <f>IFERROR(_xlfn.XLOOKUP(E:E,[1]Buff!$A:$A,[1]Buff!$E:$E),"None")</f>
        <v>힐드 패시브 버프당 치명타 확률 증가</v>
      </c>
      <c r="G359" s="1">
        <v>0</v>
      </c>
      <c r="H359" s="1" t="s">
        <v>38</v>
      </c>
      <c r="I359" s="1" t="s">
        <v>38</v>
      </c>
      <c r="J359" s="1">
        <v>100000</v>
      </c>
      <c r="K359" s="8">
        <v>5000</v>
      </c>
      <c r="L359" s="8">
        <v>1009</v>
      </c>
      <c r="M359" s="8">
        <v>25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S359" s="8">
        <v>0</v>
      </c>
      <c r="T359" s="37">
        <v>-1</v>
      </c>
      <c r="U359" s="1">
        <v>100010</v>
      </c>
      <c r="V359" s="1">
        <v>0</v>
      </c>
      <c r="W359" s="1">
        <v>0</v>
      </c>
      <c r="X359" s="1">
        <v>0</v>
      </c>
      <c r="Y359" s="1">
        <v>0</v>
      </c>
      <c r="Z359" s="1">
        <v>0</v>
      </c>
      <c r="AA359" s="1">
        <v>0</v>
      </c>
      <c r="AB359" s="1">
        <v>0</v>
      </c>
      <c r="AC359" s="1">
        <v>0</v>
      </c>
    </row>
    <row r="360" spans="1:29" s="11" customFormat="1" x14ac:dyDescent="0.3">
      <c r="A360" s="10">
        <v>13046111</v>
      </c>
      <c r="B360" s="31" t="s">
        <v>608</v>
      </c>
      <c r="C360" s="31" t="s">
        <v>150</v>
      </c>
      <c r="D360" s="31" t="s">
        <v>30</v>
      </c>
      <c r="E360" s="10">
        <v>1000001</v>
      </c>
      <c r="F360" s="12" t="str">
        <f>IFERROR(_xlfn.XLOOKUP(E:E,[1]Buff!$A:$A,[1]Buff!$E:$E),"None")</f>
        <v>공용 대미지</v>
      </c>
      <c r="G360" s="11">
        <v>0</v>
      </c>
      <c r="H360" s="11" t="s">
        <v>38</v>
      </c>
      <c r="I360" s="11" t="s">
        <v>38</v>
      </c>
      <c r="J360" s="11">
        <v>100000</v>
      </c>
      <c r="K360" s="10">
        <v>150000</v>
      </c>
      <c r="L360" s="10">
        <v>0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0</v>
      </c>
      <c r="T360" s="38">
        <v>0</v>
      </c>
      <c r="U360" s="11">
        <v>130296</v>
      </c>
      <c r="V360" s="11">
        <v>0</v>
      </c>
      <c r="W360" s="11">
        <v>0</v>
      </c>
      <c r="X360" s="11">
        <v>0</v>
      </c>
      <c r="Y360" s="11">
        <v>0</v>
      </c>
      <c r="Z360" s="11">
        <v>0</v>
      </c>
      <c r="AA360" s="11">
        <v>0</v>
      </c>
      <c r="AB360" s="11">
        <v>0</v>
      </c>
      <c r="AC360" s="11">
        <v>0</v>
      </c>
    </row>
    <row r="361" spans="1:29" x14ac:dyDescent="0.3">
      <c r="A361" s="8">
        <v>23046111</v>
      </c>
      <c r="B361" s="27" t="s">
        <v>607</v>
      </c>
      <c r="C361" s="27" t="s">
        <v>150</v>
      </c>
      <c r="D361" s="27" t="s">
        <v>33</v>
      </c>
      <c r="E361" s="8">
        <v>1000002</v>
      </c>
      <c r="F361" s="7" t="str">
        <f>IFERROR(_xlfn.XLOOKUP(E:E,[1]Buff!$A:$A,[1]Buff!$E:$E),"None")</f>
        <v>액티브 대미지</v>
      </c>
      <c r="G361" s="1">
        <v>0</v>
      </c>
      <c r="H361" s="1" t="s">
        <v>38</v>
      </c>
      <c r="I361" s="1" t="s">
        <v>38</v>
      </c>
      <c r="J361" s="1">
        <v>100000</v>
      </c>
      <c r="K361" s="8">
        <v>40000</v>
      </c>
      <c r="L361" s="8">
        <v>0</v>
      </c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0</v>
      </c>
      <c r="T361" s="37">
        <v>0</v>
      </c>
      <c r="U361" s="1">
        <v>230296</v>
      </c>
      <c r="V361" s="1">
        <v>0</v>
      </c>
      <c r="W361" s="1">
        <v>0</v>
      </c>
      <c r="X361" s="1">
        <v>0</v>
      </c>
      <c r="Y361" s="1">
        <v>0</v>
      </c>
      <c r="Z361" s="1">
        <v>0</v>
      </c>
      <c r="AA361" s="1">
        <v>0</v>
      </c>
      <c r="AB361" s="1">
        <v>0</v>
      </c>
      <c r="AC361" s="1">
        <v>0</v>
      </c>
    </row>
    <row r="362" spans="1:29" x14ac:dyDescent="0.3">
      <c r="A362" s="8">
        <v>23046121</v>
      </c>
      <c r="B362" s="27" t="s">
        <v>607</v>
      </c>
      <c r="C362" s="27" t="s">
        <v>150</v>
      </c>
      <c r="D362" s="27" t="s">
        <v>33</v>
      </c>
      <c r="E362" s="8">
        <v>1000002</v>
      </c>
      <c r="F362" s="7" t="str">
        <f>IFERROR(_xlfn.XLOOKUP(E:E,[1]Buff!$A:$A,[1]Buff!$E:$E),"None")</f>
        <v>액티브 대미지</v>
      </c>
      <c r="G362" s="1">
        <v>0</v>
      </c>
      <c r="H362" s="1" t="s">
        <v>38</v>
      </c>
      <c r="I362" s="1" t="s">
        <v>38</v>
      </c>
      <c r="J362" s="1">
        <v>100000</v>
      </c>
      <c r="K362" s="8">
        <v>40000</v>
      </c>
      <c r="L362" s="8">
        <v>0</v>
      </c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S362" s="8">
        <v>0</v>
      </c>
      <c r="T362" s="37">
        <v>0</v>
      </c>
      <c r="U362" s="1">
        <v>230296</v>
      </c>
      <c r="V362" s="1">
        <v>0</v>
      </c>
      <c r="W362" s="1">
        <v>0</v>
      </c>
      <c r="X362" s="1">
        <v>0</v>
      </c>
      <c r="Y362" s="1">
        <v>0</v>
      </c>
      <c r="Z362" s="1">
        <v>0</v>
      </c>
      <c r="AA362" s="1">
        <v>0</v>
      </c>
      <c r="AB362" s="1">
        <v>0</v>
      </c>
      <c r="AC362" s="1">
        <v>0</v>
      </c>
    </row>
    <row r="363" spans="1:29" x14ac:dyDescent="0.3">
      <c r="A363" s="8">
        <v>33046111</v>
      </c>
      <c r="B363" s="27" t="s">
        <v>607</v>
      </c>
      <c r="C363" s="27" t="s">
        <v>150</v>
      </c>
      <c r="D363" s="27" t="s">
        <v>140</v>
      </c>
      <c r="E363" s="8">
        <v>1000003</v>
      </c>
      <c r="F363" s="7" t="str">
        <f>IFERROR(_xlfn.XLOOKUP(E:E,[1]Buff!$A:$A,[1]Buff!$E:$E),"None")</f>
        <v>얼티밋 대미지</v>
      </c>
      <c r="G363" s="1">
        <v>0</v>
      </c>
      <c r="H363" s="1" t="s">
        <v>38</v>
      </c>
      <c r="I363" s="1" t="s">
        <v>38</v>
      </c>
      <c r="J363" s="1">
        <v>100000</v>
      </c>
      <c r="K363" s="8">
        <v>320000</v>
      </c>
      <c r="L363" s="8">
        <v>0</v>
      </c>
      <c r="M363" s="8">
        <v>0</v>
      </c>
      <c r="N363" s="8">
        <v>0</v>
      </c>
      <c r="O363" s="8">
        <v>0</v>
      </c>
      <c r="P363" s="8">
        <v>0</v>
      </c>
      <c r="Q363" s="8">
        <v>0</v>
      </c>
      <c r="R363" s="8">
        <v>0</v>
      </c>
      <c r="S363" s="8">
        <v>0</v>
      </c>
      <c r="T363" s="37">
        <v>0</v>
      </c>
      <c r="U363" s="1">
        <v>330296</v>
      </c>
      <c r="V363" s="1">
        <v>0</v>
      </c>
      <c r="W363" s="1">
        <v>0</v>
      </c>
      <c r="X363" s="1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</row>
    <row r="364" spans="1:29" x14ac:dyDescent="0.3">
      <c r="A364" s="8">
        <v>33046121</v>
      </c>
      <c r="B364" s="27" t="s">
        <v>607</v>
      </c>
      <c r="C364" s="27" t="s">
        <v>150</v>
      </c>
      <c r="D364" s="27" t="s">
        <v>140</v>
      </c>
      <c r="E364" s="8">
        <v>1000003</v>
      </c>
      <c r="F364" s="7" t="str">
        <f>IFERROR(_xlfn.XLOOKUP(E:E,[1]Buff!$A:$A,[1]Buff!$E:$E),"None")</f>
        <v>얼티밋 대미지</v>
      </c>
      <c r="G364" s="1">
        <v>0</v>
      </c>
      <c r="H364" s="1" t="s">
        <v>38</v>
      </c>
      <c r="I364" s="1" t="s">
        <v>38</v>
      </c>
      <c r="J364" s="1">
        <v>100000</v>
      </c>
      <c r="K364" s="8">
        <v>320000</v>
      </c>
      <c r="L364" s="8">
        <v>0</v>
      </c>
      <c r="M364" s="8">
        <v>0</v>
      </c>
      <c r="N364" s="8">
        <v>0</v>
      </c>
      <c r="O364" s="8">
        <v>0</v>
      </c>
      <c r="P364" s="8">
        <v>0</v>
      </c>
      <c r="Q364" s="8">
        <v>0</v>
      </c>
      <c r="R364" s="8">
        <v>0</v>
      </c>
      <c r="S364" s="8">
        <v>0</v>
      </c>
      <c r="T364" s="37">
        <v>0</v>
      </c>
      <c r="U364" s="1">
        <v>330296</v>
      </c>
      <c r="V364" s="1">
        <v>0</v>
      </c>
      <c r="W364" s="1">
        <v>0</v>
      </c>
      <c r="X364" s="1">
        <v>0</v>
      </c>
      <c r="Y364" s="1">
        <v>0</v>
      </c>
      <c r="Z364" s="1">
        <v>0</v>
      </c>
      <c r="AA364" s="1">
        <v>0</v>
      </c>
      <c r="AB364" s="1">
        <v>0</v>
      </c>
      <c r="AC364" s="1">
        <v>0</v>
      </c>
    </row>
    <row r="365" spans="1:29" x14ac:dyDescent="0.3">
      <c r="A365" s="8">
        <v>33046131</v>
      </c>
      <c r="B365" s="27" t="s">
        <v>607</v>
      </c>
      <c r="C365" s="27" t="s">
        <v>150</v>
      </c>
      <c r="D365" s="27" t="s">
        <v>140</v>
      </c>
      <c r="E365" s="8">
        <v>1000003</v>
      </c>
      <c r="F365" s="7" t="str">
        <f>IFERROR(_xlfn.XLOOKUP(E:E,[1]Buff!$A:$A,[1]Buff!$E:$E),"None")</f>
        <v>얼티밋 대미지</v>
      </c>
      <c r="G365" s="1">
        <v>0</v>
      </c>
      <c r="H365" s="1" t="s">
        <v>38</v>
      </c>
      <c r="I365" s="1" t="s">
        <v>38</v>
      </c>
      <c r="J365" s="1">
        <v>100000</v>
      </c>
      <c r="K365" s="8">
        <v>320000</v>
      </c>
      <c r="L365" s="8">
        <v>0</v>
      </c>
      <c r="M365" s="8">
        <v>0</v>
      </c>
      <c r="N365" s="8">
        <v>0</v>
      </c>
      <c r="O365" s="8">
        <v>0</v>
      </c>
      <c r="P365" s="8">
        <v>0</v>
      </c>
      <c r="Q365" s="8">
        <v>0</v>
      </c>
      <c r="R365" s="8">
        <v>0</v>
      </c>
      <c r="S365" s="8">
        <v>0</v>
      </c>
      <c r="T365" s="37">
        <v>0</v>
      </c>
      <c r="U365" s="1">
        <v>330296</v>
      </c>
      <c r="V365" s="1">
        <v>0</v>
      </c>
      <c r="W365" s="1">
        <v>0</v>
      </c>
      <c r="X365" s="1">
        <v>0</v>
      </c>
      <c r="Y365" s="1">
        <v>0</v>
      </c>
      <c r="Z365" s="1">
        <v>0</v>
      </c>
      <c r="AA365" s="1">
        <v>0</v>
      </c>
      <c r="AB365" s="1">
        <v>0</v>
      </c>
      <c r="AC365" s="1">
        <v>0</v>
      </c>
    </row>
    <row r="366" spans="1:29" x14ac:dyDescent="0.3">
      <c r="A366" s="8">
        <v>43046111</v>
      </c>
      <c r="B366" s="27" t="s">
        <v>607</v>
      </c>
      <c r="C366" s="27" t="s">
        <v>150</v>
      </c>
      <c r="D366" s="27" t="s">
        <v>167</v>
      </c>
      <c r="E366" s="8">
        <v>2005601</v>
      </c>
      <c r="F366" s="7" t="str">
        <f>IFERROR(_xlfn.XLOOKUP(E:E,[1]Buff!$A:$A,[1]Buff!$E:$E),"None")</f>
        <v>힐드 패시브 버프당 치명타 확률 증가</v>
      </c>
      <c r="G366" s="1">
        <v>0</v>
      </c>
      <c r="H366" s="1" t="s">
        <v>38</v>
      </c>
      <c r="I366" s="1" t="s">
        <v>38</v>
      </c>
      <c r="J366" s="1">
        <v>100000</v>
      </c>
      <c r="K366" s="8">
        <v>5000</v>
      </c>
      <c r="L366" s="8">
        <v>1009</v>
      </c>
      <c r="M366" s="8">
        <v>25</v>
      </c>
      <c r="N366" s="8">
        <v>0</v>
      </c>
      <c r="O366" s="8">
        <v>0</v>
      </c>
      <c r="P366" s="8">
        <v>0</v>
      </c>
      <c r="Q366" s="8">
        <v>0</v>
      </c>
      <c r="R366" s="8">
        <v>0</v>
      </c>
      <c r="S366" s="8">
        <v>0</v>
      </c>
      <c r="T366" s="37">
        <v>-1</v>
      </c>
      <c r="U366" s="1">
        <v>100010</v>
      </c>
      <c r="V366" s="1">
        <v>0</v>
      </c>
      <c r="W366" s="1">
        <v>0</v>
      </c>
      <c r="X366" s="1">
        <v>0</v>
      </c>
      <c r="Y366" s="1">
        <v>0</v>
      </c>
      <c r="Z366" s="1">
        <v>0</v>
      </c>
      <c r="AA366" s="1">
        <v>0</v>
      </c>
      <c r="AB366" s="1">
        <v>0</v>
      </c>
      <c r="AC366" s="1">
        <v>0</v>
      </c>
    </row>
    <row r="367" spans="1:29" x14ac:dyDescent="0.3">
      <c r="A367" s="8">
        <v>43046121</v>
      </c>
      <c r="B367" s="27" t="s">
        <v>607</v>
      </c>
      <c r="C367" s="27" t="s">
        <v>150</v>
      </c>
      <c r="D367" s="27" t="s">
        <v>167</v>
      </c>
      <c r="E367" s="8">
        <v>2005601</v>
      </c>
      <c r="F367" s="7" t="str">
        <f>IFERROR(_xlfn.XLOOKUP(E:E,[1]Buff!$A:$A,[1]Buff!$E:$E),"None")</f>
        <v>힐드 패시브 버프당 치명타 확률 증가</v>
      </c>
      <c r="G367" s="1">
        <v>0</v>
      </c>
      <c r="H367" s="1" t="s">
        <v>38</v>
      </c>
      <c r="I367" s="1" t="s">
        <v>38</v>
      </c>
      <c r="J367" s="1">
        <v>100000</v>
      </c>
      <c r="K367" s="8">
        <v>5000</v>
      </c>
      <c r="L367" s="8">
        <v>1009</v>
      </c>
      <c r="M367" s="8">
        <v>25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37">
        <v>-1</v>
      </c>
      <c r="U367" s="1">
        <v>100010</v>
      </c>
      <c r="V367" s="1">
        <v>0</v>
      </c>
      <c r="W367" s="1">
        <v>0</v>
      </c>
      <c r="X367" s="1">
        <v>0</v>
      </c>
      <c r="Y367" s="1">
        <v>0</v>
      </c>
      <c r="Z367" s="1">
        <v>0</v>
      </c>
      <c r="AA367" s="1">
        <v>0</v>
      </c>
      <c r="AB367" s="1">
        <v>0</v>
      </c>
      <c r="AC367" s="1">
        <v>0</v>
      </c>
    </row>
    <row r="368" spans="1:29" s="11" customFormat="1" x14ac:dyDescent="0.3">
      <c r="A368" s="10">
        <v>13028311</v>
      </c>
      <c r="B368" s="31" t="s">
        <v>615</v>
      </c>
      <c r="C368" s="31" t="s">
        <v>150</v>
      </c>
      <c r="D368" s="31" t="s">
        <v>30</v>
      </c>
      <c r="E368" s="10">
        <v>1000001</v>
      </c>
      <c r="F368" s="12" t="str">
        <f>IFERROR(_xlfn.XLOOKUP(E:E,[1]Buff!$A:$A,[1]Buff!$E:$E),"None")</f>
        <v>공용 대미지</v>
      </c>
      <c r="G368" s="11">
        <v>0</v>
      </c>
      <c r="H368" s="11" t="s">
        <v>38</v>
      </c>
      <c r="I368" s="11" t="s">
        <v>38</v>
      </c>
      <c r="J368" s="11">
        <v>100000</v>
      </c>
      <c r="K368" s="10">
        <v>150000</v>
      </c>
      <c r="L368" s="10">
        <v>0</v>
      </c>
      <c r="M368" s="10">
        <v>0</v>
      </c>
      <c r="N368" s="10">
        <v>0</v>
      </c>
      <c r="O368" s="10">
        <v>0</v>
      </c>
      <c r="P368" s="10">
        <v>0</v>
      </c>
      <c r="Q368" s="10">
        <v>0</v>
      </c>
      <c r="R368" s="10">
        <v>0</v>
      </c>
      <c r="S368" s="10">
        <v>0</v>
      </c>
      <c r="T368" s="38">
        <v>0</v>
      </c>
      <c r="U368" s="11">
        <v>130296</v>
      </c>
      <c r="V368" s="11">
        <v>0</v>
      </c>
      <c r="W368" s="11">
        <v>0</v>
      </c>
      <c r="X368" s="11">
        <v>0</v>
      </c>
      <c r="Y368" s="11">
        <v>0</v>
      </c>
      <c r="Z368" s="11">
        <v>0</v>
      </c>
      <c r="AA368" s="11">
        <v>0</v>
      </c>
      <c r="AB368" s="11">
        <v>0</v>
      </c>
      <c r="AC368" s="11">
        <v>0</v>
      </c>
    </row>
    <row r="369" spans="1:29" x14ac:dyDescent="0.3">
      <c r="A369" s="8">
        <v>23028311</v>
      </c>
      <c r="B369" s="27" t="s">
        <v>614</v>
      </c>
      <c r="C369" s="27" t="s">
        <v>150</v>
      </c>
      <c r="D369" s="27" t="s">
        <v>33</v>
      </c>
      <c r="E369" s="8">
        <v>1000002</v>
      </c>
      <c r="F369" s="7" t="str">
        <f>IFERROR(_xlfn.XLOOKUP(E:E,[1]Buff!$A:$A,[1]Buff!$E:$E),"None")</f>
        <v>액티브 대미지</v>
      </c>
      <c r="G369" s="1">
        <v>0</v>
      </c>
      <c r="H369" s="1" t="s">
        <v>38</v>
      </c>
      <c r="I369" s="1" t="s">
        <v>38</v>
      </c>
      <c r="J369" s="1">
        <v>100000</v>
      </c>
      <c r="K369" s="8">
        <v>40000</v>
      </c>
      <c r="L369" s="8">
        <v>0</v>
      </c>
      <c r="M369" s="8">
        <v>0</v>
      </c>
      <c r="N369" s="8">
        <v>0</v>
      </c>
      <c r="O369" s="8">
        <v>0</v>
      </c>
      <c r="P369" s="8">
        <v>0</v>
      </c>
      <c r="Q369" s="8">
        <v>0</v>
      </c>
      <c r="R369" s="8">
        <v>0</v>
      </c>
      <c r="S369" s="8">
        <v>0</v>
      </c>
      <c r="T369" s="37">
        <v>0</v>
      </c>
      <c r="U369" s="1">
        <v>230296</v>
      </c>
      <c r="V369" s="1">
        <v>0</v>
      </c>
      <c r="W369" s="1">
        <v>0</v>
      </c>
      <c r="X369" s="1">
        <v>0</v>
      </c>
      <c r="Y369" s="1">
        <v>0</v>
      </c>
      <c r="Z369" s="1">
        <v>0</v>
      </c>
      <c r="AA369" s="1">
        <v>0</v>
      </c>
      <c r="AB369" s="1">
        <v>0</v>
      </c>
      <c r="AC369" s="1">
        <v>0</v>
      </c>
    </row>
    <row r="370" spans="1:29" x14ac:dyDescent="0.3">
      <c r="A370" s="8">
        <v>23028321</v>
      </c>
      <c r="B370" s="27" t="s">
        <v>614</v>
      </c>
      <c r="C370" s="27" t="s">
        <v>150</v>
      </c>
      <c r="D370" s="27" t="s">
        <v>33</v>
      </c>
      <c r="E370" s="8">
        <v>1000002</v>
      </c>
      <c r="F370" s="7" t="str">
        <f>IFERROR(_xlfn.XLOOKUP(E:E,[1]Buff!$A:$A,[1]Buff!$E:$E),"None")</f>
        <v>액티브 대미지</v>
      </c>
      <c r="G370" s="1">
        <v>0</v>
      </c>
      <c r="H370" s="1" t="s">
        <v>38</v>
      </c>
      <c r="I370" s="1" t="s">
        <v>38</v>
      </c>
      <c r="J370" s="1">
        <v>100000</v>
      </c>
      <c r="K370" s="8">
        <v>40000</v>
      </c>
      <c r="L370" s="8">
        <v>0</v>
      </c>
      <c r="M370" s="8">
        <v>0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0</v>
      </c>
      <c r="T370" s="37">
        <v>0</v>
      </c>
      <c r="U370" s="1">
        <v>230296</v>
      </c>
      <c r="V370" s="1">
        <v>0</v>
      </c>
      <c r="W370" s="1">
        <v>0</v>
      </c>
      <c r="X370" s="1">
        <v>0</v>
      </c>
      <c r="Y370" s="1">
        <v>0</v>
      </c>
      <c r="Z370" s="1">
        <v>0</v>
      </c>
      <c r="AA370" s="1">
        <v>0</v>
      </c>
      <c r="AB370" s="1">
        <v>0</v>
      </c>
      <c r="AC370" s="1">
        <v>0</v>
      </c>
    </row>
    <row r="371" spans="1:29" x14ac:dyDescent="0.3">
      <c r="A371" s="8">
        <v>33028311</v>
      </c>
      <c r="B371" s="27" t="s">
        <v>614</v>
      </c>
      <c r="C371" s="27" t="s">
        <v>150</v>
      </c>
      <c r="D371" s="27" t="s">
        <v>140</v>
      </c>
      <c r="E371" s="8">
        <v>1000003</v>
      </c>
      <c r="F371" s="7" t="str">
        <f>IFERROR(_xlfn.XLOOKUP(E:E,[1]Buff!$A:$A,[1]Buff!$E:$E),"None")</f>
        <v>얼티밋 대미지</v>
      </c>
      <c r="G371" s="1">
        <v>0</v>
      </c>
      <c r="H371" s="1" t="s">
        <v>38</v>
      </c>
      <c r="I371" s="1" t="s">
        <v>38</v>
      </c>
      <c r="J371" s="1">
        <v>100000</v>
      </c>
      <c r="K371" s="8">
        <v>320000</v>
      </c>
      <c r="L371" s="8">
        <v>0</v>
      </c>
      <c r="M371" s="8">
        <v>0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0</v>
      </c>
      <c r="T371" s="37">
        <v>0</v>
      </c>
      <c r="U371" s="1">
        <v>330296</v>
      </c>
      <c r="V371" s="1">
        <v>0</v>
      </c>
      <c r="W371" s="1">
        <v>0</v>
      </c>
      <c r="X371" s="1">
        <v>0</v>
      </c>
      <c r="Y371" s="1">
        <v>0</v>
      </c>
      <c r="Z371" s="1">
        <v>0</v>
      </c>
      <c r="AA371" s="1">
        <v>0</v>
      </c>
      <c r="AB371" s="1">
        <v>0</v>
      </c>
      <c r="AC371" s="1">
        <v>0</v>
      </c>
    </row>
    <row r="372" spans="1:29" x14ac:dyDescent="0.3">
      <c r="A372" s="8">
        <v>33028321</v>
      </c>
      <c r="B372" s="27" t="s">
        <v>614</v>
      </c>
      <c r="C372" s="27" t="s">
        <v>150</v>
      </c>
      <c r="D372" s="27" t="s">
        <v>140</v>
      </c>
      <c r="E372" s="8">
        <v>1000003</v>
      </c>
      <c r="F372" s="7" t="str">
        <f>IFERROR(_xlfn.XLOOKUP(E:E,[1]Buff!$A:$A,[1]Buff!$E:$E),"None")</f>
        <v>얼티밋 대미지</v>
      </c>
      <c r="G372" s="1">
        <v>0</v>
      </c>
      <c r="H372" s="1" t="s">
        <v>38</v>
      </c>
      <c r="I372" s="1" t="s">
        <v>38</v>
      </c>
      <c r="J372" s="1">
        <v>100000</v>
      </c>
      <c r="K372" s="8">
        <v>320000</v>
      </c>
      <c r="L372" s="8">
        <v>0</v>
      </c>
      <c r="M372" s="8">
        <v>0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0</v>
      </c>
      <c r="T372" s="37">
        <v>0</v>
      </c>
      <c r="U372" s="1">
        <v>330296</v>
      </c>
      <c r="V372" s="1">
        <v>0</v>
      </c>
      <c r="W372" s="1">
        <v>0</v>
      </c>
      <c r="X372" s="1">
        <v>0</v>
      </c>
      <c r="Y372" s="1">
        <v>0</v>
      </c>
      <c r="Z372" s="1">
        <v>0</v>
      </c>
      <c r="AA372" s="1">
        <v>0</v>
      </c>
      <c r="AB372" s="1">
        <v>0</v>
      </c>
      <c r="AC372" s="1">
        <v>0</v>
      </c>
    </row>
    <row r="373" spans="1:29" x14ac:dyDescent="0.3">
      <c r="A373" s="8">
        <v>33028331</v>
      </c>
      <c r="B373" s="27" t="s">
        <v>614</v>
      </c>
      <c r="C373" s="27" t="s">
        <v>150</v>
      </c>
      <c r="D373" s="27" t="s">
        <v>140</v>
      </c>
      <c r="E373" s="8">
        <v>1000003</v>
      </c>
      <c r="F373" s="7" t="str">
        <f>IFERROR(_xlfn.XLOOKUP(E:E,[1]Buff!$A:$A,[1]Buff!$E:$E),"None")</f>
        <v>얼티밋 대미지</v>
      </c>
      <c r="G373" s="1">
        <v>0</v>
      </c>
      <c r="H373" s="1" t="s">
        <v>38</v>
      </c>
      <c r="I373" s="1" t="s">
        <v>38</v>
      </c>
      <c r="J373" s="1">
        <v>100000</v>
      </c>
      <c r="K373" s="8">
        <v>320000</v>
      </c>
      <c r="L373" s="8">
        <v>0</v>
      </c>
      <c r="M373" s="8">
        <v>0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0</v>
      </c>
      <c r="T373" s="37">
        <v>0</v>
      </c>
      <c r="U373" s="1">
        <v>330296</v>
      </c>
      <c r="V373" s="1">
        <v>0</v>
      </c>
      <c r="W373" s="1">
        <v>0</v>
      </c>
      <c r="X373" s="1">
        <v>0</v>
      </c>
      <c r="Y373" s="1">
        <v>0</v>
      </c>
      <c r="Z373" s="1">
        <v>0</v>
      </c>
      <c r="AA373" s="1">
        <v>0</v>
      </c>
      <c r="AB373" s="1">
        <v>0</v>
      </c>
      <c r="AC373" s="1">
        <v>0</v>
      </c>
    </row>
    <row r="374" spans="1:29" x14ac:dyDescent="0.3">
      <c r="A374" s="8">
        <v>43028311</v>
      </c>
      <c r="B374" s="27" t="s">
        <v>614</v>
      </c>
      <c r="C374" s="27" t="s">
        <v>150</v>
      </c>
      <c r="D374" s="27" t="s">
        <v>167</v>
      </c>
      <c r="E374" s="8">
        <v>2005601</v>
      </c>
      <c r="F374" s="7" t="str">
        <f>IFERROR(_xlfn.XLOOKUP(E:E,[1]Buff!$A:$A,[1]Buff!$E:$E),"None")</f>
        <v>힐드 패시브 버프당 치명타 확률 증가</v>
      </c>
      <c r="G374" s="1">
        <v>0</v>
      </c>
      <c r="H374" s="1" t="s">
        <v>38</v>
      </c>
      <c r="I374" s="1" t="s">
        <v>38</v>
      </c>
      <c r="J374" s="1">
        <v>100000</v>
      </c>
      <c r="K374" s="8">
        <v>5000</v>
      </c>
      <c r="L374" s="8">
        <v>1009</v>
      </c>
      <c r="M374" s="8">
        <v>25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0</v>
      </c>
      <c r="T374" s="37">
        <v>-1</v>
      </c>
      <c r="U374" s="1">
        <v>100010</v>
      </c>
      <c r="V374" s="1">
        <v>0</v>
      </c>
      <c r="W374" s="1">
        <v>0</v>
      </c>
      <c r="X374" s="1">
        <v>0</v>
      </c>
      <c r="Y374" s="1">
        <v>0</v>
      </c>
      <c r="Z374" s="1">
        <v>0</v>
      </c>
      <c r="AA374" s="1">
        <v>0</v>
      </c>
      <c r="AB374" s="1">
        <v>0</v>
      </c>
      <c r="AC374" s="1">
        <v>0</v>
      </c>
    </row>
    <row r="375" spans="1:29" x14ac:dyDescent="0.3">
      <c r="A375" s="8">
        <v>43028321</v>
      </c>
      <c r="B375" s="27" t="s">
        <v>614</v>
      </c>
      <c r="C375" s="27" t="s">
        <v>150</v>
      </c>
      <c r="D375" s="27" t="s">
        <v>167</v>
      </c>
      <c r="E375" s="8">
        <v>2005601</v>
      </c>
      <c r="F375" s="7" t="str">
        <f>IFERROR(_xlfn.XLOOKUP(E:E,[1]Buff!$A:$A,[1]Buff!$E:$E),"None")</f>
        <v>힐드 패시브 버프당 치명타 확률 증가</v>
      </c>
      <c r="G375" s="1">
        <v>0</v>
      </c>
      <c r="H375" s="1" t="s">
        <v>38</v>
      </c>
      <c r="I375" s="1" t="s">
        <v>38</v>
      </c>
      <c r="J375" s="1">
        <v>100000</v>
      </c>
      <c r="K375" s="8">
        <v>5000</v>
      </c>
      <c r="L375" s="8">
        <v>1009</v>
      </c>
      <c r="M375" s="8">
        <v>25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0</v>
      </c>
      <c r="T375" s="37">
        <v>-1</v>
      </c>
      <c r="U375" s="1">
        <v>100010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0</v>
      </c>
      <c r="AB375" s="1">
        <v>0</v>
      </c>
      <c r="AC375" s="1">
        <v>0</v>
      </c>
    </row>
    <row r="376" spans="1:29" s="11" customFormat="1" x14ac:dyDescent="0.3">
      <c r="A376" s="10">
        <v>13040011</v>
      </c>
      <c r="B376" s="31" t="s">
        <v>619</v>
      </c>
      <c r="C376" s="31" t="s">
        <v>150</v>
      </c>
      <c r="D376" s="31" t="s">
        <v>30</v>
      </c>
      <c r="E376" s="10">
        <v>1000001</v>
      </c>
      <c r="F376" s="12" t="str">
        <f>IFERROR(_xlfn.XLOOKUP(E:E,[1]Buff!$A:$A,[1]Buff!$E:$E),"None")</f>
        <v>공용 대미지</v>
      </c>
      <c r="G376" s="11">
        <v>0</v>
      </c>
      <c r="H376" s="11" t="s">
        <v>38</v>
      </c>
      <c r="I376" s="11" t="s">
        <v>38</v>
      </c>
      <c r="J376" s="11">
        <v>100000</v>
      </c>
      <c r="K376" s="10">
        <v>150000</v>
      </c>
      <c r="L376" s="10">
        <v>0</v>
      </c>
      <c r="M376" s="10">
        <v>0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38">
        <v>0</v>
      </c>
      <c r="U376" s="11">
        <v>130296</v>
      </c>
      <c r="V376" s="11">
        <v>0</v>
      </c>
      <c r="W376" s="11">
        <v>0</v>
      </c>
      <c r="X376" s="11">
        <v>0</v>
      </c>
      <c r="Y376" s="11">
        <v>0</v>
      </c>
      <c r="Z376" s="11">
        <v>0</v>
      </c>
      <c r="AA376" s="11">
        <v>0</v>
      </c>
      <c r="AB376" s="11">
        <v>0</v>
      </c>
      <c r="AC376" s="11">
        <v>0</v>
      </c>
    </row>
    <row r="377" spans="1:29" x14ac:dyDescent="0.3">
      <c r="A377" s="8">
        <v>23040011</v>
      </c>
      <c r="B377" s="27" t="s">
        <v>619</v>
      </c>
      <c r="C377" s="27" t="s">
        <v>150</v>
      </c>
      <c r="D377" s="27" t="s">
        <v>33</v>
      </c>
      <c r="E377" s="8">
        <v>1000002</v>
      </c>
      <c r="F377" s="7" t="str">
        <f>IFERROR(_xlfn.XLOOKUP(E:E,[1]Buff!$A:$A,[1]Buff!$E:$E),"None")</f>
        <v>액티브 대미지</v>
      </c>
      <c r="G377" s="1">
        <v>0</v>
      </c>
      <c r="H377" s="1" t="s">
        <v>38</v>
      </c>
      <c r="I377" s="1" t="s">
        <v>38</v>
      </c>
      <c r="J377" s="1">
        <v>100000</v>
      </c>
      <c r="K377" s="8">
        <v>40000</v>
      </c>
      <c r="L377" s="8">
        <v>0</v>
      </c>
      <c r="M377" s="8">
        <v>0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0</v>
      </c>
      <c r="T377" s="37">
        <v>0</v>
      </c>
      <c r="U377" s="1">
        <v>230296</v>
      </c>
      <c r="V377" s="1">
        <v>0</v>
      </c>
      <c r="W377" s="1">
        <v>0</v>
      </c>
      <c r="X377" s="1">
        <v>0</v>
      </c>
      <c r="Y377" s="1">
        <v>0</v>
      </c>
      <c r="Z377" s="1">
        <v>0</v>
      </c>
      <c r="AA377" s="1">
        <v>0</v>
      </c>
      <c r="AB377" s="1">
        <v>0</v>
      </c>
      <c r="AC377" s="1">
        <v>0</v>
      </c>
    </row>
    <row r="378" spans="1:29" x14ac:dyDescent="0.3">
      <c r="A378" s="8">
        <v>23040021</v>
      </c>
      <c r="B378" s="27" t="s">
        <v>619</v>
      </c>
      <c r="C378" s="27" t="s">
        <v>150</v>
      </c>
      <c r="D378" s="27" t="s">
        <v>33</v>
      </c>
      <c r="E378" s="8">
        <v>1000002</v>
      </c>
      <c r="F378" s="7" t="str">
        <f>IFERROR(_xlfn.XLOOKUP(E:E,[1]Buff!$A:$A,[1]Buff!$E:$E),"None")</f>
        <v>액티브 대미지</v>
      </c>
      <c r="G378" s="1">
        <v>0</v>
      </c>
      <c r="H378" s="1" t="s">
        <v>38</v>
      </c>
      <c r="I378" s="1" t="s">
        <v>38</v>
      </c>
      <c r="J378" s="1">
        <v>100000</v>
      </c>
      <c r="K378" s="8">
        <v>40000</v>
      </c>
      <c r="L378" s="8">
        <v>0</v>
      </c>
      <c r="M378" s="8">
        <v>0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0</v>
      </c>
      <c r="T378" s="37">
        <v>0</v>
      </c>
      <c r="U378" s="1">
        <v>230296</v>
      </c>
      <c r="V378" s="1">
        <v>0</v>
      </c>
      <c r="W378" s="1">
        <v>0</v>
      </c>
      <c r="X378" s="1">
        <v>0</v>
      </c>
      <c r="Y378" s="1">
        <v>0</v>
      </c>
      <c r="Z378" s="1">
        <v>0</v>
      </c>
      <c r="AA378" s="1">
        <v>0</v>
      </c>
      <c r="AB378" s="1">
        <v>0</v>
      </c>
      <c r="AC378" s="1">
        <v>0</v>
      </c>
    </row>
    <row r="379" spans="1:29" x14ac:dyDescent="0.3">
      <c r="A379" s="8">
        <v>33040011</v>
      </c>
      <c r="B379" s="27" t="s">
        <v>619</v>
      </c>
      <c r="C379" s="27" t="s">
        <v>150</v>
      </c>
      <c r="D379" s="27" t="s">
        <v>140</v>
      </c>
      <c r="E379" s="8">
        <v>1000003</v>
      </c>
      <c r="F379" s="7" t="str">
        <f>IFERROR(_xlfn.XLOOKUP(E:E,[1]Buff!$A:$A,[1]Buff!$E:$E),"None")</f>
        <v>얼티밋 대미지</v>
      </c>
      <c r="G379" s="1">
        <v>0</v>
      </c>
      <c r="H379" s="1" t="s">
        <v>38</v>
      </c>
      <c r="I379" s="1" t="s">
        <v>38</v>
      </c>
      <c r="J379" s="1">
        <v>100000</v>
      </c>
      <c r="K379" s="8">
        <v>320000</v>
      </c>
      <c r="L379" s="8">
        <v>0</v>
      </c>
      <c r="M379" s="8">
        <v>0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0</v>
      </c>
      <c r="T379" s="37">
        <v>0</v>
      </c>
      <c r="U379" s="1">
        <v>330296</v>
      </c>
      <c r="V379" s="1">
        <v>0</v>
      </c>
      <c r="W379" s="1">
        <v>0</v>
      </c>
      <c r="X379" s="1">
        <v>0</v>
      </c>
      <c r="Y379" s="1">
        <v>0</v>
      </c>
      <c r="Z379" s="1">
        <v>0</v>
      </c>
      <c r="AA379" s="1">
        <v>0</v>
      </c>
      <c r="AB379" s="1">
        <v>0</v>
      </c>
      <c r="AC379" s="1">
        <v>0</v>
      </c>
    </row>
    <row r="380" spans="1:29" x14ac:dyDescent="0.3">
      <c r="A380" s="8">
        <v>33040021</v>
      </c>
      <c r="B380" s="27" t="s">
        <v>619</v>
      </c>
      <c r="C380" s="27" t="s">
        <v>150</v>
      </c>
      <c r="D380" s="27" t="s">
        <v>140</v>
      </c>
      <c r="E380" s="8">
        <v>1000003</v>
      </c>
      <c r="F380" s="7" t="str">
        <f>IFERROR(_xlfn.XLOOKUP(E:E,[1]Buff!$A:$A,[1]Buff!$E:$E),"None")</f>
        <v>얼티밋 대미지</v>
      </c>
      <c r="G380" s="1">
        <v>0</v>
      </c>
      <c r="H380" s="1" t="s">
        <v>38</v>
      </c>
      <c r="I380" s="1" t="s">
        <v>38</v>
      </c>
      <c r="J380" s="1">
        <v>100000</v>
      </c>
      <c r="K380" s="8">
        <v>320000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0</v>
      </c>
      <c r="T380" s="37">
        <v>0</v>
      </c>
      <c r="U380" s="1">
        <v>330296</v>
      </c>
      <c r="V380" s="1">
        <v>0</v>
      </c>
      <c r="W380" s="1">
        <v>0</v>
      </c>
      <c r="X380" s="1">
        <v>0</v>
      </c>
      <c r="Y380" s="1">
        <v>0</v>
      </c>
      <c r="Z380" s="1">
        <v>0</v>
      </c>
      <c r="AA380" s="1">
        <v>0</v>
      </c>
      <c r="AB380" s="1">
        <v>0</v>
      </c>
      <c r="AC380" s="1">
        <v>0</v>
      </c>
    </row>
    <row r="381" spans="1:29" x14ac:dyDescent="0.3">
      <c r="A381" s="8">
        <v>33040031</v>
      </c>
      <c r="B381" s="27" t="s">
        <v>619</v>
      </c>
      <c r="C381" s="27" t="s">
        <v>150</v>
      </c>
      <c r="D381" s="27" t="s">
        <v>140</v>
      </c>
      <c r="E381" s="8">
        <v>1000003</v>
      </c>
      <c r="F381" s="7" t="str">
        <f>IFERROR(_xlfn.XLOOKUP(E:E,[1]Buff!$A:$A,[1]Buff!$E:$E),"None")</f>
        <v>얼티밋 대미지</v>
      </c>
      <c r="G381" s="1">
        <v>0</v>
      </c>
      <c r="H381" s="1" t="s">
        <v>38</v>
      </c>
      <c r="I381" s="1" t="s">
        <v>38</v>
      </c>
      <c r="J381" s="1">
        <v>100000</v>
      </c>
      <c r="K381" s="8">
        <v>320000</v>
      </c>
      <c r="L381" s="8">
        <v>0</v>
      </c>
      <c r="M381" s="8">
        <v>0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0</v>
      </c>
      <c r="T381" s="37">
        <v>0</v>
      </c>
      <c r="U381" s="1">
        <v>330296</v>
      </c>
      <c r="V381" s="1">
        <v>0</v>
      </c>
      <c r="W381" s="1">
        <v>0</v>
      </c>
      <c r="X381" s="1">
        <v>0</v>
      </c>
      <c r="Y381" s="1">
        <v>0</v>
      </c>
      <c r="Z381" s="1">
        <v>0</v>
      </c>
      <c r="AA381" s="1">
        <v>0</v>
      </c>
      <c r="AB381" s="1">
        <v>0</v>
      </c>
      <c r="AC381" s="1">
        <v>0</v>
      </c>
    </row>
    <row r="382" spans="1:29" x14ac:dyDescent="0.3">
      <c r="A382" s="8">
        <v>43040011</v>
      </c>
      <c r="B382" s="27" t="s">
        <v>619</v>
      </c>
      <c r="C382" s="27" t="s">
        <v>150</v>
      </c>
      <c r="D382" s="27" t="s">
        <v>167</v>
      </c>
      <c r="E382" s="8">
        <v>2005601</v>
      </c>
      <c r="F382" s="7" t="str">
        <f>IFERROR(_xlfn.XLOOKUP(E:E,[1]Buff!$A:$A,[1]Buff!$E:$E),"None")</f>
        <v>힐드 패시브 버프당 치명타 확률 증가</v>
      </c>
      <c r="G382" s="1">
        <v>0</v>
      </c>
      <c r="H382" s="1" t="s">
        <v>38</v>
      </c>
      <c r="I382" s="1" t="s">
        <v>38</v>
      </c>
      <c r="J382" s="1">
        <v>100000</v>
      </c>
      <c r="K382" s="8">
        <v>5000</v>
      </c>
      <c r="L382" s="8">
        <v>1009</v>
      </c>
      <c r="M382" s="8">
        <v>25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0</v>
      </c>
      <c r="T382" s="37">
        <v>-1</v>
      </c>
      <c r="U382" s="1">
        <v>100010</v>
      </c>
      <c r="V382" s="1">
        <v>0</v>
      </c>
      <c r="W382" s="1">
        <v>0</v>
      </c>
      <c r="X382" s="1">
        <v>0</v>
      </c>
      <c r="Y382" s="1">
        <v>0</v>
      </c>
      <c r="Z382" s="1">
        <v>0</v>
      </c>
      <c r="AA382" s="1">
        <v>0</v>
      </c>
      <c r="AB382" s="1">
        <v>0</v>
      </c>
      <c r="AC382" s="1">
        <v>0</v>
      </c>
    </row>
    <row r="383" spans="1:29" x14ac:dyDescent="0.3">
      <c r="A383" s="8">
        <v>43040021</v>
      </c>
      <c r="B383" s="27" t="s">
        <v>619</v>
      </c>
      <c r="C383" s="27" t="s">
        <v>150</v>
      </c>
      <c r="D383" s="27" t="s">
        <v>167</v>
      </c>
      <c r="E383" s="8">
        <v>2005601</v>
      </c>
      <c r="F383" s="7" t="str">
        <f>IFERROR(_xlfn.XLOOKUP(E:E,[1]Buff!$A:$A,[1]Buff!$E:$E),"None")</f>
        <v>힐드 패시브 버프당 치명타 확률 증가</v>
      </c>
      <c r="G383" s="1">
        <v>0</v>
      </c>
      <c r="H383" s="1" t="s">
        <v>38</v>
      </c>
      <c r="I383" s="1" t="s">
        <v>38</v>
      </c>
      <c r="J383" s="1">
        <v>100000</v>
      </c>
      <c r="K383" s="8">
        <v>5000</v>
      </c>
      <c r="L383" s="8">
        <v>1009</v>
      </c>
      <c r="M383" s="8">
        <v>25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0</v>
      </c>
      <c r="T383" s="37">
        <v>-1</v>
      </c>
      <c r="U383" s="1">
        <v>100010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0</v>
      </c>
      <c r="AB383" s="1">
        <v>0</v>
      </c>
      <c r="AC383" s="1">
        <v>0</v>
      </c>
    </row>
    <row r="384" spans="1:29" s="11" customFormat="1" x14ac:dyDescent="0.3">
      <c r="A384" s="10">
        <v>13044711</v>
      </c>
      <c r="B384" s="31" t="s">
        <v>632</v>
      </c>
      <c r="C384" s="31" t="s">
        <v>150</v>
      </c>
      <c r="D384" s="31" t="s">
        <v>30</v>
      </c>
      <c r="E384" s="10">
        <v>1000001</v>
      </c>
      <c r="F384" s="12" t="str">
        <f>IFERROR(_xlfn.XLOOKUP(E:E,[1]Buff!$A:$A,[1]Buff!$E:$E),"None")</f>
        <v>공용 대미지</v>
      </c>
      <c r="G384" s="11">
        <v>0</v>
      </c>
      <c r="H384" s="11" t="s">
        <v>38</v>
      </c>
      <c r="I384" s="11" t="s">
        <v>38</v>
      </c>
      <c r="J384" s="11">
        <v>100000</v>
      </c>
      <c r="K384" s="10">
        <v>150000</v>
      </c>
      <c r="L384" s="10">
        <v>0</v>
      </c>
      <c r="M384" s="10">
        <v>0</v>
      </c>
      <c r="N384" s="10">
        <v>0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38">
        <v>0</v>
      </c>
      <c r="U384" s="11">
        <v>130296</v>
      </c>
      <c r="V384" s="11">
        <v>0</v>
      </c>
      <c r="W384" s="11">
        <v>0</v>
      </c>
      <c r="X384" s="11">
        <v>0</v>
      </c>
      <c r="Y384" s="11">
        <v>0</v>
      </c>
      <c r="Z384" s="11">
        <v>0</v>
      </c>
      <c r="AA384" s="11">
        <v>0</v>
      </c>
      <c r="AB384" s="11">
        <v>0</v>
      </c>
      <c r="AC384" s="11">
        <v>0</v>
      </c>
    </row>
    <row r="385" spans="1:29" x14ac:dyDescent="0.3">
      <c r="A385" s="8">
        <v>23044711</v>
      </c>
      <c r="B385" s="27" t="s">
        <v>632</v>
      </c>
      <c r="C385" s="27" t="s">
        <v>150</v>
      </c>
      <c r="D385" s="27" t="s">
        <v>33</v>
      </c>
      <c r="E385" s="8">
        <v>1000002</v>
      </c>
      <c r="F385" s="7" t="str">
        <f>IFERROR(_xlfn.XLOOKUP(E:E,[1]Buff!$A:$A,[1]Buff!$E:$E),"None")</f>
        <v>액티브 대미지</v>
      </c>
      <c r="G385" s="1">
        <v>0</v>
      </c>
      <c r="H385" s="1" t="s">
        <v>38</v>
      </c>
      <c r="I385" s="1" t="s">
        <v>38</v>
      </c>
      <c r="J385" s="1">
        <v>100000</v>
      </c>
      <c r="K385" s="8">
        <v>40000</v>
      </c>
      <c r="L385" s="8">
        <v>0</v>
      </c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37">
        <v>0</v>
      </c>
      <c r="U385" s="1">
        <v>230296</v>
      </c>
      <c r="V385" s="1">
        <v>0</v>
      </c>
      <c r="W385" s="1">
        <v>0</v>
      </c>
      <c r="X385" s="1">
        <v>0</v>
      </c>
      <c r="Y385" s="1">
        <v>0</v>
      </c>
      <c r="Z385" s="1">
        <v>0</v>
      </c>
      <c r="AA385" s="1">
        <v>0</v>
      </c>
      <c r="AB385" s="1">
        <v>0</v>
      </c>
      <c r="AC385" s="1">
        <v>0</v>
      </c>
    </row>
    <row r="386" spans="1:29" x14ac:dyDescent="0.3">
      <c r="A386" s="8">
        <v>23044721</v>
      </c>
      <c r="B386" s="27" t="s">
        <v>632</v>
      </c>
      <c r="C386" s="27" t="s">
        <v>150</v>
      </c>
      <c r="D386" s="27" t="s">
        <v>33</v>
      </c>
      <c r="E386" s="8">
        <v>1000002</v>
      </c>
      <c r="F386" s="7" t="str">
        <f>IFERROR(_xlfn.XLOOKUP(E:E,[1]Buff!$A:$A,[1]Buff!$E:$E),"None")</f>
        <v>액티브 대미지</v>
      </c>
      <c r="G386" s="1">
        <v>0</v>
      </c>
      <c r="H386" s="1" t="s">
        <v>38</v>
      </c>
      <c r="I386" s="1" t="s">
        <v>38</v>
      </c>
      <c r="J386" s="1">
        <v>100000</v>
      </c>
      <c r="K386" s="8">
        <v>40000</v>
      </c>
      <c r="L386" s="8">
        <v>0</v>
      </c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37">
        <v>0</v>
      </c>
      <c r="U386" s="1">
        <v>230296</v>
      </c>
      <c r="V386" s="1">
        <v>0</v>
      </c>
      <c r="W386" s="1">
        <v>0</v>
      </c>
      <c r="X386" s="1">
        <v>0</v>
      </c>
      <c r="Y386" s="1">
        <v>0</v>
      </c>
      <c r="Z386" s="1">
        <v>0</v>
      </c>
      <c r="AA386" s="1">
        <v>0</v>
      </c>
      <c r="AB386" s="1">
        <v>0</v>
      </c>
      <c r="AC386" s="1">
        <v>0</v>
      </c>
    </row>
    <row r="387" spans="1:29" x14ac:dyDescent="0.3">
      <c r="A387" s="8">
        <v>33044711</v>
      </c>
      <c r="B387" s="27" t="s">
        <v>632</v>
      </c>
      <c r="C387" s="27" t="s">
        <v>150</v>
      </c>
      <c r="D387" s="27" t="s">
        <v>140</v>
      </c>
      <c r="E387" s="8">
        <v>1000003</v>
      </c>
      <c r="F387" s="7" t="str">
        <f>IFERROR(_xlfn.XLOOKUP(E:E,[1]Buff!$A:$A,[1]Buff!$E:$E),"None")</f>
        <v>얼티밋 대미지</v>
      </c>
      <c r="G387" s="1">
        <v>0</v>
      </c>
      <c r="H387" s="1" t="s">
        <v>38</v>
      </c>
      <c r="I387" s="1" t="s">
        <v>38</v>
      </c>
      <c r="J387" s="1">
        <v>100000</v>
      </c>
      <c r="K387" s="8">
        <v>320000</v>
      </c>
      <c r="L387" s="8">
        <v>0</v>
      </c>
      <c r="M387" s="8">
        <v>0</v>
      </c>
      <c r="N387" s="8">
        <v>0</v>
      </c>
      <c r="O387" s="8">
        <v>0</v>
      </c>
      <c r="P387" s="8">
        <v>0</v>
      </c>
      <c r="Q387" s="8">
        <v>0</v>
      </c>
      <c r="R387" s="8">
        <v>0</v>
      </c>
      <c r="S387" s="8">
        <v>0</v>
      </c>
      <c r="T387" s="37">
        <v>0</v>
      </c>
      <c r="U387" s="1">
        <v>330296</v>
      </c>
      <c r="V387" s="1">
        <v>0</v>
      </c>
      <c r="W387" s="1">
        <v>0</v>
      </c>
      <c r="X387" s="1">
        <v>0</v>
      </c>
      <c r="Y387" s="1">
        <v>0</v>
      </c>
      <c r="Z387" s="1">
        <v>0</v>
      </c>
      <c r="AA387" s="1">
        <v>0</v>
      </c>
      <c r="AB387" s="1">
        <v>0</v>
      </c>
      <c r="AC387" s="1">
        <v>0</v>
      </c>
    </row>
    <row r="388" spans="1:29" x14ac:dyDescent="0.3">
      <c r="A388" s="8">
        <v>33044721</v>
      </c>
      <c r="B388" s="27" t="s">
        <v>632</v>
      </c>
      <c r="C388" s="27" t="s">
        <v>150</v>
      </c>
      <c r="D388" s="27" t="s">
        <v>140</v>
      </c>
      <c r="E388" s="8">
        <v>1000003</v>
      </c>
      <c r="F388" s="7" t="str">
        <f>IFERROR(_xlfn.XLOOKUP(E:E,[1]Buff!$A:$A,[1]Buff!$E:$E),"None")</f>
        <v>얼티밋 대미지</v>
      </c>
      <c r="G388" s="1">
        <v>0</v>
      </c>
      <c r="H388" s="1" t="s">
        <v>38</v>
      </c>
      <c r="I388" s="1" t="s">
        <v>38</v>
      </c>
      <c r="J388" s="1">
        <v>100000</v>
      </c>
      <c r="K388" s="8">
        <v>320000</v>
      </c>
      <c r="L388" s="8">
        <v>0</v>
      </c>
      <c r="M388" s="8">
        <v>0</v>
      </c>
      <c r="N388" s="8">
        <v>0</v>
      </c>
      <c r="O388" s="8">
        <v>0</v>
      </c>
      <c r="P388" s="8">
        <v>0</v>
      </c>
      <c r="Q388" s="8">
        <v>0</v>
      </c>
      <c r="R388" s="8">
        <v>0</v>
      </c>
      <c r="S388" s="8">
        <v>0</v>
      </c>
      <c r="T388" s="37">
        <v>0</v>
      </c>
      <c r="U388" s="1">
        <v>330296</v>
      </c>
      <c r="V388" s="1">
        <v>0</v>
      </c>
      <c r="W388" s="1">
        <v>0</v>
      </c>
      <c r="X388" s="1">
        <v>0</v>
      </c>
      <c r="Y388" s="1">
        <v>0</v>
      </c>
      <c r="Z388" s="1">
        <v>0</v>
      </c>
      <c r="AA388" s="1">
        <v>0</v>
      </c>
      <c r="AB388" s="1">
        <v>0</v>
      </c>
      <c r="AC388" s="1">
        <v>0</v>
      </c>
    </row>
    <row r="389" spans="1:29" x14ac:dyDescent="0.3">
      <c r="A389" s="8">
        <v>33044731</v>
      </c>
      <c r="B389" s="27" t="s">
        <v>632</v>
      </c>
      <c r="C389" s="27" t="s">
        <v>150</v>
      </c>
      <c r="D389" s="27" t="s">
        <v>140</v>
      </c>
      <c r="E389" s="8">
        <v>1000003</v>
      </c>
      <c r="F389" s="7" t="str">
        <f>IFERROR(_xlfn.XLOOKUP(E:E,[1]Buff!$A:$A,[1]Buff!$E:$E),"None")</f>
        <v>얼티밋 대미지</v>
      </c>
      <c r="G389" s="1">
        <v>0</v>
      </c>
      <c r="H389" s="1" t="s">
        <v>38</v>
      </c>
      <c r="I389" s="1" t="s">
        <v>38</v>
      </c>
      <c r="J389" s="1">
        <v>100000</v>
      </c>
      <c r="K389" s="8">
        <v>320000</v>
      </c>
      <c r="L389" s="8">
        <v>0</v>
      </c>
      <c r="M389" s="8">
        <v>0</v>
      </c>
      <c r="N389" s="8">
        <v>0</v>
      </c>
      <c r="O389" s="8">
        <v>0</v>
      </c>
      <c r="P389" s="8">
        <v>0</v>
      </c>
      <c r="Q389" s="8">
        <v>0</v>
      </c>
      <c r="R389" s="8">
        <v>0</v>
      </c>
      <c r="S389" s="8">
        <v>0</v>
      </c>
      <c r="T389" s="37">
        <v>0</v>
      </c>
      <c r="U389" s="1">
        <v>330296</v>
      </c>
      <c r="V389" s="1">
        <v>0</v>
      </c>
      <c r="W389" s="1">
        <v>0</v>
      </c>
      <c r="X389" s="1">
        <v>0</v>
      </c>
      <c r="Y389" s="1">
        <v>0</v>
      </c>
      <c r="Z389" s="1">
        <v>0</v>
      </c>
      <c r="AA389" s="1">
        <v>0</v>
      </c>
      <c r="AB389" s="1">
        <v>0</v>
      </c>
      <c r="AC389" s="1">
        <v>0</v>
      </c>
    </row>
    <row r="390" spans="1:29" x14ac:dyDescent="0.3">
      <c r="A390" s="8">
        <v>43044711</v>
      </c>
      <c r="B390" s="27" t="s">
        <v>632</v>
      </c>
      <c r="C390" s="27" t="s">
        <v>150</v>
      </c>
      <c r="D390" s="27" t="s">
        <v>167</v>
      </c>
      <c r="E390" s="8">
        <v>2005601</v>
      </c>
      <c r="F390" s="7" t="str">
        <f>IFERROR(_xlfn.XLOOKUP(E:E,[1]Buff!$A:$A,[1]Buff!$E:$E),"None")</f>
        <v>힐드 패시브 버프당 치명타 확률 증가</v>
      </c>
      <c r="G390" s="1">
        <v>0</v>
      </c>
      <c r="H390" s="1" t="s">
        <v>38</v>
      </c>
      <c r="I390" s="1" t="s">
        <v>38</v>
      </c>
      <c r="J390" s="1">
        <v>100000</v>
      </c>
      <c r="K390" s="8">
        <v>5000</v>
      </c>
      <c r="L390" s="8">
        <v>1009</v>
      </c>
      <c r="M390" s="8">
        <v>25</v>
      </c>
      <c r="N390" s="8">
        <v>0</v>
      </c>
      <c r="O390" s="8">
        <v>0</v>
      </c>
      <c r="P390" s="8">
        <v>0</v>
      </c>
      <c r="Q390" s="8">
        <v>0</v>
      </c>
      <c r="R390" s="8">
        <v>0</v>
      </c>
      <c r="S390" s="8">
        <v>0</v>
      </c>
      <c r="T390" s="37">
        <v>-1</v>
      </c>
      <c r="U390" s="1">
        <v>100010</v>
      </c>
      <c r="V390" s="1">
        <v>0</v>
      </c>
      <c r="W390" s="1">
        <v>0</v>
      </c>
      <c r="X390" s="1">
        <v>0</v>
      </c>
      <c r="Y390" s="1">
        <v>0</v>
      </c>
      <c r="Z390" s="1">
        <v>0</v>
      </c>
      <c r="AA390" s="1">
        <v>0</v>
      </c>
      <c r="AB390" s="1">
        <v>0</v>
      </c>
      <c r="AC390" s="1">
        <v>0</v>
      </c>
    </row>
    <row r="391" spans="1:29" x14ac:dyDescent="0.3">
      <c r="A391" s="8">
        <v>43044721</v>
      </c>
      <c r="B391" s="27" t="s">
        <v>632</v>
      </c>
      <c r="C391" s="27" t="s">
        <v>150</v>
      </c>
      <c r="D391" s="27" t="s">
        <v>167</v>
      </c>
      <c r="E391" s="8">
        <v>2005601</v>
      </c>
      <c r="F391" s="7" t="str">
        <f>IFERROR(_xlfn.XLOOKUP(E:E,[1]Buff!$A:$A,[1]Buff!$E:$E),"None")</f>
        <v>힐드 패시브 버프당 치명타 확률 증가</v>
      </c>
      <c r="G391" s="1">
        <v>0</v>
      </c>
      <c r="H391" s="1" t="s">
        <v>38</v>
      </c>
      <c r="I391" s="1" t="s">
        <v>38</v>
      </c>
      <c r="J391" s="1">
        <v>100000</v>
      </c>
      <c r="K391" s="8">
        <v>5000</v>
      </c>
      <c r="L391" s="8">
        <v>1009</v>
      </c>
      <c r="M391" s="8">
        <v>25</v>
      </c>
      <c r="N391" s="8">
        <v>0</v>
      </c>
      <c r="O391" s="8">
        <v>0</v>
      </c>
      <c r="P391" s="8">
        <v>0</v>
      </c>
      <c r="Q391" s="8">
        <v>0</v>
      </c>
      <c r="R391" s="8">
        <v>0</v>
      </c>
      <c r="S391" s="8">
        <v>0</v>
      </c>
      <c r="T391" s="37">
        <v>-1</v>
      </c>
      <c r="U391" s="1">
        <v>100010</v>
      </c>
      <c r="V391" s="1">
        <v>0</v>
      </c>
      <c r="W391" s="1">
        <v>0</v>
      </c>
      <c r="X391" s="1">
        <v>0</v>
      </c>
      <c r="Y391" s="1">
        <v>0</v>
      </c>
      <c r="Z391" s="1">
        <v>0</v>
      </c>
      <c r="AA391" s="1">
        <v>0</v>
      </c>
      <c r="AB391" s="1">
        <v>0</v>
      </c>
      <c r="AC391" s="1">
        <v>0</v>
      </c>
    </row>
    <row r="392" spans="1:29" s="11" customFormat="1" x14ac:dyDescent="0.3">
      <c r="A392" s="10">
        <v>13046211</v>
      </c>
      <c r="B392" s="31" t="s">
        <v>638</v>
      </c>
      <c r="C392" s="31" t="s">
        <v>150</v>
      </c>
      <c r="D392" s="31" t="s">
        <v>30</v>
      </c>
      <c r="E392" s="10">
        <v>1000001</v>
      </c>
      <c r="F392" s="12" t="str">
        <f>IFERROR(_xlfn.XLOOKUP(E:E,[1]Buff!$A:$A,[1]Buff!$E:$E),"None")</f>
        <v>공용 대미지</v>
      </c>
      <c r="G392" s="11">
        <v>0</v>
      </c>
      <c r="H392" s="11" t="s">
        <v>38</v>
      </c>
      <c r="I392" s="11" t="s">
        <v>38</v>
      </c>
      <c r="J392" s="11">
        <v>100000</v>
      </c>
      <c r="K392" s="10">
        <v>150000</v>
      </c>
      <c r="L392" s="10">
        <v>0</v>
      </c>
      <c r="M392" s="10">
        <v>0</v>
      </c>
      <c r="N392" s="10">
        <v>0</v>
      </c>
      <c r="O392" s="10">
        <v>0</v>
      </c>
      <c r="P392" s="10">
        <v>0</v>
      </c>
      <c r="Q392" s="10">
        <v>0</v>
      </c>
      <c r="R392" s="10">
        <v>0</v>
      </c>
      <c r="S392" s="10">
        <v>0</v>
      </c>
      <c r="T392" s="38">
        <v>0</v>
      </c>
      <c r="U392" s="11">
        <v>130296</v>
      </c>
      <c r="V392" s="11">
        <v>0</v>
      </c>
      <c r="W392" s="11">
        <v>0</v>
      </c>
      <c r="X392" s="11">
        <v>0</v>
      </c>
      <c r="Y392" s="11">
        <v>0</v>
      </c>
      <c r="Z392" s="11">
        <v>0</v>
      </c>
      <c r="AA392" s="11">
        <v>0</v>
      </c>
      <c r="AB392" s="11">
        <v>0</v>
      </c>
      <c r="AC392" s="11">
        <v>0</v>
      </c>
    </row>
    <row r="393" spans="1:29" x14ac:dyDescent="0.3">
      <c r="A393" s="8">
        <v>23046211</v>
      </c>
      <c r="B393" s="27" t="s">
        <v>638</v>
      </c>
      <c r="C393" s="27" t="s">
        <v>150</v>
      </c>
      <c r="D393" s="27" t="s">
        <v>33</v>
      </c>
      <c r="E393" s="8">
        <v>1000002</v>
      </c>
      <c r="F393" s="7" t="str">
        <f>IFERROR(_xlfn.XLOOKUP(E:E,[1]Buff!$A:$A,[1]Buff!$E:$E),"None")</f>
        <v>액티브 대미지</v>
      </c>
      <c r="G393" s="1">
        <v>0</v>
      </c>
      <c r="H393" s="1" t="s">
        <v>38</v>
      </c>
      <c r="I393" s="1" t="s">
        <v>38</v>
      </c>
      <c r="J393" s="1">
        <v>100000</v>
      </c>
      <c r="K393" s="8">
        <v>40000</v>
      </c>
      <c r="L393" s="8">
        <v>0</v>
      </c>
      <c r="M393" s="8">
        <v>0</v>
      </c>
      <c r="N393" s="8">
        <v>0</v>
      </c>
      <c r="O393" s="8">
        <v>0</v>
      </c>
      <c r="P393" s="8">
        <v>0</v>
      </c>
      <c r="Q393" s="8">
        <v>0</v>
      </c>
      <c r="R393" s="8">
        <v>0</v>
      </c>
      <c r="S393" s="8">
        <v>0</v>
      </c>
      <c r="T393" s="37">
        <v>0</v>
      </c>
      <c r="U393" s="1">
        <v>230296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</row>
    <row r="394" spans="1:29" x14ac:dyDescent="0.3">
      <c r="A394" s="8">
        <v>23046221</v>
      </c>
      <c r="B394" s="27" t="s">
        <v>638</v>
      </c>
      <c r="C394" s="27" t="s">
        <v>150</v>
      </c>
      <c r="D394" s="27" t="s">
        <v>33</v>
      </c>
      <c r="E394" s="8">
        <v>1000002</v>
      </c>
      <c r="F394" s="7" t="str">
        <f>IFERROR(_xlfn.XLOOKUP(E:E,[1]Buff!$A:$A,[1]Buff!$E:$E),"None")</f>
        <v>액티브 대미지</v>
      </c>
      <c r="G394" s="1">
        <v>0</v>
      </c>
      <c r="H394" s="1" t="s">
        <v>38</v>
      </c>
      <c r="I394" s="1" t="s">
        <v>38</v>
      </c>
      <c r="J394" s="1">
        <v>100000</v>
      </c>
      <c r="K394" s="8">
        <v>40000</v>
      </c>
      <c r="L394" s="8">
        <v>0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0</v>
      </c>
      <c r="T394" s="37">
        <v>0</v>
      </c>
      <c r="U394" s="1">
        <v>230296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</row>
    <row r="395" spans="1:29" x14ac:dyDescent="0.3">
      <c r="A395" s="8">
        <v>33046211</v>
      </c>
      <c r="B395" s="27" t="s">
        <v>638</v>
      </c>
      <c r="C395" s="27" t="s">
        <v>150</v>
      </c>
      <c r="D395" s="27" t="s">
        <v>140</v>
      </c>
      <c r="E395" s="8">
        <v>1000003</v>
      </c>
      <c r="F395" s="7" t="str">
        <f>IFERROR(_xlfn.XLOOKUP(E:E,[1]Buff!$A:$A,[1]Buff!$E:$E),"None")</f>
        <v>얼티밋 대미지</v>
      </c>
      <c r="G395" s="1">
        <v>0</v>
      </c>
      <c r="H395" s="1" t="s">
        <v>38</v>
      </c>
      <c r="I395" s="1" t="s">
        <v>38</v>
      </c>
      <c r="J395" s="1">
        <v>100000</v>
      </c>
      <c r="K395" s="8">
        <v>320000</v>
      </c>
      <c r="L395" s="8">
        <v>0</v>
      </c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S395" s="8">
        <v>0</v>
      </c>
      <c r="T395" s="37">
        <v>0</v>
      </c>
      <c r="U395" s="1">
        <v>330296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</row>
    <row r="396" spans="1:29" x14ac:dyDescent="0.3">
      <c r="A396" s="8">
        <v>33046221</v>
      </c>
      <c r="B396" s="27" t="s">
        <v>638</v>
      </c>
      <c r="C396" s="27" t="s">
        <v>150</v>
      </c>
      <c r="D396" s="27" t="s">
        <v>140</v>
      </c>
      <c r="E396" s="8">
        <v>1000003</v>
      </c>
      <c r="F396" s="7" t="str">
        <f>IFERROR(_xlfn.XLOOKUP(E:E,[1]Buff!$A:$A,[1]Buff!$E:$E),"None")</f>
        <v>얼티밋 대미지</v>
      </c>
      <c r="G396" s="1">
        <v>0</v>
      </c>
      <c r="H396" s="1" t="s">
        <v>38</v>
      </c>
      <c r="I396" s="1" t="s">
        <v>38</v>
      </c>
      <c r="J396" s="1">
        <v>100000</v>
      </c>
      <c r="K396" s="8">
        <v>320000</v>
      </c>
      <c r="L396" s="8">
        <v>0</v>
      </c>
      <c r="M396" s="8">
        <v>0</v>
      </c>
      <c r="N396" s="8">
        <v>0</v>
      </c>
      <c r="O396" s="8">
        <v>0</v>
      </c>
      <c r="P396" s="8">
        <v>0</v>
      </c>
      <c r="Q396" s="8">
        <v>0</v>
      </c>
      <c r="R396" s="8">
        <v>0</v>
      </c>
      <c r="S396" s="8">
        <v>0</v>
      </c>
      <c r="T396" s="37">
        <v>0</v>
      </c>
      <c r="U396" s="1">
        <v>330296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</row>
    <row r="397" spans="1:29" x14ac:dyDescent="0.3">
      <c r="A397" s="8">
        <v>33046231</v>
      </c>
      <c r="B397" s="27" t="s">
        <v>638</v>
      </c>
      <c r="C397" s="27" t="s">
        <v>150</v>
      </c>
      <c r="D397" s="27" t="s">
        <v>140</v>
      </c>
      <c r="E397" s="8">
        <v>1000003</v>
      </c>
      <c r="F397" s="7" t="str">
        <f>IFERROR(_xlfn.XLOOKUP(E:E,[1]Buff!$A:$A,[1]Buff!$E:$E),"None")</f>
        <v>얼티밋 대미지</v>
      </c>
      <c r="G397" s="1">
        <v>0</v>
      </c>
      <c r="H397" s="1" t="s">
        <v>38</v>
      </c>
      <c r="I397" s="1" t="s">
        <v>38</v>
      </c>
      <c r="J397" s="1">
        <v>100000</v>
      </c>
      <c r="K397" s="8">
        <v>320000</v>
      </c>
      <c r="L397" s="8">
        <v>0</v>
      </c>
      <c r="M397" s="8">
        <v>0</v>
      </c>
      <c r="N397" s="8">
        <v>0</v>
      </c>
      <c r="O397" s="8">
        <v>0</v>
      </c>
      <c r="P397" s="8">
        <v>0</v>
      </c>
      <c r="Q397" s="8">
        <v>0</v>
      </c>
      <c r="R397" s="8">
        <v>0</v>
      </c>
      <c r="S397" s="8">
        <v>0</v>
      </c>
      <c r="T397" s="37">
        <v>0</v>
      </c>
      <c r="U397" s="1">
        <v>330296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</row>
    <row r="398" spans="1:29" x14ac:dyDescent="0.3">
      <c r="A398" s="8">
        <v>43046211</v>
      </c>
      <c r="B398" s="27" t="s">
        <v>638</v>
      </c>
      <c r="C398" s="27" t="s">
        <v>150</v>
      </c>
      <c r="D398" s="27" t="s">
        <v>167</v>
      </c>
      <c r="E398" s="8">
        <v>2005601</v>
      </c>
      <c r="F398" s="7" t="str">
        <f>IFERROR(_xlfn.XLOOKUP(E:E,[1]Buff!$A:$A,[1]Buff!$E:$E),"None")</f>
        <v>힐드 패시브 버프당 치명타 확률 증가</v>
      </c>
      <c r="G398" s="1">
        <v>0</v>
      </c>
      <c r="H398" s="1" t="s">
        <v>38</v>
      </c>
      <c r="I398" s="1" t="s">
        <v>38</v>
      </c>
      <c r="J398" s="1">
        <v>100000</v>
      </c>
      <c r="K398" s="8">
        <v>5000</v>
      </c>
      <c r="L398" s="8">
        <v>1009</v>
      </c>
      <c r="M398" s="8">
        <v>25</v>
      </c>
      <c r="N398" s="8">
        <v>0</v>
      </c>
      <c r="O398" s="8">
        <v>0</v>
      </c>
      <c r="P398" s="8">
        <v>0</v>
      </c>
      <c r="Q398" s="8">
        <v>0</v>
      </c>
      <c r="R398" s="8">
        <v>0</v>
      </c>
      <c r="S398" s="8">
        <v>0</v>
      </c>
      <c r="T398" s="37">
        <v>-1</v>
      </c>
      <c r="U398" s="1">
        <v>100010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</row>
    <row r="399" spans="1:29" x14ac:dyDescent="0.3">
      <c r="A399" s="8">
        <v>43046221</v>
      </c>
      <c r="B399" s="27" t="s">
        <v>638</v>
      </c>
      <c r="C399" s="27" t="s">
        <v>150</v>
      </c>
      <c r="D399" s="27" t="s">
        <v>167</v>
      </c>
      <c r="E399" s="8">
        <v>2005601</v>
      </c>
      <c r="F399" s="7" t="str">
        <f>IFERROR(_xlfn.XLOOKUP(E:E,[1]Buff!$A:$A,[1]Buff!$E:$E),"None")</f>
        <v>힐드 패시브 버프당 치명타 확률 증가</v>
      </c>
      <c r="G399" s="1">
        <v>0</v>
      </c>
      <c r="H399" s="1" t="s">
        <v>38</v>
      </c>
      <c r="I399" s="1" t="s">
        <v>38</v>
      </c>
      <c r="J399" s="1">
        <v>100000</v>
      </c>
      <c r="K399" s="8">
        <v>5000</v>
      </c>
      <c r="L399" s="8">
        <v>1009</v>
      </c>
      <c r="M399" s="8">
        <v>25</v>
      </c>
      <c r="N399" s="8">
        <v>0</v>
      </c>
      <c r="O399" s="8">
        <v>0</v>
      </c>
      <c r="P399" s="8">
        <v>0</v>
      </c>
      <c r="Q399" s="8">
        <v>0</v>
      </c>
      <c r="R399" s="8">
        <v>0</v>
      </c>
      <c r="S399" s="8">
        <v>0</v>
      </c>
      <c r="T399" s="37">
        <v>-1</v>
      </c>
      <c r="U399" s="1">
        <v>100010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</row>
    <row r="400" spans="1:29" s="11" customFormat="1" x14ac:dyDescent="0.3">
      <c r="A400" s="10">
        <v>13028111</v>
      </c>
      <c r="B400" s="31" t="s">
        <v>639</v>
      </c>
      <c r="C400" s="31" t="s">
        <v>150</v>
      </c>
      <c r="D400" s="31" t="s">
        <v>30</v>
      </c>
      <c r="E400" s="10">
        <v>1000001</v>
      </c>
      <c r="F400" s="12" t="str">
        <f>IFERROR(_xlfn.XLOOKUP(E:E,[1]Buff!$A:$A,[1]Buff!$E:$E),"None")</f>
        <v>공용 대미지</v>
      </c>
      <c r="G400" s="11">
        <v>0</v>
      </c>
      <c r="H400" s="11" t="s">
        <v>38</v>
      </c>
      <c r="I400" s="11" t="s">
        <v>38</v>
      </c>
      <c r="J400" s="11">
        <v>100000</v>
      </c>
      <c r="K400" s="10">
        <v>150000</v>
      </c>
      <c r="L400" s="10">
        <v>0</v>
      </c>
      <c r="M400" s="10">
        <v>0</v>
      </c>
      <c r="N400" s="10">
        <v>0</v>
      </c>
      <c r="O400" s="10">
        <v>0</v>
      </c>
      <c r="P400" s="10">
        <v>0</v>
      </c>
      <c r="Q400" s="10">
        <v>0</v>
      </c>
      <c r="R400" s="10">
        <v>0</v>
      </c>
      <c r="S400" s="10">
        <v>0</v>
      </c>
      <c r="T400" s="38">
        <v>0</v>
      </c>
      <c r="U400" s="11">
        <v>130296</v>
      </c>
      <c r="V400" s="11">
        <v>0</v>
      </c>
      <c r="W400" s="11">
        <v>0</v>
      </c>
      <c r="X400" s="11">
        <v>0</v>
      </c>
      <c r="Y400" s="11">
        <v>0</v>
      </c>
      <c r="Z400" s="11">
        <v>0</v>
      </c>
      <c r="AA400" s="11">
        <v>0</v>
      </c>
      <c r="AB400" s="11">
        <v>0</v>
      </c>
      <c r="AC400" s="11">
        <v>0</v>
      </c>
    </row>
    <row r="401" spans="1:29" x14ac:dyDescent="0.3">
      <c r="A401" s="8">
        <v>23028111</v>
      </c>
      <c r="B401" s="27" t="s">
        <v>639</v>
      </c>
      <c r="C401" s="27" t="s">
        <v>150</v>
      </c>
      <c r="D401" s="27" t="s">
        <v>33</v>
      </c>
      <c r="E401" s="8">
        <v>1000002</v>
      </c>
      <c r="F401" s="7" t="str">
        <f>IFERROR(_xlfn.XLOOKUP(E:E,[1]Buff!$A:$A,[1]Buff!$E:$E),"None")</f>
        <v>액티브 대미지</v>
      </c>
      <c r="G401" s="1">
        <v>0</v>
      </c>
      <c r="H401" s="1" t="s">
        <v>38</v>
      </c>
      <c r="I401" s="1" t="s">
        <v>38</v>
      </c>
      <c r="J401" s="1">
        <v>100000</v>
      </c>
      <c r="K401" s="8">
        <v>40000</v>
      </c>
      <c r="L401" s="8">
        <v>0</v>
      </c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S401" s="8">
        <v>0</v>
      </c>
      <c r="T401" s="37">
        <v>0</v>
      </c>
      <c r="U401" s="1">
        <v>230296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</row>
    <row r="402" spans="1:29" x14ac:dyDescent="0.3">
      <c r="A402" s="8">
        <v>23028121</v>
      </c>
      <c r="B402" s="27" t="s">
        <v>639</v>
      </c>
      <c r="C402" s="27" t="s">
        <v>150</v>
      </c>
      <c r="D402" s="27" t="s">
        <v>33</v>
      </c>
      <c r="E402" s="8">
        <v>1000002</v>
      </c>
      <c r="F402" s="7" t="str">
        <f>IFERROR(_xlfn.XLOOKUP(E:E,[1]Buff!$A:$A,[1]Buff!$E:$E),"None")</f>
        <v>액티브 대미지</v>
      </c>
      <c r="G402" s="1">
        <v>0</v>
      </c>
      <c r="H402" s="1" t="s">
        <v>38</v>
      </c>
      <c r="I402" s="1" t="s">
        <v>38</v>
      </c>
      <c r="J402" s="1">
        <v>100000</v>
      </c>
      <c r="K402" s="8">
        <v>40000</v>
      </c>
      <c r="L402" s="8">
        <v>0</v>
      </c>
      <c r="M402" s="8">
        <v>0</v>
      </c>
      <c r="N402" s="8">
        <v>0</v>
      </c>
      <c r="O402" s="8">
        <v>0</v>
      </c>
      <c r="P402" s="8">
        <v>0</v>
      </c>
      <c r="Q402" s="8">
        <v>0</v>
      </c>
      <c r="R402" s="8">
        <v>0</v>
      </c>
      <c r="S402" s="8">
        <v>0</v>
      </c>
      <c r="T402" s="37">
        <v>0</v>
      </c>
      <c r="U402" s="1">
        <v>230296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</row>
    <row r="403" spans="1:29" x14ac:dyDescent="0.3">
      <c r="A403" s="8">
        <v>33028111</v>
      </c>
      <c r="B403" s="27" t="s">
        <v>639</v>
      </c>
      <c r="C403" s="27" t="s">
        <v>150</v>
      </c>
      <c r="D403" s="27" t="s">
        <v>140</v>
      </c>
      <c r="E403" s="8">
        <v>1000003</v>
      </c>
      <c r="F403" s="7" t="str">
        <f>IFERROR(_xlfn.XLOOKUP(E:E,[1]Buff!$A:$A,[1]Buff!$E:$E),"None")</f>
        <v>얼티밋 대미지</v>
      </c>
      <c r="G403" s="1">
        <v>0</v>
      </c>
      <c r="H403" s="1" t="s">
        <v>38</v>
      </c>
      <c r="I403" s="1" t="s">
        <v>38</v>
      </c>
      <c r="J403" s="1">
        <v>100000</v>
      </c>
      <c r="K403" s="8">
        <v>320000</v>
      </c>
      <c r="L403" s="8">
        <v>0</v>
      </c>
      <c r="M403" s="8">
        <v>0</v>
      </c>
      <c r="N403" s="8">
        <v>0</v>
      </c>
      <c r="O403" s="8">
        <v>0</v>
      </c>
      <c r="P403" s="8">
        <v>0</v>
      </c>
      <c r="Q403" s="8">
        <v>0</v>
      </c>
      <c r="R403" s="8">
        <v>0</v>
      </c>
      <c r="S403" s="8">
        <v>0</v>
      </c>
      <c r="T403" s="37">
        <v>0</v>
      </c>
      <c r="U403" s="1">
        <v>330296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</row>
    <row r="404" spans="1:29" x14ac:dyDescent="0.3">
      <c r="A404" s="8">
        <v>33028121</v>
      </c>
      <c r="B404" s="27" t="s">
        <v>639</v>
      </c>
      <c r="C404" s="27" t="s">
        <v>150</v>
      </c>
      <c r="D404" s="27" t="s">
        <v>140</v>
      </c>
      <c r="E404" s="8">
        <v>1000003</v>
      </c>
      <c r="F404" s="7" t="str">
        <f>IFERROR(_xlfn.XLOOKUP(E:E,[1]Buff!$A:$A,[1]Buff!$E:$E),"None")</f>
        <v>얼티밋 대미지</v>
      </c>
      <c r="G404" s="1">
        <v>0</v>
      </c>
      <c r="H404" s="1" t="s">
        <v>38</v>
      </c>
      <c r="I404" s="1" t="s">
        <v>38</v>
      </c>
      <c r="J404" s="1">
        <v>100000</v>
      </c>
      <c r="K404" s="8">
        <v>320000</v>
      </c>
      <c r="L404" s="8">
        <v>0</v>
      </c>
      <c r="M404" s="8">
        <v>0</v>
      </c>
      <c r="N404" s="8">
        <v>0</v>
      </c>
      <c r="O404" s="8">
        <v>0</v>
      </c>
      <c r="P404" s="8">
        <v>0</v>
      </c>
      <c r="Q404" s="8">
        <v>0</v>
      </c>
      <c r="R404" s="8">
        <v>0</v>
      </c>
      <c r="S404" s="8">
        <v>0</v>
      </c>
      <c r="T404" s="37">
        <v>0</v>
      </c>
      <c r="U404" s="1">
        <v>330296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</row>
    <row r="405" spans="1:29" x14ac:dyDescent="0.3">
      <c r="A405" s="8">
        <v>33028131</v>
      </c>
      <c r="B405" s="27" t="s">
        <v>639</v>
      </c>
      <c r="C405" s="27" t="s">
        <v>150</v>
      </c>
      <c r="D405" s="27" t="s">
        <v>140</v>
      </c>
      <c r="E405" s="8">
        <v>1000003</v>
      </c>
      <c r="F405" s="7" t="str">
        <f>IFERROR(_xlfn.XLOOKUP(E:E,[1]Buff!$A:$A,[1]Buff!$E:$E),"None")</f>
        <v>얼티밋 대미지</v>
      </c>
      <c r="G405" s="1">
        <v>0</v>
      </c>
      <c r="H405" s="1" t="s">
        <v>38</v>
      </c>
      <c r="I405" s="1" t="s">
        <v>38</v>
      </c>
      <c r="J405" s="1">
        <v>100000</v>
      </c>
      <c r="K405" s="8">
        <v>320000</v>
      </c>
      <c r="L405" s="8">
        <v>0</v>
      </c>
      <c r="M405" s="8">
        <v>0</v>
      </c>
      <c r="N405" s="8">
        <v>0</v>
      </c>
      <c r="O405" s="8">
        <v>0</v>
      </c>
      <c r="P405" s="8">
        <v>0</v>
      </c>
      <c r="Q405" s="8">
        <v>0</v>
      </c>
      <c r="R405" s="8">
        <v>0</v>
      </c>
      <c r="S405" s="8">
        <v>0</v>
      </c>
      <c r="T405" s="37">
        <v>0</v>
      </c>
      <c r="U405" s="1">
        <v>330296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</row>
    <row r="406" spans="1:29" x14ac:dyDescent="0.3">
      <c r="A406" s="8">
        <v>43028111</v>
      </c>
      <c r="B406" s="27" t="s">
        <v>639</v>
      </c>
      <c r="C406" s="27" t="s">
        <v>150</v>
      </c>
      <c r="D406" s="27" t="s">
        <v>167</v>
      </c>
      <c r="E406" s="8">
        <v>2005601</v>
      </c>
      <c r="F406" s="7" t="str">
        <f>IFERROR(_xlfn.XLOOKUP(E:E,[1]Buff!$A:$A,[1]Buff!$E:$E),"None")</f>
        <v>힐드 패시브 버프당 치명타 확률 증가</v>
      </c>
      <c r="G406" s="1">
        <v>0</v>
      </c>
      <c r="H406" s="1" t="s">
        <v>38</v>
      </c>
      <c r="I406" s="1" t="s">
        <v>38</v>
      </c>
      <c r="J406" s="1">
        <v>100000</v>
      </c>
      <c r="K406" s="8">
        <v>5000</v>
      </c>
      <c r="L406" s="8">
        <v>1009</v>
      </c>
      <c r="M406" s="8">
        <v>25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0</v>
      </c>
      <c r="T406" s="37">
        <v>-1</v>
      </c>
      <c r="U406" s="1">
        <v>100010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</row>
    <row r="407" spans="1:29" x14ac:dyDescent="0.3">
      <c r="A407" s="8">
        <v>43028121</v>
      </c>
      <c r="B407" s="27" t="s">
        <v>639</v>
      </c>
      <c r="C407" s="27" t="s">
        <v>150</v>
      </c>
      <c r="D407" s="27" t="s">
        <v>167</v>
      </c>
      <c r="E407" s="8">
        <v>2005601</v>
      </c>
      <c r="F407" s="7" t="str">
        <f>IFERROR(_xlfn.XLOOKUP(E:E,[1]Buff!$A:$A,[1]Buff!$E:$E),"None")</f>
        <v>힐드 패시브 버프당 치명타 확률 증가</v>
      </c>
      <c r="G407" s="1">
        <v>0</v>
      </c>
      <c r="H407" s="1" t="s">
        <v>38</v>
      </c>
      <c r="I407" s="1" t="s">
        <v>38</v>
      </c>
      <c r="J407" s="1">
        <v>100000</v>
      </c>
      <c r="K407" s="8">
        <v>5000</v>
      </c>
      <c r="L407" s="8">
        <v>1009</v>
      </c>
      <c r="M407" s="8">
        <v>25</v>
      </c>
      <c r="N407" s="8">
        <v>0</v>
      </c>
      <c r="O407" s="8">
        <v>0</v>
      </c>
      <c r="P407" s="8">
        <v>0</v>
      </c>
      <c r="Q407" s="8">
        <v>0</v>
      </c>
      <c r="R407" s="8">
        <v>0</v>
      </c>
      <c r="S407" s="8">
        <v>0</v>
      </c>
      <c r="T407" s="37">
        <v>-1</v>
      </c>
      <c r="U407" s="1">
        <v>100010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</row>
    <row r="408" spans="1:29" s="11" customFormat="1" x14ac:dyDescent="0.3">
      <c r="A408" s="10">
        <v>13051411</v>
      </c>
      <c r="B408" s="31" t="s">
        <v>643</v>
      </c>
      <c r="C408" s="31" t="s">
        <v>150</v>
      </c>
      <c r="D408" s="31" t="s">
        <v>30</v>
      </c>
      <c r="E408" s="10">
        <v>1000001</v>
      </c>
      <c r="F408" s="12" t="str">
        <f>IFERROR(_xlfn.XLOOKUP(E:E,[1]Buff!$A:$A,[1]Buff!$E:$E),"None")</f>
        <v>공용 대미지</v>
      </c>
      <c r="G408" s="11">
        <v>0</v>
      </c>
      <c r="H408" s="11" t="s">
        <v>38</v>
      </c>
      <c r="I408" s="11" t="s">
        <v>38</v>
      </c>
      <c r="J408" s="11">
        <v>100000</v>
      </c>
      <c r="K408" s="10">
        <v>150000</v>
      </c>
      <c r="L408" s="10">
        <v>0</v>
      </c>
      <c r="M408" s="10">
        <v>0</v>
      </c>
      <c r="N408" s="10">
        <v>0</v>
      </c>
      <c r="O408" s="10">
        <v>0</v>
      </c>
      <c r="P408" s="10">
        <v>0</v>
      </c>
      <c r="Q408" s="10">
        <v>0</v>
      </c>
      <c r="R408" s="10">
        <v>0</v>
      </c>
      <c r="S408" s="10">
        <v>0</v>
      </c>
      <c r="T408" s="38">
        <v>0</v>
      </c>
      <c r="U408" s="11">
        <v>130296</v>
      </c>
      <c r="V408" s="11">
        <v>0</v>
      </c>
      <c r="W408" s="11">
        <v>0</v>
      </c>
      <c r="X408" s="11">
        <v>0</v>
      </c>
      <c r="Y408" s="11">
        <v>0</v>
      </c>
      <c r="Z408" s="11">
        <v>0</v>
      </c>
      <c r="AA408" s="11">
        <v>0</v>
      </c>
      <c r="AB408" s="11">
        <v>0</v>
      </c>
      <c r="AC408" s="11">
        <v>0</v>
      </c>
    </row>
    <row r="409" spans="1:29" x14ac:dyDescent="0.3">
      <c r="A409" s="8">
        <v>23051411</v>
      </c>
      <c r="B409" s="27" t="s">
        <v>643</v>
      </c>
      <c r="C409" s="27" t="s">
        <v>150</v>
      </c>
      <c r="D409" s="27" t="s">
        <v>33</v>
      </c>
      <c r="E409" s="8">
        <v>1000002</v>
      </c>
      <c r="F409" s="7" t="str">
        <f>IFERROR(_xlfn.XLOOKUP(E:E,[1]Buff!$A:$A,[1]Buff!$E:$E),"None")</f>
        <v>액티브 대미지</v>
      </c>
      <c r="G409" s="1">
        <v>0</v>
      </c>
      <c r="H409" s="1" t="s">
        <v>38</v>
      </c>
      <c r="I409" s="1" t="s">
        <v>38</v>
      </c>
      <c r="J409" s="1">
        <v>100000</v>
      </c>
      <c r="K409" s="8">
        <v>40000</v>
      </c>
      <c r="L409" s="8">
        <v>0</v>
      </c>
      <c r="M409" s="8">
        <v>0</v>
      </c>
      <c r="N409" s="8">
        <v>0</v>
      </c>
      <c r="O409" s="8">
        <v>0</v>
      </c>
      <c r="P409" s="8">
        <v>0</v>
      </c>
      <c r="Q409" s="8">
        <v>0</v>
      </c>
      <c r="R409" s="8">
        <v>0</v>
      </c>
      <c r="S409" s="8">
        <v>0</v>
      </c>
      <c r="T409" s="37">
        <v>0</v>
      </c>
      <c r="U409" s="1">
        <v>230296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</row>
    <row r="410" spans="1:29" x14ac:dyDescent="0.3">
      <c r="A410" s="8">
        <v>23051421</v>
      </c>
      <c r="B410" s="27" t="s">
        <v>643</v>
      </c>
      <c r="C410" s="27" t="s">
        <v>150</v>
      </c>
      <c r="D410" s="27" t="s">
        <v>33</v>
      </c>
      <c r="E410" s="8">
        <v>1000002</v>
      </c>
      <c r="F410" s="7" t="str">
        <f>IFERROR(_xlfn.XLOOKUP(E:E,[1]Buff!$A:$A,[1]Buff!$E:$E),"None")</f>
        <v>액티브 대미지</v>
      </c>
      <c r="G410" s="1">
        <v>0</v>
      </c>
      <c r="H410" s="1" t="s">
        <v>38</v>
      </c>
      <c r="I410" s="1" t="s">
        <v>38</v>
      </c>
      <c r="J410" s="1">
        <v>100000</v>
      </c>
      <c r="K410" s="8">
        <v>40000</v>
      </c>
      <c r="L410" s="8">
        <v>0</v>
      </c>
      <c r="M410" s="8">
        <v>0</v>
      </c>
      <c r="N410" s="8">
        <v>0</v>
      </c>
      <c r="O410" s="8">
        <v>0</v>
      </c>
      <c r="P410" s="8">
        <v>0</v>
      </c>
      <c r="Q410" s="8">
        <v>0</v>
      </c>
      <c r="R410" s="8">
        <v>0</v>
      </c>
      <c r="S410" s="8">
        <v>0</v>
      </c>
      <c r="T410" s="37">
        <v>0</v>
      </c>
      <c r="U410" s="1">
        <v>230296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</row>
    <row r="411" spans="1:29" x14ac:dyDescent="0.3">
      <c r="A411" s="8">
        <v>33051411</v>
      </c>
      <c r="B411" s="27" t="s">
        <v>643</v>
      </c>
      <c r="C411" s="27" t="s">
        <v>150</v>
      </c>
      <c r="D411" s="27" t="s">
        <v>140</v>
      </c>
      <c r="E411" s="8">
        <v>1000003</v>
      </c>
      <c r="F411" s="7" t="str">
        <f>IFERROR(_xlfn.XLOOKUP(E:E,[1]Buff!$A:$A,[1]Buff!$E:$E),"None")</f>
        <v>얼티밋 대미지</v>
      </c>
      <c r="G411" s="1">
        <v>0</v>
      </c>
      <c r="H411" s="1" t="s">
        <v>38</v>
      </c>
      <c r="I411" s="1" t="s">
        <v>38</v>
      </c>
      <c r="J411" s="1">
        <v>100000</v>
      </c>
      <c r="K411" s="8">
        <v>320000</v>
      </c>
      <c r="L411" s="8">
        <v>0</v>
      </c>
      <c r="M411" s="8">
        <v>0</v>
      </c>
      <c r="N411" s="8">
        <v>0</v>
      </c>
      <c r="O411" s="8">
        <v>0</v>
      </c>
      <c r="P411" s="8">
        <v>0</v>
      </c>
      <c r="Q411" s="8">
        <v>0</v>
      </c>
      <c r="R411" s="8">
        <v>0</v>
      </c>
      <c r="S411" s="8">
        <v>0</v>
      </c>
      <c r="T411" s="37">
        <v>0</v>
      </c>
      <c r="U411" s="1">
        <v>330296</v>
      </c>
      <c r="V411" s="1">
        <v>0</v>
      </c>
      <c r="W411" s="1">
        <v>0</v>
      </c>
      <c r="X411" s="1">
        <v>0</v>
      </c>
      <c r="Y411" s="1">
        <v>0</v>
      </c>
      <c r="Z411" s="1">
        <v>0</v>
      </c>
      <c r="AA411" s="1">
        <v>0</v>
      </c>
      <c r="AB411" s="1">
        <v>0</v>
      </c>
      <c r="AC411" s="1">
        <v>0</v>
      </c>
    </row>
    <row r="412" spans="1:29" x14ac:dyDescent="0.3">
      <c r="A412" s="8">
        <v>33051421</v>
      </c>
      <c r="B412" s="27" t="s">
        <v>643</v>
      </c>
      <c r="C412" s="27" t="s">
        <v>150</v>
      </c>
      <c r="D412" s="27" t="s">
        <v>140</v>
      </c>
      <c r="E412" s="8">
        <v>1000003</v>
      </c>
      <c r="F412" s="7" t="str">
        <f>IFERROR(_xlfn.XLOOKUP(E:E,[1]Buff!$A:$A,[1]Buff!$E:$E),"None")</f>
        <v>얼티밋 대미지</v>
      </c>
      <c r="G412" s="1">
        <v>0</v>
      </c>
      <c r="H412" s="1" t="s">
        <v>38</v>
      </c>
      <c r="I412" s="1" t="s">
        <v>38</v>
      </c>
      <c r="J412" s="1">
        <v>100000</v>
      </c>
      <c r="K412" s="8">
        <v>320000</v>
      </c>
      <c r="L412" s="8">
        <v>0</v>
      </c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37">
        <v>0</v>
      </c>
      <c r="U412" s="1">
        <v>330296</v>
      </c>
      <c r="V412" s="1">
        <v>0</v>
      </c>
      <c r="W412" s="1">
        <v>0</v>
      </c>
      <c r="X412" s="1">
        <v>0</v>
      </c>
      <c r="Y412" s="1">
        <v>0</v>
      </c>
      <c r="Z412" s="1">
        <v>0</v>
      </c>
      <c r="AA412" s="1">
        <v>0</v>
      </c>
      <c r="AB412" s="1">
        <v>0</v>
      </c>
      <c r="AC412" s="1">
        <v>0</v>
      </c>
    </row>
    <row r="413" spans="1:29" x14ac:dyDescent="0.3">
      <c r="A413" s="8">
        <v>33051431</v>
      </c>
      <c r="B413" s="27" t="s">
        <v>643</v>
      </c>
      <c r="C413" s="27" t="s">
        <v>150</v>
      </c>
      <c r="D413" s="27" t="s">
        <v>140</v>
      </c>
      <c r="E413" s="8">
        <v>1000003</v>
      </c>
      <c r="F413" s="7" t="str">
        <f>IFERROR(_xlfn.XLOOKUP(E:E,[1]Buff!$A:$A,[1]Buff!$E:$E),"None")</f>
        <v>얼티밋 대미지</v>
      </c>
      <c r="G413" s="1">
        <v>0</v>
      </c>
      <c r="H413" s="1" t="s">
        <v>38</v>
      </c>
      <c r="I413" s="1" t="s">
        <v>38</v>
      </c>
      <c r="J413" s="1">
        <v>100000</v>
      </c>
      <c r="K413" s="8">
        <v>320000</v>
      </c>
      <c r="L413" s="8">
        <v>0</v>
      </c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37">
        <v>0</v>
      </c>
      <c r="U413" s="1">
        <v>330296</v>
      </c>
      <c r="V413" s="1">
        <v>0</v>
      </c>
      <c r="W413" s="1">
        <v>0</v>
      </c>
      <c r="X413" s="1">
        <v>0</v>
      </c>
      <c r="Y413" s="1">
        <v>0</v>
      </c>
      <c r="Z413" s="1">
        <v>0</v>
      </c>
      <c r="AA413" s="1">
        <v>0</v>
      </c>
      <c r="AB413" s="1">
        <v>0</v>
      </c>
      <c r="AC413" s="1">
        <v>0</v>
      </c>
    </row>
    <row r="414" spans="1:29" x14ac:dyDescent="0.3">
      <c r="A414" s="8">
        <v>43051411</v>
      </c>
      <c r="B414" s="27" t="s">
        <v>643</v>
      </c>
      <c r="C414" s="27" t="s">
        <v>150</v>
      </c>
      <c r="D414" s="27" t="s">
        <v>167</v>
      </c>
      <c r="E414" s="8">
        <v>2005601</v>
      </c>
      <c r="F414" s="7" t="str">
        <f>IFERROR(_xlfn.XLOOKUP(E:E,[1]Buff!$A:$A,[1]Buff!$E:$E),"None")</f>
        <v>힐드 패시브 버프당 치명타 확률 증가</v>
      </c>
      <c r="G414" s="1">
        <v>0</v>
      </c>
      <c r="H414" s="1" t="s">
        <v>38</v>
      </c>
      <c r="I414" s="1" t="s">
        <v>38</v>
      </c>
      <c r="J414" s="1">
        <v>100000</v>
      </c>
      <c r="K414" s="8">
        <v>5000</v>
      </c>
      <c r="L414" s="8">
        <v>1009</v>
      </c>
      <c r="M414" s="8">
        <v>25</v>
      </c>
      <c r="N414" s="8">
        <v>0</v>
      </c>
      <c r="O414" s="8">
        <v>0</v>
      </c>
      <c r="P414" s="8">
        <v>0</v>
      </c>
      <c r="Q414" s="8">
        <v>0</v>
      </c>
      <c r="R414" s="8">
        <v>0</v>
      </c>
      <c r="S414" s="8">
        <v>0</v>
      </c>
      <c r="T414" s="37">
        <v>-1</v>
      </c>
      <c r="U414" s="1">
        <v>100010</v>
      </c>
      <c r="V414" s="1">
        <v>0</v>
      </c>
      <c r="W414" s="1">
        <v>0</v>
      </c>
      <c r="X414" s="1">
        <v>0</v>
      </c>
      <c r="Y414" s="1">
        <v>0</v>
      </c>
      <c r="Z414" s="1">
        <v>0</v>
      </c>
      <c r="AA414" s="1">
        <v>0</v>
      </c>
      <c r="AB414" s="1">
        <v>0</v>
      </c>
      <c r="AC414" s="1">
        <v>0</v>
      </c>
    </row>
    <row r="415" spans="1:29" x14ac:dyDescent="0.3">
      <c r="A415" s="8">
        <v>43051421</v>
      </c>
      <c r="B415" s="27" t="s">
        <v>643</v>
      </c>
      <c r="C415" s="27" t="s">
        <v>150</v>
      </c>
      <c r="D415" s="27" t="s">
        <v>167</v>
      </c>
      <c r="E415" s="8">
        <v>2005601</v>
      </c>
      <c r="F415" s="7" t="str">
        <f>IFERROR(_xlfn.XLOOKUP(E:E,[1]Buff!$A:$A,[1]Buff!$E:$E),"None")</f>
        <v>힐드 패시브 버프당 치명타 확률 증가</v>
      </c>
      <c r="G415" s="1">
        <v>0</v>
      </c>
      <c r="H415" s="1" t="s">
        <v>38</v>
      </c>
      <c r="I415" s="1" t="s">
        <v>38</v>
      </c>
      <c r="J415" s="1">
        <v>100000</v>
      </c>
      <c r="K415" s="8">
        <v>5000</v>
      </c>
      <c r="L415" s="8">
        <v>1009</v>
      </c>
      <c r="M415" s="8">
        <v>25</v>
      </c>
      <c r="N415" s="8">
        <v>0</v>
      </c>
      <c r="O415" s="8">
        <v>0</v>
      </c>
      <c r="P415" s="8">
        <v>0</v>
      </c>
      <c r="Q415" s="8">
        <v>0</v>
      </c>
      <c r="R415" s="8">
        <v>0</v>
      </c>
      <c r="S415" s="8">
        <v>0</v>
      </c>
      <c r="T415" s="37">
        <v>-1</v>
      </c>
      <c r="U415" s="1">
        <v>100010</v>
      </c>
      <c r="V415" s="1">
        <v>0</v>
      </c>
      <c r="W415" s="1">
        <v>0</v>
      </c>
      <c r="X415" s="1">
        <v>0</v>
      </c>
      <c r="Y415" s="1">
        <v>0</v>
      </c>
      <c r="Z415" s="1">
        <v>0</v>
      </c>
      <c r="AA415" s="1">
        <v>0</v>
      </c>
      <c r="AB415" s="1">
        <v>0</v>
      </c>
      <c r="AC415" s="1">
        <v>0</v>
      </c>
    </row>
    <row r="416" spans="1:29" s="11" customFormat="1" x14ac:dyDescent="0.3">
      <c r="A416" s="10">
        <v>13042911</v>
      </c>
      <c r="B416" s="31" t="s">
        <v>650</v>
      </c>
      <c r="C416" s="31" t="s">
        <v>150</v>
      </c>
      <c r="D416" s="31" t="s">
        <v>30</v>
      </c>
      <c r="E416" s="10">
        <v>1000001</v>
      </c>
      <c r="F416" s="12" t="str">
        <f>IFERROR(_xlfn.XLOOKUP(E:E,[1]Buff!$A:$A,[1]Buff!$E:$E),"None")</f>
        <v>공용 대미지</v>
      </c>
      <c r="G416" s="11">
        <v>0</v>
      </c>
      <c r="H416" s="11" t="s">
        <v>38</v>
      </c>
      <c r="I416" s="11" t="s">
        <v>38</v>
      </c>
      <c r="J416" s="11">
        <v>100000</v>
      </c>
      <c r="K416" s="10">
        <v>150000</v>
      </c>
      <c r="L416" s="10">
        <v>0</v>
      </c>
      <c r="M416" s="10">
        <v>0</v>
      </c>
      <c r="N416" s="10">
        <v>0</v>
      </c>
      <c r="O416" s="10">
        <v>0</v>
      </c>
      <c r="P416" s="10">
        <v>0</v>
      </c>
      <c r="Q416" s="10">
        <v>0</v>
      </c>
      <c r="R416" s="10">
        <v>0</v>
      </c>
      <c r="S416" s="10">
        <v>0</v>
      </c>
      <c r="T416" s="38">
        <v>0</v>
      </c>
      <c r="U416" s="11">
        <v>130296</v>
      </c>
      <c r="V416" s="11">
        <v>0</v>
      </c>
      <c r="W416" s="11">
        <v>0</v>
      </c>
      <c r="X416" s="11">
        <v>0</v>
      </c>
      <c r="Y416" s="11">
        <v>0</v>
      </c>
      <c r="Z416" s="11">
        <v>0</v>
      </c>
      <c r="AA416" s="11">
        <v>0</v>
      </c>
      <c r="AB416" s="11">
        <v>0</v>
      </c>
      <c r="AC416" s="11">
        <v>0</v>
      </c>
    </row>
    <row r="417" spans="1:29" x14ac:dyDescent="0.3">
      <c r="A417" s="8">
        <v>23042911</v>
      </c>
      <c r="B417" s="27" t="s">
        <v>649</v>
      </c>
      <c r="C417" s="27" t="s">
        <v>150</v>
      </c>
      <c r="D417" s="27" t="s">
        <v>33</v>
      </c>
      <c r="E417" s="8">
        <v>1000002</v>
      </c>
      <c r="F417" s="7" t="str">
        <f>IFERROR(_xlfn.XLOOKUP(E:E,[1]Buff!$A:$A,[1]Buff!$E:$E),"None")</f>
        <v>액티브 대미지</v>
      </c>
      <c r="G417" s="1">
        <v>0</v>
      </c>
      <c r="H417" s="1" t="s">
        <v>38</v>
      </c>
      <c r="I417" s="1" t="s">
        <v>38</v>
      </c>
      <c r="J417" s="1">
        <v>100000</v>
      </c>
      <c r="K417" s="8">
        <v>40000</v>
      </c>
      <c r="L417" s="8">
        <v>0</v>
      </c>
      <c r="M417" s="8">
        <v>0</v>
      </c>
      <c r="N417" s="8">
        <v>0</v>
      </c>
      <c r="O417" s="8">
        <v>0</v>
      </c>
      <c r="P417" s="8">
        <v>0</v>
      </c>
      <c r="Q417" s="8">
        <v>0</v>
      </c>
      <c r="R417" s="8">
        <v>0</v>
      </c>
      <c r="S417" s="8">
        <v>0</v>
      </c>
      <c r="T417" s="37">
        <v>0</v>
      </c>
      <c r="U417" s="1">
        <v>230296</v>
      </c>
      <c r="V417" s="1">
        <v>0</v>
      </c>
      <c r="W417" s="1">
        <v>0</v>
      </c>
      <c r="X417" s="1">
        <v>0</v>
      </c>
      <c r="Y417" s="1">
        <v>0</v>
      </c>
      <c r="Z417" s="1">
        <v>0</v>
      </c>
      <c r="AA417" s="1">
        <v>0</v>
      </c>
      <c r="AB417" s="1">
        <v>0</v>
      </c>
      <c r="AC417" s="1">
        <v>0</v>
      </c>
    </row>
    <row r="418" spans="1:29" x14ac:dyDescent="0.3">
      <c r="A418" s="8">
        <v>23042921</v>
      </c>
      <c r="B418" s="27" t="s">
        <v>649</v>
      </c>
      <c r="C418" s="27" t="s">
        <v>150</v>
      </c>
      <c r="D418" s="27" t="s">
        <v>33</v>
      </c>
      <c r="E418" s="8">
        <v>1000002</v>
      </c>
      <c r="F418" s="7" t="str">
        <f>IFERROR(_xlfn.XLOOKUP(E:E,[1]Buff!$A:$A,[1]Buff!$E:$E),"None")</f>
        <v>액티브 대미지</v>
      </c>
      <c r="G418" s="1">
        <v>0</v>
      </c>
      <c r="H418" s="1" t="s">
        <v>38</v>
      </c>
      <c r="I418" s="1" t="s">
        <v>38</v>
      </c>
      <c r="J418" s="1">
        <v>100000</v>
      </c>
      <c r="K418" s="8">
        <v>40000</v>
      </c>
      <c r="L418" s="8">
        <v>0</v>
      </c>
      <c r="M418" s="8">
        <v>0</v>
      </c>
      <c r="N418" s="8">
        <v>0</v>
      </c>
      <c r="O418" s="8">
        <v>0</v>
      </c>
      <c r="P418" s="8">
        <v>0</v>
      </c>
      <c r="Q418" s="8">
        <v>0</v>
      </c>
      <c r="R418" s="8">
        <v>0</v>
      </c>
      <c r="S418" s="8">
        <v>0</v>
      </c>
      <c r="T418" s="37">
        <v>0</v>
      </c>
      <c r="U418" s="1">
        <v>230296</v>
      </c>
      <c r="V418" s="1">
        <v>0</v>
      </c>
      <c r="W418" s="1">
        <v>0</v>
      </c>
      <c r="X418" s="1">
        <v>0</v>
      </c>
      <c r="Y418" s="1">
        <v>0</v>
      </c>
      <c r="Z418" s="1">
        <v>0</v>
      </c>
      <c r="AA418" s="1">
        <v>0</v>
      </c>
      <c r="AB418" s="1">
        <v>0</v>
      </c>
      <c r="AC418" s="1">
        <v>0</v>
      </c>
    </row>
    <row r="419" spans="1:29" x14ac:dyDescent="0.3">
      <c r="A419" s="8">
        <v>33042911</v>
      </c>
      <c r="B419" s="27" t="s">
        <v>649</v>
      </c>
      <c r="C419" s="27" t="s">
        <v>150</v>
      </c>
      <c r="D419" s="27" t="s">
        <v>140</v>
      </c>
      <c r="E419" s="8">
        <v>1000003</v>
      </c>
      <c r="F419" s="7" t="str">
        <f>IFERROR(_xlfn.XLOOKUP(E:E,[1]Buff!$A:$A,[1]Buff!$E:$E),"None")</f>
        <v>얼티밋 대미지</v>
      </c>
      <c r="G419" s="1">
        <v>0</v>
      </c>
      <c r="H419" s="1" t="s">
        <v>38</v>
      </c>
      <c r="I419" s="1" t="s">
        <v>38</v>
      </c>
      <c r="J419" s="1">
        <v>100000</v>
      </c>
      <c r="K419" s="8">
        <v>320000</v>
      </c>
      <c r="L419" s="8">
        <v>0</v>
      </c>
      <c r="M419" s="8">
        <v>0</v>
      </c>
      <c r="N419" s="8">
        <v>0</v>
      </c>
      <c r="O419" s="8">
        <v>0</v>
      </c>
      <c r="P419" s="8">
        <v>0</v>
      </c>
      <c r="Q419" s="8">
        <v>0</v>
      </c>
      <c r="R419" s="8">
        <v>0</v>
      </c>
      <c r="S419" s="8">
        <v>0</v>
      </c>
      <c r="T419" s="37">
        <v>0</v>
      </c>
      <c r="U419" s="1">
        <v>330296</v>
      </c>
      <c r="V419" s="1">
        <v>0</v>
      </c>
      <c r="W419" s="1">
        <v>0</v>
      </c>
      <c r="X419" s="1">
        <v>0</v>
      </c>
      <c r="Y419" s="1">
        <v>0</v>
      </c>
      <c r="Z419" s="1">
        <v>0</v>
      </c>
      <c r="AA419" s="1">
        <v>0</v>
      </c>
      <c r="AB419" s="1">
        <v>0</v>
      </c>
      <c r="AC419" s="1">
        <v>0</v>
      </c>
    </row>
    <row r="420" spans="1:29" x14ac:dyDescent="0.3">
      <c r="A420" s="8">
        <v>33042921</v>
      </c>
      <c r="B420" s="27" t="s">
        <v>649</v>
      </c>
      <c r="C420" s="27" t="s">
        <v>150</v>
      </c>
      <c r="D420" s="27" t="s">
        <v>140</v>
      </c>
      <c r="E420" s="8">
        <v>1000003</v>
      </c>
      <c r="F420" s="7" t="str">
        <f>IFERROR(_xlfn.XLOOKUP(E:E,[1]Buff!$A:$A,[1]Buff!$E:$E),"None")</f>
        <v>얼티밋 대미지</v>
      </c>
      <c r="G420" s="1">
        <v>0</v>
      </c>
      <c r="H420" s="1" t="s">
        <v>38</v>
      </c>
      <c r="I420" s="1" t="s">
        <v>38</v>
      </c>
      <c r="J420" s="1">
        <v>100000</v>
      </c>
      <c r="K420" s="8">
        <v>320000</v>
      </c>
      <c r="L420" s="8">
        <v>0</v>
      </c>
      <c r="M420" s="8">
        <v>0</v>
      </c>
      <c r="N420" s="8">
        <v>0</v>
      </c>
      <c r="O420" s="8">
        <v>0</v>
      </c>
      <c r="P420" s="8">
        <v>0</v>
      </c>
      <c r="Q420" s="8">
        <v>0</v>
      </c>
      <c r="R420" s="8">
        <v>0</v>
      </c>
      <c r="S420" s="8">
        <v>0</v>
      </c>
      <c r="T420" s="37">
        <v>0</v>
      </c>
      <c r="U420" s="1">
        <v>330296</v>
      </c>
      <c r="V420" s="1">
        <v>0</v>
      </c>
      <c r="W420" s="1">
        <v>0</v>
      </c>
      <c r="X420" s="1">
        <v>0</v>
      </c>
      <c r="Y420" s="1">
        <v>0</v>
      </c>
      <c r="Z420" s="1">
        <v>0</v>
      </c>
      <c r="AA420" s="1">
        <v>0</v>
      </c>
      <c r="AB420" s="1">
        <v>0</v>
      </c>
      <c r="AC420" s="1">
        <v>0</v>
      </c>
    </row>
    <row r="421" spans="1:29" x14ac:dyDescent="0.3">
      <c r="A421" s="8">
        <v>33042931</v>
      </c>
      <c r="B421" s="27" t="s">
        <v>649</v>
      </c>
      <c r="C421" s="27" t="s">
        <v>150</v>
      </c>
      <c r="D421" s="27" t="s">
        <v>140</v>
      </c>
      <c r="E421" s="8">
        <v>1000003</v>
      </c>
      <c r="F421" s="7" t="str">
        <f>IFERROR(_xlfn.XLOOKUP(E:E,[1]Buff!$A:$A,[1]Buff!$E:$E),"None")</f>
        <v>얼티밋 대미지</v>
      </c>
      <c r="G421" s="1">
        <v>0</v>
      </c>
      <c r="H421" s="1" t="s">
        <v>38</v>
      </c>
      <c r="I421" s="1" t="s">
        <v>38</v>
      </c>
      <c r="J421" s="1">
        <v>100000</v>
      </c>
      <c r="K421" s="8">
        <v>320000</v>
      </c>
      <c r="L421" s="8">
        <v>0</v>
      </c>
      <c r="M421" s="8">
        <v>0</v>
      </c>
      <c r="N421" s="8">
        <v>0</v>
      </c>
      <c r="O421" s="8">
        <v>0</v>
      </c>
      <c r="P421" s="8">
        <v>0</v>
      </c>
      <c r="Q421" s="8">
        <v>0</v>
      </c>
      <c r="R421" s="8">
        <v>0</v>
      </c>
      <c r="S421" s="8">
        <v>0</v>
      </c>
      <c r="T421" s="37">
        <v>0</v>
      </c>
      <c r="U421" s="1">
        <v>330296</v>
      </c>
      <c r="V421" s="1">
        <v>0</v>
      </c>
      <c r="W421" s="1">
        <v>0</v>
      </c>
      <c r="X421" s="1">
        <v>0</v>
      </c>
      <c r="Y421" s="1">
        <v>0</v>
      </c>
      <c r="Z421" s="1">
        <v>0</v>
      </c>
      <c r="AA421" s="1">
        <v>0</v>
      </c>
      <c r="AB421" s="1">
        <v>0</v>
      </c>
      <c r="AC421" s="1">
        <v>0</v>
      </c>
    </row>
    <row r="422" spans="1:29" x14ac:dyDescent="0.3">
      <c r="A422" s="8">
        <v>43042911</v>
      </c>
      <c r="B422" s="27" t="s">
        <v>649</v>
      </c>
      <c r="C422" s="27" t="s">
        <v>150</v>
      </c>
      <c r="D422" s="27" t="s">
        <v>167</v>
      </c>
      <c r="E422" s="8">
        <v>2005601</v>
      </c>
      <c r="F422" s="7" t="str">
        <f>IFERROR(_xlfn.XLOOKUP(E:E,[1]Buff!$A:$A,[1]Buff!$E:$E),"None")</f>
        <v>힐드 패시브 버프당 치명타 확률 증가</v>
      </c>
      <c r="G422" s="1">
        <v>0</v>
      </c>
      <c r="H422" s="1" t="s">
        <v>38</v>
      </c>
      <c r="I422" s="1" t="s">
        <v>38</v>
      </c>
      <c r="J422" s="1">
        <v>100000</v>
      </c>
      <c r="K422" s="8">
        <v>5000</v>
      </c>
      <c r="L422" s="8">
        <v>1009</v>
      </c>
      <c r="M422" s="8">
        <v>25</v>
      </c>
      <c r="N422" s="8">
        <v>0</v>
      </c>
      <c r="O422" s="8">
        <v>0</v>
      </c>
      <c r="P422" s="8">
        <v>0</v>
      </c>
      <c r="Q422" s="8">
        <v>0</v>
      </c>
      <c r="R422" s="8">
        <v>0</v>
      </c>
      <c r="S422" s="8">
        <v>0</v>
      </c>
      <c r="T422" s="37">
        <v>-1</v>
      </c>
      <c r="U422" s="1">
        <v>100010</v>
      </c>
      <c r="V422" s="1">
        <v>0</v>
      </c>
      <c r="W422" s="1">
        <v>0</v>
      </c>
      <c r="X422" s="1">
        <v>0</v>
      </c>
      <c r="Y422" s="1">
        <v>0</v>
      </c>
      <c r="Z422" s="1">
        <v>0</v>
      </c>
      <c r="AA422" s="1">
        <v>0</v>
      </c>
      <c r="AB422" s="1">
        <v>0</v>
      </c>
      <c r="AC422" s="1">
        <v>0</v>
      </c>
    </row>
    <row r="423" spans="1:29" x14ac:dyDescent="0.3">
      <c r="A423" s="8">
        <v>43042921</v>
      </c>
      <c r="B423" s="27" t="s">
        <v>649</v>
      </c>
      <c r="C423" s="27" t="s">
        <v>150</v>
      </c>
      <c r="D423" s="27" t="s">
        <v>167</v>
      </c>
      <c r="E423" s="8">
        <v>2005601</v>
      </c>
      <c r="F423" s="7" t="str">
        <f>IFERROR(_xlfn.XLOOKUP(E:E,[1]Buff!$A:$A,[1]Buff!$E:$E),"None")</f>
        <v>힐드 패시브 버프당 치명타 확률 증가</v>
      </c>
      <c r="G423" s="1">
        <v>0</v>
      </c>
      <c r="H423" s="1" t="s">
        <v>38</v>
      </c>
      <c r="I423" s="1" t="s">
        <v>38</v>
      </c>
      <c r="J423" s="1">
        <v>100000</v>
      </c>
      <c r="K423" s="8">
        <v>5000</v>
      </c>
      <c r="L423" s="8">
        <v>1009</v>
      </c>
      <c r="M423" s="8">
        <v>25</v>
      </c>
      <c r="N423" s="8">
        <v>0</v>
      </c>
      <c r="O423" s="8">
        <v>0</v>
      </c>
      <c r="P423" s="8">
        <v>0</v>
      </c>
      <c r="Q423" s="8">
        <v>0</v>
      </c>
      <c r="R423" s="8">
        <v>0</v>
      </c>
      <c r="S423" s="8">
        <v>0</v>
      </c>
      <c r="T423" s="37">
        <v>-1</v>
      </c>
      <c r="U423" s="1">
        <v>100010</v>
      </c>
      <c r="V423" s="1">
        <v>0</v>
      </c>
      <c r="W423" s="1">
        <v>0</v>
      </c>
      <c r="X423" s="1">
        <v>0</v>
      </c>
      <c r="Y423" s="1">
        <v>0</v>
      </c>
      <c r="Z423" s="1">
        <v>0</v>
      </c>
      <c r="AA423" s="1">
        <v>0</v>
      </c>
      <c r="AB423" s="1">
        <v>0</v>
      </c>
      <c r="AC423" s="1">
        <v>0</v>
      </c>
    </row>
  </sheetData>
  <autoFilter ref="A3:AC343" xr:uid="{D2552904-FE35-40FF-B018-DDC465D56885}"/>
  <phoneticPr fontId="1" type="noConversion"/>
  <conditionalFormatting sqref="A1:A1048576">
    <cfRule type="duplicateValues" dxfId="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C94D5-8570-4ABB-9362-0D2C5F88AED4}">
  <sheetPr codeName="Sheet13"/>
  <dimension ref="A1:K209"/>
  <sheetViews>
    <sheetView zoomScaleNormal="100" workbookViewId="0">
      <selection activeCell="D79" sqref="D79"/>
    </sheetView>
  </sheetViews>
  <sheetFormatPr defaultRowHeight="16.5" x14ac:dyDescent="0.3"/>
  <cols>
    <col min="2" max="2" width="26.375" style="44" bestFit="1" customWidth="1"/>
    <col min="3" max="3" width="11.625" style="1" customWidth="1"/>
    <col min="4" max="4" width="12.5" style="1" bestFit="1" customWidth="1"/>
    <col min="5" max="5" width="17.25" style="1" customWidth="1"/>
    <col min="6" max="6" width="8.375" style="1" customWidth="1"/>
    <col min="7" max="7" width="10.875" style="41" customWidth="1"/>
    <col min="8" max="8" width="10.125" style="41" customWidth="1"/>
    <col min="9" max="9" width="14.75" style="7" customWidth="1"/>
    <col min="10" max="10" width="33.625" bestFit="1" customWidth="1"/>
    <col min="11" max="11" width="27.25" bestFit="1" customWidth="1"/>
  </cols>
  <sheetData>
    <row r="1" spans="1:11" x14ac:dyDescent="0.3">
      <c r="A1" t="s">
        <v>64</v>
      </c>
      <c r="B1" s="44" t="s">
        <v>192</v>
      </c>
      <c r="C1" s="2" t="s">
        <v>48</v>
      </c>
      <c r="D1" s="2" t="s">
        <v>16</v>
      </c>
      <c r="E1" s="2" t="s">
        <v>56</v>
      </c>
      <c r="F1" s="2" t="s">
        <v>67</v>
      </c>
      <c r="G1" s="39" t="s">
        <v>86</v>
      </c>
      <c r="H1" s="39" t="s">
        <v>54</v>
      </c>
      <c r="I1" s="5" t="s">
        <v>55</v>
      </c>
      <c r="J1" t="s">
        <v>383</v>
      </c>
      <c r="K1" t="s">
        <v>384</v>
      </c>
    </row>
    <row r="2" spans="1:11" x14ac:dyDescent="0.3">
      <c r="C2" s="4" t="s">
        <v>46</v>
      </c>
      <c r="D2" s="4" t="s">
        <v>52</v>
      </c>
      <c r="E2" s="4" t="s">
        <v>53</v>
      </c>
      <c r="F2" s="4" t="s">
        <v>1</v>
      </c>
      <c r="G2" s="40" t="s">
        <v>89</v>
      </c>
      <c r="H2" s="40" t="s">
        <v>1</v>
      </c>
      <c r="I2" s="6" t="s">
        <v>2</v>
      </c>
    </row>
    <row r="3" spans="1:11" x14ac:dyDescent="0.3"/>
    <row r="4" spans="1:11" x14ac:dyDescent="0.3">
      <c r="A4" s="2">
        <v>1</v>
      </c>
      <c r="B4" s="5" t="str" cm="1">
        <f t="array" ref="B4">IF(F4=0,"논타겟 "&amp;I4,
_xlfn.IFS(D4="None","",D4="All","전체",D4="Fire","화속성 ",D4="Water","수속성 ",D4="Forest","목속성 ",D4="Light","광속성 ",D4="Dark","암속성 ",D4="Attacker","공격형 ",D4="Defender","방어형 ",D4="Supporter","지원형 ",D4="Healer","회복형 ",D4="Magician","구속형 ",D4="Dead","죽은 ",D4="Random","무작위 ")
&amp;_xlfn.IFS(E4="Random","무작위",E4="Near","가까운",E4="LowHp","체력 낮은",E4="HighAtk","공격력 높은",E4="HighHp","체력 높은",E4="LowAtk","공격력 낮은",E4="None","")&amp;_xlfn.IFS(C4="Ally"," 아군",C4="Enemy"," 적",C4="Mine"," 자신",C4="None"," 없음")&amp;" "&amp;F4&amp;"명"&amp;" "&amp;IF(I4="1칸","",I4))</f>
        <v xml:space="preserve"> 자신 1명 </v>
      </c>
      <c r="C4" s="2" t="s">
        <v>51</v>
      </c>
      <c r="D4" s="2" t="s">
        <v>38</v>
      </c>
      <c r="E4" s="2" t="s">
        <v>38</v>
      </c>
      <c r="F4" s="2">
        <v>1</v>
      </c>
      <c r="G4" s="39" t="s">
        <v>38</v>
      </c>
      <c r="H4" s="39">
        <v>1</v>
      </c>
      <c r="I4" s="5" t="str">
        <f>IFERROR(_xlfn.XLOOKUP(H4,Area!A:A,Area!B:B),"")</f>
        <v>1칸</v>
      </c>
      <c r="J4" t="s">
        <v>366</v>
      </c>
      <c r="K4" t="str">
        <f>IFERROR(_xlfn.XLOOKUP(H4,Area!A:A,Area!H:H),"")</f>
        <v>Skill_Area_Icon_Pivot_Centor</v>
      </c>
    </row>
    <row r="5" spans="1:11" x14ac:dyDescent="0.3">
      <c r="A5" s="2">
        <v>2</v>
      </c>
      <c r="B5" s="5" t="str" cm="1">
        <f t="array" ref="B5">IF(F5=0,"논타겟 "&amp;I5,
_xlfn.IFS(D5="None","",D5="All","전체",D5="Fire","화속성 ",D5="Water","수속성 ",D5="Forest","목속성 ",D5="Light","광속성 ",D5="Dark","암속성 ",D5="Attacker","공격형 ",D5="Defender","방어형 ",D5="Supporter","지원형 ",D5="Healer","회복형 ",D5="Magician","구속형 ",D5="Dead","죽은 ",D5="Random","무작위 ")
&amp;_xlfn.IFS(E5="Random","무작위",E5="Near","가까운",E5="LowHp","체력 낮은",E5="HighAtk","공격력 높은",E5="HighHp","체력 높은",E5="LowAtk","공격력 낮은",E5="None","")&amp;_xlfn.IFS(C5="Ally"," 아군",C5="Enemy"," 적",C5="Mine"," 자신",C5="None"," 없음")&amp;" "&amp;F5&amp;"명"&amp;" "&amp;IF(I5="1칸","",I5))</f>
        <v xml:space="preserve"> 자신 1명 9칸</v>
      </c>
      <c r="C5" s="2" t="s">
        <v>51</v>
      </c>
      <c r="D5" s="2" t="s">
        <v>38</v>
      </c>
      <c r="E5" s="2" t="s">
        <v>38</v>
      </c>
      <c r="F5" s="2">
        <v>1</v>
      </c>
      <c r="G5" s="39" t="s">
        <v>38</v>
      </c>
      <c r="H5" s="39">
        <v>2</v>
      </c>
      <c r="I5" s="5" t="str">
        <f>IFERROR(_xlfn.XLOOKUP(H5,Area!A:A,Area!B:B),"")</f>
        <v>9칸</v>
      </c>
      <c r="J5" t="s">
        <v>366</v>
      </c>
      <c r="K5" t="str">
        <f>IFERROR(_xlfn.XLOOKUP(H5,Area!A:A,Area!H:H),"")</f>
        <v>Skill_Area_Icon_Pivot_All</v>
      </c>
    </row>
    <row r="6" spans="1:11" x14ac:dyDescent="0.3">
      <c r="A6" s="2">
        <v>3</v>
      </c>
      <c r="B6" s="5" t="str" cm="1">
        <f t="array" ref="B6">IF(F6=0,"논타겟 "&amp;I6,
_xlfn.IFS(D6="None","",D6="All","전체",D6="Fire","화속성 ",D6="Water","수속성 ",D6="Forest","목속성 ",D6="Light","광속성 ",D6="Dark","암속성 ",D6="Attacker","공격형 ",D6="Defender","방어형 ",D6="Supporter","지원형 ",D6="Healer","회복형 ",D6="Magician","구속형 ",D6="Dead","죽은 ",D6="Random","무작위 ")
&amp;_xlfn.IFS(E6="Random","무작위",E6="Near","가까운",E6="LowHp","체력 낮은",E6="HighAtk","공격력 높은",E6="HighHp","체력 높은",E6="LowAtk","공격력 낮은",E6="None","")&amp;_xlfn.IFS(C6="Ally"," 아군",C6="Enemy"," 적",C6="Mine"," 자신",C6="None"," 없음")&amp;" "&amp;F6&amp;"명"&amp;" "&amp;IF(I6="1칸","",I6))</f>
        <v xml:space="preserve"> 자신 1명 2열</v>
      </c>
      <c r="C6" s="2" t="s">
        <v>51</v>
      </c>
      <c r="D6" s="2" t="s">
        <v>38</v>
      </c>
      <c r="E6" s="2" t="s">
        <v>38</v>
      </c>
      <c r="F6" s="2">
        <v>1</v>
      </c>
      <c r="G6" s="39" t="s">
        <v>38</v>
      </c>
      <c r="H6" s="39">
        <v>6</v>
      </c>
      <c r="I6" s="5" t="str">
        <f>IFERROR(_xlfn.XLOOKUP(H6,Area!A:A,Area!B:B),"")</f>
        <v>2열</v>
      </c>
      <c r="J6" t="s">
        <v>367</v>
      </c>
      <c r="K6" t="str">
        <f>IFERROR(_xlfn.XLOOKUP(H6,Area!A:A,Area!H:H),"")</f>
        <v>Skill_Area_Icon_Pivot_Column</v>
      </c>
    </row>
    <row r="7" spans="1:11" x14ac:dyDescent="0.3">
      <c r="A7" s="2">
        <v>4</v>
      </c>
      <c r="B7" s="5" t="str" cm="1">
        <f t="array" ref="B7">IF(F7=0,"논타겟 "&amp;I7,
_xlfn.IFS(D7="None","",D7="All","전체",D7="Fire","화속성 ",D7="Water","수속성 ",D7="Forest","목속성 ",D7="Light","광속성 ",D7="Dark","암속성 ",D7="Attacker","공격형 ",D7="Defender","방어형 ",D7="Supporter","지원형 ",D7="Healer","회복형 ",D7="Magician","구속형 ",D7="Dead","죽은 ",D7="Random","무작위 ")
&amp;_xlfn.IFS(E7="Random","무작위",E7="Near","가까운",E7="LowHp","체력 낮은",E7="HighAtk","공격력 높은",E7="HighHp","체력 높은",E7="LowAtk","공격력 낮은",E7="None","")&amp;_xlfn.IFS(C7="Ally"," 아군",C7="Enemy"," 적",C7="Mine"," 자신",C7="None"," 없음")&amp;" "&amp;F7&amp;"명"&amp;" "&amp;IF(I7="1칸","",I7))</f>
        <v xml:space="preserve"> 자신 1명 2행</v>
      </c>
      <c r="C7" s="2" t="s">
        <v>51</v>
      </c>
      <c r="D7" s="2" t="s">
        <v>38</v>
      </c>
      <c r="E7" s="2" t="s">
        <v>38</v>
      </c>
      <c r="F7" s="2">
        <v>1</v>
      </c>
      <c r="G7" s="39" t="s">
        <v>38</v>
      </c>
      <c r="H7" s="39">
        <v>11</v>
      </c>
      <c r="I7" s="5" t="str">
        <f>IFERROR(_xlfn.XLOOKUP(H7,Area!A:A,Area!B:B),"")</f>
        <v>2행</v>
      </c>
      <c r="J7" t="s">
        <v>367</v>
      </c>
      <c r="K7" t="str">
        <f>IFERROR(_xlfn.XLOOKUP(H7,Area!A:A,Area!H:H),"")</f>
        <v>Skill_Area_Icon_Pivot_Row</v>
      </c>
    </row>
    <row r="8" spans="1:11" x14ac:dyDescent="0.3">
      <c r="A8" s="2">
        <v>5</v>
      </c>
      <c r="B8" s="5" t="s">
        <v>335</v>
      </c>
      <c r="C8" s="2" t="s">
        <v>50</v>
      </c>
      <c r="D8" s="2" t="s">
        <v>38</v>
      </c>
      <c r="E8" s="2" t="s">
        <v>38</v>
      </c>
      <c r="F8" s="2">
        <v>1</v>
      </c>
      <c r="G8" s="39" t="s">
        <v>38</v>
      </c>
      <c r="H8" s="39">
        <v>900</v>
      </c>
      <c r="I8" s="5" t="str">
        <f>IFERROR(_xlfn.XLOOKUP(H8,Area!A:A,Area!B:B),"")</f>
        <v>자신 앞</v>
      </c>
      <c r="J8" t="s">
        <v>367</v>
      </c>
    </row>
    <row r="9" spans="1:11" x14ac:dyDescent="0.3">
      <c r="A9" s="2">
        <v>6</v>
      </c>
      <c r="B9" s="5" t="s">
        <v>336</v>
      </c>
      <c r="C9" s="2" t="s">
        <v>50</v>
      </c>
      <c r="D9" s="2" t="s">
        <v>38</v>
      </c>
      <c r="E9" s="2" t="s">
        <v>38</v>
      </c>
      <c r="F9" s="2">
        <v>1</v>
      </c>
      <c r="G9" s="39" t="s">
        <v>38</v>
      </c>
      <c r="H9" s="39">
        <v>901</v>
      </c>
      <c r="I9" s="5" t="str">
        <f>IFERROR(_xlfn.XLOOKUP(H9,Area!A:A,Area!B:B),"")</f>
        <v>자신 뒤</v>
      </c>
      <c r="J9" t="s">
        <v>367</v>
      </c>
    </row>
    <row r="10" spans="1:11" x14ac:dyDescent="0.3">
      <c r="A10" s="2">
        <v>10000</v>
      </c>
      <c r="B10" s="5" t="s">
        <v>349</v>
      </c>
      <c r="C10" s="2" t="s">
        <v>491</v>
      </c>
      <c r="D10" s="2" t="s">
        <v>38</v>
      </c>
      <c r="E10" s="2" t="s">
        <v>38</v>
      </c>
      <c r="F10" s="2">
        <v>20</v>
      </c>
      <c r="G10" s="39" t="s">
        <v>350</v>
      </c>
      <c r="H10" s="39">
        <v>1</v>
      </c>
      <c r="I10" s="5" t="str">
        <f>IFERROR(_xlfn.XLOOKUP(H10,Area!A:A,Area!B:B),"")</f>
        <v>1칸</v>
      </c>
      <c r="J10" t="s">
        <v>367</v>
      </c>
      <c r="K10" t="str">
        <f>IFERROR(_xlfn.XLOOKUP(H10,Area!A:A,Area!H:H),"")</f>
        <v>Skill_Area_Icon_Pivot_Centor</v>
      </c>
    </row>
    <row r="11" spans="1:11" x14ac:dyDescent="0.3">
      <c r="A11" s="2">
        <v>10001</v>
      </c>
      <c r="B11" s="5" t="s">
        <v>352</v>
      </c>
      <c r="C11" s="2" t="s">
        <v>490</v>
      </c>
      <c r="D11" s="2" t="s">
        <v>38</v>
      </c>
      <c r="E11" s="2" t="s">
        <v>351</v>
      </c>
      <c r="F11" s="2">
        <v>5</v>
      </c>
      <c r="G11" s="39" t="s">
        <v>350</v>
      </c>
      <c r="H11" s="39">
        <v>1</v>
      </c>
      <c r="I11" s="5" t="str">
        <f>IFERROR(_xlfn.XLOOKUP(H11,Area!A:A,Area!B:B),"")</f>
        <v>1칸</v>
      </c>
      <c r="K11" t="str">
        <f>IFERROR(_xlfn.XLOOKUP(H11,Area!A:A,Area!H:H),"")</f>
        <v>Skill_Area_Icon_Pivot_Centor</v>
      </c>
    </row>
    <row r="12" spans="1:11" x14ac:dyDescent="0.3">
      <c r="A12" s="2">
        <v>10002</v>
      </c>
      <c r="B12" s="5" t="s">
        <v>353</v>
      </c>
      <c r="C12" s="2" t="s">
        <v>490</v>
      </c>
      <c r="D12" s="2" t="s">
        <v>38</v>
      </c>
      <c r="E12" s="2" t="s">
        <v>354</v>
      </c>
      <c r="F12" s="2">
        <v>1</v>
      </c>
      <c r="G12" s="39" t="s">
        <v>350</v>
      </c>
      <c r="H12" s="39">
        <v>1</v>
      </c>
      <c r="I12" s="5" t="str">
        <f>IFERROR(_xlfn.XLOOKUP(H12,Area!A:A,Area!B:B),"")</f>
        <v>1칸</v>
      </c>
      <c r="K12" t="str">
        <f>IFERROR(_xlfn.XLOOKUP(H12,Area!A:A,Area!H:H),"")</f>
        <v>Skill_Area_Icon_Pivot_Centor</v>
      </c>
    </row>
    <row r="13" spans="1:11" x14ac:dyDescent="0.3">
      <c r="A13" s="56">
        <v>910000</v>
      </c>
      <c r="B13" s="5" t="s">
        <v>225</v>
      </c>
      <c r="C13" s="1" t="s">
        <v>95</v>
      </c>
      <c r="D13" s="1" t="s">
        <v>38</v>
      </c>
      <c r="E13" s="1" t="s">
        <v>38</v>
      </c>
      <c r="F13" s="1">
        <v>0</v>
      </c>
      <c r="G13" s="39" t="s">
        <v>38</v>
      </c>
      <c r="H13" s="39">
        <v>101</v>
      </c>
      <c r="I13" s="5" t="str">
        <f>IFERROR(_xlfn.XLOOKUP(H13,Area!A:A,Area!B:B),"")</f>
        <v>1칸</v>
      </c>
      <c r="J13" t="s">
        <v>367</v>
      </c>
    </row>
    <row r="14" spans="1:11" x14ac:dyDescent="0.3">
      <c r="A14" s="56">
        <v>910001</v>
      </c>
      <c r="B14" s="5" t="s">
        <v>226</v>
      </c>
      <c r="C14" s="1" t="s">
        <v>95</v>
      </c>
      <c r="D14" s="1" t="s">
        <v>38</v>
      </c>
      <c r="E14" s="1" t="s">
        <v>38</v>
      </c>
      <c r="F14" s="1">
        <v>0</v>
      </c>
      <c r="G14" s="39" t="s">
        <v>38</v>
      </c>
      <c r="H14" s="39">
        <v>102</v>
      </c>
      <c r="I14" s="5" t="str">
        <f>IFERROR(_xlfn.XLOOKUP(H14,Area!A:A,Area!B:B),"")</f>
        <v>9칸</v>
      </c>
      <c r="J14" t="s">
        <v>367</v>
      </c>
      <c r="K14" t="str">
        <f>IFERROR(_xlfn.XLOOKUP(H14,Area!A:A,Area!H:H),"")</f>
        <v>Skill_Area_Icon_NonTarget_All</v>
      </c>
    </row>
    <row r="15" spans="1:11" x14ac:dyDescent="0.3">
      <c r="A15" s="56">
        <v>910011</v>
      </c>
      <c r="B15" s="5" t="s">
        <v>362</v>
      </c>
      <c r="C15" s="1" t="s">
        <v>50</v>
      </c>
      <c r="D15" s="1" t="s">
        <v>38</v>
      </c>
      <c r="E15" s="1" t="s">
        <v>38</v>
      </c>
      <c r="F15" s="1">
        <v>0</v>
      </c>
      <c r="G15" s="39" t="s">
        <v>38</v>
      </c>
      <c r="H15" s="39">
        <v>105</v>
      </c>
      <c r="I15" s="5" t="str">
        <f>IFERROR(_xlfn.XLOOKUP(H15,Area!A:A,Area!B:B),"")</f>
        <v>1열</v>
      </c>
      <c r="J15" t="s">
        <v>367</v>
      </c>
    </row>
    <row r="16" spans="1:11" x14ac:dyDescent="0.3">
      <c r="A16" s="56">
        <v>910012</v>
      </c>
      <c r="B16" s="5" t="s">
        <v>363</v>
      </c>
      <c r="C16" s="1" t="s">
        <v>50</v>
      </c>
      <c r="D16" s="1" t="s">
        <v>38</v>
      </c>
      <c r="E16" s="1" t="s">
        <v>38</v>
      </c>
      <c r="F16" s="1">
        <v>0</v>
      </c>
      <c r="G16" s="39" t="s">
        <v>38</v>
      </c>
      <c r="H16" s="39">
        <v>106</v>
      </c>
      <c r="I16" s="5" t="str">
        <f>IFERROR(_xlfn.XLOOKUP(H16,Area!A:A,Area!B:B),"")</f>
        <v>2열</v>
      </c>
      <c r="J16" t="s">
        <v>367</v>
      </c>
    </row>
    <row r="17" spans="1:11" x14ac:dyDescent="0.3">
      <c r="A17" s="56">
        <v>910013</v>
      </c>
      <c r="B17" s="5" t="s">
        <v>364</v>
      </c>
      <c r="C17" s="1" t="s">
        <v>50</v>
      </c>
      <c r="D17" s="1" t="s">
        <v>38</v>
      </c>
      <c r="E17" s="1" t="s">
        <v>38</v>
      </c>
      <c r="F17" s="1">
        <v>0</v>
      </c>
      <c r="G17" s="39" t="s">
        <v>38</v>
      </c>
      <c r="H17" s="39">
        <v>107</v>
      </c>
      <c r="I17" s="5" t="str">
        <f>IFERROR(_xlfn.XLOOKUP(H17,Area!A:A,Area!B:B),"")</f>
        <v>3열</v>
      </c>
      <c r="J17" t="s">
        <v>367</v>
      </c>
      <c r="K17" t="str">
        <f>IFERROR(_xlfn.XLOOKUP(H17,Area!A:A,Area!H:H),"")</f>
        <v>Skill_Area_Icon_NonTarget_Third_Column</v>
      </c>
    </row>
    <row r="18" spans="1:11" x14ac:dyDescent="0.3">
      <c r="A18" s="56">
        <v>920000</v>
      </c>
      <c r="B18" s="5" t="s">
        <v>227</v>
      </c>
      <c r="C18" s="1" t="s">
        <v>224</v>
      </c>
      <c r="D18" s="1" t="s">
        <v>38</v>
      </c>
      <c r="E18" s="1" t="s">
        <v>38</v>
      </c>
      <c r="F18" s="1">
        <v>0</v>
      </c>
      <c r="G18" s="39" t="s">
        <v>38</v>
      </c>
      <c r="H18" s="39">
        <v>101</v>
      </c>
      <c r="I18" s="5" t="str">
        <f>IFERROR(_xlfn.XLOOKUP(H18,Area!A:A,Area!B:B),"")</f>
        <v>1칸</v>
      </c>
      <c r="J18" t="s">
        <v>374</v>
      </c>
    </row>
    <row r="19" spans="1:11" x14ac:dyDescent="0.3">
      <c r="A19" s="56">
        <v>920001</v>
      </c>
      <c r="B19" s="5" t="s">
        <v>228</v>
      </c>
      <c r="C19" s="1" t="s">
        <v>224</v>
      </c>
      <c r="D19" s="1" t="s">
        <v>38</v>
      </c>
      <c r="E19" s="1" t="s">
        <v>38</v>
      </c>
      <c r="F19" s="1">
        <v>0</v>
      </c>
      <c r="G19" s="39" t="s">
        <v>38</v>
      </c>
      <c r="H19" s="39">
        <v>102</v>
      </c>
      <c r="I19" s="5" t="str">
        <f>IFERROR(_xlfn.XLOOKUP(H19,Area!A:A,Area!B:B),"")</f>
        <v>9칸</v>
      </c>
      <c r="J19" t="s">
        <v>374</v>
      </c>
      <c r="K19" t="str">
        <f>IFERROR(_xlfn.XLOOKUP(H19,Area!A:A,Area!H:H),"")</f>
        <v>Skill_Area_Icon_NonTarget_All</v>
      </c>
    </row>
    <row r="20" spans="1:11" x14ac:dyDescent="0.3">
      <c r="A20" s="56">
        <v>920002</v>
      </c>
      <c r="B20" s="5" t="s">
        <v>230</v>
      </c>
      <c r="C20" s="1" t="s">
        <v>224</v>
      </c>
      <c r="D20" s="1" t="s">
        <v>38</v>
      </c>
      <c r="E20" s="1" t="s">
        <v>38</v>
      </c>
      <c r="F20" s="1">
        <v>0</v>
      </c>
      <c r="G20" s="39" t="s">
        <v>38</v>
      </c>
      <c r="H20" s="39">
        <v>108</v>
      </c>
      <c r="I20" s="5" t="str">
        <f>IFERROR(_xlfn.XLOOKUP(H20,Area!A:A,Area!B:B),"")</f>
        <v>1,2열</v>
      </c>
      <c r="J20" t="s">
        <v>374</v>
      </c>
    </row>
    <row r="21" spans="1:11" x14ac:dyDescent="0.3">
      <c r="A21" s="56">
        <v>920011</v>
      </c>
      <c r="B21" s="5" t="s">
        <v>359</v>
      </c>
      <c r="C21" s="1" t="s">
        <v>224</v>
      </c>
      <c r="D21" s="1" t="s">
        <v>38</v>
      </c>
      <c r="E21" s="1" t="s">
        <v>38</v>
      </c>
      <c r="F21" s="1">
        <v>0</v>
      </c>
      <c r="G21" s="39" t="s">
        <v>38</v>
      </c>
      <c r="H21" s="39">
        <v>105</v>
      </c>
      <c r="I21" s="5" t="str">
        <f>IFERROR(_xlfn.XLOOKUP(H21,Area!A:A,Area!B:B),"")</f>
        <v>1열</v>
      </c>
      <c r="J21" t="s">
        <v>374</v>
      </c>
    </row>
    <row r="22" spans="1:11" x14ac:dyDescent="0.3">
      <c r="A22" s="56">
        <v>920012</v>
      </c>
      <c r="B22" s="5" t="s">
        <v>360</v>
      </c>
      <c r="C22" s="1" t="s">
        <v>224</v>
      </c>
      <c r="D22" s="1" t="s">
        <v>38</v>
      </c>
      <c r="E22" s="1" t="s">
        <v>38</v>
      </c>
      <c r="F22" s="1">
        <v>0</v>
      </c>
      <c r="G22" s="39" t="s">
        <v>38</v>
      </c>
      <c r="H22" s="39">
        <v>106</v>
      </c>
      <c r="I22" s="5" t="str">
        <f>IFERROR(_xlfn.XLOOKUP(H22,Area!A:A,Area!B:B),"")</f>
        <v>2열</v>
      </c>
      <c r="J22" t="s">
        <v>374</v>
      </c>
    </row>
    <row r="23" spans="1:11" x14ac:dyDescent="0.3">
      <c r="A23" s="56">
        <v>920013</v>
      </c>
      <c r="B23" s="5" t="s">
        <v>361</v>
      </c>
      <c r="C23" s="1" t="s">
        <v>224</v>
      </c>
      <c r="D23" s="1" t="s">
        <v>38</v>
      </c>
      <c r="E23" s="1" t="s">
        <v>38</v>
      </c>
      <c r="F23" s="1">
        <v>0</v>
      </c>
      <c r="G23" s="39" t="s">
        <v>38</v>
      </c>
      <c r="H23" s="39">
        <v>107</v>
      </c>
      <c r="I23" s="5" t="str">
        <f>IFERROR(_xlfn.XLOOKUP(H23,Area!A:A,Area!B:B),"")</f>
        <v>3열</v>
      </c>
      <c r="J23" t="s">
        <v>374</v>
      </c>
      <c r="K23" t="str">
        <f>IFERROR(_xlfn.XLOOKUP(H23,Area!A:A,Area!H:H),"")</f>
        <v>Skill_Area_Icon_NonTarget_Third_Column</v>
      </c>
    </row>
    <row r="24" spans="1:11" x14ac:dyDescent="0.3">
      <c r="A24" s="56">
        <v>920021</v>
      </c>
      <c r="B24" s="5" t="s">
        <v>231</v>
      </c>
      <c r="C24" s="1" t="s">
        <v>224</v>
      </c>
      <c r="D24" s="1" t="s">
        <v>38</v>
      </c>
      <c r="E24" s="1" t="s">
        <v>38</v>
      </c>
      <c r="F24" s="1">
        <v>0</v>
      </c>
      <c r="G24" s="39" t="s">
        <v>38</v>
      </c>
      <c r="H24" s="39">
        <v>110</v>
      </c>
      <c r="I24" s="5" t="str">
        <f>IFERROR(_xlfn.XLOOKUP(H24,Area!A:A,Area!B:B),"")</f>
        <v>1행</v>
      </c>
      <c r="J24" t="s">
        <v>374</v>
      </c>
    </row>
    <row r="25" spans="1:11" x14ac:dyDescent="0.3">
      <c r="A25" s="56">
        <v>920022</v>
      </c>
      <c r="B25" s="5" t="s">
        <v>232</v>
      </c>
      <c r="C25" s="1" t="s">
        <v>224</v>
      </c>
      <c r="D25" s="1" t="s">
        <v>38</v>
      </c>
      <c r="E25" s="1" t="s">
        <v>38</v>
      </c>
      <c r="F25" s="1">
        <v>0</v>
      </c>
      <c r="G25" s="39" t="s">
        <v>38</v>
      </c>
      <c r="H25" s="39">
        <v>111</v>
      </c>
      <c r="I25" s="5" t="str">
        <f>IFERROR(_xlfn.XLOOKUP(H25,Area!A:A,Area!B:B),"")</f>
        <v>2행</v>
      </c>
      <c r="J25" t="s">
        <v>374</v>
      </c>
    </row>
    <row r="26" spans="1:11" x14ac:dyDescent="0.3">
      <c r="A26" s="56">
        <v>920023</v>
      </c>
      <c r="B26" s="5" t="s">
        <v>233</v>
      </c>
      <c r="C26" s="1" t="s">
        <v>224</v>
      </c>
      <c r="D26" s="1" t="s">
        <v>38</v>
      </c>
      <c r="E26" s="1" t="s">
        <v>38</v>
      </c>
      <c r="F26" s="1">
        <v>0</v>
      </c>
      <c r="G26" s="39" t="s">
        <v>38</v>
      </c>
      <c r="H26" s="39">
        <v>112</v>
      </c>
      <c r="I26" s="5" t="str">
        <f>IFERROR(_xlfn.XLOOKUP(H26,Area!A:A,Area!B:B),"")</f>
        <v>3행</v>
      </c>
      <c r="J26" t="s">
        <v>374</v>
      </c>
    </row>
    <row r="27" spans="1:11" x14ac:dyDescent="0.3">
      <c r="A27" s="54">
        <v>1000000</v>
      </c>
      <c r="B27" s="5" t="s">
        <v>497</v>
      </c>
      <c r="C27" s="2" t="s">
        <v>95</v>
      </c>
      <c r="D27" s="2" t="s">
        <v>39</v>
      </c>
      <c r="E27" s="2" t="s">
        <v>38</v>
      </c>
      <c r="F27" s="2">
        <v>5</v>
      </c>
      <c r="G27" s="39" t="s">
        <v>38</v>
      </c>
      <c r="H27" s="39">
        <v>1</v>
      </c>
      <c r="I27" s="5" t="str">
        <f>IFERROR(_xlfn.XLOOKUP(H27,Area!A:A,Area!B:B),"")</f>
        <v>1칸</v>
      </c>
      <c r="J27" t="s">
        <v>367</v>
      </c>
      <c r="K27" t="str">
        <f>IFERROR(_xlfn.XLOOKUP(H27,Area!A:A,Area!H:H),"")</f>
        <v>Skill_Area_Icon_Pivot_Centor</v>
      </c>
    </row>
    <row r="28" spans="1:11" x14ac:dyDescent="0.3">
      <c r="A28" s="54">
        <v>1000001</v>
      </c>
      <c r="B28" s="5" t="str" cm="1">
        <f t="array" ref="B28">IF(F28=0,"논타겟 "&amp;I28,
_xlfn.IFS(D28="None","",D28="All","전체",D28="Fire","화속성 ",D28="Water","수속성 ",D28="Forest","목속성 ",D28="Light","광속성 ",D28="Dark","암속성 ",D28="Attacker","공격형 ",D28="Defender","방어형 ",D28="Supporter","지원형 ",D28="Healer","회복형 ",D28="Magician","구속형 ",D28="Dead","죽은 ",D28="Random","무작위 ")
&amp;_xlfn.IFS(E28="Random","무작위",E28="Near","가까운",E28="LowHp","체력 낮은",E28="HighAtk","공격력 높은",E28="HighHp","체력 높은",E28="LowAtk","공격력 낮은",E28="None","")&amp;_xlfn.IFS(C28="Ally"," 아군",C28="Enemy"," 적",C28="Mine"," 자신",C28="None"," 없음")&amp;" "&amp;F28&amp;"명"&amp;" "&amp;IF(I28="1칸","",I28))</f>
        <v xml:space="preserve">무작위 아군 1명 </v>
      </c>
      <c r="C28" s="2" t="s">
        <v>95</v>
      </c>
      <c r="D28" s="2" t="s">
        <v>39</v>
      </c>
      <c r="E28" s="2" t="s">
        <v>216</v>
      </c>
      <c r="F28" s="2">
        <v>1</v>
      </c>
      <c r="G28" s="39" t="s">
        <v>38</v>
      </c>
      <c r="H28" s="39">
        <v>1</v>
      </c>
      <c r="I28" s="5" t="str">
        <f>IFERROR(_xlfn.XLOOKUP(H28,Area!A:A,Area!B:B),"")</f>
        <v>1칸</v>
      </c>
      <c r="J28" t="s">
        <v>375</v>
      </c>
      <c r="K28" t="str">
        <f>IFERROR(_xlfn.XLOOKUP(H28,Area!A:A,Area!H:H),"")</f>
        <v>Skill_Area_Icon_Pivot_Centor</v>
      </c>
    </row>
    <row r="29" spans="1:11" x14ac:dyDescent="0.3">
      <c r="A29" s="54">
        <v>1000002</v>
      </c>
      <c r="B29" s="5" t="str" cm="1">
        <f t="array" ref="B29">IF(F29=0,"논타겟 "&amp;I29,
_xlfn.IFS(D29="None","",D29="All","전체",D29="Fire","화속성 ",D29="Water","수속성 ",D29="Forest","목속성 ",D29="Light","광속성 ",D29="Dark","암속성 ",D29="Attacker","공격형 ",D29="Defender","방어형 ",D29="Supporter","지원형 ",D29="Healer","회복형 ",D29="Magician","구속형 ",D29="Dead","죽은 ",D29="Random","무작위 ")
&amp;_xlfn.IFS(E29="Random","무작위",E29="Near","가까운",E29="LowHp","체력 낮은",E29="HighAtk","공격력 높은",E29="HighHp","체력 높은",E29="LowAtk","공격력 낮은",E29="None","")&amp;_xlfn.IFS(C29="Ally"," 아군",C29="Enemy"," 적",C29="Mine"," 자신",C29="None"," 없음")&amp;" "&amp;F29&amp;"명"&amp;" "&amp;IF(I29="1칸","",I29))</f>
        <v xml:space="preserve">무작위 아군 2명 </v>
      </c>
      <c r="C29" s="2" t="s">
        <v>95</v>
      </c>
      <c r="D29" s="2" t="s">
        <v>39</v>
      </c>
      <c r="E29" s="2" t="s">
        <v>216</v>
      </c>
      <c r="F29" s="2">
        <v>2</v>
      </c>
      <c r="G29" s="39" t="s">
        <v>38</v>
      </c>
      <c r="H29" s="39">
        <v>1</v>
      </c>
      <c r="I29" s="5" t="str">
        <f>IFERROR(_xlfn.XLOOKUP(H29,Area!A:A,Area!B:B),"")</f>
        <v>1칸</v>
      </c>
      <c r="K29" t="str">
        <f>IFERROR(_xlfn.XLOOKUP(H29,Area!A:A,Area!H:H),"")</f>
        <v>Skill_Area_Icon_Pivot_Centor</v>
      </c>
    </row>
    <row r="30" spans="1:11" x14ac:dyDescent="0.3">
      <c r="A30" s="54">
        <v>1000003</v>
      </c>
      <c r="B30" s="5" t="str" cm="1">
        <f t="array" ref="B30">IF(F30=0,"논타겟 "&amp;I30,
_xlfn.IFS(D30="None","",D30="All","전체",D30="Fire","화속성 ",D30="Water","수속성 ",D30="Forest","목속성 ",D30="Light","광속성 ",D30="Dark","암속성 ",D30="Attacker","공격형 ",D30="Defender","방어형 ",D30="Supporter","지원형 ",D30="Healer","회복형 ",D30="Magician","구속형 ",D30="Dead","죽은 ",D30="Random","무작위 ")
&amp;_xlfn.IFS(E30="Random","무작위",E30="Near","가까운",E30="LowHp","체력 낮은",E30="HighAtk","공격력 높은",E30="HighHp","체력 높은",E30="LowAtk","공격력 낮은",E30="None","")&amp;_xlfn.IFS(C30="Ally"," 아군",C30="Enemy"," 적",C30="Mine"," 자신",C30="None"," 없음")&amp;" "&amp;F30&amp;"명"&amp;" "&amp;IF(I30="1칸","",I30))</f>
        <v xml:space="preserve">무작위 아군 3명 </v>
      </c>
      <c r="C30" s="2" t="s">
        <v>95</v>
      </c>
      <c r="D30" s="2" t="s">
        <v>39</v>
      </c>
      <c r="E30" s="2" t="s">
        <v>216</v>
      </c>
      <c r="F30" s="2">
        <v>3</v>
      </c>
      <c r="G30" s="39" t="s">
        <v>38</v>
      </c>
      <c r="H30" s="39">
        <v>1</v>
      </c>
      <c r="I30" s="5" t="str">
        <f>IFERROR(_xlfn.XLOOKUP(H30,Area!A:A,Area!B:B),"")</f>
        <v>1칸</v>
      </c>
      <c r="K30" t="str">
        <f>IFERROR(_xlfn.XLOOKUP(H30,Area!A:A,Area!H:H),"")</f>
        <v>Skill_Area_Icon_Pivot_Centor</v>
      </c>
    </row>
    <row r="31" spans="1:11" x14ac:dyDescent="0.3">
      <c r="A31" s="54">
        <v>1000009</v>
      </c>
      <c r="B31" s="5" t="str" cm="1">
        <f t="array" ref="B31">IF(F31=0,"논타겟 "&amp;I31,
_xlfn.IFS(D31="None","",D31="All","전체",D31="Fire","화속성 ",D31="Water","수속성 ",D31="Forest","목속성 ",D31="Light","광속성 ",D31="Dark","암속성 ",D31="Attacker","공격형 ",D31="Defender","방어형 ",D31="Supporter","지원형 ",D31="Healer","회복형 ",D31="Magician","구속형 ",D31="Dead","죽은 ",D31="Random","무작위 ")
&amp;_xlfn.IFS(E31="Random","무작위",E31="Near","가까운",E31="LowHp","체력 낮은",E31="HighAtk","공격력 높은",E31="HighHp","체력 높은",E31="LowAtk","공격력 낮은",E31="None","")&amp;_xlfn.IFS(C31="Ally"," 아군",C31="Enemy"," 적",C31="Mine"," 자신",C31="None"," 없음")&amp;" "&amp;F31&amp;"명"&amp;" "&amp;IF(I31="1칸","",I31))</f>
        <v>무작위 아군 1명 9칸</v>
      </c>
      <c r="C31" s="2" t="s">
        <v>95</v>
      </c>
      <c r="D31" s="2" t="s">
        <v>39</v>
      </c>
      <c r="E31" s="2" t="s">
        <v>216</v>
      </c>
      <c r="F31" s="2">
        <v>1</v>
      </c>
      <c r="G31" s="39" t="s">
        <v>38</v>
      </c>
      <c r="H31" s="39">
        <v>2</v>
      </c>
      <c r="I31" s="5" t="str">
        <f>IFERROR(_xlfn.XLOOKUP(H31,Area!A:A,Area!B:B),"")</f>
        <v>9칸</v>
      </c>
      <c r="K31" t="str">
        <f>IFERROR(_xlfn.XLOOKUP(H31,Area!A:A,Area!H:H),"")</f>
        <v>Skill_Area_Icon_Pivot_All</v>
      </c>
    </row>
    <row r="32" spans="1:11" x14ac:dyDescent="0.3">
      <c r="A32" s="54">
        <v>1000011</v>
      </c>
      <c r="B32" s="5" t="str" cm="1">
        <f t="array" ref="B32">IF(F32=0,"논타겟 "&amp;I32,
_xlfn.IFS(D32="None","",D32="All","전체",D32="Fire","화속성 ",D32="Water","수속성 ",D32="Forest","목속성 ",D32="Light","광속성 ",D32="Dark","암속성 ",D32="Attacker","공격형 ",D32="Defender","방어형 ",D32="Supporter","지원형 ",D32="Healer","회복형 ",D32="Magician","구속형 ",D32="Dead","죽은 ",D32="Random","무작위 ")
&amp;_xlfn.IFS(E32="Random","무작위",E32="Near","가까운",E32="LowHp","체력 낮은",E32="HighAtk","공격력 높은",E32="HighHp","체력 높은",E32="LowAtk","공격력 낮은",E32="None","")&amp;_xlfn.IFS(C32="Ally"," 아군",C32="Enemy"," 적",C32="Mine"," 자신",C32="None"," 없음")&amp;" "&amp;F32&amp;"명"&amp;" "&amp;IF(I32="1칸","",I32))</f>
        <v xml:space="preserve">가까운 아군 1명 </v>
      </c>
      <c r="C32" s="2" t="s">
        <v>95</v>
      </c>
      <c r="D32" s="2" t="s">
        <v>39</v>
      </c>
      <c r="E32" s="2" t="s">
        <v>222</v>
      </c>
      <c r="F32" s="2">
        <v>1</v>
      </c>
      <c r="G32" s="39" t="s">
        <v>38</v>
      </c>
      <c r="H32" s="39">
        <v>1</v>
      </c>
      <c r="I32" s="5" t="str">
        <f>IFERROR(_xlfn.XLOOKUP(H32,Area!A:A,Area!B:B),"")</f>
        <v>1칸</v>
      </c>
      <c r="K32" t="str">
        <f>IFERROR(_xlfn.XLOOKUP(H32,Area!A:A,Area!H:H),"")</f>
        <v>Skill_Area_Icon_Pivot_Centor</v>
      </c>
    </row>
    <row r="33" spans="1:11" x14ac:dyDescent="0.3">
      <c r="A33" s="54">
        <v>1000012</v>
      </c>
      <c r="B33" s="5" t="str" cm="1">
        <f t="array" ref="B33">IF(F33=0,"논타겟 "&amp;I33,
_xlfn.IFS(D33="None","",D33="All","전체",D33="Fire","화속성 ",D33="Water","수속성 ",D33="Forest","목속성 ",D33="Light","광속성 ",D33="Dark","암속성 ",D33="Attacker","공격형 ",D33="Defender","방어형 ",D33="Supporter","지원형 ",D33="Healer","회복형 ",D33="Magician","구속형 ",D33="Dead","죽은 ",D33="Random","무작위 ")
&amp;_xlfn.IFS(E33="Random","무작위",E33="Near","가까운",E33="LowHp","체력 낮은",E33="HighAtk","공격력 높은",E33="HighHp","체력 높은",E33="LowAtk","공격력 낮은",E33="None","")&amp;_xlfn.IFS(C33="Ally"," 아군",C33="Enemy"," 적",C33="Mine"," 자신",C33="None"," 없음")&amp;" "&amp;F33&amp;"명"&amp;" "&amp;IF(I33="1칸","",I33))</f>
        <v xml:space="preserve">가까운 아군 2명 </v>
      </c>
      <c r="C33" s="2" t="s">
        <v>95</v>
      </c>
      <c r="D33" s="2" t="s">
        <v>39</v>
      </c>
      <c r="E33" s="2" t="s">
        <v>47</v>
      </c>
      <c r="F33" s="2">
        <v>2</v>
      </c>
      <c r="G33" s="39" t="s">
        <v>38</v>
      </c>
      <c r="H33" s="39">
        <v>1</v>
      </c>
      <c r="I33" s="5" t="str">
        <f>IFERROR(_xlfn.XLOOKUP(H33,Area!A:A,Area!B:B),"")</f>
        <v>1칸</v>
      </c>
      <c r="K33" t="str">
        <f>IFERROR(_xlfn.XLOOKUP(H33,Area!A:A,Area!H:H),"")</f>
        <v>Skill_Area_Icon_Pivot_Centor</v>
      </c>
    </row>
    <row r="34" spans="1:11" x14ac:dyDescent="0.3">
      <c r="A34" s="54">
        <v>1000013</v>
      </c>
      <c r="B34" s="5" t="str" cm="1">
        <f t="array" ref="B34">IF(F34=0,"논타겟 "&amp;I34,
_xlfn.IFS(D34="None","",D34="All","전체",D34="Fire","화속성 ",D34="Water","수속성 ",D34="Forest","목속성 ",D34="Light","광속성 ",D34="Dark","암속성 ",D34="Attacker","공격형 ",D34="Defender","방어형 ",D34="Supporter","지원형 ",D34="Healer","회복형 ",D34="Magician","구속형 ",D34="Dead","죽은 ",D34="Random","무작위 ")
&amp;_xlfn.IFS(E34="Random","무작위",E34="Near","가까운",E34="LowHp","체력 낮은",E34="HighAtk","공격력 높은",E34="HighHp","체력 높은",E34="LowAtk","공격력 낮은",E34="None","")&amp;_xlfn.IFS(C34="Ally"," 아군",C34="Enemy"," 적",C34="Mine"," 자신",C34="None"," 없음")&amp;" "&amp;F34&amp;"명"&amp;" "&amp;IF(I34="1칸","",I34))</f>
        <v xml:space="preserve">가까운 아군 3명 </v>
      </c>
      <c r="C34" s="2" t="s">
        <v>95</v>
      </c>
      <c r="D34" s="2" t="s">
        <v>39</v>
      </c>
      <c r="E34" s="2" t="s">
        <v>47</v>
      </c>
      <c r="F34" s="2">
        <v>3</v>
      </c>
      <c r="G34" s="39" t="s">
        <v>38</v>
      </c>
      <c r="H34" s="39">
        <v>1</v>
      </c>
      <c r="I34" s="5" t="str">
        <f>IFERROR(_xlfn.XLOOKUP(H34,Area!A:A,Area!B:B),"")</f>
        <v>1칸</v>
      </c>
      <c r="K34" t="str">
        <f>IFERROR(_xlfn.XLOOKUP(H34,Area!A:A,Area!H:H),"")</f>
        <v>Skill_Area_Icon_Pivot_Centor</v>
      </c>
    </row>
    <row r="35" spans="1:11" x14ac:dyDescent="0.3">
      <c r="A35" s="54">
        <v>1000099</v>
      </c>
      <c r="B35" s="5" t="str" cm="1">
        <f t="array" ref="B35">IF(F35=0,"논타겟 "&amp;I35,
_xlfn.IFS(D35="None","",D35="All","전체",D35="Fire","화속성 ",D35="Water","수속성 ",D35="Forest","목속성 ",D35="Light","광속성 ",D35="Dark","암속성 ",D35="Attacker","공격형 ",D35="Defender","방어형 ",D35="Supporter","지원형 ",D35="Healer","회복형 ",D35="Magician","구속형 ",D35="Dead","죽은 ",D35="Random","무작위 ")
&amp;_xlfn.IFS(E35="Random","무작위",E35="Near","가까운",E35="LowHp","체력 낮은",E35="HighAtk","공격력 높은",E35="HighHp","체력 높은",E35="LowAtk","공격력 낮은",E35="None","")&amp;_xlfn.IFS(C35="Ally"," 아군",C35="Enemy"," 적",C35="Mine"," 자신",C35="None"," 없음")&amp;" "&amp;F35&amp;"명"&amp;" "&amp;IF(I35="1칸","",I35))</f>
        <v xml:space="preserve">죽은 가까운 아군 1명 </v>
      </c>
      <c r="C35" s="2" t="s">
        <v>95</v>
      </c>
      <c r="D35" s="2" t="s">
        <v>221</v>
      </c>
      <c r="E35" s="2" t="s">
        <v>222</v>
      </c>
      <c r="F35" s="2">
        <v>1</v>
      </c>
      <c r="G35" s="39" t="s">
        <v>38</v>
      </c>
      <c r="H35" s="39">
        <v>1</v>
      </c>
      <c r="I35" s="5" t="str">
        <f>IFERROR(_xlfn.XLOOKUP(H35,Area!A:A,Area!B:B),"")</f>
        <v>1칸</v>
      </c>
      <c r="K35" t="str">
        <f>IFERROR(_xlfn.XLOOKUP(H35,Area!A:A,Area!H:H),"")</f>
        <v>Skill_Area_Icon_Pivot_Centor</v>
      </c>
    </row>
    <row r="36" spans="1:11" x14ac:dyDescent="0.3">
      <c r="A36" s="54">
        <v>1000101</v>
      </c>
      <c r="B36" s="5" t="str" cm="1">
        <f t="array" ref="B36">IF(F36=0,"논타겟 "&amp;I36,
_xlfn.IFS(D36="None","",D36="All","전체",D36="Fire","화속성 ",D36="Water","수속성 ",D36="Forest","목속성 ",D36="Light","광속성 ",D36="Dark","암속성 ",D36="Attacker","공격형 ",D36="Defender","방어형 ",D36="Supporter","지원형 ",D36="Healer","회복형 ",D36="Magician","구속형 ",D36="Dead","죽은 ",D36="Random","무작위 ")
&amp;_xlfn.IFS(E36="Random","무작위",E36="Near","가까운",E36="LowHp","체력 낮은",E36="HighAtk","공격력 높은",E36="HighHp","체력 높은",E36="LowAtk","공격력 낮은",E36="None","")&amp;_xlfn.IFS(C36="Ally"," 아군",C36="Enemy"," 적",C36="Mine"," 자신",C36="None"," 없음")&amp;" "&amp;F36&amp;"명"&amp;" "&amp;IF(I36="1칸","",I36))</f>
        <v xml:space="preserve">체력 낮은 아군 1명 </v>
      </c>
      <c r="C36" s="2" t="s">
        <v>50</v>
      </c>
      <c r="D36" s="2" t="s">
        <v>38</v>
      </c>
      <c r="E36" s="2" t="s">
        <v>115</v>
      </c>
      <c r="F36" s="2">
        <v>1</v>
      </c>
      <c r="G36" s="39" t="s">
        <v>38</v>
      </c>
      <c r="H36" s="39">
        <v>1</v>
      </c>
      <c r="I36" s="5" t="str">
        <f>IFERROR(_xlfn.XLOOKUP(H36,Area!A:A,Area!B:B),"")</f>
        <v>1칸</v>
      </c>
      <c r="J36" t="s">
        <v>376</v>
      </c>
      <c r="K36" t="str">
        <f>IFERROR(_xlfn.XLOOKUP(H36,Area!A:A,Area!H:H),"")</f>
        <v>Skill_Area_Icon_Pivot_Centor</v>
      </c>
    </row>
    <row r="37" spans="1:11" x14ac:dyDescent="0.3">
      <c r="A37" s="54">
        <v>1000102</v>
      </c>
      <c r="B37" s="5" t="str" cm="1">
        <f t="array" ref="B37">IF(F37=0,"논타겟 "&amp;I37,
_xlfn.IFS(D37="None","",D37="All","전체",D37="Fire","화속성 ",D37="Water","수속성 ",D37="Forest","목속성 ",D37="Light","광속성 ",D37="Dark","암속성 ",D37="Attacker","공격형 ",D37="Defender","방어형 ",D37="Supporter","지원형 ",D37="Healer","회복형 ",D37="Magician","구속형 ",D37="Dead","죽은 ",D37="Random","무작위 ")
&amp;_xlfn.IFS(E37="Random","무작위",E37="Near","가까운",E37="LowHp","체력 낮은",E37="HighAtk","공격력 높은",E37="HighHp","체력 높은",E37="LowAtk","공격력 낮은",E37="None","")&amp;_xlfn.IFS(C37="Ally"," 아군",C37="Enemy"," 적",C37="Mine"," 자신",C37="None"," 없음")&amp;" "&amp;F37&amp;"명"&amp;" "&amp;IF(I37="1칸","",I37))</f>
        <v xml:space="preserve">체력 낮은 아군 2명 </v>
      </c>
      <c r="C37" s="2" t="s">
        <v>50</v>
      </c>
      <c r="D37" s="2" t="s">
        <v>38</v>
      </c>
      <c r="E37" s="2" t="s">
        <v>115</v>
      </c>
      <c r="F37" s="2">
        <v>2</v>
      </c>
      <c r="G37" s="39" t="s">
        <v>38</v>
      </c>
      <c r="H37" s="39">
        <v>1</v>
      </c>
      <c r="I37" s="5" t="str">
        <f>IFERROR(_xlfn.XLOOKUP(H37,Area!A:A,Area!B:B),"")</f>
        <v>1칸</v>
      </c>
      <c r="J37" t="s">
        <v>376</v>
      </c>
      <c r="K37" t="str">
        <f>IFERROR(_xlfn.XLOOKUP(H37,Area!A:A,Area!H:H),"")</f>
        <v>Skill_Area_Icon_Pivot_Centor</v>
      </c>
    </row>
    <row r="38" spans="1:11" x14ac:dyDescent="0.3">
      <c r="A38" s="54">
        <v>1000103</v>
      </c>
      <c r="B38" s="5" t="str" cm="1">
        <f t="array" ref="B38">IF(F38=0,"논타겟 "&amp;I38,
_xlfn.IFS(D38="None","",D38="All","전체",D38="Fire","화속성 ",D38="Water","수속성 ",D38="Forest","목속성 ",D38="Light","광속성 ",D38="Dark","암속성 ",D38="Attacker","공격형 ",D38="Defender","방어형 ",D38="Supporter","지원형 ",D38="Healer","회복형 ",D38="Magician","구속형 ",D38="Dead","죽은 ",D38="Random","무작위 ")
&amp;_xlfn.IFS(E38="Random","무작위",E38="Near","가까운",E38="LowHp","체력 낮은",E38="HighAtk","공격력 높은",E38="HighHp","체력 높은",E38="LowAtk","공격력 낮은",E38="None","")&amp;_xlfn.IFS(C38="Ally"," 아군",C38="Enemy"," 적",C38="Mine"," 자신",C38="None"," 없음")&amp;" "&amp;F38&amp;"명"&amp;" "&amp;IF(I38="1칸","",I38))</f>
        <v xml:space="preserve">체력 낮은 아군 3명 </v>
      </c>
      <c r="C38" s="2" t="s">
        <v>50</v>
      </c>
      <c r="D38" s="2" t="s">
        <v>38</v>
      </c>
      <c r="E38" s="2" t="s">
        <v>115</v>
      </c>
      <c r="F38" s="2">
        <v>3</v>
      </c>
      <c r="G38" s="39" t="s">
        <v>38</v>
      </c>
      <c r="H38" s="39">
        <v>1</v>
      </c>
      <c r="I38" s="5" t="str">
        <f>IFERROR(_xlfn.XLOOKUP(H38,Area!A:A,Area!B:B),"")</f>
        <v>1칸</v>
      </c>
      <c r="J38" t="s">
        <v>376</v>
      </c>
      <c r="K38" t="str">
        <f>IFERROR(_xlfn.XLOOKUP(H38,Area!A:A,Area!H:H),"")</f>
        <v>Skill_Area_Icon_Pivot_Centor</v>
      </c>
    </row>
    <row r="39" spans="1:11" x14ac:dyDescent="0.3">
      <c r="A39" s="54">
        <v>1000201</v>
      </c>
      <c r="B39" s="5" t="str" cm="1">
        <f t="array" ref="B39">IF(F39=0,"논타겟 "&amp;I39,
_xlfn.IFS(D39="None","",D39="All","전체",D39="Fire","화속성 ",D39="Water","수속성 ",D39="Forest","목속성 ",D39="Light","광속성 ",D39="Dark","암속성 ",D39="Attacker","공격형 ",D39="Defender","방어형 ",D39="Supporter","지원형 ",D39="Healer","회복형 ",D39="Magician","구속형 ",D39="Dead","죽은 ",D39="Random","무작위 ")
&amp;_xlfn.IFS(E39="Random","무작위",E39="Near","가까운",E39="LowHp","체력 낮은",E39="HighAtk","공격력 높은",E39="HighHp","체력 높은",E39="LowAtk","공격력 낮은",E39="None","")&amp;_xlfn.IFS(C39="Ally"," 아군",C39="Enemy"," 적",C39="Mine"," 자신",C39="None"," 없음")&amp;" "&amp;F39&amp;"명"&amp;" "&amp;IF(I39="1칸","",I39))</f>
        <v xml:space="preserve">체력 높은 아군 1명 </v>
      </c>
      <c r="C39" s="2" t="s">
        <v>50</v>
      </c>
      <c r="D39" s="2" t="s">
        <v>38</v>
      </c>
      <c r="E39" s="2" t="s">
        <v>217</v>
      </c>
      <c r="F39" s="2">
        <v>1</v>
      </c>
      <c r="G39" s="39" t="s">
        <v>38</v>
      </c>
      <c r="H39" s="39">
        <v>1</v>
      </c>
      <c r="I39" s="5" t="str">
        <f>IFERROR(_xlfn.XLOOKUP(H39,Area!A:A,Area!B:B),"")</f>
        <v>1칸</v>
      </c>
      <c r="J39" t="s">
        <v>376</v>
      </c>
      <c r="K39" t="str">
        <f>IFERROR(_xlfn.XLOOKUP(H39,Area!A:A,Area!H:H),"")</f>
        <v>Skill_Area_Icon_Pivot_Centor</v>
      </c>
    </row>
    <row r="40" spans="1:11" x14ac:dyDescent="0.3">
      <c r="A40" s="54">
        <v>1000202</v>
      </c>
      <c r="B40" s="5" t="str" cm="1">
        <f t="array" ref="B40">IF(F40=0,"논타겟 "&amp;I40,
_xlfn.IFS(D40="None","",D40="All","전체",D40="Fire","화속성 ",D40="Water","수속성 ",D40="Forest","목속성 ",D40="Light","광속성 ",D40="Dark","암속성 ",D40="Attacker","공격형 ",D40="Defender","방어형 ",D40="Supporter","지원형 ",D40="Healer","회복형 ",D40="Magician","구속형 ",D40="Dead","죽은 ",D40="Random","무작위 ")
&amp;_xlfn.IFS(E40="Random","무작위",E40="Near","가까운",E40="LowHp","체력 낮은",E40="HighAtk","공격력 높은",E40="HighHp","체력 높은",E40="LowAtk","공격력 낮은",E40="None","")&amp;_xlfn.IFS(C40="Ally"," 아군",C40="Enemy"," 적",C40="Mine"," 자신",C40="None"," 없음")&amp;" "&amp;F40&amp;"명"&amp;" "&amp;IF(I40="1칸","",I40))</f>
        <v xml:space="preserve">체력 높은 아군 2명 </v>
      </c>
      <c r="C40" s="2" t="s">
        <v>50</v>
      </c>
      <c r="D40" s="2" t="s">
        <v>38</v>
      </c>
      <c r="E40" s="2" t="s">
        <v>217</v>
      </c>
      <c r="F40" s="2">
        <v>2</v>
      </c>
      <c r="G40" s="39" t="s">
        <v>38</v>
      </c>
      <c r="H40" s="39">
        <v>1</v>
      </c>
      <c r="I40" s="5" t="str">
        <f>IFERROR(_xlfn.XLOOKUP(H40,Area!A:A,Area!B:B),"")</f>
        <v>1칸</v>
      </c>
      <c r="J40" t="s">
        <v>376</v>
      </c>
      <c r="K40" t="str">
        <f>IFERROR(_xlfn.XLOOKUP(H40,Area!A:A,Area!H:H),"")</f>
        <v>Skill_Area_Icon_Pivot_Centor</v>
      </c>
    </row>
    <row r="41" spans="1:11" x14ac:dyDescent="0.3">
      <c r="A41" s="54">
        <v>1000203</v>
      </c>
      <c r="B41" s="5" t="str" cm="1">
        <f t="array" ref="B41">IF(F41=0,"논타겟 "&amp;I41,
_xlfn.IFS(D41="None","",D41="All","전체",D41="Fire","화속성 ",D41="Water","수속성 ",D41="Forest","목속성 ",D41="Light","광속성 ",D41="Dark","암속성 ",D41="Attacker","공격형 ",D41="Defender","방어형 ",D41="Supporter","지원형 ",D41="Healer","회복형 ",D41="Magician","구속형 ",D41="Dead","죽은 ",D41="Random","무작위 ")
&amp;_xlfn.IFS(E41="Random","무작위",E41="Near","가까운",E41="LowHp","체력 낮은",E41="HighAtk","공격력 높은",E41="HighHp","체력 높은",E41="LowAtk","공격력 낮은",E41="None","")&amp;_xlfn.IFS(C41="Ally"," 아군",C41="Enemy"," 적",C41="Mine"," 자신",C41="None"," 없음")&amp;" "&amp;F41&amp;"명"&amp;" "&amp;IF(I41="1칸","",I41))</f>
        <v xml:space="preserve">체력 높은 아군 3명 </v>
      </c>
      <c r="C41" s="2" t="s">
        <v>50</v>
      </c>
      <c r="D41" s="2" t="s">
        <v>38</v>
      </c>
      <c r="E41" s="2" t="s">
        <v>217</v>
      </c>
      <c r="F41" s="2">
        <v>3</v>
      </c>
      <c r="G41" s="39" t="s">
        <v>38</v>
      </c>
      <c r="H41" s="39">
        <v>1</v>
      </c>
      <c r="I41" s="5" t="str">
        <f>IFERROR(_xlfn.XLOOKUP(H41,Area!A:A,Area!B:B),"")</f>
        <v>1칸</v>
      </c>
      <c r="J41" t="s">
        <v>376</v>
      </c>
      <c r="K41" t="str">
        <f>IFERROR(_xlfn.XLOOKUP(H41,Area!A:A,Area!H:H),"")</f>
        <v>Skill_Area_Icon_Pivot_Centor</v>
      </c>
    </row>
    <row r="42" spans="1:11" x14ac:dyDescent="0.3">
      <c r="A42" s="54">
        <v>1000301</v>
      </c>
      <c r="B42" s="5" t="str" cm="1">
        <f t="array" ref="B42">IF(F42=0,"논타겟 "&amp;I42,
_xlfn.IFS(D42="None","",D42="All","전체",D42="Fire","화속성 ",D42="Water","수속성 ",D42="Forest","목속성 ",D42="Light","광속성 ",D42="Dark","암속성 ",D42="Attacker","공격형 ",D42="Defender","방어형 ",D42="Supporter","지원형 ",D42="Healer","회복형 ",D42="Magician","구속형 ",D42="Dead","죽은 ",D42="Random","무작위 ")
&amp;_xlfn.IFS(E42="Random","무작위",E42="Near","가까운",E42="LowHp","체력 낮은",E42="HighAtk","공격력 높은",E42="HighHp","체력 높은",E42="LowAtk","공격력 낮은",E42="None","")&amp;_xlfn.IFS(C42="Ally"," 아군",C42="Enemy"," 적",C42="Mine"," 자신",C42="None"," 없음")&amp;" "&amp;F42&amp;"명"&amp;" "&amp;IF(I42="1칸","",I42))</f>
        <v xml:space="preserve">공격력 낮은 아군 1명 </v>
      </c>
      <c r="C42" s="2" t="s">
        <v>50</v>
      </c>
      <c r="D42" s="2" t="s">
        <v>38</v>
      </c>
      <c r="E42" s="2" t="s">
        <v>219</v>
      </c>
      <c r="F42" s="2">
        <v>1</v>
      </c>
      <c r="G42" s="39" t="s">
        <v>38</v>
      </c>
      <c r="H42" s="39">
        <v>1</v>
      </c>
      <c r="I42" s="5" t="str">
        <f>IFERROR(_xlfn.XLOOKUP(H42,Area!A:A,Area!B:B),"")</f>
        <v>1칸</v>
      </c>
      <c r="K42" t="str">
        <f>IFERROR(_xlfn.XLOOKUP(H42,Area!A:A,Area!H:H),"")</f>
        <v>Skill_Area_Icon_Pivot_Centor</v>
      </c>
    </row>
    <row r="43" spans="1:11" x14ac:dyDescent="0.3">
      <c r="A43" s="54">
        <v>1000302</v>
      </c>
      <c r="B43" s="5" t="str" cm="1">
        <f t="array" ref="B43">IF(F43=0,"논타겟 "&amp;I43,
_xlfn.IFS(D43="None","",D43="All","전체",D43="Fire","화속성 ",D43="Water","수속성 ",D43="Forest","목속성 ",D43="Light","광속성 ",D43="Dark","암속성 ",D43="Attacker","공격형 ",D43="Defender","방어형 ",D43="Supporter","지원형 ",D43="Healer","회복형 ",D43="Magician","구속형 ",D43="Dead","죽은 ",D43="Random","무작위 ")
&amp;_xlfn.IFS(E43="Random","무작위",E43="Near","가까운",E43="LowHp","체력 낮은",E43="HighAtk","공격력 높은",E43="HighHp","체력 높은",E43="LowAtk","공격력 낮은",E43="None","")&amp;_xlfn.IFS(C43="Ally"," 아군",C43="Enemy"," 적",C43="Mine"," 자신",C43="None"," 없음")&amp;" "&amp;F43&amp;"명"&amp;" "&amp;IF(I43="1칸","",I43))</f>
        <v xml:space="preserve">공격력 낮은 아군 2명 </v>
      </c>
      <c r="C43" s="2" t="s">
        <v>50</v>
      </c>
      <c r="D43" s="2" t="s">
        <v>38</v>
      </c>
      <c r="E43" s="2" t="s">
        <v>218</v>
      </c>
      <c r="F43" s="2">
        <v>2</v>
      </c>
      <c r="G43" s="39" t="s">
        <v>38</v>
      </c>
      <c r="H43" s="39">
        <v>1</v>
      </c>
      <c r="I43" s="5" t="str">
        <f>IFERROR(_xlfn.XLOOKUP(H43,Area!A:A,Area!B:B),"")</f>
        <v>1칸</v>
      </c>
      <c r="K43" t="str">
        <f>IFERROR(_xlfn.XLOOKUP(H43,Area!A:A,Area!H:H),"")</f>
        <v>Skill_Area_Icon_Pivot_Centor</v>
      </c>
    </row>
    <row r="44" spans="1:11" x14ac:dyDescent="0.3">
      <c r="A44" s="54">
        <v>1000303</v>
      </c>
      <c r="B44" s="5" t="str" cm="1">
        <f t="array" ref="B44">IF(F44=0,"논타겟 "&amp;I44,
_xlfn.IFS(D44="None","",D44="All","전체",D44="Fire","화속성 ",D44="Water","수속성 ",D44="Forest","목속성 ",D44="Light","광속성 ",D44="Dark","암속성 ",D44="Attacker","공격형 ",D44="Defender","방어형 ",D44="Supporter","지원형 ",D44="Healer","회복형 ",D44="Magician","구속형 ",D44="Dead","죽은 ",D44="Random","무작위 ")
&amp;_xlfn.IFS(E44="Random","무작위",E44="Near","가까운",E44="LowHp","체력 낮은",E44="HighAtk","공격력 높은",E44="HighHp","체력 높은",E44="LowAtk","공격력 낮은",E44="None","")&amp;_xlfn.IFS(C44="Ally"," 아군",C44="Enemy"," 적",C44="Mine"," 자신",C44="None"," 없음")&amp;" "&amp;F44&amp;"명"&amp;" "&amp;IF(I44="1칸","",I44))</f>
        <v xml:space="preserve">공격력 낮은 아군 3명 </v>
      </c>
      <c r="C44" s="2" t="s">
        <v>50</v>
      </c>
      <c r="D44" s="2" t="s">
        <v>38</v>
      </c>
      <c r="E44" s="2" t="s">
        <v>218</v>
      </c>
      <c r="F44" s="2">
        <v>3</v>
      </c>
      <c r="G44" s="39" t="s">
        <v>38</v>
      </c>
      <c r="H44" s="39">
        <v>1</v>
      </c>
      <c r="I44" s="5" t="str">
        <f>IFERROR(_xlfn.XLOOKUP(H44,Area!A:A,Area!B:B),"")</f>
        <v>1칸</v>
      </c>
      <c r="K44" t="str">
        <f>IFERROR(_xlfn.XLOOKUP(H44,Area!A:A,Area!H:H),"")</f>
        <v>Skill_Area_Icon_Pivot_Centor</v>
      </c>
    </row>
    <row r="45" spans="1:11" x14ac:dyDescent="0.3">
      <c r="A45" s="54">
        <v>1000401</v>
      </c>
      <c r="B45" s="5" t="str" cm="1">
        <f t="array" ref="B45">IF(F45=0,"논타겟 "&amp;I45,
_xlfn.IFS(D45="None","",D45="All","전체",D45="Fire","화속성 ",D45="Water","수속성 ",D45="Forest","목속성 ",D45="Light","광속성 ",D45="Dark","암속성 ",D45="Attacker","공격형 ",D45="Defender","방어형 ",D45="Supporter","지원형 ",D45="Healer","회복형 ",D45="Magician","구속형 ",D45="Dead","죽은 ",D45="Random","무작위 ")
&amp;_xlfn.IFS(E45="Random","무작위",E45="Near","가까운",E45="LowHp","체력 낮은",E45="HighAtk","공격력 높은",E45="HighHp","체력 높은",E45="LowAtk","공격력 낮은",E45="None","")&amp;_xlfn.IFS(C45="Ally"," 아군",C45="Enemy"," 적",C45="Mine"," 자신",C45="None"," 없음")&amp;" "&amp;F45&amp;"명"&amp;" "&amp;IF(I45="1칸","",I45))</f>
        <v xml:space="preserve">공격력 높은 아군 1명 </v>
      </c>
      <c r="C45" s="2" t="s">
        <v>50</v>
      </c>
      <c r="D45" s="2" t="s">
        <v>38</v>
      </c>
      <c r="E45" s="2" t="s">
        <v>220</v>
      </c>
      <c r="F45" s="2">
        <v>1</v>
      </c>
      <c r="G45" s="39" t="s">
        <v>38</v>
      </c>
      <c r="H45" s="39">
        <v>1</v>
      </c>
      <c r="I45" s="5" t="str">
        <f>IFERROR(_xlfn.XLOOKUP(H45,Area!A:A,Area!B:B),"")</f>
        <v>1칸</v>
      </c>
      <c r="K45" t="str">
        <f>IFERROR(_xlfn.XLOOKUP(H45,Area!A:A,Area!H:H),"")</f>
        <v>Skill_Area_Icon_Pivot_Centor</v>
      </c>
    </row>
    <row r="46" spans="1:11" x14ac:dyDescent="0.3">
      <c r="A46" s="54">
        <v>1000402</v>
      </c>
      <c r="B46" s="5" t="str" cm="1">
        <f t="array" ref="B46">IF(F46=0,"논타겟 "&amp;I46,
_xlfn.IFS(D46="None","",D46="All","전체",D46="Fire","화속성 ",D46="Water","수속성 ",D46="Forest","목속성 ",D46="Light","광속성 ",D46="Dark","암속성 ",D46="Attacker","공격형 ",D46="Defender","방어형 ",D46="Supporter","지원형 ",D46="Healer","회복형 ",D46="Magician","구속형 ",D46="Dead","죽은 ",D46="Random","무작위 ")
&amp;_xlfn.IFS(E46="Random","무작위",E46="Near","가까운",E46="LowHp","체력 낮은",E46="HighAtk","공격력 높은",E46="HighHp","체력 높은",E46="LowAtk","공격력 낮은",E46="None","")&amp;_xlfn.IFS(C46="Ally"," 아군",C46="Enemy"," 적",C46="Mine"," 자신",C46="None"," 없음")&amp;" "&amp;F46&amp;"명"&amp;" "&amp;IF(I46="1칸","",I46))</f>
        <v xml:space="preserve">공격력 높은 아군 2명 </v>
      </c>
      <c r="C46" s="2" t="s">
        <v>50</v>
      </c>
      <c r="D46" s="2" t="s">
        <v>38</v>
      </c>
      <c r="E46" s="2" t="s">
        <v>220</v>
      </c>
      <c r="F46" s="2">
        <v>2</v>
      </c>
      <c r="G46" s="39" t="s">
        <v>38</v>
      </c>
      <c r="H46" s="39">
        <v>1</v>
      </c>
      <c r="I46" s="5" t="str">
        <f>IFERROR(_xlfn.XLOOKUP(H46,Area!A:A,Area!B:B),"")</f>
        <v>1칸</v>
      </c>
      <c r="K46" t="str">
        <f>IFERROR(_xlfn.XLOOKUP(H46,Area!A:A,Area!H:H),"")</f>
        <v>Skill_Area_Icon_Pivot_Centor</v>
      </c>
    </row>
    <row r="47" spans="1:11" x14ac:dyDescent="0.3">
      <c r="A47" s="54">
        <v>1000403</v>
      </c>
      <c r="B47" s="5" t="str" cm="1">
        <f t="array" ref="B47">IF(F47=0,"논타겟 "&amp;I47,
_xlfn.IFS(D47="None","",D47="All","전체",D47="Fire","화속성 ",D47="Water","수속성 ",D47="Forest","목속성 ",D47="Light","광속성 ",D47="Dark","암속성 ",D47="Attacker","공격형 ",D47="Defender","방어형 ",D47="Supporter","지원형 ",D47="Healer","회복형 ",D47="Magician","구속형 ",D47="Dead","죽은 ",D47="Random","무작위 ")
&amp;_xlfn.IFS(E47="Random","무작위",E47="Near","가까운",E47="LowHp","체력 낮은",E47="HighAtk","공격력 높은",E47="HighHp","체력 높은",E47="LowAtk","공격력 낮은",E47="None","")&amp;_xlfn.IFS(C47="Ally"," 아군",C47="Enemy"," 적",C47="Mine"," 자신",C47="None"," 없음")&amp;" "&amp;F47&amp;"명"&amp;" "&amp;IF(I47="1칸","",I47))</f>
        <v xml:space="preserve">공격력 높은 아군 3명 </v>
      </c>
      <c r="C47" s="2" t="s">
        <v>50</v>
      </c>
      <c r="D47" s="2" t="s">
        <v>38</v>
      </c>
      <c r="E47" s="2" t="s">
        <v>220</v>
      </c>
      <c r="F47" s="2">
        <v>3</v>
      </c>
      <c r="G47" s="39" t="s">
        <v>38</v>
      </c>
      <c r="H47" s="39">
        <v>1</v>
      </c>
      <c r="I47" s="5" t="str">
        <f>IFERROR(_xlfn.XLOOKUP(H47,Area!A:A,Area!B:B),"")</f>
        <v>1칸</v>
      </c>
      <c r="J47" t="s">
        <v>377</v>
      </c>
      <c r="K47" t="str">
        <f>IFERROR(_xlfn.XLOOKUP(H47,Area!A:A,Area!H:H),"")</f>
        <v>Skill_Area_Icon_Pivot_Centor</v>
      </c>
    </row>
    <row r="48" spans="1:11" x14ac:dyDescent="0.3">
      <c r="A48" s="54">
        <v>1001101</v>
      </c>
      <c r="B48" s="5" t="str" cm="1">
        <f t="array" ref="B48">IF(F48=0,"논타겟 "&amp;I48,
_xlfn.IFS(D48="None","",D48="All","전체",D48="Fire","화속성 ",D48="Water","수속성 ",D48="Forest","목속성 ",D48="Light","광속성 ",D48="Dark","암속성 ",D48="Attacker","공격형 ",D48="Defender","방어형 ",D48="Supporter","지원형 ",D48="Healer","회복형 ",D48="Magician","구속형 ",D48="Dead","죽은 ",D48="Random","무작위 ")
&amp;_xlfn.IFS(E48="Random","무작위",E48="Near","가까운",E48="LowHp","체력 낮은",E48="HighAtk","공격력 높은",E48="HighHp","체력 높은",E48="LowAtk","공격력 낮은",E48="None","")&amp;_xlfn.IFS(C48="Ally"," 아군",C48="Enemy"," 적",C48="Mine"," 자신",C48="None"," 없음")&amp;" "&amp;F48&amp;"명"&amp;" "&amp;IF(I48="1칸","",I48))</f>
        <v xml:space="preserve">화속성 무작위 아군 1명 </v>
      </c>
      <c r="C48" s="2" t="s">
        <v>95</v>
      </c>
      <c r="D48" s="2" t="s">
        <v>20</v>
      </c>
      <c r="E48" s="2" t="s">
        <v>216</v>
      </c>
      <c r="F48" s="2">
        <v>1</v>
      </c>
      <c r="G48" s="39" t="s">
        <v>38</v>
      </c>
      <c r="H48" s="39">
        <v>1</v>
      </c>
      <c r="I48" s="5" t="str">
        <f>IFERROR(_xlfn.XLOOKUP(H48,Area!A:A,Area!B:B),"")</f>
        <v>1칸</v>
      </c>
      <c r="K48" t="str">
        <f>IFERROR(_xlfn.XLOOKUP(H48,Area!A:A,Area!H:H),"")</f>
        <v>Skill_Area_Icon_Pivot_Centor</v>
      </c>
    </row>
    <row r="49" spans="1:11" x14ac:dyDescent="0.3">
      <c r="A49" s="54">
        <v>1001102</v>
      </c>
      <c r="B49" s="5" t="str" cm="1">
        <f t="array" ref="B49">IF(F49=0,"논타겟 "&amp;I49,
_xlfn.IFS(D49="None","",D49="All","전체",D49="Fire","화속성 ",D49="Water","수속성 ",D49="Forest","목속성 ",D49="Light","광속성 ",D49="Dark","암속성 ",D49="Attacker","공격형 ",D49="Defender","방어형 ",D49="Supporter","지원형 ",D49="Healer","회복형 ",D49="Magician","구속형 ",D49="Dead","죽은 ",D49="Random","무작위 ")
&amp;_xlfn.IFS(E49="Random","무작위",E49="Near","가까운",E49="LowHp","체력 낮은",E49="HighAtk","공격력 높은",E49="HighHp","체력 높은",E49="LowAtk","공격력 낮은",E49="None","")&amp;_xlfn.IFS(C49="Ally"," 아군",C49="Enemy"," 적",C49="Mine"," 자신",C49="None"," 없음")&amp;" "&amp;F49&amp;"명"&amp;" "&amp;IF(I49="1칸","",I49))</f>
        <v xml:space="preserve">화속성 무작위 아군 2명 </v>
      </c>
      <c r="C49" s="2" t="s">
        <v>95</v>
      </c>
      <c r="D49" s="2" t="s">
        <v>20</v>
      </c>
      <c r="E49" s="2" t="s">
        <v>216</v>
      </c>
      <c r="F49" s="2">
        <v>2</v>
      </c>
      <c r="G49" s="39" t="s">
        <v>38</v>
      </c>
      <c r="H49" s="39">
        <v>1</v>
      </c>
      <c r="I49" s="5" t="str">
        <f>IFERROR(_xlfn.XLOOKUP(H49,Area!A:A,Area!B:B),"")</f>
        <v>1칸</v>
      </c>
      <c r="K49" t="str">
        <f>IFERROR(_xlfn.XLOOKUP(H49,Area!A:A,Area!H:H),"")</f>
        <v>Skill_Area_Icon_Pivot_Centor</v>
      </c>
    </row>
    <row r="50" spans="1:11" x14ac:dyDescent="0.3">
      <c r="A50" s="54">
        <v>1001103</v>
      </c>
      <c r="B50" s="5" t="str" cm="1">
        <f t="array" ref="B50">IF(F50=0,"논타겟 "&amp;I50,
_xlfn.IFS(D50="None","",D50="All","전체",D50="Fire","화속성 ",D50="Water","수속성 ",D50="Forest","목속성 ",D50="Light","광속성 ",D50="Dark","암속성 ",D50="Attacker","공격형 ",D50="Defender","방어형 ",D50="Supporter","지원형 ",D50="Healer","회복형 ",D50="Magician","구속형 ",D50="Dead","죽은 ",D50="Random","무작위 ")
&amp;_xlfn.IFS(E50="Random","무작위",E50="Near","가까운",E50="LowHp","체력 낮은",E50="HighAtk","공격력 높은",E50="HighHp","체력 높은",E50="LowAtk","공격력 낮은",E50="None","")&amp;_xlfn.IFS(C50="Ally"," 아군",C50="Enemy"," 적",C50="Mine"," 자신",C50="None"," 없음")&amp;" "&amp;F50&amp;"명"&amp;" "&amp;IF(I50="1칸","",I50))</f>
        <v xml:space="preserve">화속성 무작위 아군 3명 </v>
      </c>
      <c r="C50" s="2" t="s">
        <v>95</v>
      </c>
      <c r="D50" s="2" t="s">
        <v>20</v>
      </c>
      <c r="E50" s="2" t="s">
        <v>216</v>
      </c>
      <c r="F50" s="2">
        <v>3</v>
      </c>
      <c r="G50" s="39" t="s">
        <v>38</v>
      </c>
      <c r="H50" s="39">
        <v>1</v>
      </c>
      <c r="I50" s="5" t="str">
        <f>IFERROR(_xlfn.XLOOKUP(H50,Area!A:A,Area!B:B),"")</f>
        <v>1칸</v>
      </c>
      <c r="K50" t="str">
        <f>IFERROR(_xlfn.XLOOKUP(H50,Area!A:A,Area!H:H),"")</f>
        <v>Skill_Area_Icon_Pivot_Centor</v>
      </c>
    </row>
    <row r="51" spans="1:11" x14ac:dyDescent="0.3">
      <c r="A51" s="54">
        <v>1001104</v>
      </c>
      <c r="B51" s="5" t="str" cm="1">
        <f t="array" ref="B51">IF(F51=0,"논타겟 "&amp;I51,
_xlfn.IFS(D51="None","",D51="All","전체",D51="Fire","화속성 ",D51="Water","수속성 ",D51="Forest","목속성 ",D51="Light","광속성 ",D51="Dark","암속성 ",D51="Attacker","공격형 ",D51="Defender","방어형 ",D51="Supporter","지원형 ",D51="Healer","회복형 ",D51="Magician","구속형 ",D51="Dead","죽은 ",D51="Random","무작위 ")
&amp;_xlfn.IFS(E51="Random","무작위",E51="Near","가까운",E51="LowHp","체력 낮은",E51="HighAtk","공격력 높은",E51="HighHp","체력 높은",E51="LowAtk","공격력 낮은",E51="None","")&amp;_xlfn.IFS(C51="Ally"," 아군",C51="Enemy"," 적",C51="Mine"," 자신",C51="None"," 없음")&amp;" "&amp;F51&amp;"명"&amp;" "&amp;IF(I51="1칸","",I51))</f>
        <v xml:space="preserve">화속성 무작위 아군 4명 </v>
      </c>
      <c r="C51" s="2" t="s">
        <v>50</v>
      </c>
      <c r="D51" s="2" t="s">
        <v>19</v>
      </c>
      <c r="E51" s="2" t="s">
        <v>57</v>
      </c>
      <c r="F51" s="2">
        <v>4</v>
      </c>
      <c r="G51" s="39" t="s">
        <v>38</v>
      </c>
      <c r="H51" s="39">
        <v>1</v>
      </c>
      <c r="I51" s="5" t="str">
        <f>IFERROR(_xlfn.XLOOKUP(H51,Area!A:A,Area!B:B),"")</f>
        <v>1칸</v>
      </c>
      <c r="K51" t="str">
        <f>IFERROR(_xlfn.XLOOKUP(H51,Area!A:A,Area!H:H),"")</f>
        <v>Skill_Area_Icon_Pivot_Centor</v>
      </c>
    </row>
    <row r="52" spans="1:11" x14ac:dyDescent="0.3">
      <c r="A52" s="54">
        <v>1001105</v>
      </c>
      <c r="B52" s="5" t="str" cm="1">
        <f t="array" ref="B52">IF(F52=0,"논타겟 "&amp;I52,
_xlfn.IFS(D52="None","",D52="All","전체",D52="Fire","화속성 ",D52="Water","수속성 ",D52="Forest","목속성 ",D52="Light","광속성 ",D52="Dark","암속성 ",D52="Attacker","공격형 ",D52="Defender","방어형 ",D52="Supporter","지원형 ",D52="Healer","회복형 ",D52="Magician","구속형 ",D52="Dead","죽은 ",D52="Random","무작위 ")
&amp;_xlfn.IFS(E52="Random","무작위",E52="Near","가까운",E52="LowHp","체력 낮은",E52="HighAtk","공격력 높은",E52="HighHp","체력 높은",E52="LowAtk","공격력 낮은",E52="None","")&amp;_xlfn.IFS(C52="Ally"," 아군",C52="Enemy"," 적",C52="Mine"," 자신",C52="None"," 없음")&amp;" "&amp;F52&amp;"명"&amp;" "&amp;IF(I52="1칸","",I52))</f>
        <v xml:space="preserve">화속성 무작위 아군 5명 </v>
      </c>
      <c r="C52" s="2" t="s">
        <v>50</v>
      </c>
      <c r="D52" s="2" t="s">
        <v>19</v>
      </c>
      <c r="E52" s="2" t="s">
        <v>57</v>
      </c>
      <c r="F52" s="2">
        <v>5</v>
      </c>
      <c r="G52" s="39" t="s">
        <v>38</v>
      </c>
      <c r="H52" s="39">
        <v>1</v>
      </c>
      <c r="I52" s="5" t="str">
        <f>IFERROR(_xlfn.XLOOKUP(H52,Area!A:A,Area!B:B),"")</f>
        <v>1칸</v>
      </c>
      <c r="K52" t="str">
        <f>IFERROR(_xlfn.XLOOKUP(H52,Area!A:A,Area!H:H),"")</f>
        <v>Skill_Area_Icon_Pivot_Centor</v>
      </c>
    </row>
    <row r="53" spans="1:11" x14ac:dyDescent="0.3">
      <c r="A53" s="54">
        <v>1001109</v>
      </c>
      <c r="B53" s="5" t="str" cm="1">
        <f t="array" ref="B53">IF(F53=0,"논타겟 "&amp;I53,
_xlfn.IFS(D53="None","",D53="All","전체",D53="Fire","화속성 ",D53="Water","수속성 ",D53="Forest","목속성 ",D53="Light","광속성 ",D53="Dark","암속성 ",D53="Attacker","공격형 ",D53="Defender","방어형 ",D53="Supporter","지원형 ",D53="Healer","회복형 ",D53="Magician","구속형 ",D53="Dead","죽은 ",D53="Random","무작위 ")
&amp;_xlfn.IFS(E53="Random","무작위",E53="Near","가까운",E53="LowHp","체력 낮은",E53="HighAtk","공격력 높은",E53="HighHp","체력 높은",E53="LowAtk","공격력 낮은",E53="None","")&amp;_xlfn.IFS(C53="Ally"," 아군",C53="Enemy"," 적",C53="Mine"," 자신",C53="None"," 없음")&amp;" "&amp;F53&amp;"명"&amp;" "&amp;IF(I53="1칸","",I53))</f>
        <v>화속성 무작위 아군 1명 9칸</v>
      </c>
      <c r="C53" s="2" t="s">
        <v>50</v>
      </c>
      <c r="D53" s="2" t="s">
        <v>19</v>
      </c>
      <c r="E53" s="2" t="s">
        <v>57</v>
      </c>
      <c r="F53" s="2">
        <v>1</v>
      </c>
      <c r="G53" s="39" t="s">
        <v>38</v>
      </c>
      <c r="H53" s="39">
        <v>2</v>
      </c>
      <c r="I53" s="5" t="str">
        <f>IFERROR(_xlfn.XLOOKUP(H53,Area!A:A,Area!B:B),"")</f>
        <v>9칸</v>
      </c>
      <c r="K53" t="str">
        <f>IFERROR(_xlfn.XLOOKUP(H53,Area!A:A,Area!H:H),"")</f>
        <v>Skill_Area_Icon_Pivot_All</v>
      </c>
    </row>
    <row r="54" spans="1:11" x14ac:dyDescent="0.3">
      <c r="A54" s="54">
        <v>1001201</v>
      </c>
      <c r="B54" s="5" t="str" cm="1">
        <f t="array" ref="B54">IF(F54=0,"논타겟 "&amp;I54,
_xlfn.IFS(D54="None","",D54="All","전체",D54="Fire","화속성 ",D54="Water","수속성 ",D54="Forest","목속성 ",D54="Light","광속성 ",D54="Dark","암속성 ",D54="Attacker","공격형 ",D54="Defender","방어형 ",D54="Supporter","지원형 ",D54="Healer","회복형 ",D54="Magician","구속형 ",D54="Dead","죽은 ",D54="Random","무작위 ")
&amp;_xlfn.IFS(E54="Random","무작위",E54="Near","가까운",E54="LowHp","체력 낮은",E54="HighAtk","공격력 높은",E54="HighHp","체력 높은",E54="LowAtk","공격력 낮은",E54="None","")&amp;_xlfn.IFS(C54="Ally"," 아군",C54="Enemy"," 적",C54="Mine"," 자신",C54="None"," 없음")&amp;" "&amp;F54&amp;"명"&amp;" "&amp;IF(I54="1칸","",I54))</f>
        <v xml:space="preserve">수속성 무작위 아군 1명 </v>
      </c>
      <c r="C54" s="2" t="s">
        <v>95</v>
      </c>
      <c r="D54" s="2" t="s">
        <v>22</v>
      </c>
      <c r="E54" s="2" t="s">
        <v>216</v>
      </c>
      <c r="F54" s="2">
        <v>1</v>
      </c>
      <c r="G54" s="39" t="s">
        <v>38</v>
      </c>
      <c r="H54" s="39">
        <v>1</v>
      </c>
      <c r="I54" s="5" t="str">
        <f>IFERROR(_xlfn.XLOOKUP(H54,Area!A:A,Area!B:B),"")</f>
        <v>1칸</v>
      </c>
      <c r="K54" t="str">
        <f>IFERROR(_xlfn.XLOOKUP(H54,Area!A:A,Area!H:H),"")</f>
        <v>Skill_Area_Icon_Pivot_Centor</v>
      </c>
    </row>
    <row r="55" spans="1:11" x14ac:dyDescent="0.3">
      <c r="A55" s="54">
        <v>1001202</v>
      </c>
      <c r="B55" s="5" t="str" cm="1">
        <f t="array" ref="B55">IF(F55=0,"논타겟 "&amp;I55,
_xlfn.IFS(D55="None","",D55="All","전체",D55="Fire","화속성 ",D55="Water","수속성 ",D55="Forest","목속성 ",D55="Light","광속성 ",D55="Dark","암속성 ",D55="Attacker","공격형 ",D55="Defender","방어형 ",D55="Supporter","지원형 ",D55="Healer","회복형 ",D55="Magician","구속형 ",D55="Dead","죽은 ",D55="Random","무작위 ")
&amp;_xlfn.IFS(E55="Random","무작위",E55="Near","가까운",E55="LowHp","체력 낮은",E55="HighAtk","공격력 높은",E55="HighHp","체력 높은",E55="LowAtk","공격력 낮은",E55="None","")&amp;_xlfn.IFS(C55="Ally"," 아군",C55="Enemy"," 적",C55="Mine"," 자신",C55="None"," 없음")&amp;" "&amp;F55&amp;"명"&amp;" "&amp;IF(I55="1칸","",I55))</f>
        <v xml:space="preserve">수속성 무작위 아군 2명 </v>
      </c>
      <c r="C55" s="2" t="s">
        <v>95</v>
      </c>
      <c r="D55" s="2" t="s">
        <v>22</v>
      </c>
      <c r="E55" s="2" t="s">
        <v>216</v>
      </c>
      <c r="F55" s="2">
        <v>2</v>
      </c>
      <c r="G55" s="39" t="s">
        <v>38</v>
      </c>
      <c r="H55" s="39">
        <v>1</v>
      </c>
      <c r="I55" s="5" t="str">
        <f>IFERROR(_xlfn.XLOOKUP(H55,Area!A:A,Area!B:B),"")</f>
        <v>1칸</v>
      </c>
      <c r="K55" t="str">
        <f>IFERROR(_xlfn.XLOOKUP(H55,Area!A:A,Area!H:H),"")</f>
        <v>Skill_Area_Icon_Pivot_Centor</v>
      </c>
    </row>
    <row r="56" spans="1:11" x14ac:dyDescent="0.3">
      <c r="A56" s="54">
        <v>1001203</v>
      </c>
      <c r="B56" s="5" t="str" cm="1">
        <f t="array" ref="B56">IF(F56=0,"논타겟 "&amp;I56,
_xlfn.IFS(D56="None","",D56="All","전체",D56="Fire","화속성 ",D56="Water","수속성 ",D56="Forest","목속성 ",D56="Light","광속성 ",D56="Dark","암속성 ",D56="Attacker","공격형 ",D56="Defender","방어형 ",D56="Supporter","지원형 ",D56="Healer","회복형 ",D56="Magician","구속형 ",D56="Dead","죽은 ",D56="Random","무작위 ")
&amp;_xlfn.IFS(E56="Random","무작위",E56="Near","가까운",E56="LowHp","체력 낮은",E56="HighAtk","공격력 높은",E56="HighHp","체력 높은",E56="LowAtk","공격력 낮은",E56="None","")&amp;_xlfn.IFS(C56="Ally"," 아군",C56="Enemy"," 적",C56="Mine"," 자신",C56="None"," 없음")&amp;" "&amp;F56&amp;"명"&amp;" "&amp;IF(I56="1칸","",I56))</f>
        <v xml:space="preserve">수속성 무작위 아군 3명 </v>
      </c>
      <c r="C56" s="2" t="s">
        <v>95</v>
      </c>
      <c r="D56" s="2" t="s">
        <v>22</v>
      </c>
      <c r="E56" s="2" t="s">
        <v>216</v>
      </c>
      <c r="F56" s="2">
        <v>3</v>
      </c>
      <c r="G56" s="39" t="s">
        <v>38</v>
      </c>
      <c r="H56" s="39">
        <v>1</v>
      </c>
      <c r="I56" s="5" t="str">
        <f>IFERROR(_xlfn.XLOOKUP(H56,Area!A:A,Area!B:B),"")</f>
        <v>1칸</v>
      </c>
      <c r="K56" t="str">
        <f>IFERROR(_xlfn.XLOOKUP(H56,Area!A:A,Area!H:H),"")</f>
        <v>Skill_Area_Icon_Pivot_Centor</v>
      </c>
    </row>
    <row r="57" spans="1:11" x14ac:dyDescent="0.3">
      <c r="A57" s="54">
        <v>1001204</v>
      </c>
      <c r="B57" s="5" t="str" cm="1">
        <f t="array" ref="B57">IF(F57=0,"논타겟 "&amp;I57,
_xlfn.IFS(D57="None","",D57="All","전체",D57="Fire","화속성 ",D57="Water","수속성 ",D57="Forest","목속성 ",D57="Light","광속성 ",D57="Dark","암속성 ",D57="Attacker","공격형 ",D57="Defender","방어형 ",D57="Supporter","지원형 ",D57="Healer","회복형 ",D57="Magician","구속형 ",D57="Dead","죽은 ",D57="Random","무작위 ")
&amp;_xlfn.IFS(E57="Random","무작위",E57="Near","가까운",E57="LowHp","체력 낮은",E57="HighAtk","공격력 높은",E57="HighHp","체력 높은",E57="LowAtk","공격력 낮은",E57="None","")&amp;_xlfn.IFS(C57="Ally"," 아군",C57="Enemy"," 적",C57="Mine"," 자신",C57="None"," 없음")&amp;" "&amp;F57&amp;"명"&amp;" "&amp;IF(I57="1칸","",I57))</f>
        <v xml:space="preserve">수속성 무작위 아군 4명 </v>
      </c>
      <c r="C57" s="2" t="s">
        <v>50</v>
      </c>
      <c r="D57" s="2" t="s">
        <v>22</v>
      </c>
      <c r="E57" s="2" t="s">
        <v>57</v>
      </c>
      <c r="F57" s="2">
        <v>4</v>
      </c>
      <c r="G57" s="39" t="s">
        <v>38</v>
      </c>
      <c r="H57" s="39">
        <v>1</v>
      </c>
      <c r="I57" s="5" t="str">
        <f>IFERROR(_xlfn.XLOOKUP(H57,Area!A:A,Area!B:B),"")</f>
        <v>1칸</v>
      </c>
      <c r="K57" t="str">
        <f>IFERROR(_xlfn.XLOOKUP(H57,Area!A:A,Area!H:H),"")</f>
        <v>Skill_Area_Icon_Pivot_Centor</v>
      </c>
    </row>
    <row r="58" spans="1:11" x14ac:dyDescent="0.3">
      <c r="A58" s="54">
        <v>1001205</v>
      </c>
      <c r="B58" s="5" t="str" cm="1">
        <f t="array" ref="B58">IF(F58=0,"논타겟 "&amp;I58,
_xlfn.IFS(D58="None","",D58="All","전체",D58="Fire","화속성 ",D58="Water","수속성 ",D58="Forest","목속성 ",D58="Light","광속성 ",D58="Dark","암속성 ",D58="Attacker","공격형 ",D58="Defender","방어형 ",D58="Supporter","지원형 ",D58="Healer","회복형 ",D58="Magician","구속형 ",D58="Dead","죽은 ",D58="Random","무작위 ")
&amp;_xlfn.IFS(E58="Random","무작위",E58="Near","가까운",E58="LowHp","체력 낮은",E58="HighAtk","공격력 높은",E58="HighHp","체력 높은",E58="LowAtk","공격력 낮은",E58="None","")&amp;_xlfn.IFS(C58="Ally"," 아군",C58="Enemy"," 적",C58="Mine"," 자신",C58="None"," 없음")&amp;" "&amp;F58&amp;"명"&amp;" "&amp;IF(I58="1칸","",I58))</f>
        <v xml:space="preserve">수속성 무작위 아군 5명 </v>
      </c>
      <c r="C58" s="2" t="s">
        <v>50</v>
      </c>
      <c r="D58" s="2" t="s">
        <v>22</v>
      </c>
      <c r="E58" s="2" t="s">
        <v>57</v>
      </c>
      <c r="F58" s="2">
        <v>5</v>
      </c>
      <c r="G58" s="39" t="s">
        <v>38</v>
      </c>
      <c r="H58" s="39">
        <v>1</v>
      </c>
      <c r="I58" s="5" t="str">
        <f>IFERROR(_xlfn.XLOOKUP(H58,Area!A:A,Area!B:B),"")</f>
        <v>1칸</v>
      </c>
      <c r="K58" t="str">
        <f>IFERROR(_xlfn.XLOOKUP(H58,Area!A:A,Area!H:H),"")</f>
        <v>Skill_Area_Icon_Pivot_Centor</v>
      </c>
    </row>
    <row r="59" spans="1:11" x14ac:dyDescent="0.3">
      <c r="A59" s="54">
        <v>1001209</v>
      </c>
      <c r="B59" s="5" t="str" cm="1">
        <f t="array" ref="B59">IF(F59=0,"논타겟 "&amp;I59,
_xlfn.IFS(D59="None","",D59="All","전체",D59="Fire","화속성 ",D59="Water","수속성 ",D59="Forest","목속성 ",D59="Light","광속성 ",D59="Dark","암속성 ",D59="Attacker","공격형 ",D59="Defender","방어형 ",D59="Supporter","지원형 ",D59="Healer","회복형 ",D59="Magician","구속형 ",D59="Dead","죽은 ",D59="Random","무작위 ")
&amp;_xlfn.IFS(E59="Random","무작위",E59="Near","가까운",E59="LowHp","체력 낮은",E59="HighAtk","공격력 높은",E59="HighHp","체력 높은",E59="LowAtk","공격력 낮은",E59="None","")&amp;_xlfn.IFS(C59="Ally"," 아군",C59="Enemy"," 적",C59="Mine"," 자신",C59="None"," 없음")&amp;" "&amp;F59&amp;"명"&amp;" "&amp;IF(I59="1칸","",I59))</f>
        <v>수속성 무작위 아군 1명 9칸</v>
      </c>
      <c r="C59" s="2" t="s">
        <v>50</v>
      </c>
      <c r="D59" s="2" t="s">
        <v>22</v>
      </c>
      <c r="E59" s="2" t="s">
        <v>57</v>
      </c>
      <c r="F59" s="2">
        <v>1</v>
      </c>
      <c r="G59" s="39" t="s">
        <v>38</v>
      </c>
      <c r="H59" s="39">
        <v>2</v>
      </c>
      <c r="I59" s="5" t="str">
        <f>IFERROR(_xlfn.XLOOKUP(H59,Area!A:A,Area!B:B),"")</f>
        <v>9칸</v>
      </c>
      <c r="K59" t="str">
        <f>IFERROR(_xlfn.XLOOKUP(H59,Area!A:A,Area!H:H),"")</f>
        <v>Skill_Area_Icon_Pivot_All</v>
      </c>
    </row>
    <row r="60" spans="1:11" x14ac:dyDescent="0.3">
      <c r="A60" s="54">
        <v>1001301</v>
      </c>
      <c r="B60" s="5" t="str" cm="1">
        <f t="array" ref="B60">IF(F60=0,"논타겟 "&amp;I60,
_xlfn.IFS(D60="None","",D60="All","전체",D60="Fire","화속성 ",D60="Water","수속성 ",D60="Forest","목속성 ",D60="Light","광속성 ",D60="Dark","암속성 ",D60="Attacker","공격형 ",D60="Defender","방어형 ",D60="Supporter","지원형 ",D60="Healer","회복형 ",D60="Magician","구속형 ",D60="Dead","죽은 ",D60="Random","무작위 ")
&amp;_xlfn.IFS(E60="Random","무작위",E60="Near","가까운",E60="LowHp","체력 낮은",E60="HighAtk","공격력 높은",E60="HighHp","체력 높은",E60="LowAtk","공격력 낮은",E60="None","")&amp;_xlfn.IFS(C60="Ally"," 아군",C60="Enemy"," 적",C60="Mine"," 자신",C60="None"," 없음")&amp;" "&amp;F60&amp;"명"&amp;" "&amp;IF(I60="1칸","",I60))</f>
        <v xml:space="preserve">목속성 무작위 아군 1명 </v>
      </c>
      <c r="C60" s="2" t="s">
        <v>95</v>
      </c>
      <c r="D60" s="2" t="s">
        <v>68</v>
      </c>
      <c r="E60" s="2" t="s">
        <v>216</v>
      </c>
      <c r="F60" s="2">
        <v>1</v>
      </c>
      <c r="G60" s="39" t="s">
        <v>38</v>
      </c>
      <c r="H60" s="39">
        <v>1</v>
      </c>
      <c r="I60" s="5" t="str">
        <f>IFERROR(_xlfn.XLOOKUP(H60,Area!A:A,Area!B:B),"")</f>
        <v>1칸</v>
      </c>
      <c r="J60" t="s">
        <v>378</v>
      </c>
      <c r="K60" t="str">
        <f>IFERROR(_xlfn.XLOOKUP(H60,Area!A:A,Area!H:H),"")</f>
        <v>Skill_Area_Icon_Pivot_Centor</v>
      </c>
    </row>
    <row r="61" spans="1:11" x14ac:dyDescent="0.3">
      <c r="A61" s="54">
        <v>1001302</v>
      </c>
      <c r="B61" s="5" t="str" cm="1">
        <f t="array" ref="B61">IF(F61=0,"논타겟 "&amp;I61,
_xlfn.IFS(D61="None","",D61="All","전체",D61="Fire","화속성 ",D61="Water","수속성 ",D61="Forest","목속성 ",D61="Light","광속성 ",D61="Dark","암속성 ",D61="Attacker","공격형 ",D61="Defender","방어형 ",D61="Supporter","지원형 ",D61="Healer","회복형 ",D61="Magician","구속형 ",D61="Dead","죽은 ",D61="Random","무작위 ")
&amp;_xlfn.IFS(E61="Random","무작위",E61="Near","가까운",E61="LowHp","체력 낮은",E61="HighAtk","공격력 높은",E61="HighHp","체력 높은",E61="LowAtk","공격력 낮은",E61="None","")&amp;_xlfn.IFS(C61="Ally"," 아군",C61="Enemy"," 적",C61="Mine"," 자신",C61="None"," 없음")&amp;" "&amp;F61&amp;"명"&amp;" "&amp;IF(I61="1칸","",I61))</f>
        <v xml:space="preserve">목속성 무작위 아군 2명 </v>
      </c>
      <c r="C61" s="2" t="s">
        <v>95</v>
      </c>
      <c r="D61" s="2" t="s">
        <v>68</v>
      </c>
      <c r="E61" s="2" t="s">
        <v>216</v>
      </c>
      <c r="F61" s="2">
        <v>2</v>
      </c>
      <c r="G61" s="39" t="s">
        <v>38</v>
      </c>
      <c r="H61" s="39">
        <v>1</v>
      </c>
      <c r="I61" s="5" t="str">
        <f>IFERROR(_xlfn.XLOOKUP(H61,Area!A:A,Area!B:B),"")</f>
        <v>1칸</v>
      </c>
      <c r="J61" t="s">
        <v>378</v>
      </c>
      <c r="K61" t="str">
        <f>IFERROR(_xlfn.XLOOKUP(H61,Area!A:A,Area!H:H),"")</f>
        <v>Skill_Area_Icon_Pivot_Centor</v>
      </c>
    </row>
    <row r="62" spans="1:11" x14ac:dyDescent="0.3">
      <c r="A62" s="54">
        <v>1001303</v>
      </c>
      <c r="B62" s="5" t="str" cm="1">
        <f t="array" ref="B62">IF(F62=0,"논타겟 "&amp;I62,
_xlfn.IFS(D62="None","",D62="All","전체",D62="Fire","화속성 ",D62="Water","수속성 ",D62="Forest","목속성 ",D62="Light","광속성 ",D62="Dark","암속성 ",D62="Attacker","공격형 ",D62="Defender","방어형 ",D62="Supporter","지원형 ",D62="Healer","회복형 ",D62="Magician","구속형 ",D62="Dead","죽은 ",D62="Random","무작위 ")
&amp;_xlfn.IFS(E62="Random","무작위",E62="Near","가까운",E62="LowHp","체력 낮은",E62="HighAtk","공격력 높은",E62="HighHp","체력 높은",E62="LowAtk","공격력 낮은",E62="None","")&amp;_xlfn.IFS(C62="Ally"," 아군",C62="Enemy"," 적",C62="Mine"," 자신",C62="None"," 없음")&amp;" "&amp;F62&amp;"명"&amp;" "&amp;IF(I62="1칸","",I62))</f>
        <v xml:space="preserve">목속성 무작위 아군 3명 </v>
      </c>
      <c r="C62" s="2" t="s">
        <v>95</v>
      </c>
      <c r="D62" s="2" t="s">
        <v>68</v>
      </c>
      <c r="E62" s="2" t="s">
        <v>216</v>
      </c>
      <c r="F62" s="2">
        <v>3</v>
      </c>
      <c r="G62" s="39" t="s">
        <v>38</v>
      </c>
      <c r="H62" s="39">
        <v>1</v>
      </c>
      <c r="I62" s="5" t="str">
        <f>IFERROR(_xlfn.XLOOKUP(H62,Area!A:A,Area!B:B),"")</f>
        <v>1칸</v>
      </c>
      <c r="J62" t="s">
        <v>378</v>
      </c>
      <c r="K62" t="str">
        <f>IFERROR(_xlfn.XLOOKUP(H62,Area!A:A,Area!H:H),"")</f>
        <v>Skill_Area_Icon_Pivot_Centor</v>
      </c>
    </row>
    <row r="63" spans="1:11" x14ac:dyDescent="0.3">
      <c r="A63" s="54">
        <v>1001304</v>
      </c>
      <c r="B63" s="5" t="str" cm="1">
        <f t="array" ref="B63">IF(F63=0,"논타겟 "&amp;I63,
_xlfn.IFS(D63="None","",D63="All","전체",D63="Fire","화속성 ",D63="Water","수속성 ",D63="Forest","목속성 ",D63="Light","광속성 ",D63="Dark","암속성 ",D63="Attacker","공격형 ",D63="Defender","방어형 ",D63="Supporter","지원형 ",D63="Healer","회복형 ",D63="Magician","구속형 ",D63="Dead","죽은 ",D63="Random","무작위 ")
&amp;_xlfn.IFS(E63="Random","무작위",E63="Near","가까운",E63="LowHp","체력 낮은",E63="HighAtk","공격력 높은",E63="HighHp","체력 높은",E63="LowAtk","공격력 낮은",E63="None","")&amp;_xlfn.IFS(C63="Ally"," 아군",C63="Enemy"," 적",C63="Mine"," 자신",C63="None"," 없음")&amp;" "&amp;F63&amp;"명"&amp;" "&amp;IF(I63="1칸","",I63))</f>
        <v xml:space="preserve">목속성 무작위 아군 4명 </v>
      </c>
      <c r="C63" s="2" t="s">
        <v>50</v>
      </c>
      <c r="D63" s="2" t="s">
        <v>68</v>
      </c>
      <c r="E63" s="2" t="s">
        <v>57</v>
      </c>
      <c r="F63" s="2">
        <v>4</v>
      </c>
      <c r="G63" s="39" t="s">
        <v>38</v>
      </c>
      <c r="H63" s="39">
        <v>1</v>
      </c>
      <c r="I63" s="5" t="str">
        <f>IFERROR(_xlfn.XLOOKUP(H63,Area!A:A,Area!B:B),"")</f>
        <v>1칸</v>
      </c>
      <c r="J63" t="s">
        <v>378</v>
      </c>
      <c r="K63" t="str">
        <f>IFERROR(_xlfn.XLOOKUP(H63,Area!A:A,Area!H:H),"")</f>
        <v>Skill_Area_Icon_Pivot_Centor</v>
      </c>
    </row>
    <row r="64" spans="1:11" x14ac:dyDescent="0.3">
      <c r="A64" s="54">
        <v>1001305</v>
      </c>
      <c r="B64" s="5" t="str" cm="1">
        <f t="array" ref="B64">IF(F64=0,"논타겟 "&amp;I64,
_xlfn.IFS(D64="None","",D64="All","전체",D64="Fire","화속성 ",D64="Water","수속성 ",D64="Forest","목속성 ",D64="Light","광속성 ",D64="Dark","암속성 ",D64="Attacker","공격형 ",D64="Defender","방어형 ",D64="Supporter","지원형 ",D64="Healer","회복형 ",D64="Magician","구속형 ",D64="Dead","죽은 ",D64="Random","무작위 ")
&amp;_xlfn.IFS(E64="Random","무작위",E64="Near","가까운",E64="LowHp","체력 낮은",E64="HighAtk","공격력 높은",E64="HighHp","체력 높은",E64="LowAtk","공격력 낮은",E64="None","")&amp;_xlfn.IFS(C64="Ally"," 아군",C64="Enemy"," 적",C64="Mine"," 자신",C64="None"," 없음")&amp;" "&amp;F64&amp;"명"&amp;" "&amp;IF(I64="1칸","",I64))</f>
        <v xml:space="preserve">목속성 무작위 아군 5명 </v>
      </c>
      <c r="C64" s="2" t="s">
        <v>50</v>
      </c>
      <c r="D64" s="2" t="s">
        <v>68</v>
      </c>
      <c r="E64" s="2" t="s">
        <v>57</v>
      </c>
      <c r="F64" s="2">
        <v>5</v>
      </c>
      <c r="G64" s="39" t="s">
        <v>38</v>
      </c>
      <c r="H64" s="39">
        <v>1</v>
      </c>
      <c r="I64" s="5" t="str">
        <f>IFERROR(_xlfn.XLOOKUP(H64,Area!A:A,Area!B:B),"")</f>
        <v>1칸</v>
      </c>
      <c r="J64" t="s">
        <v>378</v>
      </c>
      <c r="K64" t="str">
        <f>IFERROR(_xlfn.XLOOKUP(H64,Area!A:A,Area!H:H),"")</f>
        <v>Skill_Area_Icon_Pivot_Centor</v>
      </c>
    </row>
    <row r="65" spans="1:11" x14ac:dyDescent="0.3">
      <c r="A65" s="54">
        <v>1001309</v>
      </c>
      <c r="B65" s="5" t="str" cm="1">
        <f t="array" ref="B65">IF(F65=0,"논타겟 "&amp;I65,
_xlfn.IFS(D65="None","",D65="All","전체",D65="Fire","화속성 ",D65="Water","수속성 ",D65="Forest","목속성 ",D65="Light","광속성 ",D65="Dark","암속성 ",D65="Attacker","공격형 ",D65="Defender","방어형 ",D65="Supporter","지원형 ",D65="Healer","회복형 ",D65="Magician","구속형 ",D65="Dead","죽은 ",D65="Random","무작위 ")
&amp;_xlfn.IFS(E65="Random","무작위",E65="Near","가까운",E65="LowHp","체력 낮은",E65="HighAtk","공격력 높은",E65="HighHp","체력 높은",E65="LowAtk","공격력 낮은",E65="None","")&amp;_xlfn.IFS(C65="Ally"," 아군",C65="Enemy"," 적",C65="Mine"," 자신",C65="None"," 없음")&amp;" "&amp;F65&amp;"명"&amp;" "&amp;IF(I65="1칸","",I65))</f>
        <v>목속성 무작위 아군 1명 9칸</v>
      </c>
      <c r="C65" s="2" t="s">
        <v>50</v>
      </c>
      <c r="D65" s="2" t="s">
        <v>68</v>
      </c>
      <c r="E65" s="2" t="s">
        <v>57</v>
      </c>
      <c r="F65" s="2">
        <v>1</v>
      </c>
      <c r="G65" s="39" t="s">
        <v>38</v>
      </c>
      <c r="H65" s="39">
        <v>2</v>
      </c>
      <c r="I65" s="5" t="str">
        <f>IFERROR(_xlfn.XLOOKUP(H65,Area!A:A,Area!B:B),"")</f>
        <v>9칸</v>
      </c>
      <c r="J65" t="s">
        <v>378</v>
      </c>
      <c r="K65" t="str">
        <f>IFERROR(_xlfn.XLOOKUP(H65,Area!A:A,Area!H:H),"")</f>
        <v>Skill_Area_Icon_Pivot_All</v>
      </c>
    </row>
    <row r="66" spans="1:11" x14ac:dyDescent="0.3">
      <c r="A66" s="54">
        <v>1001401</v>
      </c>
      <c r="B66" s="5" t="str" cm="1">
        <f t="array" ref="B66">IF(F66=0,"논타겟 "&amp;I66,
_xlfn.IFS(D66="None","",D66="All","전체",D66="Fire","화속성 ",D66="Water","수속성 ",D66="Forest","목속성 ",D66="Light","광속성 ",D66="Dark","암속성 ",D66="Attacker","공격형 ",D66="Defender","방어형 ",D66="Supporter","지원형 ",D66="Healer","회복형 ",D66="Magician","구속형 ",D66="Dead","죽은 ",D66="Random","무작위 ")
&amp;_xlfn.IFS(E66="Random","무작위",E66="Near","가까운",E66="LowHp","체력 낮은",E66="HighAtk","공격력 높은",E66="HighHp","체력 높은",E66="LowAtk","공격력 낮은",E66="None","")&amp;_xlfn.IFS(C66="Ally"," 아군",C66="Enemy"," 적",C66="Mine"," 자신",C66="None"," 없음")&amp;" "&amp;F66&amp;"명"&amp;" "&amp;IF(I66="1칸","",I66))</f>
        <v xml:space="preserve">광속성 무작위 아군 1명 </v>
      </c>
      <c r="C66" s="2" t="s">
        <v>95</v>
      </c>
      <c r="D66" s="2" t="s">
        <v>21</v>
      </c>
      <c r="E66" s="2" t="s">
        <v>216</v>
      </c>
      <c r="F66" s="2">
        <v>1</v>
      </c>
      <c r="G66" s="39" t="s">
        <v>38</v>
      </c>
      <c r="H66" s="39">
        <v>1</v>
      </c>
      <c r="I66" s="5" t="str">
        <f>IFERROR(_xlfn.XLOOKUP(H66,Area!A:A,Area!B:B),"")</f>
        <v>1칸</v>
      </c>
      <c r="K66" t="str">
        <f>IFERROR(_xlfn.XLOOKUP(H66,Area!A:A,Area!H:H),"")</f>
        <v>Skill_Area_Icon_Pivot_Centor</v>
      </c>
    </row>
    <row r="67" spans="1:11" x14ac:dyDescent="0.3">
      <c r="A67" s="54">
        <v>1001402</v>
      </c>
      <c r="B67" s="5" t="str" cm="1">
        <f t="array" ref="B67">IF(F67=0,"논타겟 "&amp;I67,
_xlfn.IFS(D67="None","",D67="All","전체",D67="Fire","화속성 ",D67="Water","수속성 ",D67="Forest","목속성 ",D67="Light","광속성 ",D67="Dark","암속성 ",D67="Attacker","공격형 ",D67="Defender","방어형 ",D67="Supporter","지원형 ",D67="Healer","회복형 ",D67="Magician","구속형 ",D67="Dead","죽은 ",D67="Random","무작위 ")
&amp;_xlfn.IFS(E67="Random","무작위",E67="Near","가까운",E67="LowHp","체력 낮은",E67="HighAtk","공격력 높은",E67="HighHp","체력 높은",E67="LowAtk","공격력 낮은",E67="None","")&amp;_xlfn.IFS(C67="Ally"," 아군",C67="Enemy"," 적",C67="Mine"," 자신",C67="None"," 없음")&amp;" "&amp;F67&amp;"명"&amp;" "&amp;IF(I67="1칸","",I67))</f>
        <v xml:space="preserve">광속성 무작위 아군 2명 </v>
      </c>
      <c r="C67" s="2" t="s">
        <v>95</v>
      </c>
      <c r="D67" s="2" t="s">
        <v>21</v>
      </c>
      <c r="E67" s="2" t="s">
        <v>216</v>
      </c>
      <c r="F67" s="2">
        <v>2</v>
      </c>
      <c r="G67" s="39" t="s">
        <v>38</v>
      </c>
      <c r="H67" s="39">
        <v>1</v>
      </c>
      <c r="I67" s="5" t="str">
        <f>IFERROR(_xlfn.XLOOKUP(H67,Area!A:A,Area!B:B),"")</f>
        <v>1칸</v>
      </c>
      <c r="K67" t="str">
        <f>IFERROR(_xlfn.XLOOKUP(H67,Area!A:A,Area!H:H),"")</f>
        <v>Skill_Area_Icon_Pivot_Centor</v>
      </c>
    </row>
    <row r="68" spans="1:11" x14ac:dyDescent="0.3">
      <c r="A68" s="54">
        <v>1001403</v>
      </c>
      <c r="B68" s="5" t="str" cm="1">
        <f t="array" ref="B68">IF(F68=0,"논타겟 "&amp;I68,
_xlfn.IFS(D68="None","",D68="All","전체",D68="Fire","화속성 ",D68="Water","수속성 ",D68="Forest","목속성 ",D68="Light","광속성 ",D68="Dark","암속성 ",D68="Attacker","공격형 ",D68="Defender","방어형 ",D68="Supporter","지원형 ",D68="Healer","회복형 ",D68="Magician","구속형 ",D68="Dead","죽은 ",D68="Random","무작위 ")
&amp;_xlfn.IFS(E68="Random","무작위",E68="Near","가까운",E68="LowHp","체력 낮은",E68="HighAtk","공격력 높은",E68="HighHp","체력 높은",E68="LowAtk","공격력 낮은",E68="None","")&amp;_xlfn.IFS(C68="Ally"," 아군",C68="Enemy"," 적",C68="Mine"," 자신",C68="None"," 없음")&amp;" "&amp;F68&amp;"명"&amp;" "&amp;IF(I68="1칸","",I68))</f>
        <v xml:space="preserve">광속성 무작위 아군 3명 </v>
      </c>
      <c r="C68" s="2" t="s">
        <v>95</v>
      </c>
      <c r="D68" s="2" t="s">
        <v>21</v>
      </c>
      <c r="E68" s="2" t="s">
        <v>216</v>
      </c>
      <c r="F68" s="2">
        <v>3</v>
      </c>
      <c r="G68" s="39" t="s">
        <v>38</v>
      </c>
      <c r="H68" s="39">
        <v>1</v>
      </c>
      <c r="I68" s="5" t="str">
        <f>IFERROR(_xlfn.XLOOKUP(H68,Area!A:A,Area!B:B),"")</f>
        <v>1칸</v>
      </c>
      <c r="K68" t="str">
        <f>IFERROR(_xlfn.XLOOKUP(H68,Area!A:A,Area!H:H),"")</f>
        <v>Skill_Area_Icon_Pivot_Centor</v>
      </c>
    </row>
    <row r="69" spans="1:11" x14ac:dyDescent="0.3">
      <c r="A69" s="54">
        <v>1001404</v>
      </c>
      <c r="B69" s="5" t="str" cm="1">
        <f t="array" ref="B69">IF(F69=0,"논타겟 "&amp;I69,
_xlfn.IFS(D69="None","",D69="All","전체",D69="Fire","화속성 ",D69="Water","수속성 ",D69="Forest","목속성 ",D69="Light","광속성 ",D69="Dark","암속성 ",D69="Attacker","공격형 ",D69="Defender","방어형 ",D69="Supporter","지원형 ",D69="Healer","회복형 ",D69="Magician","구속형 ",D69="Dead","죽은 ",D69="Random","무작위 ")
&amp;_xlfn.IFS(E69="Random","무작위",E69="Near","가까운",E69="LowHp","체력 낮은",E69="HighAtk","공격력 높은",E69="HighHp","체력 높은",E69="LowAtk","공격력 낮은",E69="None","")&amp;_xlfn.IFS(C69="Ally"," 아군",C69="Enemy"," 적",C69="Mine"," 자신",C69="None"," 없음")&amp;" "&amp;F69&amp;"명"&amp;" "&amp;IF(I69="1칸","",I69))</f>
        <v xml:space="preserve">광속성 무작위 아군 4명 </v>
      </c>
      <c r="C69" s="2" t="s">
        <v>50</v>
      </c>
      <c r="D69" s="2" t="s">
        <v>21</v>
      </c>
      <c r="E69" s="2" t="s">
        <v>57</v>
      </c>
      <c r="F69" s="2">
        <v>4</v>
      </c>
      <c r="G69" s="39" t="s">
        <v>38</v>
      </c>
      <c r="H69" s="39">
        <v>1</v>
      </c>
      <c r="I69" s="5" t="str">
        <f>IFERROR(_xlfn.XLOOKUP(H69,Area!A:A,Area!B:B),"")</f>
        <v>1칸</v>
      </c>
      <c r="K69" t="str">
        <f>IFERROR(_xlfn.XLOOKUP(H69,Area!A:A,Area!H:H),"")</f>
        <v>Skill_Area_Icon_Pivot_Centor</v>
      </c>
    </row>
    <row r="70" spans="1:11" x14ac:dyDescent="0.3">
      <c r="A70" s="54">
        <v>1001405</v>
      </c>
      <c r="B70" s="5" t="str" cm="1">
        <f t="array" ref="B70">IF(F70=0,"논타겟 "&amp;I70,
_xlfn.IFS(D70="None","",D70="All","전체",D70="Fire","화속성 ",D70="Water","수속성 ",D70="Forest","목속성 ",D70="Light","광속성 ",D70="Dark","암속성 ",D70="Attacker","공격형 ",D70="Defender","방어형 ",D70="Supporter","지원형 ",D70="Healer","회복형 ",D70="Magician","구속형 ",D70="Dead","죽은 ",D70="Random","무작위 ")
&amp;_xlfn.IFS(E70="Random","무작위",E70="Near","가까운",E70="LowHp","체력 낮은",E70="HighAtk","공격력 높은",E70="HighHp","체력 높은",E70="LowAtk","공격력 낮은",E70="None","")&amp;_xlfn.IFS(C70="Ally"," 아군",C70="Enemy"," 적",C70="Mine"," 자신",C70="None"," 없음")&amp;" "&amp;F70&amp;"명"&amp;" "&amp;IF(I70="1칸","",I70))</f>
        <v xml:space="preserve">광속성 무작위 아군 5명 </v>
      </c>
      <c r="C70" s="2" t="s">
        <v>50</v>
      </c>
      <c r="D70" s="2" t="s">
        <v>21</v>
      </c>
      <c r="E70" s="2" t="s">
        <v>57</v>
      </c>
      <c r="F70" s="2">
        <v>5</v>
      </c>
      <c r="G70" s="39" t="s">
        <v>38</v>
      </c>
      <c r="H70" s="39">
        <v>1</v>
      </c>
      <c r="I70" s="5" t="str">
        <f>IFERROR(_xlfn.XLOOKUP(H70,Area!A:A,Area!B:B),"")</f>
        <v>1칸</v>
      </c>
      <c r="K70" t="str">
        <f>IFERROR(_xlfn.XLOOKUP(H70,Area!A:A,Area!H:H),"")</f>
        <v>Skill_Area_Icon_Pivot_Centor</v>
      </c>
    </row>
    <row r="71" spans="1:11" x14ac:dyDescent="0.3">
      <c r="A71" s="54">
        <v>1001409</v>
      </c>
      <c r="B71" s="5" t="str" cm="1">
        <f t="array" ref="B71">IF(F71=0,"논타겟 "&amp;I71,
_xlfn.IFS(D71="None","",D71="All","전체",D71="Fire","화속성 ",D71="Water","수속성 ",D71="Forest","목속성 ",D71="Light","광속성 ",D71="Dark","암속성 ",D71="Attacker","공격형 ",D71="Defender","방어형 ",D71="Supporter","지원형 ",D71="Healer","회복형 ",D71="Magician","구속형 ",D71="Dead","죽은 ",D71="Random","무작위 ")
&amp;_xlfn.IFS(E71="Random","무작위",E71="Near","가까운",E71="LowHp","체력 낮은",E71="HighAtk","공격력 높은",E71="HighHp","체력 높은",E71="LowAtk","공격력 낮은",E71="None","")&amp;_xlfn.IFS(C71="Ally"," 아군",C71="Enemy"," 적",C71="Mine"," 자신",C71="None"," 없음")&amp;" "&amp;F71&amp;"명"&amp;" "&amp;IF(I71="1칸","",I71))</f>
        <v>광속성 무작위 아군 1명 9칸</v>
      </c>
      <c r="C71" s="2" t="s">
        <v>50</v>
      </c>
      <c r="D71" s="2" t="s">
        <v>21</v>
      </c>
      <c r="E71" s="2" t="s">
        <v>57</v>
      </c>
      <c r="F71" s="2">
        <v>1</v>
      </c>
      <c r="G71" s="39" t="s">
        <v>38</v>
      </c>
      <c r="H71" s="39">
        <v>2</v>
      </c>
      <c r="I71" s="5" t="str">
        <f>IFERROR(_xlfn.XLOOKUP(H71,Area!A:A,Area!B:B),"")</f>
        <v>9칸</v>
      </c>
      <c r="K71" t="str">
        <f>IFERROR(_xlfn.XLOOKUP(H71,Area!A:A,Area!H:H),"")</f>
        <v>Skill_Area_Icon_Pivot_All</v>
      </c>
    </row>
    <row r="72" spans="1:11" x14ac:dyDescent="0.3">
      <c r="A72" s="54">
        <v>1001501</v>
      </c>
      <c r="B72" s="5" t="str" cm="1">
        <f t="array" ref="B72">IF(F72=0,"논타겟 "&amp;I72,
_xlfn.IFS(D72="None","",D72="All","전체",D72="Fire","화속성 ",D72="Water","수속성 ",D72="Forest","목속성 ",D72="Light","광속성 ",D72="Dark","암속성 ",D72="Attacker","공격형 ",D72="Defender","방어형 ",D72="Supporter","지원형 ",D72="Healer","회복형 ",D72="Magician","구속형 ",D72="Dead","죽은 ",D72="Random","무작위 ")
&amp;_xlfn.IFS(E72="Random","무작위",E72="Near","가까운",E72="LowHp","체력 낮은",E72="HighAtk","공격력 높은",E72="HighHp","체력 높은",E72="LowAtk","공격력 낮은",E72="None","")&amp;_xlfn.IFS(C72="Ally"," 아군",C72="Enemy"," 적",C72="Mine"," 자신",C72="None"," 없음")&amp;" "&amp;F72&amp;"명"&amp;" "&amp;IF(I72="1칸","",I72))</f>
        <v xml:space="preserve">암속성 무작위 아군 1명 </v>
      </c>
      <c r="C72" s="2" t="s">
        <v>95</v>
      </c>
      <c r="D72" s="2" t="s">
        <v>69</v>
      </c>
      <c r="E72" s="2" t="s">
        <v>216</v>
      </c>
      <c r="F72" s="2">
        <v>1</v>
      </c>
      <c r="G72" s="39" t="s">
        <v>38</v>
      </c>
      <c r="H72" s="39">
        <v>1</v>
      </c>
      <c r="I72" s="5" t="str">
        <f>IFERROR(_xlfn.XLOOKUP(H72,Area!A:A,Area!B:B),"")</f>
        <v>1칸</v>
      </c>
      <c r="K72" t="str">
        <f>IFERROR(_xlfn.XLOOKUP(H72,Area!A:A,Area!H:H),"")</f>
        <v>Skill_Area_Icon_Pivot_Centor</v>
      </c>
    </row>
    <row r="73" spans="1:11" x14ac:dyDescent="0.3">
      <c r="A73" s="54">
        <v>1001502</v>
      </c>
      <c r="B73" s="5" t="str" cm="1">
        <f t="array" ref="B73">IF(F73=0,"논타겟 "&amp;I73,
_xlfn.IFS(D73="None","",D73="All","전체",D73="Fire","화속성 ",D73="Water","수속성 ",D73="Forest","목속성 ",D73="Light","광속성 ",D73="Dark","암속성 ",D73="Attacker","공격형 ",D73="Defender","방어형 ",D73="Supporter","지원형 ",D73="Healer","회복형 ",D73="Magician","구속형 ",D73="Dead","죽은 ",D73="Random","무작위 ")
&amp;_xlfn.IFS(E73="Random","무작위",E73="Near","가까운",E73="LowHp","체력 낮은",E73="HighAtk","공격력 높은",E73="HighHp","체력 높은",E73="LowAtk","공격력 낮은",E73="None","")&amp;_xlfn.IFS(C73="Ally"," 아군",C73="Enemy"," 적",C73="Mine"," 자신",C73="None"," 없음")&amp;" "&amp;F73&amp;"명"&amp;" "&amp;IF(I73="1칸","",I73))</f>
        <v xml:space="preserve">암속성 무작위 아군 2명 </v>
      </c>
      <c r="C73" s="2" t="s">
        <v>95</v>
      </c>
      <c r="D73" s="2" t="s">
        <v>69</v>
      </c>
      <c r="E73" s="2" t="s">
        <v>216</v>
      </c>
      <c r="F73" s="2">
        <v>2</v>
      </c>
      <c r="G73" s="39" t="s">
        <v>38</v>
      </c>
      <c r="H73" s="39">
        <v>1</v>
      </c>
      <c r="I73" s="5" t="str">
        <f>IFERROR(_xlfn.XLOOKUP(H73,Area!A:A,Area!B:B),"")</f>
        <v>1칸</v>
      </c>
      <c r="K73" t="str">
        <f>IFERROR(_xlfn.XLOOKUP(H73,Area!A:A,Area!H:H),"")</f>
        <v>Skill_Area_Icon_Pivot_Centor</v>
      </c>
    </row>
    <row r="74" spans="1:11" x14ac:dyDescent="0.3">
      <c r="A74" s="54">
        <v>1001503</v>
      </c>
      <c r="B74" s="5" t="str" cm="1">
        <f t="array" ref="B74">IF(F74=0,"논타겟 "&amp;I74,
_xlfn.IFS(D74="None","",D74="All","전체",D74="Fire","화속성 ",D74="Water","수속성 ",D74="Forest","목속성 ",D74="Light","광속성 ",D74="Dark","암속성 ",D74="Attacker","공격형 ",D74="Defender","방어형 ",D74="Supporter","지원형 ",D74="Healer","회복형 ",D74="Magician","구속형 ",D74="Dead","죽은 ",D74="Random","무작위 ")
&amp;_xlfn.IFS(E74="Random","무작위",E74="Near","가까운",E74="LowHp","체력 낮은",E74="HighAtk","공격력 높은",E74="HighHp","체력 높은",E74="LowAtk","공격력 낮은",E74="None","")&amp;_xlfn.IFS(C74="Ally"," 아군",C74="Enemy"," 적",C74="Mine"," 자신",C74="None"," 없음")&amp;" "&amp;F74&amp;"명"&amp;" "&amp;IF(I74="1칸","",I74))</f>
        <v xml:space="preserve">암속성 무작위 아군 3명 </v>
      </c>
      <c r="C74" s="2" t="s">
        <v>95</v>
      </c>
      <c r="D74" s="2" t="s">
        <v>69</v>
      </c>
      <c r="E74" s="2" t="s">
        <v>216</v>
      </c>
      <c r="F74" s="2">
        <v>3</v>
      </c>
      <c r="G74" s="39" t="s">
        <v>38</v>
      </c>
      <c r="H74" s="39">
        <v>1</v>
      </c>
      <c r="I74" s="5" t="str">
        <f>IFERROR(_xlfn.XLOOKUP(H74,Area!A:A,Area!B:B),"")</f>
        <v>1칸</v>
      </c>
      <c r="K74" t="str">
        <f>IFERROR(_xlfn.XLOOKUP(H74,Area!A:A,Area!H:H),"")</f>
        <v>Skill_Area_Icon_Pivot_Centor</v>
      </c>
    </row>
    <row r="75" spans="1:11" x14ac:dyDescent="0.3">
      <c r="A75" s="54">
        <v>1001504</v>
      </c>
      <c r="B75" s="5" t="str" cm="1">
        <f t="array" ref="B75">IF(F75=0,"논타겟 "&amp;I75,
_xlfn.IFS(D75="None","",D75="All","전체",D75="Fire","화속성 ",D75="Water","수속성 ",D75="Forest","목속성 ",D75="Light","광속성 ",D75="Dark","암속성 ",D75="Attacker","공격형 ",D75="Defender","방어형 ",D75="Supporter","지원형 ",D75="Healer","회복형 ",D75="Magician","구속형 ",D75="Dead","죽은 ",D75="Random","무작위 ")
&amp;_xlfn.IFS(E75="Random","무작위",E75="Near","가까운",E75="LowHp","체력 낮은",E75="HighAtk","공격력 높은",E75="HighHp","체력 높은",E75="LowAtk","공격력 낮은",E75="None","")&amp;_xlfn.IFS(C75="Ally"," 아군",C75="Enemy"," 적",C75="Mine"," 자신",C75="None"," 없음")&amp;" "&amp;F75&amp;"명"&amp;" "&amp;IF(I75="1칸","",I75))</f>
        <v xml:space="preserve">암속성 무작위 아군 4명 </v>
      </c>
      <c r="C75" s="2" t="s">
        <v>50</v>
      </c>
      <c r="D75" s="2" t="s">
        <v>69</v>
      </c>
      <c r="E75" s="2" t="s">
        <v>57</v>
      </c>
      <c r="F75" s="2">
        <v>4</v>
      </c>
      <c r="G75" s="39" t="s">
        <v>38</v>
      </c>
      <c r="H75" s="39">
        <v>1</v>
      </c>
      <c r="I75" s="5" t="str">
        <f>IFERROR(_xlfn.XLOOKUP(H75,Area!A:A,Area!B:B),"")</f>
        <v>1칸</v>
      </c>
      <c r="K75" t="str">
        <f>IFERROR(_xlfn.XLOOKUP(H75,Area!A:A,Area!H:H),"")</f>
        <v>Skill_Area_Icon_Pivot_Centor</v>
      </c>
    </row>
    <row r="76" spans="1:11" x14ac:dyDescent="0.3">
      <c r="A76" s="54">
        <v>1001505</v>
      </c>
      <c r="B76" s="5" t="str" cm="1">
        <f t="array" ref="B76">IF(F76=0,"논타겟 "&amp;I76,
_xlfn.IFS(D76="None","",D76="All","전체",D76="Fire","화속성 ",D76="Water","수속성 ",D76="Forest","목속성 ",D76="Light","광속성 ",D76="Dark","암속성 ",D76="Attacker","공격형 ",D76="Defender","방어형 ",D76="Supporter","지원형 ",D76="Healer","회복형 ",D76="Magician","구속형 ",D76="Dead","죽은 ",D76="Random","무작위 ")
&amp;_xlfn.IFS(E76="Random","무작위",E76="Near","가까운",E76="LowHp","체력 낮은",E76="HighAtk","공격력 높은",E76="HighHp","체력 높은",E76="LowAtk","공격력 낮은",E76="None","")&amp;_xlfn.IFS(C76="Ally"," 아군",C76="Enemy"," 적",C76="Mine"," 자신",C76="None"," 없음")&amp;" "&amp;F76&amp;"명"&amp;" "&amp;IF(I76="1칸","",I76))</f>
        <v xml:space="preserve">암속성 무작위 아군 5명 </v>
      </c>
      <c r="C76" s="2" t="s">
        <v>50</v>
      </c>
      <c r="D76" s="2" t="s">
        <v>69</v>
      </c>
      <c r="E76" s="2" t="s">
        <v>57</v>
      </c>
      <c r="F76" s="2">
        <v>5</v>
      </c>
      <c r="G76" s="39" t="s">
        <v>38</v>
      </c>
      <c r="H76" s="39">
        <v>1</v>
      </c>
      <c r="I76" s="5" t="str">
        <f>IFERROR(_xlfn.XLOOKUP(H76,Area!A:A,Area!B:B),"")</f>
        <v>1칸</v>
      </c>
      <c r="K76" t="str">
        <f>IFERROR(_xlfn.XLOOKUP(H76,Area!A:A,Area!H:H),"")</f>
        <v>Skill_Area_Icon_Pivot_Centor</v>
      </c>
    </row>
    <row r="77" spans="1:11" x14ac:dyDescent="0.3">
      <c r="A77" s="54">
        <v>1001509</v>
      </c>
      <c r="B77" s="5" t="str" cm="1">
        <f t="array" ref="B77">IF(F77=0,"논타겟 "&amp;I77,
_xlfn.IFS(D77="None","",D77="All","전체",D77="Fire","화속성 ",D77="Water","수속성 ",D77="Forest","목속성 ",D77="Light","광속성 ",D77="Dark","암속성 ",D77="Attacker","공격형 ",D77="Defender","방어형 ",D77="Supporter","지원형 ",D77="Healer","회복형 ",D77="Magician","구속형 ",D77="Dead","죽은 ",D77="Random","무작위 ")
&amp;_xlfn.IFS(E77="Random","무작위",E77="Near","가까운",E77="LowHp","체력 낮은",E77="HighAtk","공격력 높은",E77="HighHp","체력 높은",E77="LowAtk","공격력 낮은",E77="None","")&amp;_xlfn.IFS(C77="Ally"," 아군",C77="Enemy"," 적",C77="Mine"," 자신",C77="None"," 없음")&amp;" "&amp;F77&amp;"명"&amp;" "&amp;IF(I77="1칸","",I77))</f>
        <v>암속성 무작위 아군 1명 9칸</v>
      </c>
      <c r="C77" s="2" t="s">
        <v>50</v>
      </c>
      <c r="D77" s="2" t="s">
        <v>69</v>
      </c>
      <c r="E77" s="2" t="s">
        <v>57</v>
      </c>
      <c r="F77" s="2">
        <v>1</v>
      </c>
      <c r="G77" s="39" t="s">
        <v>38</v>
      </c>
      <c r="H77" s="39">
        <v>2</v>
      </c>
      <c r="I77" s="5" t="str">
        <f>IFERROR(_xlfn.XLOOKUP(H77,Area!A:A,Area!B:B),"")</f>
        <v>9칸</v>
      </c>
      <c r="K77" t="str">
        <f>IFERROR(_xlfn.XLOOKUP(H77,Area!A:A,Area!H:H),"")</f>
        <v>Skill_Area_Icon_Pivot_All</v>
      </c>
    </row>
    <row r="78" spans="1:11" x14ac:dyDescent="0.3">
      <c r="A78" s="54">
        <v>1001601</v>
      </c>
      <c r="B78" s="5" t="str" cm="1">
        <f t="array" ref="B78">IF(F78=0,"논타겟 "&amp;I78,
_xlfn.IFS(D78="None","",D78="All","전체",D78="Fire","화속성 ",D78="Water","수속성 ",D78="Forest","목속성 ",D78="Light","광속성 ",D78="Dark","암속성 ",D78="Attacker","공격형 ",D78="Defender","방어형 ",D78="Supporter","지원형 ",D78="Healer","회복형 ",D78="Magician","구속형 ",D78="Dead","죽은 ",D78="Random","무작위 ")
&amp;_xlfn.IFS(E78="Random","무작위",E78="Near","가까운",E78="LowHp","체력 낮은",E78="HighAtk","공격력 높은",E78="HighHp","체력 높은",E78="LowAtk","공격력 낮은",E78="None","")&amp;_xlfn.IFS(C78="Ally"," 아군",C78="Enemy"," 적",C78="Mine"," 자신",C78="None"," 없음")&amp;" "&amp;F78&amp;"명"&amp;" "&amp;IF(I78="1칸","",I78))</f>
        <v xml:space="preserve">공격형 무작위 아군 1명 </v>
      </c>
      <c r="C78" s="2" t="s">
        <v>95</v>
      </c>
      <c r="D78" s="2" t="s">
        <v>24</v>
      </c>
      <c r="E78" s="2" t="s">
        <v>216</v>
      </c>
      <c r="F78" s="2">
        <v>1</v>
      </c>
      <c r="G78" s="39" t="s">
        <v>38</v>
      </c>
      <c r="H78" s="39">
        <v>1</v>
      </c>
      <c r="I78" s="5" t="str">
        <f>IFERROR(_xlfn.XLOOKUP(H78,Area!A:A,Area!B:B),"")</f>
        <v>1칸</v>
      </c>
      <c r="J78" t="s">
        <v>382</v>
      </c>
      <c r="K78" t="str">
        <f>IFERROR(_xlfn.XLOOKUP(H78,Area!A:A,Area!H:H),"")</f>
        <v>Skill_Area_Icon_Pivot_Centor</v>
      </c>
    </row>
    <row r="79" spans="1:11" x14ac:dyDescent="0.3">
      <c r="A79" s="54">
        <v>1001602</v>
      </c>
      <c r="B79" s="5" t="str" cm="1">
        <f t="array" ref="B79">IF(F79=0,"논타겟 "&amp;I79,
_xlfn.IFS(D79="None","",D79="All","전체",D79="Fire","화속성 ",D79="Water","수속성 ",D79="Forest","목속성 ",D79="Light","광속성 ",D79="Dark","암속성 ",D79="Attacker","공격형 ",D79="Defender","방어형 ",D79="Supporter","지원형 ",D79="Healer","회복형 ",D79="Magician","구속형 ",D79="Dead","죽은 ",D79="Random","무작위 ")
&amp;_xlfn.IFS(E79="Random","무작위",E79="Near","가까운",E79="LowHp","체력 낮은",E79="HighAtk","공격력 높은",E79="HighHp","체력 높은",E79="LowAtk","공격력 낮은",E79="None","")&amp;_xlfn.IFS(C79="Ally"," 아군",C79="Enemy"," 적",C79="Mine"," 자신",C79="None"," 없음")&amp;" "&amp;F79&amp;"명"&amp;" "&amp;IF(I79="1칸","",I79))</f>
        <v xml:space="preserve">공격형 무작위 아군 2명 </v>
      </c>
      <c r="C79" s="2" t="s">
        <v>95</v>
      </c>
      <c r="D79" s="2" t="s">
        <v>24</v>
      </c>
      <c r="E79" s="2" t="s">
        <v>216</v>
      </c>
      <c r="F79" s="2">
        <v>2</v>
      </c>
      <c r="G79" s="39" t="s">
        <v>38</v>
      </c>
      <c r="H79" s="39">
        <v>1</v>
      </c>
      <c r="I79" s="5" t="str">
        <f>IFERROR(_xlfn.XLOOKUP(H79,Area!A:A,Area!B:B),"")</f>
        <v>1칸</v>
      </c>
      <c r="J79" t="s">
        <v>382</v>
      </c>
      <c r="K79" t="str">
        <f>IFERROR(_xlfn.XLOOKUP(H79,Area!A:A,Area!H:H),"")</f>
        <v>Skill_Area_Icon_Pivot_Centor</v>
      </c>
    </row>
    <row r="80" spans="1:11" x14ac:dyDescent="0.3">
      <c r="A80" s="54">
        <v>1001603</v>
      </c>
      <c r="B80" s="5" t="str" cm="1">
        <f t="array" ref="B80">IF(F80=0,"논타겟 "&amp;I80,
_xlfn.IFS(D80="None","",D80="All","전체",D80="Fire","화속성 ",D80="Water","수속성 ",D80="Forest","목속성 ",D80="Light","광속성 ",D80="Dark","암속성 ",D80="Attacker","공격형 ",D80="Defender","방어형 ",D80="Supporter","지원형 ",D80="Healer","회복형 ",D80="Magician","구속형 ",D80="Dead","죽은 ",D80="Random","무작위 ")
&amp;_xlfn.IFS(E80="Random","무작위",E80="Near","가까운",E80="LowHp","체력 낮은",E80="HighAtk","공격력 높은",E80="HighHp","체력 높은",E80="LowAtk","공격력 낮은",E80="None","")&amp;_xlfn.IFS(C80="Ally"," 아군",C80="Enemy"," 적",C80="Mine"," 자신",C80="None"," 없음")&amp;" "&amp;F80&amp;"명"&amp;" "&amp;IF(I80="1칸","",I80))</f>
        <v xml:space="preserve">공격형 무작위 아군 3명 </v>
      </c>
      <c r="C80" s="2" t="s">
        <v>95</v>
      </c>
      <c r="D80" s="2" t="s">
        <v>24</v>
      </c>
      <c r="E80" s="2" t="s">
        <v>216</v>
      </c>
      <c r="F80" s="2">
        <v>3</v>
      </c>
      <c r="G80" s="39" t="s">
        <v>38</v>
      </c>
      <c r="H80" s="39">
        <v>1</v>
      </c>
      <c r="I80" s="5" t="str">
        <f>IFERROR(_xlfn.XLOOKUP(H80,Area!A:A,Area!B:B),"")</f>
        <v>1칸</v>
      </c>
      <c r="J80" t="s">
        <v>382</v>
      </c>
      <c r="K80" t="str">
        <f>IFERROR(_xlfn.XLOOKUP(H80,Area!A:A,Area!H:H),"")</f>
        <v>Skill_Area_Icon_Pivot_Centor</v>
      </c>
    </row>
    <row r="81" spans="1:11" x14ac:dyDescent="0.3">
      <c r="A81" s="54">
        <v>1001604</v>
      </c>
      <c r="B81" s="5" t="str" cm="1">
        <f t="array" ref="B81">IF(F81=0,"논타겟 "&amp;I81,
_xlfn.IFS(D81="None","",D81="All","전체",D81="Fire","화속성 ",D81="Water","수속성 ",D81="Forest","목속성 ",D81="Light","광속성 ",D81="Dark","암속성 ",D81="Attacker","공격형 ",D81="Defender","방어형 ",D81="Supporter","지원형 ",D81="Healer","회복형 ",D81="Magician","구속형 ",D81="Dead","죽은 ",D81="Random","무작위 ")
&amp;_xlfn.IFS(E81="Random","무작위",E81="Near","가까운",E81="LowHp","체력 낮은",E81="HighAtk","공격력 높은",E81="HighHp","체력 높은",E81="LowAtk","공격력 낮은",E81="None","")&amp;_xlfn.IFS(C81="Ally"," 아군",C81="Enemy"," 적",C81="Mine"," 자신",C81="None"," 없음")&amp;" "&amp;F81&amp;"명"&amp;" "&amp;IF(I81="1칸","",I81))</f>
        <v xml:space="preserve">공격형 무작위 아군 4명 </v>
      </c>
      <c r="C81" s="2" t="s">
        <v>50</v>
      </c>
      <c r="D81" s="2" t="s">
        <v>24</v>
      </c>
      <c r="E81" s="2" t="s">
        <v>57</v>
      </c>
      <c r="F81" s="2">
        <v>4</v>
      </c>
      <c r="G81" s="39" t="s">
        <v>38</v>
      </c>
      <c r="H81" s="39">
        <v>1</v>
      </c>
      <c r="I81" s="5" t="str">
        <f>IFERROR(_xlfn.XLOOKUP(H81,Area!A:A,Area!B:B),"")</f>
        <v>1칸</v>
      </c>
      <c r="J81" t="s">
        <v>382</v>
      </c>
      <c r="K81" t="str">
        <f>IFERROR(_xlfn.XLOOKUP(H81,Area!A:A,Area!H:H),"")</f>
        <v>Skill_Area_Icon_Pivot_Centor</v>
      </c>
    </row>
    <row r="82" spans="1:11" x14ac:dyDescent="0.3">
      <c r="A82" s="54">
        <v>1001605</v>
      </c>
      <c r="B82" s="5" t="str" cm="1">
        <f t="array" ref="B82">IF(F82=0,"논타겟 "&amp;I82,
_xlfn.IFS(D82="None","",D82="All","전체",D82="Fire","화속성 ",D82="Water","수속성 ",D82="Forest","목속성 ",D82="Light","광속성 ",D82="Dark","암속성 ",D82="Attacker","공격형 ",D82="Defender","방어형 ",D82="Supporter","지원형 ",D82="Healer","회복형 ",D82="Magician","구속형 ",D82="Dead","죽은 ",D82="Random","무작위 ")
&amp;_xlfn.IFS(E82="Random","무작위",E82="Near","가까운",E82="LowHp","체력 낮은",E82="HighAtk","공격력 높은",E82="HighHp","체력 높은",E82="LowAtk","공격력 낮은",E82="None","")&amp;_xlfn.IFS(C82="Ally"," 아군",C82="Enemy"," 적",C82="Mine"," 자신",C82="None"," 없음")&amp;" "&amp;F82&amp;"명"&amp;" "&amp;IF(I82="1칸","",I82))</f>
        <v xml:space="preserve">공격형 무작위 아군 5명 </v>
      </c>
      <c r="C82" s="2" t="s">
        <v>50</v>
      </c>
      <c r="D82" s="2" t="s">
        <v>24</v>
      </c>
      <c r="E82" s="2" t="s">
        <v>57</v>
      </c>
      <c r="F82" s="2">
        <v>5</v>
      </c>
      <c r="G82" s="39" t="s">
        <v>38</v>
      </c>
      <c r="H82" s="39">
        <v>1</v>
      </c>
      <c r="I82" s="5" t="str">
        <f>IFERROR(_xlfn.XLOOKUP(H82,Area!A:A,Area!B:B),"")</f>
        <v>1칸</v>
      </c>
      <c r="J82" t="s">
        <v>382</v>
      </c>
      <c r="K82" t="str">
        <f>IFERROR(_xlfn.XLOOKUP(H82,Area!A:A,Area!H:H),"")</f>
        <v>Skill_Area_Icon_Pivot_Centor</v>
      </c>
    </row>
    <row r="83" spans="1:11" x14ac:dyDescent="0.3">
      <c r="A83" s="54">
        <v>1001609</v>
      </c>
      <c r="B83" s="5" t="str" cm="1">
        <f t="array" ref="B83">IF(F83=0,"논타겟 "&amp;I83,
_xlfn.IFS(D83="None","",D83="All","전체",D83="Fire","화속성 ",D83="Water","수속성 ",D83="Forest","목속성 ",D83="Light","광속성 ",D83="Dark","암속성 ",D83="Attacker","공격형 ",D83="Defender","방어형 ",D83="Supporter","지원형 ",D83="Healer","회복형 ",D83="Magician","구속형 ",D83="Dead","죽은 ",D83="Random","무작위 ")
&amp;_xlfn.IFS(E83="Random","무작위",E83="Near","가까운",E83="LowHp","체력 낮은",E83="HighAtk","공격력 높은",E83="HighHp","체력 높은",E83="LowAtk","공격력 낮은",E83="None","")&amp;_xlfn.IFS(C83="Ally"," 아군",C83="Enemy"," 적",C83="Mine"," 자신",C83="None"," 없음")&amp;" "&amp;F83&amp;"명"&amp;" "&amp;IF(I83="1칸","",I83))</f>
        <v>공격형 무작위 아군 1명 9칸</v>
      </c>
      <c r="C83" s="2" t="s">
        <v>50</v>
      </c>
      <c r="D83" s="2" t="s">
        <v>24</v>
      </c>
      <c r="E83" s="2" t="s">
        <v>57</v>
      </c>
      <c r="F83" s="2">
        <v>1</v>
      </c>
      <c r="G83" s="39" t="s">
        <v>38</v>
      </c>
      <c r="H83" s="39">
        <v>2</v>
      </c>
      <c r="I83" s="5" t="str">
        <f>IFERROR(_xlfn.XLOOKUP(H83,Area!A:A,Area!B:B),"")</f>
        <v>9칸</v>
      </c>
      <c r="J83" t="s">
        <v>382</v>
      </c>
      <c r="K83" t="str">
        <f>IFERROR(_xlfn.XLOOKUP(H83,Area!A:A,Area!H:H),"")</f>
        <v>Skill_Area_Icon_Pivot_All</v>
      </c>
    </row>
    <row r="84" spans="1:11" x14ac:dyDescent="0.3">
      <c r="A84" s="54">
        <v>1001701</v>
      </c>
      <c r="B84" s="5" t="str" cm="1">
        <f t="array" ref="B84">IF(F84=0,"논타겟 "&amp;I84,
_xlfn.IFS(D84="None","",D84="All","전체",D84="Fire","화속성 ",D84="Water","수속성 ",D84="Forest","목속성 ",D84="Light","광속성 ",D84="Dark","암속성 ",D84="Attacker","공격형 ",D84="Defender","방어형 ",D84="Supporter","지원형 ",D84="Healer","회복형 ",D84="Magician","구속형 ",D84="Dead","죽은 ",D84="Random","무작위 ")
&amp;_xlfn.IFS(E84="Random","무작위",E84="Near","가까운",E84="LowHp","체력 낮은",E84="HighAtk","공격력 높은",E84="HighHp","체력 높은",E84="LowAtk","공격력 낮은",E84="None","")&amp;_xlfn.IFS(C84="Ally"," 아군",C84="Enemy"," 적",C84="Mine"," 자신",C84="None"," 없음")&amp;" "&amp;F84&amp;"명"&amp;" "&amp;IF(I84="1칸","",I84))</f>
        <v xml:space="preserve">방어형 무작위 아군 1명 </v>
      </c>
      <c r="C84" s="2" t="s">
        <v>95</v>
      </c>
      <c r="D84" s="2" t="s">
        <v>28</v>
      </c>
      <c r="E84" s="2" t="s">
        <v>216</v>
      </c>
      <c r="F84" s="2">
        <v>1</v>
      </c>
      <c r="G84" s="39" t="s">
        <v>38</v>
      </c>
      <c r="H84" s="39">
        <v>1</v>
      </c>
      <c r="I84" s="5" t="str">
        <f>IFERROR(_xlfn.XLOOKUP(H84,Area!A:A,Area!B:B),"")</f>
        <v>1칸</v>
      </c>
      <c r="K84" t="str">
        <f>IFERROR(_xlfn.XLOOKUP(H84,Area!A:A,Area!H:H),"")</f>
        <v>Skill_Area_Icon_Pivot_Centor</v>
      </c>
    </row>
    <row r="85" spans="1:11" x14ac:dyDescent="0.3">
      <c r="A85" s="54">
        <v>1001702</v>
      </c>
      <c r="B85" s="5" t="str" cm="1">
        <f t="array" ref="B85">IF(F85=0,"논타겟 "&amp;I85,
_xlfn.IFS(D85="None","",D85="All","전체",D85="Fire","화속성 ",D85="Water","수속성 ",D85="Forest","목속성 ",D85="Light","광속성 ",D85="Dark","암속성 ",D85="Attacker","공격형 ",D85="Defender","방어형 ",D85="Supporter","지원형 ",D85="Healer","회복형 ",D85="Magician","구속형 ",D85="Dead","죽은 ",D85="Random","무작위 ")
&amp;_xlfn.IFS(E85="Random","무작위",E85="Near","가까운",E85="LowHp","체력 낮은",E85="HighAtk","공격력 높은",E85="HighHp","체력 높은",E85="LowAtk","공격력 낮은",E85="None","")&amp;_xlfn.IFS(C85="Ally"," 아군",C85="Enemy"," 적",C85="Mine"," 자신",C85="None"," 없음")&amp;" "&amp;F85&amp;"명"&amp;" "&amp;IF(I85="1칸","",I85))</f>
        <v xml:space="preserve">방어형 무작위 아군 2명 </v>
      </c>
      <c r="C85" s="2" t="s">
        <v>95</v>
      </c>
      <c r="D85" s="2" t="s">
        <v>28</v>
      </c>
      <c r="E85" s="2" t="s">
        <v>216</v>
      </c>
      <c r="F85" s="2">
        <v>2</v>
      </c>
      <c r="G85" s="39" t="s">
        <v>38</v>
      </c>
      <c r="H85" s="39">
        <v>1</v>
      </c>
      <c r="I85" s="5" t="str">
        <f>IFERROR(_xlfn.XLOOKUP(H85,Area!A:A,Area!B:B),"")</f>
        <v>1칸</v>
      </c>
      <c r="K85" t="str">
        <f>IFERROR(_xlfn.XLOOKUP(H85,Area!A:A,Area!H:H),"")</f>
        <v>Skill_Area_Icon_Pivot_Centor</v>
      </c>
    </row>
    <row r="86" spans="1:11" x14ac:dyDescent="0.3">
      <c r="A86" s="54">
        <v>1001703</v>
      </c>
      <c r="B86" s="5" t="str" cm="1">
        <f t="array" ref="B86">IF(F86=0,"논타겟 "&amp;I86,
_xlfn.IFS(D86="None","",D86="All","전체",D86="Fire","화속성 ",D86="Water","수속성 ",D86="Forest","목속성 ",D86="Light","광속성 ",D86="Dark","암속성 ",D86="Attacker","공격형 ",D86="Defender","방어형 ",D86="Supporter","지원형 ",D86="Healer","회복형 ",D86="Magician","구속형 ",D86="Dead","죽은 ",D86="Random","무작위 ")
&amp;_xlfn.IFS(E86="Random","무작위",E86="Near","가까운",E86="LowHp","체력 낮은",E86="HighAtk","공격력 높은",E86="HighHp","체력 높은",E86="LowAtk","공격력 낮은",E86="None","")&amp;_xlfn.IFS(C86="Ally"," 아군",C86="Enemy"," 적",C86="Mine"," 자신",C86="None"," 없음")&amp;" "&amp;F86&amp;"명"&amp;" "&amp;IF(I86="1칸","",I86))</f>
        <v xml:space="preserve">방어형 무작위 아군 3명 </v>
      </c>
      <c r="C86" s="2" t="s">
        <v>95</v>
      </c>
      <c r="D86" s="2" t="s">
        <v>28</v>
      </c>
      <c r="E86" s="2" t="s">
        <v>216</v>
      </c>
      <c r="F86" s="2">
        <v>3</v>
      </c>
      <c r="G86" s="39" t="s">
        <v>38</v>
      </c>
      <c r="H86" s="39">
        <v>1</v>
      </c>
      <c r="I86" s="5" t="str">
        <f>IFERROR(_xlfn.XLOOKUP(H86,Area!A:A,Area!B:B),"")</f>
        <v>1칸</v>
      </c>
      <c r="K86" t="str">
        <f>IFERROR(_xlfn.XLOOKUP(H86,Area!A:A,Area!H:H),"")</f>
        <v>Skill_Area_Icon_Pivot_Centor</v>
      </c>
    </row>
    <row r="87" spans="1:11" x14ac:dyDescent="0.3">
      <c r="A87" s="54">
        <v>1001704</v>
      </c>
      <c r="B87" s="5" t="str" cm="1">
        <f t="array" ref="B87">IF(F87=0,"논타겟 "&amp;I87,
_xlfn.IFS(D87="None","",D87="All","전체",D87="Fire","화속성 ",D87="Water","수속성 ",D87="Forest","목속성 ",D87="Light","광속성 ",D87="Dark","암속성 ",D87="Attacker","공격형 ",D87="Defender","방어형 ",D87="Supporter","지원형 ",D87="Healer","회복형 ",D87="Magician","구속형 ",D87="Dead","죽은 ",D87="Random","무작위 ")
&amp;_xlfn.IFS(E87="Random","무작위",E87="Near","가까운",E87="LowHp","체력 낮은",E87="HighAtk","공격력 높은",E87="HighHp","체력 높은",E87="LowAtk","공격력 낮은",E87="None","")&amp;_xlfn.IFS(C87="Ally"," 아군",C87="Enemy"," 적",C87="Mine"," 자신",C87="None"," 없음")&amp;" "&amp;F87&amp;"명"&amp;" "&amp;IF(I87="1칸","",I87))</f>
        <v xml:space="preserve">방어형 무작위 아군 4명 </v>
      </c>
      <c r="C87" s="2" t="s">
        <v>50</v>
      </c>
      <c r="D87" s="2" t="s">
        <v>28</v>
      </c>
      <c r="E87" s="2" t="s">
        <v>57</v>
      </c>
      <c r="F87" s="2">
        <v>4</v>
      </c>
      <c r="G87" s="39" t="s">
        <v>38</v>
      </c>
      <c r="H87" s="39">
        <v>1</v>
      </c>
      <c r="I87" s="5" t="str">
        <f>IFERROR(_xlfn.XLOOKUP(H87,Area!A:A,Area!B:B),"")</f>
        <v>1칸</v>
      </c>
      <c r="K87" t="str">
        <f>IFERROR(_xlfn.XLOOKUP(H87,Area!A:A,Area!H:H),"")</f>
        <v>Skill_Area_Icon_Pivot_Centor</v>
      </c>
    </row>
    <row r="88" spans="1:11" x14ac:dyDescent="0.3">
      <c r="A88" s="54">
        <v>1001705</v>
      </c>
      <c r="B88" s="5" t="str" cm="1">
        <f t="array" ref="B88">IF(F88=0,"논타겟 "&amp;I88,
_xlfn.IFS(D88="None","",D88="All","전체",D88="Fire","화속성 ",D88="Water","수속성 ",D88="Forest","목속성 ",D88="Light","광속성 ",D88="Dark","암속성 ",D88="Attacker","공격형 ",D88="Defender","방어형 ",D88="Supporter","지원형 ",D88="Healer","회복형 ",D88="Magician","구속형 ",D88="Dead","죽은 ",D88="Random","무작위 ")
&amp;_xlfn.IFS(E88="Random","무작위",E88="Near","가까운",E88="LowHp","체력 낮은",E88="HighAtk","공격력 높은",E88="HighHp","체력 높은",E88="LowAtk","공격력 낮은",E88="None","")&amp;_xlfn.IFS(C88="Ally"," 아군",C88="Enemy"," 적",C88="Mine"," 자신",C88="None"," 없음")&amp;" "&amp;F88&amp;"명"&amp;" "&amp;IF(I88="1칸","",I88))</f>
        <v xml:space="preserve">방어형 무작위 아군 5명 </v>
      </c>
      <c r="C88" s="2" t="s">
        <v>50</v>
      </c>
      <c r="D88" s="2" t="s">
        <v>28</v>
      </c>
      <c r="E88" s="2" t="s">
        <v>57</v>
      </c>
      <c r="F88" s="2">
        <v>5</v>
      </c>
      <c r="G88" s="39" t="s">
        <v>38</v>
      </c>
      <c r="H88" s="39">
        <v>1</v>
      </c>
      <c r="I88" s="5" t="str">
        <f>IFERROR(_xlfn.XLOOKUP(H88,Area!A:A,Area!B:B),"")</f>
        <v>1칸</v>
      </c>
      <c r="K88" t="str">
        <f>IFERROR(_xlfn.XLOOKUP(H88,Area!A:A,Area!H:H),"")</f>
        <v>Skill_Area_Icon_Pivot_Centor</v>
      </c>
    </row>
    <row r="89" spans="1:11" x14ac:dyDescent="0.3">
      <c r="A89" s="54">
        <v>1001709</v>
      </c>
      <c r="B89" s="5" t="str" cm="1">
        <f t="array" ref="B89">IF(F89=0,"논타겟 "&amp;I89,
_xlfn.IFS(D89="None","",D89="All","전체",D89="Fire","화속성 ",D89="Water","수속성 ",D89="Forest","목속성 ",D89="Light","광속성 ",D89="Dark","암속성 ",D89="Attacker","공격형 ",D89="Defender","방어형 ",D89="Supporter","지원형 ",D89="Healer","회복형 ",D89="Magician","구속형 ",D89="Dead","죽은 ",D89="Random","무작위 ")
&amp;_xlfn.IFS(E89="Random","무작위",E89="Near","가까운",E89="LowHp","체력 낮은",E89="HighAtk","공격력 높은",E89="HighHp","체력 높은",E89="LowAtk","공격력 낮은",E89="None","")&amp;_xlfn.IFS(C89="Ally"," 아군",C89="Enemy"," 적",C89="Mine"," 자신",C89="None"," 없음")&amp;" "&amp;F89&amp;"명"&amp;" "&amp;IF(I89="1칸","",I89))</f>
        <v>방어형 무작위 아군 1명 9칸</v>
      </c>
      <c r="C89" s="2" t="s">
        <v>50</v>
      </c>
      <c r="D89" s="2" t="s">
        <v>28</v>
      </c>
      <c r="E89" s="2" t="s">
        <v>57</v>
      </c>
      <c r="F89" s="2">
        <v>1</v>
      </c>
      <c r="G89" s="39" t="s">
        <v>38</v>
      </c>
      <c r="H89" s="39">
        <v>2</v>
      </c>
      <c r="I89" s="5" t="str">
        <f>IFERROR(_xlfn.XLOOKUP(H89,Area!A:A,Area!B:B),"")</f>
        <v>9칸</v>
      </c>
      <c r="K89" t="str">
        <f>IFERROR(_xlfn.XLOOKUP(H89,Area!A:A,Area!H:H),"")</f>
        <v>Skill_Area_Icon_Pivot_All</v>
      </c>
    </row>
    <row r="90" spans="1:11" x14ac:dyDescent="0.3">
      <c r="A90" s="54">
        <v>1001801</v>
      </c>
      <c r="B90" s="5" t="str" cm="1">
        <f t="array" ref="B90">IF(F90=0,"논타겟 "&amp;I90,
_xlfn.IFS(D90="None","",D90="All","전체",D90="Fire","화속성 ",D90="Water","수속성 ",D90="Forest","목속성 ",D90="Light","광속성 ",D90="Dark","암속성 ",D90="Attacker","공격형 ",D90="Defender","방어형 ",D90="Supporter","지원형 ",D90="Healer","회복형 ",D90="Magician","구속형 ",D90="Dead","죽은 ",D90="Random","무작위 ")
&amp;_xlfn.IFS(E90="Random","무작위",E90="Near","가까운",E90="LowHp","체력 낮은",E90="HighAtk","공격력 높은",E90="HighHp","체력 높은",E90="LowAtk","공격력 낮은",E90="None","")&amp;_xlfn.IFS(C90="Ally"," 아군",C90="Enemy"," 적",C90="Mine"," 자신",C90="None"," 없음")&amp;" "&amp;F90&amp;"명"&amp;" "&amp;IF(I90="1칸","",I90))</f>
        <v xml:space="preserve">구속형 무작위 아군 1명 </v>
      </c>
      <c r="C90" s="2" t="s">
        <v>95</v>
      </c>
      <c r="D90" s="2" t="s">
        <v>223</v>
      </c>
      <c r="E90" s="2" t="s">
        <v>216</v>
      </c>
      <c r="F90" s="2">
        <v>1</v>
      </c>
      <c r="G90" s="39" t="s">
        <v>38</v>
      </c>
      <c r="H90" s="39">
        <v>1</v>
      </c>
      <c r="I90" s="5" t="str">
        <f>IFERROR(_xlfn.XLOOKUP(H90,Area!A:A,Area!B:B),"")</f>
        <v>1칸</v>
      </c>
      <c r="K90" t="str">
        <f>IFERROR(_xlfn.XLOOKUP(H90,Area!A:A,Area!H:H),"")</f>
        <v>Skill_Area_Icon_Pivot_Centor</v>
      </c>
    </row>
    <row r="91" spans="1:11" x14ac:dyDescent="0.3">
      <c r="A91" s="54">
        <v>1001802</v>
      </c>
      <c r="B91" s="5" t="str" cm="1">
        <f t="array" ref="B91">IF(F91=0,"논타겟 "&amp;I91,
_xlfn.IFS(D91="None","",D91="All","전체",D91="Fire","화속성 ",D91="Water","수속성 ",D91="Forest","목속성 ",D91="Light","광속성 ",D91="Dark","암속성 ",D91="Attacker","공격형 ",D91="Defender","방어형 ",D91="Supporter","지원형 ",D91="Healer","회복형 ",D91="Magician","구속형 ",D91="Dead","죽은 ",D91="Random","무작위 ")
&amp;_xlfn.IFS(E91="Random","무작위",E91="Near","가까운",E91="LowHp","체력 낮은",E91="HighAtk","공격력 높은",E91="HighHp","체력 높은",E91="LowAtk","공격력 낮은",E91="None","")&amp;_xlfn.IFS(C91="Ally"," 아군",C91="Enemy"," 적",C91="Mine"," 자신",C91="None"," 없음")&amp;" "&amp;F91&amp;"명"&amp;" "&amp;IF(I91="1칸","",I91))</f>
        <v xml:space="preserve">구속형 무작위 아군 2명 </v>
      </c>
      <c r="C91" s="2" t="s">
        <v>95</v>
      </c>
      <c r="D91" s="2" t="s">
        <v>223</v>
      </c>
      <c r="E91" s="2" t="s">
        <v>216</v>
      </c>
      <c r="F91" s="2">
        <v>2</v>
      </c>
      <c r="G91" s="39" t="s">
        <v>38</v>
      </c>
      <c r="H91" s="39">
        <v>1</v>
      </c>
      <c r="I91" s="5" t="str">
        <f>IFERROR(_xlfn.XLOOKUP(H91,Area!A:A,Area!B:B),"")</f>
        <v>1칸</v>
      </c>
      <c r="K91" t="str">
        <f>IFERROR(_xlfn.XLOOKUP(H91,Area!A:A,Area!H:H),"")</f>
        <v>Skill_Area_Icon_Pivot_Centor</v>
      </c>
    </row>
    <row r="92" spans="1:11" x14ac:dyDescent="0.3">
      <c r="A92" s="54">
        <v>1001803</v>
      </c>
      <c r="B92" s="5" t="str" cm="1">
        <f t="array" ref="B92">IF(F92=0,"논타겟 "&amp;I92,
_xlfn.IFS(D92="None","",D92="All","전체",D92="Fire","화속성 ",D92="Water","수속성 ",D92="Forest","목속성 ",D92="Light","광속성 ",D92="Dark","암속성 ",D92="Attacker","공격형 ",D92="Defender","방어형 ",D92="Supporter","지원형 ",D92="Healer","회복형 ",D92="Magician","구속형 ",D92="Dead","죽은 ",D92="Random","무작위 ")
&amp;_xlfn.IFS(E92="Random","무작위",E92="Near","가까운",E92="LowHp","체력 낮은",E92="HighAtk","공격력 높은",E92="HighHp","체력 높은",E92="LowAtk","공격력 낮은",E92="None","")&amp;_xlfn.IFS(C92="Ally"," 아군",C92="Enemy"," 적",C92="Mine"," 자신",C92="None"," 없음")&amp;" "&amp;F92&amp;"명"&amp;" "&amp;IF(I92="1칸","",I92))</f>
        <v xml:space="preserve">구속형 무작위 아군 3명 </v>
      </c>
      <c r="C92" s="2" t="s">
        <v>95</v>
      </c>
      <c r="D92" s="2" t="s">
        <v>223</v>
      </c>
      <c r="E92" s="2" t="s">
        <v>216</v>
      </c>
      <c r="F92" s="2">
        <v>3</v>
      </c>
      <c r="G92" s="39" t="s">
        <v>38</v>
      </c>
      <c r="H92" s="39">
        <v>1</v>
      </c>
      <c r="I92" s="5" t="str">
        <f>IFERROR(_xlfn.XLOOKUP(H92,Area!A:A,Area!B:B),"")</f>
        <v>1칸</v>
      </c>
      <c r="K92" t="str">
        <f>IFERROR(_xlfn.XLOOKUP(H92,Area!A:A,Area!H:H),"")</f>
        <v>Skill_Area_Icon_Pivot_Centor</v>
      </c>
    </row>
    <row r="93" spans="1:11" x14ac:dyDescent="0.3">
      <c r="A93" s="54">
        <v>1001804</v>
      </c>
      <c r="B93" s="5" t="str" cm="1">
        <f t="array" ref="B93">IF(F93=0,"논타겟 "&amp;I93,
_xlfn.IFS(D93="None","",D93="All","전체",D93="Fire","화속성 ",D93="Water","수속성 ",D93="Forest","목속성 ",D93="Light","광속성 ",D93="Dark","암속성 ",D93="Attacker","공격형 ",D93="Defender","방어형 ",D93="Supporter","지원형 ",D93="Healer","회복형 ",D93="Magician","구속형 ",D93="Dead","죽은 ",D93="Random","무작위 ")
&amp;_xlfn.IFS(E93="Random","무작위",E93="Near","가까운",E93="LowHp","체력 낮은",E93="HighAtk","공격력 높은",E93="HighHp","체력 높은",E93="LowAtk","공격력 낮은",E93="None","")&amp;_xlfn.IFS(C93="Ally"," 아군",C93="Enemy"," 적",C93="Mine"," 자신",C93="None"," 없음")&amp;" "&amp;F93&amp;"명"&amp;" "&amp;IF(I93="1칸","",I93))</f>
        <v xml:space="preserve">구속형 무작위 아군 4명 </v>
      </c>
      <c r="C93" s="2" t="s">
        <v>50</v>
      </c>
      <c r="D93" s="2" t="s">
        <v>223</v>
      </c>
      <c r="E93" s="2" t="s">
        <v>57</v>
      </c>
      <c r="F93" s="2">
        <v>4</v>
      </c>
      <c r="G93" s="39" t="s">
        <v>38</v>
      </c>
      <c r="H93" s="39">
        <v>1</v>
      </c>
      <c r="I93" s="5" t="str">
        <f>IFERROR(_xlfn.XLOOKUP(H93,Area!A:A,Area!B:B),"")</f>
        <v>1칸</v>
      </c>
      <c r="K93" t="str">
        <f>IFERROR(_xlfn.XLOOKUP(H93,Area!A:A,Area!H:H),"")</f>
        <v>Skill_Area_Icon_Pivot_Centor</v>
      </c>
    </row>
    <row r="94" spans="1:11" x14ac:dyDescent="0.3">
      <c r="A94" s="54">
        <v>1001805</v>
      </c>
      <c r="B94" s="5" t="str" cm="1">
        <f t="array" ref="B94">IF(F94=0,"논타겟 "&amp;I94,
_xlfn.IFS(D94="None","",D94="All","전체",D94="Fire","화속성 ",D94="Water","수속성 ",D94="Forest","목속성 ",D94="Light","광속성 ",D94="Dark","암속성 ",D94="Attacker","공격형 ",D94="Defender","방어형 ",D94="Supporter","지원형 ",D94="Healer","회복형 ",D94="Magician","구속형 ",D94="Dead","죽은 ",D94="Random","무작위 ")
&amp;_xlfn.IFS(E94="Random","무작위",E94="Near","가까운",E94="LowHp","체력 낮은",E94="HighAtk","공격력 높은",E94="HighHp","체력 높은",E94="LowAtk","공격력 낮은",E94="None","")&amp;_xlfn.IFS(C94="Ally"," 아군",C94="Enemy"," 적",C94="Mine"," 자신",C94="None"," 없음")&amp;" "&amp;F94&amp;"명"&amp;" "&amp;IF(I94="1칸","",I94))</f>
        <v xml:space="preserve">구속형 무작위 아군 5명 </v>
      </c>
      <c r="C94" s="2" t="s">
        <v>50</v>
      </c>
      <c r="D94" s="2" t="s">
        <v>223</v>
      </c>
      <c r="E94" s="2" t="s">
        <v>57</v>
      </c>
      <c r="F94" s="2">
        <v>5</v>
      </c>
      <c r="G94" s="39" t="s">
        <v>38</v>
      </c>
      <c r="H94" s="39">
        <v>1</v>
      </c>
      <c r="I94" s="5" t="str">
        <f>IFERROR(_xlfn.XLOOKUP(H94,Area!A:A,Area!B:B),"")</f>
        <v>1칸</v>
      </c>
      <c r="K94" t="str">
        <f>IFERROR(_xlfn.XLOOKUP(H94,Area!A:A,Area!H:H),"")</f>
        <v>Skill_Area_Icon_Pivot_Centor</v>
      </c>
    </row>
    <row r="95" spans="1:11" x14ac:dyDescent="0.3">
      <c r="A95" s="54">
        <v>1001809</v>
      </c>
      <c r="B95" s="5" t="str" cm="1">
        <f t="array" ref="B95">IF(F95=0,"논타겟 "&amp;I95,
_xlfn.IFS(D95="None","",D95="All","전체",D95="Fire","화속성 ",D95="Water","수속성 ",D95="Forest","목속성 ",D95="Light","광속성 ",D95="Dark","암속성 ",D95="Attacker","공격형 ",D95="Defender","방어형 ",D95="Supporter","지원형 ",D95="Healer","회복형 ",D95="Magician","구속형 ",D95="Dead","죽은 ",D95="Random","무작위 ")
&amp;_xlfn.IFS(E95="Random","무작위",E95="Near","가까운",E95="LowHp","체력 낮은",E95="HighAtk","공격력 높은",E95="HighHp","체력 높은",E95="LowAtk","공격력 낮은",E95="None","")&amp;_xlfn.IFS(C95="Ally"," 아군",C95="Enemy"," 적",C95="Mine"," 자신",C95="None"," 없음")&amp;" "&amp;F95&amp;"명"&amp;" "&amp;IF(I95="1칸","",I95))</f>
        <v>구속형 무작위 아군 1명 9칸</v>
      </c>
      <c r="C95" s="2" t="s">
        <v>50</v>
      </c>
      <c r="D95" s="2" t="s">
        <v>223</v>
      </c>
      <c r="E95" s="2" t="s">
        <v>57</v>
      </c>
      <c r="F95" s="2">
        <v>1</v>
      </c>
      <c r="G95" s="39" t="s">
        <v>38</v>
      </c>
      <c r="H95" s="39">
        <v>2</v>
      </c>
      <c r="I95" s="5" t="str">
        <f>IFERROR(_xlfn.XLOOKUP(H95,Area!A:A,Area!B:B),"")</f>
        <v>9칸</v>
      </c>
      <c r="K95" t="str">
        <f>IFERROR(_xlfn.XLOOKUP(H95,Area!A:A,Area!H:H),"")</f>
        <v>Skill_Area_Icon_Pivot_All</v>
      </c>
    </row>
    <row r="96" spans="1:11" ht="18" customHeight="1" x14ac:dyDescent="0.3">
      <c r="A96" s="54">
        <v>1001901</v>
      </c>
      <c r="B96" s="5" t="str" cm="1">
        <f t="array" ref="B96">IF(F96=0,"논타겟 "&amp;I96,
_xlfn.IFS(D96="None","",D96="All","전체",D96="Fire","화속성 ",D96="Water","수속성 ",D96="Forest","목속성 ",D96="Light","광속성 ",D96="Dark","암속성 ",D96="Attacker","공격형 ",D96="Defender","방어형 ",D96="Supporter","지원형 ",D96="Healer","회복형 ",D96="Magician","구속형 ",D96="Dead","죽은 ",D96="Random","무작위 ")
&amp;_xlfn.IFS(E96="Random","무작위",E96="Near","가까운",E96="LowHp","체력 낮은",E96="HighAtk","공격력 높은",E96="HighHp","체력 높은",E96="LowAtk","공격력 낮은",E96="None","")&amp;_xlfn.IFS(C96="Ally"," 아군",C96="Enemy"," 적",C96="Mine"," 자신",C96="None"," 없음")&amp;" "&amp;F96&amp;"명"&amp;" "&amp;IF(I96="1칸","",I96))</f>
        <v xml:space="preserve">지원형 무작위 아군 1명 </v>
      </c>
      <c r="C96" s="2" t="s">
        <v>95</v>
      </c>
      <c r="D96" s="2" t="s">
        <v>26</v>
      </c>
      <c r="E96" s="2" t="s">
        <v>216</v>
      </c>
      <c r="F96" s="2">
        <v>1</v>
      </c>
      <c r="G96" s="39" t="s">
        <v>38</v>
      </c>
      <c r="H96" s="39">
        <v>1</v>
      </c>
      <c r="I96" s="5" t="str">
        <f>IFERROR(_xlfn.XLOOKUP(H96,Area!A:A,Area!B:B),"")</f>
        <v>1칸</v>
      </c>
      <c r="K96" t="str">
        <f>IFERROR(_xlfn.XLOOKUP(H96,Area!A:A,Area!H:H),"")</f>
        <v>Skill_Area_Icon_Pivot_Centor</v>
      </c>
    </row>
    <row r="97" spans="1:11" x14ac:dyDescent="0.3">
      <c r="A97" s="54">
        <v>1001902</v>
      </c>
      <c r="B97" s="5" t="str" cm="1">
        <f t="array" ref="B97">IF(F97=0,"논타겟 "&amp;I97,
_xlfn.IFS(D97="None","",D97="All","전체",D97="Fire","화속성 ",D97="Water","수속성 ",D97="Forest","목속성 ",D97="Light","광속성 ",D97="Dark","암속성 ",D97="Attacker","공격형 ",D97="Defender","방어형 ",D97="Supporter","지원형 ",D97="Healer","회복형 ",D97="Magician","구속형 ",D97="Dead","죽은 ",D97="Random","무작위 ")
&amp;_xlfn.IFS(E97="Random","무작위",E97="Near","가까운",E97="LowHp","체력 낮은",E97="HighAtk","공격력 높은",E97="HighHp","체력 높은",E97="LowAtk","공격력 낮은",E97="None","")&amp;_xlfn.IFS(C97="Ally"," 아군",C97="Enemy"," 적",C97="Mine"," 자신",C97="None"," 없음")&amp;" "&amp;F97&amp;"명"&amp;" "&amp;IF(I97="1칸","",I97))</f>
        <v xml:space="preserve">지원형 무작위 아군 2명 </v>
      </c>
      <c r="C97" s="2" t="s">
        <v>95</v>
      </c>
      <c r="D97" s="2" t="s">
        <v>26</v>
      </c>
      <c r="E97" s="2" t="s">
        <v>216</v>
      </c>
      <c r="F97" s="2">
        <v>2</v>
      </c>
      <c r="G97" s="39" t="s">
        <v>38</v>
      </c>
      <c r="H97" s="39">
        <v>1</v>
      </c>
      <c r="I97" s="5" t="str">
        <f>IFERROR(_xlfn.XLOOKUP(H97,Area!A:A,Area!B:B),"")</f>
        <v>1칸</v>
      </c>
      <c r="K97" t="str">
        <f>IFERROR(_xlfn.XLOOKUP(H97,Area!A:A,Area!H:H),"")</f>
        <v>Skill_Area_Icon_Pivot_Centor</v>
      </c>
    </row>
    <row r="98" spans="1:11" x14ac:dyDescent="0.3">
      <c r="A98" s="54">
        <v>1001903</v>
      </c>
      <c r="B98" s="5" t="str" cm="1">
        <f t="array" ref="B98">IF(F98=0,"논타겟 "&amp;I98,
_xlfn.IFS(D98="None","",D98="All","전체",D98="Fire","화속성 ",D98="Water","수속성 ",D98="Forest","목속성 ",D98="Light","광속성 ",D98="Dark","암속성 ",D98="Attacker","공격형 ",D98="Defender","방어형 ",D98="Supporter","지원형 ",D98="Healer","회복형 ",D98="Magician","구속형 ",D98="Dead","죽은 ",D98="Random","무작위 ")
&amp;_xlfn.IFS(E98="Random","무작위",E98="Near","가까운",E98="LowHp","체력 낮은",E98="HighAtk","공격력 높은",E98="HighHp","체력 높은",E98="LowAtk","공격력 낮은",E98="None","")&amp;_xlfn.IFS(C98="Ally"," 아군",C98="Enemy"," 적",C98="Mine"," 자신",C98="None"," 없음")&amp;" "&amp;F98&amp;"명"&amp;" "&amp;IF(I98="1칸","",I98))</f>
        <v xml:space="preserve">지원형 무작위 아군 3명 </v>
      </c>
      <c r="C98" s="2" t="s">
        <v>95</v>
      </c>
      <c r="D98" s="2" t="s">
        <v>26</v>
      </c>
      <c r="E98" s="2" t="s">
        <v>216</v>
      </c>
      <c r="F98" s="2">
        <v>3</v>
      </c>
      <c r="G98" s="39" t="s">
        <v>38</v>
      </c>
      <c r="H98" s="39">
        <v>1</v>
      </c>
      <c r="I98" s="5" t="str">
        <f>IFERROR(_xlfn.XLOOKUP(H98,Area!A:A,Area!B:B),"")</f>
        <v>1칸</v>
      </c>
      <c r="K98" t="str">
        <f>IFERROR(_xlfn.XLOOKUP(H98,Area!A:A,Area!H:H),"")</f>
        <v>Skill_Area_Icon_Pivot_Centor</v>
      </c>
    </row>
    <row r="99" spans="1:11" x14ac:dyDescent="0.3">
      <c r="A99" s="54">
        <v>1001904</v>
      </c>
      <c r="B99" s="5" t="str" cm="1">
        <f t="array" ref="B99">IF(F99=0,"논타겟 "&amp;I99,
_xlfn.IFS(D99="None","",D99="All","전체",D99="Fire","화속성 ",D99="Water","수속성 ",D99="Forest","목속성 ",D99="Light","광속성 ",D99="Dark","암속성 ",D99="Attacker","공격형 ",D99="Defender","방어형 ",D99="Supporter","지원형 ",D99="Healer","회복형 ",D99="Magician","구속형 ",D99="Dead","죽은 ",D99="Random","무작위 ")
&amp;_xlfn.IFS(E99="Random","무작위",E99="Near","가까운",E99="LowHp","체력 낮은",E99="HighAtk","공격력 높은",E99="HighHp","체력 높은",E99="LowAtk","공격력 낮은",E99="None","")&amp;_xlfn.IFS(C99="Ally"," 아군",C99="Enemy"," 적",C99="Mine"," 자신",C99="None"," 없음")&amp;" "&amp;F99&amp;"명"&amp;" "&amp;IF(I99="1칸","",I99))</f>
        <v xml:space="preserve">지원형 무작위 아군 4명 </v>
      </c>
      <c r="C99" s="2" t="s">
        <v>50</v>
      </c>
      <c r="D99" s="2" t="s">
        <v>26</v>
      </c>
      <c r="E99" s="2" t="s">
        <v>57</v>
      </c>
      <c r="F99" s="2">
        <v>4</v>
      </c>
      <c r="G99" s="39" t="s">
        <v>38</v>
      </c>
      <c r="H99" s="39">
        <v>1</v>
      </c>
      <c r="I99" s="5" t="str">
        <f>IFERROR(_xlfn.XLOOKUP(H99,Area!A:A,Area!B:B),"")</f>
        <v>1칸</v>
      </c>
      <c r="K99" t="str">
        <f>IFERROR(_xlfn.XLOOKUP(H99,Area!A:A,Area!H:H),"")</f>
        <v>Skill_Area_Icon_Pivot_Centor</v>
      </c>
    </row>
    <row r="100" spans="1:11" x14ac:dyDescent="0.3">
      <c r="A100" s="54">
        <v>1001905</v>
      </c>
      <c r="B100" s="5" t="str" cm="1">
        <f t="array" ref="B100">IF(F100=0,"논타겟 "&amp;I100,
_xlfn.IFS(D100="None","",D100="All","전체",D100="Fire","화속성 ",D100="Water","수속성 ",D100="Forest","목속성 ",D100="Light","광속성 ",D100="Dark","암속성 ",D100="Attacker","공격형 ",D100="Defender","방어형 ",D100="Supporter","지원형 ",D100="Healer","회복형 ",D100="Magician","구속형 ",D100="Dead","죽은 ",D100="Random","무작위 ")
&amp;_xlfn.IFS(E100="Random","무작위",E100="Near","가까운",E100="LowHp","체력 낮은",E100="HighAtk","공격력 높은",E100="HighHp","체력 높은",E100="LowAtk","공격력 낮은",E100="None","")&amp;_xlfn.IFS(C100="Ally"," 아군",C100="Enemy"," 적",C100="Mine"," 자신",C100="None"," 없음")&amp;" "&amp;F100&amp;"명"&amp;" "&amp;IF(I100="1칸","",I100))</f>
        <v xml:space="preserve">지원형 무작위 아군 5명 </v>
      </c>
      <c r="C100" s="2" t="s">
        <v>50</v>
      </c>
      <c r="D100" s="2" t="s">
        <v>26</v>
      </c>
      <c r="E100" s="2" t="s">
        <v>57</v>
      </c>
      <c r="F100" s="2">
        <v>5</v>
      </c>
      <c r="G100" s="39" t="s">
        <v>38</v>
      </c>
      <c r="H100" s="39">
        <v>1</v>
      </c>
      <c r="I100" s="5" t="str">
        <f>IFERROR(_xlfn.XLOOKUP(H100,Area!A:A,Area!B:B),"")</f>
        <v>1칸</v>
      </c>
      <c r="K100" t="str">
        <f>IFERROR(_xlfn.XLOOKUP(H100,Area!A:A,Area!H:H),"")</f>
        <v>Skill_Area_Icon_Pivot_Centor</v>
      </c>
    </row>
    <row r="101" spans="1:11" x14ac:dyDescent="0.3">
      <c r="A101" s="54">
        <v>1001909</v>
      </c>
      <c r="B101" s="5" t="str" cm="1">
        <f t="array" ref="B101">IF(F101=0,"논타겟 "&amp;I101,
_xlfn.IFS(D101="None","",D101="All","전체",D101="Fire","화속성 ",D101="Water","수속성 ",D101="Forest","목속성 ",D101="Light","광속성 ",D101="Dark","암속성 ",D101="Attacker","공격형 ",D101="Defender","방어형 ",D101="Supporter","지원형 ",D101="Healer","회복형 ",D101="Magician","구속형 ",D101="Dead","죽은 ",D101="Random","무작위 ")
&amp;_xlfn.IFS(E101="Random","무작위",E101="Near","가까운",E101="LowHp","체력 낮은",E101="HighAtk","공격력 높은",E101="HighHp","체력 높은",E101="LowAtk","공격력 낮은",E101="None","")&amp;_xlfn.IFS(C101="Ally"," 아군",C101="Enemy"," 적",C101="Mine"," 자신",C101="None"," 없음")&amp;" "&amp;F101&amp;"명"&amp;" "&amp;IF(I101="1칸","",I101))</f>
        <v>지원형 무작위 아군 1명 9칸</v>
      </c>
      <c r="C101" s="2" t="s">
        <v>50</v>
      </c>
      <c r="D101" s="2" t="s">
        <v>26</v>
      </c>
      <c r="E101" s="2" t="s">
        <v>57</v>
      </c>
      <c r="F101" s="2">
        <v>1</v>
      </c>
      <c r="G101" s="39" t="s">
        <v>38</v>
      </c>
      <c r="H101" s="39">
        <v>2</v>
      </c>
      <c r="I101" s="5" t="str">
        <f>IFERROR(_xlfn.XLOOKUP(H101,Area!A:A,Area!B:B),"")</f>
        <v>9칸</v>
      </c>
      <c r="K101" t="str">
        <f>IFERROR(_xlfn.XLOOKUP(H101,Area!A:A,Area!H:H),"")</f>
        <v>Skill_Area_Icon_Pivot_All</v>
      </c>
    </row>
    <row r="102" spans="1:11" x14ac:dyDescent="0.3">
      <c r="A102" s="54">
        <v>1002001</v>
      </c>
      <c r="B102" s="5" t="str" cm="1">
        <f t="array" ref="B102">IF(F102=0,"논타겟 "&amp;I102,
_xlfn.IFS(D102="None","",D102="All","전체",D102="Fire","화속성 ",D102="Water","수속성 ",D102="Forest","목속성 ",D102="Light","광속성 ",D102="Dark","암속성 ",D102="Attacker","공격형 ",D102="Defender","방어형 ",D102="Supporter","지원형 ",D102="Healer","회복형 ",D102="Magician","구속형 ",D102="Dead","죽은 ",D102="Random","무작위 ")
&amp;_xlfn.IFS(E102="Random","무작위",E102="Near","가까운",E102="LowHp","체력 낮은",E102="HighAtk","공격력 높은",E102="HighHp","체력 높은",E102="LowAtk","공격력 낮은",E102="None","")&amp;_xlfn.IFS(C102="Ally"," 아군",C102="Enemy"," 적",C102="Mine"," 자신",C102="None"," 없음")&amp;" "&amp;F102&amp;"명"&amp;" "&amp;IF(I102="1칸","",I102))</f>
        <v xml:space="preserve">회복형 무작위 아군 1명 </v>
      </c>
      <c r="C102" s="2" t="s">
        <v>95</v>
      </c>
      <c r="D102" s="2" t="s">
        <v>119</v>
      </c>
      <c r="E102" s="2" t="s">
        <v>216</v>
      </c>
      <c r="F102" s="2">
        <v>1</v>
      </c>
      <c r="G102" s="39" t="s">
        <v>38</v>
      </c>
      <c r="H102" s="39">
        <v>1</v>
      </c>
      <c r="I102" s="5" t="str">
        <f>IFERROR(_xlfn.XLOOKUP(H102,Area!A:A,Area!B:B),"")</f>
        <v>1칸</v>
      </c>
      <c r="K102" t="str">
        <f>IFERROR(_xlfn.XLOOKUP(H102,Area!A:A,Area!H:H),"")</f>
        <v>Skill_Area_Icon_Pivot_Centor</v>
      </c>
    </row>
    <row r="103" spans="1:11" x14ac:dyDescent="0.3">
      <c r="A103" s="54">
        <v>1002002</v>
      </c>
      <c r="B103" s="5" t="str" cm="1">
        <f t="array" ref="B103">IF(F103=0,"논타겟 "&amp;I103,
_xlfn.IFS(D103="None","",D103="All","전체",D103="Fire","화속성 ",D103="Water","수속성 ",D103="Forest","목속성 ",D103="Light","광속성 ",D103="Dark","암속성 ",D103="Attacker","공격형 ",D103="Defender","방어형 ",D103="Supporter","지원형 ",D103="Healer","회복형 ",D103="Magician","구속형 ",D103="Dead","죽은 ",D103="Random","무작위 ")
&amp;_xlfn.IFS(E103="Random","무작위",E103="Near","가까운",E103="LowHp","체력 낮은",E103="HighAtk","공격력 높은",E103="HighHp","체력 높은",E103="LowAtk","공격력 낮은",E103="None","")&amp;_xlfn.IFS(C103="Ally"," 아군",C103="Enemy"," 적",C103="Mine"," 자신",C103="None"," 없음")&amp;" "&amp;F103&amp;"명"&amp;" "&amp;IF(I103="1칸","",I103))</f>
        <v xml:space="preserve">회복형 무작위 아군 2명 </v>
      </c>
      <c r="C103" s="2" t="s">
        <v>95</v>
      </c>
      <c r="D103" s="2" t="s">
        <v>119</v>
      </c>
      <c r="E103" s="2" t="s">
        <v>216</v>
      </c>
      <c r="F103" s="2">
        <v>2</v>
      </c>
      <c r="G103" s="39" t="s">
        <v>38</v>
      </c>
      <c r="H103" s="39">
        <v>1</v>
      </c>
      <c r="I103" s="5" t="str">
        <f>IFERROR(_xlfn.XLOOKUP(H103,Area!A:A,Area!B:B),"")</f>
        <v>1칸</v>
      </c>
      <c r="K103" t="str">
        <f>IFERROR(_xlfn.XLOOKUP(H103,Area!A:A,Area!H:H),"")</f>
        <v>Skill_Area_Icon_Pivot_Centor</v>
      </c>
    </row>
    <row r="104" spans="1:11" x14ac:dyDescent="0.3">
      <c r="A104" s="54">
        <v>1002003</v>
      </c>
      <c r="B104" s="5" t="str" cm="1">
        <f t="array" ref="B104">IF(F104=0,"논타겟 "&amp;I104,
_xlfn.IFS(D104="None","",D104="All","전체",D104="Fire","화속성 ",D104="Water","수속성 ",D104="Forest","목속성 ",D104="Light","광속성 ",D104="Dark","암속성 ",D104="Attacker","공격형 ",D104="Defender","방어형 ",D104="Supporter","지원형 ",D104="Healer","회복형 ",D104="Magician","구속형 ",D104="Dead","죽은 ",D104="Random","무작위 ")
&amp;_xlfn.IFS(E104="Random","무작위",E104="Near","가까운",E104="LowHp","체력 낮은",E104="HighAtk","공격력 높은",E104="HighHp","체력 높은",E104="LowAtk","공격력 낮은",E104="None","")&amp;_xlfn.IFS(C104="Ally"," 아군",C104="Enemy"," 적",C104="Mine"," 자신",C104="None"," 없음")&amp;" "&amp;F104&amp;"명"&amp;" "&amp;IF(I104="1칸","",I104))</f>
        <v xml:space="preserve">회복형 무작위 아군 3명 </v>
      </c>
      <c r="C104" s="2" t="s">
        <v>95</v>
      </c>
      <c r="D104" s="2" t="s">
        <v>119</v>
      </c>
      <c r="E104" s="2" t="s">
        <v>216</v>
      </c>
      <c r="F104" s="2">
        <v>3</v>
      </c>
      <c r="G104" s="39" t="s">
        <v>38</v>
      </c>
      <c r="H104" s="39">
        <v>1</v>
      </c>
      <c r="I104" s="5" t="str">
        <f>IFERROR(_xlfn.XLOOKUP(H104,Area!A:A,Area!B:B),"")</f>
        <v>1칸</v>
      </c>
      <c r="K104" t="str">
        <f>IFERROR(_xlfn.XLOOKUP(H104,Area!A:A,Area!H:H),"")</f>
        <v>Skill_Area_Icon_Pivot_Centor</v>
      </c>
    </row>
    <row r="105" spans="1:11" x14ac:dyDescent="0.3">
      <c r="A105" s="54">
        <v>1002004</v>
      </c>
      <c r="B105" s="5" t="str" cm="1">
        <f t="array" ref="B105">IF(F105=0,"논타겟 "&amp;I105,
_xlfn.IFS(D105="None","",D105="All","전체",D105="Fire","화속성 ",D105="Water","수속성 ",D105="Forest","목속성 ",D105="Light","광속성 ",D105="Dark","암속성 ",D105="Attacker","공격형 ",D105="Defender","방어형 ",D105="Supporter","지원형 ",D105="Healer","회복형 ",D105="Magician","구속형 ",D105="Dead","죽은 ",D105="Random","무작위 ")
&amp;_xlfn.IFS(E105="Random","무작위",E105="Near","가까운",E105="LowHp","체력 낮은",E105="HighAtk","공격력 높은",E105="HighHp","체력 높은",E105="LowAtk","공격력 낮은",E105="None","")&amp;_xlfn.IFS(C105="Ally"," 아군",C105="Enemy"," 적",C105="Mine"," 자신",C105="None"," 없음")&amp;" "&amp;F105&amp;"명"&amp;" "&amp;IF(I105="1칸","",I105))</f>
        <v xml:space="preserve">회복형 무작위 아군 4명 </v>
      </c>
      <c r="C105" s="2" t="s">
        <v>50</v>
      </c>
      <c r="D105" s="2" t="s">
        <v>119</v>
      </c>
      <c r="E105" s="2" t="s">
        <v>57</v>
      </c>
      <c r="F105" s="2">
        <v>4</v>
      </c>
      <c r="G105" s="39" t="s">
        <v>38</v>
      </c>
      <c r="H105" s="39">
        <v>1</v>
      </c>
      <c r="I105" s="5" t="str">
        <f>IFERROR(_xlfn.XLOOKUP(H105,Area!A:A,Area!B:B),"")</f>
        <v>1칸</v>
      </c>
      <c r="K105" t="str">
        <f>IFERROR(_xlfn.XLOOKUP(H105,Area!A:A,Area!H:H),"")</f>
        <v>Skill_Area_Icon_Pivot_Centor</v>
      </c>
    </row>
    <row r="106" spans="1:11" x14ac:dyDescent="0.3">
      <c r="A106" s="54">
        <v>1002005</v>
      </c>
      <c r="B106" s="5" t="str" cm="1">
        <f t="array" ref="B106">IF(F106=0,"논타겟 "&amp;I106,
_xlfn.IFS(D106="None","",D106="All","전체",D106="Fire","화속성 ",D106="Water","수속성 ",D106="Forest","목속성 ",D106="Light","광속성 ",D106="Dark","암속성 ",D106="Attacker","공격형 ",D106="Defender","방어형 ",D106="Supporter","지원형 ",D106="Healer","회복형 ",D106="Magician","구속형 ",D106="Dead","죽은 ",D106="Random","무작위 ")
&amp;_xlfn.IFS(E106="Random","무작위",E106="Near","가까운",E106="LowHp","체력 낮은",E106="HighAtk","공격력 높은",E106="HighHp","체력 높은",E106="LowAtk","공격력 낮은",E106="None","")&amp;_xlfn.IFS(C106="Ally"," 아군",C106="Enemy"," 적",C106="Mine"," 자신",C106="None"," 없음")&amp;" "&amp;F106&amp;"명"&amp;" "&amp;IF(I106="1칸","",I106))</f>
        <v xml:space="preserve">회복형 무작위 아군 5명 </v>
      </c>
      <c r="C106" s="2" t="s">
        <v>50</v>
      </c>
      <c r="D106" s="2" t="s">
        <v>119</v>
      </c>
      <c r="E106" s="2" t="s">
        <v>57</v>
      </c>
      <c r="F106" s="2">
        <v>5</v>
      </c>
      <c r="G106" s="39" t="s">
        <v>38</v>
      </c>
      <c r="H106" s="39">
        <v>1</v>
      </c>
      <c r="I106" s="5" t="str">
        <f>IFERROR(_xlfn.XLOOKUP(H106,Area!A:A,Area!B:B),"")</f>
        <v>1칸</v>
      </c>
      <c r="K106" t="str">
        <f>IFERROR(_xlfn.XLOOKUP(H106,Area!A:A,Area!H:H),"")</f>
        <v>Skill_Area_Icon_Pivot_Centor</v>
      </c>
    </row>
    <row r="107" spans="1:11" x14ac:dyDescent="0.3">
      <c r="A107" s="54">
        <v>1002009</v>
      </c>
      <c r="B107" s="5" t="str" cm="1">
        <f t="array" ref="B107">IF(F107=0,"논타겟 "&amp;I107,
_xlfn.IFS(D107="None","",D107="All","전체",D107="Fire","화속성 ",D107="Water","수속성 ",D107="Forest","목속성 ",D107="Light","광속성 ",D107="Dark","암속성 ",D107="Attacker","공격형 ",D107="Defender","방어형 ",D107="Supporter","지원형 ",D107="Healer","회복형 ",D107="Magician","구속형 ",D107="Dead","죽은 ",D107="Random","무작위 ")
&amp;_xlfn.IFS(E107="Random","무작위",E107="Near","가까운",E107="LowHp","체력 낮은",E107="HighAtk","공격력 높은",E107="HighHp","체력 높은",E107="LowAtk","공격력 낮은",E107="None","")&amp;_xlfn.IFS(C107="Ally"," 아군",C107="Enemy"," 적",C107="Mine"," 자신",C107="None"," 없음")&amp;" "&amp;F107&amp;"명"&amp;" "&amp;IF(I107="1칸","",I107))</f>
        <v>회복형 무작위 아군 1명 9칸</v>
      </c>
      <c r="C107" s="2" t="s">
        <v>50</v>
      </c>
      <c r="D107" s="2" t="s">
        <v>119</v>
      </c>
      <c r="E107" s="2" t="s">
        <v>57</v>
      </c>
      <c r="F107" s="2">
        <v>1</v>
      </c>
      <c r="G107" s="39" t="s">
        <v>38</v>
      </c>
      <c r="H107" s="39">
        <v>2</v>
      </c>
      <c r="I107" s="5" t="str">
        <f>IFERROR(_xlfn.XLOOKUP(H107,Area!A:A,Area!B:B),"")</f>
        <v>9칸</v>
      </c>
      <c r="K107" t="str">
        <f>IFERROR(_xlfn.XLOOKUP(H107,Area!A:A,Area!H:H),"")</f>
        <v>Skill_Area_Icon_Pivot_All</v>
      </c>
    </row>
    <row r="108" spans="1:11" x14ac:dyDescent="0.3">
      <c r="A108" s="54">
        <v>1002101</v>
      </c>
      <c r="B108" s="5" t="str" cm="1">
        <f t="array" ref="B108">IF(F108=0,"논타겟 "&amp;I108,
_xlfn.IFS(D108="None","",D108="All","전체",D108="Fire","화속성 ",D108="Water","수속성 ",D108="Forest","목속성 ",D108="Light","광속성 ",D108="Dark","암속성 ",D108="Attacker","공격형 ",D108="Defender","방어형 ",D108="Supporter","지원형 ",D108="Healer","회복형 ",D108="Magician","구속형 ",D108="Dead","죽은 ",D108="Random","무작위 ")
&amp;_xlfn.IFS(E108="Random","무작위",E108="Near","가까운",E108="LowHp","체력 낮은",E108="HighAtk","공격력 높은",E108="HighHp","체력 높은",E108="LowAtk","공격력 낮은",E108="None","",E108="LowSp","Sp 낮은",E108="HighSp","Sp 높은",E108="LowSpd","Spd 낮은",E108="HighSpd","Spd 높은")
&amp;_xlfn.IFS(C108="Ally"," 아군",C108="Enemy"," 적",C108="Mine"," 자신",C108="None"," 없음")&amp;" "&amp;F108&amp;"명"&amp;" "&amp;IF(I108="1칸","",I108))</f>
        <v xml:space="preserve">Sp 낮은 아군 1명 </v>
      </c>
      <c r="C108" s="2" t="s">
        <v>50</v>
      </c>
      <c r="D108" s="2" t="s">
        <v>38</v>
      </c>
      <c r="E108" s="2" t="s">
        <v>237</v>
      </c>
      <c r="F108" s="2">
        <v>1</v>
      </c>
      <c r="G108" s="39" t="s">
        <v>38</v>
      </c>
      <c r="H108" s="39">
        <v>1</v>
      </c>
      <c r="I108" s="5" t="str">
        <f>IFERROR(_xlfn.XLOOKUP(H108,Area!A:A,Area!B:B),"")</f>
        <v>1칸</v>
      </c>
      <c r="K108" t="str">
        <f>IFERROR(_xlfn.XLOOKUP(H108,Area!A:A,Area!H:H),"")</f>
        <v>Skill_Area_Icon_Pivot_Centor</v>
      </c>
    </row>
    <row r="109" spans="1:11" x14ac:dyDescent="0.3">
      <c r="A109" s="54">
        <v>1002102</v>
      </c>
      <c r="B109" s="5" t="str" cm="1">
        <f t="array" ref="B109">IF(F109=0,"논타겟 "&amp;I109,
_xlfn.IFS(D109="None","",D109="All","전체",D109="Fire","화속성 ",D109="Water","수속성 ",D109="Forest","목속성 ",D109="Light","광속성 ",D109="Dark","암속성 ",D109="Attacker","공격형 ",D109="Defender","방어형 ",D109="Supporter","지원형 ",D109="Healer","회복형 ",D109="Magician","구속형 ",D109="Dead","죽은 ",D109="Random","무작위 ")
&amp;_xlfn.IFS(E109="Random","무작위",E109="Near","가까운",E109="LowHp","체력 낮은",E109="HighAtk","공격력 높은",E109="HighHp","체력 높은",E109="LowAtk","공격력 낮은",E109="None","",E109="LowSp","Sp 낮은",E109="HighSp","Sp 높은",E109="LowSpd","Spd 낮은",E109="HighSpd","Spd 높은")
&amp;_xlfn.IFS(C109="Ally"," 아군",C109="Enemy"," 적",C109="Mine"," 자신",C109="None"," 없음")&amp;" "&amp;F109&amp;"명"&amp;" "&amp;IF(I109="1칸","",I109))</f>
        <v xml:space="preserve">Sp 낮은 아군 2명 </v>
      </c>
      <c r="C109" s="2" t="s">
        <v>50</v>
      </c>
      <c r="D109" s="2" t="s">
        <v>38</v>
      </c>
      <c r="E109" s="2" t="s">
        <v>238</v>
      </c>
      <c r="F109" s="2">
        <v>2</v>
      </c>
      <c r="G109" s="39" t="s">
        <v>38</v>
      </c>
      <c r="H109" s="39">
        <v>1</v>
      </c>
      <c r="I109" s="5" t="str">
        <f>IFERROR(_xlfn.XLOOKUP(H109,Area!A:A,Area!B:B),"")</f>
        <v>1칸</v>
      </c>
      <c r="K109" t="str">
        <f>IFERROR(_xlfn.XLOOKUP(H109,Area!A:A,Area!H:H),"")</f>
        <v>Skill_Area_Icon_Pivot_Centor</v>
      </c>
    </row>
    <row r="110" spans="1:11" x14ac:dyDescent="0.3">
      <c r="A110" s="54">
        <v>1002103</v>
      </c>
      <c r="B110" s="5" t="str" cm="1">
        <f t="array" ref="B110">IF(F110=0,"논타겟 "&amp;I110,
_xlfn.IFS(D110="None","",D110="All","전체",D110="Fire","화속성 ",D110="Water","수속성 ",D110="Forest","목속성 ",D110="Light","광속성 ",D110="Dark","암속성 ",D110="Attacker","공격형 ",D110="Defender","방어형 ",D110="Supporter","지원형 ",D110="Healer","회복형 ",D110="Magician","구속형 ",D110="Dead","죽은 ",D110="Random","무작위 ")
&amp;_xlfn.IFS(E110="Random","무작위",E110="Near","가까운",E110="LowHp","체력 낮은",E110="HighAtk","공격력 높은",E110="HighHp","체력 높은",E110="LowAtk","공격력 낮은",E110="None","",E110="LowSp","Sp 낮은",E110="HighSp","Sp 높은",E110="LowSpd","Spd 낮은",E110="HighSpd","Spd 높은")
&amp;_xlfn.IFS(C110="Ally"," 아군",C110="Enemy"," 적",C110="Mine"," 자신",C110="None"," 없음")&amp;" "&amp;F110&amp;"명"&amp;" "&amp;IF(I110="1칸","",I110))</f>
        <v xml:space="preserve">Sp 낮은 아군 3명 </v>
      </c>
      <c r="C110" s="2" t="s">
        <v>50</v>
      </c>
      <c r="D110" s="2" t="s">
        <v>38</v>
      </c>
      <c r="E110" s="2" t="s">
        <v>238</v>
      </c>
      <c r="F110" s="2">
        <v>3</v>
      </c>
      <c r="G110" s="39" t="s">
        <v>38</v>
      </c>
      <c r="H110" s="39">
        <v>1</v>
      </c>
      <c r="I110" s="5" t="str">
        <f>IFERROR(_xlfn.XLOOKUP(H110,Area!A:A,Area!B:B),"")</f>
        <v>1칸</v>
      </c>
      <c r="K110" t="str">
        <f>IFERROR(_xlfn.XLOOKUP(H110,Area!A:A,Area!H:H),"")</f>
        <v>Skill_Area_Icon_Pivot_Centor</v>
      </c>
    </row>
    <row r="111" spans="1:11" x14ac:dyDescent="0.3">
      <c r="A111" s="54">
        <v>1002201</v>
      </c>
      <c r="B111" s="5" t="str" cm="1">
        <f t="array" ref="B111">IF(F111=0,"논타겟 "&amp;I111,
_xlfn.IFS(D111="None","",D111="All","전체",D111="Fire","화속성 ",D111="Water","수속성 ",D111="Forest","목속성 ",D111="Light","광속성 ",D111="Dark","암속성 ",D111="Attacker","공격형 ",D111="Defender","방어형 ",D111="Supporter","지원형 ",D111="Healer","회복형 ",D111="Magician","구속형 ",D111="Dead","죽은 ",D111="Random","무작위 ")
&amp;_xlfn.IFS(E111="Random","무작위",E111="Near","가까운",E111="LowHp","체력 낮은",E111="HighAtk","공격력 높은",E111="HighHp","체력 높은",E111="LowAtk","공격력 낮은",E111="None","",E111="LowSp","Sp 낮은",E111="HighSp","Sp 높은",E111="LowSpd","Spd 낮은",E111="HighSpd","Spd 높은")
&amp;_xlfn.IFS(C111="Ally"," 아군",C111="Enemy"," 적",C111="Mine"," 자신",C111="None"," 없음")&amp;" "&amp;F111&amp;"명"&amp;" "&amp;IF(I111="1칸","",I111))</f>
        <v xml:space="preserve">Sp 높은 아군 1명 </v>
      </c>
      <c r="C111" s="2" t="s">
        <v>50</v>
      </c>
      <c r="D111" s="2" t="s">
        <v>38</v>
      </c>
      <c r="E111" s="2" t="s">
        <v>239</v>
      </c>
      <c r="F111" s="2">
        <v>1</v>
      </c>
      <c r="G111" s="39" t="s">
        <v>38</v>
      </c>
      <c r="H111" s="39">
        <v>1</v>
      </c>
      <c r="I111" s="5" t="str">
        <f>IFERROR(_xlfn.XLOOKUP(H111,Area!A:A,Area!B:B),"")</f>
        <v>1칸</v>
      </c>
      <c r="K111" t="str">
        <f>IFERROR(_xlfn.XLOOKUP(H111,Area!A:A,Area!H:H),"")</f>
        <v>Skill_Area_Icon_Pivot_Centor</v>
      </c>
    </row>
    <row r="112" spans="1:11" x14ac:dyDescent="0.3">
      <c r="A112" s="54">
        <v>1002202</v>
      </c>
      <c r="B112" s="5" t="str" cm="1">
        <f t="array" ref="B112">IF(F112=0,"논타겟 "&amp;I112,
_xlfn.IFS(D112="None","",D112="All","전체",D112="Fire","화속성 ",D112="Water","수속성 ",D112="Forest","목속성 ",D112="Light","광속성 ",D112="Dark","암속성 ",D112="Attacker","공격형 ",D112="Defender","방어형 ",D112="Supporter","지원형 ",D112="Healer","회복형 ",D112="Magician","구속형 ",D112="Dead","죽은 ",D112="Random","무작위 ")
&amp;_xlfn.IFS(E112="Random","무작위",E112="Near","가까운",E112="LowHp","체력 낮은",E112="HighAtk","공격력 높은",E112="HighHp","체력 높은",E112="LowAtk","공격력 낮은",E112="None","",E112="LowSp","Sp 낮은",E112="HighSp","Sp 높은",E112="LowSpd","Spd 낮은",E112="HighSpd","Spd 높은")
&amp;_xlfn.IFS(C112="Ally"," 아군",C112="Enemy"," 적",C112="Mine"," 자신",C112="None"," 없음")&amp;" "&amp;F112&amp;"명"&amp;" "&amp;IF(I112="1칸","",I112))</f>
        <v xml:space="preserve">Sp 높은 아군 2명 </v>
      </c>
      <c r="C112" s="2" t="s">
        <v>50</v>
      </c>
      <c r="D112" s="2" t="s">
        <v>38</v>
      </c>
      <c r="E112" s="2" t="s">
        <v>240</v>
      </c>
      <c r="F112" s="2">
        <v>2</v>
      </c>
      <c r="G112" s="39" t="s">
        <v>38</v>
      </c>
      <c r="H112" s="39">
        <v>1</v>
      </c>
      <c r="I112" s="5" t="str">
        <f>IFERROR(_xlfn.XLOOKUP(H112,Area!A:A,Area!B:B),"")</f>
        <v>1칸</v>
      </c>
      <c r="K112" t="str">
        <f>IFERROR(_xlfn.XLOOKUP(H112,Area!A:A,Area!H:H),"")</f>
        <v>Skill_Area_Icon_Pivot_Centor</v>
      </c>
    </row>
    <row r="113" spans="1:11" x14ac:dyDescent="0.3">
      <c r="A113" s="54">
        <v>1002203</v>
      </c>
      <c r="B113" s="5" t="str" cm="1">
        <f t="array" ref="B113">IF(F113=0,"논타겟 "&amp;I113,
_xlfn.IFS(D113="None","",D113="All","전체",D113="Fire","화속성 ",D113="Water","수속성 ",D113="Forest","목속성 ",D113="Light","광속성 ",D113="Dark","암속성 ",D113="Attacker","공격형 ",D113="Defender","방어형 ",D113="Supporter","지원형 ",D113="Healer","회복형 ",D113="Magician","구속형 ",D113="Dead","죽은 ",D113="Random","무작위 ")
&amp;_xlfn.IFS(E113="Random","무작위",E113="Near","가까운",E113="LowHp","체력 낮은",E113="HighAtk","공격력 높은",E113="HighHp","체력 높은",E113="LowAtk","공격력 낮은",E113="None","",E113="LowSp","Sp 낮은",E113="HighSp","Sp 높은",E113="LowSpd","Spd 낮은",E113="HighSpd","Spd 높은")
&amp;_xlfn.IFS(C113="Ally"," 아군",C113="Enemy"," 적",C113="Mine"," 자신",C113="None"," 없음")&amp;" "&amp;F113&amp;"명"&amp;" "&amp;IF(I113="1칸","",I113))</f>
        <v xml:space="preserve">Sp 높은 아군 3명 </v>
      </c>
      <c r="C113" s="2" t="s">
        <v>50</v>
      </c>
      <c r="D113" s="2" t="s">
        <v>38</v>
      </c>
      <c r="E113" s="2" t="s">
        <v>240</v>
      </c>
      <c r="F113" s="2">
        <v>3</v>
      </c>
      <c r="G113" s="39" t="s">
        <v>38</v>
      </c>
      <c r="H113" s="39">
        <v>1</v>
      </c>
      <c r="I113" s="5" t="str">
        <f>IFERROR(_xlfn.XLOOKUP(H113,Area!A:A,Area!B:B),"")</f>
        <v>1칸</v>
      </c>
      <c r="K113" t="str">
        <f>IFERROR(_xlfn.XLOOKUP(H113,Area!A:A,Area!H:H),"")</f>
        <v>Skill_Area_Icon_Pivot_Centor</v>
      </c>
    </row>
    <row r="114" spans="1:11" x14ac:dyDescent="0.3">
      <c r="A114" s="54">
        <v>1002301</v>
      </c>
      <c r="B114" s="5" t="str" cm="1">
        <f t="array" ref="B114">IF(F114=0,"논타겟 "&amp;I114,
_xlfn.IFS(D114="None","",D114="All","전체",D114="Fire","화속성 ",D114="Water","수속성 ",D114="Forest","목속성 ",D114="Light","광속성 ",D114="Dark","암속성 ",D114="Attacker","공격형 ",D114="Defender","방어형 ",D114="Supporter","지원형 ",D114="Healer","회복형 ",D114="Magician","구속형 ",D114="Dead","죽은 ",D114="Random","무작위 ")
&amp;_xlfn.IFS(E114="Random","무작위",E114="Near","가까운",E114="LowHp","체력 낮은",E114="HighAtk","공격력 높은",E114="HighHp","체력 높은",E114="LowAtk","공격력 낮은",E114="None","",E114="LowSp","Sp 낮은",E114="HighSp","Sp 높은",E114="LowSpd","Spd 낮은",E114="HighSpd","Spd 높은")
&amp;_xlfn.IFS(C114="Ally"," 아군",C114="Enemy"," 적",C114="Mine"," 자신",C114="None"," 없음")&amp;" "&amp;F114&amp;"명"&amp;" "&amp;IF(I114="1칸","",I114))</f>
        <v xml:space="preserve">Spd 낮은 아군 1명 </v>
      </c>
      <c r="C114" s="2" t="s">
        <v>50</v>
      </c>
      <c r="D114" s="2" t="s">
        <v>38</v>
      </c>
      <c r="E114" s="2" t="s">
        <v>241</v>
      </c>
      <c r="F114" s="2">
        <v>1</v>
      </c>
      <c r="G114" s="39" t="s">
        <v>38</v>
      </c>
      <c r="H114" s="39">
        <v>1</v>
      </c>
      <c r="I114" s="5" t="str">
        <f>IFERROR(_xlfn.XLOOKUP(H114,Area!A:A,Area!B:B),"")</f>
        <v>1칸</v>
      </c>
      <c r="K114" t="str">
        <f>IFERROR(_xlfn.XLOOKUP(H114,Area!A:A,Area!H:H),"")</f>
        <v>Skill_Area_Icon_Pivot_Centor</v>
      </c>
    </row>
    <row r="115" spans="1:11" x14ac:dyDescent="0.3">
      <c r="A115" s="54">
        <v>1002302</v>
      </c>
      <c r="B115" s="5" t="str" cm="1">
        <f t="array" ref="B115">IF(F115=0,"논타겟 "&amp;I115,
_xlfn.IFS(D115="None","",D115="All","전체",D115="Fire","화속성 ",D115="Water","수속성 ",D115="Forest","목속성 ",D115="Light","광속성 ",D115="Dark","암속성 ",D115="Attacker","공격형 ",D115="Defender","방어형 ",D115="Supporter","지원형 ",D115="Healer","회복형 ",D115="Magician","구속형 ",D115="Dead","죽은 ",D115="Random","무작위 ")
&amp;_xlfn.IFS(E115="Random","무작위",E115="Near","가까운",E115="LowHp","체력 낮은",E115="HighAtk","공격력 높은",E115="HighHp","체력 높은",E115="LowAtk","공격력 낮은",E115="None","",E115="LowSp","Sp 낮은",E115="HighSp","Sp 높은",E115="LowSpd","Spd 낮은",E115="HighSpd","Spd 높은")
&amp;_xlfn.IFS(C115="Ally"," 아군",C115="Enemy"," 적",C115="Mine"," 자신",C115="None"," 없음")&amp;" "&amp;F115&amp;"명"&amp;" "&amp;IF(I115="1칸","",I115))</f>
        <v xml:space="preserve">Spd 낮은 아군 2명 </v>
      </c>
      <c r="C115" s="2" t="s">
        <v>50</v>
      </c>
      <c r="D115" s="2" t="s">
        <v>38</v>
      </c>
      <c r="E115" s="2" t="s">
        <v>242</v>
      </c>
      <c r="F115" s="2">
        <v>2</v>
      </c>
      <c r="G115" s="39" t="s">
        <v>38</v>
      </c>
      <c r="H115" s="39">
        <v>1</v>
      </c>
      <c r="I115" s="5" t="str">
        <f>IFERROR(_xlfn.XLOOKUP(H115,Area!A:A,Area!B:B),"")</f>
        <v>1칸</v>
      </c>
      <c r="K115" t="str">
        <f>IFERROR(_xlfn.XLOOKUP(H115,Area!A:A,Area!H:H),"")</f>
        <v>Skill_Area_Icon_Pivot_Centor</v>
      </c>
    </row>
    <row r="116" spans="1:11" x14ac:dyDescent="0.3">
      <c r="A116" s="54">
        <v>1002303</v>
      </c>
      <c r="B116" s="5" t="str" cm="1">
        <f t="array" ref="B116">IF(F116=0,"논타겟 "&amp;I116,
_xlfn.IFS(D116="None","",D116="All","전체",D116="Fire","화속성 ",D116="Water","수속성 ",D116="Forest","목속성 ",D116="Light","광속성 ",D116="Dark","암속성 ",D116="Attacker","공격형 ",D116="Defender","방어형 ",D116="Supporter","지원형 ",D116="Healer","회복형 ",D116="Magician","구속형 ",D116="Dead","죽은 ",D116="Random","무작위 ")
&amp;_xlfn.IFS(E116="Random","무작위",E116="Near","가까운",E116="LowHp","체력 낮은",E116="HighAtk","공격력 높은",E116="HighHp","체력 높은",E116="LowAtk","공격력 낮은",E116="None","",E116="LowSp","Sp 낮은",E116="HighSp","Sp 높은",E116="LowSpd","Spd 낮은",E116="HighSpd","Spd 높은")
&amp;_xlfn.IFS(C116="Ally"," 아군",C116="Enemy"," 적",C116="Mine"," 자신",C116="None"," 없음")&amp;" "&amp;F116&amp;"명"&amp;" "&amp;IF(I116="1칸","",I116))</f>
        <v xml:space="preserve">Spd 낮은 아군 3명 </v>
      </c>
      <c r="C116" s="2" t="s">
        <v>50</v>
      </c>
      <c r="D116" s="2" t="s">
        <v>38</v>
      </c>
      <c r="E116" s="2" t="s">
        <v>242</v>
      </c>
      <c r="F116" s="2">
        <v>3</v>
      </c>
      <c r="G116" s="39" t="s">
        <v>38</v>
      </c>
      <c r="H116" s="39">
        <v>1</v>
      </c>
      <c r="I116" s="5" t="str">
        <f>IFERROR(_xlfn.XLOOKUP(H116,Area!A:A,Area!B:B),"")</f>
        <v>1칸</v>
      </c>
      <c r="K116" t="str">
        <f>IFERROR(_xlfn.XLOOKUP(H116,Area!A:A,Area!H:H),"")</f>
        <v>Skill_Area_Icon_Pivot_Centor</v>
      </c>
    </row>
    <row r="117" spans="1:11" x14ac:dyDescent="0.3">
      <c r="A117" s="54">
        <v>1002401</v>
      </c>
      <c r="B117" s="5" t="str" cm="1">
        <f t="array" ref="B117">IF(F117=0,"논타겟 "&amp;I117,
_xlfn.IFS(D117="None","",D117="All","전체",D117="Fire","화속성 ",D117="Water","수속성 ",D117="Forest","목속성 ",D117="Light","광속성 ",D117="Dark","암속성 ",D117="Attacker","공격형 ",D117="Defender","방어형 ",D117="Supporter","지원형 ",D117="Healer","회복형 ",D117="Magician","구속형 ",D117="Dead","죽은 ",D117="Random","무작위 ")
&amp;_xlfn.IFS(E117="Random","무작위",E117="Near","가까운",E117="LowHp","체력 낮은",E117="HighAtk","공격력 높은",E117="HighHp","체력 높은",E117="LowAtk","공격력 낮은",E117="None","",E117="LowSp","Sp 낮은",E117="HighSp","Sp 높은",E117="LowSpd","Spd 낮은",E117="HighSpd","Spd 높은")
&amp;_xlfn.IFS(C117="Ally"," 아군",C117="Enemy"," 적",C117="Mine"," 자신",C117="None"," 없음")&amp;" "&amp;F117&amp;"명"&amp;" "&amp;IF(I117="1칸","",I117))</f>
        <v xml:space="preserve">Spd 높은 아군 1명 </v>
      </c>
      <c r="C117" s="2" t="s">
        <v>50</v>
      </c>
      <c r="D117" s="2" t="s">
        <v>38</v>
      </c>
      <c r="E117" s="2" t="s">
        <v>243</v>
      </c>
      <c r="F117" s="2">
        <v>1</v>
      </c>
      <c r="G117" s="39" t="s">
        <v>38</v>
      </c>
      <c r="H117" s="39">
        <v>1</v>
      </c>
      <c r="I117" s="5" t="str">
        <f>IFERROR(_xlfn.XLOOKUP(H117,Area!A:A,Area!B:B),"")</f>
        <v>1칸</v>
      </c>
      <c r="K117" t="str">
        <f>IFERROR(_xlfn.XLOOKUP(H117,Area!A:A,Area!H:H),"")</f>
        <v>Skill_Area_Icon_Pivot_Centor</v>
      </c>
    </row>
    <row r="118" spans="1:11" x14ac:dyDescent="0.3">
      <c r="A118" s="54">
        <v>1002402</v>
      </c>
      <c r="B118" s="5" t="str" cm="1">
        <f t="array" ref="B118">IF(F118=0,"논타겟 "&amp;I118,
_xlfn.IFS(D118="None","",D118="All","전체",D118="Fire","화속성 ",D118="Water","수속성 ",D118="Forest","목속성 ",D118="Light","광속성 ",D118="Dark","암속성 ",D118="Attacker","공격형 ",D118="Defender","방어형 ",D118="Supporter","지원형 ",D118="Healer","회복형 ",D118="Magician","구속형 ",D118="Dead","죽은 ",D118="Random","무작위 ")
&amp;_xlfn.IFS(E118="Random","무작위",E118="Near","가까운",E118="LowHp","체력 낮은",E118="HighAtk","공격력 높은",E118="HighHp","체력 높은",E118="LowAtk","공격력 낮은",E118="None","",E118="LowSp","Sp 낮은",E118="HighSp","Sp 높은",E118="LowSpd","Spd 낮은",E118="HighSpd","Spd 높은")
&amp;_xlfn.IFS(C118="Ally"," 아군",C118="Enemy"," 적",C118="Mine"," 자신",C118="None"," 없음")&amp;" "&amp;F118&amp;"명"&amp;" "&amp;IF(I118="1칸","",I118))</f>
        <v xml:space="preserve">Spd 높은 아군 2명 </v>
      </c>
      <c r="C118" s="2" t="s">
        <v>50</v>
      </c>
      <c r="D118" s="2" t="s">
        <v>38</v>
      </c>
      <c r="E118" s="2" t="s">
        <v>244</v>
      </c>
      <c r="F118" s="2">
        <v>2</v>
      </c>
      <c r="G118" s="39" t="s">
        <v>38</v>
      </c>
      <c r="H118" s="39">
        <v>1</v>
      </c>
      <c r="I118" s="5" t="str">
        <f>IFERROR(_xlfn.XLOOKUP(H118,Area!A:A,Area!B:B),"")</f>
        <v>1칸</v>
      </c>
      <c r="K118" t="str">
        <f>IFERROR(_xlfn.XLOOKUP(H118,Area!A:A,Area!H:H),"")</f>
        <v>Skill_Area_Icon_Pivot_Centor</v>
      </c>
    </row>
    <row r="119" spans="1:11" x14ac:dyDescent="0.3">
      <c r="A119" s="54">
        <v>1002403</v>
      </c>
      <c r="B119" s="5" t="str" cm="1">
        <f t="array" ref="B119">IF(F119=0,"논타겟 "&amp;I119,
_xlfn.IFS(D119="None","",D119="All","전체",D119="Fire","화속성 ",D119="Water","수속성 ",D119="Forest","목속성 ",D119="Light","광속성 ",D119="Dark","암속성 ",D119="Attacker","공격형 ",D119="Defender","방어형 ",D119="Supporter","지원형 ",D119="Healer","회복형 ",D119="Magician","구속형 ",D119="Dead","죽은 ",D119="Random","무작위 ")
&amp;_xlfn.IFS(E119="Random","무작위",E119="Near","가까운",E119="LowHp","체력 낮은",E119="HighAtk","공격력 높은",E119="HighHp","체력 높은",E119="LowAtk","공격력 낮은",E119="None","",E119="LowSp","Sp 낮은",E119="HighSp","Sp 높은",E119="LowSpd","Spd 낮은",E119="HighSpd","Spd 높은")
&amp;_xlfn.IFS(C119="Ally"," 아군",C119="Enemy"," 적",C119="Mine"," 자신",C119="None"," 없음")&amp;" "&amp;F119&amp;"명"&amp;" "&amp;IF(I119="1칸","",I119))</f>
        <v xml:space="preserve">Spd 높은 아군 3명 </v>
      </c>
      <c r="C119" s="2" t="s">
        <v>50</v>
      </c>
      <c r="D119" s="2" t="s">
        <v>38</v>
      </c>
      <c r="E119" s="2" t="s">
        <v>244</v>
      </c>
      <c r="F119" s="2">
        <v>3</v>
      </c>
      <c r="G119" s="39" t="s">
        <v>38</v>
      </c>
      <c r="H119" s="39">
        <v>1</v>
      </c>
      <c r="I119" s="5" t="str">
        <f>IFERROR(_xlfn.XLOOKUP(H119,Area!A:A,Area!B:B),"")</f>
        <v>1칸</v>
      </c>
      <c r="K119" t="str">
        <f>IFERROR(_xlfn.XLOOKUP(H119,Area!A:A,Area!H:H),"")</f>
        <v>Skill_Area_Icon_Pivot_Centor</v>
      </c>
    </row>
    <row r="120" spans="1:11" x14ac:dyDescent="0.3">
      <c r="A120" s="54">
        <v>1002501</v>
      </c>
      <c r="B120" s="5" t="s">
        <v>583</v>
      </c>
      <c r="C120" s="2" t="s">
        <v>50</v>
      </c>
      <c r="D120" s="2" t="s">
        <v>38</v>
      </c>
      <c r="E120" s="2" t="s">
        <v>581</v>
      </c>
      <c r="F120" s="2">
        <v>1</v>
      </c>
      <c r="G120" s="39" t="s">
        <v>38</v>
      </c>
      <c r="H120" s="39">
        <v>11</v>
      </c>
      <c r="I120" s="5" t="str">
        <f>IFERROR(_xlfn.XLOOKUP(H120,Area!A:A,Area!B:B),"")</f>
        <v>2행</v>
      </c>
      <c r="K120" t="str">
        <f>IFERROR(_xlfn.XLOOKUP(H120,Area!A:A,Area!H:H),"")</f>
        <v>Skill_Area_Icon_Pivot_Row</v>
      </c>
    </row>
    <row r="121" spans="1:11" x14ac:dyDescent="0.3">
      <c r="A121" s="54">
        <v>1002502</v>
      </c>
      <c r="B121" s="5" t="s">
        <v>582</v>
      </c>
      <c r="C121" s="2" t="s">
        <v>50</v>
      </c>
      <c r="D121" s="2" t="s">
        <v>38</v>
      </c>
      <c r="E121" s="2" t="s">
        <v>229</v>
      </c>
      <c r="F121" s="2">
        <v>1</v>
      </c>
      <c r="G121" s="39" t="s">
        <v>38</v>
      </c>
      <c r="H121" s="39">
        <v>6</v>
      </c>
      <c r="I121" s="5" t="str">
        <f>IFERROR(_xlfn.XLOOKUP(H121,Area!A:A,Area!B:B),"")</f>
        <v>2열</v>
      </c>
      <c r="K121" t="str">
        <f>IFERROR(_xlfn.XLOOKUP(H121,Area!A:A,Area!H:H),"")</f>
        <v>Skill_Area_Icon_Pivot_Column</v>
      </c>
    </row>
    <row r="122" spans="1:11" x14ac:dyDescent="0.3">
      <c r="A122" s="55">
        <v>2000000</v>
      </c>
      <c r="B122" s="5" t="s">
        <v>494</v>
      </c>
      <c r="C122" s="2" t="s">
        <v>224</v>
      </c>
      <c r="D122" s="2" t="s">
        <v>39</v>
      </c>
      <c r="E122" s="2" t="s">
        <v>38</v>
      </c>
      <c r="F122" s="2">
        <v>9</v>
      </c>
      <c r="G122" s="39" t="s">
        <v>38</v>
      </c>
      <c r="H122" s="39">
        <v>1</v>
      </c>
      <c r="I122" s="5" t="str">
        <f>IFERROR(_xlfn.XLOOKUP(H122,Area!A:A,Area!B:B),"")</f>
        <v>1칸</v>
      </c>
      <c r="J122" t="s">
        <v>374</v>
      </c>
      <c r="K122" t="str">
        <f>IFERROR(_xlfn.XLOOKUP(H122,Area!A:A,Area!H:H),"")</f>
        <v>Skill_Area_Icon_Pivot_Centor</v>
      </c>
    </row>
    <row r="123" spans="1:11" x14ac:dyDescent="0.3">
      <c r="A123" s="55">
        <v>2000001</v>
      </c>
      <c r="B123" s="5" t="str" cm="1">
        <f t="array" ref="B123">IF(F123=0,"논타겟 "&amp;I123,
_xlfn.IFS(D123="None","",D123="All","전체",D123="Fire","화속성 ",D123="Water","수속성 ",D123="Forest","목속성 ",D123="Light","광속성 ",D123="Dark","암속성 ",D123="Attacker","공격형 ",D123="Defender","방어형 ",D123="Supporter","지원형 ",D123="Healer","회복형 ",D123="Magician","구속형 ",D123="Dead","죽은 ",D123="Random","무작위 ")
&amp;_xlfn.IFS(E123="Random","무작위",E123="Near","가까운",E123="LowHp","체력 낮은",E123="HighAtk","공격력 높은",E123="HighHp","체력 높은",E123="LowAtk","공격력 낮은",E123="None","")&amp;_xlfn.IFS(C123="Ally"," 아군",C123="Enemy"," 적",C123="Mine"," 자신",C123="None"," 없음")&amp;" "&amp;F123&amp;"명"&amp;" "&amp;IF(I123="1칸","",I123))</f>
        <v xml:space="preserve">무작위 적 1명 </v>
      </c>
      <c r="C123" s="2" t="s">
        <v>49</v>
      </c>
      <c r="D123" s="2" t="s">
        <v>39</v>
      </c>
      <c r="E123" s="2" t="s">
        <v>216</v>
      </c>
      <c r="F123" s="2">
        <v>1</v>
      </c>
      <c r="G123" s="39" t="s">
        <v>38</v>
      </c>
      <c r="H123" s="39">
        <v>1</v>
      </c>
      <c r="I123" s="5" t="str">
        <f>IFERROR(_xlfn.XLOOKUP(H123,Area!A:A,Area!B:B),"")</f>
        <v>1칸</v>
      </c>
      <c r="J123" t="s">
        <v>379</v>
      </c>
      <c r="K123" t="str">
        <f>IFERROR(_xlfn.XLOOKUP(H123,Area!A:A,Area!H:H),"")</f>
        <v>Skill_Area_Icon_Pivot_Centor</v>
      </c>
    </row>
    <row r="124" spans="1:11" x14ac:dyDescent="0.3">
      <c r="A124" s="55">
        <v>2000002</v>
      </c>
      <c r="B124" s="5" t="str" cm="1">
        <f t="array" ref="B124">IF(F124=0,"논타겟 "&amp;I124,
_xlfn.IFS(D124="None","",D124="All","전체",D124="Fire","화속성 ",D124="Water","수속성 ",D124="Forest","목속성 ",D124="Light","광속성 ",D124="Dark","암속성 ",D124="Attacker","공격형 ",D124="Defender","방어형 ",D124="Supporter","지원형 ",D124="Healer","회복형 ",D124="Magician","구속형 ",D124="Dead","죽은 ",D124="Random","무작위 ")
&amp;_xlfn.IFS(E124="Random","무작위",E124="Near","가까운",E124="LowHp","체력 낮은",E124="HighAtk","공격력 높은",E124="HighHp","체력 높은",E124="LowAtk","공격력 낮은",E124="None","")&amp;_xlfn.IFS(C124="Ally"," 아군",C124="Enemy"," 적",C124="Mine"," 자신",C124="None"," 없음")&amp;" "&amp;F124&amp;"명"&amp;" "&amp;IF(I124="1칸","",I124))</f>
        <v xml:space="preserve">무작위 적 2명 </v>
      </c>
      <c r="C124" s="2" t="s">
        <v>49</v>
      </c>
      <c r="D124" s="2" t="s">
        <v>39</v>
      </c>
      <c r="E124" s="2" t="s">
        <v>216</v>
      </c>
      <c r="F124" s="2">
        <v>2</v>
      </c>
      <c r="G124" s="39" t="s">
        <v>38</v>
      </c>
      <c r="H124" s="39">
        <v>1</v>
      </c>
      <c r="I124" s="5" t="str">
        <f>IFERROR(_xlfn.XLOOKUP(H124,Area!A:A,Area!B:B),"")</f>
        <v>1칸</v>
      </c>
      <c r="K124" t="str">
        <f>IFERROR(_xlfn.XLOOKUP(H124,Area!A:A,Area!H:H),"")</f>
        <v>Skill_Area_Icon_Pivot_Centor</v>
      </c>
    </row>
    <row r="125" spans="1:11" x14ac:dyDescent="0.3">
      <c r="A125" s="55">
        <v>2000003</v>
      </c>
      <c r="B125" s="5" t="str" cm="1">
        <f t="array" ref="B125">IF(F125=0,"논타겟 "&amp;I125,
_xlfn.IFS(D125="None","",D125="All","전체",D125="Fire","화속성 ",D125="Water","수속성 ",D125="Forest","목속성 ",D125="Light","광속성 ",D125="Dark","암속성 ",D125="Attacker","공격형 ",D125="Defender","방어형 ",D125="Supporter","지원형 ",D125="Healer","회복형 ",D125="Magician","구속형 ",D125="Dead","죽은 ",D125="Random","무작위 ")
&amp;_xlfn.IFS(E125="Random","무작위",E125="Near","가까운",E125="LowHp","체력 낮은",E125="HighAtk","공격력 높은",E125="HighHp","체력 높은",E125="LowAtk","공격력 낮은",E125="None","")&amp;_xlfn.IFS(C125="Ally"," 아군",C125="Enemy"," 적",C125="Mine"," 자신",C125="None"," 없음")&amp;" "&amp;F125&amp;"명"&amp;" "&amp;IF(I125="1칸","",I125))</f>
        <v xml:space="preserve">무작위 적 3명 </v>
      </c>
      <c r="C125" s="2" t="s">
        <v>49</v>
      </c>
      <c r="D125" s="2" t="s">
        <v>39</v>
      </c>
      <c r="E125" s="2" t="s">
        <v>216</v>
      </c>
      <c r="F125" s="2">
        <v>3</v>
      </c>
      <c r="G125" s="39" t="s">
        <v>38</v>
      </c>
      <c r="H125" s="39">
        <v>1</v>
      </c>
      <c r="I125" s="5" t="str">
        <f>IFERROR(_xlfn.XLOOKUP(H125,Area!A:A,Area!B:B),"")</f>
        <v>1칸</v>
      </c>
      <c r="K125" t="str">
        <f>IFERROR(_xlfn.XLOOKUP(H125,Area!A:A,Area!H:H),"")</f>
        <v>Skill_Area_Icon_Pivot_Centor</v>
      </c>
    </row>
    <row r="126" spans="1:11" x14ac:dyDescent="0.3">
      <c r="A126" s="55">
        <v>2000009</v>
      </c>
      <c r="B126" s="5" t="str" cm="1">
        <f t="array" ref="B126">IF(F126=0,"논타겟 "&amp;I126,
_xlfn.IFS(D126="None","",D126="All","전체",D126="Fire","화속성 ",D126="Water","수속성 ",D126="Forest","목속성 ",D126="Light","광속성 ",D126="Dark","암속성 ",D126="Attacker","공격형 ",D126="Defender","방어형 ",D126="Supporter","지원형 ",D126="Healer","회복형 ",D126="Magician","구속형 ",D126="Dead","죽은 ",D126="Random","무작위 ")
&amp;_xlfn.IFS(E126="Random","무작위",E126="Near","가까운",E126="LowHp","체력 낮은",E126="HighAtk","공격력 높은",E126="HighHp","체력 높은",E126="LowAtk","공격력 낮은",E126="None","")&amp;_xlfn.IFS(C126="Ally"," 아군",C126="Enemy"," 적",C126="Mine"," 자신",C126="None"," 없음")&amp;" "&amp;F126&amp;"명"&amp;" "&amp;IF(I126="1칸","",I126))</f>
        <v>무작위 적 1명 9칸</v>
      </c>
      <c r="C126" s="2" t="s">
        <v>49</v>
      </c>
      <c r="D126" s="2" t="s">
        <v>39</v>
      </c>
      <c r="E126" s="2" t="s">
        <v>216</v>
      </c>
      <c r="F126" s="2">
        <v>1</v>
      </c>
      <c r="G126" s="39" t="s">
        <v>38</v>
      </c>
      <c r="H126" s="39">
        <v>2</v>
      </c>
      <c r="I126" s="5" t="str">
        <f>IFERROR(_xlfn.XLOOKUP(H126,Area!A:A,Area!B:B),"")</f>
        <v>9칸</v>
      </c>
      <c r="K126" t="str">
        <f>IFERROR(_xlfn.XLOOKUP(H126,Area!A:A,Area!H:H),"")</f>
        <v>Skill_Area_Icon_Pivot_All</v>
      </c>
    </row>
    <row r="127" spans="1:11" x14ac:dyDescent="0.3">
      <c r="A127" s="55">
        <v>2000011</v>
      </c>
      <c r="B127" s="5" t="str" cm="1">
        <f t="array" ref="B127">IF(F127=0,"논타겟 "&amp;I127,
_xlfn.IFS(D127="None","",D127="All","전체",D127="Fire","화속성 ",D127="Water","수속성 ",D127="Forest","목속성 ",D127="Light","광속성 ",D127="Dark","암속성 ",D127="Attacker","공격형 ",D127="Defender","방어형 ",D127="Supporter","지원형 ",D127="Healer","회복형 ",D127="Magician","구속형 ",D127="Dead","죽은 ",D127="Random","무작위 ")
&amp;_xlfn.IFS(E127="Random","무작위",E127="Near","가까운",E127="LowHp","체력 낮은",E127="HighAtk","공격력 높은",E127="HighHp","체력 높은",E127="LowAtk","공격력 낮은",E127="None","")&amp;_xlfn.IFS(C127="Ally"," 아군",C127="Enemy"," 적",C127="Mine"," 자신",C127="None"," 없음")&amp;" "&amp;F127&amp;"명"&amp;" "&amp;IF(I127="1칸","",I127))</f>
        <v xml:space="preserve">가까운 적 1명 </v>
      </c>
      <c r="C127" s="2" t="s">
        <v>49</v>
      </c>
      <c r="D127" s="2" t="s">
        <v>38</v>
      </c>
      <c r="E127" s="2" t="s">
        <v>222</v>
      </c>
      <c r="F127" s="2">
        <v>1</v>
      </c>
      <c r="G127" s="39" t="s">
        <v>38</v>
      </c>
      <c r="H127" s="39">
        <v>1</v>
      </c>
      <c r="I127" s="5" t="str">
        <f>IFERROR(_xlfn.XLOOKUP(H127,Area!A:A,Area!B:B),"")</f>
        <v>1칸</v>
      </c>
      <c r="J127" t="s">
        <v>381</v>
      </c>
      <c r="K127" t="str">
        <f>IFERROR(_xlfn.XLOOKUP(H127,Area!A:A,Area!H:H),"")</f>
        <v>Skill_Area_Icon_Pivot_Centor</v>
      </c>
    </row>
    <row r="128" spans="1:11" x14ac:dyDescent="0.3">
      <c r="A128" s="55">
        <v>2000012</v>
      </c>
      <c r="B128" s="5" t="str" cm="1">
        <f t="array" ref="B128">IF(F128=0,"논타겟 "&amp;I128,
_xlfn.IFS(D128="None","",D128="All","전체",D128="Fire","화속성 ",D128="Water","수속성 ",D128="Forest","목속성 ",D128="Light","광속성 ",D128="Dark","암속성 ",D128="Attacker","공격형 ",D128="Defender","방어형 ",D128="Supporter","지원형 ",D128="Healer","회복형 ",D128="Magician","구속형 ",D128="Dead","죽은 ",D128="Random","무작위 ")
&amp;_xlfn.IFS(E128="Random","무작위",E128="Near","가까운",E128="LowHp","체력 낮은",E128="HighAtk","공격력 높은",E128="HighHp","체력 높은",E128="LowAtk","공격력 낮은",E128="None","")&amp;_xlfn.IFS(C128="Ally"," 아군",C128="Enemy"," 적",C128="Mine"," 자신",C128="None"," 없음")&amp;" "&amp;F128&amp;"명"&amp;" "&amp;IF(I128="1칸","",I128))</f>
        <v>가까운 적 1명 9칸</v>
      </c>
      <c r="C128" s="2" t="s">
        <v>49</v>
      </c>
      <c r="D128" s="2" t="s">
        <v>38</v>
      </c>
      <c r="E128" s="2" t="s">
        <v>222</v>
      </c>
      <c r="F128" s="2">
        <v>1</v>
      </c>
      <c r="G128" s="39" t="s">
        <v>38</v>
      </c>
      <c r="H128" s="39">
        <v>2</v>
      </c>
      <c r="I128" s="5" t="str">
        <f>IFERROR(_xlfn.XLOOKUP(H128,Area!A:A,Area!B:B),"")</f>
        <v>9칸</v>
      </c>
      <c r="J128" t="s">
        <v>380</v>
      </c>
      <c r="K128" t="str">
        <f>IFERROR(_xlfn.XLOOKUP(H128,Area!A:A,Area!H:H),"")</f>
        <v>Skill_Area_Icon_Pivot_All</v>
      </c>
    </row>
    <row r="129" spans="1:11" x14ac:dyDescent="0.3">
      <c r="A129" s="55">
        <v>2000013</v>
      </c>
      <c r="B129" s="5" t="str" cm="1">
        <f t="array" ref="B129">IF(F129=0,"논타겟 "&amp;I129,
_xlfn.IFS(D129="None","",D129="All","전체",D129="Fire","화속성 ",D129="Water","수속성 ",D129="Forest","목속성 ",D129="Light","광속성 ",D129="Dark","암속성 ",D129="Attacker","공격형 ",D129="Defender","방어형 ",D129="Supporter","지원형 ",D129="Healer","회복형 ",D129="Magician","구속형 ",D129="Dead","죽은 ",D129="Random","무작위 ")
&amp;_xlfn.IFS(E129="Random","무작위",E129="Near","가까운",E129="LowHp","체력 낮은",E129="HighAtk","공격력 높은",E129="HighHp","체력 높은",E129="LowAtk","공격력 낮은",E129="None","")&amp;_xlfn.IFS(C129="Ally"," 아군",C129="Enemy"," 적",C129="Mine"," 자신",C129="None"," 없음")&amp;" "&amp;F129&amp;"명"&amp;" "&amp;IF(I129="1칸","",I129))</f>
        <v>가까운 적 1명 1,2열</v>
      </c>
      <c r="C129" s="1" t="s">
        <v>49</v>
      </c>
      <c r="D129" s="1" t="s">
        <v>38</v>
      </c>
      <c r="E129" s="1" t="s">
        <v>47</v>
      </c>
      <c r="F129" s="1">
        <v>1</v>
      </c>
      <c r="G129" s="39" t="s">
        <v>38</v>
      </c>
      <c r="H129" s="39">
        <v>8</v>
      </c>
      <c r="I129" s="5" t="str">
        <f>IFERROR(_xlfn.XLOOKUP(H129,Area!A:A,Area!B:B),"")</f>
        <v>1,2열</v>
      </c>
      <c r="J129" t="s">
        <v>380</v>
      </c>
    </row>
    <row r="130" spans="1:11" x14ac:dyDescent="0.3">
      <c r="A130" s="55">
        <v>2000014</v>
      </c>
      <c r="B130" s="5" t="str" cm="1">
        <f t="array" ref="B130">IF(F130=0,"논타겟 "&amp;I130,
_xlfn.IFS(D130="None","",D130="All","전체",D130="Fire","화속성 ",D130="Water","수속성 ",D130="Forest","목속성 ",D130="Light","광속성 ",D130="Dark","암속성 ",D130="Attacker","공격형 ",D130="Defender","방어형 ",D130="Supporter","지원형 ",D130="Healer","회복형 ",D130="Magician","구속형 ",D130="Dead","죽은 ",D130="Random","무작위 ")
&amp;_xlfn.IFS(E130="Random","무작위",E130="Near","가까운",E130="LowHp","체력 낮은",E130="HighAtk","공격력 높은",E130="HighHp","체력 높은",E130="LowAtk","공격력 낮은",E130="None","")&amp;_xlfn.IFS(C130="Ally"," 아군",C130="Enemy"," 적",C130="Mine"," 자신",C130="None"," 없음")&amp;" "&amp;F130&amp;"명"&amp;" "&amp;IF(I130="1칸","",I130))</f>
        <v>가까운 적 1명 2행</v>
      </c>
      <c r="C130" s="2" t="s">
        <v>49</v>
      </c>
      <c r="D130" s="2" t="s">
        <v>38</v>
      </c>
      <c r="E130" s="2" t="s">
        <v>222</v>
      </c>
      <c r="F130" s="2">
        <v>1</v>
      </c>
      <c r="G130" s="39" t="s">
        <v>38</v>
      </c>
      <c r="H130" s="39">
        <v>11</v>
      </c>
      <c r="I130" s="5" t="str">
        <f>IFERROR(_xlfn.XLOOKUP(H130,Area!A:A,Area!B:B),"")</f>
        <v>2행</v>
      </c>
      <c r="J130" t="s">
        <v>380</v>
      </c>
      <c r="K130" t="s">
        <v>370</v>
      </c>
    </row>
    <row r="131" spans="1:11" x14ac:dyDescent="0.3">
      <c r="A131" s="55">
        <v>2000015</v>
      </c>
      <c r="B131" s="5" t="str" cm="1">
        <f t="array" ref="B131">IF(F131=0,"논타겟 "&amp;I131,
_xlfn.IFS(D131="None","",D131="All","전체",D131="Fire","화속성 ",D131="Water","수속성 ",D131="Forest","목속성 ",D131="Light","광속성 ",D131="Dark","암속성 ",D131="Attacker","공격형 ",D131="Defender","방어형 ",D131="Supporter","지원형 ",D131="Healer","회복형 ",D131="Magician","구속형 ",D131="Dead","죽은 ",D131="Random","무작위 ")
&amp;_xlfn.IFS(E131="Random","무작위",E131="Near","가까운",E131="LowHp","체력 낮은",E131="HighAtk","공격력 높은",E131="HighHp","체력 높은",E131="LowAtk","공격력 낮은",E131="None","")&amp;_xlfn.IFS(C131="Ally"," 아군",C131="Enemy"," 적",C131="Mine"," 자신",C131="None"," 없음")&amp;" "&amp;F131&amp;"명"&amp;" "&amp;IF(I131="1칸","",I131))</f>
        <v>가까운 적 1명 1열</v>
      </c>
      <c r="C131" s="2" t="s">
        <v>49</v>
      </c>
      <c r="D131" s="2" t="s">
        <v>38</v>
      </c>
      <c r="E131" s="2" t="s">
        <v>222</v>
      </c>
      <c r="F131" s="2">
        <v>1</v>
      </c>
      <c r="G131" s="39" t="s">
        <v>38</v>
      </c>
      <c r="H131" s="39">
        <v>5</v>
      </c>
      <c r="I131" s="5" t="str">
        <f>IFERROR(_xlfn.XLOOKUP(H131,Area!A:A,Area!B:B),"")</f>
        <v>1열</v>
      </c>
      <c r="J131" t="s">
        <v>380</v>
      </c>
      <c r="K131" t="s">
        <v>371</v>
      </c>
    </row>
    <row r="132" spans="1:11" x14ac:dyDescent="0.3">
      <c r="A132" s="55">
        <v>2000016</v>
      </c>
      <c r="B132" s="5" t="str" cm="1">
        <f t="array" ref="B132">IF(F132=0,"논타겟 "&amp;I132,
_xlfn.IFS(D132="None","",D132="All","전체",D132="Fire","화속성 ",D132="Water","수속성 ",D132="Forest","목속성 ",D132="Light","광속성 ",D132="Dark","암속성 ",D132="Attacker","공격형 ",D132="Defender","방어형 ",D132="Supporter","지원형 ",D132="Healer","회복형 ",D132="Magician","구속형 ",D132="Dead","죽은 ",D132="Random","무작위 ")
&amp;_xlfn.IFS(E132="Random","무작위",E132="Near","가까운",E132="LowHp","체력 낮은",E132="HighAtk","공격력 높은",E132="HighHp","체력 높은",E132="LowAtk","공격력 낮은",E132="None","")&amp;_xlfn.IFS(C132="Ally"," 아군",C132="Enemy"," 적",C132="Mine"," 자신",C132="None"," 없음")&amp;" "&amp;F132&amp;"명"&amp;" "&amp;IF(I132="1칸","",I132))</f>
        <v>가까운 적 1명 십자</v>
      </c>
      <c r="C132" s="2" t="s">
        <v>49</v>
      </c>
      <c r="D132" s="2" t="s">
        <v>38</v>
      </c>
      <c r="E132" s="2" t="s">
        <v>222</v>
      </c>
      <c r="F132" s="2">
        <v>1</v>
      </c>
      <c r="G132" s="39" t="s">
        <v>38</v>
      </c>
      <c r="H132" s="39">
        <v>3</v>
      </c>
      <c r="I132" s="5" t="str">
        <f>IFERROR(_xlfn.XLOOKUP(H132,Area!A:A,Area!B:B),"")</f>
        <v>십자</v>
      </c>
      <c r="J132" t="s">
        <v>380</v>
      </c>
      <c r="K132" t="str">
        <f>IFERROR(_xlfn.XLOOKUP(H132,Area!A:A,Area!H:H),"")</f>
        <v>Skill_Area_Icon_Pivot_Cross</v>
      </c>
    </row>
    <row r="133" spans="1:11" x14ac:dyDescent="0.3">
      <c r="A133" s="55">
        <v>2000017</v>
      </c>
      <c r="B133" s="5" t="str" cm="1">
        <f t="array" ref="B133">IF(F133=0,"논타겟 "&amp;I133,
_xlfn.IFS(D133="None","",D133="All","전체",D133="Fire","화속성 ",D133="Water","수속성 ",D133="Forest","목속성 ",D133="Light","광속성 ",D133="Dark","암속성 ",D133="Attacker","공격형 ",D133="Defender","방어형 ",D133="Supporter","지원형 ",D133="Healer","회복형 ",D133="Magician","구속형 ",D133="Dead","죽은 ",D133="Random","무작위 ")
&amp;_xlfn.IFS(E133="Random","무작위",E133="Near","가까운",E133="LowHp","체력 낮은",E133="HighAtk","공격력 높은",E133="HighHp","체력 높은",E133="LowAtk","공격력 낮은",E133="None","")&amp;_xlfn.IFS(C133="Ally"," 아군",C133="Enemy"," 적",C133="Mine"," 자신",C133="None"," 없음")&amp;" "&amp;F133&amp;"명"&amp;" "&amp;IF(I133="1칸","",I133))</f>
        <v>가까운 적 1명 3칸</v>
      </c>
      <c r="C133" s="2" t="s">
        <v>49</v>
      </c>
      <c r="D133" s="2" t="s">
        <v>38</v>
      </c>
      <c r="E133" s="2" t="s">
        <v>222</v>
      </c>
      <c r="F133" s="2">
        <v>1</v>
      </c>
      <c r="G133" s="39" t="s">
        <v>38</v>
      </c>
      <c r="H133" s="39">
        <v>17</v>
      </c>
      <c r="I133" s="5" t="str">
        <f>IFERROR(_xlfn.XLOOKUP(H133,Area!A:A,Area!B:B),"")</f>
        <v>3칸</v>
      </c>
      <c r="J133" t="s">
        <v>380</v>
      </c>
    </row>
    <row r="134" spans="1:11" x14ac:dyDescent="0.3">
      <c r="A134" s="55">
        <v>2000021</v>
      </c>
      <c r="B134" s="5" t="str" cm="1">
        <f t="array" ref="B134">IF(F134=0,"논타겟 "&amp;I134,
_xlfn.IFS(D134="None","",D134="All","전체",D134="Fire","화속성 ",D134="Water","수속성 ",D134="Forest","목속성 ",D134="Light","광속성 ",D134="Dark","암속성 ",D134="Attacker","공격형 ",D134="Defender","방어형 ",D134="Supporter","지원형 ",D134="Healer","회복형 ",D134="Magician","구속형 ",D134="Dead","죽은 ",D134="Random","무작위 ")
&amp;_xlfn.IFS(E134="Random","무작위",E134="Near","가까운",E134="Far","먼",E134="LowHp","체력 낮은",E134="HighAtk","공격력 높은",E134="HighHp","체력 높은",E134="LowAtk","공격력 낮은",E134="None","")&amp;_xlfn.IFS(C134="Ally"," 아군",C134="Enemy"," 적",C134="Mine"," 자신",C134="None"," 없음")&amp;" "&amp;F134&amp;"명"&amp;" "&amp;IF(I134="1칸","",I134))</f>
        <v xml:space="preserve">먼 적 1명 </v>
      </c>
      <c r="C134" s="2" t="s">
        <v>49</v>
      </c>
      <c r="D134" s="2" t="s">
        <v>38</v>
      </c>
      <c r="E134" s="2" t="s">
        <v>229</v>
      </c>
      <c r="F134" s="2">
        <v>1</v>
      </c>
      <c r="G134" s="39" t="s">
        <v>38</v>
      </c>
      <c r="H134" s="39">
        <v>1</v>
      </c>
      <c r="I134" s="5" t="str">
        <f>IFERROR(_xlfn.XLOOKUP(H134,Area!A:A,Area!B:B),"")</f>
        <v>1칸</v>
      </c>
      <c r="K134" t="str">
        <f>IFERROR(_xlfn.XLOOKUP(H134,Area!A:A,Area!H:H),"")</f>
        <v>Skill_Area_Icon_Pivot_Centor</v>
      </c>
    </row>
    <row r="135" spans="1:11" x14ac:dyDescent="0.3">
      <c r="A135" s="55">
        <v>2000022</v>
      </c>
      <c r="B135" s="5" t="str" cm="1">
        <f t="array" ref="B135">IF(F135=0,"논타겟 "&amp;I135,
_xlfn.IFS(D135="None","",D135="All","전체",D135="Fire","화속성 ",D135="Water","수속성 ",D135="Forest","목속성 ",D135="Light","광속성 ",D135="Dark","암속성 ",D135="Attacker","공격형 ",D135="Defender","방어형 ",D135="Supporter","지원형 ",D135="Healer","회복형 ",D135="Magician","구속형 ",D135="Dead","죽은 ",D135="Random","무작위 ")
&amp;_xlfn.IFS(E135="Random","무작위",E135="Near","가까운",E135="Far","먼",E135="LowHp","체력 낮은",E135="HighAtk","공격력 높은",E135="HighHp","체력 높은",E135="LowAtk","공격력 낮은",E135="None","")&amp;_xlfn.IFS(C135="Ally"," 아군",C135="Enemy"," 적",C135="Mine"," 자신",C135="None"," 없음")&amp;" "&amp;F135&amp;"명"&amp;" "&amp;IF(I135="1칸","",I135))</f>
        <v>먼 적 1명 9칸</v>
      </c>
      <c r="C135" s="2" t="s">
        <v>49</v>
      </c>
      <c r="D135" s="2" t="s">
        <v>38</v>
      </c>
      <c r="E135" s="2" t="s">
        <v>229</v>
      </c>
      <c r="F135" s="2">
        <v>1</v>
      </c>
      <c r="G135" s="39" t="s">
        <v>38</v>
      </c>
      <c r="H135" s="39">
        <v>2</v>
      </c>
      <c r="I135" s="5" t="str">
        <f>IFERROR(_xlfn.XLOOKUP(H135,Area!A:A,Area!B:B),"")</f>
        <v>9칸</v>
      </c>
      <c r="K135" t="str">
        <f>IFERROR(_xlfn.XLOOKUP(H135,Area!A:A,Area!H:H),"")</f>
        <v>Skill_Area_Icon_Pivot_All</v>
      </c>
    </row>
    <row r="136" spans="1:11" x14ac:dyDescent="0.3">
      <c r="A136" s="55">
        <v>2000023</v>
      </c>
      <c r="B136" s="5" t="str" cm="1">
        <f t="array" ref="B136">IF(F136=0,"논타겟 "&amp;I136,
_xlfn.IFS(D136="None","",D136="All","전체",D136="Fire","화속성 ",D136="Water","수속성 ",D136="Forest","목속성 ",D136="Light","광속성 ",D136="Dark","암속성 ",D136="Attacker","공격형 ",D136="Defender","방어형 ",D136="Supporter","지원형 ",D136="Healer","회복형 ",D136="Magician","구속형 ",D136="Dead","죽은 ",D136="Random","무작위 ")
&amp;_xlfn.IFS(E136="Random","무작위",E136="Near","가까운",E136="Far","먼",E136="LowHp","체력 낮은",E136="HighAtk","공격력 높은",E136="HighHp","체력 높은",E136="LowAtk","공격력 낮은",E136="None","")&amp;_xlfn.IFS(C136="Ally"," 아군",C136="Enemy"," 적",C136="Mine"," 자신",C136="None"," 없음")&amp;" "&amp;F136&amp;"명"&amp;" "&amp;IF(I136="1칸","",I136))</f>
        <v>먼 적 1명 2,3열</v>
      </c>
      <c r="C136" s="1" t="s">
        <v>49</v>
      </c>
      <c r="D136" s="1" t="s">
        <v>38</v>
      </c>
      <c r="E136" s="2" t="s">
        <v>229</v>
      </c>
      <c r="F136" s="1">
        <v>1</v>
      </c>
      <c r="G136" s="39" t="s">
        <v>38</v>
      </c>
      <c r="H136" s="39">
        <v>9</v>
      </c>
      <c r="I136" s="5" t="str">
        <f>IFERROR(_xlfn.XLOOKUP(H136,Area!A:A,Area!B:B),"")</f>
        <v>2,3열</v>
      </c>
    </row>
    <row r="137" spans="1:11" x14ac:dyDescent="0.3">
      <c r="A137" s="55">
        <v>2000024</v>
      </c>
      <c r="B137" s="5" t="str" cm="1">
        <f t="array" ref="B137">IF(F137=0,"논타겟 "&amp;I137,
_xlfn.IFS(D137="None","",D137="All","전체",D137="Fire","화속성 ",D137="Water","수속성 ",D137="Forest","목속성 ",D137="Light","광속성 ",D137="Dark","암속성 ",D137="Attacker","공격형 ",D137="Defender","방어형 ",D137="Supporter","지원형 ",D137="Healer","회복형 ",D137="Magician","구속형 ",D137="Dead","죽은 ",D137="Random","무작위 ")
&amp;_xlfn.IFS(E137="Random","무작위",E137="Near","가까운",E137="Far","먼",E137="LowHp","체력 낮은",E137="HighAtk","공격력 높은",E137="HighHp","체력 높은",E137="LowAtk","공격력 낮은",E137="None","")&amp;_xlfn.IFS(C137="Ally"," 아군",C137="Enemy"," 적",C137="Mine"," 자신",C137="None"," 없음")&amp;" "&amp;F137&amp;"명"&amp;" "&amp;IF(I137="1칸","",I137))</f>
        <v>먼 적 1명 1열</v>
      </c>
      <c r="C137" s="1" t="s">
        <v>49</v>
      </c>
      <c r="D137" s="1" t="s">
        <v>38</v>
      </c>
      <c r="E137" s="2" t="s">
        <v>229</v>
      </c>
      <c r="F137" s="1">
        <v>1</v>
      </c>
      <c r="G137" s="39" t="s">
        <v>38</v>
      </c>
      <c r="H137" s="39">
        <v>5</v>
      </c>
      <c r="I137" s="5" t="str">
        <f>IFERROR(_xlfn.XLOOKUP(H137,Area!A:A,Area!B:B),"")</f>
        <v>1열</v>
      </c>
    </row>
    <row r="138" spans="1:11" x14ac:dyDescent="0.3">
      <c r="A138" s="55">
        <v>2000101</v>
      </c>
      <c r="B138" s="5" t="str" cm="1">
        <f t="array" ref="B138">IF(F138=0,"논타겟 "&amp;I138,
_xlfn.IFS(D138="None","",D138="All","전체",D138="Fire","화속성 ",D138="Water","수속성 ",D138="Forest","목속성 ",D138="Light","광속성 ",D138="Dark","암속성 ",D138="Attacker","공격형 ",D138="Defender","방어형 ",D138="Supporter","지원형 ",D138="Healer","회복형 ",D138="Magician","구속형 ",D138="Dead","죽은 ",D138="Random","무작위 ")
&amp;_xlfn.IFS(E138="Random","무작위",E138="Near","가까운",E138="LowHp","체력 낮은",E138="HighAtk","공격력 높은",E138="HighHp","체력 높은",E138="LowAtk","공격력 낮은",E138="None","")&amp;_xlfn.IFS(C138="Ally"," 아군",C138="Enemy"," 적",C138="Mine"," 자신",C138="None"," 없음")&amp;" "&amp;F138&amp;"명"&amp;" "&amp;IF(I138="1칸","",I138))</f>
        <v xml:space="preserve">체력 낮은 적 1명 </v>
      </c>
      <c r="C138" s="2" t="s">
        <v>49</v>
      </c>
      <c r="D138" s="2" t="s">
        <v>38</v>
      </c>
      <c r="E138" s="2" t="s">
        <v>115</v>
      </c>
      <c r="F138" s="2">
        <v>1</v>
      </c>
      <c r="G138" s="39" t="s">
        <v>38</v>
      </c>
      <c r="H138" s="39">
        <v>1</v>
      </c>
      <c r="I138" s="5" t="str">
        <f>IFERROR(_xlfn.XLOOKUP(H138,Area!A:A,Area!B:B),"")</f>
        <v>1칸</v>
      </c>
      <c r="K138" t="str">
        <f>IFERROR(_xlfn.XLOOKUP(H138,Area!A:A,Area!H:H),"")</f>
        <v>Skill_Area_Icon_Pivot_Centor</v>
      </c>
    </row>
    <row r="139" spans="1:11" x14ac:dyDescent="0.3">
      <c r="A139" s="55">
        <v>2000102</v>
      </c>
      <c r="B139" s="5" t="str" cm="1">
        <f t="array" ref="B139">IF(F139=0,"논타겟 "&amp;I139,
_xlfn.IFS(D139="None","",D139="All","전체",D139="Fire","화속성 ",D139="Water","수속성 ",D139="Forest","목속성 ",D139="Light","광속성 ",D139="Dark","암속성 ",D139="Attacker","공격형 ",D139="Defender","방어형 ",D139="Supporter","지원형 ",D139="Healer","회복형 ",D139="Magician","구속형 ",D139="Dead","죽은 ",D139="Random","무작위 ")
&amp;_xlfn.IFS(E139="Random","무작위",E139="Near","가까운",E139="LowHp","체력 낮은",E139="HighAtk","공격력 높은",E139="HighHp","체력 높은",E139="LowAtk","공격력 낮은",E139="None","")&amp;_xlfn.IFS(C139="Ally"," 아군",C139="Enemy"," 적",C139="Mine"," 자신",C139="None"," 없음")&amp;" "&amp;F139&amp;"명"&amp;" "&amp;IF(I139="1칸","",I139))</f>
        <v xml:space="preserve">체력 낮은 적 2명 </v>
      </c>
      <c r="C139" s="2" t="s">
        <v>49</v>
      </c>
      <c r="D139" s="2" t="s">
        <v>38</v>
      </c>
      <c r="E139" s="2" t="s">
        <v>115</v>
      </c>
      <c r="F139" s="2">
        <v>2</v>
      </c>
      <c r="G139" s="39" t="s">
        <v>38</v>
      </c>
      <c r="H139" s="39">
        <v>1</v>
      </c>
      <c r="I139" s="5" t="str">
        <f>IFERROR(_xlfn.XLOOKUP(H139,Area!A:A,Area!B:B),"")</f>
        <v>1칸</v>
      </c>
      <c r="K139" t="str">
        <f>IFERROR(_xlfn.XLOOKUP(H139,Area!A:A,Area!H:H),"")</f>
        <v>Skill_Area_Icon_Pivot_Centor</v>
      </c>
    </row>
    <row r="140" spans="1:11" x14ac:dyDescent="0.3">
      <c r="A140" s="55">
        <v>2000103</v>
      </c>
      <c r="B140" s="5" t="str" cm="1">
        <f t="array" ref="B140">IF(F140=0,"논타겟 "&amp;I140,
_xlfn.IFS(D140="None","",D140="All","전체",D140="Fire","화속성 ",D140="Water","수속성 ",D140="Forest","목속성 ",D140="Light","광속성 ",D140="Dark","암속성 ",D140="Attacker","공격형 ",D140="Defender","방어형 ",D140="Supporter","지원형 ",D140="Healer","회복형 ",D140="Magician","구속형 ",D140="Dead","죽은 ",D140="Random","무작위 ")
&amp;_xlfn.IFS(E140="Random","무작위",E140="Near","가까운",E140="LowHp","체력 낮은",E140="HighAtk","공격력 높은",E140="HighHp","체력 높은",E140="LowAtk","공격력 낮은",E140="None","")&amp;_xlfn.IFS(C140="Ally"," 아군",C140="Enemy"," 적",C140="Mine"," 자신",C140="None"," 없음")&amp;" "&amp;F140&amp;"명"&amp;" "&amp;IF(I140="1칸","",I140))</f>
        <v xml:space="preserve">체력 낮은 적 3명 </v>
      </c>
      <c r="C140" s="2" t="s">
        <v>49</v>
      </c>
      <c r="D140" s="2" t="s">
        <v>38</v>
      </c>
      <c r="E140" s="2" t="s">
        <v>115</v>
      </c>
      <c r="F140" s="2">
        <v>3</v>
      </c>
      <c r="G140" s="39" t="s">
        <v>38</v>
      </c>
      <c r="H140" s="39">
        <v>1</v>
      </c>
      <c r="I140" s="5" t="str">
        <f>IFERROR(_xlfn.XLOOKUP(H140,Area!A:A,Area!B:B),"")</f>
        <v>1칸</v>
      </c>
      <c r="K140" t="str">
        <f>IFERROR(_xlfn.XLOOKUP(H140,Area!A:A,Area!H:H),"")</f>
        <v>Skill_Area_Icon_Pivot_Centor</v>
      </c>
    </row>
    <row r="141" spans="1:11" x14ac:dyDescent="0.3">
      <c r="A141" s="55">
        <v>2000201</v>
      </c>
      <c r="B141" s="5" t="str" cm="1">
        <f t="array" ref="B141">IF(F141=0,"논타겟 "&amp;I141,
_xlfn.IFS(D141="None","",D141="All","전체",D141="Fire","화속성 ",D141="Water","수속성 ",D141="Forest","목속성 ",D141="Light","광속성 ",D141="Dark","암속성 ",D141="Attacker","공격형 ",D141="Defender","방어형 ",D141="Supporter","지원형 ",D141="Healer","회복형 ",D141="Magician","구속형 ",D141="Dead","죽은 ",D141="Random","무작위 ")
&amp;_xlfn.IFS(E141="Random","무작위",E141="Near","가까운",E141="LowHp","체력 낮은",E141="HighAtk","공격력 높은",E141="HighHp","체력 높은",E141="LowAtk","공격력 낮은",E141="None","")&amp;_xlfn.IFS(C141="Ally"," 아군",C141="Enemy"," 적",C141="Mine"," 자신",C141="None"," 없음")&amp;" "&amp;F141&amp;"명"&amp;" "&amp;IF(I141="1칸","",I141))</f>
        <v xml:space="preserve">체력 높은 적 1명 </v>
      </c>
      <c r="C141" s="2" t="s">
        <v>49</v>
      </c>
      <c r="D141" s="2" t="s">
        <v>38</v>
      </c>
      <c r="E141" s="2" t="s">
        <v>217</v>
      </c>
      <c r="F141" s="2">
        <v>1</v>
      </c>
      <c r="G141" s="39" t="s">
        <v>38</v>
      </c>
      <c r="H141" s="39">
        <v>1</v>
      </c>
      <c r="I141" s="5" t="str">
        <f>IFERROR(_xlfn.XLOOKUP(H141,Area!A:A,Area!B:B),"")</f>
        <v>1칸</v>
      </c>
      <c r="K141" t="str">
        <f>IFERROR(_xlfn.XLOOKUP(H141,Area!A:A,Area!H:H),"")</f>
        <v>Skill_Area_Icon_Pivot_Centor</v>
      </c>
    </row>
    <row r="142" spans="1:11" x14ac:dyDescent="0.3">
      <c r="A142" s="55">
        <v>2000202</v>
      </c>
      <c r="B142" s="5" t="str" cm="1">
        <f t="array" ref="B142">IF(F142=0,"논타겟 "&amp;I142,
_xlfn.IFS(D142="None","",D142="All","전체",D142="Fire","화속성 ",D142="Water","수속성 ",D142="Forest","목속성 ",D142="Light","광속성 ",D142="Dark","암속성 ",D142="Attacker","공격형 ",D142="Defender","방어형 ",D142="Supporter","지원형 ",D142="Healer","회복형 ",D142="Magician","구속형 ",D142="Dead","죽은 ",D142="Random","무작위 ")
&amp;_xlfn.IFS(E142="Random","무작위",E142="Near","가까운",E142="LowHp","체력 낮은",E142="HighAtk","공격력 높은",E142="HighHp","체력 높은",E142="LowAtk","공격력 낮은",E142="None","")&amp;_xlfn.IFS(C142="Ally"," 아군",C142="Enemy"," 적",C142="Mine"," 자신",C142="None"," 없음")&amp;" "&amp;F142&amp;"명"&amp;" "&amp;IF(I142="1칸","",I142))</f>
        <v xml:space="preserve">체력 높은 적 2명 </v>
      </c>
      <c r="C142" s="2" t="s">
        <v>49</v>
      </c>
      <c r="D142" s="2" t="s">
        <v>38</v>
      </c>
      <c r="E142" s="2" t="s">
        <v>217</v>
      </c>
      <c r="F142" s="2">
        <v>2</v>
      </c>
      <c r="G142" s="39" t="s">
        <v>38</v>
      </c>
      <c r="H142" s="39">
        <v>1</v>
      </c>
      <c r="I142" s="5" t="str">
        <f>IFERROR(_xlfn.XLOOKUP(H142,Area!A:A,Area!B:B),"")</f>
        <v>1칸</v>
      </c>
      <c r="K142" t="str">
        <f>IFERROR(_xlfn.XLOOKUP(H142,Area!A:A,Area!H:H),"")</f>
        <v>Skill_Area_Icon_Pivot_Centor</v>
      </c>
    </row>
    <row r="143" spans="1:11" x14ac:dyDescent="0.3">
      <c r="A143" s="55">
        <v>2000203</v>
      </c>
      <c r="B143" s="5" t="str" cm="1">
        <f t="array" ref="B143">IF(F143=0,"논타겟 "&amp;I143,
_xlfn.IFS(D143="None","",D143="All","전체",D143="Fire","화속성 ",D143="Water","수속성 ",D143="Forest","목속성 ",D143="Light","광속성 ",D143="Dark","암속성 ",D143="Attacker","공격형 ",D143="Defender","방어형 ",D143="Supporter","지원형 ",D143="Healer","회복형 ",D143="Magician","구속형 ",D143="Dead","죽은 ",D143="Random","무작위 ")
&amp;_xlfn.IFS(E143="Random","무작위",E143="Near","가까운",E143="LowHp","체력 낮은",E143="HighAtk","공격력 높은",E143="HighHp","체력 높은",E143="LowAtk","공격력 낮은",E143="None","")&amp;_xlfn.IFS(C143="Ally"," 아군",C143="Enemy"," 적",C143="Mine"," 자신",C143="None"," 없음")&amp;" "&amp;F143&amp;"명"&amp;" "&amp;IF(I143="1칸","",I143))</f>
        <v xml:space="preserve">체력 높은 적 3명 </v>
      </c>
      <c r="C143" s="2" t="s">
        <v>49</v>
      </c>
      <c r="D143" s="2" t="s">
        <v>38</v>
      </c>
      <c r="E143" s="2" t="s">
        <v>217</v>
      </c>
      <c r="F143" s="2">
        <v>3</v>
      </c>
      <c r="G143" s="39" t="s">
        <v>38</v>
      </c>
      <c r="H143" s="39">
        <v>1</v>
      </c>
      <c r="I143" s="5" t="str">
        <f>IFERROR(_xlfn.XLOOKUP(H143,Area!A:A,Area!B:B),"")</f>
        <v>1칸</v>
      </c>
      <c r="K143" t="str">
        <f>IFERROR(_xlfn.XLOOKUP(H143,Area!A:A,Area!H:H),"")</f>
        <v>Skill_Area_Icon_Pivot_Centor</v>
      </c>
    </row>
    <row r="144" spans="1:11" x14ac:dyDescent="0.3">
      <c r="A144" s="55">
        <v>2000301</v>
      </c>
      <c r="B144" s="5" t="str" cm="1">
        <f t="array" ref="B144">IF(F144=0,"논타겟 "&amp;I144,
_xlfn.IFS(D144="None","",D144="All","전체",D144="Fire","화속성 ",D144="Water","수속성 ",D144="Forest","목속성 ",D144="Light","광속성 ",D144="Dark","암속성 ",D144="Attacker","공격형 ",D144="Defender","방어형 ",D144="Supporter","지원형 ",D144="Healer","회복형 ",D144="Magician","구속형 ",D144="Dead","죽은 ",D144="Random","무작위 ")
&amp;_xlfn.IFS(E144="Random","무작위",E144="Near","가까운",E144="LowHp","체력 낮은",E144="HighAtk","공격력 높은",E144="HighHp","체력 높은",E144="LowAtk","공격력 낮은",E144="None","")&amp;_xlfn.IFS(C144="Ally"," 아군",C144="Enemy"," 적",C144="Mine"," 자신",C144="None"," 없음")&amp;" "&amp;F144&amp;"명"&amp;" "&amp;IF(I144="1칸","",I144))</f>
        <v xml:space="preserve">공격력 낮은 적 1명 </v>
      </c>
      <c r="C144" s="2" t="s">
        <v>49</v>
      </c>
      <c r="D144" s="2" t="s">
        <v>38</v>
      </c>
      <c r="E144" s="2" t="s">
        <v>219</v>
      </c>
      <c r="F144" s="2">
        <v>1</v>
      </c>
      <c r="G144" s="39" t="s">
        <v>38</v>
      </c>
      <c r="H144" s="39">
        <v>1</v>
      </c>
      <c r="I144" s="5" t="str">
        <f>IFERROR(_xlfn.XLOOKUP(H144,Area!A:A,Area!B:B),"")</f>
        <v>1칸</v>
      </c>
      <c r="K144" t="str">
        <f>IFERROR(_xlfn.XLOOKUP(H144,Area!A:A,Area!H:H),"")</f>
        <v>Skill_Area_Icon_Pivot_Centor</v>
      </c>
    </row>
    <row r="145" spans="1:11" x14ac:dyDescent="0.3">
      <c r="A145" s="55">
        <v>2000302</v>
      </c>
      <c r="B145" s="5" t="str" cm="1">
        <f t="array" ref="B145">IF(F145=0,"논타겟 "&amp;I145,
_xlfn.IFS(D145="None","",D145="All","전체",D145="Fire","화속성 ",D145="Water","수속성 ",D145="Forest","목속성 ",D145="Light","광속성 ",D145="Dark","암속성 ",D145="Attacker","공격형 ",D145="Defender","방어형 ",D145="Supporter","지원형 ",D145="Healer","회복형 ",D145="Magician","구속형 ",D145="Dead","죽은 ",D145="Random","무작위 ")
&amp;_xlfn.IFS(E145="Random","무작위",E145="Near","가까운",E145="LowHp","체력 낮은",E145="HighAtk","공격력 높은",E145="HighHp","체력 높은",E145="LowAtk","공격력 낮은",E145="None","")&amp;_xlfn.IFS(C145="Ally"," 아군",C145="Enemy"," 적",C145="Mine"," 자신",C145="None"," 없음")&amp;" "&amp;F145&amp;"명"&amp;" "&amp;IF(I145="1칸","",I145))</f>
        <v xml:space="preserve">공격력 낮은 적 2명 </v>
      </c>
      <c r="C145" s="2" t="s">
        <v>49</v>
      </c>
      <c r="D145" s="2" t="s">
        <v>38</v>
      </c>
      <c r="E145" s="2" t="s">
        <v>218</v>
      </c>
      <c r="F145" s="2">
        <v>2</v>
      </c>
      <c r="G145" s="39" t="s">
        <v>38</v>
      </c>
      <c r="H145" s="39">
        <v>1</v>
      </c>
      <c r="I145" s="5" t="str">
        <f>IFERROR(_xlfn.XLOOKUP(H145,Area!A:A,Area!B:B),"")</f>
        <v>1칸</v>
      </c>
      <c r="K145" t="str">
        <f>IFERROR(_xlfn.XLOOKUP(H145,Area!A:A,Area!H:H),"")</f>
        <v>Skill_Area_Icon_Pivot_Centor</v>
      </c>
    </row>
    <row r="146" spans="1:11" x14ac:dyDescent="0.3">
      <c r="A146" s="55">
        <v>2000303</v>
      </c>
      <c r="B146" s="5" t="str" cm="1">
        <f t="array" ref="B146">IF(F146=0,"논타겟 "&amp;I146,
_xlfn.IFS(D146="None","",D146="All","전체",D146="Fire","화속성 ",D146="Water","수속성 ",D146="Forest","목속성 ",D146="Light","광속성 ",D146="Dark","암속성 ",D146="Attacker","공격형 ",D146="Defender","방어형 ",D146="Supporter","지원형 ",D146="Healer","회복형 ",D146="Magician","구속형 ",D146="Dead","죽은 ",D146="Random","무작위 ")
&amp;_xlfn.IFS(E146="Random","무작위",E146="Near","가까운",E146="LowHp","체력 낮은",E146="HighAtk","공격력 높은",E146="HighHp","체력 높은",E146="LowAtk","공격력 낮은",E146="None","")&amp;_xlfn.IFS(C146="Ally"," 아군",C146="Enemy"," 적",C146="Mine"," 자신",C146="None"," 없음")&amp;" "&amp;F146&amp;"명"&amp;" "&amp;IF(I146="1칸","",I146))</f>
        <v xml:space="preserve">공격력 낮은 적 3명 </v>
      </c>
      <c r="C146" s="2" t="s">
        <v>49</v>
      </c>
      <c r="D146" s="2" t="s">
        <v>38</v>
      </c>
      <c r="E146" s="2" t="s">
        <v>218</v>
      </c>
      <c r="F146" s="2">
        <v>3</v>
      </c>
      <c r="G146" s="39" t="s">
        <v>38</v>
      </c>
      <c r="H146" s="39">
        <v>1</v>
      </c>
      <c r="I146" s="5" t="str">
        <f>IFERROR(_xlfn.XLOOKUP(H146,Area!A:A,Area!B:B),"")</f>
        <v>1칸</v>
      </c>
      <c r="K146" t="str">
        <f>IFERROR(_xlfn.XLOOKUP(H146,Area!A:A,Area!H:H),"")</f>
        <v>Skill_Area_Icon_Pivot_Centor</v>
      </c>
    </row>
    <row r="147" spans="1:11" x14ac:dyDescent="0.3">
      <c r="A147" s="55">
        <v>2000401</v>
      </c>
      <c r="B147" s="5" t="str" cm="1">
        <f t="array" ref="B147">IF(F147=0,"논타겟 "&amp;I147,
_xlfn.IFS(D147="None","",D147="All","전체",D147="Fire","화속성 ",D147="Water","수속성 ",D147="Forest","목속성 ",D147="Light","광속성 ",D147="Dark","암속성 ",D147="Attacker","공격형 ",D147="Defender","방어형 ",D147="Supporter","지원형 ",D147="Healer","회복형 ",D147="Magician","구속형 ",D147="Dead","죽은 ",D147="Random","무작위 ")
&amp;_xlfn.IFS(E147="Random","무작위",E147="Near","가까운",E147="LowHp","체력 낮은",E147="HighAtk","공격력 높은",E147="HighHp","체력 높은",E147="LowAtk","공격력 낮은",E147="None","")&amp;_xlfn.IFS(C147="Ally"," 아군",C147="Enemy"," 적",C147="Mine"," 자신",C147="None"," 없음")&amp;" "&amp;F147&amp;"명"&amp;" "&amp;IF(I147="1칸","",I147))</f>
        <v xml:space="preserve">공격력 높은 적 1명 </v>
      </c>
      <c r="C147" s="2" t="s">
        <v>49</v>
      </c>
      <c r="D147" s="2" t="s">
        <v>38</v>
      </c>
      <c r="E147" s="2" t="s">
        <v>220</v>
      </c>
      <c r="F147" s="2">
        <v>1</v>
      </c>
      <c r="G147" s="39" t="s">
        <v>38</v>
      </c>
      <c r="H147" s="39">
        <v>1</v>
      </c>
      <c r="I147" s="5" t="str">
        <f>IFERROR(_xlfn.XLOOKUP(H147,Area!A:A,Area!B:B),"")</f>
        <v>1칸</v>
      </c>
      <c r="K147" t="str">
        <f>IFERROR(_xlfn.XLOOKUP(H147,Area!A:A,Area!H:H),"")</f>
        <v>Skill_Area_Icon_Pivot_Centor</v>
      </c>
    </row>
    <row r="148" spans="1:11" x14ac:dyDescent="0.3">
      <c r="A148" s="55">
        <v>2000402</v>
      </c>
      <c r="B148" s="5" t="str" cm="1">
        <f t="array" ref="B148">IF(F148=0,"논타겟 "&amp;I148,
_xlfn.IFS(D148="None","",D148="All","전체",D148="Fire","화속성 ",D148="Water","수속성 ",D148="Forest","목속성 ",D148="Light","광속성 ",D148="Dark","암속성 ",D148="Attacker","공격형 ",D148="Defender","방어형 ",D148="Supporter","지원형 ",D148="Healer","회복형 ",D148="Magician","구속형 ",D148="Dead","죽은 ",D148="Random","무작위 ")
&amp;_xlfn.IFS(E148="Random","무작위",E148="Near","가까운",E148="LowHp","체력 낮은",E148="HighAtk","공격력 높은",E148="HighHp","체력 높은",E148="LowAtk","공격력 낮은",E148="None","")&amp;_xlfn.IFS(C148="Ally"," 아군",C148="Enemy"," 적",C148="Mine"," 자신",C148="None"," 없음")&amp;" "&amp;F148&amp;"명"&amp;" "&amp;IF(I148="1칸","",I148))</f>
        <v xml:space="preserve">공격력 높은 적 2명 </v>
      </c>
      <c r="C148" s="2" t="s">
        <v>49</v>
      </c>
      <c r="D148" s="2" t="s">
        <v>38</v>
      </c>
      <c r="E148" s="2" t="s">
        <v>220</v>
      </c>
      <c r="F148" s="2">
        <v>2</v>
      </c>
      <c r="G148" s="39" t="s">
        <v>38</v>
      </c>
      <c r="H148" s="39">
        <v>1</v>
      </c>
      <c r="I148" s="5" t="str">
        <f>IFERROR(_xlfn.XLOOKUP(H148,Area!A:A,Area!B:B),"")</f>
        <v>1칸</v>
      </c>
      <c r="K148" t="str">
        <f>IFERROR(_xlfn.XLOOKUP(H148,Area!A:A,Area!H:H),"")</f>
        <v>Skill_Area_Icon_Pivot_Centor</v>
      </c>
    </row>
    <row r="149" spans="1:11" x14ac:dyDescent="0.3">
      <c r="A149" s="55">
        <v>2000403</v>
      </c>
      <c r="B149" s="5" t="str" cm="1">
        <f t="array" ref="B149">IF(F149=0,"논타겟 "&amp;I149,
_xlfn.IFS(D149="None","",D149="All","전체",D149="Fire","화속성 ",D149="Water","수속성 ",D149="Forest","목속성 ",D149="Light","광속성 ",D149="Dark","암속성 ",D149="Attacker","공격형 ",D149="Defender","방어형 ",D149="Supporter","지원형 ",D149="Healer","회복형 ",D149="Magician","구속형 ",D149="Dead","죽은 ",D149="Random","무작위 ")
&amp;_xlfn.IFS(E149="Random","무작위",E149="Near","가까운",E149="LowHp","체력 낮은",E149="HighAtk","공격력 높은",E149="HighHp","체력 높은",E149="LowAtk","공격력 낮은",E149="None","")&amp;_xlfn.IFS(C149="Ally"," 아군",C149="Enemy"," 적",C149="Mine"," 자신",C149="None"," 없음")&amp;" "&amp;F149&amp;"명"&amp;" "&amp;IF(I149="1칸","",I149))</f>
        <v xml:space="preserve">공격력 높은 적 3명 </v>
      </c>
      <c r="C149" s="2" t="s">
        <v>49</v>
      </c>
      <c r="D149" s="2" t="s">
        <v>38</v>
      </c>
      <c r="E149" s="2" t="s">
        <v>220</v>
      </c>
      <c r="F149" s="2">
        <v>3</v>
      </c>
      <c r="G149" s="39" t="s">
        <v>38</v>
      </c>
      <c r="H149" s="39">
        <v>1</v>
      </c>
      <c r="I149" s="5" t="str">
        <f>IFERROR(_xlfn.XLOOKUP(H149,Area!A:A,Area!B:B),"")</f>
        <v>1칸</v>
      </c>
      <c r="K149" t="str">
        <f>IFERROR(_xlfn.XLOOKUP(H149,Area!A:A,Area!H:H),"")</f>
        <v>Skill_Area_Icon_Pivot_Centor</v>
      </c>
    </row>
    <row r="150" spans="1:11" x14ac:dyDescent="0.3">
      <c r="A150" s="55">
        <v>2001101</v>
      </c>
      <c r="B150" s="5" t="str" cm="1">
        <f t="array" ref="B150">IF(F150=0,"논타겟 "&amp;I150,
_xlfn.IFS(D150="None","",D150="All","전체",D150="Fire","화속성 ",D150="Water","수속성 ",D150="Forest","목속성 ",D150="Light","광속성 ",D150="Dark","암속성 ",D150="Attacker","공격형 ",D150="Defender","방어형 ",D150="Supporter","지원형 ",D150="Healer","회복형 ",D150="Magician","구속형 ",D150="Dead","죽은 ",D150="Random","무작위 ")
&amp;_xlfn.IFS(E150="Random","무작위",E150="Near","가까운",E150="LowHp","체력 낮은",E150="HighAtk","공격력 높은",E150="HighHp","체력 높은",E150="LowAtk","공격력 낮은",E150="None","")&amp;_xlfn.IFS(C150="Ally"," 아군",C150="Enemy"," 적",C150="Mine"," 자신",C150="None"," 없음")&amp;" "&amp;F150&amp;"명"&amp;" "&amp;IF(I150="1칸","",I150))</f>
        <v xml:space="preserve">화속성 무작위 적 1명 </v>
      </c>
      <c r="C150" s="2" t="s">
        <v>49</v>
      </c>
      <c r="D150" s="2" t="s">
        <v>20</v>
      </c>
      <c r="E150" s="2" t="s">
        <v>216</v>
      </c>
      <c r="F150" s="2">
        <v>1</v>
      </c>
      <c r="G150" s="39" t="s">
        <v>38</v>
      </c>
      <c r="H150" s="39">
        <v>1</v>
      </c>
      <c r="I150" s="5" t="str">
        <f>IFERROR(_xlfn.XLOOKUP(H150,Area!A:A,Area!B:B),"")</f>
        <v>1칸</v>
      </c>
      <c r="J150" t="s">
        <v>374</v>
      </c>
      <c r="K150" t="str">
        <f>IFERROR(_xlfn.XLOOKUP(H150,Area!A:A,Area!H:H),"")</f>
        <v>Skill_Area_Icon_Pivot_Centor</v>
      </c>
    </row>
    <row r="151" spans="1:11" x14ac:dyDescent="0.3">
      <c r="A151" s="55">
        <v>2001102</v>
      </c>
      <c r="B151" s="5" t="str" cm="1">
        <f t="array" ref="B151">IF(F151=0,"논타겟 "&amp;I151,
_xlfn.IFS(D151="None","",D151="All","전체",D151="Fire","화속성 ",D151="Water","수속성 ",D151="Forest","목속성 ",D151="Light","광속성 ",D151="Dark","암속성 ",D151="Attacker","공격형 ",D151="Defender","방어형 ",D151="Supporter","지원형 ",D151="Healer","회복형 ",D151="Magician","구속형 ",D151="Dead","죽은 ",D151="Random","무작위 ")
&amp;_xlfn.IFS(E151="Random","무작위",E151="Near","가까운",E151="LowHp","체력 낮은",E151="HighAtk","공격력 높은",E151="HighHp","체력 높은",E151="LowAtk","공격력 낮은",E151="None","")&amp;_xlfn.IFS(C151="Ally"," 아군",C151="Enemy"," 적",C151="Mine"," 자신",C151="None"," 없음")&amp;" "&amp;F151&amp;"명"&amp;" "&amp;IF(I151="1칸","",I151))</f>
        <v xml:space="preserve">화속성 무작위 적 2명 </v>
      </c>
      <c r="C151" s="2" t="s">
        <v>49</v>
      </c>
      <c r="D151" s="2" t="s">
        <v>20</v>
      </c>
      <c r="E151" s="2" t="s">
        <v>216</v>
      </c>
      <c r="F151" s="2">
        <v>2</v>
      </c>
      <c r="G151" s="39" t="s">
        <v>38</v>
      </c>
      <c r="H151" s="39">
        <v>1</v>
      </c>
      <c r="I151" s="5" t="str">
        <f>IFERROR(_xlfn.XLOOKUP(H151,Area!A:A,Area!B:B),"")</f>
        <v>1칸</v>
      </c>
      <c r="K151" t="str">
        <f>IFERROR(_xlfn.XLOOKUP(H151,Area!A:A,Area!H:H),"")</f>
        <v>Skill_Area_Icon_Pivot_Centor</v>
      </c>
    </row>
    <row r="152" spans="1:11" x14ac:dyDescent="0.3">
      <c r="A152" s="55">
        <v>2001103</v>
      </c>
      <c r="B152" s="5" t="str" cm="1">
        <f t="array" ref="B152">IF(F152=0,"논타겟 "&amp;I152,
_xlfn.IFS(D152="None","",D152="All","전체",D152="Fire","화속성 ",D152="Water","수속성 ",D152="Forest","목속성 ",D152="Light","광속성 ",D152="Dark","암속성 ",D152="Attacker","공격형 ",D152="Defender","방어형 ",D152="Supporter","지원형 ",D152="Healer","회복형 ",D152="Magician","구속형 ",D152="Dead","죽은 ",D152="Random","무작위 ")
&amp;_xlfn.IFS(E152="Random","무작위",E152="Near","가까운",E152="LowHp","체력 낮은",E152="HighAtk","공격력 높은",E152="HighHp","체력 높은",E152="LowAtk","공격력 낮은",E152="None","")&amp;_xlfn.IFS(C152="Ally"," 아군",C152="Enemy"," 적",C152="Mine"," 자신",C152="None"," 없음")&amp;" "&amp;F152&amp;"명"&amp;" "&amp;IF(I152="1칸","",I152))</f>
        <v xml:space="preserve">화속성 무작위 적 3명 </v>
      </c>
      <c r="C152" s="2" t="s">
        <v>49</v>
      </c>
      <c r="D152" s="2" t="s">
        <v>20</v>
      </c>
      <c r="E152" s="2" t="s">
        <v>216</v>
      </c>
      <c r="F152" s="2">
        <v>3</v>
      </c>
      <c r="G152" s="39" t="s">
        <v>38</v>
      </c>
      <c r="H152" s="39">
        <v>1</v>
      </c>
      <c r="I152" s="5" t="str">
        <f>IFERROR(_xlfn.XLOOKUP(H152,Area!A:A,Area!B:B),"")</f>
        <v>1칸</v>
      </c>
      <c r="K152" t="str">
        <f>IFERROR(_xlfn.XLOOKUP(H152,Area!A:A,Area!H:H),"")</f>
        <v>Skill_Area_Icon_Pivot_Centor</v>
      </c>
    </row>
    <row r="153" spans="1:11" x14ac:dyDescent="0.3">
      <c r="A153" s="55">
        <v>2001104</v>
      </c>
      <c r="B153" s="5" t="str" cm="1">
        <f t="array" ref="B153">IF(F153=0,"논타겟 "&amp;I153,
_xlfn.IFS(D153="None","",D153="All","전체",D153="Fire","화속성 ",D153="Water","수속성 ",D153="Forest","목속성 ",D153="Light","광속성 ",D153="Dark","암속성 ",D153="Attacker","공격형 ",D153="Defender","방어형 ",D153="Supporter","지원형 ",D153="Healer","회복형 ",D153="Magician","구속형 ",D153="Dead","죽은 ",D153="Random","무작위 ")
&amp;_xlfn.IFS(E153="Random","무작위",E153="Near","가까운",E153="LowHp","체력 낮은",E153="HighAtk","공격력 높은",E153="HighHp","체력 높은",E153="LowAtk","공격력 낮은",E153="None","")&amp;_xlfn.IFS(C153="Ally"," 아군",C153="Enemy"," 적",C153="Mine"," 자신",C153="None"," 없음")&amp;" "&amp;F153&amp;"명"&amp;" "&amp;IF(I153="1칸","",I153))</f>
        <v xml:space="preserve">화속성 무작위 적 4명 </v>
      </c>
      <c r="C153" s="2" t="s">
        <v>49</v>
      </c>
      <c r="D153" s="2" t="s">
        <v>19</v>
      </c>
      <c r="E153" s="2" t="s">
        <v>57</v>
      </c>
      <c r="F153" s="2">
        <v>4</v>
      </c>
      <c r="G153" s="39" t="s">
        <v>38</v>
      </c>
      <c r="H153" s="39">
        <v>1</v>
      </c>
      <c r="I153" s="5" t="str">
        <f>IFERROR(_xlfn.XLOOKUP(H153,Area!A:A,Area!B:B),"")</f>
        <v>1칸</v>
      </c>
      <c r="K153" t="str">
        <f>IFERROR(_xlfn.XLOOKUP(H153,Area!A:A,Area!H:H),"")</f>
        <v>Skill_Area_Icon_Pivot_Centor</v>
      </c>
    </row>
    <row r="154" spans="1:11" x14ac:dyDescent="0.3">
      <c r="A154" s="55">
        <v>2001105</v>
      </c>
      <c r="B154" s="5" t="str" cm="1">
        <f t="array" ref="B154">IF(F154=0,"논타겟 "&amp;I154,
_xlfn.IFS(D154="None","",D154="All","전체",D154="Fire","화속성 ",D154="Water","수속성 ",D154="Forest","목속성 ",D154="Light","광속성 ",D154="Dark","암속성 ",D154="Attacker","공격형 ",D154="Defender","방어형 ",D154="Supporter","지원형 ",D154="Healer","회복형 ",D154="Magician","구속형 ",D154="Dead","죽은 ",D154="Random","무작위 ")
&amp;_xlfn.IFS(E154="Random","무작위",E154="Near","가까운",E154="LowHp","체력 낮은",E154="HighAtk","공격력 높은",E154="HighHp","체력 높은",E154="LowAtk","공격력 낮은",E154="None","")&amp;_xlfn.IFS(C154="Ally"," 아군",C154="Enemy"," 적",C154="Mine"," 자신",C154="None"," 없음")&amp;" "&amp;F154&amp;"명"&amp;" "&amp;IF(I154="1칸","",I154))</f>
        <v xml:space="preserve">화속성 무작위 적 5명 </v>
      </c>
      <c r="C154" s="2" t="s">
        <v>49</v>
      </c>
      <c r="D154" s="2" t="s">
        <v>19</v>
      </c>
      <c r="E154" s="2" t="s">
        <v>57</v>
      </c>
      <c r="F154" s="2">
        <v>5</v>
      </c>
      <c r="G154" s="39" t="s">
        <v>38</v>
      </c>
      <c r="H154" s="39">
        <v>1</v>
      </c>
      <c r="I154" s="5" t="str">
        <f>IFERROR(_xlfn.XLOOKUP(H154,Area!A:A,Area!B:B),"")</f>
        <v>1칸</v>
      </c>
      <c r="K154" t="str">
        <f>IFERROR(_xlfn.XLOOKUP(H154,Area!A:A,Area!H:H),"")</f>
        <v>Skill_Area_Icon_Pivot_Centor</v>
      </c>
    </row>
    <row r="155" spans="1:11" x14ac:dyDescent="0.3">
      <c r="A155" s="55">
        <v>2001109</v>
      </c>
      <c r="B155" s="5" t="str" cm="1">
        <f t="array" ref="B155">IF(F155=0,"논타겟 "&amp;I155,
_xlfn.IFS(D155="None","",D155="All","전체",D155="Fire","화속성 ",D155="Water","수속성 ",D155="Forest","목속성 ",D155="Light","광속성 ",D155="Dark","암속성 ",D155="Attacker","공격형 ",D155="Defender","방어형 ",D155="Supporter","지원형 ",D155="Healer","회복형 ",D155="Magician","구속형 ",D155="Dead","죽은 ",D155="Random","무작위 ")
&amp;_xlfn.IFS(E155="Random","무작위",E155="Near","가까운",E155="LowHp","체력 낮은",E155="HighAtk","공격력 높은",E155="HighHp","체력 높은",E155="LowAtk","공격력 낮은",E155="None","")&amp;_xlfn.IFS(C155="Ally"," 아군",C155="Enemy"," 적",C155="Mine"," 자신",C155="None"," 없음")&amp;" "&amp;F155&amp;"명"&amp;" "&amp;IF(I155="1칸","",I155))</f>
        <v>화속성 무작위 적 1명 9칸</v>
      </c>
      <c r="C155" s="2" t="s">
        <v>49</v>
      </c>
      <c r="D155" s="2" t="s">
        <v>19</v>
      </c>
      <c r="E155" s="2" t="s">
        <v>57</v>
      </c>
      <c r="F155" s="2">
        <v>1</v>
      </c>
      <c r="G155" s="39" t="s">
        <v>38</v>
      </c>
      <c r="H155" s="39">
        <v>2</v>
      </c>
      <c r="I155" s="5" t="str">
        <f>IFERROR(_xlfn.XLOOKUP(H155,Area!A:A,Area!B:B),"")</f>
        <v>9칸</v>
      </c>
      <c r="K155" t="str">
        <f>IFERROR(_xlfn.XLOOKUP(H155,Area!A:A,Area!H:H),"")</f>
        <v>Skill_Area_Icon_Pivot_All</v>
      </c>
    </row>
    <row r="156" spans="1:11" x14ac:dyDescent="0.3">
      <c r="A156" s="55">
        <v>2001201</v>
      </c>
      <c r="B156" s="5" t="str" cm="1">
        <f t="array" ref="B156">IF(F156=0,"논타겟 "&amp;I156,
_xlfn.IFS(D156="None","",D156="All","전체",D156="Fire","화속성 ",D156="Water","수속성 ",D156="Forest","목속성 ",D156="Light","광속성 ",D156="Dark","암속성 ",D156="Attacker","공격형 ",D156="Defender","방어형 ",D156="Supporter","지원형 ",D156="Healer","회복형 ",D156="Magician","구속형 ",D156="Dead","죽은 ",D156="Random","무작위 ")
&amp;_xlfn.IFS(E156="Random","무작위",E156="Near","가까운",E156="LowHp","체력 낮은",E156="HighAtk","공격력 높은",E156="HighHp","체력 높은",E156="LowAtk","공격력 낮은",E156="None","")&amp;_xlfn.IFS(C156="Ally"," 아군",C156="Enemy"," 적",C156="Mine"," 자신",C156="None"," 없음")&amp;" "&amp;F156&amp;"명"&amp;" "&amp;IF(I156="1칸","",I156))</f>
        <v xml:space="preserve">수속성 무작위 적 1명 </v>
      </c>
      <c r="C156" s="2" t="s">
        <v>49</v>
      </c>
      <c r="D156" s="2" t="s">
        <v>22</v>
      </c>
      <c r="E156" s="2" t="s">
        <v>216</v>
      </c>
      <c r="F156" s="2">
        <v>1</v>
      </c>
      <c r="G156" s="39" t="s">
        <v>38</v>
      </c>
      <c r="H156" s="39">
        <v>1</v>
      </c>
      <c r="I156" s="5" t="str">
        <f>IFERROR(_xlfn.XLOOKUP(H156,Area!A:A,Area!B:B),"")</f>
        <v>1칸</v>
      </c>
      <c r="K156" t="str">
        <f>IFERROR(_xlfn.XLOOKUP(H156,Area!A:A,Area!H:H),"")</f>
        <v>Skill_Area_Icon_Pivot_Centor</v>
      </c>
    </row>
    <row r="157" spans="1:11" x14ac:dyDescent="0.3">
      <c r="A157" s="55">
        <v>2001202</v>
      </c>
      <c r="B157" s="5" t="str" cm="1">
        <f t="array" ref="B157">IF(F157=0,"논타겟 "&amp;I157,
_xlfn.IFS(D157="None","",D157="All","전체",D157="Fire","화속성 ",D157="Water","수속성 ",D157="Forest","목속성 ",D157="Light","광속성 ",D157="Dark","암속성 ",D157="Attacker","공격형 ",D157="Defender","방어형 ",D157="Supporter","지원형 ",D157="Healer","회복형 ",D157="Magician","구속형 ",D157="Dead","죽은 ",D157="Random","무작위 ")
&amp;_xlfn.IFS(E157="Random","무작위",E157="Near","가까운",E157="LowHp","체력 낮은",E157="HighAtk","공격력 높은",E157="HighHp","체력 높은",E157="LowAtk","공격력 낮은",E157="None","")&amp;_xlfn.IFS(C157="Ally"," 아군",C157="Enemy"," 적",C157="Mine"," 자신",C157="None"," 없음")&amp;" "&amp;F157&amp;"명"&amp;" "&amp;IF(I157="1칸","",I157))</f>
        <v xml:space="preserve">수속성 무작위 적 2명 </v>
      </c>
      <c r="C157" s="2" t="s">
        <v>49</v>
      </c>
      <c r="D157" s="2" t="s">
        <v>22</v>
      </c>
      <c r="E157" s="2" t="s">
        <v>216</v>
      </c>
      <c r="F157" s="2">
        <v>2</v>
      </c>
      <c r="G157" s="39" t="s">
        <v>38</v>
      </c>
      <c r="H157" s="39">
        <v>1</v>
      </c>
      <c r="I157" s="5" t="str">
        <f>IFERROR(_xlfn.XLOOKUP(H157,Area!A:A,Area!B:B),"")</f>
        <v>1칸</v>
      </c>
      <c r="K157" t="str">
        <f>IFERROR(_xlfn.XLOOKUP(H157,Area!A:A,Area!H:H),"")</f>
        <v>Skill_Area_Icon_Pivot_Centor</v>
      </c>
    </row>
    <row r="158" spans="1:11" x14ac:dyDescent="0.3">
      <c r="A158" s="55">
        <v>2001203</v>
      </c>
      <c r="B158" s="5" t="str" cm="1">
        <f t="array" ref="B158">IF(F158=0,"논타겟 "&amp;I158,
_xlfn.IFS(D158="None","",D158="All","전체",D158="Fire","화속성 ",D158="Water","수속성 ",D158="Forest","목속성 ",D158="Light","광속성 ",D158="Dark","암속성 ",D158="Attacker","공격형 ",D158="Defender","방어형 ",D158="Supporter","지원형 ",D158="Healer","회복형 ",D158="Magician","구속형 ",D158="Dead","죽은 ",D158="Random","무작위 ")
&amp;_xlfn.IFS(E158="Random","무작위",E158="Near","가까운",E158="LowHp","체력 낮은",E158="HighAtk","공격력 높은",E158="HighHp","체력 높은",E158="LowAtk","공격력 낮은",E158="None","")&amp;_xlfn.IFS(C158="Ally"," 아군",C158="Enemy"," 적",C158="Mine"," 자신",C158="None"," 없음")&amp;" "&amp;F158&amp;"명"&amp;" "&amp;IF(I158="1칸","",I158))</f>
        <v xml:space="preserve">수속성 무작위 적 3명 </v>
      </c>
      <c r="C158" s="2" t="s">
        <v>49</v>
      </c>
      <c r="D158" s="2" t="s">
        <v>22</v>
      </c>
      <c r="E158" s="2" t="s">
        <v>216</v>
      </c>
      <c r="F158" s="2">
        <v>3</v>
      </c>
      <c r="G158" s="39" t="s">
        <v>38</v>
      </c>
      <c r="H158" s="39">
        <v>1</v>
      </c>
      <c r="I158" s="5" t="str">
        <f>IFERROR(_xlfn.XLOOKUP(H158,Area!A:A,Area!B:B),"")</f>
        <v>1칸</v>
      </c>
      <c r="K158" t="str">
        <f>IFERROR(_xlfn.XLOOKUP(H158,Area!A:A,Area!H:H),"")</f>
        <v>Skill_Area_Icon_Pivot_Centor</v>
      </c>
    </row>
    <row r="159" spans="1:11" x14ac:dyDescent="0.3">
      <c r="A159" s="55">
        <v>2001204</v>
      </c>
      <c r="B159" s="5" t="str" cm="1">
        <f t="array" ref="B159">IF(F159=0,"논타겟 "&amp;I159,
_xlfn.IFS(D159="None","",D159="All","전체",D159="Fire","화속성 ",D159="Water","수속성 ",D159="Forest","목속성 ",D159="Light","광속성 ",D159="Dark","암속성 ",D159="Attacker","공격형 ",D159="Defender","방어형 ",D159="Supporter","지원형 ",D159="Healer","회복형 ",D159="Magician","구속형 ",D159="Dead","죽은 ",D159="Random","무작위 ")
&amp;_xlfn.IFS(E159="Random","무작위",E159="Near","가까운",E159="LowHp","체력 낮은",E159="HighAtk","공격력 높은",E159="HighHp","체력 높은",E159="LowAtk","공격력 낮은",E159="None","")&amp;_xlfn.IFS(C159="Ally"," 아군",C159="Enemy"," 적",C159="Mine"," 자신",C159="None"," 없음")&amp;" "&amp;F159&amp;"명"&amp;" "&amp;IF(I159="1칸","",I159))</f>
        <v xml:space="preserve">수속성 무작위 적 4명 </v>
      </c>
      <c r="C159" s="2" t="s">
        <v>49</v>
      </c>
      <c r="D159" s="2" t="s">
        <v>22</v>
      </c>
      <c r="E159" s="2" t="s">
        <v>57</v>
      </c>
      <c r="F159" s="2">
        <v>4</v>
      </c>
      <c r="G159" s="39" t="s">
        <v>38</v>
      </c>
      <c r="H159" s="39">
        <v>1</v>
      </c>
      <c r="I159" s="5" t="str">
        <f>IFERROR(_xlfn.XLOOKUP(H159,Area!A:A,Area!B:B),"")</f>
        <v>1칸</v>
      </c>
      <c r="K159" t="str">
        <f>IFERROR(_xlfn.XLOOKUP(H159,Area!A:A,Area!H:H),"")</f>
        <v>Skill_Area_Icon_Pivot_Centor</v>
      </c>
    </row>
    <row r="160" spans="1:11" x14ac:dyDescent="0.3">
      <c r="A160" s="55">
        <v>2001205</v>
      </c>
      <c r="B160" s="5" t="str" cm="1">
        <f t="array" ref="B160">IF(F160=0,"논타겟 "&amp;I160,
_xlfn.IFS(D160="None","",D160="All","전체",D160="Fire","화속성 ",D160="Water","수속성 ",D160="Forest","목속성 ",D160="Light","광속성 ",D160="Dark","암속성 ",D160="Attacker","공격형 ",D160="Defender","방어형 ",D160="Supporter","지원형 ",D160="Healer","회복형 ",D160="Magician","구속형 ",D160="Dead","죽은 ",D160="Random","무작위 ")
&amp;_xlfn.IFS(E160="Random","무작위",E160="Near","가까운",E160="LowHp","체력 낮은",E160="HighAtk","공격력 높은",E160="HighHp","체력 높은",E160="LowAtk","공격력 낮은",E160="None","")&amp;_xlfn.IFS(C160="Ally"," 아군",C160="Enemy"," 적",C160="Mine"," 자신",C160="None"," 없음")&amp;" "&amp;F160&amp;"명"&amp;" "&amp;IF(I160="1칸","",I160))</f>
        <v xml:space="preserve">수속성 무작위 적 5명 </v>
      </c>
      <c r="C160" s="2" t="s">
        <v>49</v>
      </c>
      <c r="D160" s="2" t="s">
        <v>22</v>
      </c>
      <c r="E160" s="2" t="s">
        <v>57</v>
      </c>
      <c r="F160" s="2">
        <v>5</v>
      </c>
      <c r="G160" s="39" t="s">
        <v>38</v>
      </c>
      <c r="H160" s="39">
        <v>1</v>
      </c>
      <c r="I160" s="5" t="str">
        <f>IFERROR(_xlfn.XLOOKUP(H160,Area!A:A,Area!B:B),"")</f>
        <v>1칸</v>
      </c>
      <c r="K160" t="str">
        <f>IFERROR(_xlfn.XLOOKUP(H160,Area!A:A,Area!H:H),"")</f>
        <v>Skill_Area_Icon_Pivot_Centor</v>
      </c>
    </row>
    <row r="161" spans="1:11" x14ac:dyDescent="0.3">
      <c r="A161" s="55">
        <v>2001209</v>
      </c>
      <c r="B161" s="5" t="str" cm="1">
        <f t="array" ref="B161">IF(F161=0,"논타겟 "&amp;I161,
_xlfn.IFS(D161="None","",D161="All","전체",D161="Fire","화속성 ",D161="Water","수속성 ",D161="Forest","목속성 ",D161="Light","광속성 ",D161="Dark","암속성 ",D161="Attacker","공격형 ",D161="Defender","방어형 ",D161="Supporter","지원형 ",D161="Healer","회복형 ",D161="Magician","구속형 ",D161="Dead","죽은 ",D161="Random","무작위 ")
&amp;_xlfn.IFS(E161="Random","무작위",E161="Near","가까운",E161="LowHp","체력 낮은",E161="HighAtk","공격력 높은",E161="HighHp","체력 높은",E161="LowAtk","공격력 낮은",E161="None","")&amp;_xlfn.IFS(C161="Ally"," 아군",C161="Enemy"," 적",C161="Mine"," 자신",C161="None"," 없음")&amp;" "&amp;F161&amp;"명"&amp;" "&amp;IF(I161="1칸","",I161))</f>
        <v>수속성 무작위 적 1명 9칸</v>
      </c>
      <c r="C161" s="2" t="s">
        <v>49</v>
      </c>
      <c r="D161" s="2" t="s">
        <v>22</v>
      </c>
      <c r="E161" s="2" t="s">
        <v>57</v>
      </c>
      <c r="F161" s="2">
        <v>1</v>
      </c>
      <c r="G161" s="39" t="s">
        <v>38</v>
      </c>
      <c r="H161" s="39">
        <v>2</v>
      </c>
      <c r="I161" s="5" t="str">
        <f>IFERROR(_xlfn.XLOOKUP(H161,Area!A:A,Area!B:B),"")</f>
        <v>9칸</v>
      </c>
      <c r="K161" t="str">
        <f>IFERROR(_xlfn.XLOOKUP(H161,Area!A:A,Area!H:H),"")</f>
        <v>Skill_Area_Icon_Pivot_All</v>
      </c>
    </row>
    <row r="162" spans="1:11" x14ac:dyDescent="0.3">
      <c r="A162" s="55">
        <v>2001301</v>
      </c>
      <c r="B162" s="5" t="str" cm="1">
        <f t="array" ref="B162">IF(F162=0,"논타겟 "&amp;I162,
_xlfn.IFS(D162="None","",D162="All","전체",D162="Fire","화속성 ",D162="Water","수속성 ",D162="Forest","목속성 ",D162="Light","광속성 ",D162="Dark","암속성 ",D162="Attacker","공격형 ",D162="Defender","방어형 ",D162="Supporter","지원형 ",D162="Healer","회복형 ",D162="Magician","구속형 ",D162="Dead","죽은 ",D162="Random","무작위 ")
&amp;_xlfn.IFS(E162="Random","무작위",E162="Near","가까운",E162="LowHp","체력 낮은",E162="HighAtk","공격력 높은",E162="HighHp","체력 높은",E162="LowAtk","공격력 낮은",E162="None","")&amp;_xlfn.IFS(C162="Ally"," 아군",C162="Enemy"," 적",C162="Mine"," 자신",C162="None"," 없음")&amp;" "&amp;F162&amp;"명"&amp;" "&amp;IF(I162="1칸","",I162))</f>
        <v xml:space="preserve">목속성 무작위 적 1명 </v>
      </c>
      <c r="C162" s="2" t="s">
        <v>49</v>
      </c>
      <c r="D162" s="2" t="s">
        <v>68</v>
      </c>
      <c r="E162" s="2" t="s">
        <v>216</v>
      </c>
      <c r="F162" s="2">
        <v>1</v>
      </c>
      <c r="G162" s="39" t="s">
        <v>38</v>
      </c>
      <c r="H162" s="39">
        <v>1</v>
      </c>
      <c r="I162" s="5" t="str">
        <f>IFERROR(_xlfn.XLOOKUP(H162,Area!A:A,Area!B:B),"")</f>
        <v>1칸</v>
      </c>
      <c r="K162" t="str">
        <f>IFERROR(_xlfn.XLOOKUP(H162,Area!A:A,Area!H:H),"")</f>
        <v>Skill_Area_Icon_Pivot_Centor</v>
      </c>
    </row>
    <row r="163" spans="1:11" x14ac:dyDescent="0.3">
      <c r="A163" s="55">
        <v>2001302</v>
      </c>
      <c r="B163" s="5" t="str" cm="1">
        <f t="array" ref="B163">IF(F163=0,"논타겟 "&amp;I163,
_xlfn.IFS(D163="None","",D163="All","전체",D163="Fire","화속성 ",D163="Water","수속성 ",D163="Forest","목속성 ",D163="Light","광속성 ",D163="Dark","암속성 ",D163="Attacker","공격형 ",D163="Defender","방어형 ",D163="Supporter","지원형 ",D163="Healer","회복형 ",D163="Magician","구속형 ",D163="Dead","죽은 ",D163="Random","무작위 ")
&amp;_xlfn.IFS(E163="Random","무작위",E163="Near","가까운",E163="LowHp","체력 낮은",E163="HighAtk","공격력 높은",E163="HighHp","체력 높은",E163="LowAtk","공격력 낮은",E163="None","")&amp;_xlfn.IFS(C163="Ally"," 아군",C163="Enemy"," 적",C163="Mine"," 자신",C163="None"," 없음")&amp;" "&amp;F163&amp;"명"&amp;" "&amp;IF(I163="1칸","",I163))</f>
        <v xml:space="preserve">목속성 무작위 적 2명 </v>
      </c>
      <c r="C163" s="2" t="s">
        <v>49</v>
      </c>
      <c r="D163" s="2" t="s">
        <v>68</v>
      </c>
      <c r="E163" s="2" t="s">
        <v>216</v>
      </c>
      <c r="F163" s="2">
        <v>2</v>
      </c>
      <c r="G163" s="39" t="s">
        <v>38</v>
      </c>
      <c r="H163" s="39">
        <v>1</v>
      </c>
      <c r="I163" s="5" t="str">
        <f>IFERROR(_xlfn.XLOOKUP(H163,Area!A:A,Area!B:B),"")</f>
        <v>1칸</v>
      </c>
      <c r="K163" t="str">
        <f>IFERROR(_xlfn.XLOOKUP(H163,Area!A:A,Area!H:H),"")</f>
        <v>Skill_Area_Icon_Pivot_Centor</v>
      </c>
    </row>
    <row r="164" spans="1:11" x14ac:dyDescent="0.3">
      <c r="A164" s="55">
        <v>2001303</v>
      </c>
      <c r="B164" s="5" t="str" cm="1">
        <f t="array" ref="B164">IF(F164=0,"논타겟 "&amp;I164,
_xlfn.IFS(D164="None","",D164="All","전체",D164="Fire","화속성 ",D164="Water","수속성 ",D164="Forest","목속성 ",D164="Light","광속성 ",D164="Dark","암속성 ",D164="Attacker","공격형 ",D164="Defender","방어형 ",D164="Supporter","지원형 ",D164="Healer","회복형 ",D164="Magician","구속형 ",D164="Dead","죽은 ",D164="Random","무작위 ")
&amp;_xlfn.IFS(E164="Random","무작위",E164="Near","가까운",E164="LowHp","체력 낮은",E164="HighAtk","공격력 높은",E164="HighHp","체력 높은",E164="LowAtk","공격력 낮은",E164="None","")&amp;_xlfn.IFS(C164="Ally"," 아군",C164="Enemy"," 적",C164="Mine"," 자신",C164="None"," 없음")&amp;" "&amp;F164&amp;"명"&amp;" "&amp;IF(I164="1칸","",I164))</f>
        <v xml:space="preserve">목속성 무작위 적 3명 </v>
      </c>
      <c r="C164" s="2" t="s">
        <v>49</v>
      </c>
      <c r="D164" s="2" t="s">
        <v>68</v>
      </c>
      <c r="E164" s="2" t="s">
        <v>216</v>
      </c>
      <c r="F164" s="2">
        <v>3</v>
      </c>
      <c r="G164" s="39" t="s">
        <v>38</v>
      </c>
      <c r="H164" s="39">
        <v>1</v>
      </c>
      <c r="I164" s="5" t="str">
        <f>IFERROR(_xlfn.XLOOKUP(H164,Area!A:A,Area!B:B),"")</f>
        <v>1칸</v>
      </c>
      <c r="K164" t="str">
        <f>IFERROR(_xlfn.XLOOKUP(H164,Area!A:A,Area!H:H),"")</f>
        <v>Skill_Area_Icon_Pivot_Centor</v>
      </c>
    </row>
    <row r="165" spans="1:11" x14ac:dyDescent="0.3">
      <c r="A165" s="55">
        <v>2001304</v>
      </c>
      <c r="B165" s="5" t="str" cm="1">
        <f t="array" ref="B165">IF(F165=0,"논타겟 "&amp;I165,
_xlfn.IFS(D165="None","",D165="All","전체",D165="Fire","화속성 ",D165="Water","수속성 ",D165="Forest","목속성 ",D165="Light","광속성 ",D165="Dark","암속성 ",D165="Attacker","공격형 ",D165="Defender","방어형 ",D165="Supporter","지원형 ",D165="Healer","회복형 ",D165="Magician","구속형 ",D165="Dead","죽은 ",D165="Random","무작위 ")
&amp;_xlfn.IFS(E165="Random","무작위",E165="Near","가까운",E165="LowHp","체력 낮은",E165="HighAtk","공격력 높은",E165="HighHp","체력 높은",E165="LowAtk","공격력 낮은",E165="None","")&amp;_xlfn.IFS(C165="Ally"," 아군",C165="Enemy"," 적",C165="Mine"," 자신",C165="None"," 없음")&amp;" "&amp;F165&amp;"명"&amp;" "&amp;IF(I165="1칸","",I165))</f>
        <v xml:space="preserve">목속성 무작위 적 4명 </v>
      </c>
      <c r="C165" s="2" t="s">
        <v>49</v>
      </c>
      <c r="D165" s="2" t="s">
        <v>68</v>
      </c>
      <c r="E165" s="2" t="s">
        <v>57</v>
      </c>
      <c r="F165" s="2">
        <v>4</v>
      </c>
      <c r="G165" s="39" t="s">
        <v>38</v>
      </c>
      <c r="H165" s="39">
        <v>1</v>
      </c>
      <c r="I165" s="5" t="str">
        <f>IFERROR(_xlfn.XLOOKUP(H165,Area!A:A,Area!B:B),"")</f>
        <v>1칸</v>
      </c>
      <c r="K165" t="str">
        <f>IFERROR(_xlfn.XLOOKUP(H165,Area!A:A,Area!H:H),"")</f>
        <v>Skill_Area_Icon_Pivot_Centor</v>
      </c>
    </row>
    <row r="166" spans="1:11" x14ac:dyDescent="0.3">
      <c r="A166" s="55">
        <v>2001305</v>
      </c>
      <c r="B166" s="5" t="str" cm="1">
        <f t="array" ref="B166">IF(F166=0,"논타겟 "&amp;I166,
_xlfn.IFS(D166="None","",D166="All","전체",D166="Fire","화속성 ",D166="Water","수속성 ",D166="Forest","목속성 ",D166="Light","광속성 ",D166="Dark","암속성 ",D166="Attacker","공격형 ",D166="Defender","방어형 ",D166="Supporter","지원형 ",D166="Healer","회복형 ",D166="Magician","구속형 ",D166="Dead","죽은 ",D166="Random","무작위 ")
&amp;_xlfn.IFS(E166="Random","무작위",E166="Near","가까운",E166="LowHp","체력 낮은",E166="HighAtk","공격력 높은",E166="HighHp","체력 높은",E166="LowAtk","공격력 낮은",E166="None","")&amp;_xlfn.IFS(C166="Ally"," 아군",C166="Enemy"," 적",C166="Mine"," 자신",C166="None"," 없음")&amp;" "&amp;F166&amp;"명"&amp;" "&amp;IF(I166="1칸","",I166))</f>
        <v xml:space="preserve">목속성 무작위 적 5명 </v>
      </c>
      <c r="C166" s="2" t="s">
        <v>49</v>
      </c>
      <c r="D166" s="2" t="s">
        <v>68</v>
      </c>
      <c r="E166" s="2" t="s">
        <v>57</v>
      </c>
      <c r="F166" s="2">
        <v>5</v>
      </c>
      <c r="G166" s="39" t="s">
        <v>38</v>
      </c>
      <c r="H166" s="39">
        <v>1</v>
      </c>
      <c r="I166" s="5" t="str">
        <f>IFERROR(_xlfn.XLOOKUP(H166,Area!A:A,Area!B:B),"")</f>
        <v>1칸</v>
      </c>
      <c r="K166" t="str">
        <f>IFERROR(_xlfn.XLOOKUP(H166,Area!A:A,Area!H:H),"")</f>
        <v>Skill_Area_Icon_Pivot_Centor</v>
      </c>
    </row>
    <row r="167" spans="1:11" x14ac:dyDescent="0.3">
      <c r="A167" s="55">
        <v>2001309</v>
      </c>
      <c r="B167" s="5" t="str" cm="1">
        <f t="array" ref="B167">IF(F167=0,"논타겟 "&amp;I167,
_xlfn.IFS(D167="None","",D167="All","전체",D167="Fire","화속성 ",D167="Water","수속성 ",D167="Forest","목속성 ",D167="Light","광속성 ",D167="Dark","암속성 ",D167="Attacker","공격형 ",D167="Defender","방어형 ",D167="Supporter","지원형 ",D167="Healer","회복형 ",D167="Magician","구속형 ",D167="Dead","죽은 ",D167="Random","무작위 ")
&amp;_xlfn.IFS(E167="Random","무작위",E167="Near","가까운",E167="LowHp","체력 낮은",E167="HighAtk","공격력 높은",E167="HighHp","체력 높은",E167="LowAtk","공격력 낮은",E167="None","")&amp;_xlfn.IFS(C167="Ally"," 아군",C167="Enemy"," 적",C167="Mine"," 자신",C167="None"," 없음")&amp;" "&amp;F167&amp;"명"&amp;" "&amp;IF(I167="1칸","",I167))</f>
        <v>목속성 무작위 적 1명 9칸</v>
      </c>
      <c r="C167" s="2" t="s">
        <v>49</v>
      </c>
      <c r="D167" s="2" t="s">
        <v>68</v>
      </c>
      <c r="E167" s="2" t="s">
        <v>57</v>
      </c>
      <c r="F167" s="2">
        <v>1</v>
      </c>
      <c r="G167" s="39" t="s">
        <v>38</v>
      </c>
      <c r="H167" s="39">
        <v>2</v>
      </c>
      <c r="I167" s="5" t="str">
        <f>IFERROR(_xlfn.XLOOKUP(H167,Area!A:A,Area!B:B),"")</f>
        <v>9칸</v>
      </c>
      <c r="K167" t="str">
        <f>IFERROR(_xlfn.XLOOKUP(H167,Area!A:A,Area!H:H),"")</f>
        <v>Skill_Area_Icon_Pivot_All</v>
      </c>
    </row>
    <row r="168" spans="1:11" x14ac:dyDescent="0.3">
      <c r="A168" s="55">
        <v>2001401</v>
      </c>
      <c r="B168" s="5" t="str" cm="1">
        <f t="array" ref="B168">IF(F168=0,"논타겟 "&amp;I168,
_xlfn.IFS(D168="None","",D168="All","전체",D168="Fire","화속성 ",D168="Water","수속성 ",D168="Forest","목속성 ",D168="Light","광속성 ",D168="Dark","암속성 ",D168="Attacker","공격형 ",D168="Defender","방어형 ",D168="Supporter","지원형 ",D168="Healer","회복형 ",D168="Magician","구속형 ",D168="Dead","죽은 ",D168="Random","무작위 ")
&amp;_xlfn.IFS(E168="Random","무작위",E168="Near","가까운",E168="LowHp","체력 낮은",E168="HighAtk","공격력 높은",E168="HighHp","체력 높은",E168="LowAtk","공격력 낮은",E168="None","")&amp;_xlfn.IFS(C168="Ally"," 아군",C168="Enemy"," 적",C168="Mine"," 자신",C168="None"," 없음")&amp;" "&amp;F168&amp;"명"&amp;" "&amp;IF(I168="1칸","",I168))</f>
        <v xml:space="preserve">광속성 무작위 적 1명 </v>
      </c>
      <c r="C168" s="2" t="s">
        <v>49</v>
      </c>
      <c r="D168" s="2" t="s">
        <v>21</v>
      </c>
      <c r="E168" s="2" t="s">
        <v>216</v>
      </c>
      <c r="F168" s="2">
        <v>1</v>
      </c>
      <c r="G168" s="39" t="s">
        <v>38</v>
      </c>
      <c r="H168" s="39">
        <v>1</v>
      </c>
      <c r="I168" s="5" t="str">
        <f>IFERROR(_xlfn.XLOOKUP(H168,Area!A:A,Area!B:B),"")</f>
        <v>1칸</v>
      </c>
      <c r="K168" t="str">
        <f>IFERROR(_xlfn.XLOOKUP(H168,Area!A:A,Area!H:H),"")</f>
        <v>Skill_Area_Icon_Pivot_Centor</v>
      </c>
    </row>
    <row r="169" spans="1:11" x14ac:dyDescent="0.3">
      <c r="A169" s="55">
        <v>2001402</v>
      </c>
      <c r="B169" s="5" t="str" cm="1">
        <f t="array" ref="B169">IF(F169=0,"논타겟 "&amp;I169,
_xlfn.IFS(D169="None","",D169="All","전체",D169="Fire","화속성 ",D169="Water","수속성 ",D169="Forest","목속성 ",D169="Light","광속성 ",D169="Dark","암속성 ",D169="Attacker","공격형 ",D169="Defender","방어형 ",D169="Supporter","지원형 ",D169="Healer","회복형 ",D169="Magician","구속형 ",D169="Dead","죽은 ",D169="Random","무작위 ")
&amp;_xlfn.IFS(E169="Random","무작위",E169="Near","가까운",E169="LowHp","체력 낮은",E169="HighAtk","공격력 높은",E169="HighHp","체력 높은",E169="LowAtk","공격력 낮은",E169="None","")&amp;_xlfn.IFS(C169="Ally"," 아군",C169="Enemy"," 적",C169="Mine"," 자신",C169="None"," 없음")&amp;" "&amp;F169&amp;"명"&amp;" "&amp;IF(I169="1칸","",I169))</f>
        <v xml:space="preserve">광속성 무작위 적 2명 </v>
      </c>
      <c r="C169" s="2" t="s">
        <v>49</v>
      </c>
      <c r="D169" s="2" t="s">
        <v>21</v>
      </c>
      <c r="E169" s="2" t="s">
        <v>216</v>
      </c>
      <c r="F169" s="2">
        <v>2</v>
      </c>
      <c r="G169" s="39" t="s">
        <v>38</v>
      </c>
      <c r="H169" s="39">
        <v>1</v>
      </c>
      <c r="I169" s="5" t="str">
        <f>IFERROR(_xlfn.XLOOKUP(H169,Area!A:A,Area!B:B),"")</f>
        <v>1칸</v>
      </c>
      <c r="K169" t="str">
        <f>IFERROR(_xlfn.XLOOKUP(H169,Area!A:A,Area!H:H),"")</f>
        <v>Skill_Area_Icon_Pivot_Centor</v>
      </c>
    </row>
    <row r="170" spans="1:11" x14ac:dyDescent="0.3">
      <c r="A170" s="55">
        <v>2001403</v>
      </c>
      <c r="B170" s="5" t="str" cm="1">
        <f t="array" ref="B170">IF(F170=0,"논타겟 "&amp;I170,
_xlfn.IFS(D170="None","",D170="All","전체",D170="Fire","화속성 ",D170="Water","수속성 ",D170="Forest","목속성 ",D170="Light","광속성 ",D170="Dark","암속성 ",D170="Attacker","공격형 ",D170="Defender","방어형 ",D170="Supporter","지원형 ",D170="Healer","회복형 ",D170="Magician","구속형 ",D170="Dead","죽은 ",D170="Random","무작위 ")
&amp;_xlfn.IFS(E170="Random","무작위",E170="Near","가까운",E170="LowHp","체력 낮은",E170="HighAtk","공격력 높은",E170="HighHp","체력 높은",E170="LowAtk","공격력 낮은",E170="None","")&amp;_xlfn.IFS(C170="Ally"," 아군",C170="Enemy"," 적",C170="Mine"," 자신",C170="None"," 없음")&amp;" "&amp;F170&amp;"명"&amp;" "&amp;IF(I170="1칸","",I170))</f>
        <v xml:space="preserve">광속성 무작위 적 3명 </v>
      </c>
      <c r="C170" s="2" t="s">
        <v>49</v>
      </c>
      <c r="D170" s="2" t="s">
        <v>21</v>
      </c>
      <c r="E170" s="2" t="s">
        <v>216</v>
      </c>
      <c r="F170" s="2">
        <v>3</v>
      </c>
      <c r="G170" s="39" t="s">
        <v>38</v>
      </c>
      <c r="H170" s="39">
        <v>1</v>
      </c>
      <c r="I170" s="5" t="str">
        <f>IFERROR(_xlfn.XLOOKUP(H170,Area!A:A,Area!B:B),"")</f>
        <v>1칸</v>
      </c>
      <c r="K170" t="str">
        <f>IFERROR(_xlfn.XLOOKUP(H170,Area!A:A,Area!H:H),"")</f>
        <v>Skill_Area_Icon_Pivot_Centor</v>
      </c>
    </row>
    <row r="171" spans="1:11" x14ac:dyDescent="0.3">
      <c r="A171" s="55">
        <v>2001404</v>
      </c>
      <c r="B171" s="5" t="str" cm="1">
        <f t="array" ref="B171">IF(F171=0,"논타겟 "&amp;I171,
_xlfn.IFS(D171="None","",D171="All","전체",D171="Fire","화속성 ",D171="Water","수속성 ",D171="Forest","목속성 ",D171="Light","광속성 ",D171="Dark","암속성 ",D171="Attacker","공격형 ",D171="Defender","방어형 ",D171="Supporter","지원형 ",D171="Healer","회복형 ",D171="Magician","구속형 ",D171="Dead","죽은 ",D171="Random","무작위 ")
&amp;_xlfn.IFS(E171="Random","무작위",E171="Near","가까운",E171="LowHp","체력 낮은",E171="HighAtk","공격력 높은",E171="HighHp","체력 높은",E171="LowAtk","공격력 낮은",E171="None","")&amp;_xlfn.IFS(C171="Ally"," 아군",C171="Enemy"," 적",C171="Mine"," 자신",C171="None"," 없음")&amp;" "&amp;F171&amp;"명"&amp;" "&amp;IF(I171="1칸","",I171))</f>
        <v xml:space="preserve">광속성 무작위 적 4명 </v>
      </c>
      <c r="C171" s="2" t="s">
        <v>49</v>
      </c>
      <c r="D171" s="2" t="s">
        <v>21</v>
      </c>
      <c r="E171" s="2" t="s">
        <v>57</v>
      </c>
      <c r="F171" s="2">
        <v>4</v>
      </c>
      <c r="G171" s="39" t="s">
        <v>38</v>
      </c>
      <c r="H171" s="39">
        <v>1</v>
      </c>
      <c r="I171" s="5" t="str">
        <f>IFERROR(_xlfn.XLOOKUP(H171,Area!A:A,Area!B:B),"")</f>
        <v>1칸</v>
      </c>
      <c r="K171" t="str">
        <f>IFERROR(_xlfn.XLOOKUP(H171,Area!A:A,Area!H:H),"")</f>
        <v>Skill_Area_Icon_Pivot_Centor</v>
      </c>
    </row>
    <row r="172" spans="1:11" x14ac:dyDescent="0.3">
      <c r="A172" s="55">
        <v>2001405</v>
      </c>
      <c r="B172" s="5" t="str" cm="1">
        <f t="array" ref="B172">IF(F172=0,"논타겟 "&amp;I172,
_xlfn.IFS(D172="None","",D172="All","전체",D172="Fire","화속성 ",D172="Water","수속성 ",D172="Forest","목속성 ",D172="Light","광속성 ",D172="Dark","암속성 ",D172="Attacker","공격형 ",D172="Defender","방어형 ",D172="Supporter","지원형 ",D172="Healer","회복형 ",D172="Magician","구속형 ",D172="Dead","죽은 ",D172="Random","무작위 ")
&amp;_xlfn.IFS(E172="Random","무작위",E172="Near","가까운",E172="LowHp","체력 낮은",E172="HighAtk","공격력 높은",E172="HighHp","체력 높은",E172="LowAtk","공격력 낮은",E172="None","")&amp;_xlfn.IFS(C172="Ally"," 아군",C172="Enemy"," 적",C172="Mine"," 자신",C172="None"," 없음")&amp;" "&amp;F172&amp;"명"&amp;" "&amp;IF(I172="1칸","",I172))</f>
        <v xml:space="preserve">광속성 무작위 적 5명 </v>
      </c>
      <c r="C172" s="2" t="s">
        <v>49</v>
      </c>
      <c r="D172" s="2" t="s">
        <v>21</v>
      </c>
      <c r="E172" s="2" t="s">
        <v>57</v>
      </c>
      <c r="F172" s="2">
        <v>5</v>
      </c>
      <c r="G172" s="39" t="s">
        <v>38</v>
      </c>
      <c r="H172" s="39">
        <v>1</v>
      </c>
      <c r="I172" s="5" t="str">
        <f>IFERROR(_xlfn.XLOOKUP(H172,Area!A:A,Area!B:B),"")</f>
        <v>1칸</v>
      </c>
      <c r="K172" t="str">
        <f>IFERROR(_xlfn.XLOOKUP(H172,Area!A:A,Area!H:H),"")</f>
        <v>Skill_Area_Icon_Pivot_Centor</v>
      </c>
    </row>
    <row r="173" spans="1:11" x14ac:dyDescent="0.3">
      <c r="A173" s="55">
        <v>2001409</v>
      </c>
      <c r="B173" s="5" t="str" cm="1">
        <f t="array" ref="B173">IF(F173=0,"논타겟 "&amp;I173,
_xlfn.IFS(D173="None","",D173="All","전체",D173="Fire","화속성 ",D173="Water","수속성 ",D173="Forest","목속성 ",D173="Light","광속성 ",D173="Dark","암속성 ",D173="Attacker","공격형 ",D173="Defender","방어형 ",D173="Supporter","지원형 ",D173="Healer","회복형 ",D173="Magician","구속형 ",D173="Dead","죽은 ",D173="Random","무작위 ")
&amp;_xlfn.IFS(E173="Random","무작위",E173="Near","가까운",E173="LowHp","체력 낮은",E173="HighAtk","공격력 높은",E173="HighHp","체력 높은",E173="LowAtk","공격력 낮은",E173="None","")&amp;_xlfn.IFS(C173="Ally"," 아군",C173="Enemy"," 적",C173="Mine"," 자신",C173="None"," 없음")&amp;" "&amp;F173&amp;"명"&amp;" "&amp;IF(I173="1칸","",I173))</f>
        <v>광속성 무작위 적 1명 9칸</v>
      </c>
      <c r="C173" s="2" t="s">
        <v>49</v>
      </c>
      <c r="D173" s="2" t="s">
        <v>21</v>
      </c>
      <c r="E173" s="2" t="s">
        <v>57</v>
      </c>
      <c r="F173" s="2">
        <v>1</v>
      </c>
      <c r="G173" s="39" t="s">
        <v>38</v>
      </c>
      <c r="H173" s="39">
        <v>2</v>
      </c>
      <c r="I173" s="5" t="str">
        <f>IFERROR(_xlfn.XLOOKUP(H173,Area!A:A,Area!B:B),"")</f>
        <v>9칸</v>
      </c>
      <c r="K173" t="str">
        <f>IFERROR(_xlfn.XLOOKUP(H173,Area!A:A,Area!H:H),"")</f>
        <v>Skill_Area_Icon_Pivot_All</v>
      </c>
    </row>
    <row r="174" spans="1:11" x14ac:dyDescent="0.3">
      <c r="A174" s="55">
        <v>2001501</v>
      </c>
      <c r="B174" s="5" t="str" cm="1">
        <f t="array" ref="B174">IF(F174=0,"논타겟 "&amp;I174,
_xlfn.IFS(D174="None","",D174="All","전체",D174="Fire","화속성 ",D174="Water","수속성 ",D174="Forest","목속성 ",D174="Light","광속성 ",D174="Dark","암속성 ",D174="Attacker","공격형 ",D174="Defender","방어형 ",D174="Supporter","지원형 ",D174="Healer","회복형 ",D174="Magician","구속형 ",D174="Dead","죽은 ",D174="Random","무작위 ")
&amp;_xlfn.IFS(E174="Random","무작위",E174="Near","가까운",E174="LowHp","체력 낮은",E174="HighAtk","공격력 높은",E174="HighHp","체력 높은",E174="LowAtk","공격력 낮은",E174="None","")&amp;_xlfn.IFS(C174="Ally"," 아군",C174="Enemy"," 적",C174="Mine"," 자신",C174="None"," 없음")&amp;" "&amp;F174&amp;"명"&amp;" "&amp;IF(I174="1칸","",I174))</f>
        <v xml:space="preserve">암속성 무작위 적 1명 </v>
      </c>
      <c r="C174" s="2" t="s">
        <v>49</v>
      </c>
      <c r="D174" s="2" t="s">
        <v>69</v>
      </c>
      <c r="E174" s="2" t="s">
        <v>216</v>
      </c>
      <c r="F174" s="2">
        <v>1</v>
      </c>
      <c r="G174" s="39" t="s">
        <v>38</v>
      </c>
      <c r="H174" s="39">
        <v>1</v>
      </c>
      <c r="I174" s="5" t="str">
        <f>IFERROR(_xlfn.XLOOKUP(H174,Area!A:A,Area!B:B),"")</f>
        <v>1칸</v>
      </c>
      <c r="K174" t="str">
        <f>IFERROR(_xlfn.XLOOKUP(H174,Area!A:A,Area!H:H),"")</f>
        <v>Skill_Area_Icon_Pivot_Centor</v>
      </c>
    </row>
    <row r="175" spans="1:11" x14ac:dyDescent="0.3">
      <c r="A175" s="55">
        <v>2001502</v>
      </c>
      <c r="B175" s="5" t="str" cm="1">
        <f t="array" ref="B175">IF(F175=0,"논타겟 "&amp;I175,
_xlfn.IFS(D175="None","",D175="All","전체",D175="Fire","화속성 ",D175="Water","수속성 ",D175="Forest","목속성 ",D175="Light","광속성 ",D175="Dark","암속성 ",D175="Attacker","공격형 ",D175="Defender","방어형 ",D175="Supporter","지원형 ",D175="Healer","회복형 ",D175="Magician","구속형 ",D175="Dead","죽은 ",D175="Random","무작위 ")
&amp;_xlfn.IFS(E175="Random","무작위",E175="Near","가까운",E175="LowHp","체력 낮은",E175="HighAtk","공격력 높은",E175="HighHp","체력 높은",E175="LowAtk","공격력 낮은",E175="None","")&amp;_xlfn.IFS(C175="Ally"," 아군",C175="Enemy"," 적",C175="Mine"," 자신",C175="None"," 없음")&amp;" "&amp;F175&amp;"명"&amp;" "&amp;IF(I175="1칸","",I175))</f>
        <v xml:space="preserve">암속성 무작위 적 2명 </v>
      </c>
      <c r="C175" s="2" t="s">
        <v>49</v>
      </c>
      <c r="D175" s="2" t="s">
        <v>69</v>
      </c>
      <c r="E175" s="2" t="s">
        <v>216</v>
      </c>
      <c r="F175" s="2">
        <v>2</v>
      </c>
      <c r="G175" s="39" t="s">
        <v>38</v>
      </c>
      <c r="H175" s="39">
        <v>1</v>
      </c>
      <c r="I175" s="5" t="str">
        <f>IFERROR(_xlfn.XLOOKUP(H175,Area!A:A,Area!B:B),"")</f>
        <v>1칸</v>
      </c>
      <c r="K175" t="str">
        <f>IFERROR(_xlfn.XLOOKUP(H175,Area!A:A,Area!H:H),"")</f>
        <v>Skill_Area_Icon_Pivot_Centor</v>
      </c>
    </row>
    <row r="176" spans="1:11" x14ac:dyDescent="0.3">
      <c r="A176" s="55">
        <v>2001503</v>
      </c>
      <c r="B176" s="5" t="str" cm="1">
        <f t="array" ref="B176">IF(F176=0,"논타겟 "&amp;I176,
_xlfn.IFS(D176="None","",D176="All","전체",D176="Fire","화속성 ",D176="Water","수속성 ",D176="Forest","목속성 ",D176="Light","광속성 ",D176="Dark","암속성 ",D176="Attacker","공격형 ",D176="Defender","방어형 ",D176="Supporter","지원형 ",D176="Healer","회복형 ",D176="Magician","구속형 ",D176="Dead","죽은 ",D176="Random","무작위 ")
&amp;_xlfn.IFS(E176="Random","무작위",E176="Near","가까운",E176="LowHp","체력 낮은",E176="HighAtk","공격력 높은",E176="HighHp","체력 높은",E176="LowAtk","공격력 낮은",E176="None","")&amp;_xlfn.IFS(C176="Ally"," 아군",C176="Enemy"," 적",C176="Mine"," 자신",C176="None"," 없음")&amp;" "&amp;F176&amp;"명"&amp;" "&amp;IF(I176="1칸","",I176))</f>
        <v xml:space="preserve">암속성 무작위 적 3명 </v>
      </c>
      <c r="C176" s="2" t="s">
        <v>49</v>
      </c>
      <c r="D176" s="2" t="s">
        <v>69</v>
      </c>
      <c r="E176" s="2" t="s">
        <v>216</v>
      </c>
      <c r="F176" s="2">
        <v>3</v>
      </c>
      <c r="G176" s="39" t="s">
        <v>38</v>
      </c>
      <c r="H176" s="39">
        <v>1</v>
      </c>
      <c r="I176" s="5" t="str">
        <f>IFERROR(_xlfn.XLOOKUP(H176,Area!A:A,Area!B:B),"")</f>
        <v>1칸</v>
      </c>
      <c r="K176" t="str">
        <f>IFERROR(_xlfn.XLOOKUP(H176,Area!A:A,Area!H:H),"")</f>
        <v>Skill_Area_Icon_Pivot_Centor</v>
      </c>
    </row>
    <row r="177" spans="1:11" x14ac:dyDescent="0.3">
      <c r="A177" s="55">
        <v>2001504</v>
      </c>
      <c r="B177" s="5" t="str" cm="1">
        <f t="array" ref="B177">IF(F177=0,"논타겟 "&amp;I177,
_xlfn.IFS(D177="None","",D177="All","전체",D177="Fire","화속성 ",D177="Water","수속성 ",D177="Forest","목속성 ",D177="Light","광속성 ",D177="Dark","암속성 ",D177="Attacker","공격형 ",D177="Defender","방어형 ",D177="Supporter","지원형 ",D177="Healer","회복형 ",D177="Magician","구속형 ",D177="Dead","죽은 ",D177="Random","무작위 ")
&amp;_xlfn.IFS(E177="Random","무작위",E177="Near","가까운",E177="LowHp","체력 낮은",E177="HighAtk","공격력 높은",E177="HighHp","체력 높은",E177="LowAtk","공격력 낮은",E177="None","")&amp;_xlfn.IFS(C177="Ally"," 아군",C177="Enemy"," 적",C177="Mine"," 자신",C177="None"," 없음")&amp;" "&amp;F177&amp;"명"&amp;" "&amp;IF(I177="1칸","",I177))</f>
        <v xml:space="preserve">암속성 무작위 적 4명 </v>
      </c>
      <c r="C177" s="2" t="s">
        <v>49</v>
      </c>
      <c r="D177" s="2" t="s">
        <v>69</v>
      </c>
      <c r="E177" s="2" t="s">
        <v>57</v>
      </c>
      <c r="F177" s="2">
        <v>4</v>
      </c>
      <c r="G177" s="39" t="s">
        <v>38</v>
      </c>
      <c r="H177" s="39">
        <v>1</v>
      </c>
      <c r="I177" s="5" t="str">
        <f>IFERROR(_xlfn.XLOOKUP(H177,Area!A:A,Area!B:B),"")</f>
        <v>1칸</v>
      </c>
      <c r="K177" t="str">
        <f>IFERROR(_xlfn.XLOOKUP(H177,Area!A:A,Area!H:H),"")</f>
        <v>Skill_Area_Icon_Pivot_Centor</v>
      </c>
    </row>
    <row r="178" spans="1:11" x14ac:dyDescent="0.3">
      <c r="A178" s="55">
        <v>2001505</v>
      </c>
      <c r="B178" s="5" t="str" cm="1">
        <f t="array" ref="B178">IF(F178=0,"논타겟 "&amp;I178,
_xlfn.IFS(D178="None","",D178="All","전체",D178="Fire","화속성 ",D178="Water","수속성 ",D178="Forest","목속성 ",D178="Light","광속성 ",D178="Dark","암속성 ",D178="Attacker","공격형 ",D178="Defender","방어형 ",D178="Supporter","지원형 ",D178="Healer","회복형 ",D178="Magician","구속형 ",D178="Dead","죽은 ",D178="Random","무작위 ")
&amp;_xlfn.IFS(E178="Random","무작위",E178="Near","가까운",E178="LowHp","체력 낮은",E178="HighAtk","공격력 높은",E178="HighHp","체력 높은",E178="LowAtk","공격력 낮은",E178="None","")&amp;_xlfn.IFS(C178="Ally"," 아군",C178="Enemy"," 적",C178="Mine"," 자신",C178="None"," 없음")&amp;" "&amp;F178&amp;"명"&amp;" "&amp;IF(I178="1칸","",I178))</f>
        <v xml:space="preserve">암속성 무작위 적 5명 </v>
      </c>
      <c r="C178" s="2" t="s">
        <v>49</v>
      </c>
      <c r="D178" s="2" t="s">
        <v>69</v>
      </c>
      <c r="E178" s="2" t="s">
        <v>57</v>
      </c>
      <c r="F178" s="2">
        <v>5</v>
      </c>
      <c r="G178" s="39" t="s">
        <v>38</v>
      </c>
      <c r="H178" s="39">
        <v>1</v>
      </c>
      <c r="I178" s="5" t="str">
        <f>IFERROR(_xlfn.XLOOKUP(H178,Area!A:A,Area!B:B),"")</f>
        <v>1칸</v>
      </c>
      <c r="K178" t="str">
        <f>IFERROR(_xlfn.XLOOKUP(H178,Area!A:A,Area!H:H),"")</f>
        <v>Skill_Area_Icon_Pivot_Centor</v>
      </c>
    </row>
    <row r="179" spans="1:11" x14ac:dyDescent="0.3">
      <c r="A179" s="55">
        <v>2001509</v>
      </c>
      <c r="B179" s="5" t="str" cm="1">
        <f t="array" ref="B179">IF(F179=0,"논타겟 "&amp;I179,
_xlfn.IFS(D179="None","",D179="All","전체",D179="Fire","화속성 ",D179="Water","수속성 ",D179="Forest","목속성 ",D179="Light","광속성 ",D179="Dark","암속성 ",D179="Attacker","공격형 ",D179="Defender","방어형 ",D179="Supporter","지원형 ",D179="Healer","회복형 ",D179="Magician","구속형 ",D179="Dead","죽은 ",D179="Random","무작위 ")
&amp;_xlfn.IFS(E179="Random","무작위",E179="Near","가까운",E179="LowHp","체력 낮은",E179="HighAtk","공격력 높은",E179="HighHp","체력 높은",E179="LowAtk","공격력 낮은",E179="None","")&amp;_xlfn.IFS(C179="Ally"," 아군",C179="Enemy"," 적",C179="Mine"," 자신",C179="None"," 없음")&amp;" "&amp;F179&amp;"명"&amp;" "&amp;IF(I179="1칸","",I179))</f>
        <v>암속성 무작위 적 1명 9칸</v>
      </c>
      <c r="C179" s="2" t="s">
        <v>49</v>
      </c>
      <c r="D179" s="2" t="s">
        <v>69</v>
      </c>
      <c r="E179" s="2" t="s">
        <v>57</v>
      </c>
      <c r="F179" s="2">
        <v>1</v>
      </c>
      <c r="G179" s="39" t="s">
        <v>38</v>
      </c>
      <c r="H179" s="39">
        <v>2</v>
      </c>
      <c r="I179" s="5" t="str">
        <f>IFERROR(_xlfn.XLOOKUP(H179,Area!A:A,Area!B:B),"")</f>
        <v>9칸</v>
      </c>
      <c r="K179" t="str">
        <f>IFERROR(_xlfn.XLOOKUP(H179,Area!A:A,Area!H:H),"")</f>
        <v>Skill_Area_Icon_Pivot_All</v>
      </c>
    </row>
    <row r="180" spans="1:11" x14ac:dyDescent="0.3">
      <c r="A180" s="55">
        <v>2001601</v>
      </c>
      <c r="B180" s="5" t="str" cm="1">
        <f t="array" ref="B180">IF(F180=0,"논타겟 "&amp;I180,
_xlfn.IFS(D180="None","",D180="All","전체",D180="Fire","화속성 ",D180="Water","수속성 ",D180="Forest","목속성 ",D180="Light","광속성 ",D180="Dark","암속성 ",D180="Attacker","공격형 ",D180="Defender","방어형 ",D180="Supporter","지원형 ",D180="Healer","회복형 ",D180="Magician","구속형 ",D180="Dead","죽은 ",D180="Random","무작위 ")
&amp;_xlfn.IFS(E180="Random","무작위",E180="Near","가까운",E180="LowHp","체력 낮은",E180="HighAtk","공격력 높은",E180="HighHp","체력 높은",E180="LowAtk","공격력 낮은",E180="None","")&amp;_xlfn.IFS(C180="Ally"," 아군",C180="Enemy"," 적",C180="Mine"," 자신",C180="None"," 없음")&amp;" "&amp;F180&amp;"명"&amp;" "&amp;IF(I180="1칸","",I180))</f>
        <v xml:space="preserve">공격형 무작위 적 1명 </v>
      </c>
      <c r="C180" s="2" t="s">
        <v>49</v>
      </c>
      <c r="D180" s="2" t="s">
        <v>24</v>
      </c>
      <c r="E180" s="2" t="s">
        <v>216</v>
      </c>
      <c r="F180" s="2">
        <v>1</v>
      </c>
      <c r="G180" s="39" t="s">
        <v>38</v>
      </c>
      <c r="H180" s="39">
        <v>1</v>
      </c>
      <c r="I180" s="5" t="str">
        <f>IFERROR(_xlfn.XLOOKUP(H180,Area!A:A,Area!B:B),"")</f>
        <v>1칸</v>
      </c>
      <c r="K180" t="str">
        <f>IFERROR(_xlfn.XLOOKUP(H180,Area!A:A,Area!H:H),"")</f>
        <v>Skill_Area_Icon_Pivot_Centor</v>
      </c>
    </row>
    <row r="181" spans="1:11" x14ac:dyDescent="0.3">
      <c r="A181" s="55">
        <v>2001602</v>
      </c>
      <c r="B181" s="5" t="str" cm="1">
        <f t="array" ref="B181">IF(F181=0,"논타겟 "&amp;I181,
_xlfn.IFS(D181="None","",D181="All","전체",D181="Fire","화속성 ",D181="Water","수속성 ",D181="Forest","목속성 ",D181="Light","광속성 ",D181="Dark","암속성 ",D181="Attacker","공격형 ",D181="Defender","방어형 ",D181="Supporter","지원형 ",D181="Healer","회복형 ",D181="Magician","구속형 ",D181="Dead","죽은 ",D181="Random","무작위 ")
&amp;_xlfn.IFS(E181="Random","무작위",E181="Near","가까운",E181="LowHp","체력 낮은",E181="HighAtk","공격력 높은",E181="HighHp","체력 높은",E181="LowAtk","공격력 낮은",E181="None","")&amp;_xlfn.IFS(C181="Ally"," 아군",C181="Enemy"," 적",C181="Mine"," 자신",C181="None"," 없음")&amp;" "&amp;F181&amp;"명"&amp;" "&amp;IF(I181="1칸","",I181))</f>
        <v xml:space="preserve">공격형 무작위 적 2명 </v>
      </c>
      <c r="C181" s="2" t="s">
        <v>49</v>
      </c>
      <c r="D181" s="2" t="s">
        <v>24</v>
      </c>
      <c r="E181" s="2" t="s">
        <v>216</v>
      </c>
      <c r="F181" s="2">
        <v>2</v>
      </c>
      <c r="G181" s="39" t="s">
        <v>38</v>
      </c>
      <c r="H181" s="39">
        <v>1</v>
      </c>
      <c r="I181" s="5" t="str">
        <f>IFERROR(_xlfn.XLOOKUP(H181,Area!A:A,Area!B:B),"")</f>
        <v>1칸</v>
      </c>
      <c r="K181" t="str">
        <f>IFERROR(_xlfn.XLOOKUP(H181,Area!A:A,Area!H:H),"")</f>
        <v>Skill_Area_Icon_Pivot_Centor</v>
      </c>
    </row>
    <row r="182" spans="1:11" x14ac:dyDescent="0.3">
      <c r="A182" s="55">
        <v>2001603</v>
      </c>
      <c r="B182" s="5" t="str" cm="1">
        <f t="array" ref="B182">IF(F182=0,"논타겟 "&amp;I182,
_xlfn.IFS(D182="None","",D182="All","전체",D182="Fire","화속성 ",D182="Water","수속성 ",D182="Forest","목속성 ",D182="Light","광속성 ",D182="Dark","암속성 ",D182="Attacker","공격형 ",D182="Defender","방어형 ",D182="Supporter","지원형 ",D182="Healer","회복형 ",D182="Magician","구속형 ",D182="Dead","죽은 ",D182="Random","무작위 ")
&amp;_xlfn.IFS(E182="Random","무작위",E182="Near","가까운",E182="LowHp","체력 낮은",E182="HighAtk","공격력 높은",E182="HighHp","체력 높은",E182="LowAtk","공격력 낮은",E182="None","")&amp;_xlfn.IFS(C182="Ally"," 아군",C182="Enemy"," 적",C182="Mine"," 자신",C182="None"," 없음")&amp;" "&amp;F182&amp;"명"&amp;" "&amp;IF(I182="1칸","",I182))</f>
        <v xml:space="preserve">공격형 무작위 적 3명 </v>
      </c>
      <c r="C182" s="2" t="s">
        <v>49</v>
      </c>
      <c r="D182" s="2" t="s">
        <v>24</v>
      </c>
      <c r="E182" s="2" t="s">
        <v>216</v>
      </c>
      <c r="F182" s="2">
        <v>3</v>
      </c>
      <c r="G182" s="39" t="s">
        <v>38</v>
      </c>
      <c r="H182" s="39">
        <v>1</v>
      </c>
      <c r="I182" s="5" t="str">
        <f>IFERROR(_xlfn.XLOOKUP(H182,Area!A:A,Area!B:B),"")</f>
        <v>1칸</v>
      </c>
      <c r="K182" t="str">
        <f>IFERROR(_xlfn.XLOOKUP(H182,Area!A:A,Area!H:H),"")</f>
        <v>Skill_Area_Icon_Pivot_Centor</v>
      </c>
    </row>
    <row r="183" spans="1:11" x14ac:dyDescent="0.3">
      <c r="A183" s="55">
        <v>2001604</v>
      </c>
      <c r="B183" s="5" t="str" cm="1">
        <f t="array" ref="B183">IF(F183=0,"논타겟 "&amp;I183,
_xlfn.IFS(D183="None","",D183="All","전체",D183="Fire","화속성 ",D183="Water","수속성 ",D183="Forest","목속성 ",D183="Light","광속성 ",D183="Dark","암속성 ",D183="Attacker","공격형 ",D183="Defender","방어형 ",D183="Supporter","지원형 ",D183="Healer","회복형 ",D183="Magician","구속형 ",D183="Dead","죽은 ",D183="Random","무작위 ")
&amp;_xlfn.IFS(E183="Random","무작위",E183="Near","가까운",E183="LowHp","체력 낮은",E183="HighAtk","공격력 높은",E183="HighHp","체력 높은",E183="LowAtk","공격력 낮은",E183="None","")&amp;_xlfn.IFS(C183="Ally"," 아군",C183="Enemy"," 적",C183="Mine"," 자신",C183="None"," 없음")&amp;" "&amp;F183&amp;"명"&amp;" "&amp;IF(I183="1칸","",I183))</f>
        <v xml:space="preserve">공격형 무작위 적 4명 </v>
      </c>
      <c r="C183" s="2" t="s">
        <v>49</v>
      </c>
      <c r="D183" s="2" t="s">
        <v>24</v>
      </c>
      <c r="E183" s="2" t="s">
        <v>57</v>
      </c>
      <c r="F183" s="2">
        <v>4</v>
      </c>
      <c r="G183" s="39" t="s">
        <v>38</v>
      </c>
      <c r="H183" s="39">
        <v>1</v>
      </c>
      <c r="I183" s="5" t="str">
        <f>IFERROR(_xlfn.XLOOKUP(H183,Area!A:A,Area!B:B),"")</f>
        <v>1칸</v>
      </c>
      <c r="K183" t="str">
        <f>IFERROR(_xlfn.XLOOKUP(H183,Area!A:A,Area!H:H),"")</f>
        <v>Skill_Area_Icon_Pivot_Centor</v>
      </c>
    </row>
    <row r="184" spans="1:11" x14ac:dyDescent="0.3">
      <c r="A184" s="55">
        <v>2001605</v>
      </c>
      <c r="B184" s="5" t="str" cm="1">
        <f t="array" ref="B184">IF(F184=0,"논타겟 "&amp;I184,
_xlfn.IFS(D184="None","",D184="All","전체",D184="Fire","화속성 ",D184="Water","수속성 ",D184="Forest","목속성 ",D184="Light","광속성 ",D184="Dark","암속성 ",D184="Attacker","공격형 ",D184="Defender","방어형 ",D184="Supporter","지원형 ",D184="Healer","회복형 ",D184="Magician","구속형 ",D184="Dead","죽은 ",D184="Random","무작위 ")
&amp;_xlfn.IFS(E184="Random","무작위",E184="Near","가까운",E184="LowHp","체력 낮은",E184="HighAtk","공격력 높은",E184="HighHp","체력 높은",E184="LowAtk","공격력 낮은",E184="None","")&amp;_xlfn.IFS(C184="Ally"," 아군",C184="Enemy"," 적",C184="Mine"," 자신",C184="None"," 없음")&amp;" "&amp;F184&amp;"명"&amp;" "&amp;IF(I184="1칸","",I184))</f>
        <v xml:space="preserve">공격형 무작위 적 5명 </v>
      </c>
      <c r="C184" s="2" t="s">
        <v>49</v>
      </c>
      <c r="D184" s="2" t="s">
        <v>24</v>
      </c>
      <c r="E184" s="2" t="s">
        <v>57</v>
      </c>
      <c r="F184" s="2">
        <v>5</v>
      </c>
      <c r="G184" s="39" t="s">
        <v>38</v>
      </c>
      <c r="H184" s="39">
        <v>1</v>
      </c>
      <c r="I184" s="5" t="str">
        <f>IFERROR(_xlfn.XLOOKUP(H184,Area!A:A,Area!B:B),"")</f>
        <v>1칸</v>
      </c>
      <c r="K184" t="str">
        <f>IFERROR(_xlfn.XLOOKUP(H184,Area!A:A,Area!H:H),"")</f>
        <v>Skill_Area_Icon_Pivot_Centor</v>
      </c>
    </row>
    <row r="185" spans="1:11" x14ac:dyDescent="0.3">
      <c r="A185" s="55">
        <v>2001609</v>
      </c>
      <c r="B185" s="5" t="str" cm="1">
        <f t="array" ref="B185">IF(F185=0,"논타겟 "&amp;I185,
_xlfn.IFS(D185="None","",D185="All","전체",D185="Fire","화속성 ",D185="Water","수속성 ",D185="Forest","목속성 ",D185="Light","광속성 ",D185="Dark","암속성 ",D185="Attacker","공격형 ",D185="Defender","방어형 ",D185="Supporter","지원형 ",D185="Healer","회복형 ",D185="Magician","구속형 ",D185="Dead","죽은 ",D185="Random","무작위 ")
&amp;_xlfn.IFS(E185="Random","무작위",E185="Near","가까운",E185="LowHp","체력 낮은",E185="HighAtk","공격력 높은",E185="HighHp","체력 높은",E185="LowAtk","공격력 낮은",E185="None","")&amp;_xlfn.IFS(C185="Ally"," 아군",C185="Enemy"," 적",C185="Mine"," 자신",C185="None"," 없음")&amp;" "&amp;F185&amp;"명"&amp;" "&amp;IF(I185="1칸","",I185))</f>
        <v>공격형 무작위 적 1명 9칸</v>
      </c>
      <c r="C185" s="2" t="s">
        <v>49</v>
      </c>
      <c r="D185" s="2" t="s">
        <v>24</v>
      </c>
      <c r="E185" s="2" t="s">
        <v>57</v>
      </c>
      <c r="F185" s="2">
        <v>1</v>
      </c>
      <c r="G185" s="39" t="s">
        <v>38</v>
      </c>
      <c r="H185" s="39">
        <v>2</v>
      </c>
      <c r="I185" s="5" t="str">
        <f>IFERROR(_xlfn.XLOOKUP(H185,Area!A:A,Area!B:B),"")</f>
        <v>9칸</v>
      </c>
      <c r="K185" t="str">
        <f>IFERROR(_xlfn.XLOOKUP(H185,Area!A:A,Area!H:H),"")</f>
        <v>Skill_Area_Icon_Pivot_All</v>
      </c>
    </row>
    <row r="186" spans="1:11" x14ac:dyDescent="0.3">
      <c r="A186" s="55">
        <v>2001701</v>
      </c>
      <c r="B186" s="5" t="str" cm="1">
        <f t="array" ref="B186">IF(F186=0,"논타겟 "&amp;I186,
_xlfn.IFS(D186="None","",D186="All","전체",D186="Fire","화속성 ",D186="Water","수속성 ",D186="Forest","목속성 ",D186="Light","광속성 ",D186="Dark","암속성 ",D186="Attacker","공격형 ",D186="Defender","방어형 ",D186="Supporter","지원형 ",D186="Healer","회복형 ",D186="Magician","구속형 ",D186="Dead","죽은 ",D186="Random","무작위 ")
&amp;_xlfn.IFS(E186="Random","무작위",E186="Near","가까운",E186="LowHp","체력 낮은",E186="HighAtk","공격력 높은",E186="HighHp","체력 높은",E186="LowAtk","공격력 낮은",E186="None","")&amp;_xlfn.IFS(C186="Ally"," 아군",C186="Enemy"," 적",C186="Mine"," 자신",C186="None"," 없음")&amp;" "&amp;F186&amp;"명"&amp;" "&amp;IF(I186="1칸","",I186))</f>
        <v xml:space="preserve">방어형 무작위 적 1명 </v>
      </c>
      <c r="C186" s="2" t="s">
        <v>49</v>
      </c>
      <c r="D186" s="2" t="s">
        <v>28</v>
      </c>
      <c r="E186" s="2" t="s">
        <v>216</v>
      </c>
      <c r="F186" s="2">
        <v>1</v>
      </c>
      <c r="G186" s="39" t="s">
        <v>38</v>
      </c>
      <c r="H186" s="39">
        <v>1</v>
      </c>
      <c r="I186" s="5" t="str">
        <f>IFERROR(_xlfn.XLOOKUP(H186,Area!A:A,Area!B:B),"")</f>
        <v>1칸</v>
      </c>
      <c r="K186" t="str">
        <f>IFERROR(_xlfn.XLOOKUP(H186,Area!A:A,Area!H:H),"")</f>
        <v>Skill_Area_Icon_Pivot_Centor</v>
      </c>
    </row>
    <row r="187" spans="1:11" x14ac:dyDescent="0.3">
      <c r="A187" s="55">
        <v>2001702</v>
      </c>
      <c r="B187" s="5" t="str" cm="1">
        <f t="array" ref="B187">IF(F187=0,"논타겟 "&amp;I187,
_xlfn.IFS(D187="None","",D187="All","전체",D187="Fire","화속성 ",D187="Water","수속성 ",D187="Forest","목속성 ",D187="Light","광속성 ",D187="Dark","암속성 ",D187="Attacker","공격형 ",D187="Defender","방어형 ",D187="Supporter","지원형 ",D187="Healer","회복형 ",D187="Magician","구속형 ",D187="Dead","죽은 ",D187="Random","무작위 ")
&amp;_xlfn.IFS(E187="Random","무작위",E187="Near","가까운",E187="LowHp","체력 낮은",E187="HighAtk","공격력 높은",E187="HighHp","체력 높은",E187="LowAtk","공격력 낮은",E187="None","")&amp;_xlfn.IFS(C187="Ally"," 아군",C187="Enemy"," 적",C187="Mine"," 자신",C187="None"," 없음")&amp;" "&amp;F187&amp;"명"&amp;" "&amp;IF(I187="1칸","",I187))</f>
        <v xml:space="preserve">방어형 무작위 적 2명 </v>
      </c>
      <c r="C187" s="2" t="s">
        <v>49</v>
      </c>
      <c r="D187" s="2" t="s">
        <v>28</v>
      </c>
      <c r="E187" s="2" t="s">
        <v>216</v>
      </c>
      <c r="F187" s="2">
        <v>2</v>
      </c>
      <c r="G187" s="39" t="s">
        <v>38</v>
      </c>
      <c r="H187" s="39">
        <v>1</v>
      </c>
      <c r="I187" s="5" t="str">
        <f>IFERROR(_xlfn.XLOOKUP(H187,Area!A:A,Area!B:B),"")</f>
        <v>1칸</v>
      </c>
      <c r="K187" t="str">
        <f>IFERROR(_xlfn.XLOOKUP(H187,Area!A:A,Area!H:H),"")</f>
        <v>Skill_Area_Icon_Pivot_Centor</v>
      </c>
    </row>
    <row r="188" spans="1:11" x14ac:dyDescent="0.3">
      <c r="A188" s="55">
        <v>2001703</v>
      </c>
      <c r="B188" s="5" t="str" cm="1">
        <f t="array" ref="B188">IF(F188=0,"논타겟 "&amp;I188,
_xlfn.IFS(D188="None","",D188="All","전체",D188="Fire","화속성 ",D188="Water","수속성 ",D188="Forest","목속성 ",D188="Light","광속성 ",D188="Dark","암속성 ",D188="Attacker","공격형 ",D188="Defender","방어형 ",D188="Supporter","지원형 ",D188="Healer","회복형 ",D188="Magician","구속형 ",D188="Dead","죽은 ",D188="Random","무작위 ")
&amp;_xlfn.IFS(E188="Random","무작위",E188="Near","가까운",E188="LowHp","체력 낮은",E188="HighAtk","공격력 높은",E188="HighHp","체력 높은",E188="LowAtk","공격력 낮은",E188="None","")&amp;_xlfn.IFS(C188="Ally"," 아군",C188="Enemy"," 적",C188="Mine"," 자신",C188="None"," 없음")&amp;" "&amp;F188&amp;"명"&amp;" "&amp;IF(I188="1칸","",I188))</f>
        <v xml:space="preserve">방어형 무작위 적 3명 </v>
      </c>
      <c r="C188" s="2" t="s">
        <v>49</v>
      </c>
      <c r="D188" s="2" t="s">
        <v>28</v>
      </c>
      <c r="E188" s="2" t="s">
        <v>216</v>
      </c>
      <c r="F188" s="2">
        <v>3</v>
      </c>
      <c r="G188" s="39" t="s">
        <v>38</v>
      </c>
      <c r="H188" s="39">
        <v>1</v>
      </c>
      <c r="I188" s="5" t="str">
        <f>IFERROR(_xlfn.XLOOKUP(H188,Area!A:A,Area!B:B),"")</f>
        <v>1칸</v>
      </c>
      <c r="K188" t="str">
        <f>IFERROR(_xlfn.XLOOKUP(H188,Area!A:A,Area!H:H),"")</f>
        <v>Skill_Area_Icon_Pivot_Centor</v>
      </c>
    </row>
    <row r="189" spans="1:11" x14ac:dyDescent="0.3">
      <c r="A189" s="55">
        <v>2001704</v>
      </c>
      <c r="B189" s="5" t="str" cm="1">
        <f t="array" ref="B189">IF(F189=0,"논타겟 "&amp;I189,
_xlfn.IFS(D189="None","",D189="All","전체",D189="Fire","화속성 ",D189="Water","수속성 ",D189="Forest","목속성 ",D189="Light","광속성 ",D189="Dark","암속성 ",D189="Attacker","공격형 ",D189="Defender","방어형 ",D189="Supporter","지원형 ",D189="Healer","회복형 ",D189="Magician","구속형 ",D189="Dead","죽은 ",D189="Random","무작위 ")
&amp;_xlfn.IFS(E189="Random","무작위",E189="Near","가까운",E189="LowHp","체력 낮은",E189="HighAtk","공격력 높은",E189="HighHp","체력 높은",E189="LowAtk","공격력 낮은",E189="None","")&amp;_xlfn.IFS(C189="Ally"," 아군",C189="Enemy"," 적",C189="Mine"," 자신",C189="None"," 없음")&amp;" "&amp;F189&amp;"명"&amp;" "&amp;IF(I189="1칸","",I189))</f>
        <v xml:space="preserve">방어형 무작위 적 4명 </v>
      </c>
      <c r="C189" s="2" t="s">
        <v>49</v>
      </c>
      <c r="D189" s="2" t="s">
        <v>28</v>
      </c>
      <c r="E189" s="2" t="s">
        <v>57</v>
      </c>
      <c r="F189" s="2">
        <v>4</v>
      </c>
      <c r="G189" s="39" t="s">
        <v>38</v>
      </c>
      <c r="H189" s="39">
        <v>1</v>
      </c>
      <c r="I189" s="5" t="str">
        <f>IFERROR(_xlfn.XLOOKUP(H189,Area!A:A,Area!B:B),"")</f>
        <v>1칸</v>
      </c>
      <c r="K189" t="str">
        <f>IFERROR(_xlfn.XLOOKUP(H189,Area!A:A,Area!H:H),"")</f>
        <v>Skill_Area_Icon_Pivot_Centor</v>
      </c>
    </row>
    <row r="190" spans="1:11" x14ac:dyDescent="0.3">
      <c r="A190" s="55">
        <v>2001705</v>
      </c>
      <c r="B190" s="5" t="str" cm="1">
        <f t="array" ref="B190">IF(F190=0,"논타겟 "&amp;I190,
_xlfn.IFS(D190="None","",D190="All","전체",D190="Fire","화속성 ",D190="Water","수속성 ",D190="Forest","목속성 ",D190="Light","광속성 ",D190="Dark","암속성 ",D190="Attacker","공격형 ",D190="Defender","방어형 ",D190="Supporter","지원형 ",D190="Healer","회복형 ",D190="Magician","구속형 ",D190="Dead","죽은 ",D190="Random","무작위 ")
&amp;_xlfn.IFS(E190="Random","무작위",E190="Near","가까운",E190="LowHp","체력 낮은",E190="HighAtk","공격력 높은",E190="HighHp","체력 높은",E190="LowAtk","공격력 낮은",E190="None","")&amp;_xlfn.IFS(C190="Ally"," 아군",C190="Enemy"," 적",C190="Mine"," 자신",C190="None"," 없음")&amp;" "&amp;F190&amp;"명"&amp;" "&amp;IF(I190="1칸","",I190))</f>
        <v xml:space="preserve">방어형 무작위 적 5명 </v>
      </c>
      <c r="C190" s="2" t="s">
        <v>49</v>
      </c>
      <c r="D190" s="2" t="s">
        <v>28</v>
      </c>
      <c r="E190" s="2" t="s">
        <v>57</v>
      </c>
      <c r="F190" s="2">
        <v>5</v>
      </c>
      <c r="G190" s="39" t="s">
        <v>38</v>
      </c>
      <c r="H190" s="39">
        <v>1</v>
      </c>
      <c r="I190" s="5" t="str">
        <f>IFERROR(_xlfn.XLOOKUP(H190,Area!A:A,Area!B:B),"")</f>
        <v>1칸</v>
      </c>
      <c r="K190" t="str">
        <f>IFERROR(_xlfn.XLOOKUP(H190,Area!A:A,Area!H:H),"")</f>
        <v>Skill_Area_Icon_Pivot_Centor</v>
      </c>
    </row>
    <row r="191" spans="1:11" x14ac:dyDescent="0.3">
      <c r="A191" s="55">
        <v>2001709</v>
      </c>
      <c r="B191" s="5" t="str" cm="1">
        <f t="array" ref="B191">IF(F191=0,"논타겟 "&amp;I191,
_xlfn.IFS(D191="None","",D191="All","전체",D191="Fire","화속성 ",D191="Water","수속성 ",D191="Forest","목속성 ",D191="Light","광속성 ",D191="Dark","암속성 ",D191="Attacker","공격형 ",D191="Defender","방어형 ",D191="Supporter","지원형 ",D191="Healer","회복형 ",D191="Magician","구속형 ",D191="Dead","죽은 ",D191="Random","무작위 ")
&amp;_xlfn.IFS(E191="Random","무작위",E191="Near","가까운",E191="LowHp","체력 낮은",E191="HighAtk","공격력 높은",E191="HighHp","체력 높은",E191="LowAtk","공격력 낮은",E191="None","")&amp;_xlfn.IFS(C191="Ally"," 아군",C191="Enemy"," 적",C191="Mine"," 자신",C191="None"," 없음")&amp;" "&amp;F191&amp;"명"&amp;" "&amp;IF(I191="1칸","",I191))</f>
        <v>방어형 무작위 적 1명 9칸</v>
      </c>
      <c r="C191" s="2" t="s">
        <v>49</v>
      </c>
      <c r="D191" s="2" t="s">
        <v>28</v>
      </c>
      <c r="E191" s="2" t="s">
        <v>57</v>
      </c>
      <c r="F191" s="2">
        <v>1</v>
      </c>
      <c r="G191" s="39" t="s">
        <v>38</v>
      </c>
      <c r="H191" s="39">
        <v>2</v>
      </c>
      <c r="I191" s="5" t="str">
        <f>IFERROR(_xlfn.XLOOKUP(H191,Area!A:A,Area!B:B),"")</f>
        <v>9칸</v>
      </c>
      <c r="K191" t="str">
        <f>IFERROR(_xlfn.XLOOKUP(H191,Area!A:A,Area!H:H),"")</f>
        <v>Skill_Area_Icon_Pivot_All</v>
      </c>
    </row>
    <row r="192" spans="1:11" x14ac:dyDescent="0.3">
      <c r="A192" s="55">
        <v>2001801</v>
      </c>
      <c r="B192" s="5" t="str" cm="1">
        <f t="array" ref="B192">IF(F192=0,"논타겟 "&amp;I192,
_xlfn.IFS(D192="None","",D192="All","전체",D192="Fire","화속성 ",D192="Water","수속성 ",D192="Forest","목속성 ",D192="Light","광속성 ",D192="Dark","암속성 ",D192="Attacker","공격형 ",D192="Defender","방어형 ",D192="Supporter","지원형 ",D192="Healer","회복형 ",D192="Magician","구속형 ",D192="Dead","죽은 ",D192="Random","무작위 ")
&amp;_xlfn.IFS(E192="Random","무작위",E192="Near","가까운",E192="LowHp","체력 낮은",E192="HighAtk","공격력 높은",E192="HighHp","체력 높은",E192="LowAtk","공격력 낮은",E192="None","")&amp;_xlfn.IFS(C192="Ally"," 아군",C192="Enemy"," 적",C192="Mine"," 자신",C192="None"," 없음")&amp;" "&amp;F192&amp;"명"&amp;" "&amp;IF(I192="1칸","",I192))</f>
        <v xml:space="preserve">구속형 무작위 적 1명 </v>
      </c>
      <c r="C192" s="2" t="s">
        <v>49</v>
      </c>
      <c r="D192" s="2" t="s">
        <v>223</v>
      </c>
      <c r="E192" s="2" t="s">
        <v>216</v>
      </c>
      <c r="F192" s="2">
        <v>1</v>
      </c>
      <c r="G192" s="39" t="s">
        <v>38</v>
      </c>
      <c r="H192" s="39">
        <v>1</v>
      </c>
      <c r="I192" s="5" t="str">
        <f>IFERROR(_xlfn.XLOOKUP(H192,Area!A:A,Area!B:B),"")</f>
        <v>1칸</v>
      </c>
      <c r="K192" t="str">
        <f>IFERROR(_xlfn.XLOOKUP(H192,Area!A:A,Area!H:H),"")</f>
        <v>Skill_Area_Icon_Pivot_Centor</v>
      </c>
    </row>
    <row r="193" spans="1:11" x14ac:dyDescent="0.3">
      <c r="A193" s="55">
        <v>2001802</v>
      </c>
      <c r="B193" s="5" t="str" cm="1">
        <f t="array" ref="B193">IF(F193=0,"논타겟 "&amp;I193,
_xlfn.IFS(D193="None","",D193="All","전체",D193="Fire","화속성 ",D193="Water","수속성 ",D193="Forest","목속성 ",D193="Light","광속성 ",D193="Dark","암속성 ",D193="Attacker","공격형 ",D193="Defender","방어형 ",D193="Supporter","지원형 ",D193="Healer","회복형 ",D193="Magician","구속형 ",D193="Dead","죽은 ",D193="Random","무작위 ")
&amp;_xlfn.IFS(E193="Random","무작위",E193="Near","가까운",E193="LowHp","체력 낮은",E193="HighAtk","공격력 높은",E193="HighHp","체력 높은",E193="LowAtk","공격력 낮은",E193="None","")&amp;_xlfn.IFS(C193="Ally"," 아군",C193="Enemy"," 적",C193="Mine"," 자신",C193="None"," 없음")&amp;" "&amp;F193&amp;"명"&amp;" "&amp;IF(I193="1칸","",I193))</f>
        <v xml:space="preserve">구속형 무작위 적 2명 </v>
      </c>
      <c r="C193" s="2" t="s">
        <v>49</v>
      </c>
      <c r="D193" s="2" t="s">
        <v>223</v>
      </c>
      <c r="E193" s="2" t="s">
        <v>216</v>
      </c>
      <c r="F193" s="2">
        <v>2</v>
      </c>
      <c r="G193" s="39" t="s">
        <v>38</v>
      </c>
      <c r="H193" s="39">
        <v>1</v>
      </c>
      <c r="I193" s="5" t="str">
        <f>IFERROR(_xlfn.XLOOKUP(H193,Area!A:A,Area!B:B),"")</f>
        <v>1칸</v>
      </c>
      <c r="K193" t="str">
        <f>IFERROR(_xlfn.XLOOKUP(H193,Area!A:A,Area!H:H),"")</f>
        <v>Skill_Area_Icon_Pivot_Centor</v>
      </c>
    </row>
    <row r="194" spans="1:11" x14ac:dyDescent="0.3">
      <c r="A194" s="55">
        <v>2001803</v>
      </c>
      <c r="B194" s="5" t="str" cm="1">
        <f t="array" ref="B194">IF(F194=0,"논타겟 "&amp;I194,
_xlfn.IFS(D194="None","",D194="All","전체",D194="Fire","화속성 ",D194="Water","수속성 ",D194="Forest","목속성 ",D194="Light","광속성 ",D194="Dark","암속성 ",D194="Attacker","공격형 ",D194="Defender","방어형 ",D194="Supporter","지원형 ",D194="Healer","회복형 ",D194="Magician","구속형 ",D194="Dead","죽은 ",D194="Random","무작위 ")
&amp;_xlfn.IFS(E194="Random","무작위",E194="Near","가까운",E194="LowHp","체력 낮은",E194="HighAtk","공격력 높은",E194="HighHp","체력 높은",E194="LowAtk","공격력 낮은",E194="None","")&amp;_xlfn.IFS(C194="Ally"," 아군",C194="Enemy"," 적",C194="Mine"," 자신",C194="None"," 없음")&amp;" "&amp;F194&amp;"명"&amp;" "&amp;IF(I194="1칸","",I194))</f>
        <v xml:space="preserve">구속형 무작위 적 3명 </v>
      </c>
      <c r="C194" s="2" t="s">
        <v>49</v>
      </c>
      <c r="D194" s="2" t="s">
        <v>223</v>
      </c>
      <c r="E194" s="2" t="s">
        <v>216</v>
      </c>
      <c r="F194" s="2">
        <v>3</v>
      </c>
      <c r="G194" s="39" t="s">
        <v>38</v>
      </c>
      <c r="H194" s="39">
        <v>1</v>
      </c>
      <c r="I194" s="5" t="str">
        <f>IFERROR(_xlfn.XLOOKUP(H194,Area!A:A,Area!B:B),"")</f>
        <v>1칸</v>
      </c>
      <c r="K194" t="str">
        <f>IFERROR(_xlfn.XLOOKUP(H194,Area!A:A,Area!H:H),"")</f>
        <v>Skill_Area_Icon_Pivot_Centor</v>
      </c>
    </row>
    <row r="195" spans="1:11" x14ac:dyDescent="0.3">
      <c r="A195" s="55">
        <v>2001804</v>
      </c>
      <c r="B195" s="5" t="str" cm="1">
        <f t="array" ref="B195">IF(F195=0,"논타겟 "&amp;I195,
_xlfn.IFS(D195="None","",D195="All","전체",D195="Fire","화속성 ",D195="Water","수속성 ",D195="Forest","목속성 ",D195="Light","광속성 ",D195="Dark","암속성 ",D195="Attacker","공격형 ",D195="Defender","방어형 ",D195="Supporter","지원형 ",D195="Healer","회복형 ",D195="Magician","구속형 ",D195="Dead","죽은 ",D195="Random","무작위 ")
&amp;_xlfn.IFS(E195="Random","무작위",E195="Near","가까운",E195="LowHp","체력 낮은",E195="HighAtk","공격력 높은",E195="HighHp","체력 높은",E195="LowAtk","공격력 낮은",E195="None","")&amp;_xlfn.IFS(C195="Ally"," 아군",C195="Enemy"," 적",C195="Mine"," 자신",C195="None"," 없음")&amp;" "&amp;F195&amp;"명"&amp;" "&amp;IF(I195="1칸","",I195))</f>
        <v xml:space="preserve">구속형 무작위 적 4명 </v>
      </c>
      <c r="C195" s="2" t="s">
        <v>49</v>
      </c>
      <c r="D195" s="2" t="s">
        <v>223</v>
      </c>
      <c r="E195" s="2" t="s">
        <v>57</v>
      </c>
      <c r="F195" s="2">
        <v>4</v>
      </c>
      <c r="G195" s="39" t="s">
        <v>38</v>
      </c>
      <c r="H195" s="39">
        <v>1</v>
      </c>
      <c r="I195" s="5" t="str">
        <f>IFERROR(_xlfn.XLOOKUP(H195,Area!A:A,Area!B:B),"")</f>
        <v>1칸</v>
      </c>
      <c r="K195" t="str">
        <f>IFERROR(_xlfn.XLOOKUP(H195,Area!A:A,Area!H:H),"")</f>
        <v>Skill_Area_Icon_Pivot_Centor</v>
      </c>
    </row>
    <row r="196" spans="1:11" x14ac:dyDescent="0.3">
      <c r="A196" s="55">
        <v>2001805</v>
      </c>
      <c r="B196" s="5" t="str" cm="1">
        <f t="array" ref="B196">IF(F196=0,"논타겟 "&amp;I196,
_xlfn.IFS(D196="None","",D196="All","전체",D196="Fire","화속성 ",D196="Water","수속성 ",D196="Forest","목속성 ",D196="Light","광속성 ",D196="Dark","암속성 ",D196="Attacker","공격형 ",D196="Defender","방어형 ",D196="Supporter","지원형 ",D196="Healer","회복형 ",D196="Magician","구속형 ",D196="Dead","죽은 ",D196="Random","무작위 ")
&amp;_xlfn.IFS(E196="Random","무작위",E196="Near","가까운",E196="LowHp","체력 낮은",E196="HighAtk","공격력 높은",E196="HighHp","체력 높은",E196="LowAtk","공격력 낮은",E196="None","")&amp;_xlfn.IFS(C196="Ally"," 아군",C196="Enemy"," 적",C196="Mine"," 자신",C196="None"," 없음")&amp;" "&amp;F196&amp;"명"&amp;" "&amp;IF(I196="1칸","",I196))</f>
        <v xml:space="preserve">구속형 무작위 적 5명 </v>
      </c>
      <c r="C196" s="2" t="s">
        <v>49</v>
      </c>
      <c r="D196" s="2" t="s">
        <v>223</v>
      </c>
      <c r="E196" s="2" t="s">
        <v>57</v>
      </c>
      <c r="F196" s="2">
        <v>5</v>
      </c>
      <c r="G196" s="39" t="s">
        <v>38</v>
      </c>
      <c r="H196" s="39">
        <v>1</v>
      </c>
      <c r="I196" s="5" t="str">
        <f>IFERROR(_xlfn.XLOOKUP(H196,Area!A:A,Area!B:B),"")</f>
        <v>1칸</v>
      </c>
      <c r="K196" t="str">
        <f>IFERROR(_xlfn.XLOOKUP(H196,Area!A:A,Area!H:H),"")</f>
        <v>Skill_Area_Icon_Pivot_Centor</v>
      </c>
    </row>
    <row r="197" spans="1:11" x14ac:dyDescent="0.3">
      <c r="A197" s="55">
        <v>2001809</v>
      </c>
      <c r="B197" s="5" t="str" cm="1">
        <f t="array" ref="B197">IF(F197=0,"논타겟 "&amp;I197,
_xlfn.IFS(D197="None","",D197="All","전체",D197="Fire","화속성 ",D197="Water","수속성 ",D197="Forest","목속성 ",D197="Light","광속성 ",D197="Dark","암속성 ",D197="Attacker","공격형 ",D197="Defender","방어형 ",D197="Supporter","지원형 ",D197="Healer","회복형 ",D197="Magician","구속형 ",D197="Dead","죽은 ",D197="Random","무작위 ")
&amp;_xlfn.IFS(E197="Random","무작위",E197="Near","가까운",E197="LowHp","체력 낮은",E197="HighAtk","공격력 높은",E197="HighHp","체력 높은",E197="LowAtk","공격력 낮은",E197="None","")&amp;_xlfn.IFS(C197="Ally"," 아군",C197="Enemy"," 적",C197="Mine"," 자신",C197="None"," 없음")&amp;" "&amp;F197&amp;"명"&amp;" "&amp;IF(I197="1칸","",I197))</f>
        <v>구속형 무작위 적 1명 9칸</v>
      </c>
      <c r="C197" s="2" t="s">
        <v>49</v>
      </c>
      <c r="D197" s="2" t="s">
        <v>223</v>
      </c>
      <c r="E197" s="2" t="s">
        <v>57</v>
      </c>
      <c r="F197" s="2">
        <v>1</v>
      </c>
      <c r="G197" s="39" t="s">
        <v>38</v>
      </c>
      <c r="H197" s="39">
        <v>2</v>
      </c>
      <c r="I197" s="5" t="str">
        <f>IFERROR(_xlfn.XLOOKUP(H197,Area!A:A,Area!B:B),"")</f>
        <v>9칸</v>
      </c>
      <c r="K197" t="str">
        <f>IFERROR(_xlfn.XLOOKUP(H197,Area!A:A,Area!H:H),"")</f>
        <v>Skill_Area_Icon_Pivot_All</v>
      </c>
    </row>
    <row r="198" spans="1:11" x14ac:dyDescent="0.3">
      <c r="A198" s="55">
        <v>2001901</v>
      </c>
      <c r="B198" s="5" t="str" cm="1">
        <f t="array" ref="B198">IF(F198=0,"논타겟 "&amp;I198,
_xlfn.IFS(D198="None","",D198="All","전체",D198="Fire","화속성 ",D198="Water","수속성 ",D198="Forest","목속성 ",D198="Light","광속성 ",D198="Dark","암속성 ",D198="Attacker","공격형 ",D198="Defender","방어형 ",D198="Supporter","지원형 ",D198="Healer","회복형 ",D198="Magician","구속형 ",D198="Dead","죽은 ",D198="Random","무작위 ")
&amp;_xlfn.IFS(E198="Random","무작위",E198="Near","가까운",E198="LowHp","체력 낮은",E198="HighAtk","공격력 높은",E198="HighHp","체력 높은",E198="LowAtk","공격력 낮은",E198="None","")&amp;_xlfn.IFS(C198="Ally"," 아군",C198="Enemy"," 적",C198="Mine"," 자신",C198="None"," 없음")&amp;" "&amp;F198&amp;"명"&amp;" "&amp;IF(I198="1칸","",I198))</f>
        <v xml:space="preserve">지원형 무작위 적 1명 </v>
      </c>
      <c r="C198" s="2" t="s">
        <v>49</v>
      </c>
      <c r="D198" s="2" t="s">
        <v>26</v>
      </c>
      <c r="E198" s="2" t="s">
        <v>216</v>
      </c>
      <c r="F198" s="2">
        <v>1</v>
      </c>
      <c r="G198" s="39" t="s">
        <v>38</v>
      </c>
      <c r="H198" s="39">
        <v>1</v>
      </c>
      <c r="I198" s="5" t="str">
        <f>IFERROR(_xlfn.XLOOKUP(H198,Area!A:A,Area!B:B),"")</f>
        <v>1칸</v>
      </c>
      <c r="K198" t="str">
        <f>IFERROR(_xlfn.XLOOKUP(H198,Area!A:A,Area!H:H),"")</f>
        <v>Skill_Area_Icon_Pivot_Centor</v>
      </c>
    </row>
    <row r="199" spans="1:11" ht="18" customHeight="1" x14ac:dyDescent="0.3">
      <c r="A199" s="55">
        <v>2001902</v>
      </c>
      <c r="B199" s="5" t="str" cm="1">
        <f t="array" ref="B199">IF(F199=0,"논타겟 "&amp;I199,
_xlfn.IFS(D199="None","",D199="All","전체",D199="Fire","화속성 ",D199="Water","수속성 ",D199="Forest","목속성 ",D199="Light","광속성 ",D199="Dark","암속성 ",D199="Attacker","공격형 ",D199="Defender","방어형 ",D199="Supporter","지원형 ",D199="Healer","회복형 ",D199="Magician","구속형 ",D199="Dead","죽은 ",D199="Random","무작위 ")
&amp;_xlfn.IFS(E199="Random","무작위",E199="Near","가까운",E199="LowHp","체력 낮은",E199="HighAtk","공격력 높은",E199="HighHp","체력 높은",E199="LowAtk","공격력 낮은",E199="None","")&amp;_xlfn.IFS(C199="Ally"," 아군",C199="Enemy"," 적",C199="Mine"," 자신",C199="None"," 없음")&amp;" "&amp;F199&amp;"명"&amp;" "&amp;IF(I199="1칸","",I199))</f>
        <v xml:space="preserve">지원형 무작위 적 2명 </v>
      </c>
      <c r="C199" s="2" t="s">
        <v>49</v>
      </c>
      <c r="D199" s="2" t="s">
        <v>26</v>
      </c>
      <c r="E199" s="2" t="s">
        <v>216</v>
      </c>
      <c r="F199" s="2">
        <v>2</v>
      </c>
      <c r="G199" s="39" t="s">
        <v>38</v>
      </c>
      <c r="H199" s="39">
        <v>1</v>
      </c>
      <c r="I199" s="5" t="str">
        <f>IFERROR(_xlfn.XLOOKUP(H199,Area!A:A,Area!B:B),"")</f>
        <v>1칸</v>
      </c>
      <c r="K199" t="str">
        <f>IFERROR(_xlfn.XLOOKUP(H199,Area!A:A,Area!H:H),"")</f>
        <v>Skill_Area_Icon_Pivot_Centor</v>
      </c>
    </row>
    <row r="200" spans="1:11" x14ac:dyDescent="0.3">
      <c r="A200" s="55">
        <v>2001903</v>
      </c>
      <c r="B200" s="5" t="str" cm="1">
        <f t="array" ref="B200">IF(F200=0,"논타겟 "&amp;I200,
_xlfn.IFS(D200="None","",D200="All","전체",D200="Fire","화속성 ",D200="Water","수속성 ",D200="Forest","목속성 ",D200="Light","광속성 ",D200="Dark","암속성 ",D200="Attacker","공격형 ",D200="Defender","방어형 ",D200="Supporter","지원형 ",D200="Healer","회복형 ",D200="Magician","구속형 ",D200="Dead","죽은 ",D200="Random","무작위 ")
&amp;_xlfn.IFS(E200="Random","무작위",E200="Near","가까운",E200="LowHp","체력 낮은",E200="HighAtk","공격력 높은",E200="HighHp","체력 높은",E200="LowAtk","공격력 낮은",E200="None","")&amp;_xlfn.IFS(C200="Ally"," 아군",C200="Enemy"," 적",C200="Mine"," 자신",C200="None"," 없음")&amp;" "&amp;F200&amp;"명"&amp;" "&amp;IF(I200="1칸","",I200))</f>
        <v xml:space="preserve">지원형 무작위 적 3명 </v>
      </c>
      <c r="C200" s="2" t="s">
        <v>49</v>
      </c>
      <c r="D200" s="2" t="s">
        <v>26</v>
      </c>
      <c r="E200" s="2" t="s">
        <v>216</v>
      </c>
      <c r="F200" s="2">
        <v>3</v>
      </c>
      <c r="G200" s="39" t="s">
        <v>38</v>
      </c>
      <c r="H200" s="39">
        <v>1</v>
      </c>
      <c r="I200" s="5" t="str">
        <f>IFERROR(_xlfn.XLOOKUP(H200,Area!A:A,Area!B:B),"")</f>
        <v>1칸</v>
      </c>
      <c r="K200" t="str">
        <f>IFERROR(_xlfn.XLOOKUP(H200,Area!A:A,Area!H:H),"")</f>
        <v>Skill_Area_Icon_Pivot_Centor</v>
      </c>
    </row>
    <row r="201" spans="1:11" x14ac:dyDescent="0.3">
      <c r="A201" s="55">
        <v>2001904</v>
      </c>
      <c r="B201" s="5" t="str" cm="1">
        <f t="array" ref="B201">IF(F201=0,"논타겟 "&amp;I201,
_xlfn.IFS(D201="None","",D201="All","전체",D201="Fire","화속성 ",D201="Water","수속성 ",D201="Forest","목속성 ",D201="Light","광속성 ",D201="Dark","암속성 ",D201="Attacker","공격형 ",D201="Defender","방어형 ",D201="Supporter","지원형 ",D201="Healer","회복형 ",D201="Magician","구속형 ",D201="Dead","죽은 ",D201="Random","무작위 ")
&amp;_xlfn.IFS(E201="Random","무작위",E201="Near","가까운",E201="LowHp","체력 낮은",E201="HighAtk","공격력 높은",E201="HighHp","체력 높은",E201="LowAtk","공격력 낮은",E201="None","")&amp;_xlfn.IFS(C201="Ally"," 아군",C201="Enemy"," 적",C201="Mine"," 자신",C201="None"," 없음")&amp;" "&amp;F201&amp;"명"&amp;" "&amp;IF(I201="1칸","",I201))</f>
        <v xml:space="preserve">지원형 무작위 적 4명 </v>
      </c>
      <c r="C201" s="2" t="s">
        <v>49</v>
      </c>
      <c r="D201" s="2" t="s">
        <v>26</v>
      </c>
      <c r="E201" s="2" t="s">
        <v>57</v>
      </c>
      <c r="F201" s="2">
        <v>4</v>
      </c>
      <c r="G201" s="39" t="s">
        <v>38</v>
      </c>
      <c r="H201" s="39">
        <v>1</v>
      </c>
      <c r="I201" s="5" t="str">
        <f>IFERROR(_xlfn.XLOOKUP(H201,Area!A:A,Area!B:B),"")</f>
        <v>1칸</v>
      </c>
      <c r="K201" t="str">
        <f>IFERROR(_xlfn.XLOOKUP(H201,Area!A:A,Area!H:H),"")</f>
        <v>Skill_Area_Icon_Pivot_Centor</v>
      </c>
    </row>
    <row r="202" spans="1:11" x14ac:dyDescent="0.3">
      <c r="A202" s="55">
        <v>2001905</v>
      </c>
      <c r="B202" s="5" t="str" cm="1">
        <f t="array" ref="B202">IF(F202=0,"논타겟 "&amp;I202,
_xlfn.IFS(D202="None","",D202="All","전체",D202="Fire","화속성 ",D202="Water","수속성 ",D202="Forest","목속성 ",D202="Light","광속성 ",D202="Dark","암속성 ",D202="Attacker","공격형 ",D202="Defender","방어형 ",D202="Supporter","지원형 ",D202="Healer","회복형 ",D202="Magician","구속형 ",D202="Dead","죽은 ",D202="Random","무작위 ")
&amp;_xlfn.IFS(E202="Random","무작위",E202="Near","가까운",E202="LowHp","체력 낮은",E202="HighAtk","공격력 높은",E202="HighHp","체력 높은",E202="LowAtk","공격력 낮은",E202="None","")&amp;_xlfn.IFS(C202="Ally"," 아군",C202="Enemy"," 적",C202="Mine"," 자신",C202="None"," 없음")&amp;" "&amp;F202&amp;"명"&amp;" "&amp;IF(I202="1칸","",I202))</f>
        <v xml:space="preserve">지원형 무작위 적 5명 </v>
      </c>
      <c r="C202" s="2" t="s">
        <v>49</v>
      </c>
      <c r="D202" s="2" t="s">
        <v>26</v>
      </c>
      <c r="E202" s="2" t="s">
        <v>57</v>
      </c>
      <c r="F202" s="2">
        <v>5</v>
      </c>
      <c r="G202" s="39" t="s">
        <v>38</v>
      </c>
      <c r="H202" s="39">
        <v>1</v>
      </c>
      <c r="I202" s="5" t="str">
        <f>IFERROR(_xlfn.XLOOKUP(H202,Area!A:A,Area!B:B),"")</f>
        <v>1칸</v>
      </c>
      <c r="K202" t="str">
        <f>IFERROR(_xlfn.XLOOKUP(H202,Area!A:A,Area!H:H),"")</f>
        <v>Skill_Area_Icon_Pivot_Centor</v>
      </c>
    </row>
    <row r="203" spans="1:11" x14ac:dyDescent="0.3">
      <c r="A203" s="55">
        <v>2001909</v>
      </c>
      <c r="B203" s="5" t="str" cm="1">
        <f t="array" ref="B203">IF(F203=0,"논타겟 "&amp;I203,
_xlfn.IFS(D203="None","",D203="All","전체",D203="Fire","화속성 ",D203="Water","수속성 ",D203="Forest","목속성 ",D203="Light","광속성 ",D203="Dark","암속성 ",D203="Attacker","공격형 ",D203="Defender","방어형 ",D203="Supporter","지원형 ",D203="Healer","회복형 ",D203="Magician","구속형 ",D203="Dead","죽은 ",D203="Random","무작위 ")
&amp;_xlfn.IFS(E203="Random","무작위",E203="Near","가까운",E203="LowHp","체력 낮은",E203="HighAtk","공격력 높은",E203="HighHp","체력 높은",E203="LowAtk","공격력 낮은",E203="None","")&amp;_xlfn.IFS(C203="Ally"," 아군",C203="Enemy"," 적",C203="Mine"," 자신",C203="None"," 없음")&amp;" "&amp;F203&amp;"명"&amp;" "&amp;IF(I203="1칸","",I203))</f>
        <v>지원형 무작위 적 1명 9칸</v>
      </c>
      <c r="C203" s="2" t="s">
        <v>49</v>
      </c>
      <c r="D203" s="2" t="s">
        <v>26</v>
      </c>
      <c r="E203" s="2" t="s">
        <v>57</v>
      </c>
      <c r="F203" s="2">
        <v>1</v>
      </c>
      <c r="G203" s="39" t="s">
        <v>38</v>
      </c>
      <c r="H203" s="39">
        <v>2</v>
      </c>
      <c r="I203" s="5" t="str">
        <f>IFERROR(_xlfn.XLOOKUP(H203,Area!A:A,Area!B:B),"")</f>
        <v>9칸</v>
      </c>
      <c r="K203" t="str">
        <f>IFERROR(_xlfn.XLOOKUP(H203,Area!A:A,Area!H:H),"")</f>
        <v>Skill_Area_Icon_Pivot_All</v>
      </c>
    </row>
    <row r="204" spans="1:11" x14ac:dyDescent="0.3">
      <c r="A204" s="55">
        <v>2002001</v>
      </c>
      <c r="B204" s="5" t="str" cm="1">
        <f t="array" ref="B204">IF(F204=0,"논타겟 "&amp;I204,
_xlfn.IFS(D204="None","",D204="All","전체",D204="Fire","화속성 ",D204="Water","수속성 ",D204="Forest","목속성 ",D204="Light","광속성 ",D204="Dark","암속성 ",D204="Attacker","공격형 ",D204="Defender","방어형 ",D204="Supporter","지원형 ",D204="Healer","회복형 ",D204="Magician","구속형 ",D204="Dead","죽은 ",D204="Random","무작위 ")
&amp;_xlfn.IFS(E204="Random","무작위",E204="Near","가까운",E204="LowHp","체력 낮은",E204="HighAtk","공격력 높은",E204="HighHp","체력 높은",E204="LowAtk","공격력 낮은",E204="None","")&amp;_xlfn.IFS(C204="Ally"," 아군",C204="Enemy"," 적",C204="Mine"," 자신",C204="None"," 없음")&amp;" "&amp;F204&amp;"명"&amp;" "&amp;IF(I204="1칸","",I204))</f>
        <v xml:space="preserve">회복형 무작위 적 1명 </v>
      </c>
      <c r="C204" s="2" t="s">
        <v>49</v>
      </c>
      <c r="D204" s="2" t="s">
        <v>119</v>
      </c>
      <c r="E204" s="2" t="s">
        <v>216</v>
      </c>
      <c r="F204" s="2">
        <v>1</v>
      </c>
      <c r="G204" s="39" t="s">
        <v>38</v>
      </c>
      <c r="H204" s="39">
        <v>1</v>
      </c>
      <c r="I204" s="5" t="str">
        <f>IFERROR(_xlfn.XLOOKUP(H204,Area!A:A,Area!B:B),"")</f>
        <v>1칸</v>
      </c>
      <c r="K204" t="str">
        <f>IFERROR(_xlfn.XLOOKUP(H204,Area!A:A,Area!H:H),"")</f>
        <v>Skill_Area_Icon_Pivot_Centor</v>
      </c>
    </row>
    <row r="205" spans="1:11" x14ac:dyDescent="0.3">
      <c r="A205" s="55">
        <v>2002002</v>
      </c>
      <c r="B205" s="5" t="str" cm="1">
        <f t="array" ref="B205">IF(F205=0,"논타겟 "&amp;I205,
_xlfn.IFS(D205="None","",D205="All","전체",D205="Fire","화속성 ",D205="Water","수속성 ",D205="Forest","목속성 ",D205="Light","광속성 ",D205="Dark","암속성 ",D205="Attacker","공격형 ",D205="Defender","방어형 ",D205="Supporter","지원형 ",D205="Healer","회복형 ",D205="Magician","구속형 ",D205="Dead","죽은 ",D205="Random","무작위 ")
&amp;_xlfn.IFS(E205="Random","무작위",E205="Near","가까운",E205="LowHp","체력 낮은",E205="HighAtk","공격력 높은",E205="HighHp","체력 높은",E205="LowAtk","공격력 낮은",E205="None","")&amp;_xlfn.IFS(C205="Ally"," 아군",C205="Enemy"," 적",C205="Mine"," 자신",C205="None"," 없음")&amp;" "&amp;F205&amp;"명"&amp;" "&amp;IF(I205="1칸","",I205))</f>
        <v xml:space="preserve">회복형 무작위 적 2명 </v>
      </c>
      <c r="C205" s="2" t="s">
        <v>49</v>
      </c>
      <c r="D205" s="2" t="s">
        <v>119</v>
      </c>
      <c r="E205" s="2" t="s">
        <v>216</v>
      </c>
      <c r="F205" s="2">
        <v>2</v>
      </c>
      <c r="G205" s="39" t="s">
        <v>38</v>
      </c>
      <c r="H205" s="39">
        <v>1</v>
      </c>
      <c r="I205" s="5" t="str">
        <f>IFERROR(_xlfn.XLOOKUP(H205,Area!A:A,Area!B:B),"")</f>
        <v>1칸</v>
      </c>
      <c r="K205" t="str">
        <f>IFERROR(_xlfn.XLOOKUP(H205,Area!A:A,Area!H:H),"")</f>
        <v>Skill_Area_Icon_Pivot_Centor</v>
      </c>
    </row>
    <row r="206" spans="1:11" x14ac:dyDescent="0.3">
      <c r="A206" s="55">
        <v>2002003</v>
      </c>
      <c r="B206" s="5" t="str" cm="1">
        <f t="array" ref="B206">IF(F206=0,"논타겟 "&amp;I206,
_xlfn.IFS(D206="None","",D206="All","전체",D206="Fire","화속성 ",D206="Water","수속성 ",D206="Forest","목속성 ",D206="Light","광속성 ",D206="Dark","암속성 ",D206="Attacker","공격형 ",D206="Defender","방어형 ",D206="Supporter","지원형 ",D206="Healer","회복형 ",D206="Magician","구속형 ",D206="Dead","죽은 ",D206="Random","무작위 ")
&amp;_xlfn.IFS(E206="Random","무작위",E206="Near","가까운",E206="LowHp","체력 낮은",E206="HighAtk","공격력 높은",E206="HighHp","체력 높은",E206="LowAtk","공격력 낮은",E206="None","")&amp;_xlfn.IFS(C206="Ally"," 아군",C206="Enemy"," 적",C206="Mine"," 자신",C206="None"," 없음")&amp;" "&amp;F206&amp;"명"&amp;" "&amp;IF(I206="1칸","",I206))</f>
        <v xml:space="preserve">회복형 무작위 적 3명 </v>
      </c>
      <c r="C206" s="2" t="s">
        <v>49</v>
      </c>
      <c r="D206" s="2" t="s">
        <v>119</v>
      </c>
      <c r="E206" s="2" t="s">
        <v>216</v>
      </c>
      <c r="F206" s="2">
        <v>3</v>
      </c>
      <c r="G206" s="39" t="s">
        <v>38</v>
      </c>
      <c r="H206" s="39">
        <v>1</v>
      </c>
      <c r="I206" s="5" t="str">
        <f>IFERROR(_xlfn.XLOOKUP(H206,Area!A:A,Area!B:B),"")</f>
        <v>1칸</v>
      </c>
      <c r="K206" t="str">
        <f>IFERROR(_xlfn.XLOOKUP(H206,Area!A:A,Area!H:H),"")</f>
        <v>Skill_Area_Icon_Pivot_Centor</v>
      </c>
    </row>
    <row r="207" spans="1:11" x14ac:dyDescent="0.3">
      <c r="A207" s="55">
        <v>2002004</v>
      </c>
      <c r="B207" s="5" t="str" cm="1">
        <f t="array" ref="B207">IF(F207=0,"논타겟 "&amp;I207,
_xlfn.IFS(D207="None","",D207="All","전체",D207="Fire","화속성 ",D207="Water","수속성 ",D207="Forest","목속성 ",D207="Light","광속성 ",D207="Dark","암속성 ",D207="Attacker","공격형 ",D207="Defender","방어형 ",D207="Supporter","지원형 ",D207="Healer","회복형 ",D207="Magician","구속형 ",D207="Dead","죽은 ",D207="Random","무작위 ")
&amp;_xlfn.IFS(E207="Random","무작위",E207="Near","가까운",E207="LowHp","체력 낮은",E207="HighAtk","공격력 높은",E207="HighHp","체력 높은",E207="LowAtk","공격력 낮은",E207="None","")&amp;_xlfn.IFS(C207="Ally"," 아군",C207="Enemy"," 적",C207="Mine"," 자신",C207="None"," 없음")&amp;" "&amp;F207&amp;"명"&amp;" "&amp;IF(I207="1칸","",I207))</f>
        <v xml:space="preserve">회복형 무작위 적 4명 </v>
      </c>
      <c r="C207" s="2" t="s">
        <v>49</v>
      </c>
      <c r="D207" s="2" t="s">
        <v>119</v>
      </c>
      <c r="E207" s="2" t="s">
        <v>57</v>
      </c>
      <c r="F207" s="2">
        <v>4</v>
      </c>
      <c r="G207" s="39" t="s">
        <v>38</v>
      </c>
      <c r="H207" s="39">
        <v>1</v>
      </c>
      <c r="I207" s="5" t="str">
        <f>IFERROR(_xlfn.XLOOKUP(H207,Area!A:A,Area!B:B),"")</f>
        <v>1칸</v>
      </c>
      <c r="K207" t="str">
        <f>IFERROR(_xlfn.XLOOKUP(H207,Area!A:A,Area!H:H),"")</f>
        <v>Skill_Area_Icon_Pivot_Centor</v>
      </c>
    </row>
    <row r="208" spans="1:11" x14ac:dyDescent="0.3">
      <c r="A208" s="55">
        <v>2002005</v>
      </c>
      <c r="B208" s="5" t="str" cm="1">
        <f t="array" ref="B208">IF(F208=0,"논타겟 "&amp;I208,
_xlfn.IFS(D208="None","",D208="All","전체",D208="Fire","화속성 ",D208="Water","수속성 ",D208="Forest","목속성 ",D208="Light","광속성 ",D208="Dark","암속성 ",D208="Attacker","공격형 ",D208="Defender","방어형 ",D208="Supporter","지원형 ",D208="Healer","회복형 ",D208="Magician","구속형 ",D208="Dead","죽은 ",D208="Random","무작위 ")
&amp;_xlfn.IFS(E208="Random","무작위",E208="Near","가까운",E208="LowHp","체력 낮은",E208="HighAtk","공격력 높은",E208="HighHp","체력 높은",E208="LowAtk","공격력 낮은",E208="None","")&amp;_xlfn.IFS(C208="Ally"," 아군",C208="Enemy"," 적",C208="Mine"," 자신",C208="None"," 없음")&amp;" "&amp;F208&amp;"명"&amp;" "&amp;IF(I208="1칸","",I208))</f>
        <v xml:space="preserve">회복형 무작위 적 5명 </v>
      </c>
      <c r="C208" s="2" t="s">
        <v>49</v>
      </c>
      <c r="D208" s="2" t="s">
        <v>119</v>
      </c>
      <c r="E208" s="2" t="s">
        <v>57</v>
      </c>
      <c r="F208" s="2">
        <v>5</v>
      </c>
      <c r="G208" s="39" t="s">
        <v>38</v>
      </c>
      <c r="H208" s="39">
        <v>1</v>
      </c>
      <c r="I208" s="5" t="str">
        <f>IFERROR(_xlfn.XLOOKUP(H208,Area!A:A,Area!B:B),"")</f>
        <v>1칸</v>
      </c>
      <c r="K208" t="str">
        <f>IFERROR(_xlfn.XLOOKUP(H208,Area!A:A,Area!H:H),"")</f>
        <v>Skill_Area_Icon_Pivot_Centor</v>
      </c>
    </row>
    <row r="209" spans="1:11" x14ac:dyDescent="0.3">
      <c r="A209" s="55">
        <v>2002009</v>
      </c>
      <c r="B209" s="5" t="str" cm="1">
        <f t="array" ref="B209">IF(F209=0,"논타겟 "&amp;I209,
_xlfn.IFS(D209="None","",D209="All","전체",D209="Fire","화속성 ",D209="Water","수속성 ",D209="Forest","목속성 ",D209="Light","광속성 ",D209="Dark","암속성 ",D209="Attacker","공격형 ",D209="Defender","방어형 ",D209="Supporter","지원형 ",D209="Healer","회복형 ",D209="Magician","구속형 ",D209="Dead","죽은 ",D209="Random","무작위 ")
&amp;_xlfn.IFS(E209="Random","무작위",E209="Near","가까운",E209="LowHp","체력 낮은",E209="HighAtk","공격력 높은",E209="HighHp","체력 높은",E209="LowAtk","공격력 낮은",E209="None","")&amp;_xlfn.IFS(C209="Ally"," 아군",C209="Enemy"," 적",C209="Mine"," 자신",C209="None"," 없음")&amp;" "&amp;F209&amp;"명"&amp;" "&amp;IF(I209="1칸","",I209))</f>
        <v>회복형 무작위 적 1명 9칸</v>
      </c>
      <c r="C209" s="2" t="s">
        <v>49</v>
      </c>
      <c r="D209" s="2" t="s">
        <v>119</v>
      </c>
      <c r="E209" s="2" t="s">
        <v>57</v>
      </c>
      <c r="F209" s="2">
        <v>1</v>
      </c>
      <c r="G209" s="39" t="s">
        <v>38</v>
      </c>
      <c r="H209" s="39">
        <v>2</v>
      </c>
      <c r="I209" s="5" t="str">
        <f>IFERROR(_xlfn.XLOOKUP(H209,Area!A:A,Area!B:B),"")</f>
        <v>9칸</v>
      </c>
      <c r="K209" t="str">
        <f>IFERROR(_xlfn.XLOOKUP(H209,Area!A:A,Area!H:H),"")</f>
        <v>Skill_Area_Icon_Pivot_All</v>
      </c>
    </row>
  </sheetData>
  <autoFilter ref="A3:I209" xr:uid="{29DC94D5-8570-4ABB-9362-0D2C5F88AED4}">
    <sortState xmlns:xlrd2="http://schemas.microsoft.com/office/spreadsheetml/2017/richdata2" ref="A4:I193">
      <sortCondition ref="A3:A98"/>
    </sortState>
  </autoFilter>
  <phoneticPr fontId="1" type="noConversion"/>
  <conditionalFormatting sqref="A4:A209">
    <cfRule type="duplicateValues" dxfId="5" priority="44"/>
  </conditionalFormatting>
  <conditionalFormatting sqref="A210:A1048576 A1:A3">
    <cfRule type="duplicateValues" dxfId="4" priority="3"/>
  </conditionalFormatting>
  <conditionalFormatting sqref="B4:B209">
    <cfRule type="duplicateValues" dxfId="3" priority="46"/>
  </conditionalFormatting>
  <conditionalFormatting sqref="B210:B1048576 B1:B3">
    <cfRule type="duplicateValues" dxfId="2" priority="4"/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D1E8-7E85-4EBB-82F9-26EA965D79E6}">
  <sheetPr codeName="Sheet14"/>
  <dimension ref="A1:H173"/>
  <sheetViews>
    <sheetView topLeftCell="A139" workbookViewId="0">
      <selection activeCell="D79" sqref="D79"/>
    </sheetView>
  </sheetViews>
  <sheetFormatPr defaultRowHeight="12" x14ac:dyDescent="0.3"/>
  <cols>
    <col min="1" max="1" width="9" style="1"/>
    <col min="2" max="2" width="9.875" style="7" customWidth="1"/>
    <col min="3" max="7" width="9" style="1"/>
    <col min="8" max="8" width="21.625" style="1" bestFit="1" customWidth="1"/>
    <col min="9" max="12" width="9" style="1"/>
    <col min="13" max="13" width="9.375" style="1" bestFit="1" customWidth="1"/>
    <col min="14" max="14" width="9" style="1" customWidth="1"/>
    <col min="15" max="16384" width="9" style="1"/>
  </cols>
  <sheetData>
    <row r="1" spans="1:8" x14ac:dyDescent="0.3">
      <c r="A1" s="1" t="s">
        <v>0</v>
      </c>
      <c r="B1" s="7" t="s">
        <v>10</v>
      </c>
      <c r="C1" s="79" t="s">
        <v>80</v>
      </c>
      <c r="D1" s="79"/>
      <c r="E1" s="79"/>
      <c r="F1" s="79"/>
      <c r="G1" s="79"/>
    </row>
    <row r="2" spans="1:8" ht="16.5" customHeight="1" x14ac:dyDescent="0.3">
      <c r="A2" s="1" t="s">
        <v>1</v>
      </c>
      <c r="B2" s="7" t="s">
        <v>2</v>
      </c>
      <c r="C2" s="79" t="s">
        <v>81</v>
      </c>
      <c r="D2" s="79"/>
      <c r="E2" s="79"/>
      <c r="F2" s="79"/>
      <c r="G2" s="79"/>
    </row>
    <row r="3" spans="1:8" ht="12.75" thickBot="1" x14ac:dyDescent="0.35"/>
    <row r="4" spans="1:8" x14ac:dyDescent="0.3">
      <c r="A4" s="79">
        <v>1</v>
      </c>
      <c r="B4" s="78" t="s">
        <v>82</v>
      </c>
      <c r="C4" s="16" t="s">
        <v>38</v>
      </c>
      <c r="D4" s="17" t="s">
        <v>38</v>
      </c>
      <c r="E4" s="17" t="s">
        <v>38</v>
      </c>
      <c r="F4" s="17" t="s">
        <v>38</v>
      </c>
      <c r="G4" s="18" t="s">
        <v>38</v>
      </c>
      <c r="H4" s="1" t="s">
        <v>365</v>
      </c>
    </row>
    <row r="5" spans="1:8" x14ac:dyDescent="0.3">
      <c r="A5" s="79"/>
      <c r="B5" s="78"/>
      <c r="C5" s="19" t="s">
        <v>38</v>
      </c>
      <c r="D5" s="20" t="s">
        <v>38</v>
      </c>
      <c r="E5" s="20" t="s">
        <v>38</v>
      </c>
      <c r="F5" s="20" t="s">
        <v>38</v>
      </c>
      <c r="G5" s="21" t="s">
        <v>38</v>
      </c>
    </row>
    <row r="6" spans="1:8" x14ac:dyDescent="0.3">
      <c r="A6" s="79"/>
      <c r="B6" s="78"/>
      <c r="C6" s="25" t="s">
        <v>38</v>
      </c>
      <c r="D6" s="26" t="s">
        <v>38</v>
      </c>
      <c r="E6" s="20" t="s">
        <v>93</v>
      </c>
      <c r="F6" s="26" t="s">
        <v>38</v>
      </c>
      <c r="G6" s="21" t="s">
        <v>38</v>
      </c>
    </row>
    <row r="7" spans="1:8" x14ac:dyDescent="0.3">
      <c r="A7" s="79"/>
      <c r="B7" s="78"/>
      <c r="C7" s="19" t="s">
        <v>38</v>
      </c>
      <c r="D7" s="20" t="s">
        <v>38</v>
      </c>
      <c r="E7" s="20" t="s">
        <v>38</v>
      </c>
      <c r="F7" s="20" t="s">
        <v>38</v>
      </c>
      <c r="G7" s="21" t="s">
        <v>38</v>
      </c>
    </row>
    <row r="8" spans="1:8" ht="12.75" thickBot="1" x14ac:dyDescent="0.35">
      <c r="A8" s="79"/>
      <c r="B8" s="78"/>
      <c r="C8" s="22" t="s">
        <v>38</v>
      </c>
      <c r="D8" s="23" t="s">
        <v>38</v>
      </c>
      <c r="E8" s="23" t="s">
        <v>38</v>
      </c>
      <c r="F8" s="23" t="s">
        <v>38</v>
      </c>
      <c r="G8" s="24" t="s">
        <v>38</v>
      </c>
    </row>
    <row r="9" spans="1:8" x14ac:dyDescent="0.3">
      <c r="A9" s="79">
        <v>2</v>
      </c>
      <c r="B9" s="78" t="s">
        <v>85</v>
      </c>
      <c r="C9" s="16" t="s">
        <v>38</v>
      </c>
      <c r="D9" s="17" t="s">
        <v>38</v>
      </c>
      <c r="E9" s="17" t="s">
        <v>38</v>
      </c>
      <c r="F9" s="17" t="s">
        <v>38</v>
      </c>
      <c r="G9" s="18" t="s">
        <v>38</v>
      </c>
      <c r="H9" s="1" t="s">
        <v>368</v>
      </c>
    </row>
    <row r="10" spans="1:8" x14ac:dyDescent="0.3">
      <c r="A10" s="79"/>
      <c r="B10" s="78"/>
      <c r="C10" s="19" t="s">
        <v>38</v>
      </c>
      <c r="D10" s="20" t="s">
        <v>94</v>
      </c>
      <c r="E10" s="20" t="s">
        <v>94</v>
      </c>
      <c r="F10" s="20" t="s">
        <v>94</v>
      </c>
      <c r="G10" s="21" t="s">
        <v>38</v>
      </c>
    </row>
    <row r="11" spans="1:8" x14ac:dyDescent="0.3">
      <c r="A11" s="79"/>
      <c r="B11" s="78"/>
      <c r="C11" s="25" t="s">
        <v>38</v>
      </c>
      <c r="D11" s="26" t="s">
        <v>94</v>
      </c>
      <c r="E11" s="20" t="s">
        <v>93</v>
      </c>
      <c r="F11" s="26" t="s">
        <v>94</v>
      </c>
      <c r="G11" s="21" t="s">
        <v>38</v>
      </c>
    </row>
    <row r="12" spans="1:8" x14ac:dyDescent="0.3">
      <c r="A12" s="79"/>
      <c r="B12" s="78"/>
      <c r="C12" s="19" t="s">
        <v>38</v>
      </c>
      <c r="D12" s="20" t="s">
        <v>94</v>
      </c>
      <c r="E12" s="20" t="s">
        <v>94</v>
      </c>
      <c r="F12" s="20" t="s">
        <v>94</v>
      </c>
      <c r="G12" s="21" t="s">
        <v>38</v>
      </c>
    </row>
    <row r="13" spans="1:8" ht="12.75" thickBot="1" x14ac:dyDescent="0.35">
      <c r="A13" s="79"/>
      <c r="B13" s="78"/>
      <c r="C13" s="22" t="s">
        <v>38</v>
      </c>
      <c r="D13" s="23" t="s">
        <v>38</v>
      </c>
      <c r="E13" s="23" t="s">
        <v>38</v>
      </c>
      <c r="F13" s="23" t="s">
        <v>38</v>
      </c>
      <c r="G13" s="24" t="s">
        <v>38</v>
      </c>
    </row>
    <row r="14" spans="1:8" x14ac:dyDescent="0.3">
      <c r="A14" s="79">
        <v>3</v>
      </c>
      <c r="B14" s="78" t="s">
        <v>83</v>
      </c>
      <c r="C14" s="16" t="s">
        <v>38</v>
      </c>
      <c r="D14" s="17" t="s">
        <v>38</v>
      </c>
      <c r="E14" s="17" t="s">
        <v>38</v>
      </c>
      <c r="F14" s="17" t="s">
        <v>38</v>
      </c>
      <c r="G14" s="18" t="s">
        <v>38</v>
      </c>
      <c r="H14" s="1" t="s">
        <v>369</v>
      </c>
    </row>
    <row r="15" spans="1:8" x14ac:dyDescent="0.3">
      <c r="A15" s="79"/>
      <c r="B15" s="78"/>
      <c r="C15" s="19" t="s">
        <v>38</v>
      </c>
      <c r="D15" s="20" t="s">
        <v>38</v>
      </c>
      <c r="E15" s="20" t="s">
        <v>94</v>
      </c>
      <c r="F15" s="20" t="s">
        <v>38</v>
      </c>
      <c r="G15" s="21" t="s">
        <v>38</v>
      </c>
    </row>
    <row r="16" spans="1:8" x14ac:dyDescent="0.3">
      <c r="A16" s="79"/>
      <c r="B16" s="78"/>
      <c r="C16" s="25" t="s">
        <v>38</v>
      </c>
      <c r="D16" s="26" t="s">
        <v>94</v>
      </c>
      <c r="E16" s="20" t="s">
        <v>93</v>
      </c>
      <c r="F16" s="26" t="s">
        <v>94</v>
      </c>
      <c r="G16" s="21" t="s">
        <v>38</v>
      </c>
    </row>
    <row r="17" spans="1:8" x14ac:dyDescent="0.3">
      <c r="A17" s="79"/>
      <c r="B17" s="78"/>
      <c r="C17" s="19" t="s">
        <v>38</v>
      </c>
      <c r="D17" s="20" t="s">
        <v>38</v>
      </c>
      <c r="E17" s="20" t="s">
        <v>94</v>
      </c>
      <c r="F17" s="20" t="s">
        <v>38</v>
      </c>
      <c r="G17" s="21" t="s">
        <v>38</v>
      </c>
    </row>
    <row r="18" spans="1:8" ht="12.75" thickBot="1" x14ac:dyDescent="0.35">
      <c r="A18" s="79"/>
      <c r="B18" s="78"/>
      <c r="C18" s="22" t="s">
        <v>38</v>
      </c>
      <c r="D18" s="23" t="s">
        <v>38</v>
      </c>
      <c r="E18" s="23" t="s">
        <v>38</v>
      </c>
      <c r="F18" s="23" t="s">
        <v>38</v>
      </c>
      <c r="G18" s="24" t="s">
        <v>38</v>
      </c>
    </row>
    <row r="19" spans="1:8" x14ac:dyDescent="0.3">
      <c r="A19" s="79">
        <v>4</v>
      </c>
      <c r="B19" s="78" t="s">
        <v>84</v>
      </c>
      <c r="C19" s="16" t="s">
        <v>38</v>
      </c>
      <c r="D19" s="17" t="s">
        <v>38</v>
      </c>
      <c r="E19" s="17" t="s">
        <v>38</v>
      </c>
      <c r="F19" s="17" t="s">
        <v>38</v>
      </c>
      <c r="G19" s="18" t="s">
        <v>38</v>
      </c>
    </row>
    <row r="20" spans="1:8" x14ac:dyDescent="0.3">
      <c r="A20" s="79"/>
      <c r="B20" s="78"/>
      <c r="C20" s="19" t="s">
        <v>38</v>
      </c>
      <c r="D20" s="20" t="s">
        <v>94</v>
      </c>
      <c r="E20" s="20" t="s">
        <v>38</v>
      </c>
      <c r="F20" s="20" t="s">
        <v>94</v>
      </c>
      <c r="G20" s="21" t="s">
        <v>38</v>
      </c>
    </row>
    <row r="21" spans="1:8" x14ac:dyDescent="0.3">
      <c r="A21" s="79"/>
      <c r="B21" s="78"/>
      <c r="C21" s="25" t="s">
        <v>38</v>
      </c>
      <c r="D21" s="26" t="s">
        <v>38</v>
      </c>
      <c r="E21" s="20" t="s">
        <v>93</v>
      </c>
      <c r="F21" s="26" t="s">
        <v>38</v>
      </c>
      <c r="G21" s="21" t="s">
        <v>38</v>
      </c>
    </row>
    <row r="22" spans="1:8" x14ac:dyDescent="0.3">
      <c r="A22" s="79"/>
      <c r="B22" s="78"/>
      <c r="C22" s="19" t="s">
        <v>38</v>
      </c>
      <c r="D22" s="20" t="s">
        <v>94</v>
      </c>
      <c r="E22" s="20" t="s">
        <v>38</v>
      </c>
      <c r="F22" s="20" t="s">
        <v>94</v>
      </c>
      <c r="G22" s="21" t="s">
        <v>38</v>
      </c>
    </row>
    <row r="23" spans="1:8" ht="12.75" thickBot="1" x14ac:dyDescent="0.35">
      <c r="A23" s="79"/>
      <c r="B23" s="78"/>
      <c r="C23" s="22" t="s">
        <v>38</v>
      </c>
      <c r="D23" s="23" t="s">
        <v>38</v>
      </c>
      <c r="E23" s="23" t="s">
        <v>38</v>
      </c>
      <c r="F23" s="23" t="s">
        <v>38</v>
      </c>
      <c r="G23" s="24" t="s">
        <v>38</v>
      </c>
    </row>
    <row r="24" spans="1:8" x14ac:dyDescent="0.3">
      <c r="A24" s="79">
        <v>5</v>
      </c>
      <c r="B24" s="78" t="s">
        <v>170</v>
      </c>
      <c r="C24" s="16" t="s">
        <v>38</v>
      </c>
      <c r="D24" s="17" t="s">
        <v>94</v>
      </c>
      <c r="E24" s="17" t="s">
        <v>38</v>
      </c>
      <c r="F24" s="17" t="s">
        <v>38</v>
      </c>
      <c r="G24" s="18" t="s">
        <v>38</v>
      </c>
    </row>
    <row r="25" spans="1:8" x14ac:dyDescent="0.3">
      <c r="A25" s="79"/>
      <c r="B25" s="78"/>
      <c r="C25" s="19" t="s">
        <v>38</v>
      </c>
      <c r="D25" s="20" t="s">
        <v>94</v>
      </c>
      <c r="E25" s="20" t="s">
        <v>38</v>
      </c>
      <c r="F25" s="20" t="s">
        <v>38</v>
      </c>
      <c r="G25" s="21" t="s">
        <v>38</v>
      </c>
    </row>
    <row r="26" spans="1:8" x14ac:dyDescent="0.3">
      <c r="A26" s="79"/>
      <c r="B26" s="78"/>
      <c r="C26" s="25" t="s">
        <v>38</v>
      </c>
      <c r="D26" s="26" t="s">
        <v>93</v>
      </c>
      <c r="E26" s="20" t="s">
        <v>38</v>
      </c>
      <c r="F26" s="26" t="s">
        <v>38</v>
      </c>
      <c r="G26" s="21" t="s">
        <v>38</v>
      </c>
    </row>
    <row r="27" spans="1:8" x14ac:dyDescent="0.3">
      <c r="A27" s="79"/>
      <c r="B27" s="78"/>
      <c r="C27" s="19" t="s">
        <v>38</v>
      </c>
      <c r="D27" s="20" t="s">
        <v>94</v>
      </c>
      <c r="E27" s="20" t="s">
        <v>38</v>
      </c>
      <c r="F27" s="20" t="s">
        <v>38</v>
      </c>
      <c r="G27" s="21" t="s">
        <v>38</v>
      </c>
    </row>
    <row r="28" spans="1:8" ht="12.75" thickBot="1" x14ac:dyDescent="0.35">
      <c r="A28" s="79"/>
      <c r="B28" s="78"/>
      <c r="C28" s="22" t="s">
        <v>38</v>
      </c>
      <c r="D28" s="23" t="s">
        <v>94</v>
      </c>
      <c r="E28" s="23" t="s">
        <v>38</v>
      </c>
      <c r="F28" s="23" t="s">
        <v>38</v>
      </c>
      <c r="G28" s="24" t="s">
        <v>38</v>
      </c>
    </row>
    <row r="29" spans="1:8" x14ac:dyDescent="0.3">
      <c r="A29" s="79">
        <v>6</v>
      </c>
      <c r="B29" s="78" t="s">
        <v>171</v>
      </c>
      <c r="C29" s="16" t="s">
        <v>38</v>
      </c>
      <c r="D29" s="17" t="s">
        <v>38</v>
      </c>
      <c r="E29" s="17" t="s">
        <v>94</v>
      </c>
      <c r="F29" s="17" t="s">
        <v>38</v>
      </c>
      <c r="G29" s="18" t="s">
        <v>38</v>
      </c>
      <c r="H29" s="1" t="s">
        <v>371</v>
      </c>
    </row>
    <row r="30" spans="1:8" x14ac:dyDescent="0.3">
      <c r="A30" s="79"/>
      <c r="B30" s="78"/>
      <c r="C30" s="19" t="s">
        <v>38</v>
      </c>
      <c r="D30" s="20" t="s">
        <v>38</v>
      </c>
      <c r="E30" s="20" t="s">
        <v>94</v>
      </c>
      <c r="F30" s="20" t="s">
        <v>38</v>
      </c>
      <c r="G30" s="21" t="s">
        <v>38</v>
      </c>
    </row>
    <row r="31" spans="1:8" x14ac:dyDescent="0.3">
      <c r="A31" s="79"/>
      <c r="B31" s="78"/>
      <c r="C31" s="25" t="s">
        <v>38</v>
      </c>
      <c r="D31" s="26" t="s">
        <v>38</v>
      </c>
      <c r="E31" s="20" t="s">
        <v>93</v>
      </c>
      <c r="F31" s="26" t="s">
        <v>38</v>
      </c>
      <c r="G31" s="21" t="s">
        <v>38</v>
      </c>
    </row>
    <row r="32" spans="1:8" x14ac:dyDescent="0.3">
      <c r="A32" s="79"/>
      <c r="B32" s="78"/>
      <c r="C32" s="19" t="s">
        <v>38</v>
      </c>
      <c r="D32" s="20" t="s">
        <v>38</v>
      </c>
      <c r="E32" s="20" t="s">
        <v>94</v>
      </c>
      <c r="F32" s="20" t="s">
        <v>38</v>
      </c>
      <c r="G32" s="21" t="s">
        <v>38</v>
      </c>
    </row>
    <row r="33" spans="1:7" ht="12.75" thickBot="1" x14ac:dyDescent="0.35">
      <c r="A33" s="79"/>
      <c r="B33" s="78"/>
      <c r="C33" s="22" t="s">
        <v>38</v>
      </c>
      <c r="D33" s="23" t="s">
        <v>38</v>
      </c>
      <c r="E33" s="23" t="s">
        <v>94</v>
      </c>
      <c r="F33" s="23" t="s">
        <v>38</v>
      </c>
      <c r="G33" s="24" t="s">
        <v>38</v>
      </c>
    </row>
    <row r="34" spans="1:7" x14ac:dyDescent="0.3">
      <c r="A34" s="79">
        <v>7</v>
      </c>
      <c r="B34" s="78" t="s">
        <v>172</v>
      </c>
      <c r="C34" s="16" t="s">
        <v>38</v>
      </c>
      <c r="D34" s="17" t="s">
        <v>38</v>
      </c>
      <c r="E34" s="17" t="s">
        <v>38</v>
      </c>
      <c r="F34" s="17" t="s">
        <v>94</v>
      </c>
      <c r="G34" s="18" t="s">
        <v>38</v>
      </c>
    </row>
    <row r="35" spans="1:7" x14ac:dyDescent="0.3">
      <c r="A35" s="79"/>
      <c r="B35" s="78"/>
      <c r="C35" s="19" t="s">
        <v>38</v>
      </c>
      <c r="D35" s="20" t="s">
        <v>38</v>
      </c>
      <c r="E35" s="20" t="s">
        <v>38</v>
      </c>
      <c r="F35" s="20" t="s">
        <v>94</v>
      </c>
      <c r="G35" s="21" t="s">
        <v>38</v>
      </c>
    </row>
    <row r="36" spans="1:7" x14ac:dyDescent="0.3">
      <c r="A36" s="79"/>
      <c r="B36" s="78"/>
      <c r="C36" s="26" t="s">
        <v>38</v>
      </c>
      <c r="D36" s="26" t="s">
        <v>38</v>
      </c>
      <c r="E36" s="26" t="s">
        <v>38</v>
      </c>
      <c r="F36" s="20" t="s">
        <v>93</v>
      </c>
      <c r="G36" s="21" t="s">
        <v>38</v>
      </c>
    </row>
    <row r="37" spans="1:7" x14ac:dyDescent="0.3">
      <c r="A37" s="79"/>
      <c r="B37" s="78"/>
      <c r="C37" s="19" t="s">
        <v>38</v>
      </c>
      <c r="D37" s="20" t="s">
        <v>38</v>
      </c>
      <c r="E37" s="20" t="s">
        <v>38</v>
      </c>
      <c r="F37" s="20" t="s">
        <v>94</v>
      </c>
      <c r="G37" s="21" t="s">
        <v>38</v>
      </c>
    </row>
    <row r="38" spans="1:7" ht="12.75" thickBot="1" x14ac:dyDescent="0.35">
      <c r="A38" s="79"/>
      <c r="B38" s="78"/>
      <c r="C38" s="22" t="s">
        <v>38</v>
      </c>
      <c r="D38" s="23" t="s">
        <v>38</v>
      </c>
      <c r="E38" s="23" t="s">
        <v>38</v>
      </c>
      <c r="F38" s="23" t="s">
        <v>94</v>
      </c>
      <c r="G38" s="24" t="s">
        <v>38</v>
      </c>
    </row>
    <row r="39" spans="1:7" x14ac:dyDescent="0.3">
      <c r="A39" s="79">
        <v>8</v>
      </c>
      <c r="B39" s="78" t="s">
        <v>173</v>
      </c>
      <c r="C39" s="16" t="s">
        <v>38</v>
      </c>
      <c r="D39" s="17" t="s">
        <v>94</v>
      </c>
      <c r="E39" s="17" t="s">
        <v>94</v>
      </c>
      <c r="F39" s="17" t="s">
        <v>38</v>
      </c>
      <c r="G39" s="18" t="s">
        <v>38</v>
      </c>
    </row>
    <row r="40" spans="1:7" x14ac:dyDescent="0.3">
      <c r="A40" s="79"/>
      <c r="B40" s="78"/>
      <c r="C40" s="19" t="s">
        <v>38</v>
      </c>
      <c r="D40" s="20" t="s">
        <v>94</v>
      </c>
      <c r="E40" s="20" t="s">
        <v>94</v>
      </c>
      <c r="F40" s="20" t="s">
        <v>38</v>
      </c>
      <c r="G40" s="21" t="s">
        <v>38</v>
      </c>
    </row>
    <row r="41" spans="1:7" x14ac:dyDescent="0.3">
      <c r="A41" s="79"/>
      <c r="B41" s="78"/>
      <c r="C41" s="25" t="s">
        <v>38</v>
      </c>
      <c r="D41" s="26" t="s">
        <v>93</v>
      </c>
      <c r="E41" s="20" t="s">
        <v>94</v>
      </c>
      <c r="F41" s="26" t="s">
        <v>38</v>
      </c>
      <c r="G41" s="21" t="s">
        <v>38</v>
      </c>
    </row>
    <row r="42" spans="1:7" x14ac:dyDescent="0.3">
      <c r="A42" s="79"/>
      <c r="B42" s="78"/>
      <c r="C42" s="19" t="s">
        <v>38</v>
      </c>
      <c r="D42" s="20" t="s">
        <v>94</v>
      </c>
      <c r="E42" s="20" t="s">
        <v>94</v>
      </c>
      <c r="F42" s="20" t="s">
        <v>38</v>
      </c>
      <c r="G42" s="21" t="s">
        <v>38</v>
      </c>
    </row>
    <row r="43" spans="1:7" ht="12.75" thickBot="1" x14ac:dyDescent="0.35">
      <c r="A43" s="79"/>
      <c r="B43" s="78"/>
      <c r="C43" s="22" t="s">
        <v>38</v>
      </c>
      <c r="D43" s="23" t="s">
        <v>94</v>
      </c>
      <c r="E43" s="23" t="s">
        <v>94</v>
      </c>
      <c r="F43" s="23" t="s">
        <v>38</v>
      </c>
      <c r="G43" s="24" t="s">
        <v>38</v>
      </c>
    </row>
    <row r="44" spans="1:7" x14ac:dyDescent="0.3">
      <c r="A44" s="79">
        <v>9</v>
      </c>
      <c r="B44" s="78" t="s">
        <v>174</v>
      </c>
      <c r="C44" s="16" t="s">
        <v>38</v>
      </c>
      <c r="D44" s="17" t="s">
        <v>38</v>
      </c>
      <c r="E44" s="17" t="s">
        <v>94</v>
      </c>
      <c r="F44" s="17" t="s">
        <v>94</v>
      </c>
      <c r="G44" s="18" t="s">
        <v>38</v>
      </c>
    </row>
    <row r="45" spans="1:7" x14ac:dyDescent="0.3">
      <c r="A45" s="79"/>
      <c r="B45" s="78"/>
      <c r="C45" s="19" t="s">
        <v>38</v>
      </c>
      <c r="D45" s="20" t="s">
        <v>38</v>
      </c>
      <c r="E45" s="20" t="s">
        <v>94</v>
      </c>
      <c r="F45" s="20" t="s">
        <v>94</v>
      </c>
      <c r="G45" s="21" t="s">
        <v>38</v>
      </c>
    </row>
    <row r="46" spans="1:7" x14ac:dyDescent="0.3">
      <c r="A46" s="79"/>
      <c r="B46" s="78"/>
      <c r="C46" s="25" t="s">
        <v>38</v>
      </c>
      <c r="D46" s="26" t="s">
        <v>38</v>
      </c>
      <c r="E46" s="20" t="s">
        <v>94</v>
      </c>
      <c r="F46" s="26" t="s">
        <v>93</v>
      </c>
      <c r="G46" s="21" t="s">
        <v>38</v>
      </c>
    </row>
    <row r="47" spans="1:7" x14ac:dyDescent="0.3">
      <c r="A47" s="79"/>
      <c r="B47" s="78"/>
      <c r="C47" s="19" t="s">
        <v>38</v>
      </c>
      <c r="D47" s="20" t="s">
        <v>38</v>
      </c>
      <c r="E47" s="20" t="s">
        <v>94</v>
      </c>
      <c r="F47" s="20" t="s">
        <v>94</v>
      </c>
      <c r="G47" s="21" t="s">
        <v>38</v>
      </c>
    </row>
    <row r="48" spans="1:7" ht="12.75" thickBot="1" x14ac:dyDescent="0.35">
      <c r="A48" s="79"/>
      <c r="B48" s="78"/>
      <c r="C48" s="22" t="s">
        <v>38</v>
      </c>
      <c r="D48" s="23" t="s">
        <v>38</v>
      </c>
      <c r="E48" s="23" t="s">
        <v>94</v>
      </c>
      <c r="F48" s="23" t="s">
        <v>94</v>
      </c>
      <c r="G48" s="24" t="s">
        <v>38</v>
      </c>
    </row>
    <row r="49" spans="1:8" x14ac:dyDescent="0.3">
      <c r="A49" s="79">
        <v>10</v>
      </c>
      <c r="B49" s="78" t="s">
        <v>175</v>
      </c>
      <c r="C49" s="16" t="s">
        <v>38</v>
      </c>
      <c r="D49" s="17" t="s">
        <v>38</v>
      </c>
      <c r="E49" s="17" t="s">
        <v>38</v>
      </c>
      <c r="F49" s="17" t="s">
        <v>38</v>
      </c>
      <c r="G49" s="18" t="s">
        <v>38</v>
      </c>
    </row>
    <row r="50" spans="1:8" x14ac:dyDescent="0.3">
      <c r="A50" s="79"/>
      <c r="B50" s="78"/>
      <c r="C50" s="19" t="s">
        <v>94</v>
      </c>
      <c r="D50" s="20" t="s">
        <v>94</v>
      </c>
      <c r="E50" s="20" t="s">
        <v>93</v>
      </c>
      <c r="F50" s="20" t="s">
        <v>94</v>
      </c>
      <c r="G50" s="30" t="s">
        <v>94</v>
      </c>
    </row>
    <row r="51" spans="1:8" x14ac:dyDescent="0.3">
      <c r="A51" s="79"/>
      <c r="B51" s="78"/>
      <c r="C51" s="25" t="s">
        <v>38</v>
      </c>
      <c r="D51" s="26" t="s">
        <v>38</v>
      </c>
      <c r="E51" s="26" t="s">
        <v>38</v>
      </c>
      <c r="F51" s="26" t="s">
        <v>38</v>
      </c>
      <c r="G51" s="21" t="s">
        <v>38</v>
      </c>
    </row>
    <row r="52" spans="1:8" x14ac:dyDescent="0.3">
      <c r="A52" s="79"/>
      <c r="B52" s="78"/>
      <c r="C52" s="19" t="s">
        <v>38</v>
      </c>
      <c r="D52" s="20" t="s">
        <v>38</v>
      </c>
      <c r="E52" s="20" t="s">
        <v>38</v>
      </c>
      <c r="F52" s="20" t="s">
        <v>38</v>
      </c>
      <c r="G52" s="30" t="s">
        <v>38</v>
      </c>
    </row>
    <row r="53" spans="1:8" ht="12.75" thickBot="1" x14ac:dyDescent="0.35">
      <c r="A53" s="79"/>
      <c r="B53" s="78"/>
      <c r="C53" s="22" t="s">
        <v>38</v>
      </c>
      <c r="D53" s="23" t="s">
        <v>38</v>
      </c>
      <c r="E53" s="23" t="s">
        <v>38</v>
      </c>
      <c r="F53" s="23" t="s">
        <v>38</v>
      </c>
      <c r="G53" s="24" t="s">
        <v>38</v>
      </c>
    </row>
    <row r="54" spans="1:8" x14ac:dyDescent="0.3">
      <c r="A54" s="79">
        <v>11</v>
      </c>
      <c r="B54" s="78" t="s">
        <v>176</v>
      </c>
      <c r="C54" s="16" t="s">
        <v>38</v>
      </c>
      <c r="D54" s="17" t="s">
        <v>38</v>
      </c>
      <c r="E54" s="17" t="s">
        <v>38</v>
      </c>
      <c r="F54" s="17" t="s">
        <v>38</v>
      </c>
      <c r="G54" s="18" t="s">
        <v>38</v>
      </c>
      <c r="H54" s="1" t="s">
        <v>370</v>
      </c>
    </row>
    <row r="55" spans="1:8" x14ac:dyDescent="0.3">
      <c r="A55" s="79"/>
      <c r="B55" s="78"/>
      <c r="C55" s="19" t="s">
        <v>38</v>
      </c>
      <c r="D55" s="20" t="s">
        <v>38</v>
      </c>
      <c r="E55" s="20" t="s">
        <v>38</v>
      </c>
      <c r="F55" s="20" t="s">
        <v>38</v>
      </c>
      <c r="G55" s="30" t="s">
        <v>38</v>
      </c>
    </row>
    <row r="56" spans="1:8" x14ac:dyDescent="0.3">
      <c r="A56" s="79"/>
      <c r="B56" s="78"/>
      <c r="C56" s="25" t="s">
        <v>94</v>
      </c>
      <c r="D56" s="26" t="s">
        <v>94</v>
      </c>
      <c r="E56" s="26" t="s">
        <v>93</v>
      </c>
      <c r="F56" s="20" t="s">
        <v>94</v>
      </c>
      <c r="G56" s="21" t="s">
        <v>94</v>
      </c>
    </row>
    <row r="57" spans="1:8" x14ac:dyDescent="0.3">
      <c r="A57" s="79"/>
      <c r="B57" s="78"/>
      <c r="C57" s="19" t="s">
        <v>38</v>
      </c>
      <c r="D57" s="20" t="s">
        <v>38</v>
      </c>
      <c r="E57" s="20" t="s">
        <v>38</v>
      </c>
      <c r="F57" s="20" t="s">
        <v>38</v>
      </c>
      <c r="G57" s="30" t="s">
        <v>38</v>
      </c>
    </row>
    <row r="58" spans="1:8" ht="12.75" thickBot="1" x14ac:dyDescent="0.35">
      <c r="A58" s="79"/>
      <c r="B58" s="78"/>
      <c r="C58" s="22" t="s">
        <v>38</v>
      </c>
      <c r="D58" s="23" t="s">
        <v>38</v>
      </c>
      <c r="E58" s="23" t="s">
        <v>38</v>
      </c>
      <c r="F58" s="23" t="s">
        <v>38</v>
      </c>
      <c r="G58" s="24" t="s">
        <v>38</v>
      </c>
    </row>
    <row r="59" spans="1:8" x14ac:dyDescent="0.3">
      <c r="A59" s="79">
        <v>12</v>
      </c>
      <c r="B59" s="78" t="s">
        <v>177</v>
      </c>
      <c r="C59" s="16" t="s">
        <v>38</v>
      </c>
      <c r="D59" s="17" t="s">
        <v>38</v>
      </c>
      <c r="E59" s="17" t="s">
        <v>38</v>
      </c>
      <c r="F59" s="17" t="s">
        <v>38</v>
      </c>
      <c r="G59" s="18" t="s">
        <v>38</v>
      </c>
    </row>
    <row r="60" spans="1:8" x14ac:dyDescent="0.3">
      <c r="A60" s="79"/>
      <c r="B60" s="78"/>
      <c r="C60" s="19" t="s">
        <v>38</v>
      </c>
      <c r="D60" s="20" t="s">
        <v>38</v>
      </c>
      <c r="E60" s="20" t="s">
        <v>38</v>
      </c>
      <c r="F60" s="20" t="s">
        <v>38</v>
      </c>
      <c r="G60" s="21" t="s">
        <v>38</v>
      </c>
    </row>
    <row r="61" spans="1:8" x14ac:dyDescent="0.3">
      <c r="A61" s="79"/>
      <c r="B61" s="78"/>
      <c r="C61" s="26" t="s">
        <v>38</v>
      </c>
      <c r="D61" s="26" t="s">
        <v>38</v>
      </c>
      <c r="E61" s="26" t="s">
        <v>38</v>
      </c>
      <c r="F61" s="26" t="s">
        <v>38</v>
      </c>
      <c r="G61" s="21" t="s">
        <v>38</v>
      </c>
    </row>
    <row r="62" spans="1:8" x14ac:dyDescent="0.3">
      <c r="A62" s="79"/>
      <c r="B62" s="78"/>
      <c r="C62" s="19" t="s">
        <v>94</v>
      </c>
      <c r="D62" s="20" t="s">
        <v>94</v>
      </c>
      <c r="E62" s="20" t="s">
        <v>93</v>
      </c>
      <c r="F62" s="20" t="s">
        <v>94</v>
      </c>
      <c r="G62" s="21" t="s">
        <v>94</v>
      </c>
    </row>
    <row r="63" spans="1:8" ht="12.75" thickBot="1" x14ac:dyDescent="0.35">
      <c r="A63" s="79"/>
      <c r="B63" s="78"/>
      <c r="C63" s="22" t="s">
        <v>38</v>
      </c>
      <c r="D63" s="23" t="s">
        <v>38</v>
      </c>
      <c r="E63" s="23" t="s">
        <v>38</v>
      </c>
      <c r="F63" s="23" t="s">
        <v>38</v>
      </c>
      <c r="G63" s="24" t="s">
        <v>38</v>
      </c>
    </row>
    <row r="64" spans="1:8" x14ac:dyDescent="0.3">
      <c r="A64" s="79">
        <v>13</v>
      </c>
      <c r="B64" s="78" t="s">
        <v>178</v>
      </c>
      <c r="C64" s="16" t="s">
        <v>38</v>
      </c>
      <c r="D64" s="17" t="s">
        <v>38</v>
      </c>
      <c r="E64" s="17" t="s">
        <v>38</v>
      </c>
      <c r="F64" s="17" t="s">
        <v>38</v>
      </c>
      <c r="G64" s="18" t="s">
        <v>38</v>
      </c>
    </row>
    <row r="65" spans="1:7" x14ac:dyDescent="0.3">
      <c r="A65" s="79"/>
      <c r="B65" s="78"/>
      <c r="C65" s="19" t="s">
        <v>94</v>
      </c>
      <c r="D65" s="20" t="s">
        <v>94</v>
      </c>
      <c r="E65" s="20" t="s">
        <v>93</v>
      </c>
      <c r="F65" s="20" t="s">
        <v>94</v>
      </c>
      <c r="G65" s="30" t="s">
        <v>94</v>
      </c>
    </row>
    <row r="66" spans="1:7" x14ac:dyDescent="0.3">
      <c r="A66" s="79"/>
      <c r="B66" s="78"/>
      <c r="C66" s="25" t="s">
        <v>94</v>
      </c>
      <c r="D66" s="26" t="s">
        <v>94</v>
      </c>
      <c r="E66" s="26" t="s">
        <v>94</v>
      </c>
      <c r="F66" s="26" t="s">
        <v>94</v>
      </c>
      <c r="G66" s="21" t="s">
        <v>94</v>
      </c>
    </row>
    <row r="67" spans="1:7" x14ac:dyDescent="0.3">
      <c r="A67" s="79"/>
      <c r="B67" s="78"/>
      <c r="C67" s="19" t="s">
        <v>38</v>
      </c>
      <c r="D67" s="20" t="s">
        <v>38</v>
      </c>
      <c r="E67" s="20" t="s">
        <v>38</v>
      </c>
      <c r="F67" s="20" t="s">
        <v>38</v>
      </c>
      <c r="G67" s="30" t="s">
        <v>38</v>
      </c>
    </row>
    <row r="68" spans="1:7" ht="12.75" thickBot="1" x14ac:dyDescent="0.35">
      <c r="A68" s="79"/>
      <c r="B68" s="78"/>
      <c r="C68" s="22" t="s">
        <v>38</v>
      </c>
      <c r="D68" s="23" t="s">
        <v>38</v>
      </c>
      <c r="E68" s="23" t="s">
        <v>38</v>
      </c>
      <c r="F68" s="23" t="s">
        <v>38</v>
      </c>
      <c r="G68" s="24" t="s">
        <v>38</v>
      </c>
    </row>
    <row r="69" spans="1:7" x14ac:dyDescent="0.3">
      <c r="A69" s="79">
        <v>14</v>
      </c>
      <c r="B69" s="78" t="s">
        <v>179</v>
      </c>
      <c r="C69" s="16" t="s">
        <v>38</v>
      </c>
      <c r="D69" s="17" t="s">
        <v>38</v>
      </c>
      <c r="E69" s="17" t="s">
        <v>38</v>
      </c>
      <c r="F69" s="17" t="s">
        <v>38</v>
      </c>
      <c r="G69" s="18" t="s">
        <v>38</v>
      </c>
    </row>
    <row r="70" spans="1:7" x14ac:dyDescent="0.3">
      <c r="A70" s="79"/>
      <c r="B70" s="78"/>
      <c r="C70" s="19" t="s">
        <v>38</v>
      </c>
      <c r="D70" s="20" t="s">
        <v>38</v>
      </c>
      <c r="E70" s="20" t="s">
        <v>38</v>
      </c>
      <c r="F70" s="20" t="s">
        <v>38</v>
      </c>
      <c r="G70" s="21" t="s">
        <v>38</v>
      </c>
    </row>
    <row r="71" spans="1:7" x14ac:dyDescent="0.3">
      <c r="A71" s="79"/>
      <c r="B71" s="78"/>
      <c r="C71" s="26" t="s">
        <v>94</v>
      </c>
      <c r="D71" s="26" t="s">
        <v>94</v>
      </c>
      <c r="E71" s="26" t="s">
        <v>94</v>
      </c>
      <c r="F71" s="26" t="s">
        <v>94</v>
      </c>
      <c r="G71" s="21" t="s">
        <v>94</v>
      </c>
    </row>
    <row r="72" spans="1:7" x14ac:dyDescent="0.3">
      <c r="A72" s="79"/>
      <c r="B72" s="78"/>
      <c r="C72" s="19" t="s">
        <v>94</v>
      </c>
      <c r="D72" s="20" t="s">
        <v>94</v>
      </c>
      <c r="E72" s="20" t="s">
        <v>93</v>
      </c>
      <c r="F72" s="20" t="s">
        <v>94</v>
      </c>
      <c r="G72" s="21" t="s">
        <v>94</v>
      </c>
    </row>
    <row r="73" spans="1:7" ht="12.75" thickBot="1" x14ac:dyDescent="0.35">
      <c r="A73" s="79"/>
      <c r="B73" s="78"/>
      <c r="C73" s="22" t="s">
        <v>38</v>
      </c>
      <c r="D73" s="23" t="s">
        <v>38</v>
      </c>
      <c r="E73" s="23" t="s">
        <v>38</v>
      </c>
      <c r="F73" s="23" t="s">
        <v>38</v>
      </c>
      <c r="G73" s="24" t="s">
        <v>38</v>
      </c>
    </row>
    <row r="74" spans="1:7" x14ac:dyDescent="0.3">
      <c r="A74" s="79">
        <v>15</v>
      </c>
      <c r="B74" s="78" t="s">
        <v>235</v>
      </c>
      <c r="C74" s="16" t="s">
        <v>38</v>
      </c>
      <c r="D74" s="17" t="s">
        <v>38</v>
      </c>
      <c r="E74" s="17" t="s">
        <v>38</v>
      </c>
      <c r="F74" s="17" t="s">
        <v>38</v>
      </c>
      <c r="G74" s="18" t="s">
        <v>38</v>
      </c>
    </row>
    <row r="75" spans="1:7" x14ac:dyDescent="0.3">
      <c r="A75" s="79"/>
      <c r="B75" s="78"/>
      <c r="C75" s="19" t="s">
        <v>38</v>
      </c>
      <c r="D75" s="20" t="s">
        <v>38</v>
      </c>
      <c r="E75" s="20" t="s">
        <v>94</v>
      </c>
      <c r="F75" s="20" t="s">
        <v>38</v>
      </c>
      <c r="G75" s="21" t="s">
        <v>38</v>
      </c>
    </row>
    <row r="76" spans="1:7" x14ac:dyDescent="0.3">
      <c r="A76" s="79"/>
      <c r="B76" s="78"/>
      <c r="C76" s="26" t="s">
        <v>38</v>
      </c>
      <c r="D76" s="26" t="s">
        <v>38</v>
      </c>
      <c r="E76" s="26" t="s">
        <v>93</v>
      </c>
      <c r="F76" s="26" t="s">
        <v>38</v>
      </c>
      <c r="G76" s="21" t="s">
        <v>38</v>
      </c>
    </row>
    <row r="77" spans="1:7" x14ac:dyDescent="0.3">
      <c r="A77" s="79"/>
      <c r="B77" s="78"/>
      <c r="C77" s="19" t="s">
        <v>38</v>
      </c>
      <c r="D77" s="20" t="s">
        <v>38</v>
      </c>
      <c r="E77" s="20" t="s">
        <v>38</v>
      </c>
      <c r="F77" s="20" t="s">
        <v>38</v>
      </c>
      <c r="G77" s="21" t="s">
        <v>38</v>
      </c>
    </row>
    <row r="78" spans="1:7" ht="12.75" thickBot="1" x14ac:dyDescent="0.35">
      <c r="A78" s="79"/>
      <c r="B78" s="78"/>
      <c r="C78" s="22" t="s">
        <v>38</v>
      </c>
      <c r="D78" s="23" t="s">
        <v>38</v>
      </c>
      <c r="E78" s="23" t="s">
        <v>38</v>
      </c>
      <c r="F78" s="23" t="s">
        <v>38</v>
      </c>
      <c r="G78" s="24" t="s">
        <v>38</v>
      </c>
    </row>
    <row r="79" spans="1:7" x14ac:dyDescent="0.3">
      <c r="A79" s="79">
        <v>16</v>
      </c>
      <c r="B79" s="78" t="s">
        <v>235</v>
      </c>
      <c r="C79" s="16" t="s">
        <v>38</v>
      </c>
      <c r="D79" s="17" t="s">
        <v>38</v>
      </c>
      <c r="E79" s="17" t="s">
        <v>38</v>
      </c>
      <c r="F79" s="17" t="s">
        <v>38</v>
      </c>
      <c r="G79" s="18" t="s">
        <v>38</v>
      </c>
    </row>
    <row r="80" spans="1:7" x14ac:dyDescent="0.3">
      <c r="A80" s="79"/>
      <c r="B80" s="78"/>
      <c r="C80" s="19" t="s">
        <v>38</v>
      </c>
      <c r="D80" s="20" t="s">
        <v>38</v>
      </c>
      <c r="E80" s="20" t="s">
        <v>38</v>
      </c>
      <c r="F80" s="20" t="s">
        <v>38</v>
      </c>
      <c r="G80" s="21" t="s">
        <v>38</v>
      </c>
    </row>
    <row r="81" spans="1:8" x14ac:dyDescent="0.3">
      <c r="A81" s="79"/>
      <c r="B81" s="78"/>
      <c r="C81" s="26" t="s">
        <v>38</v>
      </c>
      <c r="D81" s="26" t="s">
        <v>38</v>
      </c>
      <c r="E81" s="26" t="s">
        <v>93</v>
      </c>
      <c r="F81" s="20" t="s">
        <v>94</v>
      </c>
      <c r="G81" s="21" t="s">
        <v>38</v>
      </c>
    </row>
    <row r="82" spans="1:8" x14ac:dyDescent="0.3">
      <c r="A82" s="79"/>
      <c r="B82" s="78"/>
      <c r="C82" s="19" t="s">
        <v>38</v>
      </c>
      <c r="D82" s="20" t="s">
        <v>38</v>
      </c>
      <c r="E82" s="20" t="s">
        <v>38</v>
      </c>
      <c r="F82" s="20" t="s">
        <v>38</v>
      </c>
      <c r="G82" s="21" t="s">
        <v>38</v>
      </c>
    </row>
    <row r="83" spans="1:8" ht="12.75" thickBot="1" x14ac:dyDescent="0.35">
      <c r="A83" s="79"/>
      <c r="B83" s="78"/>
      <c r="C83" s="22" t="s">
        <v>38</v>
      </c>
      <c r="D83" s="23" t="s">
        <v>38</v>
      </c>
      <c r="E83" s="23" t="s">
        <v>38</v>
      </c>
      <c r="F83" s="23" t="s">
        <v>38</v>
      </c>
      <c r="G83" s="24" t="s">
        <v>38</v>
      </c>
    </row>
    <row r="84" spans="1:8" x14ac:dyDescent="0.3">
      <c r="A84" s="79">
        <v>17</v>
      </c>
      <c r="B84" s="78" t="s">
        <v>236</v>
      </c>
      <c r="C84" s="16" t="s">
        <v>38</v>
      </c>
      <c r="D84" s="17" t="s">
        <v>38</v>
      </c>
      <c r="E84" s="17" t="s">
        <v>38</v>
      </c>
      <c r="F84" s="17" t="s">
        <v>38</v>
      </c>
      <c r="G84" s="18" t="s">
        <v>38</v>
      </c>
    </row>
    <row r="85" spans="1:8" x14ac:dyDescent="0.3">
      <c r="A85" s="79"/>
      <c r="B85" s="78"/>
      <c r="C85" s="19" t="s">
        <v>38</v>
      </c>
      <c r="D85" s="20" t="s">
        <v>38</v>
      </c>
      <c r="E85" s="20" t="s">
        <v>94</v>
      </c>
      <c r="F85" s="20" t="s">
        <v>38</v>
      </c>
      <c r="G85" s="21" t="s">
        <v>38</v>
      </c>
    </row>
    <row r="86" spans="1:8" x14ac:dyDescent="0.3">
      <c r="A86" s="79"/>
      <c r="B86" s="78"/>
      <c r="C86" s="26" t="s">
        <v>38</v>
      </c>
      <c r="D86" s="26" t="s">
        <v>38</v>
      </c>
      <c r="E86" s="26" t="s">
        <v>93</v>
      </c>
      <c r="F86" s="20" t="s">
        <v>38</v>
      </c>
      <c r="G86" s="21" t="s">
        <v>38</v>
      </c>
    </row>
    <row r="87" spans="1:8" x14ac:dyDescent="0.3">
      <c r="A87" s="79"/>
      <c r="B87" s="78"/>
      <c r="C87" s="19" t="s">
        <v>38</v>
      </c>
      <c r="D87" s="20" t="s">
        <v>38</v>
      </c>
      <c r="E87" s="20" t="s">
        <v>94</v>
      </c>
      <c r="F87" s="20" t="s">
        <v>38</v>
      </c>
      <c r="G87" s="21" t="s">
        <v>38</v>
      </c>
    </row>
    <row r="88" spans="1:8" ht="12.75" thickBot="1" x14ac:dyDescent="0.35">
      <c r="A88" s="79"/>
      <c r="B88" s="78"/>
      <c r="C88" s="22" t="s">
        <v>38</v>
      </c>
      <c r="D88" s="23" t="s">
        <v>38</v>
      </c>
      <c r="E88" s="23" t="s">
        <v>38</v>
      </c>
      <c r="F88" s="23" t="s">
        <v>38</v>
      </c>
      <c r="G88" s="24" t="s">
        <v>38</v>
      </c>
    </row>
    <row r="89" spans="1:8" x14ac:dyDescent="0.3">
      <c r="A89" s="79">
        <v>18</v>
      </c>
      <c r="B89" s="78" t="s">
        <v>176</v>
      </c>
      <c r="C89" s="16" t="s">
        <v>38</v>
      </c>
      <c r="D89" s="17" t="s">
        <v>38</v>
      </c>
      <c r="E89" s="17" t="s">
        <v>38</v>
      </c>
      <c r="F89" s="17" t="s">
        <v>38</v>
      </c>
      <c r="G89" s="18" t="s">
        <v>38</v>
      </c>
      <c r="H89" s="1" t="s">
        <v>370</v>
      </c>
    </row>
    <row r="90" spans="1:8" x14ac:dyDescent="0.3">
      <c r="A90" s="79"/>
      <c r="B90" s="78"/>
      <c r="C90" s="19" t="s">
        <v>38</v>
      </c>
      <c r="D90" s="20" t="s">
        <v>38</v>
      </c>
      <c r="E90" s="20" t="s">
        <v>38</v>
      </c>
      <c r="F90" s="20" t="s">
        <v>38</v>
      </c>
      <c r="G90" s="30" t="s">
        <v>38</v>
      </c>
    </row>
    <row r="91" spans="1:8" x14ac:dyDescent="0.3">
      <c r="A91" s="79"/>
      <c r="B91" s="78"/>
      <c r="C91" s="26" t="s">
        <v>93</v>
      </c>
      <c r="D91" s="26" t="s">
        <v>94</v>
      </c>
      <c r="E91" s="26" t="s">
        <v>94</v>
      </c>
      <c r="F91" s="20" t="s">
        <v>94</v>
      </c>
      <c r="G91" s="21" t="s">
        <v>94</v>
      </c>
    </row>
    <row r="92" spans="1:8" x14ac:dyDescent="0.3">
      <c r="A92" s="79"/>
      <c r="B92" s="78"/>
      <c r="C92" s="19" t="s">
        <v>38</v>
      </c>
      <c r="D92" s="20" t="s">
        <v>38</v>
      </c>
      <c r="E92" s="20" t="s">
        <v>38</v>
      </c>
      <c r="F92" s="20" t="s">
        <v>38</v>
      </c>
      <c r="G92" s="30" t="s">
        <v>38</v>
      </c>
    </row>
    <row r="93" spans="1:8" ht="12.75" thickBot="1" x14ac:dyDescent="0.35">
      <c r="A93" s="79"/>
      <c r="B93" s="78"/>
      <c r="C93" s="22" t="s">
        <v>38</v>
      </c>
      <c r="D93" s="23" t="s">
        <v>38</v>
      </c>
      <c r="E93" s="23" t="s">
        <v>38</v>
      </c>
      <c r="F93" s="23" t="s">
        <v>38</v>
      </c>
      <c r="G93" s="24" t="s">
        <v>38</v>
      </c>
    </row>
    <row r="94" spans="1:8" x14ac:dyDescent="0.3">
      <c r="A94" s="79">
        <v>101</v>
      </c>
      <c r="B94" s="78" t="s">
        <v>82</v>
      </c>
      <c r="C94" s="16" t="s">
        <v>38</v>
      </c>
      <c r="D94" s="17" t="s">
        <v>38</v>
      </c>
      <c r="E94" s="17" t="s">
        <v>38</v>
      </c>
      <c r="F94" s="17" t="s">
        <v>38</v>
      </c>
      <c r="G94" s="18" t="s">
        <v>38</v>
      </c>
    </row>
    <row r="95" spans="1:8" x14ac:dyDescent="0.3">
      <c r="A95" s="79"/>
      <c r="B95" s="78"/>
      <c r="C95" s="19" t="s">
        <v>38</v>
      </c>
      <c r="D95" s="20" t="s">
        <v>38</v>
      </c>
      <c r="E95" s="20" t="s">
        <v>38</v>
      </c>
      <c r="F95" s="20" t="s">
        <v>38</v>
      </c>
      <c r="G95" s="21" t="s">
        <v>38</v>
      </c>
    </row>
    <row r="96" spans="1:8" x14ac:dyDescent="0.3">
      <c r="A96" s="79"/>
      <c r="B96" s="78"/>
      <c r="C96" s="25" t="s">
        <v>38</v>
      </c>
      <c r="D96" s="26" t="s">
        <v>38</v>
      </c>
      <c r="E96" s="20" t="s">
        <v>94</v>
      </c>
      <c r="F96" s="26" t="s">
        <v>38</v>
      </c>
      <c r="G96" s="21" t="s">
        <v>38</v>
      </c>
    </row>
    <row r="97" spans="1:8" x14ac:dyDescent="0.3">
      <c r="A97" s="79"/>
      <c r="B97" s="78"/>
      <c r="C97" s="19" t="s">
        <v>38</v>
      </c>
      <c r="D97" s="20" t="s">
        <v>38</v>
      </c>
      <c r="E97" s="20" t="s">
        <v>38</v>
      </c>
      <c r="F97" s="20" t="s">
        <v>38</v>
      </c>
      <c r="G97" s="21" t="s">
        <v>38</v>
      </c>
    </row>
    <row r="98" spans="1:8" ht="12.75" thickBot="1" x14ac:dyDescent="0.35">
      <c r="A98" s="79"/>
      <c r="B98" s="78"/>
      <c r="C98" s="22" t="s">
        <v>38</v>
      </c>
      <c r="D98" s="23" t="s">
        <v>38</v>
      </c>
      <c r="E98" s="23" t="s">
        <v>38</v>
      </c>
      <c r="F98" s="23" t="s">
        <v>38</v>
      </c>
      <c r="G98" s="24" t="s">
        <v>38</v>
      </c>
    </row>
    <row r="99" spans="1:8" x14ac:dyDescent="0.3">
      <c r="A99" s="79">
        <v>102</v>
      </c>
      <c r="B99" s="78" t="s">
        <v>85</v>
      </c>
      <c r="C99" s="16" t="s">
        <v>38</v>
      </c>
      <c r="D99" s="17" t="s">
        <v>38</v>
      </c>
      <c r="E99" s="17" t="s">
        <v>38</v>
      </c>
      <c r="F99" s="17" t="s">
        <v>38</v>
      </c>
      <c r="G99" s="18" t="s">
        <v>38</v>
      </c>
      <c r="H99" s="1" t="s">
        <v>372</v>
      </c>
    </row>
    <row r="100" spans="1:8" x14ac:dyDescent="0.3">
      <c r="A100" s="79"/>
      <c r="B100" s="78"/>
      <c r="C100" s="19" t="s">
        <v>38</v>
      </c>
      <c r="D100" s="20" t="s">
        <v>94</v>
      </c>
      <c r="E100" s="20" t="s">
        <v>94</v>
      </c>
      <c r="F100" s="20" t="s">
        <v>94</v>
      </c>
      <c r="G100" s="21" t="s">
        <v>38</v>
      </c>
    </row>
    <row r="101" spans="1:8" x14ac:dyDescent="0.3">
      <c r="A101" s="79"/>
      <c r="B101" s="78"/>
      <c r="C101" s="25" t="s">
        <v>38</v>
      </c>
      <c r="D101" s="26" t="s">
        <v>94</v>
      </c>
      <c r="E101" s="20" t="s">
        <v>94</v>
      </c>
      <c r="F101" s="26" t="s">
        <v>94</v>
      </c>
      <c r="G101" s="21" t="s">
        <v>38</v>
      </c>
    </row>
    <row r="102" spans="1:8" x14ac:dyDescent="0.3">
      <c r="A102" s="79"/>
      <c r="B102" s="78"/>
      <c r="C102" s="19" t="s">
        <v>38</v>
      </c>
      <c r="D102" s="20" t="s">
        <v>94</v>
      </c>
      <c r="E102" s="20" t="s">
        <v>94</v>
      </c>
      <c r="F102" s="20" t="s">
        <v>94</v>
      </c>
      <c r="G102" s="21" t="s">
        <v>38</v>
      </c>
    </row>
    <row r="103" spans="1:8" ht="12.75" thickBot="1" x14ac:dyDescent="0.35">
      <c r="A103" s="79"/>
      <c r="B103" s="78"/>
      <c r="C103" s="19" t="s">
        <v>38</v>
      </c>
      <c r="D103" s="20" t="s">
        <v>38</v>
      </c>
      <c r="E103" s="20" t="s">
        <v>38</v>
      </c>
      <c r="F103" s="20" t="s">
        <v>38</v>
      </c>
      <c r="G103" s="21" t="s">
        <v>38</v>
      </c>
    </row>
    <row r="104" spans="1:8" x14ac:dyDescent="0.3">
      <c r="A104" s="79">
        <v>103</v>
      </c>
      <c r="B104" s="78" t="s">
        <v>83</v>
      </c>
      <c r="C104" s="16" t="s">
        <v>38</v>
      </c>
      <c r="D104" s="17" t="s">
        <v>38</v>
      </c>
      <c r="E104" s="17" t="s">
        <v>38</v>
      </c>
      <c r="F104" s="17" t="s">
        <v>38</v>
      </c>
      <c r="G104" s="18" t="s">
        <v>38</v>
      </c>
    </row>
    <row r="105" spans="1:8" x14ac:dyDescent="0.3">
      <c r="A105" s="79"/>
      <c r="B105" s="78"/>
      <c r="C105" s="19" t="s">
        <v>38</v>
      </c>
      <c r="D105" s="20" t="s">
        <v>38</v>
      </c>
      <c r="E105" s="20" t="s">
        <v>94</v>
      </c>
      <c r="F105" s="20" t="s">
        <v>38</v>
      </c>
      <c r="G105" s="21" t="s">
        <v>38</v>
      </c>
    </row>
    <row r="106" spans="1:8" x14ac:dyDescent="0.3">
      <c r="A106" s="79"/>
      <c r="B106" s="78"/>
      <c r="C106" s="25" t="s">
        <v>38</v>
      </c>
      <c r="D106" s="26" t="s">
        <v>94</v>
      </c>
      <c r="E106" s="20" t="s">
        <v>94</v>
      </c>
      <c r="F106" s="26" t="s">
        <v>94</v>
      </c>
      <c r="G106" s="21" t="s">
        <v>38</v>
      </c>
    </row>
    <row r="107" spans="1:8" x14ac:dyDescent="0.3">
      <c r="A107" s="79"/>
      <c r="B107" s="78"/>
      <c r="C107" s="19" t="s">
        <v>38</v>
      </c>
      <c r="D107" s="20" t="s">
        <v>38</v>
      </c>
      <c r="E107" s="20" t="s">
        <v>94</v>
      </c>
      <c r="F107" s="20" t="s">
        <v>38</v>
      </c>
      <c r="G107" s="21" t="s">
        <v>38</v>
      </c>
    </row>
    <row r="108" spans="1:8" ht="12.75" thickBot="1" x14ac:dyDescent="0.35">
      <c r="A108" s="79"/>
      <c r="B108" s="78"/>
      <c r="C108" s="22" t="s">
        <v>38</v>
      </c>
      <c r="D108" s="23" t="s">
        <v>38</v>
      </c>
      <c r="E108" s="23" t="s">
        <v>38</v>
      </c>
      <c r="F108" s="23" t="s">
        <v>38</v>
      </c>
      <c r="G108" s="24" t="s">
        <v>38</v>
      </c>
    </row>
    <row r="109" spans="1:8" x14ac:dyDescent="0.3">
      <c r="A109" s="79">
        <v>104</v>
      </c>
      <c r="B109" s="78" t="s">
        <v>84</v>
      </c>
      <c r="C109" s="19" t="s">
        <v>38</v>
      </c>
      <c r="D109" s="20" t="s">
        <v>38</v>
      </c>
      <c r="E109" s="20" t="s">
        <v>38</v>
      </c>
      <c r="F109" s="20" t="s">
        <v>38</v>
      </c>
      <c r="G109" s="21" t="s">
        <v>38</v>
      </c>
    </row>
    <row r="110" spans="1:8" x14ac:dyDescent="0.3">
      <c r="A110" s="79"/>
      <c r="B110" s="78"/>
      <c r="C110" s="19" t="s">
        <v>38</v>
      </c>
      <c r="D110" s="20" t="s">
        <v>94</v>
      </c>
      <c r="E110" s="20" t="s">
        <v>38</v>
      </c>
      <c r="F110" s="20" t="s">
        <v>94</v>
      </c>
      <c r="G110" s="21" t="s">
        <v>38</v>
      </c>
    </row>
    <row r="111" spans="1:8" x14ac:dyDescent="0.3">
      <c r="A111" s="79"/>
      <c r="B111" s="78"/>
      <c r="C111" s="25" t="s">
        <v>38</v>
      </c>
      <c r="D111" s="26" t="s">
        <v>38</v>
      </c>
      <c r="E111" s="20" t="s">
        <v>94</v>
      </c>
      <c r="F111" s="26" t="s">
        <v>38</v>
      </c>
      <c r="G111" s="21" t="s">
        <v>38</v>
      </c>
    </row>
    <row r="112" spans="1:8" x14ac:dyDescent="0.3">
      <c r="A112" s="79"/>
      <c r="B112" s="78"/>
      <c r="C112" s="19" t="s">
        <v>38</v>
      </c>
      <c r="D112" s="20" t="s">
        <v>94</v>
      </c>
      <c r="E112" s="20" t="s">
        <v>38</v>
      </c>
      <c r="F112" s="20" t="s">
        <v>94</v>
      </c>
      <c r="G112" s="21" t="s">
        <v>38</v>
      </c>
    </row>
    <row r="113" spans="1:8" ht="12.75" thickBot="1" x14ac:dyDescent="0.35">
      <c r="A113" s="79"/>
      <c r="B113" s="78"/>
      <c r="C113" s="22" t="s">
        <v>38</v>
      </c>
      <c r="D113" s="23" t="s">
        <v>38</v>
      </c>
      <c r="E113" s="23" t="s">
        <v>38</v>
      </c>
      <c r="F113" s="23" t="s">
        <v>38</v>
      </c>
      <c r="G113" s="24" t="s">
        <v>38</v>
      </c>
    </row>
    <row r="114" spans="1:8" x14ac:dyDescent="0.3">
      <c r="A114" s="79">
        <v>105</v>
      </c>
      <c r="B114" s="78" t="s">
        <v>170</v>
      </c>
      <c r="C114" s="16" t="s">
        <v>38</v>
      </c>
      <c r="D114" s="17" t="s">
        <v>94</v>
      </c>
      <c r="E114" s="17" t="s">
        <v>38</v>
      </c>
      <c r="F114" s="17" t="s">
        <v>38</v>
      </c>
      <c r="G114" s="18" t="s">
        <v>38</v>
      </c>
    </row>
    <row r="115" spans="1:8" x14ac:dyDescent="0.3">
      <c r="A115" s="79"/>
      <c r="B115" s="78"/>
      <c r="C115" s="19" t="s">
        <v>38</v>
      </c>
      <c r="D115" s="20" t="s">
        <v>94</v>
      </c>
      <c r="E115" s="20" t="s">
        <v>38</v>
      </c>
      <c r="F115" s="20" t="s">
        <v>38</v>
      </c>
      <c r="G115" s="21" t="s">
        <v>38</v>
      </c>
    </row>
    <row r="116" spans="1:8" x14ac:dyDescent="0.3">
      <c r="A116" s="79"/>
      <c r="B116" s="78"/>
      <c r="C116" s="25" t="s">
        <v>38</v>
      </c>
      <c r="D116" s="26" t="s">
        <v>94</v>
      </c>
      <c r="E116" s="20" t="s">
        <v>38</v>
      </c>
      <c r="F116" s="26" t="s">
        <v>38</v>
      </c>
      <c r="G116" s="21" t="s">
        <v>38</v>
      </c>
    </row>
    <row r="117" spans="1:8" x14ac:dyDescent="0.3">
      <c r="A117" s="79"/>
      <c r="B117" s="78"/>
      <c r="C117" s="19" t="s">
        <v>38</v>
      </c>
      <c r="D117" s="20" t="s">
        <v>94</v>
      </c>
      <c r="E117" s="20" t="s">
        <v>38</v>
      </c>
      <c r="F117" s="20" t="s">
        <v>38</v>
      </c>
      <c r="G117" s="21" t="s">
        <v>38</v>
      </c>
    </row>
    <row r="118" spans="1:8" ht="12.75" thickBot="1" x14ac:dyDescent="0.35">
      <c r="A118" s="79"/>
      <c r="B118" s="78"/>
      <c r="C118" s="22" t="s">
        <v>38</v>
      </c>
      <c r="D118" s="23" t="s">
        <v>94</v>
      </c>
      <c r="E118" s="23" t="s">
        <v>38</v>
      </c>
      <c r="F118" s="23" t="s">
        <v>38</v>
      </c>
      <c r="G118" s="24" t="s">
        <v>38</v>
      </c>
    </row>
    <row r="119" spans="1:8" x14ac:dyDescent="0.3">
      <c r="A119" s="79">
        <v>106</v>
      </c>
      <c r="B119" s="78" t="s">
        <v>171</v>
      </c>
      <c r="C119" s="16" t="s">
        <v>38</v>
      </c>
      <c r="D119" s="17" t="s">
        <v>38</v>
      </c>
      <c r="E119" s="17" t="s">
        <v>94</v>
      </c>
      <c r="F119" s="17" t="s">
        <v>38</v>
      </c>
      <c r="G119" s="18" t="s">
        <v>38</v>
      </c>
    </row>
    <row r="120" spans="1:8" x14ac:dyDescent="0.3">
      <c r="A120" s="79"/>
      <c r="B120" s="78"/>
      <c r="C120" s="19" t="s">
        <v>38</v>
      </c>
      <c r="D120" s="20" t="s">
        <v>38</v>
      </c>
      <c r="E120" s="20" t="s">
        <v>94</v>
      </c>
      <c r="F120" s="20" t="s">
        <v>38</v>
      </c>
      <c r="G120" s="21" t="s">
        <v>38</v>
      </c>
    </row>
    <row r="121" spans="1:8" x14ac:dyDescent="0.3">
      <c r="A121" s="79"/>
      <c r="B121" s="78"/>
      <c r="C121" s="25" t="s">
        <v>38</v>
      </c>
      <c r="D121" s="26" t="s">
        <v>38</v>
      </c>
      <c r="E121" s="20" t="s">
        <v>94</v>
      </c>
      <c r="F121" s="26" t="s">
        <v>38</v>
      </c>
      <c r="G121" s="21" t="s">
        <v>38</v>
      </c>
    </row>
    <row r="122" spans="1:8" x14ac:dyDescent="0.3">
      <c r="A122" s="79"/>
      <c r="B122" s="78"/>
      <c r="C122" s="19" t="s">
        <v>38</v>
      </c>
      <c r="D122" s="20" t="s">
        <v>38</v>
      </c>
      <c r="E122" s="20" t="s">
        <v>94</v>
      </c>
      <c r="F122" s="20" t="s">
        <v>38</v>
      </c>
      <c r="G122" s="21" t="s">
        <v>38</v>
      </c>
    </row>
    <row r="123" spans="1:8" ht="12.75" thickBot="1" x14ac:dyDescent="0.35">
      <c r="A123" s="79"/>
      <c r="B123" s="78"/>
      <c r="C123" s="22" t="s">
        <v>38</v>
      </c>
      <c r="D123" s="23" t="s">
        <v>38</v>
      </c>
      <c r="E123" s="23" t="s">
        <v>94</v>
      </c>
      <c r="F123" s="23" t="s">
        <v>38</v>
      </c>
      <c r="G123" s="24" t="s">
        <v>38</v>
      </c>
    </row>
    <row r="124" spans="1:8" x14ac:dyDescent="0.3">
      <c r="A124" s="79">
        <v>107</v>
      </c>
      <c r="B124" s="78" t="s">
        <v>172</v>
      </c>
      <c r="C124" s="16" t="s">
        <v>38</v>
      </c>
      <c r="D124" s="17" t="s">
        <v>38</v>
      </c>
      <c r="E124" s="17" t="s">
        <v>38</v>
      </c>
      <c r="F124" s="17" t="s">
        <v>94</v>
      </c>
      <c r="G124" s="18" t="s">
        <v>38</v>
      </c>
      <c r="H124" s="1" t="s">
        <v>373</v>
      </c>
    </row>
    <row r="125" spans="1:8" x14ac:dyDescent="0.3">
      <c r="A125" s="79"/>
      <c r="B125" s="78"/>
      <c r="C125" s="19" t="s">
        <v>38</v>
      </c>
      <c r="D125" s="20" t="s">
        <v>38</v>
      </c>
      <c r="E125" s="20" t="s">
        <v>38</v>
      </c>
      <c r="F125" s="20" t="s">
        <v>94</v>
      </c>
      <c r="G125" s="21" t="s">
        <v>38</v>
      </c>
    </row>
    <row r="126" spans="1:8" x14ac:dyDescent="0.3">
      <c r="A126" s="79"/>
      <c r="B126" s="78"/>
      <c r="C126" s="25" t="s">
        <v>38</v>
      </c>
      <c r="D126" s="26" t="s">
        <v>38</v>
      </c>
      <c r="E126" s="57" t="s">
        <v>38</v>
      </c>
      <c r="F126" s="20" t="s">
        <v>94</v>
      </c>
      <c r="G126" s="21" t="s">
        <v>38</v>
      </c>
    </row>
    <row r="127" spans="1:8" x14ac:dyDescent="0.3">
      <c r="A127" s="79"/>
      <c r="B127" s="78"/>
      <c r="C127" s="19" t="s">
        <v>38</v>
      </c>
      <c r="D127" s="20" t="s">
        <v>38</v>
      </c>
      <c r="E127" s="20" t="s">
        <v>38</v>
      </c>
      <c r="F127" s="20" t="s">
        <v>94</v>
      </c>
      <c r="G127" s="21" t="s">
        <v>38</v>
      </c>
    </row>
    <row r="128" spans="1:8" ht="12.75" thickBot="1" x14ac:dyDescent="0.35">
      <c r="A128" s="79"/>
      <c r="B128" s="78"/>
      <c r="C128" s="22" t="s">
        <v>38</v>
      </c>
      <c r="D128" s="23" t="s">
        <v>38</v>
      </c>
      <c r="E128" s="23" t="s">
        <v>38</v>
      </c>
      <c r="F128" s="23" t="s">
        <v>94</v>
      </c>
      <c r="G128" s="24" t="s">
        <v>38</v>
      </c>
    </row>
    <row r="129" spans="1:7" x14ac:dyDescent="0.3">
      <c r="A129" s="79">
        <v>108</v>
      </c>
      <c r="B129" s="78" t="s">
        <v>173</v>
      </c>
      <c r="C129" s="16" t="s">
        <v>38</v>
      </c>
      <c r="D129" s="17" t="s">
        <v>94</v>
      </c>
      <c r="E129" s="17" t="s">
        <v>94</v>
      </c>
      <c r="F129" s="17" t="s">
        <v>38</v>
      </c>
      <c r="G129" s="18" t="s">
        <v>38</v>
      </c>
    </row>
    <row r="130" spans="1:7" x14ac:dyDescent="0.3">
      <c r="A130" s="79"/>
      <c r="B130" s="78"/>
      <c r="C130" s="19" t="s">
        <v>38</v>
      </c>
      <c r="D130" s="20" t="s">
        <v>94</v>
      </c>
      <c r="E130" s="20" t="s">
        <v>94</v>
      </c>
      <c r="F130" s="20" t="s">
        <v>38</v>
      </c>
      <c r="G130" s="21" t="s">
        <v>38</v>
      </c>
    </row>
    <row r="131" spans="1:7" x14ac:dyDescent="0.3">
      <c r="A131" s="79"/>
      <c r="B131" s="78"/>
      <c r="C131" s="25" t="s">
        <v>38</v>
      </c>
      <c r="D131" s="26" t="s">
        <v>94</v>
      </c>
      <c r="E131" s="20" t="s">
        <v>94</v>
      </c>
      <c r="F131" s="26" t="s">
        <v>38</v>
      </c>
      <c r="G131" s="21" t="s">
        <v>38</v>
      </c>
    </row>
    <row r="132" spans="1:7" x14ac:dyDescent="0.3">
      <c r="A132" s="79"/>
      <c r="B132" s="78"/>
      <c r="C132" s="19" t="s">
        <v>38</v>
      </c>
      <c r="D132" s="20" t="s">
        <v>94</v>
      </c>
      <c r="E132" s="20" t="s">
        <v>94</v>
      </c>
      <c r="F132" s="20" t="s">
        <v>38</v>
      </c>
      <c r="G132" s="21" t="s">
        <v>38</v>
      </c>
    </row>
    <row r="133" spans="1:7" ht="12.75" thickBot="1" x14ac:dyDescent="0.35">
      <c r="A133" s="79"/>
      <c r="B133" s="78"/>
      <c r="C133" s="22" t="s">
        <v>38</v>
      </c>
      <c r="D133" s="23" t="s">
        <v>94</v>
      </c>
      <c r="E133" s="23" t="s">
        <v>94</v>
      </c>
      <c r="F133" s="23" t="s">
        <v>38</v>
      </c>
      <c r="G133" s="24" t="s">
        <v>38</v>
      </c>
    </row>
    <row r="134" spans="1:7" x14ac:dyDescent="0.3">
      <c r="A134" s="79">
        <v>109</v>
      </c>
      <c r="B134" s="78" t="s">
        <v>174</v>
      </c>
      <c r="C134" s="16" t="s">
        <v>38</v>
      </c>
      <c r="D134" s="17" t="s">
        <v>38</v>
      </c>
      <c r="E134" s="17" t="s">
        <v>94</v>
      </c>
      <c r="F134" s="17" t="s">
        <v>94</v>
      </c>
      <c r="G134" s="18" t="s">
        <v>38</v>
      </c>
    </row>
    <row r="135" spans="1:7" x14ac:dyDescent="0.3">
      <c r="A135" s="79"/>
      <c r="B135" s="78"/>
      <c r="C135" s="19" t="s">
        <v>38</v>
      </c>
      <c r="D135" s="20" t="s">
        <v>38</v>
      </c>
      <c r="E135" s="20" t="s">
        <v>94</v>
      </c>
      <c r="F135" s="20" t="s">
        <v>94</v>
      </c>
      <c r="G135" s="21" t="s">
        <v>38</v>
      </c>
    </row>
    <row r="136" spans="1:7" x14ac:dyDescent="0.3">
      <c r="A136" s="79"/>
      <c r="B136" s="78"/>
      <c r="C136" s="25" t="s">
        <v>38</v>
      </c>
      <c r="D136" s="26" t="s">
        <v>38</v>
      </c>
      <c r="E136" s="20" t="s">
        <v>94</v>
      </c>
      <c r="F136" s="26" t="s">
        <v>94</v>
      </c>
      <c r="G136" s="21" t="s">
        <v>38</v>
      </c>
    </row>
    <row r="137" spans="1:7" x14ac:dyDescent="0.3">
      <c r="A137" s="79"/>
      <c r="B137" s="78"/>
      <c r="C137" s="19" t="s">
        <v>38</v>
      </c>
      <c r="D137" s="20" t="s">
        <v>38</v>
      </c>
      <c r="E137" s="20" t="s">
        <v>94</v>
      </c>
      <c r="F137" s="20" t="s">
        <v>94</v>
      </c>
      <c r="G137" s="21" t="s">
        <v>38</v>
      </c>
    </row>
    <row r="138" spans="1:7" ht="12.75" thickBot="1" x14ac:dyDescent="0.35">
      <c r="A138" s="79"/>
      <c r="B138" s="78"/>
      <c r="C138" s="22" t="s">
        <v>38</v>
      </c>
      <c r="D138" s="23" t="s">
        <v>38</v>
      </c>
      <c r="E138" s="23" t="s">
        <v>94</v>
      </c>
      <c r="F138" s="23" t="s">
        <v>94</v>
      </c>
      <c r="G138" s="24" t="s">
        <v>38</v>
      </c>
    </row>
    <row r="139" spans="1:7" x14ac:dyDescent="0.3">
      <c r="A139" s="79">
        <v>110</v>
      </c>
      <c r="B139" s="78" t="s">
        <v>175</v>
      </c>
      <c r="C139" s="16" t="s">
        <v>38</v>
      </c>
      <c r="D139" s="17" t="s">
        <v>38</v>
      </c>
      <c r="E139" s="17" t="s">
        <v>38</v>
      </c>
      <c r="F139" s="17" t="s">
        <v>38</v>
      </c>
      <c r="G139" s="18" t="s">
        <v>38</v>
      </c>
    </row>
    <row r="140" spans="1:7" x14ac:dyDescent="0.3">
      <c r="A140" s="79"/>
      <c r="B140" s="78"/>
      <c r="C140" s="19" t="s">
        <v>94</v>
      </c>
      <c r="D140" s="20" t="s">
        <v>94</v>
      </c>
      <c r="E140" s="20" t="s">
        <v>94</v>
      </c>
      <c r="F140" s="20" t="s">
        <v>94</v>
      </c>
      <c r="G140" s="30" t="s">
        <v>94</v>
      </c>
    </row>
    <row r="141" spans="1:7" x14ac:dyDescent="0.3">
      <c r="A141" s="79"/>
      <c r="B141" s="78"/>
      <c r="C141" s="25" t="s">
        <v>38</v>
      </c>
      <c r="D141" s="26" t="s">
        <v>38</v>
      </c>
      <c r="E141" s="20" t="s">
        <v>38</v>
      </c>
      <c r="F141" s="26" t="s">
        <v>38</v>
      </c>
      <c r="G141" s="21" t="s">
        <v>38</v>
      </c>
    </row>
    <row r="142" spans="1:7" x14ac:dyDescent="0.3">
      <c r="A142" s="79"/>
      <c r="B142" s="78"/>
      <c r="C142" s="19" t="s">
        <v>38</v>
      </c>
      <c r="D142" s="20" t="s">
        <v>38</v>
      </c>
      <c r="E142" s="20" t="s">
        <v>38</v>
      </c>
      <c r="F142" s="20" t="s">
        <v>38</v>
      </c>
      <c r="G142" s="30" t="s">
        <v>38</v>
      </c>
    </row>
    <row r="143" spans="1:7" ht="12.75" thickBot="1" x14ac:dyDescent="0.35">
      <c r="A143" s="79"/>
      <c r="B143" s="78"/>
      <c r="C143" s="22" t="s">
        <v>38</v>
      </c>
      <c r="D143" s="23" t="s">
        <v>38</v>
      </c>
      <c r="E143" s="23" t="s">
        <v>38</v>
      </c>
      <c r="F143" s="23" t="s">
        <v>38</v>
      </c>
      <c r="G143" s="24" t="s">
        <v>38</v>
      </c>
    </row>
    <row r="144" spans="1:7" x14ac:dyDescent="0.3">
      <c r="A144" s="79">
        <v>111</v>
      </c>
      <c r="B144" s="78" t="s">
        <v>176</v>
      </c>
      <c r="C144" s="16" t="s">
        <v>38</v>
      </c>
      <c r="D144" s="17" t="s">
        <v>38</v>
      </c>
      <c r="E144" s="17" t="s">
        <v>38</v>
      </c>
      <c r="F144" s="17" t="s">
        <v>38</v>
      </c>
      <c r="G144" s="18" t="s">
        <v>38</v>
      </c>
    </row>
    <row r="145" spans="1:7" x14ac:dyDescent="0.3">
      <c r="A145" s="79"/>
      <c r="B145" s="78"/>
      <c r="C145" s="19" t="s">
        <v>38</v>
      </c>
      <c r="D145" s="20" t="s">
        <v>38</v>
      </c>
      <c r="E145" s="20" t="s">
        <v>38</v>
      </c>
      <c r="F145" s="20" t="s">
        <v>38</v>
      </c>
      <c r="G145" s="30" t="s">
        <v>38</v>
      </c>
    </row>
    <row r="146" spans="1:7" x14ac:dyDescent="0.3">
      <c r="A146" s="79"/>
      <c r="B146" s="78"/>
      <c r="C146" s="25" t="s">
        <v>94</v>
      </c>
      <c r="D146" s="26" t="s">
        <v>94</v>
      </c>
      <c r="E146" s="20" t="s">
        <v>94</v>
      </c>
      <c r="F146" s="20" t="s">
        <v>94</v>
      </c>
      <c r="G146" s="21" t="s">
        <v>94</v>
      </c>
    </row>
    <row r="147" spans="1:7" x14ac:dyDescent="0.3">
      <c r="A147" s="79"/>
      <c r="B147" s="78"/>
      <c r="C147" s="19" t="s">
        <v>38</v>
      </c>
      <c r="D147" s="20" t="s">
        <v>38</v>
      </c>
      <c r="E147" s="20" t="s">
        <v>38</v>
      </c>
      <c r="F147" s="20" t="s">
        <v>38</v>
      </c>
      <c r="G147" s="30" t="s">
        <v>38</v>
      </c>
    </row>
    <row r="148" spans="1:7" ht="12.75" thickBot="1" x14ac:dyDescent="0.35">
      <c r="A148" s="79"/>
      <c r="B148" s="78"/>
      <c r="C148" s="22" t="s">
        <v>38</v>
      </c>
      <c r="D148" s="23" t="s">
        <v>38</v>
      </c>
      <c r="E148" s="23" t="s">
        <v>38</v>
      </c>
      <c r="F148" s="23" t="s">
        <v>38</v>
      </c>
      <c r="G148" s="24" t="s">
        <v>38</v>
      </c>
    </row>
    <row r="149" spans="1:7" x14ac:dyDescent="0.3">
      <c r="A149" s="79">
        <v>112</v>
      </c>
      <c r="B149" s="78" t="s">
        <v>177</v>
      </c>
      <c r="C149" s="16" t="s">
        <v>38</v>
      </c>
      <c r="D149" s="17" t="s">
        <v>38</v>
      </c>
      <c r="E149" s="17" t="s">
        <v>38</v>
      </c>
      <c r="F149" s="17" t="s">
        <v>38</v>
      </c>
      <c r="G149" s="18" t="s">
        <v>38</v>
      </c>
    </row>
    <row r="150" spans="1:7" x14ac:dyDescent="0.3">
      <c r="A150" s="79"/>
      <c r="B150" s="78"/>
      <c r="C150" s="19" t="s">
        <v>38</v>
      </c>
      <c r="D150" s="20" t="s">
        <v>38</v>
      </c>
      <c r="E150" s="20" t="s">
        <v>38</v>
      </c>
      <c r="F150" s="20" t="s">
        <v>38</v>
      </c>
      <c r="G150" s="21" t="s">
        <v>38</v>
      </c>
    </row>
    <row r="151" spans="1:7" x14ac:dyDescent="0.3">
      <c r="A151" s="79"/>
      <c r="B151" s="78"/>
      <c r="C151" s="25" t="s">
        <v>38</v>
      </c>
      <c r="D151" s="26" t="s">
        <v>38</v>
      </c>
      <c r="E151" s="20" t="s">
        <v>38</v>
      </c>
      <c r="F151" s="26" t="s">
        <v>38</v>
      </c>
      <c r="G151" s="21" t="s">
        <v>38</v>
      </c>
    </row>
    <row r="152" spans="1:7" x14ac:dyDescent="0.3">
      <c r="A152" s="79"/>
      <c r="B152" s="78"/>
      <c r="C152" s="19" t="s">
        <v>94</v>
      </c>
      <c r="D152" s="20" t="s">
        <v>94</v>
      </c>
      <c r="E152" s="20" t="s">
        <v>94</v>
      </c>
      <c r="F152" s="20" t="s">
        <v>94</v>
      </c>
      <c r="G152" s="21" t="s">
        <v>94</v>
      </c>
    </row>
    <row r="153" spans="1:7" ht="12.75" thickBot="1" x14ac:dyDescent="0.35">
      <c r="A153" s="79"/>
      <c r="B153" s="78"/>
      <c r="C153" s="22" t="s">
        <v>38</v>
      </c>
      <c r="D153" s="23" t="s">
        <v>38</v>
      </c>
      <c r="E153" s="23" t="s">
        <v>38</v>
      </c>
      <c r="F153" s="23" t="s">
        <v>38</v>
      </c>
      <c r="G153" s="24" t="s">
        <v>38</v>
      </c>
    </row>
    <row r="154" spans="1:7" x14ac:dyDescent="0.3">
      <c r="A154" s="79">
        <v>113</v>
      </c>
      <c r="B154" s="78" t="s">
        <v>178</v>
      </c>
      <c r="C154" s="16" t="s">
        <v>38</v>
      </c>
      <c r="D154" s="17" t="s">
        <v>38</v>
      </c>
      <c r="E154" s="17" t="s">
        <v>38</v>
      </c>
      <c r="F154" s="17" t="s">
        <v>38</v>
      </c>
      <c r="G154" s="18" t="s">
        <v>38</v>
      </c>
    </row>
    <row r="155" spans="1:7" x14ac:dyDescent="0.3">
      <c r="A155" s="79"/>
      <c r="B155" s="78"/>
      <c r="C155" s="19" t="s">
        <v>94</v>
      </c>
      <c r="D155" s="20" t="s">
        <v>94</v>
      </c>
      <c r="E155" s="20" t="s">
        <v>94</v>
      </c>
      <c r="F155" s="20" t="s">
        <v>94</v>
      </c>
      <c r="G155" s="30" t="s">
        <v>94</v>
      </c>
    </row>
    <row r="156" spans="1:7" x14ac:dyDescent="0.3">
      <c r="A156" s="79"/>
      <c r="B156" s="78"/>
      <c r="C156" s="25" t="s">
        <v>94</v>
      </c>
      <c r="D156" s="26" t="s">
        <v>94</v>
      </c>
      <c r="E156" s="20" t="s">
        <v>94</v>
      </c>
      <c r="F156" s="26" t="s">
        <v>94</v>
      </c>
      <c r="G156" s="21" t="s">
        <v>94</v>
      </c>
    </row>
    <row r="157" spans="1:7" x14ac:dyDescent="0.3">
      <c r="A157" s="79"/>
      <c r="B157" s="78"/>
      <c r="C157" s="19" t="s">
        <v>38</v>
      </c>
      <c r="D157" s="20" t="s">
        <v>38</v>
      </c>
      <c r="E157" s="20" t="s">
        <v>38</v>
      </c>
      <c r="F157" s="20" t="s">
        <v>38</v>
      </c>
      <c r="G157" s="30" t="s">
        <v>38</v>
      </c>
    </row>
    <row r="158" spans="1:7" ht="12.75" thickBot="1" x14ac:dyDescent="0.35">
      <c r="A158" s="79"/>
      <c r="B158" s="78"/>
      <c r="C158" s="22" t="s">
        <v>38</v>
      </c>
      <c r="D158" s="23" t="s">
        <v>38</v>
      </c>
      <c r="E158" s="23" t="s">
        <v>38</v>
      </c>
      <c r="F158" s="23" t="s">
        <v>38</v>
      </c>
      <c r="G158" s="24" t="s">
        <v>38</v>
      </c>
    </row>
    <row r="159" spans="1:7" x14ac:dyDescent="0.3">
      <c r="A159" s="79">
        <v>114</v>
      </c>
      <c r="B159" s="78" t="s">
        <v>179</v>
      </c>
      <c r="C159" s="16" t="s">
        <v>38</v>
      </c>
      <c r="D159" s="17" t="s">
        <v>38</v>
      </c>
      <c r="E159" s="17" t="s">
        <v>38</v>
      </c>
      <c r="F159" s="17" t="s">
        <v>38</v>
      </c>
      <c r="G159" s="18" t="s">
        <v>38</v>
      </c>
    </row>
    <row r="160" spans="1:7" x14ac:dyDescent="0.3">
      <c r="A160" s="79"/>
      <c r="B160" s="78"/>
      <c r="C160" s="19" t="s">
        <v>38</v>
      </c>
      <c r="D160" s="20" t="s">
        <v>38</v>
      </c>
      <c r="E160" s="20" t="s">
        <v>38</v>
      </c>
      <c r="F160" s="20" t="s">
        <v>38</v>
      </c>
      <c r="G160" s="21" t="s">
        <v>38</v>
      </c>
    </row>
    <row r="161" spans="1:7" x14ac:dyDescent="0.3">
      <c r="A161" s="79"/>
      <c r="B161" s="78"/>
      <c r="C161" s="25" t="s">
        <v>94</v>
      </c>
      <c r="D161" s="26" t="s">
        <v>94</v>
      </c>
      <c r="E161" s="20" t="s">
        <v>94</v>
      </c>
      <c r="F161" s="26" t="s">
        <v>94</v>
      </c>
      <c r="G161" s="21" t="s">
        <v>94</v>
      </c>
    </row>
    <row r="162" spans="1:7" x14ac:dyDescent="0.3">
      <c r="A162" s="79"/>
      <c r="B162" s="78"/>
      <c r="C162" s="19" t="s">
        <v>94</v>
      </c>
      <c r="D162" s="20" t="s">
        <v>94</v>
      </c>
      <c r="E162" s="20" t="s">
        <v>94</v>
      </c>
      <c r="F162" s="20" t="s">
        <v>94</v>
      </c>
      <c r="G162" s="21" t="s">
        <v>94</v>
      </c>
    </row>
    <row r="163" spans="1:7" ht="12.75" thickBot="1" x14ac:dyDescent="0.35">
      <c r="A163" s="79"/>
      <c r="B163" s="78"/>
      <c r="C163" s="22" t="s">
        <v>38</v>
      </c>
      <c r="D163" s="23" t="s">
        <v>38</v>
      </c>
      <c r="E163" s="23" t="s">
        <v>38</v>
      </c>
      <c r="F163" s="23" t="s">
        <v>38</v>
      </c>
      <c r="G163" s="24" t="s">
        <v>38</v>
      </c>
    </row>
    <row r="164" spans="1:7" x14ac:dyDescent="0.3">
      <c r="A164" s="79">
        <v>900</v>
      </c>
      <c r="B164" s="78" t="s">
        <v>332</v>
      </c>
      <c r="C164" s="16" t="s">
        <v>38</v>
      </c>
      <c r="D164" s="17" t="s">
        <v>38</v>
      </c>
      <c r="E164" s="17" t="s">
        <v>38</v>
      </c>
      <c r="F164" s="17" t="s">
        <v>38</v>
      </c>
      <c r="G164" s="18" t="s">
        <v>38</v>
      </c>
    </row>
    <row r="165" spans="1:7" x14ac:dyDescent="0.3">
      <c r="A165" s="79"/>
      <c r="B165" s="78"/>
      <c r="C165" s="19" t="s">
        <v>38</v>
      </c>
      <c r="D165" s="20" t="s">
        <v>38</v>
      </c>
      <c r="E165" s="20" t="s">
        <v>38</v>
      </c>
      <c r="F165" s="20" t="s">
        <v>38</v>
      </c>
      <c r="G165" s="21" t="s">
        <v>38</v>
      </c>
    </row>
    <row r="166" spans="1:7" x14ac:dyDescent="0.3">
      <c r="A166" s="79"/>
      <c r="B166" s="78"/>
      <c r="C166" s="25" t="s">
        <v>38</v>
      </c>
      <c r="D166" s="26" t="s">
        <v>38</v>
      </c>
      <c r="E166" s="20" t="s">
        <v>334</v>
      </c>
      <c r="F166" s="26" t="s">
        <v>94</v>
      </c>
      <c r="G166" s="21" t="s">
        <v>38</v>
      </c>
    </row>
    <row r="167" spans="1:7" x14ac:dyDescent="0.3">
      <c r="A167" s="79"/>
      <c r="B167" s="78"/>
      <c r="C167" s="19" t="s">
        <v>38</v>
      </c>
      <c r="D167" s="20" t="s">
        <v>38</v>
      </c>
      <c r="E167" s="20" t="s">
        <v>38</v>
      </c>
      <c r="F167" s="20" t="s">
        <v>38</v>
      </c>
      <c r="G167" s="21" t="s">
        <v>38</v>
      </c>
    </row>
    <row r="168" spans="1:7" ht="12.75" thickBot="1" x14ac:dyDescent="0.35">
      <c r="A168" s="79"/>
      <c r="B168" s="78"/>
      <c r="C168" s="22" t="s">
        <v>38</v>
      </c>
      <c r="D168" s="23" t="s">
        <v>38</v>
      </c>
      <c r="E168" s="23" t="s">
        <v>38</v>
      </c>
      <c r="F168" s="23" t="s">
        <v>38</v>
      </c>
      <c r="G168" s="24" t="s">
        <v>38</v>
      </c>
    </row>
    <row r="169" spans="1:7" x14ac:dyDescent="0.3">
      <c r="A169" s="79">
        <v>901</v>
      </c>
      <c r="B169" s="78" t="s">
        <v>333</v>
      </c>
      <c r="C169" s="16" t="s">
        <v>38</v>
      </c>
      <c r="D169" s="17" t="s">
        <v>38</v>
      </c>
      <c r="E169" s="17" t="s">
        <v>38</v>
      </c>
      <c r="F169" s="17" t="s">
        <v>38</v>
      </c>
      <c r="G169" s="18" t="s">
        <v>38</v>
      </c>
    </row>
    <row r="170" spans="1:7" x14ac:dyDescent="0.3">
      <c r="A170" s="79"/>
      <c r="B170" s="78"/>
      <c r="C170" s="19" t="s">
        <v>38</v>
      </c>
      <c r="D170" s="20" t="s">
        <v>38</v>
      </c>
      <c r="E170" s="20" t="s">
        <v>38</v>
      </c>
      <c r="F170" s="20" t="s">
        <v>38</v>
      </c>
      <c r="G170" s="21" t="s">
        <v>38</v>
      </c>
    </row>
    <row r="171" spans="1:7" x14ac:dyDescent="0.3">
      <c r="A171" s="79"/>
      <c r="B171" s="78"/>
      <c r="C171" s="25" t="s">
        <v>38</v>
      </c>
      <c r="D171" s="26" t="s">
        <v>94</v>
      </c>
      <c r="E171" s="20" t="s">
        <v>334</v>
      </c>
      <c r="F171" s="26" t="s">
        <v>38</v>
      </c>
      <c r="G171" s="21" t="s">
        <v>38</v>
      </c>
    </row>
    <row r="172" spans="1:7" x14ac:dyDescent="0.3">
      <c r="A172" s="79"/>
      <c r="B172" s="78"/>
      <c r="C172" s="19" t="s">
        <v>38</v>
      </c>
      <c r="D172" s="20" t="s">
        <v>38</v>
      </c>
      <c r="E172" s="20" t="s">
        <v>38</v>
      </c>
      <c r="F172" s="20" t="s">
        <v>38</v>
      </c>
      <c r="G172" s="21" t="s">
        <v>38</v>
      </c>
    </row>
    <row r="173" spans="1:7" ht="12.75" thickBot="1" x14ac:dyDescent="0.35">
      <c r="A173" s="79"/>
      <c r="B173" s="78"/>
      <c r="C173" s="22" t="s">
        <v>38</v>
      </c>
      <c r="D173" s="23" t="s">
        <v>38</v>
      </c>
      <c r="E173" s="23" t="s">
        <v>38</v>
      </c>
      <c r="F173" s="23" t="s">
        <v>38</v>
      </c>
      <c r="G173" s="24" t="s">
        <v>38</v>
      </c>
    </row>
  </sheetData>
  <autoFilter ref="A3:G3" xr:uid="{45F7D1E8-7E85-4EBB-82F9-26EA965D79E6}"/>
  <mergeCells count="70">
    <mergeCell ref="A164:A168"/>
    <mergeCell ref="B164:B168"/>
    <mergeCell ref="A169:A173"/>
    <mergeCell ref="B169:B173"/>
    <mergeCell ref="A154:A158"/>
    <mergeCell ref="A159:A163"/>
    <mergeCell ref="B154:B158"/>
    <mergeCell ref="B159:B163"/>
    <mergeCell ref="B149:B153"/>
    <mergeCell ref="A114:A118"/>
    <mergeCell ref="A119:A123"/>
    <mergeCell ref="A124:A128"/>
    <mergeCell ref="A139:A143"/>
    <mergeCell ref="A144:A148"/>
    <mergeCell ref="A129:A133"/>
    <mergeCell ref="A134:A138"/>
    <mergeCell ref="B134:B138"/>
    <mergeCell ref="B129:B133"/>
    <mergeCell ref="A149:A153"/>
    <mergeCell ref="B114:B118"/>
    <mergeCell ref="B119:B123"/>
    <mergeCell ref="B124:B128"/>
    <mergeCell ref="B139:B143"/>
    <mergeCell ref="B144:B148"/>
    <mergeCell ref="A109:A113"/>
    <mergeCell ref="B109:B113"/>
    <mergeCell ref="B34:B38"/>
    <mergeCell ref="A29:A33"/>
    <mergeCell ref="A69:A73"/>
    <mergeCell ref="A74:A78"/>
    <mergeCell ref="B74:B78"/>
    <mergeCell ref="A79:A83"/>
    <mergeCell ref="B79:B83"/>
    <mergeCell ref="A84:A88"/>
    <mergeCell ref="B84:B88"/>
    <mergeCell ref="B39:B43"/>
    <mergeCell ref="B44:B48"/>
    <mergeCell ref="B64:B68"/>
    <mergeCell ref="B69:B73"/>
    <mergeCell ref="A89:A93"/>
    <mergeCell ref="A19:A23"/>
    <mergeCell ref="B19:B23"/>
    <mergeCell ref="A104:A108"/>
    <mergeCell ref="B104:B108"/>
    <mergeCell ref="B29:B33"/>
    <mergeCell ref="A24:A28"/>
    <mergeCell ref="A59:A63"/>
    <mergeCell ref="B59:B63"/>
    <mergeCell ref="A94:A98"/>
    <mergeCell ref="B94:B98"/>
    <mergeCell ref="A49:A53"/>
    <mergeCell ref="B49:B53"/>
    <mergeCell ref="A54:A58"/>
    <mergeCell ref="B54:B58"/>
    <mergeCell ref="A99:A103"/>
    <mergeCell ref="B99:B103"/>
    <mergeCell ref="A4:A8"/>
    <mergeCell ref="C1:G1"/>
    <mergeCell ref="C2:G2"/>
    <mergeCell ref="A9:A13"/>
    <mergeCell ref="A14:A18"/>
    <mergeCell ref="B4:B8"/>
    <mergeCell ref="B9:B13"/>
    <mergeCell ref="B14:B18"/>
    <mergeCell ref="B89:B93"/>
    <mergeCell ref="B24:B28"/>
    <mergeCell ref="A34:A38"/>
    <mergeCell ref="A39:A43"/>
    <mergeCell ref="A44:A48"/>
    <mergeCell ref="A64:A68"/>
  </mergeCells>
  <phoneticPr fontId="1" type="noConversion"/>
  <conditionalFormatting sqref="C4:G173">
    <cfRule type="containsText" dxfId="1" priority="1" operator="containsText" text="Hit">
      <formula>NOT(ISERROR(SEARCH("Hit",C4)))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C1D50-FE53-478E-9725-CC8F69550234}">
  <sheetPr codeName="Sheet15"/>
  <dimension ref="A1:I39"/>
  <sheetViews>
    <sheetView tabSelected="1" workbookViewId="0">
      <selection activeCell="G39" sqref="G39"/>
    </sheetView>
  </sheetViews>
  <sheetFormatPr defaultRowHeight="16.5" x14ac:dyDescent="0.3"/>
  <cols>
    <col min="2" max="2" width="14" customWidth="1"/>
    <col min="3" max="3" width="16" bestFit="1" customWidth="1"/>
    <col min="4" max="6" width="20" customWidth="1"/>
    <col min="7" max="7" width="22" bestFit="1" customWidth="1"/>
    <col min="8" max="8" width="13.625" bestFit="1" customWidth="1"/>
    <col min="9" max="9" width="10.375" bestFit="1" customWidth="1"/>
  </cols>
  <sheetData>
    <row r="1" spans="1:9" x14ac:dyDescent="0.3">
      <c r="A1" t="s">
        <v>64</v>
      </c>
      <c r="B1" t="s">
        <v>46</v>
      </c>
      <c r="C1" t="s">
        <v>52</v>
      </c>
      <c r="D1" t="s">
        <v>63</v>
      </c>
      <c r="E1" t="s">
        <v>648</v>
      </c>
      <c r="F1" t="s">
        <v>73</v>
      </c>
      <c r="G1" t="s">
        <v>65</v>
      </c>
      <c r="H1" t="s">
        <v>59</v>
      </c>
      <c r="I1" t="s">
        <v>59</v>
      </c>
    </row>
    <row r="2" spans="1:9" x14ac:dyDescent="0.3">
      <c r="A2" t="s">
        <v>58</v>
      </c>
      <c r="B2" t="s">
        <v>182</v>
      </c>
      <c r="C2" t="s">
        <v>182</v>
      </c>
      <c r="D2" t="s">
        <v>40</v>
      </c>
      <c r="F2" t="s">
        <v>62</v>
      </c>
      <c r="G2" t="s">
        <v>1</v>
      </c>
      <c r="H2" t="s">
        <v>66</v>
      </c>
      <c r="I2" t="s">
        <v>61</v>
      </c>
    </row>
    <row r="4" spans="1:9" x14ac:dyDescent="0.3">
      <c r="A4">
        <v>10101</v>
      </c>
      <c r="B4" t="s">
        <v>78</v>
      </c>
      <c r="C4" t="s">
        <v>39</v>
      </c>
      <c r="D4" t="s">
        <v>183</v>
      </c>
      <c r="E4" t="s">
        <v>185</v>
      </c>
      <c r="F4" t="s">
        <v>39</v>
      </c>
      <c r="G4">
        <v>100000</v>
      </c>
      <c r="H4" t="s">
        <v>41</v>
      </c>
      <c r="I4" t="s">
        <v>38</v>
      </c>
    </row>
    <row r="5" spans="1:9" x14ac:dyDescent="0.3">
      <c r="A5">
        <v>10102</v>
      </c>
      <c r="B5" t="s">
        <v>78</v>
      </c>
      <c r="C5" t="s">
        <v>38</v>
      </c>
      <c r="D5" t="s">
        <v>183</v>
      </c>
      <c r="E5" t="s">
        <v>185</v>
      </c>
      <c r="F5" t="s">
        <v>38</v>
      </c>
      <c r="G5">
        <v>50000</v>
      </c>
      <c r="H5" t="s">
        <v>41</v>
      </c>
      <c r="I5" t="s">
        <v>38</v>
      </c>
    </row>
    <row r="6" spans="1:9" x14ac:dyDescent="0.3">
      <c r="A6">
        <v>10103</v>
      </c>
      <c r="B6" t="s">
        <v>78</v>
      </c>
      <c r="C6" t="s">
        <v>38</v>
      </c>
      <c r="D6" t="s">
        <v>183</v>
      </c>
      <c r="E6" t="s">
        <v>185</v>
      </c>
      <c r="F6" t="s">
        <v>38</v>
      </c>
      <c r="G6">
        <v>30000</v>
      </c>
      <c r="H6" t="s">
        <v>41</v>
      </c>
      <c r="I6" t="s">
        <v>38</v>
      </c>
    </row>
    <row r="7" spans="1:9" x14ac:dyDescent="0.3">
      <c r="A7">
        <v>10201</v>
      </c>
      <c r="B7" t="s">
        <v>78</v>
      </c>
      <c r="C7" t="s">
        <v>38</v>
      </c>
      <c r="D7" t="s">
        <v>180</v>
      </c>
      <c r="E7" t="s">
        <v>184</v>
      </c>
      <c r="F7" t="s">
        <v>38</v>
      </c>
      <c r="G7">
        <v>10000</v>
      </c>
      <c r="H7" t="s">
        <v>42</v>
      </c>
      <c r="I7" t="s">
        <v>38</v>
      </c>
    </row>
    <row r="8" spans="1:9" x14ac:dyDescent="0.3">
      <c r="A8">
        <v>10202</v>
      </c>
      <c r="B8" t="s">
        <v>78</v>
      </c>
      <c r="C8" t="s">
        <v>38</v>
      </c>
      <c r="D8" t="s">
        <v>180</v>
      </c>
      <c r="E8" t="s">
        <v>184</v>
      </c>
      <c r="F8" t="s">
        <v>38</v>
      </c>
      <c r="G8">
        <v>20000</v>
      </c>
      <c r="H8" t="s">
        <v>42</v>
      </c>
      <c r="I8" t="s">
        <v>38</v>
      </c>
    </row>
    <row r="9" spans="1:9" x14ac:dyDescent="0.3">
      <c r="A9">
        <v>10203</v>
      </c>
      <c r="B9" t="s">
        <v>78</v>
      </c>
      <c r="C9" t="s">
        <v>38</v>
      </c>
      <c r="D9" t="s">
        <v>180</v>
      </c>
      <c r="E9" t="s">
        <v>184</v>
      </c>
      <c r="F9" t="s">
        <v>38</v>
      </c>
      <c r="G9">
        <v>30000</v>
      </c>
      <c r="H9" t="s">
        <v>42</v>
      </c>
      <c r="I9" t="s">
        <v>38</v>
      </c>
    </row>
    <row r="10" spans="1:9" x14ac:dyDescent="0.3">
      <c r="A10">
        <v>10204</v>
      </c>
      <c r="B10" t="s">
        <v>78</v>
      </c>
      <c r="C10" t="s">
        <v>38</v>
      </c>
      <c r="D10" t="s">
        <v>180</v>
      </c>
      <c r="E10" t="s">
        <v>184</v>
      </c>
      <c r="F10" t="s">
        <v>38</v>
      </c>
      <c r="G10">
        <v>40000</v>
      </c>
      <c r="H10" t="s">
        <v>42</v>
      </c>
      <c r="I10" t="s">
        <v>38</v>
      </c>
    </row>
    <row r="11" spans="1:9" x14ac:dyDescent="0.3">
      <c r="A11">
        <v>10205</v>
      </c>
      <c r="B11" t="s">
        <v>78</v>
      </c>
      <c r="C11" t="s">
        <v>38</v>
      </c>
      <c r="D11" t="s">
        <v>180</v>
      </c>
      <c r="E11" t="s">
        <v>184</v>
      </c>
      <c r="F11" t="s">
        <v>38</v>
      </c>
      <c r="G11">
        <v>50000</v>
      </c>
      <c r="H11" t="s">
        <v>42</v>
      </c>
      <c r="I11" t="s">
        <v>38</v>
      </c>
    </row>
    <row r="12" spans="1:9" x14ac:dyDescent="0.3">
      <c r="A12">
        <v>10206</v>
      </c>
      <c r="B12" t="s">
        <v>78</v>
      </c>
      <c r="C12" t="s">
        <v>38</v>
      </c>
      <c r="D12" t="s">
        <v>180</v>
      </c>
      <c r="E12" t="s">
        <v>184</v>
      </c>
      <c r="F12" t="s">
        <v>38</v>
      </c>
      <c r="G12">
        <v>0</v>
      </c>
      <c r="H12" t="s">
        <v>42</v>
      </c>
      <c r="I12" t="s">
        <v>38</v>
      </c>
    </row>
    <row r="13" spans="1:9" x14ac:dyDescent="0.3">
      <c r="A13">
        <v>10302</v>
      </c>
      <c r="B13" t="s">
        <v>78</v>
      </c>
      <c r="C13" t="s">
        <v>38</v>
      </c>
      <c r="D13" t="s">
        <v>72</v>
      </c>
      <c r="E13" t="s">
        <v>187</v>
      </c>
      <c r="F13" t="s">
        <v>70</v>
      </c>
      <c r="G13">
        <v>5</v>
      </c>
      <c r="H13" t="s">
        <v>38</v>
      </c>
      <c r="I13" t="s">
        <v>39</v>
      </c>
    </row>
    <row r="14" spans="1:9" x14ac:dyDescent="0.3">
      <c r="A14">
        <v>10304</v>
      </c>
      <c r="B14" t="s">
        <v>78</v>
      </c>
      <c r="C14" t="s">
        <v>38</v>
      </c>
      <c r="D14" t="s">
        <v>72</v>
      </c>
      <c r="E14" t="s">
        <v>186</v>
      </c>
      <c r="F14" t="s">
        <v>76</v>
      </c>
      <c r="G14">
        <v>5</v>
      </c>
      <c r="H14" t="s">
        <v>38</v>
      </c>
      <c r="I14" t="s">
        <v>39</v>
      </c>
    </row>
    <row r="15" spans="1:9" x14ac:dyDescent="0.3">
      <c r="A15">
        <v>10305</v>
      </c>
      <c r="B15" t="s">
        <v>78</v>
      </c>
      <c r="C15" t="s">
        <v>38</v>
      </c>
      <c r="D15" t="s">
        <v>72</v>
      </c>
      <c r="E15" t="s">
        <v>186</v>
      </c>
      <c r="F15" t="s">
        <v>70</v>
      </c>
      <c r="G15">
        <v>3</v>
      </c>
      <c r="H15" t="s">
        <v>38</v>
      </c>
      <c r="I15" t="s">
        <v>39</v>
      </c>
    </row>
    <row r="16" spans="1:9" x14ac:dyDescent="0.3">
      <c r="A16">
        <v>10306</v>
      </c>
      <c r="B16" t="s">
        <v>78</v>
      </c>
      <c r="C16" t="s">
        <v>38</v>
      </c>
      <c r="D16" t="s">
        <v>72</v>
      </c>
      <c r="E16" t="s">
        <v>186</v>
      </c>
      <c r="F16" t="s">
        <v>96</v>
      </c>
      <c r="G16">
        <v>3</v>
      </c>
      <c r="H16" t="s">
        <v>38</v>
      </c>
      <c r="I16" t="s">
        <v>39</v>
      </c>
    </row>
    <row r="17" spans="1:9" x14ac:dyDescent="0.3">
      <c r="A17">
        <v>10307</v>
      </c>
      <c r="B17" t="s">
        <v>78</v>
      </c>
      <c r="C17" t="s">
        <v>38</v>
      </c>
      <c r="D17" t="s">
        <v>72</v>
      </c>
      <c r="E17" t="s">
        <v>186</v>
      </c>
      <c r="F17" t="s">
        <v>71</v>
      </c>
      <c r="G17">
        <v>3</v>
      </c>
      <c r="H17" t="s">
        <v>38</v>
      </c>
      <c r="I17" t="s">
        <v>39</v>
      </c>
    </row>
    <row r="18" spans="1:9" x14ac:dyDescent="0.3">
      <c r="A18">
        <v>10308</v>
      </c>
      <c r="B18" t="s">
        <v>78</v>
      </c>
      <c r="C18" t="s">
        <v>38</v>
      </c>
      <c r="D18" t="s">
        <v>72</v>
      </c>
      <c r="E18" t="s">
        <v>186</v>
      </c>
      <c r="F18" t="s">
        <v>96</v>
      </c>
      <c r="G18">
        <v>1</v>
      </c>
      <c r="H18" t="s">
        <v>38</v>
      </c>
      <c r="I18" t="s">
        <v>39</v>
      </c>
    </row>
    <row r="19" spans="1:9" x14ac:dyDescent="0.3">
      <c r="A19">
        <v>10309</v>
      </c>
      <c r="B19" t="s">
        <v>78</v>
      </c>
      <c r="C19" t="s">
        <v>38</v>
      </c>
      <c r="D19" t="s">
        <v>72</v>
      </c>
      <c r="E19" t="s">
        <v>186</v>
      </c>
      <c r="F19" t="s">
        <v>71</v>
      </c>
      <c r="G19">
        <v>5</v>
      </c>
      <c r="H19" t="s">
        <v>38</v>
      </c>
      <c r="I19" t="s">
        <v>39</v>
      </c>
    </row>
    <row r="20" spans="1:9" x14ac:dyDescent="0.3">
      <c r="A20">
        <v>10104</v>
      </c>
      <c r="B20" t="s">
        <v>78</v>
      </c>
      <c r="C20" t="s">
        <v>38</v>
      </c>
      <c r="D20" t="s">
        <v>183</v>
      </c>
      <c r="E20" t="s">
        <v>185</v>
      </c>
      <c r="F20" t="s">
        <v>38</v>
      </c>
      <c r="G20">
        <v>1</v>
      </c>
      <c r="H20" t="s">
        <v>41</v>
      </c>
      <c r="I20" t="s">
        <v>38</v>
      </c>
    </row>
    <row r="21" spans="1:9" x14ac:dyDescent="0.3">
      <c r="A21">
        <v>10310</v>
      </c>
      <c r="B21" t="s">
        <v>78</v>
      </c>
      <c r="C21" t="s">
        <v>38</v>
      </c>
      <c r="D21" t="s">
        <v>72</v>
      </c>
      <c r="E21" t="s">
        <v>186</v>
      </c>
      <c r="F21" t="s">
        <v>124</v>
      </c>
      <c r="G21">
        <v>3</v>
      </c>
      <c r="H21" t="s">
        <v>38</v>
      </c>
      <c r="I21" t="s">
        <v>39</v>
      </c>
    </row>
    <row r="22" spans="1:9" x14ac:dyDescent="0.3">
      <c r="A22">
        <v>10311</v>
      </c>
      <c r="B22" t="s">
        <v>78</v>
      </c>
      <c r="C22" t="s">
        <v>38</v>
      </c>
      <c r="D22" t="s">
        <v>72</v>
      </c>
      <c r="E22" t="s">
        <v>186</v>
      </c>
      <c r="F22" t="s">
        <v>96</v>
      </c>
      <c r="G22">
        <v>1</v>
      </c>
      <c r="H22" t="s">
        <v>38</v>
      </c>
      <c r="I22" t="s">
        <v>39</v>
      </c>
    </row>
    <row r="23" spans="1:9" x14ac:dyDescent="0.3">
      <c r="A23">
        <v>10312</v>
      </c>
      <c r="B23" t="s">
        <v>78</v>
      </c>
      <c r="C23" t="s">
        <v>38</v>
      </c>
      <c r="D23" t="s">
        <v>72</v>
      </c>
      <c r="E23" t="s">
        <v>186</v>
      </c>
      <c r="F23" t="s">
        <v>188</v>
      </c>
      <c r="G23">
        <v>1</v>
      </c>
      <c r="H23" t="s">
        <v>38</v>
      </c>
      <c r="I23" t="s">
        <v>39</v>
      </c>
    </row>
    <row r="24" spans="1:9" x14ac:dyDescent="0.3">
      <c r="A24">
        <v>10313</v>
      </c>
      <c r="B24" t="s">
        <v>78</v>
      </c>
      <c r="C24" t="s">
        <v>38</v>
      </c>
      <c r="D24" t="s">
        <v>72</v>
      </c>
      <c r="E24" t="s">
        <v>186</v>
      </c>
      <c r="F24" t="s">
        <v>321</v>
      </c>
      <c r="G24">
        <v>1</v>
      </c>
      <c r="H24" t="s">
        <v>38</v>
      </c>
      <c r="I24" t="s">
        <v>38</v>
      </c>
    </row>
    <row r="25" spans="1:9" x14ac:dyDescent="0.3">
      <c r="A25">
        <v>10314</v>
      </c>
      <c r="B25" t="s">
        <v>78</v>
      </c>
      <c r="C25" t="s">
        <v>38</v>
      </c>
      <c r="D25" t="s">
        <v>72</v>
      </c>
      <c r="E25" t="s">
        <v>186</v>
      </c>
      <c r="F25" t="s">
        <v>322</v>
      </c>
      <c r="G25">
        <v>1</v>
      </c>
      <c r="H25" t="s">
        <v>38</v>
      </c>
      <c r="I25" t="s">
        <v>38</v>
      </c>
    </row>
    <row r="26" spans="1:9" x14ac:dyDescent="0.3">
      <c r="A26">
        <v>10315</v>
      </c>
      <c r="B26" t="s">
        <v>78</v>
      </c>
      <c r="C26" t="s">
        <v>38</v>
      </c>
      <c r="D26" t="s">
        <v>72</v>
      </c>
      <c r="E26" t="s">
        <v>186</v>
      </c>
      <c r="F26" t="s">
        <v>323</v>
      </c>
      <c r="G26">
        <v>1</v>
      </c>
      <c r="H26" t="s">
        <v>38</v>
      </c>
      <c r="I26" t="s">
        <v>38</v>
      </c>
    </row>
    <row r="27" spans="1:9" x14ac:dyDescent="0.3">
      <c r="A27">
        <v>10316</v>
      </c>
      <c r="B27" t="s">
        <v>78</v>
      </c>
      <c r="C27" t="s">
        <v>38</v>
      </c>
      <c r="D27" t="s">
        <v>72</v>
      </c>
      <c r="E27" t="s">
        <v>186</v>
      </c>
      <c r="F27" t="s">
        <v>324</v>
      </c>
      <c r="G27">
        <v>1</v>
      </c>
      <c r="H27" t="s">
        <v>38</v>
      </c>
      <c r="I27" t="s">
        <v>38</v>
      </c>
    </row>
    <row r="28" spans="1:9" x14ac:dyDescent="0.3">
      <c r="A28">
        <v>10317</v>
      </c>
      <c r="B28" t="s">
        <v>95</v>
      </c>
      <c r="C28" t="s">
        <v>38</v>
      </c>
      <c r="D28" t="s">
        <v>72</v>
      </c>
      <c r="E28" t="s">
        <v>186</v>
      </c>
      <c r="F28" t="s">
        <v>221</v>
      </c>
      <c r="G28">
        <v>1</v>
      </c>
      <c r="H28" t="s">
        <v>38</v>
      </c>
      <c r="I28" t="s">
        <v>38</v>
      </c>
    </row>
    <row r="29" spans="1:9" x14ac:dyDescent="0.3">
      <c r="A29">
        <v>10318</v>
      </c>
      <c r="B29" t="s">
        <v>51</v>
      </c>
      <c r="C29" t="s">
        <v>38</v>
      </c>
      <c r="D29" t="s">
        <v>181</v>
      </c>
      <c r="E29" t="s">
        <v>186</v>
      </c>
      <c r="F29" t="s">
        <v>337</v>
      </c>
      <c r="G29">
        <v>1</v>
      </c>
      <c r="H29" t="s">
        <v>38</v>
      </c>
      <c r="I29" t="s">
        <v>38</v>
      </c>
    </row>
    <row r="30" spans="1:9" x14ac:dyDescent="0.3">
      <c r="A30">
        <v>10319</v>
      </c>
      <c r="B30" t="s">
        <v>51</v>
      </c>
      <c r="C30" t="s">
        <v>38</v>
      </c>
      <c r="D30" t="s">
        <v>181</v>
      </c>
      <c r="E30" t="s">
        <v>185</v>
      </c>
      <c r="F30" t="s">
        <v>329</v>
      </c>
      <c r="G30">
        <v>3</v>
      </c>
      <c r="H30" t="s">
        <v>38</v>
      </c>
      <c r="I30" t="s">
        <v>38</v>
      </c>
    </row>
    <row r="31" spans="1:9" x14ac:dyDescent="0.3">
      <c r="A31">
        <v>10320</v>
      </c>
      <c r="B31" t="s">
        <v>51</v>
      </c>
      <c r="C31" t="s">
        <v>38</v>
      </c>
      <c r="D31" t="s">
        <v>181</v>
      </c>
      <c r="E31" t="s">
        <v>186</v>
      </c>
      <c r="F31" t="s">
        <v>355</v>
      </c>
      <c r="G31">
        <v>1</v>
      </c>
      <c r="H31" t="s">
        <v>38</v>
      </c>
      <c r="I31" t="s">
        <v>38</v>
      </c>
    </row>
    <row r="32" spans="1:9" x14ac:dyDescent="0.3">
      <c r="A32">
        <v>10321</v>
      </c>
      <c r="B32" t="s">
        <v>95</v>
      </c>
      <c r="C32" t="s">
        <v>38</v>
      </c>
      <c r="D32" t="s">
        <v>72</v>
      </c>
      <c r="E32" t="s">
        <v>186</v>
      </c>
      <c r="F32" t="s">
        <v>518</v>
      </c>
      <c r="G32">
        <v>1</v>
      </c>
      <c r="H32" t="s">
        <v>38</v>
      </c>
      <c r="I32" t="s">
        <v>38</v>
      </c>
    </row>
    <row r="33" spans="1:9" x14ac:dyDescent="0.3">
      <c r="A33">
        <v>10322</v>
      </c>
      <c r="B33" t="s">
        <v>51</v>
      </c>
      <c r="C33" t="s">
        <v>38</v>
      </c>
      <c r="D33" t="s">
        <v>181</v>
      </c>
      <c r="E33" t="s">
        <v>186</v>
      </c>
      <c r="F33" t="s">
        <v>356</v>
      </c>
      <c r="G33">
        <v>1</v>
      </c>
      <c r="H33" t="s">
        <v>38</v>
      </c>
      <c r="I33" t="s">
        <v>38</v>
      </c>
    </row>
    <row r="34" spans="1:9" x14ac:dyDescent="0.3">
      <c r="A34">
        <v>10323</v>
      </c>
      <c r="B34" t="s">
        <v>51</v>
      </c>
      <c r="C34" t="s">
        <v>38</v>
      </c>
      <c r="D34" t="s">
        <v>181</v>
      </c>
      <c r="E34" t="s">
        <v>186</v>
      </c>
      <c r="F34" t="s">
        <v>357</v>
      </c>
      <c r="G34">
        <v>1</v>
      </c>
      <c r="H34" t="s">
        <v>38</v>
      </c>
      <c r="I34" t="s">
        <v>38</v>
      </c>
    </row>
    <row r="35" spans="1:9" x14ac:dyDescent="0.3">
      <c r="A35">
        <v>10324</v>
      </c>
      <c r="B35" t="s">
        <v>51</v>
      </c>
      <c r="C35" t="s">
        <v>38</v>
      </c>
      <c r="D35" t="s">
        <v>181</v>
      </c>
      <c r="E35" t="s">
        <v>186</v>
      </c>
      <c r="F35" t="s">
        <v>358</v>
      </c>
      <c r="G35">
        <v>1</v>
      </c>
      <c r="H35" t="s">
        <v>38</v>
      </c>
      <c r="I35" t="s">
        <v>38</v>
      </c>
    </row>
    <row r="36" spans="1:9" x14ac:dyDescent="0.3">
      <c r="A36">
        <v>10325</v>
      </c>
      <c r="B36" t="s">
        <v>51</v>
      </c>
      <c r="C36" t="s">
        <v>38</v>
      </c>
      <c r="D36" t="s">
        <v>181</v>
      </c>
      <c r="E36" t="s">
        <v>186</v>
      </c>
      <c r="F36" t="s">
        <v>325</v>
      </c>
      <c r="G36">
        <v>1</v>
      </c>
      <c r="H36" t="s">
        <v>38</v>
      </c>
      <c r="I36" t="s">
        <v>38</v>
      </c>
    </row>
    <row r="37" spans="1:9" x14ac:dyDescent="0.3">
      <c r="A37">
        <v>10326</v>
      </c>
      <c r="B37" t="s">
        <v>224</v>
      </c>
      <c r="C37" t="s">
        <v>38</v>
      </c>
      <c r="D37" t="s">
        <v>181</v>
      </c>
      <c r="E37" t="s">
        <v>186</v>
      </c>
      <c r="F37" t="s">
        <v>385</v>
      </c>
      <c r="G37">
        <v>1</v>
      </c>
      <c r="H37" t="s">
        <v>38</v>
      </c>
      <c r="I37" t="s">
        <v>38</v>
      </c>
    </row>
    <row r="38" spans="1:9" x14ac:dyDescent="0.3">
      <c r="A38">
        <v>10327</v>
      </c>
      <c r="B38" t="s">
        <v>224</v>
      </c>
      <c r="C38" t="s">
        <v>38</v>
      </c>
      <c r="D38" t="s">
        <v>181</v>
      </c>
      <c r="E38" t="s">
        <v>186</v>
      </c>
      <c r="F38" t="s">
        <v>357</v>
      </c>
      <c r="G38">
        <v>1</v>
      </c>
      <c r="H38" t="s">
        <v>38</v>
      </c>
      <c r="I38" t="s">
        <v>38</v>
      </c>
    </row>
    <row r="39" spans="1:9" x14ac:dyDescent="0.3">
      <c r="A39">
        <v>10328</v>
      </c>
      <c r="B39" t="s">
        <v>224</v>
      </c>
      <c r="C39" t="s">
        <v>38</v>
      </c>
      <c r="D39" t="s">
        <v>181</v>
      </c>
      <c r="E39" t="s">
        <v>185</v>
      </c>
      <c r="F39" t="s">
        <v>329</v>
      </c>
      <c r="G39">
        <v>1</v>
      </c>
      <c r="H39" t="s">
        <v>38</v>
      </c>
      <c r="I39" t="s">
        <v>38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7D23-2D8F-4773-9743-D88DC27448B8}">
  <sheetPr codeName="Sheet16"/>
  <dimension ref="A1:F101"/>
  <sheetViews>
    <sheetView topLeftCell="A42" workbookViewId="0">
      <selection activeCell="D79" sqref="D79"/>
    </sheetView>
  </sheetViews>
  <sheetFormatPr defaultRowHeight="16.5" x14ac:dyDescent="0.3"/>
  <cols>
    <col min="1" max="3" width="9" style="1"/>
    <col min="4" max="4" width="57.25" style="1" customWidth="1"/>
    <col min="5" max="5" width="8.125" customWidth="1"/>
    <col min="6" max="6" width="6.5" bestFit="1" customWidth="1"/>
  </cols>
  <sheetData>
    <row r="1" spans="1:6" x14ac:dyDescent="0.3">
      <c r="A1" s="1" t="s">
        <v>64</v>
      </c>
      <c r="B1" s="1" t="s">
        <v>130</v>
      </c>
      <c r="C1" s="1" t="s">
        <v>131</v>
      </c>
      <c r="D1" s="1" t="s">
        <v>132</v>
      </c>
      <c r="E1" s="1" t="s">
        <v>133</v>
      </c>
      <c r="F1" s="1" t="s">
        <v>564</v>
      </c>
    </row>
    <row r="2" spans="1:6" x14ac:dyDescent="0.3">
      <c r="E2" s="1"/>
    </row>
    <row r="3" spans="1:6" x14ac:dyDescent="0.3">
      <c r="E3" s="1"/>
    </row>
    <row r="4" spans="1:6" x14ac:dyDescent="0.3">
      <c r="A4" s="1">
        <v>1001</v>
      </c>
      <c r="B4" s="1">
        <v>10000</v>
      </c>
      <c r="C4" s="1">
        <v>10000</v>
      </c>
      <c r="D4" s="2" t="str">
        <f>"Value + ("&amp;$B4&amp;" + (Level - 1)) + ("&amp;$C4&amp;" * Level/10)"</f>
        <v>Value + (10000 + (Level - 1)) + (10000 * Level/10)</v>
      </c>
      <c r="E4" s="1" t="s">
        <v>107</v>
      </c>
    </row>
    <row r="5" spans="1:6" x14ac:dyDescent="0.3">
      <c r="A5" s="1">
        <v>1002</v>
      </c>
      <c r="B5" s="1">
        <v>10000</v>
      </c>
      <c r="C5" s="1">
        <v>10000</v>
      </c>
      <c r="D5" s="2" t="str">
        <f>"Value - (("&amp;$B5&amp;" + (Level - 1)) + ("&amp;$C5&amp;" * Level/10))"</f>
        <v>Value - ((10000 + (Level - 1)) + (10000 * Level/10))</v>
      </c>
      <c r="E5" s="1" t="s">
        <v>107</v>
      </c>
    </row>
    <row r="6" spans="1:6" x14ac:dyDescent="0.3">
      <c r="A6" s="1">
        <v>1101</v>
      </c>
      <c r="B6" s="1">
        <v>10</v>
      </c>
      <c r="C6" s="1">
        <v>10</v>
      </c>
      <c r="D6" s="2" t="str">
        <f>"Value + ("&amp;$B6&amp;" + (Level - 1)) + ("&amp;$C6&amp;" * Pow(Level/10, 2))"</f>
        <v>Value + (10 + (Level - 1)) + (10 * Pow(Level/10, 2))</v>
      </c>
      <c r="E6" s="1" t="s">
        <v>106</v>
      </c>
    </row>
    <row r="7" spans="1:6" x14ac:dyDescent="0.3">
      <c r="A7" s="1">
        <v>1201</v>
      </c>
      <c r="B7" s="1">
        <v>10</v>
      </c>
      <c r="C7" s="1">
        <v>10</v>
      </c>
      <c r="D7" s="2" t="str">
        <f>"Value + (1 + "&amp;$B7&amp;" * Level) + ("&amp;$C7&amp;" * Level/10)"</f>
        <v>Value + (1 + 10 * Level) + (10 * Level/10)</v>
      </c>
      <c r="E7" s="1" t="s">
        <v>105</v>
      </c>
    </row>
    <row r="8" spans="1:6" x14ac:dyDescent="0.3">
      <c r="A8" s="1">
        <v>2001</v>
      </c>
      <c r="B8" s="1">
        <v>10</v>
      </c>
      <c r="C8" s="1">
        <v>10</v>
      </c>
      <c r="D8" s="2" t="str">
        <f>"Value - ("&amp;$B8&amp;" + (Level - 1)) - ("&amp;$C8&amp;" * Level/10)"</f>
        <v>Value - (10 + (Level - 1)) - (10 * Level/10)</v>
      </c>
      <c r="E8" s="1" t="s">
        <v>104</v>
      </c>
    </row>
    <row r="9" spans="1:6" x14ac:dyDescent="0.3">
      <c r="A9" s="1">
        <v>2101</v>
      </c>
      <c r="B9" s="1">
        <v>10</v>
      </c>
      <c r="C9" s="1">
        <v>10</v>
      </c>
      <c r="D9" s="2" t="str">
        <f>"Value - ("&amp;$B9&amp;" + (Level - 1)) - ("&amp;$C9&amp;" * Pow(Level/10, 2))"</f>
        <v>Value - (10 + (Level - 1)) - (10 * Pow(Level/10, 2))</v>
      </c>
      <c r="E9" s="1" t="s">
        <v>103</v>
      </c>
    </row>
    <row r="10" spans="1:6" x14ac:dyDescent="0.3">
      <c r="A10" s="1">
        <v>130003</v>
      </c>
      <c r="D10" s="1" t="str">
        <f>"Value + ((Level-1)*"&amp;F10&amp;")"</f>
        <v>Value + ((Level-1)*5000)</v>
      </c>
      <c r="E10">
        <v>0.05</v>
      </c>
      <c r="F10">
        <f>E10*100000</f>
        <v>5000</v>
      </c>
    </row>
    <row r="11" spans="1:6" x14ac:dyDescent="0.3">
      <c r="A11" s="1">
        <v>230003</v>
      </c>
      <c r="D11" s="1" t="str">
        <f t="shared" ref="D11:D73" si="0">"Value + ((Level-1)*"&amp;F11&amp;")"</f>
        <v>Value + ((Level-1)*6100)</v>
      </c>
      <c r="E11">
        <v>6.0999999999999999E-2</v>
      </c>
      <c r="F11">
        <f t="shared" ref="F11:F73" si="1">E11*100000</f>
        <v>6100</v>
      </c>
    </row>
    <row r="12" spans="1:6" x14ac:dyDescent="0.3">
      <c r="A12" s="1">
        <v>330003</v>
      </c>
      <c r="D12" s="1" t="str">
        <f t="shared" si="0"/>
        <v>Value + ((Level-1)*2400)</v>
      </c>
      <c r="E12">
        <v>2.4E-2</v>
      </c>
      <c r="F12">
        <f t="shared" si="1"/>
        <v>2400</v>
      </c>
    </row>
    <row r="13" spans="1:6" x14ac:dyDescent="0.3">
      <c r="A13" s="1">
        <v>430003</v>
      </c>
      <c r="D13" s="1" t="str">
        <f t="shared" si="0"/>
        <v>Value + ((Level-1)*200)</v>
      </c>
      <c r="E13">
        <v>2E-3</v>
      </c>
      <c r="F13">
        <f t="shared" si="1"/>
        <v>200</v>
      </c>
    </row>
    <row r="14" spans="1:6" x14ac:dyDescent="0.3">
      <c r="A14" s="1">
        <v>130354</v>
      </c>
      <c r="D14" s="1" t="str">
        <f t="shared" si="0"/>
        <v>Value + ((Level-1)*5000)</v>
      </c>
      <c r="E14">
        <v>0.05</v>
      </c>
      <c r="F14">
        <f t="shared" si="1"/>
        <v>5000</v>
      </c>
    </row>
    <row r="15" spans="1:6" x14ac:dyDescent="0.3">
      <c r="A15" s="1">
        <v>230354</v>
      </c>
      <c r="D15" s="1" t="str">
        <f t="shared" si="0"/>
        <v>Value + ((Level-1)*1500)</v>
      </c>
      <c r="E15">
        <v>1.4999999999999999E-2</v>
      </c>
      <c r="F15">
        <f t="shared" si="1"/>
        <v>1500</v>
      </c>
    </row>
    <row r="16" spans="1:6" x14ac:dyDescent="0.3">
      <c r="A16" s="1">
        <v>330354</v>
      </c>
      <c r="D16" s="1" t="str">
        <f t="shared" si="0"/>
        <v>Value + ((Level-1)*9600)</v>
      </c>
      <c r="E16">
        <v>9.6000000000000002E-2</v>
      </c>
      <c r="F16">
        <f t="shared" si="1"/>
        <v>9600</v>
      </c>
    </row>
    <row r="17" spans="1:6" x14ac:dyDescent="0.3">
      <c r="A17" s="1">
        <v>430354</v>
      </c>
      <c r="D17" s="1" t="str">
        <f t="shared" si="0"/>
        <v>Value + ((Level-1)*150)</v>
      </c>
      <c r="E17">
        <v>1.5E-3</v>
      </c>
      <c r="F17">
        <f t="shared" si="1"/>
        <v>150</v>
      </c>
    </row>
    <row r="18" spans="1:6" x14ac:dyDescent="0.3">
      <c r="A18" s="1">
        <v>130180</v>
      </c>
      <c r="D18" s="1" t="str">
        <f t="shared" si="0"/>
        <v>Value + ((Level-1)*5000)</v>
      </c>
      <c r="E18">
        <v>0.05</v>
      </c>
      <c r="F18">
        <f t="shared" si="1"/>
        <v>5000</v>
      </c>
    </row>
    <row r="19" spans="1:6" x14ac:dyDescent="0.3">
      <c r="A19" s="1">
        <v>230180</v>
      </c>
      <c r="D19" s="1" t="str">
        <f t="shared" si="0"/>
        <v>Value + ((Level-1)*6000)</v>
      </c>
      <c r="E19">
        <v>0.06</v>
      </c>
      <c r="F19">
        <f t="shared" si="1"/>
        <v>6000</v>
      </c>
    </row>
    <row r="20" spans="1:6" x14ac:dyDescent="0.3">
      <c r="A20" s="1">
        <v>330180</v>
      </c>
      <c r="D20" s="1" t="str">
        <f t="shared" si="0"/>
        <v>Value + ((Level-1)*2400)</v>
      </c>
      <c r="E20">
        <v>2.4E-2</v>
      </c>
      <c r="F20">
        <f t="shared" si="1"/>
        <v>2400</v>
      </c>
    </row>
    <row r="21" spans="1:6" x14ac:dyDescent="0.3">
      <c r="A21" s="1">
        <v>430180</v>
      </c>
      <c r="D21" s="1" t="str">
        <f t="shared" si="0"/>
        <v>Value + ((Level-1)*100)</v>
      </c>
      <c r="E21">
        <v>1E-3</v>
      </c>
      <c r="F21">
        <f t="shared" si="1"/>
        <v>100</v>
      </c>
    </row>
    <row r="22" spans="1:6" x14ac:dyDescent="0.3">
      <c r="A22" s="1">
        <v>130001</v>
      </c>
      <c r="D22" s="1" t="str">
        <f t="shared" si="0"/>
        <v>Value + ((Level-1)*5000)</v>
      </c>
      <c r="E22">
        <v>0.05</v>
      </c>
      <c r="F22">
        <f t="shared" si="1"/>
        <v>5000</v>
      </c>
    </row>
    <row r="23" spans="1:6" x14ac:dyDescent="0.3">
      <c r="A23" s="1">
        <v>230001</v>
      </c>
      <c r="D23" s="1" t="str">
        <f t="shared" si="0"/>
        <v>Value + ((Level-1)*6100)</v>
      </c>
      <c r="E23">
        <v>6.0999999999999999E-2</v>
      </c>
      <c r="F23">
        <f t="shared" si="1"/>
        <v>6100</v>
      </c>
    </row>
    <row r="24" spans="1:6" x14ac:dyDescent="0.3">
      <c r="A24" s="1">
        <v>130002</v>
      </c>
      <c r="D24" s="1" t="str">
        <f t="shared" si="0"/>
        <v>Value + ((Level-1)*3400)</v>
      </c>
      <c r="E24">
        <v>3.4000000000000002E-2</v>
      </c>
      <c r="F24">
        <f t="shared" si="1"/>
        <v>3400.0000000000005</v>
      </c>
    </row>
    <row r="25" spans="1:6" x14ac:dyDescent="0.3">
      <c r="A25" s="1">
        <v>330002</v>
      </c>
      <c r="D25" s="1" t="str">
        <f t="shared" si="0"/>
        <v>Value + ((Level-1)*1400)</v>
      </c>
      <c r="E25">
        <v>1.4E-2</v>
      </c>
      <c r="F25">
        <f t="shared" si="1"/>
        <v>1400</v>
      </c>
    </row>
    <row r="26" spans="1:6" x14ac:dyDescent="0.3">
      <c r="A26" s="1">
        <v>130194</v>
      </c>
      <c r="D26" s="1" t="str">
        <f t="shared" si="0"/>
        <v>Value + ((Level-1)*5000)</v>
      </c>
      <c r="E26">
        <v>0.05</v>
      </c>
      <c r="F26">
        <f t="shared" si="1"/>
        <v>5000</v>
      </c>
    </row>
    <row r="27" spans="1:6" x14ac:dyDescent="0.3">
      <c r="A27" s="1">
        <v>230194</v>
      </c>
      <c r="D27" s="1" t="str">
        <f t="shared" si="0"/>
        <v>Value + ((Level-1)*6000)</v>
      </c>
      <c r="E27">
        <v>0.06</v>
      </c>
      <c r="F27">
        <f t="shared" si="1"/>
        <v>6000</v>
      </c>
    </row>
    <row r="28" spans="1:6" x14ac:dyDescent="0.3">
      <c r="A28" s="1">
        <v>330194</v>
      </c>
      <c r="D28" s="1" t="str">
        <f t="shared" si="0"/>
        <v>Value + ((Level-1)*2200)</v>
      </c>
      <c r="E28">
        <v>2.1999999999999999E-2</v>
      </c>
      <c r="F28">
        <f t="shared" si="1"/>
        <v>2200</v>
      </c>
    </row>
    <row r="29" spans="1:6" x14ac:dyDescent="0.3">
      <c r="A29" s="1">
        <v>130229</v>
      </c>
      <c r="D29" s="1" t="str">
        <f t="shared" si="0"/>
        <v>Value + ((Level-1)*7000)</v>
      </c>
      <c r="E29">
        <v>7.0000000000000007E-2</v>
      </c>
      <c r="F29">
        <f t="shared" si="1"/>
        <v>7000.0000000000009</v>
      </c>
    </row>
    <row r="30" spans="1:6" x14ac:dyDescent="0.3">
      <c r="A30" s="1">
        <v>230229</v>
      </c>
      <c r="D30" s="1" t="str">
        <f t="shared" si="0"/>
        <v>Value + ((Level-1)*1500)</v>
      </c>
      <c r="E30">
        <v>1.4999999999999999E-2</v>
      </c>
      <c r="F30">
        <f t="shared" si="1"/>
        <v>1500</v>
      </c>
    </row>
    <row r="31" spans="1:6" x14ac:dyDescent="0.3">
      <c r="A31" s="1">
        <v>330229</v>
      </c>
      <c r="D31" s="1" t="str">
        <f t="shared" si="0"/>
        <v>Value + ((Level-1)*100)</v>
      </c>
      <c r="E31">
        <v>1E-3</v>
      </c>
      <c r="F31">
        <f t="shared" si="1"/>
        <v>100</v>
      </c>
    </row>
    <row r="32" spans="1:6" x14ac:dyDescent="0.3">
      <c r="A32" s="1">
        <v>130353</v>
      </c>
      <c r="D32" s="1" t="str">
        <f t="shared" si="0"/>
        <v>Value + ((Level-1)*3700)</v>
      </c>
      <c r="E32">
        <v>3.6999999999999998E-2</v>
      </c>
      <c r="F32">
        <f t="shared" si="1"/>
        <v>3700</v>
      </c>
    </row>
    <row r="33" spans="1:6" x14ac:dyDescent="0.3">
      <c r="A33" s="1">
        <v>330353</v>
      </c>
      <c r="D33" s="1" t="str">
        <f t="shared" si="0"/>
        <v>Value + ((Level-1)*6500)</v>
      </c>
      <c r="E33">
        <v>6.5000000000000002E-2</v>
      </c>
      <c r="F33">
        <f t="shared" si="1"/>
        <v>6500</v>
      </c>
    </row>
    <row r="34" spans="1:6" x14ac:dyDescent="0.3">
      <c r="A34" s="1">
        <v>430353</v>
      </c>
      <c r="D34" s="1" t="str">
        <f t="shared" si="0"/>
        <v>Value + ((Level-1)*200)</v>
      </c>
      <c r="E34">
        <v>2E-3</v>
      </c>
      <c r="F34">
        <f t="shared" si="1"/>
        <v>200</v>
      </c>
    </row>
    <row r="35" spans="1:6" x14ac:dyDescent="0.3">
      <c r="A35" s="1">
        <v>130294</v>
      </c>
      <c r="D35" s="1" t="str">
        <f t="shared" si="0"/>
        <v>Value + ((Level-1)*7000)</v>
      </c>
      <c r="E35">
        <v>7.0000000000000007E-2</v>
      </c>
      <c r="F35">
        <f t="shared" si="1"/>
        <v>7000.0000000000009</v>
      </c>
    </row>
    <row r="36" spans="1:6" x14ac:dyDescent="0.3">
      <c r="A36" s="1">
        <v>230294</v>
      </c>
      <c r="D36" s="1" t="str">
        <f t="shared" si="0"/>
        <v>Value + ((Level-1)*5200)</v>
      </c>
      <c r="E36">
        <v>5.1999999999999998E-2</v>
      </c>
      <c r="F36">
        <f t="shared" si="1"/>
        <v>5200</v>
      </c>
    </row>
    <row r="37" spans="1:6" x14ac:dyDescent="0.3">
      <c r="A37" s="1">
        <v>330294</v>
      </c>
      <c r="D37" s="1" t="str">
        <f t="shared" si="0"/>
        <v>Value + ((Level-1)*3000)</v>
      </c>
      <c r="E37">
        <v>0.03</v>
      </c>
      <c r="F37">
        <f t="shared" si="1"/>
        <v>3000</v>
      </c>
    </row>
    <row r="38" spans="1:6" x14ac:dyDescent="0.3">
      <c r="A38" s="1">
        <v>130432</v>
      </c>
      <c r="D38" s="1" t="str">
        <f t="shared" si="0"/>
        <v>Value + ((Level-1)*7300)</v>
      </c>
      <c r="E38">
        <v>7.2999999999999995E-2</v>
      </c>
      <c r="F38">
        <f t="shared" si="1"/>
        <v>7299.9999999999991</v>
      </c>
    </row>
    <row r="39" spans="1:6" x14ac:dyDescent="0.3">
      <c r="A39" s="1">
        <v>330432</v>
      </c>
      <c r="D39" s="1" t="str">
        <f t="shared" si="0"/>
        <v>Value + ((Level-1)*3200)</v>
      </c>
      <c r="E39">
        <v>3.2000000000000001E-2</v>
      </c>
      <c r="F39">
        <f t="shared" si="1"/>
        <v>3200</v>
      </c>
    </row>
    <row r="40" spans="1:6" x14ac:dyDescent="0.3">
      <c r="A40" s="1">
        <v>430432</v>
      </c>
      <c r="D40" s="1" t="str">
        <f t="shared" si="0"/>
        <v>Value + ((Level-1)*150)</v>
      </c>
      <c r="E40">
        <v>1.5E-3</v>
      </c>
      <c r="F40">
        <f t="shared" si="1"/>
        <v>150</v>
      </c>
    </row>
    <row r="41" spans="1:6" x14ac:dyDescent="0.3">
      <c r="A41" s="1">
        <v>130502</v>
      </c>
      <c r="D41" s="1" t="str">
        <f t="shared" si="0"/>
        <v>Value + ((Level-1)*7300)</v>
      </c>
      <c r="E41">
        <v>7.2999999999999995E-2</v>
      </c>
      <c r="F41">
        <f t="shared" si="1"/>
        <v>7299.9999999999991</v>
      </c>
    </row>
    <row r="42" spans="1:6" x14ac:dyDescent="0.3">
      <c r="A42" s="1">
        <v>230502</v>
      </c>
      <c r="D42" s="1" t="str">
        <f t="shared" si="0"/>
        <v>Value + ((Level-1)*8500)</v>
      </c>
      <c r="E42">
        <v>8.5000000000000006E-2</v>
      </c>
      <c r="F42">
        <f t="shared" si="1"/>
        <v>8500</v>
      </c>
    </row>
    <row r="43" spans="1:6" x14ac:dyDescent="0.3">
      <c r="A43" s="1">
        <v>330502</v>
      </c>
      <c r="D43" s="1" t="str">
        <f t="shared" si="0"/>
        <v>Value + ((Level-1)*5000)</v>
      </c>
      <c r="E43">
        <v>0.05</v>
      </c>
      <c r="F43">
        <f t="shared" si="1"/>
        <v>5000</v>
      </c>
    </row>
    <row r="44" spans="1:6" x14ac:dyDescent="0.3">
      <c r="A44" s="1">
        <v>430502</v>
      </c>
      <c r="D44" s="1" t="str">
        <f t="shared" si="0"/>
        <v>Value + ((Level-1)*100)</v>
      </c>
      <c r="E44">
        <v>1E-3</v>
      </c>
      <c r="F44">
        <f t="shared" si="1"/>
        <v>100</v>
      </c>
    </row>
    <row r="45" spans="1:6" x14ac:dyDescent="0.3">
      <c r="A45" s="1">
        <v>130525</v>
      </c>
      <c r="D45" s="1" t="str">
        <f t="shared" si="0"/>
        <v>Value + ((Level-1)*7000)</v>
      </c>
      <c r="E45">
        <v>7.0000000000000007E-2</v>
      </c>
      <c r="F45">
        <f t="shared" si="1"/>
        <v>7000.0000000000009</v>
      </c>
    </row>
    <row r="46" spans="1:6" x14ac:dyDescent="0.3">
      <c r="A46" s="1">
        <v>330525</v>
      </c>
      <c r="D46" s="1" t="str">
        <f t="shared" si="0"/>
        <v>Value + ((Level-1)*2000)</v>
      </c>
      <c r="E46">
        <v>0.02</v>
      </c>
      <c r="F46">
        <f t="shared" si="1"/>
        <v>2000</v>
      </c>
    </row>
    <row r="47" spans="1:6" x14ac:dyDescent="0.3">
      <c r="A47" s="1">
        <v>330124</v>
      </c>
      <c r="D47" s="1" t="str">
        <f t="shared" si="0"/>
        <v>Value + ((Level-1)*800)</v>
      </c>
      <c r="E47">
        <v>8.0000000000000002E-3</v>
      </c>
      <c r="F47">
        <f t="shared" si="1"/>
        <v>800</v>
      </c>
    </row>
    <row r="48" spans="1:6" x14ac:dyDescent="0.3">
      <c r="A48" s="1">
        <v>430124</v>
      </c>
      <c r="D48" s="1" t="str">
        <f t="shared" si="0"/>
        <v>Value + ((Level-1)*50)</v>
      </c>
      <c r="E48">
        <v>5.0000000000000001E-4</v>
      </c>
      <c r="F48">
        <f t="shared" si="1"/>
        <v>50</v>
      </c>
    </row>
    <row r="49" spans="1:6" x14ac:dyDescent="0.3">
      <c r="A49" s="1">
        <v>130156</v>
      </c>
      <c r="D49" s="1" t="str">
        <f t="shared" si="0"/>
        <v>Value + ((Level-1)*12500)</v>
      </c>
      <c r="E49">
        <v>0.125</v>
      </c>
      <c r="F49">
        <f t="shared" si="1"/>
        <v>12500</v>
      </c>
    </row>
    <row r="50" spans="1:6" x14ac:dyDescent="0.3">
      <c r="A50" s="1">
        <v>230156</v>
      </c>
      <c r="D50" s="1" t="str">
        <f t="shared" si="0"/>
        <v>Value + ((Level-1)*14000)</v>
      </c>
      <c r="E50">
        <v>0.14000000000000001</v>
      </c>
      <c r="F50">
        <f t="shared" si="1"/>
        <v>14000.000000000002</v>
      </c>
    </row>
    <row r="51" spans="1:6" x14ac:dyDescent="0.3">
      <c r="A51" s="1">
        <v>330156</v>
      </c>
      <c r="D51" s="1" t="str">
        <f t="shared" si="0"/>
        <v>Value + ((Level-1)*1250)</v>
      </c>
      <c r="E51">
        <v>1.2500000000000001E-2</v>
      </c>
      <c r="F51">
        <f t="shared" si="1"/>
        <v>1250</v>
      </c>
    </row>
    <row r="52" spans="1:6" x14ac:dyDescent="0.3">
      <c r="A52" s="1">
        <v>430156</v>
      </c>
      <c r="D52" s="1" t="str">
        <f t="shared" si="0"/>
        <v>Value + ((Level-1)*150)</v>
      </c>
      <c r="E52">
        <v>1.5E-3</v>
      </c>
      <c r="F52">
        <f t="shared" si="1"/>
        <v>150</v>
      </c>
    </row>
    <row r="53" spans="1:6" x14ac:dyDescent="0.3">
      <c r="A53" s="1">
        <v>130318</v>
      </c>
      <c r="D53" s="1" t="str">
        <f t="shared" si="0"/>
        <v>Value + ((Level-1)*12000)</v>
      </c>
      <c r="E53">
        <v>0.12</v>
      </c>
      <c r="F53">
        <f t="shared" si="1"/>
        <v>12000</v>
      </c>
    </row>
    <row r="54" spans="1:6" x14ac:dyDescent="0.3">
      <c r="A54" s="1">
        <v>230318</v>
      </c>
      <c r="D54" s="1" t="str">
        <f t="shared" si="0"/>
        <v>Value + ((Level-1)*14000)</v>
      </c>
      <c r="E54">
        <v>0.14000000000000001</v>
      </c>
      <c r="F54">
        <f t="shared" si="1"/>
        <v>14000.000000000002</v>
      </c>
    </row>
    <row r="55" spans="1:6" x14ac:dyDescent="0.3">
      <c r="A55" s="1">
        <v>330318</v>
      </c>
      <c r="D55" s="1" t="str">
        <f t="shared" si="0"/>
        <v>Value + ((Level-1)*4500)</v>
      </c>
      <c r="E55">
        <v>4.4999999999999998E-2</v>
      </c>
      <c r="F55">
        <f t="shared" si="1"/>
        <v>4500</v>
      </c>
    </row>
    <row r="56" spans="1:6" x14ac:dyDescent="0.3">
      <c r="A56" s="1">
        <v>430318</v>
      </c>
      <c r="D56" s="1" t="str">
        <f t="shared" si="0"/>
        <v>Value + ((Level-1)*100)</v>
      </c>
      <c r="E56">
        <v>1E-3</v>
      </c>
      <c r="F56">
        <f t="shared" si="1"/>
        <v>100</v>
      </c>
    </row>
    <row r="57" spans="1:6" x14ac:dyDescent="0.3">
      <c r="A57" s="1">
        <v>130442</v>
      </c>
      <c r="D57" s="1" t="str">
        <f t="shared" si="0"/>
        <v>Value + ((Level-1)*6250)</v>
      </c>
      <c r="E57">
        <v>6.25E-2</v>
      </c>
      <c r="F57">
        <f t="shared" si="1"/>
        <v>6250</v>
      </c>
    </row>
    <row r="58" spans="1:6" x14ac:dyDescent="0.3">
      <c r="A58" s="1">
        <v>230442</v>
      </c>
      <c r="D58" s="1" t="str">
        <f t="shared" si="0"/>
        <v>Value + ((Level-1)*14400)</v>
      </c>
      <c r="E58">
        <v>0.14399999999999999</v>
      </c>
      <c r="F58">
        <f t="shared" si="1"/>
        <v>14399.999999999998</v>
      </c>
    </row>
    <row r="59" spans="1:6" x14ac:dyDescent="0.3">
      <c r="A59" s="1">
        <v>330442</v>
      </c>
      <c r="D59" s="1" t="str">
        <f t="shared" si="0"/>
        <v>Value + ((Level-1)*8000)</v>
      </c>
      <c r="E59">
        <v>0.08</v>
      </c>
      <c r="F59">
        <f t="shared" si="1"/>
        <v>8000</v>
      </c>
    </row>
    <row r="60" spans="1:6" x14ac:dyDescent="0.3">
      <c r="A60" s="1">
        <v>430442</v>
      </c>
      <c r="D60" s="1" t="str">
        <f t="shared" si="0"/>
        <v>Value + ((Level-1)*50)</v>
      </c>
      <c r="E60">
        <v>5.0000000000000001E-4</v>
      </c>
      <c r="F60">
        <f t="shared" si="1"/>
        <v>50</v>
      </c>
    </row>
    <row r="61" spans="1:6" x14ac:dyDescent="0.3">
      <c r="A61" s="1">
        <v>130183</v>
      </c>
      <c r="D61" s="1" t="str">
        <f t="shared" si="0"/>
        <v>Value + ((Level-1)*12000)</v>
      </c>
      <c r="E61">
        <v>0.12</v>
      </c>
      <c r="F61">
        <f t="shared" si="1"/>
        <v>12000</v>
      </c>
    </row>
    <row r="62" spans="1:6" x14ac:dyDescent="0.3">
      <c r="A62" s="1">
        <v>230183</v>
      </c>
      <c r="D62" s="1" t="str">
        <f t="shared" si="0"/>
        <v>Value + ((Level-1)*100)</v>
      </c>
      <c r="E62">
        <v>1E-3</v>
      </c>
      <c r="F62">
        <f t="shared" si="1"/>
        <v>100</v>
      </c>
    </row>
    <row r="63" spans="1:6" x14ac:dyDescent="0.3">
      <c r="A63" s="1">
        <v>330183</v>
      </c>
      <c r="D63" s="1" t="str">
        <f t="shared" si="0"/>
        <v>Value + ((Level-1)*100)</v>
      </c>
      <c r="E63">
        <v>1E-3</v>
      </c>
      <c r="F63">
        <f t="shared" si="1"/>
        <v>100</v>
      </c>
    </row>
    <row r="64" spans="1:6" x14ac:dyDescent="0.3">
      <c r="A64" s="1">
        <v>430183</v>
      </c>
      <c r="D64" s="1" t="str">
        <f t="shared" si="0"/>
        <v>Value + ((Level-1)*100)</v>
      </c>
      <c r="E64">
        <v>1E-3</v>
      </c>
      <c r="F64">
        <f t="shared" si="1"/>
        <v>100</v>
      </c>
    </row>
    <row r="65" spans="1:6" x14ac:dyDescent="0.3">
      <c r="A65" s="1">
        <v>130364</v>
      </c>
      <c r="D65" s="1" t="str">
        <f t="shared" si="0"/>
        <v>Value + ((Level-1)*12000)</v>
      </c>
      <c r="E65">
        <v>0.12</v>
      </c>
      <c r="F65">
        <f t="shared" si="1"/>
        <v>12000</v>
      </c>
    </row>
    <row r="66" spans="1:6" x14ac:dyDescent="0.3">
      <c r="A66" s="1">
        <v>130464</v>
      </c>
      <c r="D66" s="1" t="str">
        <f t="shared" si="0"/>
        <v>Value + ((Level-1)*12000)</v>
      </c>
      <c r="E66">
        <v>0.12</v>
      </c>
      <c r="F66">
        <f t="shared" si="1"/>
        <v>12000</v>
      </c>
    </row>
    <row r="67" spans="1:6" x14ac:dyDescent="0.3">
      <c r="A67" s="1">
        <v>230464</v>
      </c>
      <c r="D67" s="1" t="str">
        <f t="shared" si="0"/>
        <v>Value + ((Level-1)*14000)</v>
      </c>
      <c r="E67">
        <v>0.14000000000000001</v>
      </c>
      <c r="F67">
        <f t="shared" si="1"/>
        <v>14000.000000000002</v>
      </c>
    </row>
    <row r="68" spans="1:6" x14ac:dyDescent="0.3">
      <c r="A68" s="1">
        <v>330464</v>
      </c>
      <c r="D68" s="1" t="str">
        <f t="shared" si="0"/>
        <v>Value + ((Level-1)*5000)</v>
      </c>
      <c r="E68">
        <v>0.05</v>
      </c>
      <c r="F68">
        <f t="shared" si="1"/>
        <v>5000</v>
      </c>
    </row>
    <row r="69" spans="1:6" x14ac:dyDescent="0.3">
      <c r="A69" s="1">
        <v>430464</v>
      </c>
      <c r="D69" s="1" t="str">
        <f t="shared" si="0"/>
        <v>Value + ((Level-1)*100)</v>
      </c>
      <c r="E69">
        <v>1E-3</v>
      </c>
      <c r="F69">
        <f t="shared" si="1"/>
        <v>100</v>
      </c>
    </row>
    <row r="70" spans="1:6" x14ac:dyDescent="0.3">
      <c r="A70" s="1">
        <v>130051</v>
      </c>
      <c r="D70" s="1" t="str">
        <f t="shared" si="0"/>
        <v>Value + ((Level-1)*12500)</v>
      </c>
      <c r="E70">
        <v>0.125</v>
      </c>
      <c r="F70">
        <f t="shared" si="1"/>
        <v>12500</v>
      </c>
    </row>
    <row r="71" spans="1:6" x14ac:dyDescent="0.3">
      <c r="A71" s="1">
        <v>330051</v>
      </c>
      <c r="D71" s="1" t="str">
        <f t="shared" si="0"/>
        <v>Value + ((Level-1)*5000)</v>
      </c>
      <c r="E71">
        <v>0.05</v>
      </c>
      <c r="F71">
        <f t="shared" si="1"/>
        <v>5000</v>
      </c>
    </row>
    <row r="72" spans="1:6" x14ac:dyDescent="0.3">
      <c r="A72" s="1">
        <v>430051</v>
      </c>
      <c r="D72" s="1" t="str">
        <f t="shared" si="0"/>
        <v>Value + ((Level-1)*300)</v>
      </c>
      <c r="E72">
        <v>3.0000000000000001E-3</v>
      </c>
      <c r="F72">
        <f t="shared" si="1"/>
        <v>300</v>
      </c>
    </row>
    <row r="73" spans="1:6" x14ac:dyDescent="0.3">
      <c r="A73" s="1">
        <v>130296</v>
      </c>
      <c r="D73" s="1" t="str">
        <f t="shared" si="0"/>
        <v>Value + ((Level-1)*6500)</v>
      </c>
      <c r="E73">
        <v>6.5000000000000002E-2</v>
      </c>
      <c r="F73">
        <f t="shared" si="1"/>
        <v>6500</v>
      </c>
    </row>
    <row r="74" spans="1:6" x14ac:dyDescent="0.3">
      <c r="A74" s="1">
        <v>230296</v>
      </c>
      <c r="D74" s="1" t="str">
        <f t="shared" ref="D74:D97" si="2">"Value + ((Level-1)*"&amp;F74&amp;")"</f>
        <v>Value + ((Level-1)*1600)</v>
      </c>
      <c r="E74">
        <v>1.6E-2</v>
      </c>
      <c r="F74">
        <f t="shared" ref="F74:F101" si="3">E74*100000</f>
        <v>1600</v>
      </c>
    </row>
    <row r="75" spans="1:6" x14ac:dyDescent="0.3">
      <c r="A75" s="1">
        <v>330296</v>
      </c>
      <c r="D75" s="1" t="str">
        <f t="shared" si="2"/>
        <v>Value + ((Level-1)*9500)</v>
      </c>
      <c r="E75">
        <v>9.5000000000000001E-2</v>
      </c>
      <c r="F75">
        <f t="shared" si="3"/>
        <v>9500</v>
      </c>
    </row>
    <row r="76" spans="1:6" x14ac:dyDescent="0.3">
      <c r="A76" s="1">
        <v>430296</v>
      </c>
      <c r="D76" s="1" t="str">
        <f t="shared" si="2"/>
        <v>Value + ((Level-1)*100)</v>
      </c>
      <c r="E76">
        <v>1E-3</v>
      </c>
      <c r="F76">
        <f t="shared" si="3"/>
        <v>100</v>
      </c>
    </row>
    <row r="77" spans="1:6" x14ac:dyDescent="0.3">
      <c r="A77" s="1">
        <v>130417</v>
      </c>
      <c r="D77" s="1" t="str">
        <f t="shared" si="2"/>
        <v>Value + ((Level-1)*4200)</v>
      </c>
      <c r="E77">
        <v>4.2000000000000003E-2</v>
      </c>
      <c r="F77">
        <f t="shared" si="3"/>
        <v>4200</v>
      </c>
    </row>
    <row r="78" spans="1:6" x14ac:dyDescent="0.3">
      <c r="A78" s="1">
        <v>230417</v>
      </c>
      <c r="D78" s="1" t="str">
        <f t="shared" si="2"/>
        <v>Value + ((Level-1)*1500)</v>
      </c>
      <c r="E78">
        <v>1.4999999999999999E-2</v>
      </c>
      <c r="F78">
        <f t="shared" si="3"/>
        <v>1500</v>
      </c>
    </row>
    <row r="79" spans="1:6" x14ac:dyDescent="0.3">
      <c r="A79" s="1">
        <v>330417</v>
      </c>
      <c r="D79" s="1" t="str">
        <f t="shared" si="2"/>
        <v>Value + ((Level-1)*1000)</v>
      </c>
      <c r="E79">
        <v>0.01</v>
      </c>
      <c r="F79">
        <f t="shared" si="3"/>
        <v>1000</v>
      </c>
    </row>
    <row r="80" spans="1:6" x14ac:dyDescent="0.3">
      <c r="A80" s="1">
        <v>430417</v>
      </c>
      <c r="D80" s="1" t="str">
        <f t="shared" si="2"/>
        <v>Value + ((Level-1)*150)</v>
      </c>
      <c r="E80">
        <v>1.5E-3</v>
      </c>
      <c r="F80">
        <f t="shared" si="3"/>
        <v>150</v>
      </c>
    </row>
    <row r="81" spans="1:6" x14ac:dyDescent="0.3">
      <c r="A81" s="1">
        <v>130486</v>
      </c>
      <c r="D81" s="1" t="str">
        <f t="shared" si="2"/>
        <v>Value + ((Level-1)*12500)</v>
      </c>
      <c r="E81">
        <v>0.125</v>
      </c>
      <c r="F81">
        <f t="shared" si="3"/>
        <v>12500</v>
      </c>
    </row>
    <row r="82" spans="1:6" x14ac:dyDescent="0.3">
      <c r="A82" s="1">
        <v>230486</v>
      </c>
      <c r="D82" s="1" t="str">
        <f t="shared" si="2"/>
        <v>Value + ((Level-1)*900)</v>
      </c>
      <c r="E82">
        <v>8.9999999999999993E-3</v>
      </c>
      <c r="F82">
        <f t="shared" si="3"/>
        <v>899.99999999999989</v>
      </c>
    </row>
    <row r="83" spans="1:6" x14ac:dyDescent="0.3">
      <c r="A83" s="1">
        <v>330486</v>
      </c>
      <c r="D83" s="1" t="str">
        <f t="shared" si="2"/>
        <v>Value + ((Level-1)*13000)</v>
      </c>
      <c r="E83">
        <v>0.13</v>
      </c>
      <c r="F83">
        <f t="shared" si="3"/>
        <v>13000</v>
      </c>
    </row>
    <row r="84" spans="1:6" x14ac:dyDescent="0.3">
      <c r="A84" s="1">
        <v>430486</v>
      </c>
      <c r="D84" s="1" t="str">
        <f t="shared" si="2"/>
        <v>Value + ((Level-1)*100)</v>
      </c>
      <c r="E84">
        <v>1E-3</v>
      </c>
      <c r="F84">
        <f t="shared" si="3"/>
        <v>100</v>
      </c>
    </row>
    <row r="85" spans="1:6" x14ac:dyDescent="0.3">
      <c r="A85" s="1">
        <v>130501</v>
      </c>
      <c r="D85" s="1" t="str">
        <f t="shared" si="2"/>
        <v>Value + ((Level-1)*12000)</v>
      </c>
      <c r="E85">
        <v>0.12</v>
      </c>
      <c r="F85">
        <f t="shared" si="3"/>
        <v>12000</v>
      </c>
    </row>
    <row r="86" spans="1:6" x14ac:dyDescent="0.3">
      <c r="A86" s="1">
        <v>330501</v>
      </c>
      <c r="D86" s="1" t="str">
        <f t="shared" si="2"/>
        <v>Value + ((Level-1)*1000)</v>
      </c>
      <c r="E86">
        <v>0.01</v>
      </c>
      <c r="F86">
        <f t="shared" si="3"/>
        <v>1000</v>
      </c>
    </row>
    <row r="87" spans="1:6" x14ac:dyDescent="0.3">
      <c r="A87" s="1">
        <v>430501</v>
      </c>
      <c r="D87" s="1" t="str">
        <f t="shared" si="2"/>
        <v>Value + ((Level-1)*100)</v>
      </c>
      <c r="E87">
        <v>1E-3</v>
      </c>
      <c r="F87">
        <f t="shared" si="3"/>
        <v>100</v>
      </c>
    </row>
    <row r="88" spans="1:6" x14ac:dyDescent="0.2">
      <c r="A88" s="33">
        <v>330001</v>
      </c>
      <c r="B88" s="33"/>
      <c r="C88" s="33"/>
      <c r="D88" s="33" t="str">
        <f t="shared" si="2"/>
        <v>Value + ((Level-1)*6500)</v>
      </c>
      <c r="E88" s="77">
        <v>6.5000000000000002E-2</v>
      </c>
      <c r="F88" s="76">
        <f t="shared" si="3"/>
        <v>6500</v>
      </c>
    </row>
    <row r="89" spans="1:6" x14ac:dyDescent="0.3">
      <c r="A89" s="1">
        <v>130412</v>
      </c>
      <c r="D89" s="1" t="str">
        <f t="shared" si="2"/>
        <v>Value + ((Level-1)*12500)</v>
      </c>
      <c r="E89">
        <v>0.125</v>
      </c>
      <c r="F89">
        <f t="shared" si="3"/>
        <v>12500</v>
      </c>
    </row>
    <row r="90" spans="1:6" x14ac:dyDescent="0.3">
      <c r="A90" s="1">
        <v>330412</v>
      </c>
      <c r="D90" s="1" t="str">
        <f t="shared" si="2"/>
        <v>Value + ((Level-1)*5500)</v>
      </c>
      <c r="E90">
        <v>5.5E-2</v>
      </c>
      <c r="F90">
        <f t="shared" si="3"/>
        <v>5500</v>
      </c>
    </row>
    <row r="91" spans="1:6" x14ac:dyDescent="0.3">
      <c r="A91" s="1">
        <v>130124</v>
      </c>
      <c r="D91" s="1" t="str">
        <f t="shared" si="2"/>
        <v>Value + ((Level-1)*7000)</v>
      </c>
      <c r="E91">
        <v>7.0000000000000007E-2</v>
      </c>
      <c r="F91">
        <f t="shared" si="3"/>
        <v>7000.0000000000009</v>
      </c>
    </row>
    <row r="92" spans="1:6" x14ac:dyDescent="0.3">
      <c r="A92" s="1">
        <v>230124</v>
      </c>
      <c r="D92" s="1" t="str">
        <f t="shared" si="2"/>
        <v>Value + ((Level-1)*8000)</v>
      </c>
      <c r="E92">
        <v>0.08</v>
      </c>
      <c r="F92">
        <f t="shared" si="3"/>
        <v>8000</v>
      </c>
    </row>
    <row r="93" spans="1:6" x14ac:dyDescent="0.3">
      <c r="A93" s="1">
        <v>230002</v>
      </c>
      <c r="D93" s="1" t="str">
        <f t="shared" si="2"/>
        <v>Value + ((Level-1)*6000)</v>
      </c>
      <c r="E93">
        <v>0.06</v>
      </c>
      <c r="F93">
        <f t="shared" si="3"/>
        <v>6000</v>
      </c>
    </row>
    <row r="94" spans="1:6" x14ac:dyDescent="0.3">
      <c r="A94" s="1">
        <v>100005</v>
      </c>
      <c r="D94" s="1" t="str">
        <f t="shared" si="2"/>
        <v>Value + ((Level-1)*50)</v>
      </c>
      <c r="E94">
        <v>5.0000000000000001E-4</v>
      </c>
      <c r="F94">
        <f t="shared" si="3"/>
        <v>50</v>
      </c>
    </row>
    <row r="95" spans="1:6" x14ac:dyDescent="0.3">
      <c r="A95" s="1">
        <v>100010</v>
      </c>
      <c r="D95" s="1" t="str">
        <f t="shared" si="2"/>
        <v>Value + ((Level-1)*100)</v>
      </c>
      <c r="E95">
        <v>1E-3</v>
      </c>
      <c r="F95">
        <f t="shared" si="3"/>
        <v>100</v>
      </c>
    </row>
    <row r="96" spans="1:6" x14ac:dyDescent="0.3">
      <c r="A96" s="1">
        <v>100015</v>
      </c>
      <c r="D96" s="1" t="str">
        <f t="shared" si="2"/>
        <v>Value + ((Level-1)*150)</v>
      </c>
      <c r="E96">
        <v>1.5E-3</v>
      </c>
      <c r="F96">
        <f t="shared" si="3"/>
        <v>150</v>
      </c>
    </row>
    <row r="97" spans="1:6" x14ac:dyDescent="0.3">
      <c r="A97" s="1">
        <v>100002</v>
      </c>
      <c r="D97" s="1" t="str">
        <f t="shared" si="2"/>
        <v>Value + ((Level-1)*20)</v>
      </c>
      <c r="E97">
        <v>2.0000000000000001E-4</v>
      </c>
      <c r="F97">
        <f t="shared" si="3"/>
        <v>20</v>
      </c>
    </row>
    <row r="98" spans="1:6" x14ac:dyDescent="0.3">
      <c r="A98" s="1">
        <v>100020</v>
      </c>
      <c r="D98" s="1" t="str">
        <f t="shared" ref="D98" si="4">"Value + ((Level-1)*"&amp;F98&amp;")"</f>
        <v>Value + ((Level-1)*200)</v>
      </c>
      <c r="E98">
        <v>2E-3</v>
      </c>
      <c r="F98">
        <f t="shared" si="3"/>
        <v>200</v>
      </c>
    </row>
    <row r="99" spans="1:6" x14ac:dyDescent="0.3">
      <c r="A99" s="1">
        <v>100030</v>
      </c>
      <c r="D99" s="1" t="str">
        <f t="shared" ref="D99" si="5">"Value + ((Level-1)*"&amp;F99&amp;")"</f>
        <v>Value + ((Level-1)*300)</v>
      </c>
      <c r="E99">
        <v>3.0000000000000001E-3</v>
      </c>
      <c r="F99">
        <f t="shared" ref="F99" si="6">E99*100000</f>
        <v>300</v>
      </c>
    </row>
    <row r="100" spans="1:6" x14ac:dyDescent="0.3">
      <c r="A100" s="1">
        <v>200015</v>
      </c>
      <c r="D100" s="1" t="str">
        <f>"Value - ((Level-1)*"&amp;F100&amp;")"</f>
        <v>Value - ((Level-1)*150)</v>
      </c>
      <c r="E100">
        <v>1.5E-3</v>
      </c>
      <c r="F100">
        <f t="shared" si="3"/>
        <v>150</v>
      </c>
    </row>
    <row r="101" spans="1:6" x14ac:dyDescent="0.3">
      <c r="A101" s="1">
        <v>200010</v>
      </c>
      <c r="D101" s="1" t="str">
        <f>"Value - ((Level-1)*"&amp;F101&amp;")"</f>
        <v>Value - ((Level-1)*100)</v>
      </c>
      <c r="E101">
        <v>1E-3</v>
      </c>
      <c r="F101">
        <f t="shared" si="3"/>
        <v>100</v>
      </c>
    </row>
  </sheetData>
  <phoneticPr fontId="1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0AAB6-5235-4E49-88BD-B48FAD612EE2}">
  <sheetPr codeName="Sheet17"/>
  <dimension ref="A1:F53"/>
  <sheetViews>
    <sheetView topLeftCell="A6" workbookViewId="0">
      <selection activeCell="D79" sqref="D79"/>
    </sheetView>
  </sheetViews>
  <sheetFormatPr defaultRowHeight="16.5" x14ac:dyDescent="0.3"/>
  <cols>
    <col min="1" max="2" width="9" style="1"/>
    <col min="3" max="3" width="14.625" style="1" bestFit="1" customWidth="1"/>
    <col min="4" max="4" width="12.5" style="1" bestFit="1" customWidth="1"/>
    <col min="5" max="5" width="15.25" style="1" bestFit="1" customWidth="1"/>
    <col min="6" max="6" width="9" style="1"/>
  </cols>
  <sheetData>
    <row r="1" spans="1:5" x14ac:dyDescent="0.3">
      <c r="A1" s="1" t="s">
        <v>64</v>
      </c>
      <c r="B1" s="1" t="s">
        <v>584</v>
      </c>
      <c r="C1" s="1" t="s">
        <v>127</v>
      </c>
      <c r="D1" s="1" t="s">
        <v>128</v>
      </c>
      <c r="E1" s="1" t="s">
        <v>129</v>
      </c>
    </row>
    <row r="2" spans="1:5" x14ac:dyDescent="0.3">
      <c r="C2" s="1" t="s">
        <v>109</v>
      </c>
    </row>
    <row r="4" spans="1:5" x14ac:dyDescent="0.3">
      <c r="A4" s="1">
        <v>1</v>
      </c>
      <c r="B4" s="1">
        <v>1</v>
      </c>
      <c r="C4" s="1" t="s">
        <v>647</v>
      </c>
      <c r="D4" s="1">
        <v>2</v>
      </c>
      <c r="E4" s="1">
        <v>131</v>
      </c>
    </row>
    <row r="5" spans="1:5" x14ac:dyDescent="0.3">
      <c r="A5" s="1">
        <v>2</v>
      </c>
      <c r="B5" s="1">
        <v>2</v>
      </c>
      <c r="C5" s="1" t="s">
        <v>647</v>
      </c>
      <c r="D5" s="1">
        <v>2</v>
      </c>
      <c r="E5" s="1">
        <v>173</v>
      </c>
    </row>
    <row r="6" spans="1:5" x14ac:dyDescent="0.3">
      <c r="A6" s="1">
        <v>3</v>
      </c>
      <c r="B6" s="1">
        <v>3</v>
      </c>
      <c r="C6" s="1" t="s">
        <v>647</v>
      </c>
      <c r="D6" s="1">
        <v>2</v>
      </c>
      <c r="E6" s="1">
        <v>229</v>
      </c>
    </row>
    <row r="7" spans="1:5" x14ac:dyDescent="0.3">
      <c r="A7" s="1">
        <v>4</v>
      </c>
      <c r="B7" s="1">
        <v>4</v>
      </c>
      <c r="C7" s="1" t="s">
        <v>647</v>
      </c>
      <c r="D7" s="1">
        <v>2</v>
      </c>
      <c r="E7" s="1">
        <v>302</v>
      </c>
    </row>
    <row r="8" spans="1:5" x14ac:dyDescent="0.3">
      <c r="A8" s="1">
        <v>5</v>
      </c>
      <c r="B8" s="1">
        <v>5</v>
      </c>
      <c r="C8" s="1" t="s">
        <v>647</v>
      </c>
      <c r="D8" s="1">
        <v>2</v>
      </c>
      <c r="E8" s="1">
        <v>396</v>
      </c>
    </row>
    <row r="9" spans="1:5" x14ac:dyDescent="0.3">
      <c r="A9" s="1">
        <v>6</v>
      </c>
      <c r="B9" s="1">
        <v>6</v>
      </c>
      <c r="C9" s="1" t="s">
        <v>647</v>
      </c>
      <c r="D9" s="1">
        <v>2</v>
      </c>
      <c r="E9" s="1">
        <v>519</v>
      </c>
    </row>
    <row r="10" spans="1:5" x14ac:dyDescent="0.3">
      <c r="A10" s="1">
        <v>7</v>
      </c>
      <c r="B10" s="1">
        <v>7</v>
      </c>
      <c r="C10" s="1" t="s">
        <v>647</v>
      </c>
      <c r="D10" s="1">
        <v>2</v>
      </c>
      <c r="E10" s="1">
        <v>676</v>
      </c>
    </row>
    <row r="11" spans="1:5" x14ac:dyDescent="0.3">
      <c r="A11" s="1">
        <v>8</v>
      </c>
      <c r="B11" s="1">
        <v>8</v>
      </c>
      <c r="C11" s="1" t="s">
        <v>647</v>
      </c>
      <c r="D11" s="1">
        <v>2</v>
      </c>
      <c r="E11" s="1">
        <v>880</v>
      </c>
    </row>
    <row r="12" spans="1:5" x14ac:dyDescent="0.3">
      <c r="A12" s="1">
        <v>9</v>
      </c>
      <c r="B12" s="1">
        <v>9</v>
      </c>
      <c r="C12" s="1" t="s">
        <v>647</v>
      </c>
      <c r="D12" s="1">
        <v>2</v>
      </c>
      <c r="E12" s="1">
        <v>1141</v>
      </c>
    </row>
    <row r="13" spans="1:5" x14ac:dyDescent="0.3">
      <c r="A13" s="1">
        <v>10</v>
      </c>
      <c r="B13" s="1">
        <v>10</v>
      </c>
      <c r="C13" s="1" t="s">
        <v>647</v>
      </c>
      <c r="D13" s="1">
        <v>2</v>
      </c>
      <c r="E13" s="1">
        <v>1479</v>
      </c>
    </row>
    <row r="14" spans="1:5" x14ac:dyDescent="0.3">
      <c r="A14" s="1">
        <v>11</v>
      </c>
      <c r="B14" s="1">
        <v>11</v>
      </c>
      <c r="C14" s="1" t="s">
        <v>647</v>
      </c>
      <c r="D14" s="1">
        <v>2</v>
      </c>
      <c r="E14" s="1">
        <v>1913</v>
      </c>
    </row>
    <row r="15" spans="1:5" x14ac:dyDescent="0.3">
      <c r="A15" s="1">
        <v>12</v>
      </c>
      <c r="B15" s="1">
        <v>12</v>
      </c>
      <c r="C15" s="1" t="s">
        <v>647</v>
      </c>
      <c r="D15" s="1">
        <v>2</v>
      </c>
      <c r="E15" s="1">
        <v>2474</v>
      </c>
    </row>
    <row r="16" spans="1:5" x14ac:dyDescent="0.3">
      <c r="A16" s="1">
        <v>13</v>
      </c>
      <c r="B16" s="1">
        <v>13</v>
      </c>
      <c r="C16" s="1" t="s">
        <v>647</v>
      </c>
      <c r="D16" s="1">
        <v>2</v>
      </c>
      <c r="E16" s="1">
        <v>3198</v>
      </c>
    </row>
    <row r="17" spans="1:5" x14ac:dyDescent="0.3">
      <c r="A17" s="1">
        <v>14</v>
      </c>
      <c r="B17" s="1">
        <v>14</v>
      </c>
      <c r="C17" s="1" t="s">
        <v>647</v>
      </c>
      <c r="D17" s="1">
        <v>2</v>
      </c>
      <c r="E17" s="1">
        <v>4133</v>
      </c>
    </row>
    <row r="18" spans="1:5" x14ac:dyDescent="0.3">
      <c r="A18" s="1">
        <v>15</v>
      </c>
      <c r="B18" s="1">
        <v>15</v>
      </c>
      <c r="C18" s="1" t="s">
        <v>647</v>
      </c>
      <c r="D18" s="1">
        <v>2</v>
      </c>
      <c r="E18" s="1">
        <v>5344</v>
      </c>
    </row>
    <row r="19" spans="1:5" x14ac:dyDescent="0.3">
      <c r="A19" s="1">
        <v>16</v>
      </c>
      <c r="B19" s="1">
        <v>16</v>
      </c>
      <c r="C19" s="1" t="s">
        <v>647</v>
      </c>
      <c r="D19" s="1">
        <v>2</v>
      </c>
      <c r="E19" s="1">
        <v>6910</v>
      </c>
    </row>
    <row r="20" spans="1:5" x14ac:dyDescent="0.3">
      <c r="A20" s="1">
        <v>17</v>
      </c>
      <c r="B20" s="1">
        <v>17</v>
      </c>
      <c r="C20" s="1" t="s">
        <v>647</v>
      </c>
      <c r="D20" s="1">
        <v>2</v>
      </c>
      <c r="E20" s="1">
        <v>8939</v>
      </c>
    </row>
    <row r="21" spans="1:5" x14ac:dyDescent="0.3">
      <c r="A21" s="1">
        <v>18</v>
      </c>
      <c r="B21" s="1">
        <v>18</v>
      </c>
      <c r="C21" s="1" t="s">
        <v>647</v>
      </c>
      <c r="D21" s="1">
        <v>2</v>
      </c>
      <c r="E21" s="1">
        <v>11570</v>
      </c>
    </row>
    <row r="22" spans="1:5" x14ac:dyDescent="0.3">
      <c r="A22" s="1">
        <v>19</v>
      </c>
      <c r="B22" s="1">
        <v>19</v>
      </c>
      <c r="C22" s="1" t="s">
        <v>647</v>
      </c>
      <c r="D22" s="1">
        <v>2</v>
      </c>
      <c r="E22" s="1">
        <v>14980</v>
      </c>
    </row>
    <row r="23" spans="1:5" x14ac:dyDescent="0.3">
      <c r="A23" s="1">
        <v>20</v>
      </c>
      <c r="B23" s="1">
        <v>20</v>
      </c>
      <c r="C23" s="1" t="s">
        <v>647</v>
      </c>
      <c r="D23" s="1">
        <v>2</v>
      </c>
      <c r="E23" s="1">
        <v>19405</v>
      </c>
    </row>
    <row r="24" spans="1:5" x14ac:dyDescent="0.3">
      <c r="A24" s="1">
        <v>21</v>
      </c>
      <c r="B24" s="1">
        <v>21</v>
      </c>
      <c r="C24" s="1" t="s">
        <v>647</v>
      </c>
      <c r="D24" s="1">
        <v>2</v>
      </c>
      <c r="E24" s="1">
        <v>25147</v>
      </c>
    </row>
    <row r="25" spans="1:5" x14ac:dyDescent="0.3">
      <c r="A25" s="1">
        <v>22</v>
      </c>
      <c r="B25" s="1">
        <v>22</v>
      </c>
      <c r="C25" s="1" t="s">
        <v>647</v>
      </c>
      <c r="D25" s="1">
        <v>2</v>
      </c>
      <c r="E25" s="1">
        <v>32602</v>
      </c>
    </row>
    <row r="26" spans="1:5" x14ac:dyDescent="0.3">
      <c r="A26" s="1">
        <v>23</v>
      </c>
      <c r="B26" s="1">
        <v>23</v>
      </c>
      <c r="C26" s="1" t="s">
        <v>647</v>
      </c>
      <c r="D26" s="1">
        <v>2</v>
      </c>
      <c r="E26" s="1">
        <v>42283</v>
      </c>
    </row>
    <row r="27" spans="1:5" x14ac:dyDescent="0.3">
      <c r="A27" s="1">
        <v>24</v>
      </c>
      <c r="B27" s="1">
        <v>24</v>
      </c>
      <c r="C27" s="1" t="s">
        <v>647</v>
      </c>
      <c r="D27" s="1">
        <v>2</v>
      </c>
      <c r="E27" s="1">
        <v>54856</v>
      </c>
    </row>
    <row r="28" spans="1:5" x14ac:dyDescent="0.3">
      <c r="A28" s="1">
        <v>25</v>
      </c>
      <c r="B28" s="1">
        <v>25</v>
      </c>
      <c r="C28" s="1" t="s">
        <v>647</v>
      </c>
      <c r="D28" s="1">
        <v>2</v>
      </c>
      <c r="E28" s="1">
        <v>71189</v>
      </c>
    </row>
    <row r="29" spans="1:5" x14ac:dyDescent="0.3">
      <c r="A29" s="1">
        <v>26</v>
      </c>
      <c r="B29" s="1">
        <v>26</v>
      </c>
      <c r="C29" s="1" t="s">
        <v>647</v>
      </c>
      <c r="D29" s="1">
        <v>2</v>
      </c>
      <c r="E29" s="1">
        <v>92409</v>
      </c>
    </row>
    <row r="30" spans="1:5" x14ac:dyDescent="0.3">
      <c r="A30" s="1">
        <v>27</v>
      </c>
      <c r="B30" s="1">
        <v>27</v>
      </c>
      <c r="C30" s="1" t="s">
        <v>647</v>
      </c>
      <c r="D30" s="1">
        <v>2</v>
      </c>
      <c r="E30" s="1">
        <v>119982</v>
      </c>
    </row>
    <row r="31" spans="1:5" x14ac:dyDescent="0.3">
      <c r="A31" s="1">
        <v>28</v>
      </c>
      <c r="B31" s="1">
        <v>28</v>
      </c>
      <c r="C31" s="1" t="s">
        <v>647</v>
      </c>
      <c r="D31" s="1">
        <v>2</v>
      </c>
      <c r="E31" s="1">
        <v>155813</v>
      </c>
    </row>
    <row r="32" spans="1:5" x14ac:dyDescent="0.3">
      <c r="A32" s="1">
        <v>29</v>
      </c>
      <c r="B32" s="1">
        <v>29</v>
      </c>
      <c r="C32" s="1" t="s">
        <v>647</v>
      </c>
      <c r="D32" s="1">
        <v>2</v>
      </c>
      <c r="E32" s="1">
        <v>202379</v>
      </c>
    </row>
    <row r="33" spans="1:5" x14ac:dyDescent="0.3">
      <c r="A33" s="1">
        <v>30</v>
      </c>
      <c r="B33" s="1">
        <v>30</v>
      </c>
      <c r="C33" s="1" t="s">
        <v>647</v>
      </c>
      <c r="D33" s="1">
        <v>2</v>
      </c>
      <c r="E33" s="1">
        <v>262900</v>
      </c>
    </row>
    <row r="34" spans="1:5" x14ac:dyDescent="0.3">
      <c r="A34" s="1">
        <v>31</v>
      </c>
      <c r="B34" s="1">
        <v>31</v>
      </c>
      <c r="C34" s="1" t="s">
        <v>647</v>
      </c>
      <c r="D34" s="1">
        <v>2</v>
      </c>
      <c r="E34" s="1">
        <v>341560</v>
      </c>
    </row>
    <row r="35" spans="1:5" x14ac:dyDescent="0.3">
      <c r="A35" s="1">
        <v>32</v>
      </c>
      <c r="B35" s="1">
        <v>32</v>
      </c>
      <c r="C35" s="1" t="s">
        <v>647</v>
      </c>
      <c r="D35" s="1">
        <v>2</v>
      </c>
      <c r="E35" s="1">
        <v>443803</v>
      </c>
    </row>
    <row r="36" spans="1:5" x14ac:dyDescent="0.3">
      <c r="A36" s="1">
        <v>33</v>
      </c>
      <c r="B36" s="1">
        <v>33</v>
      </c>
      <c r="C36" s="1" t="s">
        <v>647</v>
      </c>
      <c r="D36" s="1">
        <v>2</v>
      </c>
      <c r="E36" s="1">
        <v>576702</v>
      </c>
    </row>
    <row r="37" spans="1:5" x14ac:dyDescent="0.3">
      <c r="A37" s="1">
        <v>34</v>
      </c>
      <c r="B37" s="1">
        <v>34</v>
      </c>
      <c r="C37" s="1" t="s">
        <v>647</v>
      </c>
      <c r="D37" s="1">
        <v>2</v>
      </c>
      <c r="E37" s="1">
        <v>749453</v>
      </c>
    </row>
    <row r="38" spans="1:5" x14ac:dyDescent="0.3">
      <c r="A38" s="1">
        <v>35</v>
      </c>
      <c r="B38" s="1">
        <v>35</v>
      </c>
      <c r="C38" s="1" t="s">
        <v>647</v>
      </c>
      <c r="D38" s="1">
        <v>2</v>
      </c>
      <c r="E38" s="1">
        <v>974011</v>
      </c>
    </row>
    <row r="39" spans="1:5" x14ac:dyDescent="0.3">
      <c r="A39" s="1">
        <v>36</v>
      </c>
      <c r="B39" s="1">
        <v>36</v>
      </c>
      <c r="C39" s="1" t="s">
        <v>647</v>
      </c>
      <c r="D39" s="1">
        <v>2</v>
      </c>
      <c r="E39" s="1">
        <v>1265918</v>
      </c>
    </row>
    <row r="40" spans="1:5" x14ac:dyDescent="0.3">
      <c r="A40" s="1">
        <v>37</v>
      </c>
      <c r="B40" s="1">
        <v>37</v>
      </c>
      <c r="C40" s="1" t="s">
        <v>647</v>
      </c>
      <c r="D40" s="1">
        <v>2</v>
      </c>
      <c r="E40" s="1">
        <v>1645377</v>
      </c>
    </row>
    <row r="41" spans="1:5" x14ac:dyDescent="0.3">
      <c r="A41" s="1">
        <v>38</v>
      </c>
      <c r="B41" s="1">
        <v>38</v>
      </c>
      <c r="C41" s="1" t="s">
        <v>647</v>
      </c>
      <c r="D41" s="1">
        <v>2</v>
      </c>
      <c r="E41" s="1">
        <v>2138655</v>
      </c>
    </row>
    <row r="42" spans="1:5" x14ac:dyDescent="0.3">
      <c r="A42" s="1">
        <v>39</v>
      </c>
      <c r="B42" s="1">
        <v>39</v>
      </c>
      <c r="C42" s="1" t="s">
        <v>647</v>
      </c>
      <c r="D42" s="1">
        <v>2</v>
      </c>
      <c r="E42" s="1">
        <v>2779895</v>
      </c>
    </row>
    <row r="43" spans="1:5" x14ac:dyDescent="0.3">
      <c r="A43" s="1">
        <v>40</v>
      </c>
      <c r="B43" s="1">
        <v>40</v>
      </c>
      <c r="C43" s="1" t="s">
        <v>647</v>
      </c>
      <c r="D43" s="1">
        <v>2</v>
      </c>
      <c r="E43" s="1">
        <v>3613486</v>
      </c>
    </row>
    <row r="44" spans="1:5" x14ac:dyDescent="0.3">
      <c r="A44" s="1">
        <v>41</v>
      </c>
      <c r="B44" s="1">
        <v>41</v>
      </c>
      <c r="C44" s="1" t="s">
        <v>647</v>
      </c>
      <c r="D44" s="1">
        <v>2</v>
      </c>
      <c r="E44" s="1">
        <v>4697133</v>
      </c>
    </row>
    <row r="45" spans="1:5" x14ac:dyDescent="0.3">
      <c r="A45" s="1">
        <v>42</v>
      </c>
      <c r="B45" s="1">
        <v>42</v>
      </c>
      <c r="C45" s="1" t="s">
        <v>647</v>
      </c>
      <c r="D45" s="1">
        <v>2</v>
      </c>
      <c r="E45" s="1">
        <v>6105852</v>
      </c>
    </row>
    <row r="46" spans="1:5" x14ac:dyDescent="0.3">
      <c r="A46" s="1">
        <v>43</v>
      </c>
      <c r="B46" s="1">
        <v>43</v>
      </c>
      <c r="C46" s="1" t="s">
        <v>647</v>
      </c>
      <c r="D46" s="1">
        <v>2</v>
      </c>
      <c r="E46" s="1">
        <v>7937164</v>
      </c>
    </row>
    <row r="47" spans="1:5" x14ac:dyDescent="0.3">
      <c r="A47" s="1">
        <v>44</v>
      </c>
      <c r="B47" s="1">
        <v>44</v>
      </c>
      <c r="C47" s="1" t="s">
        <v>647</v>
      </c>
      <c r="D47" s="1">
        <v>2</v>
      </c>
      <c r="E47" s="1">
        <v>10317845</v>
      </c>
    </row>
    <row r="48" spans="1:5" x14ac:dyDescent="0.3">
      <c r="A48" s="1">
        <v>45</v>
      </c>
      <c r="B48" s="1">
        <v>45</v>
      </c>
      <c r="C48" s="1" t="s">
        <v>647</v>
      </c>
      <c r="D48" s="1">
        <v>2</v>
      </c>
      <c r="E48" s="1">
        <v>13412707</v>
      </c>
    </row>
    <row r="49" spans="1:5" x14ac:dyDescent="0.3">
      <c r="A49" s="1">
        <v>46</v>
      </c>
      <c r="B49" s="1">
        <v>46</v>
      </c>
      <c r="C49" s="1" t="s">
        <v>647</v>
      </c>
      <c r="D49" s="1">
        <v>2</v>
      </c>
      <c r="E49" s="1">
        <v>17436002</v>
      </c>
    </row>
    <row r="50" spans="1:5" x14ac:dyDescent="0.3">
      <c r="A50" s="1">
        <v>47</v>
      </c>
      <c r="B50" s="1">
        <v>47</v>
      </c>
      <c r="C50" s="1" t="s">
        <v>647</v>
      </c>
      <c r="D50" s="1">
        <v>2</v>
      </c>
      <c r="E50" s="1">
        <v>22666261</v>
      </c>
    </row>
    <row r="51" spans="1:5" x14ac:dyDescent="0.3">
      <c r="A51" s="1">
        <v>48</v>
      </c>
      <c r="B51" s="1">
        <v>48</v>
      </c>
      <c r="C51" s="1" t="s">
        <v>647</v>
      </c>
      <c r="D51" s="1">
        <v>2</v>
      </c>
      <c r="E51" s="1">
        <v>29465572</v>
      </c>
    </row>
    <row r="52" spans="1:5" x14ac:dyDescent="0.3">
      <c r="A52" s="1">
        <v>49</v>
      </c>
      <c r="B52" s="1">
        <v>49</v>
      </c>
      <c r="C52" s="1" t="s">
        <v>647</v>
      </c>
      <c r="D52" s="1">
        <v>2</v>
      </c>
      <c r="E52" s="1">
        <v>38304649</v>
      </c>
    </row>
    <row r="53" spans="1:5" x14ac:dyDescent="0.3">
      <c r="A53" s="1">
        <v>50</v>
      </c>
      <c r="B53" s="1">
        <v>50</v>
      </c>
      <c r="C53" s="1" t="s">
        <v>39</v>
      </c>
      <c r="D53" s="1">
        <v>0</v>
      </c>
      <c r="E53" s="1">
        <v>0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CD8D6-1EA0-45B3-87BF-6FFF17C5D343}">
  <sheetPr codeName="Sheet18">
    <tabColor theme="1" tint="0.499984740745262"/>
  </sheetPr>
  <dimension ref="B2:I7"/>
  <sheetViews>
    <sheetView workbookViewId="0">
      <selection activeCell="Z49" sqref="Z49:Z50"/>
    </sheetView>
  </sheetViews>
  <sheetFormatPr defaultRowHeight="12" x14ac:dyDescent="0.3"/>
  <cols>
    <col min="1" max="1" width="4.5" style="3" customWidth="1"/>
    <col min="2" max="16384" width="9" style="3"/>
  </cols>
  <sheetData>
    <row r="2" spans="2:9" x14ac:dyDescent="0.3">
      <c r="B2" s="13" t="s">
        <v>31</v>
      </c>
      <c r="C2" s="3">
        <v>1</v>
      </c>
      <c r="E2" s="3" t="s">
        <v>20</v>
      </c>
      <c r="F2" s="3">
        <v>1</v>
      </c>
      <c r="H2" s="3" t="s">
        <v>23</v>
      </c>
      <c r="I2" s="3">
        <v>1</v>
      </c>
    </row>
    <row r="3" spans="2:9" x14ac:dyDescent="0.3">
      <c r="B3" s="14" t="s">
        <v>32</v>
      </c>
      <c r="C3" s="3">
        <v>2</v>
      </c>
      <c r="E3" s="3" t="s">
        <v>22</v>
      </c>
      <c r="F3" s="3">
        <v>2</v>
      </c>
      <c r="H3" s="3" t="s">
        <v>27</v>
      </c>
      <c r="I3" s="3">
        <v>2</v>
      </c>
    </row>
    <row r="4" spans="2:9" x14ac:dyDescent="0.3">
      <c r="B4" s="13" t="s">
        <v>34</v>
      </c>
      <c r="C4" s="3">
        <v>3</v>
      </c>
      <c r="E4" s="3" t="s">
        <v>68</v>
      </c>
      <c r="F4" s="3">
        <v>3</v>
      </c>
      <c r="H4" s="3" t="s">
        <v>43</v>
      </c>
      <c r="I4" s="3">
        <v>3</v>
      </c>
    </row>
    <row r="5" spans="2:9" x14ac:dyDescent="0.3">
      <c r="B5" s="13" t="s">
        <v>167</v>
      </c>
      <c r="C5" s="3">
        <v>4</v>
      </c>
      <c r="E5" s="3" t="s">
        <v>21</v>
      </c>
      <c r="F5" s="3">
        <v>4</v>
      </c>
      <c r="H5" s="3" t="s">
        <v>25</v>
      </c>
      <c r="I5" s="3">
        <v>4</v>
      </c>
    </row>
    <row r="6" spans="2:9" x14ac:dyDescent="0.3">
      <c r="B6" s="13" t="s">
        <v>35</v>
      </c>
      <c r="C6" s="3">
        <v>5</v>
      </c>
      <c r="E6" s="3" t="s">
        <v>69</v>
      </c>
      <c r="F6" s="3">
        <v>5</v>
      </c>
      <c r="H6" s="3" t="s">
        <v>119</v>
      </c>
      <c r="I6" s="3">
        <v>5</v>
      </c>
    </row>
    <row r="7" spans="2:9" x14ac:dyDescent="0.3">
      <c r="B7" s="13" t="s">
        <v>36</v>
      </c>
      <c r="C7" s="3">
        <v>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Skill&lt;Child&gt;</vt:lpstr>
      <vt:lpstr>BuffValue&lt;Child&gt;</vt:lpstr>
      <vt:lpstr>Target</vt:lpstr>
      <vt:lpstr>Area</vt:lpstr>
      <vt:lpstr>Trigger</vt:lpstr>
      <vt:lpstr>BuffValueLevelUp</vt:lpstr>
      <vt:lpstr>LevelUp</vt:lpstr>
      <vt:lpstr>#참조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 Young Jin</dc:creator>
  <cp:lastModifiedBy>Oh Young Jin</cp:lastModifiedBy>
  <dcterms:created xsi:type="dcterms:W3CDTF">2025-02-11T09:19:52Z</dcterms:created>
  <dcterms:modified xsi:type="dcterms:W3CDTF">2026-03-16T06:55:17Z</dcterms:modified>
</cp:coreProperties>
</file>